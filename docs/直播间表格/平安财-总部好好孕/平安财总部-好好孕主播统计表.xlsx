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10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13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worksheets/sheet14.xml" ContentType="application/vnd.openxmlformats-officedocument.spreadsheetml.worksheet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worksheets/sheet18.xml" ContentType="application/vnd.openxmlformats-officedocument.spreadsheetml.worksheet+xml"/>
  <Override PartName="/xl/pivotTables/pivotTable8.xml" ContentType="application/vnd.openxmlformats-officedocument.spreadsheetml.pivotTable+xml"/>
  <Override PartName="/xl/pivotCache/pivotCacheDefinition8.xml" ContentType="application/vnd.openxmlformats-officedocument.spreadsheetml.pivotCacheDefinition+xml"/>
  <Override PartName="/xl/worksheets/sheet19.xml" ContentType="application/vnd.openxmlformats-officedocument.spreadsheetml.worksheet+xml"/>
  <Override PartName="/xl/pivotTables/pivotTable9.xml" ContentType="application/vnd.openxmlformats-officedocument.spreadsheetml.pivotTable+xml"/>
  <Override PartName="/xl/pivotCache/pivotCacheDefinition9.xml" ContentType="application/vnd.openxmlformats-officedocument.spreadsheetml.pivotCacheDefinition+xml"/>
  <Override PartName="/xl/worksheets/sheet20.xml" ContentType="application/vnd.openxmlformats-officedocument.spreadsheetml.worksheet+xml"/>
  <Override PartName="/xl/pivotTables/pivotTable10.xml" ContentType="application/vnd.openxmlformats-officedocument.spreadsheetml.pivotTable+xml"/>
  <Override PartName="/xl/pivotCache/pivotCacheDefinition10.xml" ContentType="application/vnd.openxmlformats-officedocument.spreadsheetml.pivotCacheDefinition+xml"/>
  <Override PartName="/xl/pivotTables/pivotTable11.xml" ContentType="application/vnd.openxmlformats-officedocument.spreadsheetml.pivotTable+xml"/>
  <Override PartName="/xl/pivotCache/pivotCacheDefinition11.xml" ContentType="application/vnd.openxmlformats-officedocument.spreadsheetml.pivotCacheDefinition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Tables/pivotTable12.xml" ContentType="application/vnd.openxmlformats-officedocument.spreadsheetml.pivotTable+xml"/>
  <Override PartName="/xl/pivotCache/pivotCacheDefinition12.xml" ContentType="application/vnd.openxmlformats-officedocument.spreadsheetml.pivotCacheDefinition+xml"/>
  <Override PartName="/xl/pivotTables/pivotTable13.xml" ContentType="application/vnd.openxmlformats-officedocument.spreadsheetml.pivotTable+xml"/>
  <Override PartName="/xl/pivotCache/pivotCacheDefinition13.xml" ContentType="application/vnd.openxmlformats-officedocument.spreadsheetml.pivotCacheDefinition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陕西整体达成进度" sheetId="2" r:id="rId5"/>
    <sheet name="2026.10月" sheetId="3" r:id="rId6"/>
    <sheet name="重庆整体达成进度" sheetId="4" r:id="rId7"/>
    <sheet name="2026.9月" sheetId="5" r:id="rId8"/>
    <sheet name="新疆整体达成进度" sheetId="6" r:id="rId10"/>
    <sheet name="黑龙江整体达成进度" sheetId="7" r:id="rId11"/>
    <sheet name="整体达成进度" sheetId="8" r:id="rId12"/>
    <sheet name="2026.8月" sheetId="9" r:id="rId13"/>
    <sheet name="2026.7月" sheetId="10" r:id="rId15"/>
    <sheet name="2026.6月" sheetId="11" r:id="rId17"/>
    <sheet name="2026.5月" sheetId="12" r:id="rId18"/>
    <sheet name="2026.4月" sheetId="13" r:id="rId20"/>
    <sheet name="2026.3月" sheetId="14" r:id="rId22"/>
    <sheet name="2026.2月" sheetId="15" r:id="rId24"/>
    <sheet name="2026.1月" sheetId="16" r:id="rId25"/>
    <sheet name="2025.12月" sheetId="17" r:id="rId26"/>
    <sheet name="2025.11月" sheetId="18" r:id="rId28"/>
    <sheet name="2025.10月" sheetId="19" r:id="rId30"/>
    <sheet name="2025.9月" sheetId="20" r:id="rId32"/>
    <sheet name="2025.8月" sheetId="21" r:id="rId35"/>
    <sheet name="2025.7月" sheetId="22" r:id="rId36"/>
    <sheet name="2025.6月" sheetId="23" r:id="rId37"/>
    <sheet name="Sheet20" sheetId="24" r:id="rId38"/>
  </sheets>
  <calcPr calcMode="auto"/>
  <pivotCaches>
    <pivotCache cacheId="1" r:id="rId9"/>
    <pivotCache cacheId="2" r:id="rId14"/>
    <pivotCache cacheId="3" r:id="rId16"/>
    <pivotCache cacheId="4" r:id="rId19"/>
    <pivotCache cacheId="5" r:id="rId21"/>
    <pivotCache cacheId="6" r:id="rId23"/>
    <pivotCache cacheId="7" r:id="rId27"/>
    <pivotCache cacheId="8" r:id="rId29"/>
    <pivotCache cacheId="9" r:id="rId31"/>
    <pivotCache cacheId="10" r:id="rId33"/>
    <pivotCache cacheId="11" r:id="rId34"/>
    <pivotCache cacheId="12" r:id="rId39"/>
    <pivotCache cacheId="13" r:id="rId4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<sst xmlns="http://schemas.openxmlformats.org/spreadsheetml/2006/main" count="1999" uniqueCount="1999">
  <si>
    <t xml:space="preserve">  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</si>
  <si>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</si>
  <si>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</si>
  <si>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</si>
  <si>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</si>
  <si>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</si>
  <si>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</si>
  <si>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</si>
  <si>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</si>
  <si>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</si>
  <si>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时耗</t>
  </si>
  <si>
    <t xml:space="preserve">2026.10.8</t>
  </si>
  <si>
    <t xml:space="preserve">日总</t>
  </si>
  <si>
    <t xml:space="preserve">2026.10.9</t>
  </si>
  <si>
    <t xml:space="preserve">2026.10.10</t>
  </si>
  <si>
    <t xml:space="preserve">2026.10.11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</si>
  <si>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</si>
  <si>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</si>
  <si>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</si>
  <si>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</si>
  <si>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2026.10.16</t>
  </si>
  <si>
    <t xml:space="preserve">2026.10.17</t>
  </si>
  <si>
    <t xml:space="preserve">2026.10.18</t>
  </si>
  <si>
    <t xml:space="preserve">2026.10.19</t>
  </si>
  <si>
    <t xml:space="preserve">2026.10.20</t>
  </si>
  <si>
    <t xml:space="preserve">2026.10.21</t>
  </si>
  <si>
    <t xml:space="preserve">2026.10.22</t>
  </si>
  <si>
    <t xml:space="preserve">2026.10.23</t>
  </si>
  <si>
    <t xml:space="preserve">2026.10.24</t>
  </si>
  <si>
    <t xml:space="preserve">2026.10.25</t>
  </si>
  <si>
    <t xml:space="preserve">2026.10.26</t>
  </si>
  <si>
    <t xml:space="preserve">2026.10.27</t>
  </si>
  <si>
    <t xml:space="preserve">2026.10.28</t>
  </si>
  <si>
    <t xml:space="preserve">2026.10.29</t>
  </si>
  <si>
    <t xml:space="preserve">2026.10.30</t>
  </si>
  <si>
    <t xml:space="preserve">2026.10.31</t>
  </si>
  <si>
    <t xml:space="preserve">周</t>
  </si>
  <si>
    <t xml:space="preserve">月</t>
  </si>
  <si>
    <t xml:space="preserve">年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</si>
  <si>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</si>
  <si>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</si>
  <si>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</si>
  <si>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</si>
  <si>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</si>
  <si>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</si>
  <si>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</si>
  <si>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</si>
  <si>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</si>
  <si>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</si>
  <si>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</si>
  <si>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时耗</t>
  </si>
  <si>
    <t xml:space="preserve">场控</t>
  </si>
  <si>
    <t xml:space="preserve">场控时长</t>
  </si>
  <si>
    <t xml:space="preserve">备注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</si>
  <si>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</si>
  <si>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</si>
  <si>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</si>
  <si>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</si>
  <si>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</si>
  <si>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</si>
  <si>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</si>
  <si>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</si>
  <si>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</si>
  <si>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</si>
  <si>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</si>
  <si>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</si>
  <si>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</si>
  <si>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直播间观看数</t>
  </si>
  <si>
    <t xml:space="preserve">组件点击数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</si>
  <si>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</si>
  <si>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</si>
  <si>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</si>
  <si>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</si>
  <si>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李凯旋</t>
  </si>
  <si>
    <t xml:space="preserve">00:00-04:00</t>
  </si>
  <si>
    <t xml:space="preserve">卢佳轩双</t>
  </si>
  <si>
    <t xml:space="preserve">靳旭会</t>
  </si>
  <si>
    <t xml:space="preserve">06:00-10:00</t>
  </si>
  <si>
    <t xml:space="preserve">张梦婷</t>
  </si>
  <si>
    <t xml:space="preserve">10:00-14:00</t>
  </si>
  <si>
    <t xml:space="preserve">冉翠颖早</t>
  </si>
  <si>
    <t xml:space="preserve">赵培培</t>
  </si>
  <si>
    <t xml:space="preserve">14:00-18:00</t>
  </si>
  <si>
    <t xml:space="preserve">赵佳茜</t>
  </si>
  <si>
    <t xml:space="preserve">18:00-22:00</t>
  </si>
  <si>
    <t xml:space="preserve">22:00-24:00</t>
  </si>
  <si>
    <t xml:space="preserve">韩红</t>
  </si>
  <si>
    <t xml:space="preserve">日总</t>
  </si>
  <si>
    <t xml:space="preserve">00:00-02:00</t>
  </si>
  <si>
    <t xml:space="preserve">习晓展</t>
  </si>
  <si>
    <t xml:space="preserve">王学伟早</t>
  </si>
  <si>
    <t xml:space="preserve">冉翠颖</t>
  </si>
  <si>
    <t xml:space="preserve">朱明双</t>
  </si>
  <si>
    <t xml:space="preserve">韩红早</t>
  </si>
  <si>
    <t xml:space="preserve">张怡棣双</t>
  </si>
  <si>
    <t xml:space="preserve">06:00-11:00</t>
  </si>
  <si>
    <t xml:space="preserve">11:00-16:00</t>
  </si>
  <si>
    <t xml:space="preserve">安梦姣</t>
  </si>
  <si>
    <t xml:space="preserve">16:00-18:00</t>
  </si>
  <si>
    <t xml:space="preserve">冉翠颖晚</t>
  </si>
  <si>
    <t xml:space="preserve">李哲双</t>
  </si>
  <si>
    <t xml:space="preserve">16:00-20:00</t>
  </si>
  <si>
    <t xml:space="preserve">20:00-22:00</t>
  </si>
  <si>
    <t xml:space="preserve">李哲早</t>
  </si>
  <si>
    <t xml:space="preserve">王学伟双</t>
  </si>
  <si>
    <t xml:space="preserve">韩红晚</t>
  </si>
  <si>
    <t xml:space="preserve">王学伟</t>
  </si>
  <si>
    <t xml:space="preserve">10:00-15:00</t>
  </si>
  <si>
    <t xml:space="preserve">何彩樱早</t>
  </si>
  <si>
    <t xml:space="preserve">15:00-19:00</t>
  </si>
  <si>
    <t xml:space="preserve">19:00-22:00</t>
  </si>
  <si>
    <t xml:space="preserve">直播时段</t>
  </si>
  <si>
    <t xml:space="preserve">直播时长</t>
  </si>
  <si>
    <t xml:space="preserve">保单数量</t>
  </si>
  <si>
    <t xml:space="preserve">投流消耗</t>
  </si>
  <si>
    <t xml:space="preserve">ROI 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</si>
  <si>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</si>
  <si>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</si>
  <si>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</si>
  <si>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</si>
  <si>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</si>
  <si>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</si>
  <si>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</si>
  <si>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</si>
  <si>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</si>
  <si>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时耗</t>
  </si>
  <si>
    <t xml:space="preserve">2026.9.20</t>
  </si>
  <si>
    <t xml:space="preserve">日总</t>
  </si>
  <si>
    <t xml:space="preserve">2026.9.21</t>
  </si>
  <si>
    <t xml:space="preserve">2026.9.22</t>
  </si>
  <si>
    <t xml:space="preserve">2026.9.23</t>
  </si>
  <si>
    <t xml:space="preserve">2026.9.24</t>
  </si>
  <si>
    <t xml:space="preserve">2026.9.25</t>
  </si>
  <si>
    <t xml:space="preserve">2026.9.26</t>
  </si>
  <si>
    <t xml:space="preserve">2026.9.27</t>
  </si>
  <si>
    <t xml:space="preserve">2026.9.28</t>
  </si>
  <si>
    <t xml:space="preserve">2026.9.29</t>
  </si>
  <si>
    <t xml:space="preserve">2026.9.30</t>
  </si>
  <si>
    <t xml:space="preserve">2026.10.1</t>
  </si>
  <si>
    <t xml:space="preserve">2026.10.2</t>
  </si>
  <si>
    <t xml:space="preserve">2026.10.3</t>
  </si>
  <si>
    <t xml:space="preserve">2026.10.4</t>
  </si>
  <si>
    <t xml:space="preserve">2026.10.5</t>
  </si>
  <si>
    <t xml:space="preserve">2026.10.6</t>
  </si>
  <si>
    <t xml:space="preserve">2026.10.7</t>
  </si>
  <si>
    <t xml:space="preserve">2026.10.8</t>
  </si>
  <si>
    <t xml:space="preserve">2026.10.9</t>
  </si>
  <si>
    <t xml:space="preserve">2026.10.10</t>
  </si>
  <si>
    <t xml:space="preserve">2026.10.11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</si>
  <si>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</si>
  <si>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</si>
  <si>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</si>
  <si>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</si>
  <si>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2026.10.16</t>
  </si>
  <si>
    <t xml:space="preserve">2026.10.17</t>
  </si>
  <si>
    <t xml:space="preserve">2026.10.18</t>
  </si>
  <si>
    <t xml:space="preserve">2026.10.19</t>
  </si>
  <si>
    <t xml:space="preserve">2026.10.20</t>
  </si>
  <si>
    <t xml:space="preserve">2026.10.21</t>
  </si>
  <si>
    <t xml:space="preserve">2026.10.22</t>
  </si>
  <si>
    <t xml:space="preserve">2026.10.23</t>
  </si>
  <si>
    <t xml:space="preserve">2026.10.24</t>
  </si>
  <si>
    <t xml:space="preserve">2026.10.25</t>
  </si>
  <si>
    <t xml:space="preserve">2026.10.26</t>
  </si>
  <si>
    <t xml:space="preserve">周</t>
  </si>
  <si>
    <t xml:space="preserve">月</t>
  </si>
  <si>
    <t xml:space="preserve">年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</si>
  <si>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</si>
  <si>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</si>
  <si>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</si>
  <si>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</si>
  <si>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</si>
  <si>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</si>
  <si>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</si>
  <si>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</si>
  <si>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</si>
  <si>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</si>
  <si>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</si>
  <si>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时耗</t>
  </si>
  <si>
    <t xml:space="preserve">场控</t>
  </si>
  <si>
    <t xml:space="preserve">场控时长</t>
  </si>
  <si>
    <t xml:space="preserve">备注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</si>
  <si>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</si>
  <si>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</si>
  <si>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</si>
  <si>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</si>
  <si>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</si>
  <si>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</si>
  <si>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</si>
  <si>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</si>
  <si>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</si>
  <si>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</si>
  <si>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</si>
  <si>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</si>
  <si>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</si>
  <si>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直播间观看数</t>
  </si>
  <si>
    <t xml:space="preserve">组件点击数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</si>
  <si>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</si>
  <si>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</si>
  <si>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</si>
  <si>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</si>
  <si>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习晓展</t>
  </si>
  <si>
    <t xml:space="preserve">06:00-10:00</t>
  </si>
  <si>
    <t xml:space="preserve">韩红早</t>
  </si>
  <si>
    <t xml:space="preserve">靳旭会</t>
  </si>
  <si>
    <t xml:space="preserve">10:00-14:00</t>
  </si>
  <si>
    <t xml:space="preserve">赵佳茜</t>
  </si>
  <si>
    <t xml:space="preserve">14:00-18:00</t>
  </si>
  <si>
    <t xml:space="preserve">张梦婷</t>
  </si>
  <si>
    <t xml:space="preserve">18:00-23:00</t>
  </si>
  <si>
    <t xml:space="preserve">张滋怡双</t>
  </si>
  <si>
    <t xml:space="preserve">李凯旋</t>
  </si>
  <si>
    <t xml:space="preserve">23:00-04:00</t>
  </si>
  <si>
    <t xml:space="preserve">卢佳轩双</t>
  </si>
  <si>
    <t xml:space="preserve">日总</t>
  </si>
  <si>
    <t xml:space="preserve">冉翠颖晚</t>
  </si>
  <si>
    <t xml:space="preserve">朱明双</t>
  </si>
  <si>
    <t xml:space="preserve">王学伟早</t>
  </si>
  <si>
    <t xml:space="preserve">赵培培</t>
  </si>
  <si>
    <t xml:space="preserve">10:00-15:00</t>
  </si>
  <si>
    <t xml:space="preserve">15:00-20:00</t>
  </si>
  <si>
    <t xml:space="preserve">冉翠颖</t>
  </si>
  <si>
    <t xml:space="preserve">20:00-24:00</t>
  </si>
  <si>
    <t xml:space="preserve">00:00-01:00</t>
  </si>
  <si>
    <t xml:space="preserve">01:00-06:00</t>
  </si>
  <si>
    <t xml:space="preserve">06:00-11:00</t>
  </si>
  <si>
    <t xml:space="preserve">韩红</t>
  </si>
  <si>
    <t xml:space="preserve">11:00-16:00</t>
  </si>
  <si>
    <t xml:space="preserve">16:00-20:00</t>
  </si>
  <si>
    <t xml:space="preserve">16:00-21:00</t>
  </si>
  <si>
    <t xml:space="preserve">21:00-24:00</t>
  </si>
  <si>
    <t xml:space="preserve">朱明</t>
  </si>
  <si>
    <t xml:space="preserve">王学伟双</t>
  </si>
  <si>
    <t xml:space="preserve">11:00-15:00</t>
  </si>
  <si>
    <t xml:space="preserve">00:00-04:00</t>
  </si>
  <si>
    <t xml:space="preserve">冉翠颖早</t>
  </si>
  <si>
    <t xml:space="preserve">延播保费</t>
  </si>
  <si>
    <t xml:space="preserve">李哲双</t>
  </si>
  <si>
    <t xml:space="preserve">张怡棣双</t>
  </si>
  <si>
    <t xml:space="preserve">求和项:场控时长</t>
  </si>
  <si>
    <t xml:space="preserve">总计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</si>
  <si>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</si>
  <si>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</si>
  <si>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</si>
  <si>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</si>
  <si>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</si>
  <si>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</si>
  <si>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</si>
  <si>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</si>
  <si>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</si>
  <si>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时耗</t>
  </si>
  <si>
    <t xml:space="preserve">2026.9.8</t>
  </si>
  <si>
    <t xml:space="preserve">日总</t>
  </si>
  <si>
    <t xml:space="preserve">2026.9.9</t>
  </si>
  <si>
    <t xml:space="preserve">2026.9.10</t>
  </si>
  <si>
    <t xml:space="preserve">2026.9.11</t>
  </si>
  <si>
    <t xml:space="preserve">2026.9.12</t>
  </si>
  <si>
    <t xml:space="preserve">2026.9.13</t>
  </si>
  <si>
    <t xml:space="preserve">2026.9.14</t>
  </si>
  <si>
    <t xml:space="preserve">2026.9.15</t>
  </si>
  <si>
    <t xml:space="preserve">2026.9.16</t>
  </si>
  <si>
    <t xml:space="preserve">2026.9.17</t>
  </si>
  <si>
    <t xml:space="preserve">2026.9.18</t>
  </si>
  <si>
    <t xml:space="preserve">2026.9.19</t>
  </si>
  <si>
    <t xml:space="preserve">2026.9.20</t>
  </si>
  <si>
    <t xml:space="preserve">2026.9.21</t>
  </si>
  <si>
    <t xml:space="preserve">2026.9.22</t>
  </si>
  <si>
    <t xml:space="preserve">2026.9.23</t>
  </si>
  <si>
    <t xml:space="preserve">2026.9.24</t>
  </si>
  <si>
    <t xml:space="preserve">2026.9.25</t>
  </si>
  <si>
    <t xml:space="preserve">2026.9.26</t>
  </si>
  <si>
    <t xml:space="preserve">2026.9.27</t>
  </si>
  <si>
    <t xml:space="preserve">2026.9.28</t>
  </si>
  <si>
    <t xml:space="preserve">2026.9.29</t>
  </si>
  <si>
    <t xml:space="preserve">2026.9.30</t>
  </si>
  <si>
    <t xml:space="preserve">2026.10.1</t>
  </si>
  <si>
    <t xml:space="preserve">2026.10.2</t>
  </si>
  <si>
    <t xml:space="preserve">2026.10.3</t>
  </si>
  <si>
    <t xml:space="preserve">2026.10.4</t>
  </si>
  <si>
    <t xml:space="preserve">2026.10.5</t>
  </si>
  <si>
    <t xml:space="preserve">2026.10.6</t>
  </si>
  <si>
    <t xml:space="preserve">2026.10.7</t>
  </si>
  <si>
    <t xml:space="preserve">2026.10.8</t>
  </si>
  <si>
    <t xml:space="preserve">2026.10.9</t>
  </si>
  <si>
    <t xml:space="preserve">2026.10.10</t>
  </si>
  <si>
    <t xml:space="preserve">2026.10.11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</si>
  <si>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</si>
  <si>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</si>
  <si>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</si>
  <si>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</si>
  <si>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2026.10.16</t>
  </si>
  <si>
    <t xml:space="preserve">2026.10.17</t>
  </si>
  <si>
    <t xml:space="preserve">2026.10.18</t>
  </si>
  <si>
    <t xml:space="preserve">2026.10.19</t>
  </si>
  <si>
    <t xml:space="preserve">2026.10.20</t>
  </si>
  <si>
    <t xml:space="preserve">2026.10.21</t>
  </si>
  <si>
    <t xml:space="preserve">2026.10.22</t>
  </si>
  <si>
    <t xml:space="preserve">2026.10.23</t>
  </si>
  <si>
    <t xml:space="preserve">2026.10.24</t>
  </si>
  <si>
    <t xml:space="preserve">2026.10.25</t>
  </si>
  <si>
    <t xml:space="preserve">2026.10.26</t>
  </si>
  <si>
    <t xml:space="preserve">周</t>
  </si>
  <si>
    <t xml:space="preserve">月</t>
  </si>
  <si>
    <t xml:space="preserve">年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</si>
  <si>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</si>
  <si>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</si>
  <si>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</si>
  <si>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</si>
  <si>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</si>
  <si>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</si>
  <si>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</si>
  <si>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</si>
  <si>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</si>
  <si>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时耗</t>
  </si>
  <si>
    <t xml:space="preserve">2026.8.26</t>
  </si>
  <si>
    <t xml:space="preserve">日总</t>
  </si>
  <si>
    <t xml:space="preserve">2026.8.27</t>
  </si>
  <si>
    <t xml:space="preserve">2026.8.28</t>
  </si>
  <si>
    <t xml:space="preserve">2026.8.29</t>
  </si>
  <si>
    <t xml:space="preserve">2026.8.30</t>
  </si>
  <si>
    <t xml:space="preserve">2026.8.31</t>
  </si>
  <si>
    <t xml:space="preserve">2026.9.1</t>
  </si>
  <si>
    <t xml:space="preserve">2026.9.2</t>
  </si>
  <si>
    <t xml:space="preserve">2026.9.3</t>
  </si>
  <si>
    <t xml:space="preserve">2026.9.4</t>
  </si>
  <si>
    <t xml:space="preserve">2026.9.5</t>
  </si>
  <si>
    <t xml:space="preserve">2026.9.6</t>
  </si>
  <si>
    <t xml:space="preserve">2026.9.7</t>
  </si>
  <si>
    <t xml:space="preserve">2026.9.8</t>
  </si>
  <si>
    <t xml:space="preserve">2026.9.9</t>
  </si>
  <si>
    <t xml:space="preserve">2026.9.10</t>
  </si>
  <si>
    <t xml:space="preserve">2026.9.11</t>
  </si>
  <si>
    <t xml:space="preserve">2026.9.12</t>
  </si>
  <si>
    <t xml:space="preserve">2026.9.13</t>
  </si>
  <si>
    <t xml:space="preserve">2026.9.14</t>
  </si>
  <si>
    <t xml:space="preserve">2026.9.15</t>
  </si>
  <si>
    <t xml:space="preserve">2026.9.16</t>
  </si>
  <si>
    <t xml:space="preserve">2026.9.17</t>
  </si>
  <si>
    <t xml:space="preserve">2026.9.18</t>
  </si>
  <si>
    <t xml:space="preserve">2026.9.19</t>
  </si>
  <si>
    <t xml:space="preserve">2026.9.20</t>
  </si>
  <si>
    <t xml:space="preserve">2026.9.21</t>
  </si>
  <si>
    <t xml:space="preserve">2026.9.22</t>
  </si>
  <si>
    <t xml:space="preserve">2026.9.23</t>
  </si>
  <si>
    <t xml:space="preserve">2026.9.24</t>
  </si>
  <si>
    <t xml:space="preserve">2026.9.25</t>
  </si>
  <si>
    <t xml:space="preserve">2026.9.26</t>
  </si>
  <si>
    <t xml:space="preserve">2026.9.27</t>
  </si>
  <si>
    <t xml:space="preserve">2026.9.28</t>
  </si>
  <si>
    <t xml:space="preserve">2026.9.29</t>
  </si>
  <si>
    <t xml:space="preserve">2026.9.30</t>
  </si>
  <si>
    <t xml:space="preserve">2026.10.1</t>
  </si>
  <si>
    <t xml:space="preserve">2026.10.2</t>
  </si>
  <si>
    <t xml:space="preserve">2026.10.3</t>
  </si>
  <si>
    <t xml:space="preserve">2026.10.4</t>
  </si>
  <si>
    <t xml:space="preserve">2026.10.5</t>
  </si>
  <si>
    <t xml:space="preserve">2026.10.6</t>
  </si>
  <si>
    <t xml:space="preserve">2026.10.7</t>
  </si>
  <si>
    <t xml:space="preserve">2026.10.8</t>
  </si>
  <si>
    <t xml:space="preserve">2026.10.9</t>
  </si>
  <si>
    <t xml:space="preserve">2026.10.10</t>
  </si>
  <si>
    <t xml:space="preserve">2026.10.11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</si>
  <si>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</si>
  <si>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</si>
  <si>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</si>
  <si>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</si>
  <si>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2026.10.16</t>
  </si>
  <si>
    <t xml:space="preserve">2026.10.17</t>
  </si>
  <si>
    <t xml:space="preserve">2026.10.18</t>
  </si>
  <si>
    <t xml:space="preserve">2026.10.19</t>
  </si>
  <si>
    <t xml:space="preserve">2026.10.20</t>
  </si>
  <si>
    <t xml:space="preserve">2026.10.21</t>
  </si>
  <si>
    <t xml:space="preserve">2026.10.22</t>
  </si>
  <si>
    <t xml:space="preserve">2026.10.23</t>
  </si>
  <si>
    <t xml:space="preserve">2026.10.24</t>
  </si>
  <si>
    <t xml:space="preserve">2026.10.25</t>
  </si>
  <si>
    <t xml:space="preserve">2026.10.26</t>
  </si>
  <si>
    <t xml:space="preserve">周</t>
  </si>
  <si>
    <t xml:space="preserve">月</t>
  </si>
  <si>
    <t xml:space="preserve">年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</si>
  <si>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</si>
  <si>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</si>
  <si>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</si>
  <si>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</si>
  <si>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</si>
  <si>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</si>
  <si>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</si>
  <si>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</si>
  <si>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</si>
  <si>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2026.1.1</t>
  </si>
  <si>
    <t xml:space="preserve">日总</t>
  </si>
  <si>
    <t xml:space="preserve">2026.1.2</t>
  </si>
  <si>
    <t xml:space="preserve">2026.1.3</t>
  </si>
  <si>
    <t xml:space="preserve">2026.1.4</t>
  </si>
  <si>
    <t xml:space="preserve">2026.1.5</t>
  </si>
  <si>
    <t xml:space="preserve">2026.1.6</t>
  </si>
  <si>
    <t xml:space="preserve">2026.1.7</t>
  </si>
  <si>
    <t xml:space="preserve">2026.1.8</t>
  </si>
  <si>
    <t xml:space="preserve">2026.1.9</t>
  </si>
  <si>
    <t xml:space="preserve">2026.1.10</t>
  </si>
  <si>
    <t xml:space="preserve">2026.1.11</t>
  </si>
  <si>
    <t xml:space="preserve">2026.1.12</t>
  </si>
  <si>
    <t xml:space="preserve">2026.1.13</t>
  </si>
  <si>
    <t xml:space="preserve">2026.1.14</t>
  </si>
  <si>
    <t xml:space="preserve">2026.1.15</t>
  </si>
  <si>
    <t xml:space="preserve">2026.1.16</t>
  </si>
  <si>
    <t xml:space="preserve">2026.1.17</t>
  </si>
  <si>
    <t xml:space="preserve">2026.1.18</t>
  </si>
  <si>
    <t xml:space="preserve">2026.1.19</t>
  </si>
  <si>
    <t xml:space="preserve">2026.1.20</t>
  </si>
  <si>
    <t xml:space="preserve">2026.1.21</t>
  </si>
  <si>
    <t xml:space="preserve">2026.1.22</t>
  </si>
  <si>
    <t xml:space="preserve">2026.1.23</t>
  </si>
  <si>
    <t xml:space="preserve">2026.1.25</t>
  </si>
  <si>
    <t xml:space="preserve">2026.1.26</t>
  </si>
  <si>
    <t xml:space="preserve">2026.1.27</t>
  </si>
  <si>
    <t xml:space="preserve">2026.1.29</t>
  </si>
  <si>
    <t xml:space="preserve">2026.1.30</t>
  </si>
  <si>
    <t xml:space="preserve">2026.1.31</t>
  </si>
  <si>
    <t xml:space="preserve">2026.2.1</t>
  </si>
  <si>
    <t xml:space="preserve">2026.2.2</t>
  </si>
  <si>
    <t xml:space="preserve">2026.2.3</t>
  </si>
  <si>
    <t xml:space="preserve">2026.2.4</t>
  </si>
  <si>
    <t xml:space="preserve">2026.2.5</t>
  </si>
  <si>
    <t xml:space="preserve">2026.2.6</t>
  </si>
  <si>
    <t xml:space="preserve">2026.2.7</t>
  </si>
  <si>
    <t xml:space="preserve">2026.2.8</t>
  </si>
  <si>
    <t xml:space="preserve">2026.2.9</t>
  </si>
  <si>
    <t xml:space="preserve">2026.2.10</t>
  </si>
  <si>
    <t xml:space="preserve">2026.2.11</t>
  </si>
  <si>
    <t xml:space="preserve">2026.2.12</t>
  </si>
  <si>
    <t xml:space="preserve">2026.2.13</t>
  </si>
  <si>
    <t xml:space="preserve">2026.2.14</t>
  </si>
  <si>
    <t xml:space="preserve">2026.2.15</t>
  </si>
  <si>
    <t xml:space="preserve">2026.2.16</t>
  </si>
  <si>
    <t xml:space="preserve">2026.2.17</t>
  </si>
  <si>
    <t xml:space="preserve">2026.2.18</t>
  </si>
  <si>
    <t xml:space="preserve">2026.2.19</t>
  </si>
  <si>
    <t xml:space="preserve">2026.2.20</t>
  </si>
  <si>
    <t xml:space="preserve">2026.2.21</t>
  </si>
  <si>
    <t xml:space="preserve">2026.2.22</t>
  </si>
  <si>
    <t xml:space="preserve">2026.2.23</t>
  </si>
  <si>
    <t xml:space="preserve">2026.2.24</t>
  </si>
  <si>
    <t xml:space="preserve">2026.2.25</t>
  </si>
  <si>
    <t xml:space="preserve">2026.2.26</t>
  </si>
  <si>
    <t xml:space="preserve">2026.2.27</t>
  </si>
  <si>
    <t xml:space="preserve">2026.2.28</t>
  </si>
  <si>
    <t xml:space="preserve">2026.3.1</t>
  </si>
  <si>
    <t xml:space="preserve">2026.3.2</t>
  </si>
  <si>
    <t xml:space="preserve">2026.3.3</t>
  </si>
  <si>
    <t xml:space="preserve">2026.3.4</t>
  </si>
  <si>
    <t xml:space="preserve">2026.3.5</t>
  </si>
  <si>
    <t xml:space="preserve">2026.3.6</t>
  </si>
  <si>
    <t xml:space="preserve">2026.3.7</t>
  </si>
  <si>
    <t xml:space="preserve">2026.3.8</t>
  </si>
  <si>
    <t xml:space="preserve">2026.3.9</t>
  </si>
  <si>
    <t xml:space="preserve">2026.3.10</t>
  </si>
  <si>
    <t xml:space="preserve">2026.3.11</t>
  </si>
  <si>
    <t xml:space="preserve">2026.3.12</t>
  </si>
  <si>
    <t xml:space="preserve">2026.3.13</t>
  </si>
  <si>
    <t xml:space="preserve">2026.3.14</t>
  </si>
  <si>
    <t xml:space="preserve">2026.3.15</t>
  </si>
  <si>
    <t xml:space="preserve">2026.3.16</t>
  </si>
  <si>
    <t xml:space="preserve">2026.3.17</t>
  </si>
  <si>
    <t xml:space="preserve">2026.3.18</t>
  </si>
  <si>
    <t xml:space="preserve">2026.3.19</t>
  </si>
  <si>
    <t xml:space="preserve">2026.3.20</t>
  </si>
  <si>
    <t xml:space="preserve">2026.3.21</t>
  </si>
  <si>
    <t xml:space="preserve">2026.3.22</t>
  </si>
  <si>
    <t xml:space="preserve">2026.3.23</t>
  </si>
  <si>
    <t xml:space="preserve">2026.3.24</t>
  </si>
  <si>
    <t xml:space="preserve">2026.3.25</t>
  </si>
  <si>
    <t xml:space="preserve">2026.3.26</t>
  </si>
  <si>
    <t xml:space="preserve">2026.3.27</t>
  </si>
  <si>
    <t xml:space="preserve">2026.3.28</t>
  </si>
  <si>
    <t xml:space="preserve">2026.3.29</t>
  </si>
  <si>
    <t xml:space="preserve">2026.3.30</t>
  </si>
  <si>
    <t xml:space="preserve">2026.3.31</t>
  </si>
  <si>
    <t xml:space="preserve">2026.4.1</t>
  </si>
  <si>
    <t xml:space="preserve">2026.4.2</t>
  </si>
  <si>
    <t xml:space="preserve">2026.4.3</t>
  </si>
  <si>
    <t xml:space="preserve">2026.4.4</t>
  </si>
  <si>
    <t xml:space="preserve">2026.4.5</t>
  </si>
  <si>
    <t xml:space="preserve">2026.4.6</t>
  </si>
  <si>
    <t xml:space="preserve">2026.4.7</t>
  </si>
  <si>
    <t xml:space="preserve">2026.4.8</t>
  </si>
  <si>
    <t xml:space="preserve">2026.4.9</t>
  </si>
  <si>
    <t xml:space="preserve">2026.4.10</t>
  </si>
  <si>
    <t xml:space="preserve">2026.4.11</t>
  </si>
  <si>
    <t xml:space="preserve">2026.4.12</t>
  </si>
  <si>
    <t xml:space="preserve">2026.4.13</t>
  </si>
  <si>
    <t xml:space="preserve">2026.4.14</t>
  </si>
  <si>
    <t xml:space="preserve">2026.4.15</t>
  </si>
  <si>
    <t xml:space="preserve">2026.4.16</t>
  </si>
  <si>
    <t xml:space="preserve">2026.4.17</t>
  </si>
  <si>
    <t xml:space="preserve">2026.4.18</t>
  </si>
  <si>
    <t xml:space="preserve">2026.4.19</t>
  </si>
  <si>
    <t xml:space="preserve">2026.4.20</t>
  </si>
  <si>
    <t xml:space="preserve">2026.4.21</t>
  </si>
  <si>
    <t xml:space="preserve">2026.4.22</t>
  </si>
  <si>
    <t xml:space="preserve">2026.4.23</t>
  </si>
  <si>
    <t xml:space="preserve">2026.4.24</t>
  </si>
  <si>
    <t xml:space="preserve">2026.4.25</t>
  </si>
  <si>
    <t xml:space="preserve">2026.4.26</t>
  </si>
  <si>
    <t xml:space="preserve">2026.4.27</t>
  </si>
  <si>
    <t xml:space="preserve">2026.4.28</t>
  </si>
  <si>
    <t xml:space="preserve">2026.4.29</t>
  </si>
  <si>
    <t xml:space="preserve">2026.4.30</t>
  </si>
  <si>
    <t xml:space="preserve">2026.5.1</t>
  </si>
  <si>
    <t xml:space="preserve">2026.5.2</t>
  </si>
  <si>
    <t xml:space="preserve">2026.5.3</t>
  </si>
  <si>
    <t xml:space="preserve">2026.5.4</t>
  </si>
  <si>
    <t xml:space="preserve">2026.5.5</t>
  </si>
  <si>
    <t xml:space="preserve">2026.5.6</t>
  </si>
  <si>
    <t xml:space="preserve">2026.5.7</t>
  </si>
  <si>
    <t xml:space="preserve">2026.5.8</t>
  </si>
  <si>
    <t xml:space="preserve">2026.5.9</t>
  </si>
  <si>
    <t xml:space="preserve">2026.5.10</t>
  </si>
  <si>
    <t xml:space="preserve">2026.5.11</t>
  </si>
  <si>
    <t xml:space="preserve">2026.5.12</t>
  </si>
  <si>
    <t xml:space="preserve">2026.5.13</t>
  </si>
  <si>
    <t xml:space="preserve">2026.5.14</t>
  </si>
  <si>
    <t xml:space="preserve">2026.5.15</t>
  </si>
  <si>
    <t xml:space="preserve">2026.5.16</t>
  </si>
  <si>
    <t xml:space="preserve">2026.5.17</t>
  </si>
  <si>
    <t xml:space="preserve">2026.5.18</t>
  </si>
  <si>
    <t xml:space="preserve">2026.5.19</t>
  </si>
  <si>
    <t xml:space="preserve">2026.5.20</t>
  </si>
  <si>
    <t xml:space="preserve">2026.5.21</t>
  </si>
  <si>
    <t xml:space="preserve">2026.5.22</t>
  </si>
  <si>
    <t xml:space="preserve">2026.5.23</t>
  </si>
  <si>
    <t xml:space="preserve">2026.5.24</t>
  </si>
  <si>
    <t xml:space="preserve">2026.5.25</t>
  </si>
  <si>
    <t xml:space="preserve">2026.5.26</t>
  </si>
  <si>
    <t xml:space="preserve">2026.5.27</t>
  </si>
  <si>
    <t xml:space="preserve">2026.5.28</t>
  </si>
  <si>
    <t xml:space="preserve">2026.5.29</t>
  </si>
  <si>
    <t xml:space="preserve">2026.5.30</t>
  </si>
  <si>
    <t xml:space="preserve">2026.5.31</t>
  </si>
  <si>
    <t xml:space="preserve">2026.6.1</t>
  </si>
  <si>
    <t xml:space="preserve">2026.6.2</t>
  </si>
  <si>
    <t xml:space="preserve">2026.6.3</t>
  </si>
  <si>
    <t xml:space="preserve">2026.6.4</t>
  </si>
  <si>
    <t xml:space="preserve">2026.6.5</t>
  </si>
  <si>
    <t xml:space="preserve">2026.6.6</t>
  </si>
  <si>
    <t xml:space="preserve">2026.6.7</t>
  </si>
  <si>
    <t xml:space="preserve">2026.6.8</t>
  </si>
  <si>
    <t xml:space="preserve">2026.6.9</t>
  </si>
  <si>
    <t xml:space="preserve">2026.6.10</t>
  </si>
  <si>
    <t xml:space="preserve">2026.6.11</t>
  </si>
  <si>
    <t xml:space="preserve">2026.6.12</t>
  </si>
  <si>
    <t xml:space="preserve">2026.6.13</t>
  </si>
  <si>
    <t xml:space="preserve">2026.6.14</t>
  </si>
  <si>
    <t xml:space="preserve">2026.6.15</t>
  </si>
  <si>
    <t xml:space="preserve">2026.6.16</t>
  </si>
  <si>
    <t xml:space="preserve">2026.6.17</t>
  </si>
  <si>
    <t xml:space="preserve">2026.6.18</t>
  </si>
  <si>
    <t xml:space="preserve">1月</t>
  </si>
  <si>
    <t xml:space="preserve">2026.6.19</t>
  </si>
  <si>
    <t xml:space="preserve">2月</t>
  </si>
  <si>
    <t xml:space="preserve">2026.6.20</t>
  </si>
  <si>
    <t xml:space="preserve">3月</t>
  </si>
  <si>
    <t xml:space="preserve">2026.6.21</t>
  </si>
  <si>
    <t xml:space="preserve">4月</t>
  </si>
  <si>
    <t xml:space="preserve">2026.6.22</t>
  </si>
  <si>
    <t xml:space="preserve">5月</t>
  </si>
  <si>
    <t xml:space="preserve">2026.6.23</t>
  </si>
  <si>
    <t xml:space="preserve">6月</t>
  </si>
  <si>
    <t xml:space="preserve">2026.6.24</t>
  </si>
  <si>
    <t xml:space="preserve">7月</t>
  </si>
  <si>
    <t xml:space="preserve">2026.6.25</t>
  </si>
  <si>
    <t xml:space="preserve">2026.6.26</t>
  </si>
  <si>
    <t xml:space="preserve">2026.6.27</t>
  </si>
  <si>
    <t xml:space="preserve">2026.6.28</t>
  </si>
  <si>
    <t xml:space="preserve">2026.6.29</t>
  </si>
  <si>
    <t xml:space="preserve">2026.6.30</t>
  </si>
  <si>
    <t xml:space="preserve">2026.7.1</t>
  </si>
  <si>
    <t xml:space="preserve">2026.7.2</t>
  </si>
  <si>
    <t xml:space="preserve">2026.7.3</t>
  </si>
  <si>
    <t xml:space="preserve">2026.7.4</t>
  </si>
  <si>
    <t xml:space="preserve">2026.7.5</t>
  </si>
  <si>
    <t xml:space="preserve">2026.7.6</t>
  </si>
  <si>
    <t xml:space="preserve">2026.7.7</t>
  </si>
  <si>
    <t xml:space="preserve">2026.7.8</t>
  </si>
  <si>
    <t xml:space="preserve">2026.7.9</t>
  </si>
  <si>
    <t xml:space="preserve">2026.7.10</t>
  </si>
  <si>
    <t xml:space="preserve">2026.7.11</t>
  </si>
  <si>
    <t xml:space="preserve">2026.7.12</t>
  </si>
  <si>
    <t xml:space="preserve">2026.7.13</t>
  </si>
  <si>
    <t xml:space="preserve">2026.7.14</t>
  </si>
  <si>
    <t xml:space="preserve">2026.7.15</t>
  </si>
  <si>
    <t xml:space="preserve">2026.7.16</t>
  </si>
  <si>
    <t xml:space="preserve">2026.7.17</t>
  </si>
  <si>
    <t xml:space="preserve">2026.7.18</t>
  </si>
  <si>
    <t xml:space="preserve">2026.7.19</t>
  </si>
  <si>
    <t xml:space="preserve">2026.7.20</t>
  </si>
  <si>
    <t xml:space="preserve">2026.7.21</t>
  </si>
  <si>
    <t xml:space="preserve">2026.7.22</t>
  </si>
  <si>
    <t xml:space="preserve">2026.7.23</t>
  </si>
  <si>
    <t xml:space="preserve">2026.7.24</t>
  </si>
  <si>
    <t xml:space="preserve">2026.7.25</t>
  </si>
  <si>
    <t xml:space="preserve">2026.7.26</t>
  </si>
  <si>
    <t xml:space="preserve">2026.7.27</t>
  </si>
  <si>
    <t xml:space="preserve">2026.7.28</t>
  </si>
  <si>
    <t xml:space="preserve">2026.7.29</t>
  </si>
  <si>
    <t xml:space="preserve">2026.7.30</t>
  </si>
  <si>
    <t xml:space="preserve">2026.7.31</t>
  </si>
  <si>
    <t xml:space="preserve">2026.8.1</t>
  </si>
  <si>
    <t xml:space="preserve">2026.8.2</t>
  </si>
  <si>
    <t xml:space="preserve">2026.8.3</t>
  </si>
  <si>
    <t xml:space="preserve">2026.8.4</t>
  </si>
  <si>
    <t xml:space="preserve">2026.8.5</t>
  </si>
  <si>
    <t xml:space="preserve">2026.8.6</t>
  </si>
  <si>
    <t xml:space="preserve">2026.8.7</t>
  </si>
  <si>
    <t xml:space="preserve">2026.8.8</t>
  </si>
  <si>
    <t xml:space="preserve">2026.8.9</t>
  </si>
  <si>
    <t xml:space="preserve">2026.8.10</t>
  </si>
  <si>
    <t xml:space="preserve">2026.8.11</t>
  </si>
  <si>
    <t xml:space="preserve">2026.8.12</t>
  </si>
  <si>
    <t xml:space="preserve">2026.8.13</t>
  </si>
  <si>
    <t xml:space="preserve">2026.8.14</t>
  </si>
  <si>
    <t xml:space="preserve">2026.8.15</t>
  </si>
  <si>
    <t xml:space="preserve">2026.8.16</t>
  </si>
  <si>
    <t xml:space="preserve">2026.8.17</t>
  </si>
  <si>
    <t xml:space="preserve">2026.8.18</t>
  </si>
  <si>
    <t xml:space="preserve">2026.8.19</t>
  </si>
  <si>
    <t xml:space="preserve">2026.8.20</t>
  </si>
  <si>
    <t xml:space="preserve">2026.8.21</t>
  </si>
  <si>
    <t xml:space="preserve">2026.8.22</t>
  </si>
  <si>
    <t xml:space="preserve">2026.8.23</t>
  </si>
  <si>
    <t xml:space="preserve">2026.8.24</t>
  </si>
  <si>
    <t xml:space="preserve">2026.8.25</t>
  </si>
  <si>
    <t xml:space="preserve">2026.9.20</t>
  </si>
  <si>
    <t xml:space="preserve">2026.9.21</t>
  </si>
  <si>
    <t xml:space="preserve">2026.9.22</t>
  </si>
  <si>
    <t xml:space="preserve">2026.9.23</t>
  </si>
  <si>
    <t xml:space="preserve">2026.9.24</t>
  </si>
  <si>
    <t xml:space="preserve">2026.9.25</t>
  </si>
  <si>
    <t xml:space="preserve">2026.9.26</t>
  </si>
  <si>
    <t xml:space="preserve">2026.9.27</t>
  </si>
  <si>
    <t xml:space="preserve">2026.9.28</t>
  </si>
  <si>
    <t xml:space="preserve">2026.9.29</t>
  </si>
  <si>
    <t xml:space="preserve">2026.9.30</t>
  </si>
  <si>
    <t xml:space="preserve">2026.10.1</t>
  </si>
  <si>
    <t xml:space="preserve">2026.10.2</t>
  </si>
  <si>
    <t xml:space="preserve">2026.10.3</t>
  </si>
  <si>
    <t xml:space="preserve">2026.10.4</t>
  </si>
  <si>
    <t xml:space="preserve">2026.10.5</t>
  </si>
  <si>
    <t xml:space="preserve">2026.10.6</t>
  </si>
  <si>
    <t xml:space="preserve">2026.10.7</t>
  </si>
  <si>
    <t xml:space="preserve">2026.10.8</t>
  </si>
  <si>
    <t xml:space="preserve">2026.10.9</t>
  </si>
  <si>
    <t xml:space="preserve">2026.10.10</t>
  </si>
  <si>
    <t xml:space="preserve">2026.10.11</t>
  </si>
  <si>
    <t xml:space="preserve">2026.10.12</t>
  </si>
  <si>
    <t xml:space="preserve">2026.10.13</t>
  </si>
  <si>
    <t xml:space="preserve">2026.10.14</t>
  </si>
  <si>
    <t xml:space="preserve">2026.10.15</t>
  </si>
  <si>
    <t xml:space="preserve">2026.10.16</t>
  </si>
  <si>
    <t xml:space="preserve">2026.10.17</t>
  </si>
  <si>
    <t xml:space="preserve">2026.10.18</t>
  </si>
  <si>
    <t xml:space="preserve">周</t>
  </si>
  <si>
    <t xml:space="preserve">月</t>
  </si>
  <si>
    <t xml:space="preserve">年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</si>
  <si>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</si>
  <si>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</si>
  <si>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</si>
  <si>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</si>
  <si>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</si>
  <si>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</si>
  <si>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</si>
  <si>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</si>
  <si>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</si>
  <si>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</si>
  <si>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</si>
  <si>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时耗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</si>
  <si>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</si>
  <si>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</si>
  <si>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</si>
  <si>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</si>
  <si>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</si>
  <si>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</si>
  <si>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</si>
  <si>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</si>
  <si>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</si>
  <si>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</si>
  <si>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</si>
  <si>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</si>
  <si>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</si>
  <si>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</si>
  <si>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</si>
  <si>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直播间观看数</t>
  </si>
  <si>
    <t xml:space="preserve">组件点击数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</si>
  <si>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</si>
  <si>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</si>
  <si>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</si>
  <si>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</si>
  <si>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张梦婷</t>
  </si>
  <si>
    <t xml:space="preserve">06:00-11:00</t>
  </si>
  <si>
    <t xml:space="preserve">周舒馨双</t>
  </si>
  <si>
    <t xml:space="preserve">靳旭会</t>
  </si>
  <si>
    <t xml:space="preserve">11:00-16:00</t>
  </si>
  <si>
    <t xml:space="preserve">赵培培</t>
  </si>
  <si>
    <t xml:space="preserve">16:00-21:00</t>
  </si>
  <si>
    <t xml:space="preserve">习晓展</t>
  </si>
  <si>
    <t xml:space="preserve">21:00-02:00</t>
  </si>
  <si>
    <t xml:space="preserve">韩红晚</t>
  </si>
  <si>
    <t xml:space="preserve">日总</t>
  </si>
  <si>
    <t xml:space="preserve">魏迪双</t>
  </si>
  <si>
    <t xml:space="preserve">赵佳茜</t>
  </si>
  <si>
    <t xml:space="preserve">李哲双</t>
  </si>
  <si>
    <t xml:space="preserve">陈思钰早</t>
  </si>
  <si>
    <t xml:space="preserve">张怡棣双</t>
  </si>
  <si>
    <t xml:space="preserve">魏迪早</t>
  </si>
  <si>
    <t xml:space="preserve">冉翠颖早</t>
  </si>
  <si>
    <t xml:space="preserve">李哲早</t>
  </si>
  <si>
    <t xml:space="preserve">冉翠颖晚</t>
  </si>
  <si>
    <t xml:space="preserve">韩红早</t>
  </si>
  <si>
    <t xml:space="preserve">06:00-10:00</t>
  </si>
  <si>
    <t xml:space="preserve">10:00-14:00</t>
  </si>
  <si>
    <t xml:space="preserve">14:00-18:00</t>
  </si>
  <si>
    <t xml:space="preserve">李凯旋</t>
  </si>
  <si>
    <t xml:space="preserve">18:00-22:00</t>
  </si>
  <si>
    <t xml:space="preserve">22:00-02:00</t>
  </si>
  <si>
    <t xml:space="preserve">18:00-23:00</t>
  </si>
  <si>
    <t xml:space="preserve">23:00-03:00</t>
  </si>
  <si>
    <t xml:space="preserve">卢佳轩双</t>
  </si>
  <si>
    <t xml:space="preserve">张滋怡双晚</t>
  </si>
  <si>
    <t xml:space="preserve">23:00-04:00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</si>
  <si>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</si>
  <si>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</si>
  <si>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</si>
  <si>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</si>
  <si>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</si>
  <si>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</si>
  <si>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</si>
  <si>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</si>
  <si>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</si>
  <si>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</si>
  <si>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</si>
  <si>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</si>
  <si>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</si>
  <si>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</si>
  <si>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</si>
  <si>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</si>
  <si>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</si>
  <si>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</si>
  <si>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</si>
  <si>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</si>
  <si>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</si>
  <si>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</si>
  <si>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</si>
  <si>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</si>
  <si>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</si>
  <si>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</si>
  <si>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</si>
  <si>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</si>
  <si>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</si>
  <si>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</si>
  <si>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</si>
  <si>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</si>
  <si>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2026.7.1</t>
  </si>
  <si>
    <t xml:space="preserve">靳旭会</t>
  </si>
  <si>
    <t xml:space="preserve">06:00-10:00</t>
  </si>
  <si>
    <t xml:space="preserve">张怡棣双</t>
  </si>
  <si>
    <t xml:space="preserve">赵培培</t>
  </si>
  <si>
    <t xml:space="preserve">10:00-14:00</t>
  </si>
  <si>
    <t xml:space="preserve">日总</t>
  </si>
  <si>
    <t xml:space="preserve">2026.7.2</t>
  </si>
  <si>
    <t xml:space="preserve">06:00-11:00</t>
  </si>
  <si>
    <t xml:space="preserve">赵佳茜</t>
  </si>
  <si>
    <t xml:space="preserve">11:00-16:00</t>
  </si>
  <si>
    <t xml:space="preserve">习晓展</t>
  </si>
  <si>
    <t xml:space="preserve">16:00-21:00</t>
  </si>
  <si>
    <t xml:space="preserve">张梦婷</t>
  </si>
  <si>
    <t xml:space="preserve">21:00-02:00</t>
  </si>
  <si>
    <t xml:space="preserve">韩红晚</t>
  </si>
  <si>
    <t xml:space="preserve">2026.7.3</t>
  </si>
  <si>
    <t xml:space="preserve">2026.7.4</t>
  </si>
  <si>
    <t xml:space="preserve">2026.7.5</t>
  </si>
  <si>
    <t xml:space="preserve">2026.7.6</t>
  </si>
  <si>
    <t xml:space="preserve">张怡棣早</t>
  </si>
  <si>
    <t xml:space="preserve">2026.7.7</t>
  </si>
  <si>
    <t xml:space="preserve">高琎梅双</t>
  </si>
  <si>
    <t xml:space="preserve">2026.7.8</t>
  </si>
  <si>
    <t xml:space="preserve">2026.7.9</t>
  </si>
  <si>
    <t xml:space="preserve">2026.7.10</t>
  </si>
  <si>
    <t xml:space="preserve">2026.7.11</t>
  </si>
  <si>
    <t xml:space="preserve">王学伟双</t>
  </si>
  <si>
    <t xml:space="preserve">2026.7.12</t>
  </si>
  <si>
    <t xml:space="preserve">2026.7.13</t>
  </si>
  <si>
    <t xml:space="preserve">2026.7.14</t>
  </si>
  <si>
    <t xml:space="preserve">2026.7.15</t>
  </si>
  <si>
    <t xml:space="preserve">2026.7.16</t>
  </si>
  <si>
    <t xml:space="preserve">2026.7.17</t>
  </si>
  <si>
    <t xml:space="preserve">2026.7.18</t>
  </si>
  <si>
    <t xml:space="preserve">2026.7.19</t>
  </si>
  <si>
    <t xml:space="preserve">2026.7.20</t>
  </si>
  <si>
    <t xml:space="preserve">张滋怡双</t>
  </si>
  <si>
    <t xml:space="preserve">2026.7.21</t>
  </si>
  <si>
    <t xml:space="preserve">魏迪双</t>
  </si>
  <si>
    <t xml:space="preserve">2026.7.22</t>
  </si>
  <si>
    <t xml:space="preserve">2026.7.23</t>
  </si>
  <si>
    <t xml:space="preserve">魏迪早</t>
  </si>
  <si>
    <t xml:space="preserve">2026.7.24</t>
  </si>
  <si>
    <t xml:space="preserve">2026.7.25</t>
  </si>
  <si>
    <t xml:space="preserve">2026.7.26</t>
  </si>
  <si>
    <t xml:space="preserve">2026.7.27</t>
  </si>
  <si>
    <t xml:space="preserve">2026.7.28</t>
  </si>
  <si>
    <t xml:space="preserve">2026.7.29</t>
  </si>
  <si>
    <t xml:space="preserve">卢佳轩双</t>
  </si>
  <si>
    <t xml:space="preserve">周舒馨</t>
  </si>
  <si>
    <t xml:space="preserve">2026.7.30</t>
  </si>
  <si>
    <t xml:space="preserve">周舒馨早</t>
  </si>
  <si>
    <t xml:space="preserve">2026.7.31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</si>
  <si>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</si>
  <si>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</si>
  <si>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</si>
  <si>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</si>
  <si>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</si>
  <si>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</si>
  <si>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</si>
  <si>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</si>
  <si>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</si>
  <si>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</si>
  <si>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</si>
  <si>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</si>
  <si>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</si>
  <si>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</si>
  <si>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</si>
  <si>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</si>
  <si>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</si>
  <si>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</si>
  <si>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</si>
  <si>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</si>
  <si>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</si>
  <si>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</si>
  <si>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</si>
  <si>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</si>
  <si>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</si>
  <si>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</si>
  <si>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</si>
  <si>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</si>
  <si>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</si>
  <si>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</si>
  <si>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</si>
  <si>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</si>
  <si>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2026.6.1</t>
  </si>
  <si>
    <t xml:space="preserve">赵培培</t>
  </si>
  <si>
    <t xml:space="preserve">06:00-10:00</t>
  </si>
  <si>
    <t xml:space="preserve">张怡棣双</t>
  </si>
  <si>
    <t xml:space="preserve">张梦婷</t>
  </si>
  <si>
    <t xml:space="preserve">10:00-14:00</t>
  </si>
  <si>
    <t xml:space="preserve">靳旭会</t>
  </si>
  <si>
    <t xml:space="preserve">14:00-18:00</t>
  </si>
  <si>
    <t xml:space="preserve">习晓展</t>
  </si>
  <si>
    <t xml:space="preserve">18:00-22:00</t>
  </si>
  <si>
    <t xml:space="preserve">熊福露</t>
  </si>
  <si>
    <t xml:space="preserve">22:00-02:00</t>
  </si>
  <si>
    <t xml:space="preserve">王学伟双</t>
  </si>
  <si>
    <t xml:space="preserve">日总</t>
  </si>
  <si>
    <t xml:space="preserve">2026.6.2</t>
  </si>
  <si>
    <t xml:space="preserve">李哲双</t>
  </si>
  <si>
    <t xml:space="preserve">赵佳茜</t>
  </si>
  <si>
    <t xml:space="preserve">2026.6.3</t>
  </si>
  <si>
    <t xml:space="preserve">07:00-10:00</t>
  </si>
  <si>
    <t xml:space="preserve">2026.6.4</t>
  </si>
  <si>
    <t xml:space="preserve">05:00-09:00</t>
  </si>
  <si>
    <t xml:space="preserve">张怡棣</t>
  </si>
  <si>
    <t xml:space="preserve">09:00-14:00</t>
  </si>
  <si>
    <t xml:space="preserve">2026.6.5</t>
  </si>
  <si>
    <t xml:space="preserve">05:00-10:00</t>
  </si>
  <si>
    <t xml:space="preserve">李哲</t>
  </si>
  <si>
    <t xml:space="preserve">2026.6.6</t>
  </si>
  <si>
    <t xml:space="preserve">2026.6.7</t>
  </si>
  <si>
    <t xml:space="preserve">2026.6.8</t>
  </si>
  <si>
    <t xml:space="preserve">2026.6.9</t>
  </si>
  <si>
    <t xml:space="preserve">2026.6.10</t>
  </si>
  <si>
    <t xml:space="preserve">2026.6.11</t>
  </si>
  <si>
    <t xml:space="preserve">06:00-11:00</t>
  </si>
  <si>
    <t xml:space="preserve">11:00-16:00</t>
  </si>
  <si>
    <t xml:space="preserve">16:00-21:00</t>
  </si>
  <si>
    <t xml:space="preserve">21:00-02:00</t>
  </si>
  <si>
    <t xml:space="preserve">2026.6.12</t>
  </si>
  <si>
    <t xml:space="preserve">2026.6.13</t>
  </si>
  <si>
    <t xml:space="preserve">2026.6.14</t>
  </si>
  <si>
    <t xml:space="preserve">2026.6.15</t>
  </si>
  <si>
    <t xml:space="preserve">2026.6.16</t>
  </si>
  <si>
    <t xml:space="preserve">2026.6.17</t>
  </si>
  <si>
    <t xml:space="preserve">2026.6.18</t>
  </si>
  <si>
    <t xml:space="preserve">2026.6.19</t>
  </si>
  <si>
    <t xml:space="preserve">张滋怡双</t>
  </si>
  <si>
    <t xml:space="preserve">2026.6.20</t>
  </si>
  <si>
    <t xml:space="preserve">2026.6.21</t>
  </si>
  <si>
    <t xml:space="preserve">2026.6.22</t>
  </si>
  <si>
    <t xml:space="preserve">2026.6.23</t>
  </si>
  <si>
    <t xml:space="preserve">王学伟早</t>
  </si>
  <si>
    <t xml:space="preserve">韩红晚</t>
  </si>
  <si>
    <t xml:space="preserve">2026.6.24</t>
  </si>
  <si>
    <t xml:space="preserve">2026.6.25</t>
  </si>
  <si>
    <t xml:space="preserve">2026.6.26</t>
  </si>
  <si>
    <t xml:space="preserve">2026.6.27</t>
  </si>
  <si>
    <t xml:space="preserve">2026.6.28</t>
  </si>
  <si>
    <t xml:space="preserve">2026.6.29</t>
  </si>
  <si>
    <t xml:space="preserve">2026.6.30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</si>
  <si>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</si>
  <si>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</si>
  <si>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</si>
  <si>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</si>
  <si>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</si>
  <si>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</si>
  <si>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</si>
  <si>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</si>
  <si>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</si>
  <si>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</si>
  <si>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</si>
  <si>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</si>
  <si>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</si>
  <si>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</si>
  <si>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</si>
  <si>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</si>
  <si>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</si>
  <si>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</si>
  <si>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</si>
  <si>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</si>
  <si>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</si>
  <si>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</si>
  <si>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</si>
  <si>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</si>
  <si>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</si>
  <si>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</si>
  <si>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</si>
  <si>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</si>
  <si>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</si>
  <si>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</si>
  <si>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</si>
  <si>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</si>
  <si>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2026.5.1</t>
  </si>
  <si>
    <t xml:space="preserve">赵培培</t>
  </si>
  <si>
    <t xml:space="preserve">06:00-11:00</t>
  </si>
  <si>
    <t xml:space="preserve">王学伟双</t>
  </si>
  <si>
    <t xml:space="preserve">孙玉冰</t>
  </si>
  <si>
    <t xml:space="preserve">11:00-14:00</t>
  </si>
  <si>
    <t xml:space="preserve">张梦婷</t>
  </si>
  <si>
    <t xml:space="preserve">14:00-19:00</t>
  </si>
  <si>
    <t xml:space="preserve">习晓展</t>
  </si>
  <si>
    <t xml:space="preserve">19:00-21:00</t>
  </si>
  <si>
    <t xml:space="preserve">靳旭会</t>
  </si>
  <si>
    <t xml:space="preserve">21:00-2:00</t>
  </si>
  <si>
    <t xml:space="preserve">张怡棣双</t>
  </si>
  <si>
    <t xml:space="preserve">日总</t>
  </si>
  <si>
    <t xml:space="preserve">2026.5.2</t>
  </si>
  <si>
    <t xml:space="preserve">06:00-10:00</t>
  </si>
  <si>
    <t xml:space="preserve">10:00-14:00</t>
  </si>
  <si>
    <t xml:space="preserve">14:00-18:00</t>
  </si>
  <si>
    <t xml:space="preserve">赵佳茜</t>
  </si>
  <si>
    <t xml:space="preserve">18:00-22:00</t>
  </si>
  <si>
    <t xml:space="preserve">熊福露</t>
  </si>
  <si>
    <t xml:space="preserve">22:00-02:00</t>
  </si>
  <si>
    <t xml:space="preserve">2026.5.3</t>
  </si>
  <si>
    <t xml:space="preserve">11:00-15:00</t>
  </si>
  <si>
    <t xml:space="preserve">15:00-20:00</t>
  </si>
  <si>
    <t xml:space="preserve">20:00-23:00</t>
  </si>
  <si>
    <t xml:space="preserve">23:00-02:00</t>
  </si>
  <si>
    <t xml:space="preserve">2026.5.4</t>
  </si>
  <si>
    <t xml:space="preserve">2026.5.5</t>
  </si>
  <si>
    <t xml:space="preserve">19:00-22:00</t>
  </si>
  <si>
    <t xml:space="preserve">2026.5.6</t>
  </si>
  <si>
    <t xml:space="preserve">李哲双</t>
  </si>
  <si>
    <t xml:space="preserve">2026.5.7</t>
  </si>
  <si>
    <t xml:space="preserve">2026.5.8</t>
  </si>
  <si>
    <t xml:space="preserve">王学伟早</t>
  </si>
  <si>
    <t xml:space="preserve">2026.5.9</t>
  </si>
  <si>
    <t xml:space="preserve">朱明双</t>
  </si>
  <si>
    <t xml:space="preserve">卢家轩双</t>
  </si>
  <si>
    <t xml:space="preserve">2026.5.10</t>
  </si>
  <si>
    <t xml:space="preserve">18:00-21:00</t>
  </si>
  <si>
    <t xml:space="preserve">2026.5.11</t>
  </si>
  <si>
    <t xml:space="preserve">2026.5.12</t>
  </si>
  <si>
    <t xml:space="preserve">15:00-19:00</t>
  </si>
  <si>
    <t xml:space="preserve">19:00-23:00</t>
  </si>
  <si>
    <t xml:space="preserve">2026.5.13</t>
  </si>
  <si>
    <t xml:space="preserve">2026.5.14</t>
  </si>
  <si>
    <t xml:space="preserve">2026.5.15</t>
  </si>
  <si>
    <t xml:space="preserve">2026.5.16</t>
  </si>
  <si>
    <t xml:space="preserve">2026.5.17</t>
  </si>
  <si>
    <t xml:space="preserve">王学伟晚</t>
  </si>
  <si>
    <t xml:space="preserve">2026.5.18</t>
  </si>
  <si>
    <t xml:space="preserve">2026.5.19</t>
  </si>
  <si>
    <t xml:space="preserve">2026.5.20</t>
  </si>
  <si>
    <t xml:space="preserve">2026.5.21</t>
  </si>
  <si>
    <t xml:space="preserve">2026.5.22</t>
  </si>
  <si>
    <t xml:space="preserve">董柯言双</t>
  </si>
  <si>
    <t xml:space="preserve">董柯言</t>
  </si>
  <si>
    <t xml:space="preserve">2026.5.23</t>
  </si>
  <si>
    <t xml:space="preserve">2026.5.24</t>
  </si>
  <si>
    <t xml:space="preserve">2026.5.25</t>
  </si>
  <si>
    <t xml:space="preserve">10:00-15:00</t>
  </si>
  <si>
    <t xml:space="preserve">2026.5.26</t>
  </si>
  <si>
    <t xml:space="preserve">2026.5.27</t>
  </si>
  <si>
    <t xml:space="preserve">魏迪双</t>
  </si>
  <si>
    <t xml:space="preserve">2026.5.28</t>
  </si>
  <si>
    <t xml:space="preserve">2026.5.29</t>
  </si>
  <si>
    <t xml:space="preserve">2026.5.30</t>
  </si>
  <si>
    <t xml:space="preserve">2026.5.31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</si>
  <si>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</si>
  <si>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</si>
  <si>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</si>
  <si>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</si>
  <si>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</si>
  <si>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</si>
  <si>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</si>
  <si>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</si>
  <si>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</si>
  <si>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</si>
  <si>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</si>
  <si>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</si>
  <si>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</si>
  <si>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</si>
  <si>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</si>
  <si>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</si>
  <si>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</si>
  <si>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</si>
  <si>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</si>
  <si>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</si>
  <si>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</si>
  <si>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</si>
  <si>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</si>
  <si>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</si>
  <si>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</si>
  <si>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</si>
  <si>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</si>
  <si>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</si>
  <si>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</si>
  <si>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</si>
  <si>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</si>
  <si>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</si>
  <si>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2026.4.1</t>
  </si>
  <si>
    <t xml:space="preserve">靳旭会</t>
  </si>
  <si>
    <t xml:space="preserve">06:00-11:00</t>
  </si>
  <si>
    <t xml:space="preserve">王学伟双</t>
  </si>
  <si>
    <t xml:space="preserve">赵培培</t>
  </si>
  <si>
    <t xml:space="preserve">11:00-16:00</t>
  </si>
  <si>
    <t xml:space="preserve">米静</t>
  </si>
  <si>
    <t xml:space="preserve">16:00-19:00</t>
  </si>
  <si>
    <t xml:space="preserve">张梦婷</t>
  </si>
  <si>
    <t xml:space="preserve">19:00-24:00</t>
  </si>
  <si>
    <t xml:space="preserve">张怡棣双</t>
  </si>
  <si>
    <t xml:space="preserve">日总</t>
  </si>
  <si>
    <t xml:space="preserve">2026.4.2</t>
  </si>
  <si>
    <t xml:space="preserve">高琎梅早</t>
  </si>
  <si>
    <t xml:space="preserve">孙玉冰</t>
  </si>
  <si>
    <t xml:space="preserve">2026.4.3</t>
  </si>
  <si>
    <t xml:space="preserve">11:00-14:00</t>
  </si>
  <si>
    <t xml:space="preserve">14:00-18:00</t>
  </si>
  <si>
    <t xml:space="preserve">赵佳茜</t>
  </si>
  <si>
    <t xml:space="preserve">18:00-22:00</t>
  </si>
  <si>
    <t xml:space="preserve">22:00-02:00</t>
  </si>
  <si>
    <t xml:space="preserve">2026.4.4</t>
  </si>
  <si>
    <t xml:space="preserve">14:00-19:00</t>
  </si>
  <si>
    <t xml:space="preserve">19:00-22:00</t>
  </si>
  <si>
    <t xml:space="preserve">2026.4.5</t>
  </si>
  <si>
    <t xml:space="preserve">2026.4.6</t>
  </si>
  <si>
    <t xml:space="preserve">06:00-10:00</t>
  </si>
  <si>
    <t xml:space="preserve">10:00-14:00</t>
  </si>
  <si>
    <t xml:space="preserve">14:00-17:00</t>
  </si>
  <si>
    <t xml:space="preserve">17:00-22:00</t>
  </si>
  <si>
    <t xml:space="preserve">2026.4.7</t>
  </si>
  <si>
    <t xml:space="preserve">2026.4.8</t>
  </si>
  <si>
    <t xml:space="preserve">10:00-15:00</t>
  </si>
  <si>
    <t xml:space="preserve">15:00-18:00</t>
  </si>
  <si>
    <t xml:space="preserve">2026.4.9</t>
  </si>
  <si>
    <t xml:space="preserve">2026.4.10</t>
  </si>
  <si>
    <t xml:space="preserve">2026.4.11</t>
  </si>
  <si>
    <t xml:space="preserve">2026.4.12</t>
  </si>
  <si>
    <t xml:space="preserve">2026.4.13</t>
  </si>
  <si>
    <t xml:space="preserve">王学伟晚</t>
  </si>
  <si>
    <t xml:space="preserve">2026.4.14</t>
  </si>
  <si>
    <t xml:space="preserve">18:00-23:00</t>
  </si>
  <si>
    <t xml:space="preserve">23:00-02:00</t>
  </si>
  <si>
    <t xml:space="preserve">2026.4.15</t>
  </si>
  <si>
    <t xml:space="preserve">17:00-21:00</t>
  </si>
  <si>
    <t xml:space="preserve">21:00-02:00</t>
  </si>
  <si>
    <t xml:space="preserve">2026.4.16</t>
  </si>
  <si>
    <t xml:space="preserve">张滋怡晚</t>
  </si>
  <si>
    <t xml:space="preserve">2026.4.17</t>
  </si>
  <si>
    <t xml:space="preserve">樊书燕</t>
  </si>
  <si>
    <t xml:space="preserve">14:00-16:00</t>
  </si>
  <si>
    <t xml:space="preserve">16:00-21:00</t>
  </si>
  <si>
    <t xml:space="preserve">2026.4.18</t>
  </si>
  <si>
    <t xml:space="preserve">李哲双</t>
  </si>
  <si>
    <t xml:space="preserve">2026.4.19</t>
  </si>
  <si>
    <t xml:space="preserve">10:00-13:00</t>
  </si>
  <si>
    <t xml:space="preserve">13:00-17:00</t>
  </si>
  <si>
    <t xml:space="preserve">2026.4.20</t>
  </si>
  <si>
    <t xml:space="preserve">2026.4.21</t>
  </si>
  <si>
    <t xml:space="preserve">2026.4.22</t>
  </si>
  <si>
    <t xml:space="preserve">2026.4.23</t>
  </si>
  <si>
    <t xml:space="preserve">张怡棣早</t>
  </si>
  <si>
    <t xml:space="preserve">2026.4.24</t>
  </si>
  <si>
    <t xml:space="preserve">李哲早</t>
  </si>
  <si>
    <t xml:space="preserve">2026.4.25</t>
  </si>
  <si>
    <t xml:space="preserve">习晓展</t>
  </si>
  <si>
    <t xml:space="preserve">15:00-17:00</t>
  </si>
  <si>
    <t xml:space="preserve">2026.4.26</t>
  </si>
  <si>
    <t xml:space="preserve">2026.4.27</t>
  </si>
  <si>
    <t xml:space="preserve">11:00-13:00</t>
  </si>
  <si>
    <t xml:space="preserve">2026.4.28</t>
  </si>
  <si>
    <t xml:space="preserve">16:00-18:00</t>
  </si>
  <si>
    <t xml:space="preserve">2026.4.29</t>
  </si>
  <si>
    <t xml:space="preserve">08:00-10:00</t>
  </si>
  <si>
    <t xml:space="preserve">2026.4.30</t>
  </si>
  <si>
    <t xml:space="preserve">16:00-20:00</t>
  </si>
  <si>
    <t xml:space="preserve">张滋怡双</t>
  </si>
  <si>
    <t xml:space="preserve">张怡棣晚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</si>
  <si>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</si>
  <si>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</si>
  <si>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</si>
  <si>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</si>
  <si>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</si>
  <si>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</si>
  <si>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</si>
  <si>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</si>
  <si>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</si>
  <si>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</si>
  <si>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</si>
  <si>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</si>
  <si>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</si>
  <si>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</si>
  <si>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</si>
  <si>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</si>
  <si>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</si>
  <si>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</si>
  <si>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</si>
  <si>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</si>
  <si>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</si>
  <si>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</si>
  <si>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</si>
  <si>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</si>
  <si>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</si>
  <si>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</si>
  <si>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</si>
  <si>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</si>
  <si>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</si>
  <si>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</si>
  <si>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</si>
  <si>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</si>
  <si>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2026.3.1</t>
  </si>
  <si>
    <t xml:space="preserve">赵培培</t>
  </si>
  <si>
    <t xml:space="preserve">12:00-17:00</t>
  </si>
  <si>
    <t xml:space="preserve">张怡棣自营双</t>
  </si>
  <si>
    <t xml:space="preserve">王雪</t>
  </si>
  <si>
    <t xml:space="preserve">17:00-20:00</t>
  </si>
  <si>
    <t xml:space="preserve">张怡棣双</t>
  </si>
  <si>
    <t xml:space="preserve">自营</t>
  </si>
  <si>
    <t xml:space="preserve">赵佳茜</t>
  </si>
  <si>
    <t xml:space="preserve">11:00-12:00、20:00-24:00</t>
  </si>
  <si>
    <t xml:space="preserve">王学伟双</t>
  </si>
  <si>
    <t xml:space="preserve">日总</t>
  </si>
  <si>
    <t xml:space="preserve">2026.3.2</t>
  </si>
  <si>
    <t xml:space="preserve">靳旭会</t>
  </si>
  <si>
    <t xml:space="preserve">11:00-16:00</t>
  </si>
  <si>
    <t xml:space="preserve">朱明自营双</t>
  </si>
  <si>
    <t xml:space="preserve">16:00-20:00</t>
  </si>
  <si>
    <t xml:space="preserve">高琎梅自营+总部双</t>
  </si>
  <si>
    <t xml:space="preserve">20:00-23:00</t>
  </si>
  <si>
    <t xml:space="preserve">2026.3.3</t>
  </si>
  <si>
    <t xml:space="preserve">2026.3.4</t>
  </si>
  <si>
    <t xml:space="preserve">16:00-19:00</t>
  </si>
  <si>
    <t xml:space="preserve">19:00-24:00</t>
  </si>
  <si>
    <t xml:space="preserve">2026.3.5</t>
  </si>
  <si>
    <t xml:space="preserve">20:00-24:00</t>
  </si>
  <si>
    <t xml:space="preserve">2026.3.6</t>
  </si>
  <si>
    <t xml:space="preserve">2026.3.7</t>
  </si>
  <si>
    <t xml:space="preserve">2026.3.8</t>
  </si>
  <si>
    <t xml:space="preserve">11:00-14:00</t>
  </si>
  <si>
    <t xml:space="preserve">14:00-19:00</t>
  </si>
  <si>
    <t xml:space="preserve">2026.3.9</t>
  </si>
  <si>
    <t xml:space="preserve">11:00-15:00</t>
  </si>
  <si>
    <t xml:space="preserve">15:00-20:00</t>
  </si>
  <si>
    <t xml:space="preserve">2026.3.10</t>
  </si>
  <si>
    <t xml:space="preserve">2026.3.11</t>
  </si>
  <si>
    <t xml:space="preserve">2026.3.12</t>
  </si>
  <si>
    <t xml:space="preserve">闫雪儒自营双</t>
  </si>
  <si>
    <t xml:space="preserve">15:00-19:00</t>
  </si>
  <si>
    <t xml:space="preserve">闫雪儒双</t>
  </si>
  <si>
    <t xml:space="preserve">2026.3.13</t>
  </si>
  <si>
    <t xml:space="preserve">2026.3.14</t>
  </si>
  <si>
    <t xml:space="preserve">2026.3.15</t>
  </si>
  <si>
    <t xml:space="preserve">2026.3.16</t>
  </si>
  <si>
    <t xml:space="preserve">王学伟自营双</t>
  </si>
  <si>
    <t xml:space="preserve">张怡棣</t>
  </si>
  <si>
    <t xml:space="preserve">2026.3.17</t>
  </si>
  <si>
    <t xml:space="preserve">9:00-13:00</t>
  </si>
  <si>
    <t xml:space="preserve">13:00-17:00</t>
  </si>
  <si>
    <t xml:space="preserve">张梦婷</t>
  </si>
  <si>
    <t xml:space="preserve">17:00-19:00</t>
  </si>
  <si>
    <t xml:space="preserve">2026.3.18</t>
  </si>
  <si>
    <t xml:space="preserve">9:00-14:00</t>
  </si>
  <si>
    <t xml:space="preserve">14:00-16:00</t>
  </si>
  <si>
    <t xml:space="preserve">2026.3.19</t>
  </si>
  <si>
    <t xml:space="preserve">杨得草双</t>
  </si>
  <si>
    <t xml:space="preserve">卢佳轩双</t>
  </si>
  <si>
    <t xml:space="preserve">2026.3.20</t>
  </si>
  <si>
    <t xml:space="preserve">2026.3.21</t>
  </si>
  <si>
    <t xml:space="preserve">2026.3.22</t>
  </si>
  <si>
    <t xml:space="preserve">13:00-16:00</t>
  </si>
  <si>
    <t xml:space="preserve">2026.3.23</t>
  </si>
  <si>
    <t xml:space="preserve">2026.3.24</t>
  </si>
  <si>
    <t xml:space="preserve">2026.3.25</t>
  </si>
  <si>
    <t xml:space="preserve">2026.3.26</t>
  </si>
  <si>
    <t xml:space="preserve">2026.3.27</t>
  </si>
  <si>
    <t xml:space="preserve">2026.3.28</t>
  </si>
  <si>
    <t xml:space="preserve">14:00-18:00</t>
  </si>
  <si>
    <t xml:space="preserve">孙玉冰</t>
  </si>
  <si>
    <t xml:space="preserve">18:00-20:00</t>
  </si>
  <si>
    <t xml:space="preserve">2026.3.29</t>
  </si>
  <si>
    <t xml:space="preserve">13:00-18:00</t>
  </si>
  <si>
    <t xml:space="preserve">米静</t>
  </si>
  <si>
    <t xml:space="preserve">2026.3.30</t>
  </si>
  <si>
    <t xml:space="preserve">2026.3.31</t>
  </si>
  <si>
    <t xml:space="preserve">张滋怡双</t>
  </si>
  <si>
    <t xml:space="preserve">何彩樱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</si>
  <si>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</si>
  <si>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</si>
  <si>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</si>
  <si>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</si>
  <si>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</si>
  <si>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</si>
  <si>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</si>
  <si>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</si>
  <si>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</si>
  <si>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</si>
  <si>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</si>
  <si>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</si>
  <si>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</si>
  <si>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</si>
  <si>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</si>
  <si>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</si>
  <si>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</si>
  <si>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</si>
  <si>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</si>
  <si>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</si>
  <si>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</si>
  <si>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</si>
  <si>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</si>
  <si>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</si>
  <si>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</si>
  <si>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</si>
  <si>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</si>
  <si>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</si>
  <si>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</si>
  <si>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</si>
  <si>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</si>
  <si>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</si>
  <si>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2026.2.1</t>
  </si>
  <si>
    <t xml:space="preserve">靳旭会</t>
  </si>
  <si>
    <t xml:space="preserve">16:00-20:00</t>
  </si>
  <si>
    <t xml:space="preserve">赵佳茜</t>
  </si>
  <si>
    <t xml:space="preserve">20:00-24:00</t>
  </si>
  <si>
    <t xml:space="preserve">王学伟双</t>
  </si>
  <si>
    <t xml:space="preserve">日总</t>
  </si>
  <si>
    <t xml:space="preserve">2026.2.2</t>
  </si>
  <si>
    <t xml:space="preserve">16:00-19:00</t>
  </si>
  <si>
    <t xml:space="preserve">19:00-24:00</t>
  </si>
  <si>
    <t xml:space="preserve">2026.2.3</t>
  </si>
  <si>
    <t xml:space="preserve">2026.2.4</t>
  </si>
  <si>
    <t xml:space="preserve">2026.2.5</t>
  </si>
  <si>
    <t xml:space="preserve">王学伟</t>
  </si>
  <si>
    <t xml:space="preserve">2026.2.6</t>
  </si>
  <si>
    <t xml:space="preserve">2026.2.7</t>
  </si>
  <si>
    <t xml:space="preserve">2026.2.8</t>
  </si>
  <si>
    <t xml:space="preserve">2026.2.9</t>
  </si>
  <si>
    <t xml:space="preserve">2026.2.10</t>
  </si>
  <si>
    <t xml:space="preserve">2026.2.11</t>
  </si>
  <si>
    <t xml:space="preserve">2026.2.12</t>
  </si>
  <si>
    <t xml:space="preserve">2026.2.13</t>
  </si>
  <si>
    <t xml:space="preserve">16:00-21:00</t>
  </si>
  <si>
    <t xml:space="preserve">赵培培</t>
  </si>
  <si>
    <t xml:space="preserve">21:00-24:00</t>
  </si>
  <si>
    <t xml:space="preserve">闫雪儒双</t>
  </si>
  <si>
    <t xml:space="preserve">2026.2.14</t>
  </si>
  <si>
    <t xml:space="preserve">闫小姗双</t>
  </si>
  <si>
    <t xml:space="preserve">2026.2.15</t>
  </si>
  <si>
    <t xml:space="preserve">21:00-01:00</t>
  </si>
  <si>
    <t xml:space="preserve">2026.2.16</t>
  </si>
  <si>
    <t xml:space="preserve">12:00-17:00</t>
  </si>
  <si>
    <t xml:space="preserve">王雪</t>
  </si>
  <si>
    <t xml:space="preserve">17:00-19:00</t>
  </si>
  <si>
    <t xml:space="preserve">19:00-23:00</t>
  </si>
  <si>
    <t xml:space="preserve">卢佳轩</t>
  </si>
  <si>
    <t xml:space="preserve">2026.2.17</t>
  </si>
  <si>
    <t xml:space="preserve">13:00-18:00</t>
  </si>
  <si>
    <t xml:space="preserve">18:00-20:00</t>
  </si>
  <si>
    <t xml:space="preserve">高琎梅三</t>
  </si>
  <si>
    <t xml:space="preserve">勿改</t>
  </si>
  <si>
    <t xml:space="preserve">2026.2.18</t>
  </si>
  <si>
    <t xml:space="preserve">2026.2.19</t>
  </si>
  <si>
    <t xml:space="preserve">高琎梅双</t>
  </si>
  <si>
    <t xml:space="preserve">2026.2.20</t>
  </si>
  <si>
    <t xml:space="preserve">杨得草三</t>
  </si>
  <si>
    <t xml:space="preserve">19:00-22:00</t>
  </si>
  <si>
    <t xml:space="preserve">任子硕</t>
  </si>
  <si>
    <t xml:space="preserve">2026.2.21</t>
  </si>
  <si>
    <t xml:space="preserve">闫雪儒三</t>
  </si>
  <si>
    <t xml:space="preserve">2026.2.22</t>
  </si>
  <si>
    <t xml:space="preserve">张怡棣双</t>
  </si>
  <si>
    <t xml:space="preserve">曹颖慧双</t>
  </si>
  <si>
    <t xml:space="preserve">2026.2.23</t>
  </si>
  <si>
    <t xml:space="preserve">17:00-20:00</t>
  </si>
  <si>
    <t xml:space="preserve">20:00-01:00</t>
  </si>
  <si>
    <t xml:space="preserve">2026.2.24</t>
  </si>
  <si>
    <t xml:space="preserve">2026.2.25</t>
  </si>
  <si>
    <t xml:space="preserve">2026.2.26</t>
  </si>
  <si>
    <t xml:space="preserve">2026.2.27</t>
  </si>
  <si>
    <t xml:space="preserve">2026.2.28</t>
  </si>
  <si>
    <t xml:space="preserve">24:00-01:00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</si>
  <si>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</si>
  <si>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</si>
  <si>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</si>
  <si>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</si>
  <si>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</si>
  <si>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</si>
  <si>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</si>
  <si>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</si>
  <si>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</si>
  <si>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</si>
  <si>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</si>
  <si>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</si>
  <si>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</si>
  <si>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</si>
  <si>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</si>
  <si>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</si>
  <si>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</si>
  <si>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</si>
  <si>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</si>
  <si>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</si>
  <si>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</si>
  <si>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</si>
  <si>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</si>
  <si>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</si>
  <si>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</si>
  <si>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</si>
  <si>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</si>
  <si>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</si>
  <si>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</si>
  <si>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</si>
  <si>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</si>
  <si>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</si>
  <si>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2026.1.1</t>
  </si>
  <si>
    <t xml:space="preserve">靳旭会</t>
  </si>
  <si>
    <t xml:space="preserve">11:00-14:00</t>
  </si>
  <si>
    <t xml:space="preserve">张怡棣双</t>
  </si>
  <si>
    <t xml:space="preserve">赵佳茜</t>
  </si>
  <si>
    <t xml:space="preserve">14:00-19:00</t>
  </si>
  <si>
    <t xml:space="preserve">王学伟双</t>
  </si>
  <si>
    <t xml:space="preserve">日总</t>
  </si>
  <si>
    <t xml:space="preserve">2026.1.2</t>
  </si>
  <si>
    <t xml:space="preserve">11:00-15:00</t>
  </si>
  <si>
    <t xml:space="preserve">15:00-19:00</t>
  </si>
  <si>
    <t xml:space="preserve">2026.1.3</t>
  </si>
  <si>
    <t xml:space="preserve">16:00-20:00</t>
  </si>
  <si>
    <t xml:space="preserve">王学伟</t>
  </si>
  <si>
    <t xml:space="preserve">20:00-1:00</t>
  </si>
  <si>
    <t xml:space="preserve">2026.1.4</t>
  </si>
  <si>
    <t xml:space="preserve">16:00-19:00</t>
  </si>
  <si>
    <t xml:space="preserve">19:00-24:00</t>
  </si>
  <si>
    <t xml:space="preserve">2026.1.5</t>
  </si>
  <si>
    <t xml:space="preserve">19:00-22:00</t>
  </si>
  <si>
    <t xml:space="preserve">2026.1.6</t>
  </si>
  <si>
    <t xml:space="preserve">2026.1.7</t>
  </si>
  <si>
    <t xml:space="preserve">20:00-23:00</t>
  </si>
  <si>
    <t xml:space="preserve">2026.1.8</t>
  </si>
  <si>
    <t xml:space="preserve">张滋怡双</t>
  </si>
  <si>
    <t xml:space="preserve">卢佳轩双</t>
  </si>
  <si>
    <t xml:space="preserve">2026.1.9</t>
  </si>
  <si>
    <t xml:space="preserve">20:00-24:00</t>
  </si>
  <si>
    <t xml:space="preserve">2026.1.10</t>
  </si>
  <si>
    <t xml:space="preserve">朱明双</t>
  </si>
  <si>
    <t xml:space="preserve">2026.1.11</t>
  </si>
  <si>
    <t xml:space="preserve">16:12-20:12</t>
  </si>
  <si>
    <t xml:space="preserve">张怡棣</t>
  </si>
  <si>
    <t xml:space="preserve">20:12-24:12</t>
  </si>
  <si>
    <t xml:space="preserve">2026.1.12</t>
  </si>
  <si>
    <t xml:space="preserve">2026.1.13</t>
  </si>
  <si>
    <t xml:space="preserve">李哲双</t>
  </si>
  <si>
    <t xml:space="preserve">2026.1.14</t>
  </si>
  <si>
    <t xml:space="preserve">20:00-01:00</t>
  </si>
  <si>
    <t xml:space="preserve">2026.1.15</t>
  </si>
  <si>
    <t xml:space="preserve">16:00-21:00</t>
  </si>
  <si>
    <t xml:space="preserve">21:00-24:00</t>
  </si>
  <si>
    <t xml:space="preserve">2026.1.16</t>
  </si>
  <si>
    <t xml:space="preserve">2026.1.17</t>
  </si>
  <si>
    <t xml:space="preserve">2026.1.18</t>
  </si>
  <si>
    <t xml:space="preserve">2026.1.19</t>
  </si>
  <si>
    <t xml:space="preserve">21:00-01:00</t>
  </si>
  <si>
    <t xml:space="preserve">2026.1.20</t>
  </si>
  <si>
    <t xml:space="preserve">2026.1.21</t>
  </si>
  <si>
    <t xml:space="preserve">2026.1.22</t>
  </si>
  <si>
    <t xml:space="preserve">2026.1.23</t>
  </si>
  <si>
    <t xml:space="preserve">2026.1.25</t>
  </si>
  <si>
    <t xml:space="preserve">2026.1.26</t>
  </si>
  <si>
    <t xml:space="preserve">2026.1.27</t>
  </si>
  <si>
    <t xml:space="preserve">2026.1.29</t>
  </si>
  <si>
    <t xml:space="preserve">2026.1.30</t>
  </si>
  <si>
    <t xml:space="preserve">2026.1.31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</si>
  <si>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</si>
  <si>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</si>
  <si>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</si>
  <si>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</si>
  <si>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</si>
  <si>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</si>
  <si>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</si>
  <si>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</si>
  <si>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</si>
  <si>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</si>
  <si>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</si>
  <si>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</si>
  <si>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</si>
  <si>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</si>
  <si>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</si>
  <si>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</si>
  <si>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</si>
  <si>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</si>
  <si>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</si>
  <si>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</si>
  <si>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</si>
  <si>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</si>
  <si>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</si>
  <si>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</si>
  <si>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</si>
  <si>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</si>
  <si>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</si>
  <si>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</si>
  <si>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</si>
  <si>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</si>
  <si>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</si>
  <si>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</si>
  <si>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2025.12.2</t>
  </si>
  <si>
    <t xml:space="preserve">张晓策</t>
  </si>
  <si>
    <t xml:space="preserve">16:00-21:00</t>
  </si>
  <si>
    <t xml:space="preserve">李哲双</t>
  </si>
  <si>
    <t xml:space="preserve">赵佳茜</t>
  </si>
  <si>
    <t xml:space="preserve">21:00-24:00</t>
  </si>
  <si>
    <t xml:space="preserve">朱明双</t>
  </si>
  <si>
    <t xml:space="preserve">日总</t>
  </si>
  <si>
    <t xml:space="preserve">2025.12.3</t>
  </si>
  <si>
    <t xml:space="preserve">杨得草</t>
  </si>
  <si>
    <t xml:space="preserve">2025.12.4</t>
  </si>
  <si>
    <t xml:space="preserve">2025.12.5</t>
  </si>
  <si>
    <t xml:space="preserve">卢佳轩双</t>
  </si>
  <si>
    <t xml:space="preserve">2025.12.6</t>
  </si>
  <si>
    <t xml:space="preserve">16:00-20:00</t>
  </si>
  <si>
    <t xml:space="preserve">杨得草双</t>
  </si>
  <si>
    <t xml:space="preserve">20:00-24:00</t>
  </si>
  <si>
    <t xml:space="preserve">2025.12.7</t>
  </si>
  <si>
    <t xml:space="preserve">2025.12.8</t>
  </si>
  <si>
    <t xml:space="preserve">16:00-19:00</t>
  </si>
  <si>
    <t xml:space="preserve">19:00-24:00</t>
  </si>
  <si>
    <t xml:space="preserve">2025.12.9</t>
  </si>
  <si>
    <t xml:space="preserve">张怡棣双</t>
  </si>
  <si>
    <t xml:space="preserve">闫雪儒双</t>
  </si>
  <si>
    <t xml:space="preserve">2025.12.10</t>
  </si>
  <si>
    <t xml:space="preserve">2025.12.11</t>
  </si>
  <si>
    <t xml:space="preserve">靳旭会</t>
  </si>
  <si>
    <t xml:space="preserve">2025.12.12</t>
  </si>
  <si>
    <t xml:space="preserve">王学伟双</t>
  </si>
  <si>
    <t xml:space="preserve">2025.12.13</t>
  </si>
  <si>
    <t xml:space="preserve">2025.12.14</t>
  </si>
  <si>
    <t xml:space="preserve">16:00-17:00</t>
  </si>
  <si>
    <t xml:space="preserve">2025.12.15</t>
  </si>
  <si>
    <t xml:space="preserve">15:00-20:00</t>
  </si>
  <si>
    <t xml:space="preserve">20:00-01:00</t>
  </si>
  <si>
    <t xml:space="preserve">2025.12.16</t>
  </si>
  <si>
    <t xml:space="preserve">2025.12.17</t>
  </si>
  <si>
    <t xml:space="preserve">2025.12.18</t>
  </si>
  <si>
    <t xml:space="preserve">2025.12.19</t>
  </si>
  <si>
    <t xml:space="preserve">2025.12.20</t>
  </si>
  <si>
    <t xml:space="preserve">2025.12.21</t>
  </si>
  <si>
    <t xml:space="preserve">2025.12.22</t>
  </si>
  <si>
    <t xml:space="preserve">2025.12.23</t>
  </si>
  <si>
    <t xml:space="preserve">2025.12.24</t>
  </si>
  <si>
    <t xml:space="preserve">16:00-18:00</t>
  </si>
  <si>
    <t xml:space="preserve">18:00-24:00</t>
  </si>
  <si>
    <t xml:space="preserve">2025.12.25</t>
  </si>
  <si>
    <t xml:space="preserve">2025.12.26</t>
  </si>
  <si>
    <t xml:space="preserve">2025.12.27</t>
  </si>
  <si>
    <t xml:space="preserve">2025.12.28</t>
  </si>
  <si>
    <t xml:space="preserve">19:00-22:00</t>
  </si>
  <si>
    <t xml:space="preserve">2025.12.29</t>
  </si>
  <si>
    <t xml:space="preserve">2025.12.30</t>
  </si>
  <si>
    <t xml:space="preserve">2025.12.31</t>
  </si>
  <si>
    <t xml:space="preserve">16:30-19:30</t>
  </si>
  <si>
    <t xml:space="preserve">19:30-00:30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</si>
  <si>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</si>
  <si>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</si>
  <si>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</si>
  <si>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</si>
  <si>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</si>
  <si>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</si>
  <si>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</si>
  <si>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</si>
  <si>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</si>
  <si>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</si>
  <si>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</si>
  <si>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</si>
  <si>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</si>
  <si>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</si>
  <si>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</si>
  <si>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</si>
  <si>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</si>
  <si>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</si>
  <si>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</si>
  <si>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</si>
  <si>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</si>
  <si>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</si>
  <si>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</si>
  <si>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</si>
  <si>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</si>
  <si>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</si>
  <si>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</si>
  <si>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</si>
  <si>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</si>
  <si>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</si>
  <si>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</si>
  <si>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</si>
  <si>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2025.11.1</t>
  </si>
  <si>
    <t xml:space="preserve">王雪</t>
  </si>
  <si>
    <t xml:space="preserve">16:00-20:00</t>
  </si>
  <si>
    <t xml:space="preserve">杨得草双</t>
  </si>
  <si>
    <t xml:space="preserve">赵佳茜</t>
  </si>
  <si>
    <t xml:space="preserve">20:00-24:00</t>
  </si>
  <si>
    <t xml:space="preserve">日总</t>
  </si>
  <si>
    <t xml:space="preserve">2025.11.2</t>
  </si>
  <si>
    <t xml:space="preserve">朱明双</t>
  </si>
  <si>
    <t xml:space="preserve">张晓策</t>
  </si>
  <si>
    <t xml:space="preserve">2025.11.3</t>
  </si>
  <si>
    <t xml:space="preserve">2025.11.4</t>
  </si>
  <si>
    <t xml:space="preserve">郝子航</t>
  </si>
  <si>
    <t xml:space="preserve">2025.11.5</t>
  </si>
  <si>
    <t xml:space="preserve">2025.11.6</t>
  </si>
  <si>
    <t xml:space="preserve">卢佳轩双</t>
  </si>
  <si>
    <t xml:space="preserve">2025.11.7</t>
  </si>
  <si>
    <t xml:space="preserve">2025.11.8</t>
  </si>
  <si>
    <t xml:space="preserve">高琎梅双</t>
  </si>
  <si>
    <t xml:space="preserve">2025.11.9</t>
  </si>
  <si>
    <t xml:space="preserve">20:00-23:00</t>
  </si>
  <si>
    <t xml:space="preserve">2025.11.10</t>
  </si>
  <si>
    <t xml:space="preserve">2025.11.11</t>
  </si>
  <si>
    <t xml:space="preserve">8:30-10:30</t>
  </si>
  <si>
    <t xml:space="preserve">陈思钰</t>
  </si>
  <si>
    <t xml:space="preserve">10:30-14:30</t>
  </si>
  <si>
    <t xml:space="preserve">15:00-20:00</t>
  </si>
  <si>
    <t xml:space="preserve">张滋怡双</t>
  </si>
  <si>
    <t xml:space="preserve">20:00-01:00</t>
  </si>
  <si>
    <t xml:space="preserve">2025.11.12</t>
  </si>
  <si>
    <t xml:space="preserve">8:00-14:00</t>
  </si>
  <si>
    <t xml:space="preserve">14:00-19:00</t>
  </si>
  <si>
    <t xml:space="preserve">19:00-24:00</t>
  </si>
  <si>
    <t xml:space="preserve">2025.11.14</t>
  </si>
  <si>
    <t xml:space="preserve">15:30-20:30</t>
  </si>
  <si>
    <t xml:space="preserve">20:30-01:30</t>
  </si>
  <si>
    <t xml:space="preserve">2025.11.15</t>
  </si>
  <si>
    <t xml:space="preserve">2025.11.16</t>
  </si>
  <si>
    <t xml:space="preserve">2025.11.17</t>
  </si>
  <si>
    <t xml:space="preserve">2025.11.18</t>
  </si>
  <si>
    <t xml:space="preserve">2025.11.19</t>
  </si>
  <si>
    <t xml:space="preserve">2025.11.20</t>
  </si>
  <si>
    <t xml:space="preserve">2025.11.21</t>
  </si>
  <si>
    <t xml:space="preserve">2025.11.22</t>
  </si>
  <si>
    <t xml:space="preserve">2025.11.23</t>
  </si>
  <si>
    <t xml:space="preserve">2025.11.24</t>
  </si>
  <si>
    <t xml:space="preserve">李哲双</t>
  </si>
  <si>
    <t xml:space="preserve">2025.11.25</t>
  </si>
  <si>
    <t xml:space="preserve">16:00-21:00</t>
  </si>
  <si>
    <t xml:space="preserve">21:00-24:00</t>
  </si>
  <si>
    <t xml:space="preserve">2025.11.26</t>
  </si>
  <si>
    <t xml:space="preserve">杨得草</t>
  </si>
  <si>
    <t xml:space="preserve">靳旭会</t>
  </si>
  <si>
    <t xml:space="preserve">2025.11.27</t>
  </si>
  <si>
    <t xml:space="preserve">2025.11.28</t>
  </si>
  <si>
    <t xml:space="preserve">16:00-19:00</t>
  </si>
  <si>
    <t xml:space="preserve">闫雪儒双</t>
  </si>
  <si>
    <t xml:space="preserve">2025.11.29</t>
  </si>
  <si>
    <t xml:space="preserve">2025.11.30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</si>
  <si>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</si>
  <si>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</si>
  <si>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</si>
  <si>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</si>
  <si>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</si>
  <si>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</si>
  <si>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</si>
  <si>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</si>
  <si>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</si>
  <si>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</si>
  <si>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</si>
  <si>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</si>
  <si>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</si>
  <si>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</si>
  <si>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</si>
  <si>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</si>
  <si>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</si>
  <si>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</si>
  <si>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</si>
  <si>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</si>
  <si>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</si>
  <si>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</si>
  <si>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</si>
  <si>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</si>
  <si>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</si>
  <si>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</si>
  <si>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</si>
  <si>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</si>
  <si>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</si>
  <si>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</si>
  <si>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</si>
  <si>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</si>
  <si>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2025.10.1</t>
  </si>
  <si>
    <t xml:space="preserve">王雪</t>
  </si>
  <si>
    <t xml:space="preserve">16:00-20:00</t>
  </si>
  <si>
    <t xml:space="preserve">高琎梅</t>
  </si>
  <si>
    <t xml:space="preserve">张晓策</t>
  </si>
  <si>
    <t xml:space="preserve">20:00-24:00</t>
  </si>
  <si>
    <t xml:space="preserve">杨得草双</t>
  </si>
  <si>
    <t xml:space="preserve">日总</t>
  </si>
  <si>
    <t xml:space="preserve">2025.10.2</t>
  </si>
  <si>
    <t xml:space="preserve">赵佳茜</t>
  </si>
  <si>
    <t xml:space="preserve">高琎梅双</t>
  </si>
  <si>
    <t xml:space="preserve">2025.10.3</t>
  </si>
  <si>
    <t xml:space="preserve">2025.10.4</t>
  </si>
  <si>
    <t xml:space="preserve">2025.10.5</t>
  </si>
  <si>
    <t xml:space="preserve">2025.10.6</t>
  </si>
  <si>
    <t xml:space="preserve">靳旭会</t>
  </si>
  <si>
    <t xml:space="preserve">2025.10.7</t>
  </si>
  <si>
    <t xml:space="preserve">2025.10.8</t>
  </si>
  <si>
    <t xml:space="preserve">2025.10.9</t>
  </si>
  <si>
    <t xml:space="preserve">杨得草</t>
  </si>
  <si>
    <t xml:space="preserve">2025.10.10</t>
  </si>
  <si>
    <t xml:space="preserve">2025.10.11</t>
  </si>
  <si>
    <t xml:space="preserve">2025.10.12</t>
  </si>
  <si>
    <t xml:space="preserve">2025.10.13</t>
  </si>
  <si>
    <t xml:space="preserve">2025.10.14</t>
  </si>
  <si>
    <t xml:space="preserve">2025.10.15</t>
  </si>
  <si>
    <t xml:space="preserve">2025.10.16</t>
  </si>
  <si>
    <t xml:space="preserve">2025.10.17</t>
  </si>
  <si>
    <t xml:space="preserve">朱明双</t>
  </si>
  <si>
    <t xml:space="preserve">2025.10.18</t>
  </si>
  <si>
    <t xml:space="preserve">2025.10.19</t>
  </si>
  <si>
    <t xml:space="preserve">2025.10.20</t>
  </si>
  <si>
    <t xml:space="preserve">2025.10.21</t>
  </si>
  <si>
    <t xml:space="preserve">2025.10.22</t>
  </si>
  <si>
    <t xml:space="preserve">17:00-21:00</t>
  </si>
  <si>
    <t xml:space="preserve">郝子航</t>
  </si>
  <si>
    <t xml:space="preserve">21:00-01:00</t>
  </si>
  <si>
    <t xml:space="preserve">2025.10.23</t>
  </si>
  <si>
    <t xml:space="preserve">2025.10.24</t>
  </si>
  <si>
    <t xml:space="preserve">2025.10.25</t>
  </si>
  <si>
    <t xml:space="preserve">2025.10.26</t>
  </si>
  <si>
    <t xml:space="preserve">2025.10.27</t>
  </si>
  <si>
    <t xml:space="preserve">2025.10.28</t>
  </si>
  <si>
    <t xml:space="preserve">2025.10.29</t>
  </si>
  <si>
    <t xml:space="preserve">2025.10.30</t>
  </si>
  <si>
    <t xml:space="preserve">2025.10.31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</si>
  <si>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</si>
  <si>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</si>
  <si>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</si>
  <si>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</si>
  <si>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</si>
  <si>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</si>
  <si>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</si>
  <si>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</si>
  <si>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</si>
  <si>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</si>
  <si>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</si>
  <si>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</si>
  <si>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</si>
  <si>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</si>
  <si>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</si>
  <si>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</si>
  <si>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</si>
  <si>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</si>
  <si>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</si>
  <si>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</si>
  <si>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</si>
  <si>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</si>
  <si>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</si>
  <si>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</si>
  <si>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</si>
  <si>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</si>
  <si>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</si>
  <si>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</si>
  <si>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</si>
  <si>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</si>
  <si>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</si>
  <si>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</si>
  <si>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2025.9.1</t>
  </si>
  <si>
    <t xml:space="preserve">靳旭会</t>
  </si>
  <si>
    <t xml:space="preserve">16:00-20:00</t>
  </si>
  <si>
    <t xml:space="preserve">李哲双</t>
  </si>
  <si>
    <t xml:space="preserve">卢琰</t>
  </si>
  <si>
    <t xml:space="preserve">20:00-23:00</t>
  </si>
  <si>
    <t xml:space="preserve">日总</t>
  </si>
  <si>
    <t xml:space="preserve">2025.9.2</t>
  </si>
  <si>
    <t xml:space="preserve">赵佳茜</t>
  </si>
  <si>
    <t xml:space="preserve">2025.9.4</t>
  </si>
  <si>
    <t xml:space="preserve">王雪</t>
  </si>
  <si>
    <t xml:space="preserve">邓云云</t>
  </si>
  <si>
    <t xml:space="preserve">2025.9.5</t>
  </si>
  <si>
    <t xml:space="preserve">20:00-24:00</t>
  </si>
  <si>
    <t xml:space="preserve">2025.9.6</t>
  </si>
  <si>
    <t xml:space="preserve">2025.9.7</t>
  </si>
  <si>
    <t xml:space="preserve">李哲</t>
  </si>
  <si>
    <t xml:space="preserve">2025.9.8</t>
  </si>
  <si>
    <t xml:space="preserve">李哲 双</t>
  </si>
  <si>
    <t xml:space="preserve">2025.9.9</t>
  </si>
  <si>
    <t xml:space="preserve">2025.9.10</t>
  </si>
  <si>
    <t xml:space="preserve">2025.9.11</t>
  </si>
  <si>
    <t xml:space="preserve">2025.9.12</t>
  </si>
  <si>
    <t xml:space="preserve">2025.9.13</t>
  </si>
  <si>
    <t xml:space="preserve">杨得草双</t>
  </si>
  <si>
    <t xml:space="preserve">2025.9.14</t>
  </si>
  <si>
    <t xml:space="preserve">2025.9.15</t>
  </si>
  <si>
    <t xml:space="preserve">2025.9.16</t>
  </si>
  <si>
    <t xml:space="preserve">2025.9.17</t>
  </si>
  <si>
    <t xml:space="preserve">郝子航</t>
  </si>
  <si>
    <t xml:space="preserve">2025.9.19</t>
  </si>
  <si>
    <t xml:space="preserve">2025.9.20</t>
  </si>
  <si>
    <t xml:space="preserve">16:00-21:00</t>
  </si>
  <si>
    <t xml:space="preserve">张晓策</t>
  </si>
  <si>
    <t xml:space="preserve">21:00-24:00</t>
  </si>
  <si>
    <t xml:space="preserve">2025.9.21</t>
  </si>
  <si>
    <t xml:space="preserve">2025.9.22</t>
  </si>
  <si>
    <t xml:space="preserve">杨得草</t>
  </si>
  <si>
    <t xml:space="preserve">2025.9.23</t>
  </si>
  <si>
    <t xml:space="preserve">2025.9.24</t>
  </si>
  <si>
    <t xml:space="preserve">2025.9.25</t>
  </si>
  <si>
    <t xml:space="preserve">2025.9.26</t>
  </si>
  <si>
    <t xml:space="preserve">2025.9.27</t>
  </si>
  <si>
    <t xml:space="preserve">2025.9.28</t>
  </si>
  <si>
    <t xml:space="preserve">2025.9.29</t>
  </si>
  <si>
    <t xml:space="preserve">2025.9.30</t>
  </si>
  <si>
    <t xml:space="preserve">时间</t>
  </si>
  <si>
    <t xml:space="preserve">主播</t>
  </si>
  <si>
    <t xml:space="preserve">主播时段</t>
  </si>
  <si>
    <t xml:space="preserve">主播时长</t>
  </si>
  <si>
    <t xml:space="preserve">保险支付数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</si>
  <si>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</si>
  <si>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</si>
  <si>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</si>
  <si>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</si>
  <si>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</si>
  <si>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</si>
  <si>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</si>
  <si>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</si>
  <si>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</si>
  <si>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</si>
  <si>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</si>
  <si>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</si>
  <si>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</si>
  <si>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</si>
  <si>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</si>
  <si>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</si>
  <si>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</si>
  <si>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</si>
  <si>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</si>
  <si>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</si>
  <si>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</si>
  <si>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</si>
  <si>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</si>
  <si>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</si>
  <si>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</si>
  <si>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</si>
  <si>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</si>
  <si>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2025.8.1</t>
  </si>
  <si>
    <t xml:space="preserve">赵佳茜</t>
  </si>
  <si>
    <t xml:space="preserve">15:00-19:00</t>
  </si>
  <si>
    <t xml:space="preserve">邓云云</t>
  </si>
  <si>
    <t xml:space="preserve">靳旭会</t>
  </si>
  <si>
    <t xml:space="preserve">19:00-23:00</t>
  </si>
  <si>
    <t xml:space="preserve">日总</t>
  </si>
  <si>
    <t xml:space="preserve">2025.8.2</t>
  </si>
  <si>
    <t xml:space="preserve">卢琰</t>
  </si>
  <si>
    <t xml:space="preserve">2025.8.3</t>
  </si>
  <si>
    <t xml:space="preserve">15:00-18:00</t>
  </si>
  <si>
    <t xml:space="preserve">18:00-23:00</t>
  </si>
  <si>
    <t xml:space="preserve">2025.8.4</t>
  </si>
  <si>
    <t xml:space="preserve">陈思钰</t>
  </si>
  <si>
    <t xml:space="preserve">2025.8.5</t>
  </si>
  <si>
    <t xml:space="preserve">2025.8.6</t>
  </si>
  <si>
    <t xml:space="preserve">2025.8.7</t>
  </si>
  <si>
    <t xml:space="preserve">2025.8.8</t>
  </si>
  <si>
    <t xml:space="preserve">2025.8.9</t>
  </si>
  <si>
    <t xml:space="preserve">郝子航双</t>
  </si>
  <si>
    <t xml:space="preserve">2025.8.10</t>
  </si>
  <si>
    <t xml:space="preserve">15:30-19:30</t>
  </si>
  <si>
    <t xml:space="preserve">19:30-23:30</t>
  </si>
  <si>
    <t xml:space="preserve">2025.8.11</t>
  </si>
  <si>
    <t xml:space="preserve">王雪</t>
  </si>
  <si>
    <t xml:space="preserve">2025.8.12</t>
  </si>
  <si>
    <t xml:space="preserve">16:00-20:00</t>
  </si>
  <si>
    <t xml:space="preserve">陈思钰双</t>
  </si>
  <si>
    <t xml:space="preserve">20:00-23:00</t>
  </si>
  <si>
    <t xml:space="preserve">2025.8.13</t>
  </si>
  <si>
    <t xml:space="preserve">高琎梅</t>
  </si>
  <si>
    <t xml:space="preserve">2025.8.14</t>
  </si>
  <si>
    <t xml:space="preserve">邓云云双</t>
  </si>
  <si>
    <t xml:space="preserve">2025.8.15</t>
  </si>
  <si>
    <t xml:space="preserve">16:00-20:30</t>
  </si>
  <si>
    <t xml:space="preserve">20:30-23:40</t>
  </si>
  <si>
    <t xml:space="preserve">2025.8.16</t>
  </si>
  <si>
    <t xml:space="preserve">2025.8.17</t>
  </si>
  <si>
    <t xml:space="preserve">2025.8.18</t>
  </si>
  <si>
    <t xml:space="preserve">2025.8.19</t>
  </si>
  <si>
    <t xml:space="preserve">2025.8.20</t>
  </si>
  <si>
    <t xml:space="preserve">2025.8.21</t>
  </si>
  <si>
    <t xml:space="preserve">2025.8.22</t>
  </si>
  <si>
    <t xml:space="preserve">高琎梅双</t>
  </si>
  <si>
    <t xml:space="preserve">2025.8.23</t>
  </si>
  <si>
    <t xml:space="preserve">杨得草双</t>
  </si>
  <si>
    <t xml:space="preserve">2025.8.24</t>
  </si>
  <si>
    <t xml:space="preserve">16:00-19:00</t>
  </si>
  <si>
    <t xml:space="preserve">2025.8.25</t>
  </si>
  <si>
    <t xml:space="preserve">2025.8.26</t>
  </si>
  <si>
    <t xml:space="preserve">16:00-21:00</t>
  </si>
  <si>
    <t xml:space="preserve">21:00-23:00</t>
  </si>
  <si>
    <t xml:space="preserve">2025.8.27</t>
  </si>
  <si>
    <t xml:space="preserve">2025.8.28</t>
  </si>
  <si>
    <t xml:space="preserve">2025.8.29</t>
  </si>
  <si>
    <t xml:space="preserve">2025.8.30</t>
  </si>
  <si>
    <t xml:space="preserve">2025.8.31</t>
  </si>
  <si>
    <t xml:space="preserve">时间</t>
  </si>
  <si>
    <t xml:space="preserve">主播</t>
  </si>
  <si>
    <t xml:space="preserve">主播时段</t>
  </si>
  <si>
    <t xml:space="preserve">主播时长</t>
  </si>
  <si>
    <t xml:space="preserve">订单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</si>
  <si>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</si>
  <si>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</si>
  <si>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</si>
  <si>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</si>
  <si>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</si>
  <si>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</si>
  <si>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</si>
  <si>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</si>
  <si>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</si>
  <si>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</si>
  <si>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</si>
  <si>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</si>
  <si>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</si>
  <si>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</si>
  <si>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</si>
  <si>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</si>
  <si>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</si>
  <si>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</si>
  <si>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</si>
  <si>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</si>
  <si>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</si>
  <si>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</si>
  <si>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</si>
  <si>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</si>
  <si>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</si>
  <si>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</si>
  <si>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</si>
  <si>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2025.7.1</t>
  </si>
  <si>
    <t xml:space="preserve">卢琰</t>
  </si>
  <si>
    <t xml:space="preserve">15:00-19:00</t>
  </si>
  <si>
    <t xml:space="preserve">邓云云</t>
  </si>
  <si>
    <t xml:space="preserve">靳旭会</t>
  </si>
  <si>
    <t xml:space="preserve">19:00-23:00</t>
  </si>
  <si>
    <t xml:space="preserve">日总</t>
  </si>
  <si>
    <t xml:space="preserve">2025.7.2</t>
  </si>
  <si>
    <t xml:space="preserve">2025.7.3</t>
  </si>
  <si>
    <t xml:space="preserve">15:00-20:00</t>
  </si>
  <si>
    <t xml:space="preserve">李哲</t>
  </si>
  <si>
    <t xml:space="preserve">王雪</t>
  </si>
  <si>
    <t xml:space="preserve">20:00-23:00</t>
  </si>
  <si>
    <t xml:space="preserve">2025.7.4</t>
  </si>
  <si>
    <t xml:space="preserve">2025.7.5</t>
  </si>
  <si>
    <t xml:space="preserve">高琎梅</t>
  </si>
  <si>
    <t xml:space="preserve">周舒馨</t>
  </si>
  <si>
    <t xml:space="preserve">2025.7.6</t>
  </si>
  <si>
    <t xml:space="preserve">2025.7.7</t>
  </si>
  <si>
    <t xml:space="preserve">2025.7.8</t>
  </si>
  <si>
    <t xml:space="preserve">2025.7.9</t>
  </si>
  <si>
    <t xml:space="preserve">2025.7.10</t>
  </si>
  <si>
    <t xml:space="preserve">2025.7.11</t>
  </si>
  <si>
    <t xml:space="preserve">2025.7.12</t>
  </si>
  <si>
    <t xml:space="preserve">2025.7.13</t>
  </si>
  <si>
    <t xml:space="preserve">2025.7.14</t>
  </si>
  <si>
    <t xml:space="preserve">2025.7.15</t>
  </si>
  <si>
    <t xml:space="preserve">2025.7.16</t>
  </si>
  <si>
    <t xml:space="preserve">2025.7.17</t>
  </si>
  <si>
    <t xml:space="preserve">2025.7.18</t>
  </si>
  <si>
    <t xml:space="preserve">2025.7.19</t>
  </si>
  <si>
    <t xml:space="preserve">2025.7.20</t>
  </si>
  <si>
    <t xml:space="preserve">2025.7.21</t>
  </si>
  <si>
    <t xml:space="preserve">2025.7.22</t>
  </si>
  <si>
    <t xml:space="preserve">2025.7.23</t>
  </si>
  <si>
    <t xml:space="preserve">2025.7.24</t>
  </si>
  <si>
    <t xml:space="preserve">2025.7.25</t>
  </si>
  <si>
    <t xml:space="preserve">陈思钰</t>
  </si>
  <si>
    <t xml:space="preserve">2025.7.26</t>
  </si>
  <si>
    <t xml:space="preserve">2025.7.27</t>
  </si>
  <si>
    <t xml:space="preserve">2025.7.28</t>
  </si>
  <si>
    <t xml:space="preserve">2025.7.29</t>
  </si>
  <si>
    <t xml:space="preserve">赵佳茜</t>
  </si>
  <si>
    <t xml:space="preserve">2025.7.30</t>
  </si>
  <si>
    <t xml:space="preserve">2025.7.31</t>
  </si>
  <si>
    <t xml:space="preserve">时间</t>
  </si>
  <si>
    <t xml:space="preserve">主播</t>
  </si>
  <si>
    <t xml:space="preserve">主播时段</t>
  </si>
  <si>
    <t xml:space="preserve">主播时长</t>
  </si>
  <si>
    <t xml:space="preserve">订单</t>
  </si>
  <si>
    <t xml:space="preserve">保单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</si>
  <si>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</si>
  <si>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</si>
  <si>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</si>
  <si>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</si>
  <si>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</si>
  <si>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</si>
  <si>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</si>
  <si>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</si>
  <si>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</si>
  <si>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点击单价</t>
  </si>
  <si>
    <t xml:space="preserve">商品曝光率</t>
  </si>
  <si>
    <t xml:space="preserve">付费点击率</t>
  </si>
  <si>
    <t xml:space="preserve">曝光进入率</t>
  </si>
  <si>
    <t xml:space="preserve">直播间评论率</t>
  </si>
  <si>
    <t xml:space="preserve">组件展示数</t>
  </si>
  <si>
    <t xml:space="preserve">组件点击率</t>
  </si>
  <si>
    <t xml:space="preserve">平均停留时长/秒</t>
  </si>
  <si>
    <t xml:space="preserve">千展</t>
  </si>
  <si>
    <t xml:space="preserve">展示数</t>
  </si>
  <si>
    <t xml:space="preserve">点击数</t>
  </si>
  <si>
    <t xml:space="preserve">组件点击数</t>
  </si>
  <si>
    <t xml:space="preserve">直播间观看数</t>
  </si>
  <si>
    <t xml:space="preserve">直播间评论数</t>
  </si>
  <si>
    <t xml:space="preserve">直播间关注数</t>
  </si>
  <si>
    <t xml:space="preserve">直播间分享</t>
  </si>
  <si>
    <t xml:space="preserve">直播间点赞数</t>
  </si>
  <si>
    <t xml:space="preserve">2025.6.18</t>
  </si>
  <si>
    <t xml:space="preserve">靳旭会</t>
  </si>
  <si>
    <t xml:space="preserve">15:00-18:00</t>
  </si>
  <si>
    <t xml:space="preserve">李哲</t>
  </si>
  <si>
    <t xml:space="preserve">卢琰</t>
  </si>
  <si>
    <t xml:space="preserve">18:00-23:00</t>
  </si>
  <si>
    <t xml:space="preserve">日总</t>
  </si>
  <si>
    <t xml:space="preserve">2025.6.19</t>
  </si>
  <si>
    <t xml:space="preserve">2025.6.20</t>
  </si>
  <si>
    <t xml:space="preserve">王雪</t>
  </si>
  <si>
    <t xml:space="preserve">2025.6.21</t>
  </si>
  <si>
    <t xml:space="preserve">邓云云</t>
  </si>
  <si>
    <t xml:space="preserve">2025.6.22</t>
  </si>
  <si>
    <t xml:space="preserve">2025.6.23</t>
  </si>
  <si>
    <t xml:space="preserve">15:00-19:00</t>
  </si>
  <si>
    <t xml:space="preserve">19:00-23:00</t>
  </si>
  <si>
    <t xml:space="preserve">2025.6.24</t>
  </si>
  <si>
    <t xml:space="preserve">2025.6.25</t>
  </si>
  <si>
    <t xml:space="preserve">15:00-20:00</t>
  </si>
  <si>
    <t xml:space="preserve">20:00-23:00</t>
  </si>
  <si>
    <t xml:space="preserve">2025.6.26</t>
  </si>
  <si>
    <t xml:space="preserve">2025.6.27</t>
  </si>
  <si>
    <t xml:space="preserve">2025.6.28</t>
  </si>
  <si>
    <t xml:space="preserve">2025.6.29</t>
  </si>
  <si>
    <t xml:space="preserve">2025.6.30</t>
  </si>
  <si>
    <t xml:space="preserve">时间</t>
  </si>
  <si>
    <t xml:space="preserve">主播</t>
  </si>
  <si>
    <t xml:space="preserve">保险支付数</t>
  </si>
  <si>
    <t xml:space="preserve">年化保费</t>
  </si>
  <si>
    <t xml:space="preserve">靳旭会</t>
  </si>
  <si>
    <t xml:space="preserve">习晓展</t>
  </si>
  <si>
    <t xml:space="preserve">李凯旋</t>
  </si>
  <si>
    <t xml:space="preserve">张梦婷</t>
  </si>
  <si>
    <t xml:space="preserve">赵佳茜</t>
  </si>
  <si>
    <t xml:space="preserve">日总</t>
  </si>
  <si>
    <t xml:space="preserve">赵培培</t>
  </si>
  <si>
    <t xml:space="preserve">时耗</t>
  </si>
  <si>
    <t xml:space="preserve">求和项:消耗</t>
  </si>
  <si>
    <t xml:space="preserve">总计</t>
  </si>
  <si>
    <t xml:space="preserve">日期</t>
  </si>
  <si>
    <t xml:space="preserve">roi</t>
  </si>
  <si>
    <t xml:space="preserve">业务数据</t>
  </si>
  <si>
    <t xml:space="preserve">消耗</t>
  </si>
  <si>
    <t xml:space="preserve">保单</t>
  </si>
  <si>
    <t xml:space="preserve">投产</t>
  </si>
  <si>
    <t xml:space="preserve">总消耗</t>
  </si>
  <si>
    <t xml:space="preserve">总保单</t>
  </si>
  <si>
    <t xml:space="preserve">总年化保费</t>
  </si>
  <si>
    <t xml:space="preserve">投放ROI</t>
  </si>
  <si>
    <t xml:space="preserve">2026.8.29</t>
  </si>
  <si>
    <t xml:space="preserve">2026.8.30</t>
  </si>
  <si>
    <t xml:space="preserve">2026.8.31</t>
  </si>
  <si>
    <t xml:space="preserve">2026.9.1</t>
  </si>
  <si>
    <t xml:space="preserve">2026.9.2</t>
  </si>
  <si>
    <t xml:space="preserve">2026.9.3</t>
  </si>
  <si>
    <t xml:space="preserve">2026.9.4</t>
  </si>
  <si>
    <t xml:space="preserve">2026.9.5</t>
  </si>
  <si>
    <t xml:space="preserve">2026.9.6</t>
  </si>
  <si>
    <t xml:space="preserve">2026.9.7</t>
  </si>
  <si>
    <t xml:space="preserve">主播时长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</si>
</sst>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4" formatCode="General"/>
    <numFmt numFmtId="165" formatCode="#,##0.00"/>
    <numFmt numFmtId="166" formatCode="0.00"/>
    <numFmt numFmtId="167" formatCode="0.00_);(0.00)"/>
    <numFmt numFmtId="168" formatCode="0.00_);[Red]\(0.00\)"/>
    <numFmt numFmtId="169" formatCode="0.0"/>
    <numFmt numFmtId="170" formatCode="0.00%"/>
    <numFmt numFmtId="171" formatCode="0"/>
    <numFmt numFmtId="172" formatCode="0.00"/>
    <numFmt numFmtId="173" formatCode="yyyy/m/d"/>
    <numFmt numFmtId="174" formatCode="0.00_);(0.00)"/>
    <numFmt numFmtId="175" formatCode="#,##0.00"/>
    <numFmt numFmtId="176" formatCode="General"/>
    <numFmt numFmtId="177" formatCode="General"/>
    <numFmt numFmtId="178" formatCode="#,##0.00"/>
    <numFmt numFmtId="179" formatCode="0.00"/>
    <numFmt numFmtId="180" formatCode="0.00_);(0.00)"/>
    <numFmt numFmtId="181" formatCode="0.00_);[Red]\(0.00\)"/>
    <numFmt numFmtId="182" formatCode="0.0"/>
    <numFmt numFmtId="183" formatCode="0.00%"/>
    <numFmt numFmtId="184" formatCode="0"/>
    <numFmt numFmtId="185" formatCode="0.00"/>
    <numFmt numFmtId="186" formatCode="yyyy/m/d"/>
    <numFmt numFmtId="187" formatCode="0.00_);(0.00)"/>
    <numFmt numFmtId="188" formatCode="#,##0.00"/>
    <numFmt numFmtId="189" formatCode="General"/>
    <numFmt numFmtId="190" formatCode="General"/>
    <numFmt numFmtId="191" formatCode="#,##0.00"/>
    <numFmt numFmtId="192" formatCode="0.00"/>
    <numFmt numFmtId="193" formatCode="General"/>
    <numFmt numFmtId="194" formatCode="#,##0.00"/>
    <numFmt numFmtId="195" formatCode="0.00"/>
    <numFmt numFmtId="196" formatCode="General"/>
    <numFmt numFmtId="197" formatCode="#,##0.00"/>
    <numFmt numFmtId="198" formatCode="0.00"/>
    <numFmt numFmtId="199" formatCode="0.00_);(0.00)"/>
    <numFmt numFmtId="200" formatCode="0.00_);[Red]\(0.00\)"/>
    <numFmt numFmtId="201" formatCode="0.0"/>
    <numFmt numFmtId="202" formatCode="0.00%"/>
    <numFmt numFmtId="203" formatCode="0"/>
    <numFmt numFmtId="204" formatCode="0.00"/>
    <numFmt numFmtId="205" formatCode="yyyy/m/d"/>
    <numFmt numFmtId="206" formatCode="#,##0.00"/>
    <numFmt numFmtId="207" formatCode="General"/>
    <numFmt numFmtId="208" formatCode="0.00_);(0.00)"/>
    <numFmt numFmtId="209" formatCode="0.00_);[Red]\(0.00\)"/>
    <numFmt numFmtId="210" formatCode="0.0"/>
    <numFmt numFmtId="211" formatCode="0.00%"/>
    <numFmt numFmtId="212" formatCode="0"/>
    <numFmt numFmtId="213" formatCode="0.00"/>
    <numFmt numFmtId="214" formatCode="#,##0.00"/>
    <numFmt numFmtId="215" formatCode="General"/>
    <numFmt numFmtId="216" formatCode="0.00_);(0.00)"/>
    <numFmt numFmtId="217" formatCode="0.00_);[Red]\(0.00\)"/>
    <numFmt numFmtId="218" formatCode="0.0"/>
    <numFmt numFmtId="219" formatCode="0.00%"/>
    <numFmt numFmtId="220" formatCode="0"/>
    <numFmt numFmtId="221" formatCode="0.00"/>
    <numFmt numFmtId="222" formatCode="#,##0.00"/>
    <numFmt numFmtId="223" formatCode="General"/>
    <numFmt numFmtId="224" formatCode="0.00_);(0.00)"/>
    <numFmt numFmtId="225" formatCode="0.00_);[Red]\(0.00\)"/>
    <numFmt numFmtId="226" formatCode="0.0"/>
    <numFmt numFmtId="227" formatCode="0.00%"/>
    <numFmt numFmtId="228" formatCode="0"/>
    <numFmt numFmtId="229" formatCode="0.00"/>
    <numFmt numFmtId="230" formatCode="#,##0.00"/>
    <numFmt numFmtId="231" formatCode="General"/>
    <numFmt numFmtId="232" formatCode="0.00_);(0.00)"/>
    <numFmt numFmtId="233" formatCode="0.000"/>
    <numFmt numFmtId="234" formatCode="0.00_);[Red]\(0.00\)"/>
    <numFmt numFmtId="235" formatCode="0.0"/>
    <numFmt numFmtId="236" formatCode="0.00%"/>
    <numFmt numFmtId="237" formatCode="0"/>
    <numFmt numFmtId="238" formatCode="0.00"/>
    <numFmt numFmtId="239" formatCode="#,##0.00"/>
    <numFmt numFmtId="240" formatCode="General"/>
    <numFmt numFmtId="241" formatCode="0.00_);(0.00)"/>
    <numFmt numFmtId="242" formatCode="0.00_);[Red]\(0.00\)"/>
    <numFmt numFmtId="243" formatCode="0.0"/>
    <numFmt numFmtId="244" formatCode="0.00%"/>
    <numFmt numFmtId="245" formatCode="0"/>
    <numFmt numFmtId="246" formatCode="0.00"/>
    <numFmt numFmtId="247" formatCode="#,##0.00"/>
    <numFmt numFmtId="248" formatCode="General"/>
    <numFmt numFmtId="249" formatCode="0.00_);(0.00)"/>
    <numFmt numFmtId="250" formatCode="0.00_);[Red]\(0.00\)"/>
    <numFmt numFmtId="251" formatCode="0.0"/>
    <numFmt numFmtId="252" formatCode="0.00%"/>
    <numFmt numFmtId="253" formatCode="0"/>
    <numFmt numFmtId="254" formatCode="0.00"/>
    <numFmt numFmtId="255" formatCode="#,##0.00"/>
    <numFmt numFmtId="256" formatCode="0.00_);(0.00)"/>
    <numFmt numFmtId="257" formatCode="General"/>
    <numFmt numFmtId="258" formatCode="0.00_);[Red]\(0.00\)"/>
    <numFmt numFmtId="259" formatCode="0.0"/>
    <numFmt numFmtId="260" formatCode="0.00%"/>
    <numFmt numFmtId="261" formatCode="0"/>
    <numFmt numFmtId="262" formatCode="0.00"/>
    <numFmt numFmtId="263" formatCode="#,##0.00"/>
    <numFmt numFmtId="264" formatCode="0.00_);(0.00)"/>
    <numFmt numFmtId="265" formatCode="0.00_);[Red]\(0.00\)"/>
    <numFmt numFmtId="266" formatCode="0.0"/>
    <numFmt numFmtId="267" formatCode="0.00%"/>
    <numFmt numFmtId="268" formatCode="0"/>
    <numFmt numFmtId="269" formatCode="0.00"/>
    <numFmt numFmtId="270" formatCode="#,##0.00"/>
    <numFmt numFmtId="271" formatCode="0.00_);(0.00)"/>
    <numFmt numFmtId="272" formatCode="0.00_);[Red]\(0.00\)"/>
    <numFmt numFmtId="273" formatCode="0.0"/>
    <numFmt numFmtId="274" formatCode="0.00%"/>
    <numFmt numFmtId="275" formatCode="0"/>
    <numFmt numFmtId="276" formatCode="0.00"/>
    <numFmt numFmtId="277" formatCode="#,##0.00"/>
    <numFmt numFmtId="278" formatCode="0.00_);(0.00)"/>
    <numFmt numFmtId="279" formatCode="0.00_);[Red]\(0.00\)"/>
    <numFmt numFmtId="280" formatCode="0.0"/>
    <numFmt numFmtId="281" formatCode="0.00%"/>
    <numFmt numFmtId="282" formatCode="0"/>
    <numFmt numFmtId="283" formatCode="0.00"/>
    <numFmt numFmtId="284" formatCode="#,##0.00"/>
    <numFmt numFmtId="285" formatCode="0.00_);(0.00)"/>
    <numFmt numFmtId="286" formatCode="0.00_);[Red]\(0.00\)"/>
    <numFmt numFmtId="287" formatCode="0.0"/>
    <numFmt numFmtId="288" formatCode="0.00%"/>
    <numFmt numFmtId="289" formatCode="0"/>
    <numFmt numFmtId="290" formatCode="0.00"/>
    <numFmt numFmtId="291" formatCode="#,##0.00"/>
    <numFmt numFmtId="292" formatCode="#,##0.00"/>
    <numFmt numFmtId="293" formatCode="0.00_);[Red]\(0.00\)"/>
    <numFmt numFmtId="294" formatCode="0.0"/>
    <numFmt numFmtId="295" formatCode="0.00%"/>
    <numFmt numFmtId="296" formatCode="0"/>
    <numFmt numFmtId="297" formatCode="0.00"/>
    <numFmt numFmtId="298" formatCode="0.00_);[Red]\(0.00\)"/>
    <numFmt numFmtId="299" formatCode="0"/>
    <numFmt numFmtId="300" formatCode="0.00%"/>
    <numFmt numFmtId="301" formatCode="0.00"/>
    <numFmt numFmtId="302" formatCode="#,##0.00"/>
    <numFmt numFmtId="303" formatCode="0.0"/>
    <numFmt numFmtId="304" formatCode="0.00_);[Red]\(0.00\)"/>
    <numFmt numFmtId="305" formatCode="0"/>
    <numFmt numFmtId="306" formatCode="0.00%"/>
    <numFmt numFmtId="307" formatCode="0.00"/>
    <numFmt numFmtId="308" formatCode="#,##0.00"/>
    <numFmt numFmtId="309" formatCode="yyyy/m/d"/>
    <numFmt numFmtId="310" formatCode="0.00_);(0.00)"/>
    <numFmt numFmtId="311" formatCode="0.00"/>
    <numFmt numFmtId="312" formatCode="0_);(0)"/>
    <numFmt numFmtId="313" formatCode="0.00%"/>
    <numFmt numFmtId="314" formatCode="General"/>
    <numFmt numFmtId="315" formatCode="#,##0.00"/>
  </numFmts>
  <fonts count="21">
    <font>
      <sz val="12"/>
      <color theme="1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z val="10"/>
      <color rgb="FF373C4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8F959E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8"/>
      <color rgb="FFF54A45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2"/>
      <color rgb="FF000000"/>
      <name val="Helvetica Neue"/>
      <family val="2"/>
    </font>
    <font>
      <sz val="14"/>
      <color rgb="FF000000"/>
      <name val="Calibri"/>
      <family val="2"/>
      <scheme val="minor"/>
    </font>
    <font>
      <sz val="12"/>
      <color rgb="FF1F2329"/>
      <name val="Calibri"/>
      <family val="2"/>
      <scheme val="minor"/>
    </font>
    <font>
      <b val="true"/>
      <sz val="10"/>
      <color rgb="FFFFFFFF"/>
      <name val="Calibri"/>
      <family val="2"/>
      <scheme val="minor"/>
    </font>
  </fonts>
  <fills count="8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00B0F0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5F6F7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5F6F7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5F6F7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F5F6F7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5F6F7"/>
        <bgColor/>
      </patternFill>
    </fill>
    <fill>
      <patternFill patternType="solid">
        <fgColor rgb="FFFFFFF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FFF0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3370FF"/>
        <bgColor/>
      </patternFill>
    </fill>
    <fill>
      <patternFill patternType="solid">
        <fgColor rgb="FF14C0FF"/>
        <bgColor/>
      </patternFill>
    </fill>
    <fill>
      <patternFill patternType="solid">
        <fgColor rgb="FFFFDCC4"/>
        <bgColor/>
      </patternFill>
    </fill>
    <fill>
      <patternFill patternType="solid">
        <fgColor rgb="FF2972F4"/>
        <bgColor/>
      </patternFill>
    </fill>
    <fill>
      <patternFill patternType="solid">
        <fgColor rgb="FF319B62"/>
        <bgColor/>
      </patternFill>
    </fill>
    <fill>
      <patternFill patternType="solid">
        <fgColor rgb="FF9A38D7"/>
        <bgColor/>
      </patternFill>
    </fill>
    <fill>
      <patternFill patternType="solid">
        <fgColor rgb="FFE5EFFF"/>
        <bgColor/>
      </patternFill>
    </fill>
    <fill>
      <patternFill patternType="solid">
        <fgColor rgb="FFC7DCFF"/>
        <bgColor/>
      </patternFill>
    </fill>
    <fill>
      <patternFill patternType="solid">
        <fgColor rgb="FF99BEFF"/>
        <bgColor/>
      </patternFill>
    </fill>
    <fill>
      <patternFill patternType="solid">
        <fgColor rgb="FFEAFAF1"/>
        <bgColor/>
      </patternFill>
    </fill>
    <fill>
      <patternFill patternType="solid">
        <fgColor rgb="FFC3EAD5"/>
        <bgColor/>
      </patternFill>
    </fill>
    <fill>
      <patternFill patternType="solid">
        <fgColor rgb="FFF2C7FF"/>
        <bgColor/>
      </patternFill>
    </fill>
    <fill>
      <patternFill patternType="solid">
        <fgColor rgb="FF1C4CBA"/>
        <bgColor/>
      </patternFill>
    </fill>
  </fills>
  <borders count="11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/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/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 style="medium">
        <color rgb="FF1F2329"/>
      </right>
      <top/>
      <bottom style="medium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5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true" applyProtection="false" borderId="0" fillId="0" fontId="2" numFmtId="164" xfId="0">
      <alignment horizontal="center" vertical="center"/>
    </xf>
    <xf applyAlignment="true" applyBorder="false" applyFill="false" applyFont="true" applyNumberFormat="true" applyProtection="false" borderId="0" fillId="0" fontId="2" numFmtId="16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false" applyFont="true" applyNumberFormat="true" applyProtection="false" borderId="0" fillId="0" fontId="4" numFmtId="165" xfId="0">
      <alignment horizontal="center" vertical="center"/>
    </xf>
    <xf applyAlignment="true" applyBorder="false" applyFill="false" applyFont="true" applyNumberFormat="true" applyProtection="false" borderId="0" fillId="0" fontId="2" numFmtId="166" xfId="0">
      <alignment vertical="center"/>
    </xf>
    <xf applyAlignment="true" applyBorder="false" applyFill="false" applyFont="true" applyNumberFormat="true" applyProtection="false" borderId="0" fillId="0" fontId="2" numFmtId="165" xfId="0">
      <alignment vertical="center"/>
    </xf>
    <xf applyAlignment="true" applyBorder="false" applyFill="false" applyFont="true" applyNumberFormat="true" applyProtection="false" borderId="0" fillId="0" fontId="2" numFmtId="167" xfId="0">
      <alignment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true" applyFont="true" applyNumberFormat="true" applyProtection="false" borderId="2" fillId="3" fontId="1" numFmtId="168" xfId="0">
      <alignment horizontal="center" vertical="center"/>
    </xf>
    <xf applyAlignment="true" applyBorder="false" applyFill="true" applyFont="true" applyNumberFormat="true" applyProtection="false" borderId="2" fillId="3" fontId="1" numFmtId="168" xfId="0">
      <alignment horizontal="center" vertical="center"/>
    </xf>
    <xf applyAlignment="true" applyBorder="false" applyFill="true" applyFont="true" applyNumberFormat="true" applyProtection="false" borderId="2" fillId="3" fontId="1" numFmtId="169" xfId="0">
      <alignment horizontal="center" vertical="center"/>
    </xf>
    <xf applyAlignment="true" applyBorder="false" applyFill="true" applyFont="true" applyNumberFormat="true" applyProtection="false" borderId="2" fillId="3" fontId="1" numFmtId="169" xfId="0">
      <alignment horizontal="center" vertical="center"/>
    </xf>
    <xf applyAlignment="true" applyBorder="false" applyFill="true" applyFont="true" applyNumberFormat="true" applyProtection="false" borderId="2" fillId="3" fontId="1" numFmtId="170" xfId="0">
      <alignment horizontal="center" vertical="center"/>
    </xf>
    <xf applyAlignment="true" applyBorder="false" applyFill="true" applyFont="true" applyNumberFormat="true" applyProtection="false" borderId="2" fillId="3" fontId="1" numFmtId="171" xfId="0">
      <alignment horizontal="center" vertical="center"/>
    </xf>
    <xf applyAlignment="true" applyBorder="false" applyFill="true" applyFont="true" applyNumberFormat="true" applyProtection="false" borderId="2" fillId="3" fontId="1" numFmtId="172" xfId="0">
      <alignment horizontal="center" vertical="center"/>
    </xf>
    <xf applyAlignment="true" applyBorder="false" applyFill="true" applyFont="true" applyNumberFormat="true" applyProtection="false" borderId="2" fillId="3" fontId="1" numFmtId="171" xfId="0">
      <alignment horizontal="center" vertical="center"/>
    </xf>
    <xf applyAlignment="true" applyBorder="false" applyFill="false" applyFont="true" applyNumberFormat="true" applyProtection="false" borderId="3" fillId="0" fontId="5" numFmtId="173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true" applyProtection="false" borderId="4" fillId="0" fontId="5" numFmtId="174" xfId="0">
      <alignment horizontal="center" vertical="center"/>
    </xf>
    <xf applyAlignment="true" applyBorder="false" applyFill="false" applyFont="true" applyNumberFormat="true" applyProtection="false" borderId="4" fillId="0" fontId="5" numFmtId="175" xfId="0">
      <alignment horizontal="center" vertical="center"/>
    </xf>
    <xf applyAlignment="true" applyBorder="false" applyFill="true" applyFont="true" applyNumberFormat="true" applyProtection="false" borderId="5" fillId="4" fontId="6" numFmtId="168" xfId="0">
      <alignment horizontal="center" vertical="center"/>
    </xf>
    <xf applyAlignment="true" applyBorder="false" applyFill="true" applyFont="true" applyNumberFormat="true" applyProtection="false" borderId="4" fillId="4" fontId="6" numFmtId="168" xfId="0">
      <alignment horizontal="center" vertical="center"/>
    </xf>
    <xf applyAlignment="true" applyBorder="false" applyFill="true" applyFont="true" applyNumberFormat="true" applyProtection="false" borderId="3" fillId="4" fontId="6" numFmtId="168" xfId="0">
      <alignment horizontal="center" vertical="center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true" applyProtection="false" borderId="6" fillId="0" fontId="5" numFmtId="176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4" fillId="0" fontId="5" numFmtId="0" xfId="0">
      <alignment horizontal="center" vertical="center"/>
    </xf>
    <xf applyAlignment="true" applyBorder="false" applyFill="false" applyFont="true" applyNumberFormat="false" applyProtection="false" borderId="3" fillId="0" fontId="5" numFmtId="0" xfId="0">
      <alignment horizontal="center" vertical="center"/>
    </xf>
    <xf applyAlignment="true" applyBorder="false" applyFill="false" applyFont="true" applyNumberFormat="true" applyProtection="false" borderId="5" fillId="0" fontId="5" numFmtId="170" xfId="0">
      <alignment horizontal="center" vertical="center"/>
    </xf>
    <xf applyAlignment="true" applyBorder="false" applyFill="false" applyFont="true" applyNumberFormat="true" applyProtection="false" borderId="4" fillId="0" fontId="5" numFmtId="170" xfId="0">
      <alignment horizontal="center" vertical="center"/>
    </xf>
    <xf applyAlignment="true" applyBorder="false" applyFill="false" applyFont="true" applyNumberFormat="true" applyProtection="false" borderId="4" fillId="0" fontId="5" numFmtId="171" xfId="0">
      <alignment horizontal="center" vertical="center"/>
    </xf>
    <xf applyAlignment="true" applyBorder="false" applyFill="false" applyFont="true" applyNumberFormat="true" applyProtection="false" borderId="4" fillId="0" fontId="5" numFmtId="171" xfId="0">
      <alignment horizontal="center" vertical="center"/>
    </xf>
    <xf applyAlignment="true" applyBorder="false" applyFill="false" applyFont="true" applyNumberFormat="true" applyProtection="false" borderId="4" fillId="0" fontId="5" numFmtId="172" xfId="0">
      <alignment horizontal="center" vertical="center"/>
    </xf>
    <xf applyAlignment="true" applyBorder="false" applyFill="false" applyFont="true" applyNumberFormat="true" applyProtection="false" borderId="4" fillId="0" fontId="5" numFmtId="175" xfId="0">
      <alignment horizontal="center" vertical="center"/>
    </xf>
    <xf applyAlignment="true" applyBorder="false" applyFill="false" applyFont="true" applyNumberFormat="false" applyProtection="false" borderId="6" fillId="0" fontId="5" numFmtId="0" xfId="0">
      <alignment horizontal="center" vertical="center"/>
    </xf>
    <xf applyAlignment="true" applyBorder="false" applyFill="false" applyFont="true" applyNumberFormat="true" applyProtection="false" borderId="4" fillId="0" fontId="5" numFmtId="174" xfId="0">
      <alignment horizontal="center" vertical="center"/>
    </xf>
    <xf applyAlignment="true" applyBorder="false" applyFill="false" applyFont="true" applyNumberFormat="true" applyProtection="false" borderId="6" fillId="0" fontId="5" numFmtId="176" xfId="0">
      <alignment horizontal="center" vertical="center"/>
    </xf>
    <xf applyAlignment="true" applyBorder="false" applyFill="false" applyFont="true" applyNumberFormat="true" applyProtection="false" borderId="6" fillId="0" fontId="5" numFmtId="174" xfId="0">
      <alignment horizontal="center" vertical="center"/>
    </xf>
    <xf applyAlignment="true" applyBorder="false" applyFill="true" applyFont="true" applyNumberFormat="true" applyProtection="false" borderId="4" fillId="5" fontId="5" numFmtId="173" xfId="0">
      <alignment horizontal="center" vertical="center"/>
    </xf>
    <xf applyAlignment="true" applyBorder="false" applyFill="true" applyFont="true" applyNumberFormat="false" applyProtection="false" borderId="6" fillId="5" fontId="5" numFmtId="0" xfId="0">
      <alignment horizontal="center" vertical="center"/>
    </xf>
    <xf applyAlignment="true" applyBorder="false" applyFill="true" applyFont="true" applyNumberFormat="false" applyProtection="false" borderId="4" fillId="5" fontId="5" numFmtId="0" xfId="0">
      <alignment horizontal="center" vertical="center"/>
    </xf>
    <xf applyAlignment="true" applyBorder="false" applyFill="true" applyFont="true" applyNumberFormat="true" applyProtection="false" borderId="4" fillId="5" fontId="6" numFmtId="168" xfId="0">
      <alignment horizontal="center" vertical="center"/>
    </xf>
    <xf applyAlignment="true" applyBorder="false" applyFill="true" applyFont="true" applyNumberFormat="true" applyProtection="false" borderId="4" fillId="5" fontId="5" numFmtId="176" xfId="0">
      <alignment horizontal="center" vertical="center"/>
    </xf>
    <xf applyAlignment="true" applyBorder="false" applyFill="true" applyFont="true" applyNumberFormat="true" applyProtection="false" borderId="6" fillId="5" fontId="5" numFmtId="172" xfId="0">
      <alignment horizontal="center" vertical="center"/>
    </xf>
    <xf applyAlignment="true" applyBorder="false" applyFill="true" applyFont="true" applyNumberFormat="true" applyProtection="false" borderId="4" fillId="5" fontId="5" numFmtId="170" xfId="0">
      <alignment horizontal="center" vertical="center"/>
    </xf>
    <xf applyAlignment="true" applyBorder="false" applyFill="true" applyFont="true" applyNumberFormat="true" applyProtection="false" borderId="4" fillId="5" fontId="5" numFmtId="171" xfId="0">
      <alignment horizontal="center" vertical="center"/>
    </xf>
    <xf applyAlignment="true" applyBorder="false" applyFill="true" applyFont="true" applyNumberFormat="true" applyProtection="false" borderId="4" fillId="5" fontId="5" numFmtId="172" xfId="0">
      <alignment horizontal="center" vertical="center"/>
    </xf>
    <xf applyAlignment="true" applyBorder="false" applyFill="false" applyFont="true" applyNumberFormat="true" applyProtection="false" borderId="0" fillId="0" fontId="2" numFmtId="172" xfId="0">
      <alignment vertical="center"/>
    </xf>
    <xf applyAlignment="true" applyBorder="false" applyFill="false" applyFont="true" applyNumberFormat="true" applyProtection="false" borderId="3" fillId="0" fontId="5" numFmtId="173" xfId="0">
      <alignment horizontal="center" vertical="center"/>
    </xf>
    <xf applyAlignment="true" applyBorder="false" applyFill="true" applyFont="true" applyNumberFormat="false" applyProtection="false" borderId="7" fillId="6" fontId="7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72" xfId="0">
      <alignment horizontal="center" vertical="center"/>
    </xf>
    <xf applyAlignment="true" applyBorder="false" applyFill="true" applyFont="true" applyNumberFormat="false" applyProtection="false" borderId="8" fillId="7" fontId="1" numFmtId="0" xfId="0">
      <alignment horizontal="center" vertical="center"/>
    </xf>
    <xf applyAlignment="true" applyBorder="false" applyFill="true" applyFont="true" applyNumberFormat="false" applyProtection="false" borderId="8" fillId="7" fontId="1" numFmtId="0" xfId="0">
      <alignment horizontal="center" vertical="center"/>
    </xf>
    <xf applyAlignment="true" applyBorder="false" applyFill="true" applyFont="true" applyNumberFormat="true" applyProtection="false" borderId="8" fillId="7" fontId="1" numFmtId="177" xfId="0">
      <alignment horizontal="center" vertical="center"/>
    </xf>
    <xf applyAlignment="true" applyBorder="false" applyFill="true" applyFont="true" applyNumberFormat="true" applyProtection="false" borderId="8" fillId="7" fontId="1" numFmtId="17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77" xfId="0">
      <alignment horizontal="center" vertical="center"/>
    </xf>
    <xf applyAlignment="true" applyBorder="false" applyFill="false" applyFont="true" applyNumberFormat="true" applyProtection="false" borderId="0" fillId="0" fontId="2" numFmtId="177" xfId="0">
      <alignment horizontal="center" vertical="center"/>
    </xf>
    <xf applyAlignment="true" applyBorder="false" applyFill="false" applyFont="true" applyNumberFormat="true" applyProtection="false" borderId="0" fillId="0" fontId="2" numFmtId="17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77" xfId="0">
      <alignment horizontal="center" vertical="center"/>
    </xf>
    <xf applyAlignment="true" applyBorder="false" applyFill="false" applyFont="true" applyNumberFormat="true" applyProtection="false" borderId="0" fillId="0" fontId="3" numFmtId="17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79" xfId="0">
      <alignment vertical="center"/>
    </xf>
    <xf applyAlignment="true" applyBorder="false" applyFill="false" applyFont="true" applyNumberFormat="true" applyProtection="false" borderId="0" fillId="0" fontId="2" numFmtId="178" xfId="0">
      <alignment vertical="center"/>
    </xf>
    <xf applyAlignment="true" applyBorder="false" applyFill="false" applyFont="true" applyNumberFormat="true" applyProtection="false" borderId="0" fillId="0" fontId="2" numFmtId="180" xfId="0">
      <alignment vertical="center"/>
    </xf>
    <xf applyAlignment="true" applyBorder="false" applyFill="true" applyFont="true" applyNumberFormat="false" applyProtection="false" borderId="9" fillId="8" fontId="1" numFmtId="0" xfId="0">
      <alignment horizontal="center" vertical="center"/>
    </xf>
    <xf applyAlignment="true" applyBorder="false" applyFill="true" applyFont="true" applyNumberFormat="false" applyProtection="false" borderId="9" fillId="8" fontId="1" numFmtId="0" xfId="0">
      <alignment horizontal="center" vertical="center"/>
    </xf>
    <xf applyAlignment="true" applyBorder="false" applyFill="true" applyFont="true" applyNumberFormat="true" applyProtection="false" borderId="9" fillId="8" fontId="1" numFmtId="181" xfId="0">
      <alignment horizontal="center" vertical="center"/>
    </xf>
    <xf applyAlignment="true" applyBorder="false" applyFill="true" applyFont="true" applyNumberFormat="true" applyProtection="false" borderId="9" fillId="8" fontId="1" numFmtId="181" xfId="0">
      <alignment horizontal="center" vertical="center"/>
    </xf>
    <xf applyAlignment="true" applyBorder="false" applyFill="true" applyFont="true" applyNumberFormat="true" applyProtection="false" borderId="9" fillId="8" fontId="1" numFmtId="182" xfId="0">
      <alignment horizontal="center" vertical="center"/>
    </xf>
    <xf applyAlignment="true" applyBorder="false" applyFill="true" applyFont="true" applyNumberFormat="true" applyProtection="false" borderId="9" fillId="8" fontId="1" numFmtId="182" xfId="0">
      <alignment horizontal="center" vertical="center"/>
    </xf>
    <xf applyAlignment="true" applyBorder="false" applyFill="true" applyFont="true" applyNumberFormat="true" applyProtection="false" borderId="9" fillId="8" fontId="1" numFmtId="183" xfId="0">
      <alignment horizontal="center" vertical="center"/>
    </xf>
    <xf applyAlignment="true" applyBorder="false" applyFill="true" applyFont="true" applyNumberFormat="true" applyProtection="false" borderId="9" fillId="8" fontId="1" numFmtId="184" xfId="0">
      <alignment horizontal="center" vertical="center"/>
    </xf>
    <xf applyAlignment="true" applyBorder="false" applyFill="true" applyFont="true" applyNumberFormat="true" applyProtection="false" borderId="9" fillId="8" fontId="1" numFmtId="185" xfId="0">
      <alignment horizontal="center" vertical="center"/>
    </xf>
    <xf applyAlignment="true" applyBorder="false" applyFill="true" applyFont="true" applyNumberFormat="true" applyProtection="false" borderId="9" fillId="8" fontId="1" numFmtId="184" xfId="0">
      <alignment horizontal="center" vertical="center"/>
    </xf>
    <xf applyAlignment="true" applyBorder="false" applyFill="false" applyFont="true" applyNumberFormat="true" applyProtection="false" borderId="10" fillId="0" fontId="5" numFmtId="186" xfId="0">
      <alignment horizontal="center" vertical="center"/>
    </xf>
    <xf applyAlignment="true" applyBorder="false" applyFill="false" applyFont="true" applyNumberFormat="false" applyProtection="false" borderId="11" fillId="0" fontId="8" numFmtId="0" xfId="0">
      <alignment horizontal="center" vertical="center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false" applyFont="true" applyNumberFormat="false" applyProtection="false" borderId="11" fillId="0" fontId="5" numFmtId="0" xfId="0">
      <alignment horizontal="center" vertical="center"/>
    </xf>
    <xf applyAlignment="true" applyBorder="false" applyFill="false" applyFont="true" applyNumberFormat="false" applyProtection="false" borderId="13" fillId="0" fontId="5" numFmtId="0" xfId="0">
      <alignment horizontal="center" vertical="center"/>
    </xf>
    <xf applyAlignment="true" applyBorder="false" applyFill="false" applyFont="true" applyNumberFormat="true" applyProtection="false" borderId="13" fillId="0" fontId="5" numFmtId="187" xfId="0">
      <alignment horizontal="center" vertical="center"/>
    </xf>
    <xf applyAlignment="true" applyBorder="false" applyFill="false" applyFont="true" applyNumberFormat="true" applyProtection="false" borderId="13" fillId="0" fontId="5" numFmtId="188" xfId="0">
      <alignment horizontal="center" vertical="center"/>
    </xf>
    <xf applyAlignment="true" applyBorder="false" applyFill="true" applyFont="true" applyNumberFormat="true" applyProtection="false" borderId="12" fillId="9" fontId="6" numFmtId="181" xfId="0">
      <alignment horizontal="center" vertical="center"/>
    </xf>
    <xf applyAlignment="true" applyBorder="false" applyFill="true" applyFont="true" applyNumberFormat="true" applyProtection="false" borderId="11" fillId="9" fontId="6" numFmtId="181" xfId="0">
      <alignment horizontal="center" vertical="center"/>
    </xf>
    <xf applyAlignment="true" applyBorder="false" applyFill="true" applyFont="true" applyNumberFormat="true" applyProtection="false" borderId="10" fillId="9" fontId="6" numFmtId="181" xfId="0">
      <alignment horizontal="center" vertical="center"/>
    </xf>
    <xf applyAlignment="true" applyBorder="false" applyFill="false" applyFont="true" applyNumberFormat="false" applyProtection="false" borderId="14" fillId="0" fontId="5" numFmtId="0" xfId="0">
      <alignment horizontal="center" vertical="center"/>
    </xf>
    <xf applyAlignment="true" applyBorder="false" applyFill="false" applyFont="true" applyNumberFormat="true" applyProtection="false" borderId="14" fillId="0" fontId="5" numFmtId="189" xfId="0">
      <alignment horizontal="center" vertical="center"/>
    </xf>
    <xf applyAlignment="true" applyBorder="false" applyFill="false" applyFont="true" applyNumberFormat="false" applyProtection="false" borderId="12" fillId="0" fontId="5" numFmtId="0" xfId="0">
      <alignment horizontal="center" vertical="center"/>
    </xf>
    <xf applyAlignment="true" applyBorder="false" applyFill="false" applyFont="true" applyNumberFormat="false" applyProtection="false" borderId="11" fillId="0" fontId="5" numFmtId="0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true" applyProtection="false" borderId="11" fillId="0" fontId="5" numFmtId="187" xfId="0">
      <alignment horizontal="center" vertical="center"/>
    </xf>
    <xf applyAlignment="true" applyBorder="false" applyFill="false" applyFont="true" applyNumberFormat="true" applyProtection="false" borderId="12" fillId="0" fontId="5" numFmtId="183" xfId="0">
      <alignment horizontal="center" vertical="center"/>
    </xf>
    <xf applyAlignment="true" applyBorder="false" applyFill="false" applyFont="true" applyNumberFormat="true" applyProtection="false" borderId="11" fillId="0" fontId="5" numFmtId="183" xfId="0">
      <alignment horizontal="center" vertical="center"/>
    </xf>
    <xf applyAlignment="true" applyBorder="false" applyFill="false" applyFont="true" applyNumberFormat="true" applyProtection="false" borderId="11" fillId="0" fontId="5" numFmtId="184" xfId="0">
      <alignment horizontal="center" vertical="center"/>
    </xf>
    <xf applyAlignment="true" applyBorder="false" applyFill="false" applyFont="true" applyNumberFormat="true" applyProtection="false" borderId="11" fillId="0" fontId="5" numFmtId="184" xfId="0">
      <alignment horizontal="center" vertical="center"/>
    </xf>
    <xf applyAlignment="true" applyBorder="false" applyFill="false" applyFont="true" applyNumberFormat="true" applyProtection="false" borderId="11" fillId="0" fontId="5" numFmtId="185" xfId="0">
      <alignment horizontal="center" vertical="center"/>
    </xf>
    <xf applyAlignment="true" applyBorder="false" applyFill="false" applyFont="true" applyNumberFormat="false" applyProtection="false" borderId="10" fillId="0" fontId="5" numFmtId="0" xfId="0">
      <alignment horizontal="center" vertical="center"/>
    </xf>
    <xf applyAlignment="true" applyBorder="false" applyFill="false" applyFont="true" applyNumberFormat="true" applyProtection="false" borderId="11" fillId="0" fontId="5" numFmtId="188" xfId="0">
      <alignment horizontal="center" vertical="center"/>
    </xf>
    <xf applyAlignment="true" applyBorder="false" applyFill="false" applyFont="true" applyNumberFormat="false" applyProtection="false" borderId="14" fillId="0" fontId="5" numFmtId="0" xfId="0">
      <alignment horizontal="center" vertical="center"/>
    </xf>
    <xf applyAlignment="true" applyBorder="false" applyFill="false" applyFont="true" applyNumberFormat="true" applyProtection="false" borderId="14" fillId="0" fontId="5" numFmtId="189" xfId="0">
      <alignment horizontal="center" vertical="center"/>
    </xf>
    <xf applyAlignment="true" applyBorder="false" applyFill="false" applyFont="true" applyNumberFormat="true" applyProtection="false" borderId="11" fillId="0" fontId="5" numFmtId="187" xfId="0">
      <alignment horizontal="center" vertical="center"/>
    </xf>
    <xf applyAlignment="true" applyBorder="false" applyFill="false" applyFont="true" applyNumberFormat="true" applyProtection="false" borderId="11" fillId="0" fontId="5" numFmtId="188" xfId="0">
      <alignment horizontal="center" vertical="center"/>
    </xf>
    <xf applyAlignment="true" applyBorder="false" applyFill="false" applyFont="true" applyNumberFormat="true" applyProtection="false" borderId="14" fillId="0" fontId="5" numFmtId="187" xfId="0">
      <alignment horizontal="center" vertical="center"/>
    </xf>
    <xf applyAlignment="true" applyBorder="false" applyFill="false" applyFont="true" applyNumberFormat="true" applyProtection="false" borderId="14" fillId="0" fontId="5" numFmtId="187" xfId="0">
      <alignment horizontal="center" vertical="center"/>
    </xf>
    <xf applyAlignment="true" applyBorder="false" applyFill="false" applyFont="true" applyNumberFormat="true" applyProtection="false" borderId="14" fillId="0" fontId="5" numFmtId="188" xfId="0">
      <alignment horizontal="center" vertical="center"/>
    </xf>
    <xf applyAlignment="true" applyBorder="false" applyFill="true" applyFont="true" applyNumberFormat="true" applyProtection="false" borderId="11" fillId="10" fontId="5" numFmtId="186" xfId="0">
      <alignment horizontal="center" vertical="center"/>
    </xf>
    <xf applyAlignment="true" applyBorder="false" applyFill="true" applyFont="true" applyNumberFormat="false" applyProtection="false" borderId="14" fillId="10" fontId="5" numFmtId="0" xfId="0">
      <alignment horizontal="center" vertical="center"/>
    </xf>
    <xf applyAlignment="true" applyBorder="false" applyFill="true" applyFont="true" applyNumberFormat="false" applyProtection="false" borderId="11" fillId="10" fontId="5" numFmtId="0" xfId="0">
      <alignment horizontal="center" vertical="center"/>
    </xf>
    <xf applyAlignment="true" applyBorder="false" applyFill="true" applyFont="true" applyNumberFormat="true" applyProtection="false" borderId="11" fillId="10" fontId="5" numFmtId="187" xfId="0">
      <alignment horizontal="center" vertical="center"/>
    </xf>
    <xf applyAlignment="true" applyBorder="false" applyFill="true" applyFont="true" applyNumberFormat="true" applyProtection="false" borderId="11" fillId="10" fontId="6" numFmtId="181" xfId="0">
      <alignment horizontal="center" vertical="center"/>
    </xf>
    <xf applyAlignment="true" applyBorder="false" applyFill="true" applyFont="true" applyNumberFormat="true" applyProtection="false" borderId="11" fillId="10" fontId="5" numFmtId="189" xfId="0">
      <alignment horizontal="center" vertical="center"/>
    </xf>
    <xf applyAlignment="true" applyBorder="false" applyFill="true" applyFont="true" applyNumberFormat="true" applyProtection="false" borderId="14" fillId="10" fontId="5" numFmtId="185" xfId="0">
      <alignment horizontal="center" vertical="center"/>
    </xf>
    <xf applyAlignment="true" applyBorder="false" applyFill="true" applyFont="true" applyNumberFormat="true" applyProtection="false" borderId="11" fillId="10" fontId="5" numFmtId="183" xfId="0">
      <alignment horizontal="center" vertical="center"/>
    </xf>
    <xf applyAlignment="true" applyBorder="false" applyFill="true" applyFont="true" applyNumberFormat="true" applyProtection="false" borderId="11" fillId="10" fontId="5" numFmtId="184" xfId="0">
      <alignment horizontal="center" vertical="center"/>
    </xf>
    <xf applyAlignment="true" applyBorder="false" applyFill="true" applyFont="true" applyNumberFormat="true" applyProtection="false" borderId="11" fillId="10" fontId="5" numFmtId="18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0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2" numFmtId="188" xfId="0">
      <alignment vertical="center"/>
    </xf>
    <xf applyAlignment="true" applyBorder="false" applyFill="false" applyFont="true" applyNumberFormat="true" applyProtection="false" borderId="0" fillId="0" fontId="2" numFmtId="188" xfId="0">
      <alignment vertical="center"/>
    </xf>
    <xf applyAlignment="true" applyBorder="false" applyFill="false" applyFont="true" applyNumberFormat="true" applyProtection="false" borderId="0" fillId="0" fontId="2" numFmtId="188" xfId="0">
      <alignment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  <xf applyAlignment="true" applyBorder="false" applyFill="false" applyFont="true" applyNumberFormat="true" applyProtection="false" borderId="0" fillId="0" fontId="2" numFmtId="188" xfId="0">
      <alignment horizontal="right" vertical="center"/>
    </xf>
    <xf applyAlignment="true" applyBorder="false" applyFill="true" applyFont="true" applyNumberFormat="false" applyProtection="false" borderId="15" fillId="11" fontId="1" numFmtId="0" xfId="0">
      <alignment horizontal="center" vertical="center"/>
    </xf>
    <xf applyAlignment="true" applyBorder="false" applyFill="true" applyFont="true" applyNumberFormat="false" applyProtection="false" borderId="15" fillId="11" fontId="1" numFmtId="0" xfId="0">
      <alignment horizontal="center" vertical="center"/>
    </xf>
    <xf applyAlignment="true" applyBorder="false" applyFill="true" applyFont="true" applyNumberFormat="true" applyProtection="false" borderId="15" fillId="11" fontId="1" numFmtId="190" xfId="0">
      <alignment horizontal="center" vertical="center"/>
    </xf>
    <xf applyAlignment="true" applyBorder="false" applyFill="true" applyFont="true" applyNumberFormat="true" applyProtection="false" borderId="15" fillId="11" fontId="1" numFmtId="19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90" xfId="0">
      <alignment horizontal="center" vertical="center"/>
    </xf>
    <xf applyAlignment="true" applyBorder="false" applyFill="false" applyFont="true" applyNumberFormat="true" applyProtection="false" borderId="0" fillId="0" fontId="2" numFmtId="191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9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90" xfId="0">
      <alignment vertical="center"/>
    </xf>
    <xf applyAlignment="true" applyBorder="false" applyFill="false" applyFont="true" applyNumberFormat="true" applyProtection="false" borderId="0" fillId="0" fontId="2" numFmtId="191" xfId="0">
      <alignment vertical="center"/>
    </xf>
    <xf applyAlignment="true" applyBorder="false" applyFill="false" applyFont="true" applyNumberFormat="true" applyProtection="false" borderId="0" fillId="0" fontId="2" numFmtId="192" xfId="0">
      <alignment vertical="center"/>
    </xf>
    <xf applyAlignment="true" applyBorder="false" applyFill="false" applyFont="true" applyNumberFormat="true" applyProtection="false" borderId="0" fillId="0" fontId="2" numFmtId="191" xfId="0">
      <alignment vertical="center"/>
    </xf>
    <xf applyAlignment="true" applyBorder="false" applyFill="true" applyFont="true" applyNumberFormat="false" applyProtection="false" borderId="16" fillId="12" fontId="1" numFmtId="0" xfId="0">
      <alignment horizontal="center" vertical="center"/>
    </xf>
    <xf applyAlignment="true" applyBorder="false" applyFill="true" applyFont="true" applyNumberFormat="false" applyProtection="false" borderId="16" fillId="12" fontId="1" numFmtId="0" xfId="0">
      <alignment horizontal="center" vertical="center"/>
    </xf>
    <xf applyAlignment="true" applyBorder="false" applyFill="true" applyFont="true" applyNumberFormat="true" applyProtection="false" borderId="16" fillId="12" fontId="1" numFmtId="193" xfId="0">
      <alignment horizontal="center" vertical="center"/>
    </xf>
    <xf applyAlignment="true" applyBorder="false" applyFill="true" applyFont="true" applyNumberFormat="true" applyProtection="false" borderId="16" fillId="12" fontId="1" numFmtId="19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93" xfId="0">
      <alignment horizontal="center" vertical="center"/>
    </xf>
    <xf applyAlignment="true" applyBorder="false" applyFill="false" applyFont="true" applyNumberFormat="true" applyProtection="false" borderId="0" fillId="0" fontId="2" numFmtId="19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true" applyProtection="false" borderId="0" fillId="0" fontId="3" numFmtId="193" xfId="0">
      <alignment horizontal="center" vertical="center"/>
    </xf>
    <xf applyAlignment="true" applyBorder="false" applyFill="false" applyFont="true" applyNumberFormat="true" applyProtection="false" borderId="0" fillId="0" fontId="3" numFmtId="194" xfId="0">
      <alignment horizontal="center" vertical="center"/>
    </xf>
    <xf applyAlignment="true" applyBorder="false" applyFill="false" applyFont="true" applyNumberFormat="true" applyProtection="false" borderId="0" fillId="0" fontId="2" numFmtId="193" xfId="0">
      <alignment horizontal="center" vertical="center"/>
    </xf>
    <xf applyAlignment="true" applyBorder="false" applyFill="false" applyFont="true" applyNumberFormat="true" applyProtection="false" borderId="0" fillId="0" fontId="3" numFmtId="193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2" numFmtId="195" xfId="0">
      <alignment vertical="center"/>
    </xf>
    <xf applyAlignment="true" applyBorder="false" applyFill="false" applyFont="true" applyNumberFormat="true" applyProtection="false" borderId="0" fillId="0" fontId="2" numFmtId="194" xfId="0">
      <alignment vertical="center"/>
    </xf>
    <xf applyAlignment="true" applyBorder="false" applyFill="false" applyFont="true" applyNumberFormat="true" applyProtection="false" borderId="0" fillId="0" fontId="2" numFmtId="193" xfId="0">
      <alignment vertical="center"/>
    </xf>
    <xf applyAlignment="true" applyBorder="false" applyFill="true" applyFont="true" applyNumberFormat="false" applyProtection="false" borderId="17" fillId="13" fontId="1" numFmtId="0" xfId="0">
      <alignment horizontal="center" vertical="center"/>
    </xf>
    <xf applyAlignment="true" applyBorder="false" applyFill="true" applyFont="true" applyNumberFormat="false" applyProtection="false" borderId="17" fillId="13" fontId="1" numFmtId="0" xfId="0">
      <alignment horizontal="center" vertical="center"/>
    </xf>
    <xf applyAlignment="true" applyBorder="false" applyFill="true" applyFont="true" applyNumberFormat="true" applyProtection="false" borderId="17" fillId="13" fontId="1" numFmtId="196" xfId="0">
      <alignment horizontal="center" vertical="center"/>
    </xf>
    <xf applyAlignment="true" applyBorder="false" applyFill="false" applyFont="true" applyNumberFormat="true" applyProtection="false" borderId="0" fillId="0" fontId="2" numFmtId="197" xfId="0">
      <alignment vertical="center"/>
    </xf>
    <xf applyAlignment="true" applyBorder="false" applyFill="false" applyFont="true" applyNumberFormat="true" applyProtection="false" borderId="0" fillId="0" fontId="2" numFmtId="196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true" applyProtection="false" borderId="0" fillId="0" fontId="3" numFmtId="196" xfId="0">
      <alignment vertical="center"/>
    </xf>
    <xf applyAlignment="true" applyBorder="false" applyFill="false" applyFont="true" applyNumberFormat="true" applyProtection="false" borderId="0" fillId="0" fontId="3" numFmtId="197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96" xfId="0">
      <alignment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true" applyProtection="false" borderId="0" fillId="0" fontId="3" numFmtId="196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true" applyProtection="false" borderId="0" fillId="0" fontId="2" numFmtId="197" xfId="0">
      <alignment vertical="center"/>
    </xf>
    <xf applyAlignment="true" applyBorder="false" applyFill="false" applyFont="true" applyNumberFormat="true" applyProtection="false" borderId="0" fillId="0" fontId="2" numFmtId="198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99" xfId="0">
      <alignment vertical="center"/>
    </xf>
    <xf applyAlignment="true" applyBorder="false" applyFill="true" applyFont="true" applyNumberFormat="false" applyProtection="false" borderId="18" fillId="14" fontId="1" numFmtId="0" xfId="0">
      <alignment horizontal="center" vertical="center"/>
    </xf>
    <xf applyAlignment="true" applyBorder="false" applyFill="true" applyFont="true" applyNumberFormat="false" applyProtection="false" borderId="18" fillId="14" fontId="1" numFmtId="0" xfId="0">
      <alignment horizontal="center" vertical="center"/>
    </xf>
    <xf applyAlignment="true" applyBorder="false" applyFill="true" applyFont="true" applyNumberFormat="true" applyProtection="false" borderId="18" fillId="14" fontId="1" numFmtId="200" xfId="0">
      <alignment horizontal="center" vertical="center"/>
    </xf>
    <xf applyAlignment="true" applyBorder="false" applyFill="true" applyFont="true" applyNumberFormat="true" applyProtection="false" borderId="18" fillId="14" fontId="1" numFmtId="200" xfId="0">
      <alignment horizontal="center" vertical="center"/>
    </xf>
    <xf applyAlignment="true" applyBorder="false" applyFill="true" applyFont="true" applyNumberFormat="true" applyProtection="false" borderId="18" fillId="14" fontId="1" numFmtId="201" xfId="0">
      <alignment horizontal="center" vertical="center"/>
    </xf>
    <xf applyAlignment="true" applyBorder="false" applyFill="true" applyFont="true" applyNumberFormat="true" applyProtection="false" borderId="18" fillId="14" fontId="1" numFmtId="202" xfId="0">
      <alignment horizontal="center" vertical="center"/>
    </xf>
    <xf applyAlignment="true" applyBorder="false" applyFill="true" applyFont="true" applyNumberFormat="true" applyProtection="false" borderId="18" fillId="14" fontId="1" numFmtId="203" xfId="0">
      <alignment horizontal="center" vertical="center"/>
    </xf>
    <xf applyAlignment="true" applyBorder="false" applyFill="true" applyFont="true" applyNumberFormat="true" applyProtection="false" borderId="18" fillId="14" fontId="1" numFmtId="204" xfId="0">
      <alignment horizontal="center" vertical="center"/>
    </xf>
    <xf applyAlignment="true" applyBorder="false" applyFill="true" applyFont="true" applyNumberFormat="true" applyProtection="false" borderId="18" fillId="14" fontId="1" numFmtId="203" xfId="0">
      <alignment horizontal="center" vertical="center"/>
    </xf>
    <xf applyAlignment="true" applyBorder="false" applyFill="false" applyFont="true" applyNumberFormat="true" applyProtection="false" borderId="19" fillId="0" fontId="5" numFmtId="205" xfId="0">
      <alignment horizontal="center" vertical="center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false" applyFont="true" applyNumberFormat="false" applyProtection="false" borderId="21" fillId="0" fontId="5" numFmtId="0" xfId="0">
      <alignment horizontal="center" vertical="center"/>
    </xf>
    <xf applyAlignment="true" applyBorder="false" applyFill="false" applyFont="true" applyNumberFormat="false" applyProtection="false" borderId="22" fillId="0" fontId="5" numFmtId="0" xfId="0">
      <alignment horizontal="center" vertical="center"/>
    </xf>
    <xf applyAlignment="true" applyBorder="false" applyFill="false" applyFont="true" applyNumberFormat="false" applyProtection="false" borderId="23" fillId="0" fontId="5" numFmtId="0" xfId="0">
      <alignment horizontal="center" vertical="center"/>
    </xf>
    <xf applyAlignment="true" applyBorder="false" applyFill="false" applyFont="true" applyNumberFormat="true" applyProtection="false" borderId="23" fillId="0" fontId="5" numFmtId="206" xfId="0">
      <alignment horizontal="center" vertical="center"/>
    </xf>
    <xf applyAlignment="true" applyBorder="false" applyFill="true" applyFont="true" applyNumberFormat="true" applyProtection="false" borderId="22" fillId="15" fontId="6" numFmtId="200" xfId="0">
      <alignment horizontal="center" vertical="center"/>
    </xf>
    <xf applyAlignment="true" applyBorder="false" applyFill="true" applyFont="true" applyNumberFormat="true" applyProtection="false" borderId="19" fillId="15" fontId="6" numFmtId="200" xfId="0">
      <alignment horizontal="center" vertical="center"/>
    </xf>
    <xf applyAlignment="true" applyBorder="false" applyFill="false" applyFont="true" applyNumberFormat="false" applyProtection="false" borderId="24" fillId="0" fontId="5" numFmtId="0" xfId="0">
      <alignment horizontal="center" vertical="center"/>
    </xf>
    <xf applyAlignment="true" applyBorder="false" applyFill="false" applyFont="true" applyNumberFormat="true" applyProtection="false" borderId="24" fillId="0" fontId="5" numFmtId="207" xfId="0">
      <alignment horizontal="center" vertical="center"/>
    </xf>
    <xf applyAlignment="true" applyBorder="false" applyFill="false" applyFont="true" applyNumberFormat="false" applyProtection="false" borderId="21" fillId="0" fontId="5" numFmtId="0" xfId="0">
      <alignment horizontal="center" vertical="center"/>
    </xf>
    <xf applyAlignment="true" applyBorder="false" applyFill="false" applyFont="true" applyNumberFormat="false" applyProtection="false" borderId="22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208" xfId="0">
      <alignment horizontal="center" vertical="center"/>
    </xf>
    <xf applyAlignment="true" applyBorder="false" applyFill="false" applyFont="true" applyNumberFormat="true" applyProtection="false" borderId="22" fillId="0" fontId="5" numFmtId="202" xfId="0">
      <alignment horizontal="center" vertical="center"/>
    </xf>
    <xf applyAlignment="true" applyBorder="false" applyFill="false" applyFont="true" applyNumberFormat="true" applyProtection="false" borderId="22" fillId="0" fontId="5" numFmtId="202" xfId="0">
      <alignment horizontal="center" vertical="center"/>
    </xf>
    <xf applyAlignment="true" applyBorder="false" applyFill="false" applyFont="true" applyNumberFormat="true" applyProtection="false" borderId="22" fillId="0" fontId="5" numFmtId="203" xfId="0">
      <alignment horizontal="center" vertical="center"/>
    </xf>
    <xf applyAlignment="true" applyBorder="false" applyFill="false" applyFont="true" applyNumberFormat="true" applyProtection="false" borderId="22" fillId="0" fontId="5" numFmtId="204" xfId="0">
      <alignment horizontal="center" vertical="center"/>
    </xf>
    <xf applyAlignment="true" applyBorder="false" applyFill="false" applyFont="true" applyNumberFormat="true" applyProtection="false" borderId="22" fillId="0" fontId="5" numFmtId="203" xfId="0">
      <alignment horizontal="center" vertical="center"/>
    </xf>
    <xf applyAlignment="true" applyBorder="false" applyFill="false" applyFont="true" applyNumberFormat="false" applyProtection="false" borderId="20" fillId="0" fontId="5" numFmtId="0" xfId="0">
      <alignment horizontal="center" vertical="center"/>
    </xf>
    <xf applyAlignment="true" applyBorder="false" applyFill="false" applyFont="true" applyNumberFormat="false" applyProtection="false" borderId="19" fillId="0" fontId="5" numFmtId="0" xfId="0">
      <alignment horizontal="center" vertical="center"/>
    </xf>
    <xf applyAlignment="true" applyBorder="false" applyFill="false" applyFont="true" applyNumberFormat="false" applyProtection="false" borderId="18" fillId="0" fontId="5" numFmtId="0" xfId="0">
      <alignment horizontal="center" vertical="center"/>
    </xf>
    <xf applyAlignment="true" applyBorder="false" applyFill="false" applyFont="true" applyNumberFormat="true" applyProtection="false" borderId="18" fillId="0" fontId="5" numFmtId="206" xfId="0">
      <alignment horizontal="center" vertical="center"/>
    </xf>
    <xf applyAlignment="true" applyBorder="false" applyFill="true" applyFont="true" applyNumberFormat="true" applyProtection="false" borderId="21" fillId="15" fontId="6" numFmtId="200" xfId="0">
      <alignment horizontal="center" vertical="center"/>
    </xf>
    <xf applyAlignment="true" applyBorder="false" applyFill="false" applyFont="true" applyNumberFormat="true" applyProtection="false" borderId="22" fillId="0" fontId="5" numFmtId="206" xfId="0">
      <alignment horizontal="center" vertical="center"/>
    </xf>
    <xf applyAlignment="true" applyBorder="false" applyFill="false" applyFont="true" applyNumberFormat="false" applyProtection="false" borderId="20" fillId="0" fontId="8" numFmtId="0" xfId="0">
      <alignment horizontal="center" vertical="center"/>
    </xf>
    <xf applyAlignment="true" applyBorder="false" applyFill="false" applyFont="true" applyNumberFormat="false" applyProtection="false" borderId="25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true" applyProtection="false" borderId="24" fillId="0" fontId="5" numFmtId="206" xfId="0">
      <alignment horizontal="center" vertical="center"/>
    </xf>
    <xf applyAlignment="true" applyBorder="false" applyFill="false" applyFont="true" applyNumberFormat="true" applyProtection="false" borderId="22" fillId="0" fontId="5" numFmtId="207" xfId="0">
      <alignment horizontal="center" vertical="center"/>
    </xf>
    <xf applyAlignment="true" applyBorder="false" applyFill="true" applyFont="true" applyNumberFormat="true" applyProtection="false" borderId="18" fillId="16" fontId="5" numFmtId="205" xfId="0">
      <alignment horizontal="center" vertical="center"/>
    </xf>
    <xf applyAlignment="true" applyBorder="false" applyFill="true" applyFont="true" applyNumberFormat="false" applyProtection="false" borderId="25" fillId="16" fontId="5" numFmtId="0" xfId="0">
      <alignment horizontal="center" vertical="center"/>
    </xf>
    <xf applyAlignment="true" applyBorder="false" applyFill="true" applyFont="true" applyNumberFormat="false" applyProtection="false" borderId="18" fillId="16" fontId="5" numFmtId="0" xfId="0">
      <alignment horizontal="center" vertical="center"/>
    </xf>
    <xf applyAlignment="true" applyBorder="false" applyFill="true" applyFont="true" applyNumberFormat="true" applyProtection="false" borderId="18" fillId="16" fontId="6" numFmtId="200" xfId="0">
      <alignment horizontal="center" vertical="center"/>
    </xf>
    <xf applyAlignment="true" applyBorder="false" applyFill="true" applyFont="true" applyNumberFormat="true" applyProtection="false" borderId="18" fillId="16" fontId="5" numFmtId="207" xfId="0">
      <alignment horizontal="center" vertical="center"/>
    </xf>
    <xf applyAlignment="true" applyBorder="false" applyFill="true" applyFont="true" applyNumberFormat="true" applyProtection="false" borderId="18" fillId="16" fontId="5" numFmtId="204" xfId="0">
      <alignment horizontal="center" vertical="center"/>
    </xf>
    <xf applyAlignment="true" applyBorder="false" applyFill="true" applyFont="true" applyNumberFormat="true" applyProtection="false" borderId="18" fillId="16" fontId="5" numFmtId="202" xfId="0">
      <alignment horizontal="center" vertical="center"/>
    </xf>
    <xf applyAlignment="true" applyBorder="false" applyFill="true" applyFont="true" applyNumberFormat="true" applyProtection="false" borderId="18" fillId="16" fontId="5" numFmtId="203" xfId="0">
      <alignment horizontal="center" vertical="center"/>
    </xf>
    <xf applyAlignment="true" applyBorder="false" applyFill="false" applyFont="true" applyNumberFormat="false" applyProtection="false" borderId="20" fillId="0" fontId="8" numFmtId="0" xfId="0">
      <alignment horizontal="center" vertical="center"/>
    </xf>
    <xf applyAlignment="true" applyBorder="false" applyFill="false" applyFont="true" applyNumberFormat="true" applyProtection="false" borderId="18" fillId="0" fontId="5" numFmtId="208" xfId="0">
      <alignment horizontal="center" vertical="center"/>
    </xf>
    <xf applyAlignment="true" applyBorder="false" applyFill="false" applyFont="true" applyNumberFormat="true" applyProtection="false" borderId="21" fillId="0" fontId="5" numFmtId="202" xfId="0">
      <alignment horizontal="center" vertical="center"/>
    </xf>
    <xf applyAlignment="true" applyBorder="false" applyFill="false" applyFont="true" applyNumberFormat="true" applyProtection="false" borderId="25" fillId="0" fontId="2" numFmtId="20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27" fillId="16" fontId="5" numFmtId="204" xfId="0">
      <alignment horizontal="center" vertical="center"/>
    </xf>
    <xf applyAlignment="true" applyBorder="false" applyFill="false" applyFont="true" applyNumberFormat="false" applyProtection="false" borderId="19" fillId="0" fontId="5" numFmtId="0" xfId="0">
      <alignment horizontal="center" vertical="center"/>
    </xf>
    <xf applyAlignment="true" applyBorder="false" applyFill="false" applyFont="true" applyNumberFormat="true" applyProtection="false" borderId="22" fillId="0" fontId="5" numFmtId="204" xfId="0">
      <alignment horizontal="center" vertical="center"/>
    </xf>
    <xf applyAlignment="true" applyBorder="false" applyFill="true" applyFont="true" applyNumberFormat="true" applyProtection="false" borderId="25" fillId="16" fontId="5" numFmtId="204" xfId="0">
      <alignment horizontal="center" vertical="center"/>
    </xf>
    <xf applyAlignment="true" applyBorder="false" applyFill="false" applyFont="true" applyNumberFormat="true" applyProtection="false" borderId="28" fillId="0" fontId="5" numFmtId="205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horizontal="center" vertical="center"/>
    </xf>
    <xf applyAlignment="true" applyBorder="false" applyFill="false" applyFont="true" applyNumberFormat="false" applyProtection="false" borderId="30" fillId="0" fontId="5" numFmtId="0" xfId="0">
      <alignment horizontal="center" vertical="center"/>
    </xf>
    <xf applyAlignment="true" applyBorder="false" applyFill="false" applyFont="true" applyNumberFormat="false" applyProtection="false" borderId="30" fillId="0" fontId="5" numFmtId="0" xfId="0">
      <alignment horizontal="center" vertical="center"/>
    </xf>
    <xf applyAlignment="true" applyBorder="false" applyFill="false" applyFont="true" applyNumberFormat="true" applyProtection="false" borderId="30" fillId="0" fontId="5" numFmtId="206" xfId="0">
      <alignment horizontal="center" vertical="center"/>
    </xf>
    <xf applyAlignment="true" applyBorder="false" applyFill="true" applyFont="true" applyNumberFormat="true" applyProtection="false" borderId="29" fillId="15" fontId="6" numFmtId="200" xfId="0">
      <alignment horizontal="center" vertical="center"/>
    </xf>
    <xf applyAlignment="true" applyBorder="false" applyFill="true" applyFont="true" applyNumberFormat="true" applyProtection="false" borderId="20" fillId="15" fontId="6" numFmtId="200" xfId="0">
      <alignment horizontal="center" vertical="center"/>
    </xf>
    <xf applyAlignment="true" applyBorder="false" applyFill="true" applyFont="true" applyNumberFormat="true" applyProtection="false" borderId="28" fillId="15" fontId="6" numFmtId="200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true" applyProtection="false" borderId="31" fillId="0" fontId="5" numFmtId="207" xfId="0">
      <alignment horizontal="center" vertical="center"/>
    </xf>
    <xf applyAlignment="true" applyBorder="false" applyFill="false" applyFont="true" applyNumberFormat="false" applyProtection="false" borderId="28" fillId="0" fontId="5" numFmtId="0" xfId="0">
      <alignment horizontal="center" vertical="center"/>
    </xf>
    <xf applyAlignment="true" applyBorder="false" applyFill="false" applyFont="true" applyNumberFormat="true" applyProtection="false" borderId="20" fillId="0" fontId="5" numFmtId="203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true" applyProtection="false" borderId="20" fillId="0" fontId="5" numFmtId="206" xfId="0">
      <alignment horizontal="center" vertical="center"/>
    </xf>
    <xf applyAlignment="true" applyBorder="false" applyFill="false" applyFont="true" applyNumberFormat="false" applyProtection="false" borderId="31" fillId="0" fontId="5" numFmtId="0" xfId="0">
      <alignment horizontal="center" vertical="center"/>
    </xf>
    <xf applyAlignment="true" applyBorder="false" applyFill="false" applyFont="true" applyNumberFormat="true" applyProtection="false" borderId="31" fillId="0" fontId="5" numFmtId="206" xfId="0">
      <alignment horizontal="center" vertical="center"/>
    </xf>
    <xf applyAlignment="true" applyBorder="false" applyFill="false" applyFont="true" applyNumberFormat="true" applyProtection="false" borderId="31" fillId="0" fontId="5" numFmtId="206" xfId="0">
      <alignment horizontal="center" vertical="center"/>
    </xf>
    <xf applyAlignment="true" applyBorder="false" applyFill="false" applyFont="true" applyNumberFormat="true" applyProtection="false" borderId="20" fillId="0" fontId="5" numFmtId="207" xfId="0">
      <alignment horizontal="center" vertical="center"/>
    </xf>
    <xf applyAlignment="true" applyBorder="false" applyFill="false" applyFont="true" applyNumberFormat="true" applyProtection="false" borderId="20" fillId="0" fontId="5" numFmtId="203" xfId="0">
      <alignment horizontal="center" vertical="center"/>
    </xf>
    <xf applyAlignment="true" applyBorder="false" applyFill="true" applyFont="true" applyNumberFormat="true" applyProtection="false" borderId="20" fillId="16" fontId="5" numFmtId="205" xfId="0">
      <alignment horizontal="center" vertical="center"/>
    </xf>
    <xf applyAlignment="true" applyBorder="false" applyFill="true" applyFont="true" applyNumberFormat="false" applyProtection="false" borderId="31" fillId="16" fontId="5" numFmtId="0" xfId="0">
      <alignment horizontal="center" vertical="center"/>
    </xf>
    <xf applyAlignment="true" applyBorder="false" applyFill="true" applyFont="true" applyNumberFormat="false" applyProtection="false" borderId="20" fillId="16" fontId="5" numFmtId="0" xfId="0">
      <alignment horizontal="center" vertical="center"/>
    </xf>
    <xf applyAlignment="true" applyBorder="false" applyFill="true" applyFont="true" applyNumberFormat="true" applyProtection="false" borderId="20" fillId="16" fontId="5" numFmtId="208" xfId="0">
      <alignment horizontal="center" vertical="center"/>
    </xf>
    <xf applyAlignment="true" applyBorder="false" applyFill="true" applyFont="true" applyNumberFormat="true" applyProtection="false" borderId="20" fillId="16" fontId="6" numFmtId="200" xfId="0">
      <alignment horizontal="center" vertical="center"/>
    </xf>
    <xf applyAlignment="true" applyBorder="false" applyFill="true" applyFont="true" applyNumberFormat="true" applyProtection="false" borderId="20" fillId="16" fontId="5" numFmtId="207" xfId="0">
      <alignment horizontal="center" vertical="center"/>
    </xf>
    <xf applyAlignment="true" applyBorder="false" applyFill="true" applyFont="true" applyNumberFormat="true" applyProtection="false" borderId="31" fillId="16" fontId="5" numFmtId="204" xfId="0">
      <alignment horizontal="center" vertical="center"/>
    </xf>
    <xf applyAlignment="true" applyBorder="false" applyFill="true" applyFont="true" applyNumberFormat="true" applyProtection="false" borderId="20" fillId="16" fontId="5" numFmtId="202" xfId="0">
      <alignment horizontal="center" vertical="center"/>
    </xf>
    <xf applyAlignment="true" applyBorder="false" applyFill="true" applyFont="true" applyNumberFormat="true" applyProtection="false" borderId="20" fillId="16" fontId="5" numFmtId="203" xfId="0">
      <alignment horizontal="center" vertical="center"/>
    </xf>
    <xf applyAlignment="true" applyBorder="false" applyFill="true" applyFont="true" applyNumberFormat="true" applyProtection="false" borderId="20" fillId="16" fontId="5" numFmtId="204" xfId="0">
      <alignment horizontal="center" vertical="center"/>
    </xf>
    <xf applyAlignment="true" applyBorder="false" applyFill="false" applyFont="true" applyNumberFormat="true" applyProtection="false" borderId="20" fillId="0" fontId="5" numFmtId="208" xfId="0">
      <alignment horizontal="center" vertical="center"/>
    </xf>
    <xf applyAlignment="true" applyBorder="false" applyFill="false" applyFont="true" applyNumberFormat="true" applyProtection="false" borderId="29" fillId="0" fontId="5" numFmtId="202" xfId="0">
      <alignment horizontal="center" vertical="center"/>
    </xf>
    <xf applyAlignment="true" applyBorder="false" applyFill="false" applyFont="true" applyNumberFormat="true" applyProtection="false" borderId="20" fillId="0" fontId="5" numFmtId="202" xfId="0">
      <alignment horizontal="center" vertical="center"/>
    </xf>
    <xf applyAlignment="true" applyBorder="false" applyFill="false" applyFont="true" applyNumberFormat="true" applyProtection="false" borderId="20" fillId="0" fontId="5" numFmtId="204" xfId="0">
      <alignment horizontal="center" vertical="center"/>
    </xf>
    <xf applyAlignment="true" applyBorder="false" applyFill="false" applyFont="true" applyNumberFormat="true" applyProtection="false" borderId="31" fillId="0" fontId="5" numFmtId="208" xfId="0">
      <alignment horizontal="center" vertical="center"/>
    </xf>
    <xf applyAlignment="true" applyBorder="false" applyFill="false" applyFont="true" applyNumberFormat="true" applyProtection="false" borderId="31" fillId="0" fontId="5" numFmtId="208" xfId="0">
      <alignment horizontal="center" vertical="center"/>
    </xf>
    <xf applyAlignment="true" applyBorder="false" applyFill="true" applyFont="true" applyNumberFormat="true" applyProtection="false" borderId="20" fillId="16" fontId="5" numFmtId="205" xfId="0">
      <alignment horizontal="center" vertical="center"/>
    </xf>
    <xf applyAlignment="true" applyBorder="false" applyFill="false" applyFont="true" applyNumberFormat="true" applyProtection="false" borderId="30" fillId="0" fontId="5" numFmtId="208" xfId="0">
      <alignment horizontal="center" vertical="center"/>
    </xf>
    <xf applyAlignment="true" applyBorder="false" applyFill="false" applyFont="true" applyNumberFormat="true" applyProtection="false" borderId="30" fillId="0" fontId="5" numFmtId="206" xfId="0">
      <alignment horizontal="center" vertical="center"/>
    </xf>
    <xf applyAlignment="true" applyBorder="false" applyFill="false" applyFont="true" applyNumberFormat="false" applyProtection="false" borderId="28" fillId="0" fontId="5" numFmtId="0" xfId="0">
      <alignment horizontal="center" vertical="center"/>
    </xf>
    <xf applyAlignment="true" applyBorder="false" applyFill="false" applyFont="true" applyNumberFormat="false" applyProtection="false" borderId="20" fillId="0" fontId="9" numFmtId="0" xfId="0">
      <alignment horizontal="center" vertical="center"/>
    </xf>
    <xf applyAlignment="true" applyBorder="false" applyFill="false" applyFont="true" applyNumberFormat="false" applyProtection="false" borderId="29" fillId="0" fontId="5" numFmtId="0" xfId="0">
      <alignment horizontal="center" vertical="center"/>
    </xf>
    <xf applyAlignment="true" applyBorder="false" applyFill="false" applyFont="true" applyNumberFormat="true" applyProtection="false" borderId="20" fillId="0" fontId="5" numFmtId="207" xfId="0">
      <alignment horizontal="center" vertical="center"/>
    </xf>
    <xf applyAlignment="true" applyBorder="false" applyFill="false" applyFont="true" applyNumberFormat="true" applyProtection="false" borderId="31" fillId="0" fontId="5" numFmtId="207" xfId="0">
      <alignment horizontal="center" vertical="center"/>
    </xf>
    <xf applyAlignment="true" applyBorder="false" applyFill="false" applyFont="true" applyNumberFormat="true" applyProtection="false" borderId="20" fillId="0" fontId="5" numFmtId="208" xfId="0">
      <alignment horizontal="center" vertical="center"/>
    </xf>
    <xf applyAlignment="true" applyBorder="false" applyFill="false" applyFont="true" applyNumberFormat="true" applyProtection="false" borderId="20" fillId="0" fontId="5" numFmtId="206" xfId="0">
      <alignment horizontal="center" vertical="center"/>
    </xf>
    <xf applyAlignment="true" applyBorder="false" applyFill="false" applyFont="true" applyNumberFormat="true" applyProtection="false" borderId="31" fillId="0" fontId="5" numFmtId="208" xfId="0">
      <alignment horizontal="center" vertical="center"/>
    </xf>
    <xf applyAlignment="true" applyBorder="false" applyFill="false" applyFont="true" applyNumberFormat="false" applyProtection="false" borderId="28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2" numFmtId="208" xfId="0">
      <alignment vertical="center"/>
    </xf>
    <xf applyAlignment="true" applyBorder="false" applyFill="true" applyFont="true" applyNumberFormat="false" applyProtection="false" borderId="0" fillId="17" fontId="11" numFmtId="0" xfId="0">
      <alignment vertical="center"/>
    </xf>
    <xf applyAlignment="true" applyBorder="false" applyFill="true" applyFont="true" applyNumberFormat="false" applyProtection="false" borderId="32" fillId="18" fontId="1" numFmtId="0" xfId="0">
      <alignment horizontal="center" vertical="center"/>
    </xf>
    <xf applyAlignment="true" applyBorder="false" applyFill="true" applyFont="true" applyNumberFormat="false" applyProtection="false" borderId="32" fillId="18" fontId="1" numFmtId="0" xfId="0">
      <alignment horizontal="center" vertical="center"/>
    </xf>
    <xf applyAlignment="true" applyBorder="false" applyFill="true" applyFont="true" applyNumberFormat="true" applyProtection="false" borderId="32" fillId="18" fontId="1" numFmtId="209" xfId="0">
      <alignment horizontal="center" vertical="center"/>
    </xf>
    <xf applyAlignment="true" applyBorder="false" applyFill="true" applyFont="true" applyNumberFormat="true" applyProtection="false" borderId="32" fillId="18" fontId="1" numFmtId="210" xfId="0">
      <alignment horizontal="center" vertical="center"/>
    </xf>
    <xf applyAlignment="true" applyBorder="false" applyFill="true" applyFont="true" applyNumberFormat="true" applyProtection="false" borderId="32" fillId="18" fontId="1" numFmtId="211" xfId="0">
      <alignment horizontal="center" vertical="center"/>
    </xf>
    <xf applyAlignment="true" applyBorder="false" applyFill="true" applyFont="true" applyNumberFormat="true" applyProtection="false" borderId="32" fillId="18" fontId="1" numFmtId="212" xfId="0">
      <alignment horizontal="center" vertical="center"/>
    </xf>
    <xf applyAlignment="true" applyBorder="false" applyFill="true" applyFont="true" applyNumberFormat="true" applyProtection="false" borderId="32" fillId="18" fontId="1" numFmtId="213" xfId="0">
      <alignment horizontal="center" vertical="center"/>
    </xf>
    <xf applyAlignment="true" applyBorder="false" applyFill="true" applyFont="true" applyNumberFormat="true" applyProtection="false" borderId="32" fillId="18" fontId="1" numFmtId="212" xfId="0">
      <alignment horizontal="center" vertical="center"/>
    </xf>
    <xf applyAlignment="true" applyBorder="false" applyFill="false" applyFont="true" applyNumberFormat="false" applyProtection="false" borderId="33" fillId="0" fontId="5" numFmtId="0" xfId="0">
      <alignment horizontal="center" vertical="center"/>
    </xf>
    <xf applyAlignment="true" applyBorder="false" applyFill="false" applyFont="true" applyNumberFormat="false" applyProtection="false" borderId="34" fillId="0" fontId="8" numFmtId="0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false" applyFont="true" applyNumberFormat="false" applyProtection="false" borderId="36" fillId="0" fontId="5" numFmtId="0" xfId="0">
      <alignment horizontal="center" vertical="center"/>
    </xf>
    <xf applyAlignment="true" applyBorder="false" applyFill="false" applyFont="true" applyNumberFormat="true" applyProtection="false" borderId="36" fillId="0" fontId="5" numFmtId="214" xfId="0">
      <alignment horizontal="center" vertical="center"/>
    </xf>
    <xf applyAlignment="true" applyBorder="false" applyFill="true" applyFont="true" applyNumberFormat="true" applyProtection="false" borderId="36" fillId="19" fontId="6" numFmtId="209" xfId="0">
      <alignment horizontal="center" vertical="center"/>
    </xf>
    <xf applyAlignment="true" applyBorder="false" applyFill="true" applyFont="true" applyNumberFormat="true" applyProtection="false" borderId="33" fillId="19" fontId="6" numFmtId="209" xfId="0">
      <alignment horizontal="center" vertical="center"/>
    </xf>
    <xf applyAlignment="true" applyBorder="false" applyFill="false" applyFont="true" applyNumberFormat="false" applyProtection="false" borderId="37" fillId="0" fontId="5" numFmtId="0" xfId="0">
      <alignment horizontal="center" vertical="center"/>
    </xf>
    <xf applyAlignment="true" applyBorder="false" applyFill="false" applyFont="true" applyNumberFormat="true" applyProtection="false" borderId="37" fillId="0" fontId="5" numFmtId="215" xfId="0">
      <alignment horizontal="center" vertical="center"/>
    </xf>
    <xf applyAlignment="true" applyBorder="false" applyFill="false" applyFont="true" applyNumberFormat="false" applyProtection="false" borderId="35" fillId="0" fontId="5" numFmtId="0" xfId="0">
      <alignment horizontal="center" vertical="center"/>
    </xf>
    <xf applyAlignment="true" applyBorder="false" applyFill="false" applyFont="true" applyNumberFormat="false" applyProtection="false" borderId="36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216" xfId="0">
      <alignment horizontal="center" vertical="center"/>
    </xf>
    <xf applyAlignment="true" applyBorder="false" applyFill="false" applyFont="true" applyNumberFormat="true" applyProtection="false" borderId="36" fillId="0" fontId="5" numFmtId="211" xfId="0">
      <alignment horizontal="center" vertical="center"/>
    </xf>
    <xf applyAlignment="true" applyBorder="false" applyFill="false" applyFont="true" applyNumberFormat="true" applyProtection="false" borderId="36" fillId="0" fontId="5" numFmtId="211" xfId="0">
      <alignment horizontal="center" vertical="center"/>
    </xf>
    <xf applyAlignment="true" applyBorder="false" applyFill="false" applyFont="true" applyNumberFormat="true" applyProtection="false" borderId="36" fillId="0" fontId="5" numFmtId="212" xfId="0">
      <alignment horizontal="center" vertical="center"/>
    </xf>
    <xf applyAlignment="true" applyBorder="false" applyFill="false" applyFont="true" applyNumberFormat="true" applyProtection="false" borderId="36" fillId="0" fontId="5" numFmtId="213" xfId="0">
      <alignment horizontal="center" vertical="center"/>
    </xf>
    <xf applyAlignment="true" applyBorder="false" applyFill="false" applyFont="true" applyNumberFormat="true" applyProtection="false" borderId="36" fillId="0" fontId="5" numFmtId="212" xfId="0">
      <alignment horizontal="center" vertical="center"/>
    </xf>
    <xf applyAlignment="true" applyBorder="false" applyFill="false" applyFont="true" applyNumberFormat="false" applyProtection="false" borderId="32" fillId="0" fontId="5" numFmtId="0" xfId="0">
      <alignment horizontal="center" vertical="center"/>
    </xf>
    <xf applyAlignment="true" applyBorder="false" applyFill="false" applyFont="true" applyNumberFormat="false" applyProtection="false" borderId="38" fillId="0" fontId="5" numFmtId="0" xfId="0">
      <alignment horizontal="center" vertical="center"/>
    </xf>
    <xf applyAlignment="true" applyBorder="false" applyFill="false" applyFont="true" applyNumberFormat="true" applyProtection="false" borderId="38" fillId="0" fontId="5" numFmtId="214" xfId="0">
      <alignment horizontal="center" vertical="center"/>
    </xf>
    <xf applyAlignment="true" applyBorder="false" applyFill="true" applyFont="true" applyNumberFormat="false" applyProtection="false" borderId="32" fillId="20" fontId="5" numFmtId="0" xfId="0">
      <alignment horizontal="center" vertical="center"/>
    </xf>
    <xf applyAlignment="true" applyBorder="false" applyFill="true" applyFont="true" applyNumberFormat="false" applyProtection="false" borderId="39" fillId="20" fontId="5" numFmtId="0" xfId="0">
      <alignment horizontal="center" vertical="center"/>
    </xf>
    <xf applyAlignment="true" applyBorder="false" applyFill="true" applyFont="true" applyNumberFormat="false" applyProtection="false" borderId="32" fillId="20" fontId="5" numFmtId="0" xfId="0">
      <alignment horizontal="center" vertical="center"/>
    </xf>
    <xf applyAlignment="true" applyBorder="false" applyFill="true" applyFont="true" applyNumberFormat="true" applyProtection="false" borderId="32" fillId="20" fontId="6" numFmtId="209" xfId="0">
      <alignment horizontal="center" vertical="center"/>
    </xf>
    <xf applyAlignment="true" applyBorder="false" applyFill="true" applyFont="true" applyNumberFormat="true" applyProtection="false" borderId="32" fillId="20" fontId="5" numFmtId="215" xfId="0">
      <alignment horizontal="center" vertical="center"/>
    </xf>
    <xf applyAlignment="true" applyBorder="false" applyFill="true" applyFont="true" applyNumberFormat="true" applyProtection="false" borderId="32" fillId="20" fontId="5" numFmtId="213" xfId="0">
      <alignment horizontal="center" vertical="center"/>
    </xf>
    <xf applyAlignment="true" applyBorder="false" applyFill="true" applyFont="true" applyNumberFormat="true" applyProtection="false" borderId="32" fillId="20" fontId="5" numFmtId="211" xfId="0">
      <alignment horizontal="center" vertical="center"/>
    </xf>
    <xf applyAlignment="true" applyBorder="false" applyFill="true" applyFont="true" applyNumberFormat="true" applyProtection="false" borderId="32" fillId="20" fontId="5" numFmtId="212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center" vertical="center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true" applyFont="true" applyNumberFormat="true" applyProtection="false" borderId="35" fillId="19" fontId="6" numFmtId="209" xfId="0">
      <alignment horizontal="center" vertical="center"/>
    </xf>
    <xf applyAlignment="true" applyBorder="false" applyFill="false" applyFont="true" applyNumberFormat="false" applyProtection="false" borderId="41" fillId="0" fontId="2" numFmtId="0" xfId="0">
      <alignment horizontal="center" vertical="center"/>
    </xf>
    <xf applyAlignment="true" applyBorder="false" applyFill="false" applyFont="true" applyNumberFormat="false" applyProtection="false" borderId="40" fillId="0" fontId="5" numFmtId="0" xfId="0">
      <alignment horizontal="center" vertical="center"/>
    </xf>
    <xf applyAlignment="true" applyBorder="false" applyFill="false" applyFont="true" applyNumberFormat="true" applyProtection="false" borderId="37" fillId="0" fontId="5" numFmtId="214" xfId="0">
      <alignment horizontal="center" vertical="center"/>
    </xf>
    <xf applyAlignment="true" applyBorder="false" applyFill="false" applyFont="true" applyNumberFormat="true" applyProtection="false" borderId="36" fillId="0" fontId="5" numFmtId="215" xfId="0">
      <alignment horizontal="center" vertical="center"/>
    </xf>
    <xf applyAlignment="true" applyBorder="false" applyFill="false" applyFont="true" applyNumberFormat="false" applyProtection="false" borderId="40" fillId="0" fontId="8" numFmtId="0" xfId="0">
      <alignment horizontal="center" vertical="center"/>
    </xf>
    <xf applyAlignment="true" applyBorder="false" applyFill="false" applyFont="true" applyNumberFormat="false" applyProtection="false" borderId="34" fillId="0" fontId="5" numFmtId="0" xfId="0">
      <alignment horizontal="center" vertical="center"/>
    </xf>
    <xf applyAlignment="true" applyBorder="false" applyFill="false" applyFont="true" applyNumberFormat="true" applyProtection="false" borderId="35" fillId="0" fontId="5" numFmtId="214" xfId="0">
      <alignment horizontal="center" vertical="center"/>
    </xf>
    <xf applyAlignment="true" applyBorder="false" applyFill="false" applyFont="true" applyNumberFormat="true" applyProtection="false" borderId="32" fillId="0" fontId="5" numFmtId="214" xfId="0">
      <alignment horizontal="center" vertical="center"/>
    </xf>
    <xf applyAlignment="true" applyBorder="false" applyFill="false" applyFont="true" applyNumberFormat="false" applyProtection="false" borderId="40" fillId="0" fontId="8" numFmtId="0" xfId="0">
      <alignment horizontal="center" vertical="center"/>
    </xf>
    <xf applyAlignment="true" applyBorder="false" applyFill="false" applyFont="true" applyNumberFormat="false" applyProtection="false" borderId="39" fillId="0" fontId="2" numFmtId="0" xfId="0">
      <alignment horizontal="center" vertical="center"/>
    </xf>
    <xf applyAlignment="true" applyBorder="false" applyFill="false" applyFont="true" applyNumberFormat="false" applyProtection="false" borderId="36" fillId="0" fontId="9" numFmtId="0" xfId="0">
      <alignment horizontal="center" vertical="center"/>
    </xf>
    <xf applyAlignment="true" applyBorder="false" applyFill="false" applyFont="true" applyNumberFormat="false" applyProtection="false" borderId="33" fillId="0" fontId="9" numFmtId="0" xfId="0">
      <alignment horizontal="center" vertical="center"/>
    </xf>
    <xf applyAlignment="true" applyBorder="false" applyFill="false" applyFont="true" applyNumberFormat="true" applyProtection="false" borderId="0" fillId="0" fontId="2" numFmtId="214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21" fontId="11" numFmtId="0" xfId="0">
      <alignment vertical="center"/>
    </xf>
    <xf applyAlignment="true" applyBorder="false" applyFill="true" applyFont="true" applyNumberFormat="true" applyProtection="false" borderId="0" fillId="21" fontId="11" numFmtId="214" xfId="0">
      <alignment vertical="center"/>
    </xf>
    <xf applyAlignment="true" applyBorder="false" applyFill="true" applyFont="true" applyNumberFormat="true" applyProtection="false" borderId="36" fillId="21" fontId="6" numFmtId="209" xfId="0">
      <alignment horizontal="center" vertical="center"/>
    </xf>
    <xf applyAlignment="true" applyBorder="false" applyFill="true" applyFont="true" applyNumberFormat="false" applyProtection="false" borderId="0" fillId="21" fontId="2" numFmtId="0" xfId="0">
      <alignment vertical="center"/>
    </xf>
    <xf applyAlignment="true" applyBorder="false" applyFill="false" applyFont="true" applyNumberFormat="true" applyProtection="false" borderId="0" fillId="0" fontId="2" numFmtId="214" xfId="0">
      <alignment vertical="center"/>
    </xf>
    <xf applyAlignment="true" applyBorder="false" applyFill="true" applyFont="true" applyNumberFormat="false" applyProtection="false" borderId="42" fillId="22" fontId="1" numFmtId="0" xfId="0">
      <alignment horizontal="center" vertical="center"/>
    </xf>
    <xf applyAlignment="true" applyBorder="false" applyFill="true" applyFont="true" applyNumberFormat="false" applyProtection="false" borderId="42" fillId="22" fontId="1" numFmtId="0" xfId="0">
      <alignment horizontal="center" vertical="center"/>
    </xf>
    <xf applyAlignment="true" applyBorder="false" applyFill="true" applyFont="true" applyNumberFormat="true" applyProtection="false" borderId="42" fillId="22" fontId="1" numFmtId="217" xfId="0">
      <alignment horizontal="center" vertical="center"/>
    </xf>
    <xf applyAlignment="true" applyBorder="false" applyFill="true" applyFont="true" applyNumberFormat="true" applyProtection="false" borderId="42" fillId="22" fontId="1" numFmtId="218" xfId="0">
      <alignment horizontal="center" vertical="center"/>
    </xf>
    <xf applyAlignment="true" applyBorder="false" applyFill="true" applyFont="true" applyNumberFormat="true" applyProtection="false" borderId="42" fillId="22" fontId="1" numFmtId="219" xfId="0">
      <alignment horizontal="center" vertical="center"/>
    </xf>
    <xf applyAlignment="true" applyBorder="false" applyFill="true" applyFont="true" applyNumberFormat="true" applyProtection="false" borderId="42" fillId="22" fontId="1" numFmtId="220" xfId="0">
      <alignment horizontal="center" vertical="center"/>
    </xf>
    <xf applyAlignment="true" applyBorder="false" applyFill="true" applyFont="true" applyNumberFormat="true" applyProtection="false" borderId="42" fillId="22" fontId="1" numFmtId="221" xfId="0">
      <alignment horizontal="center" vertical="center"/>
    </xf>
    <xf applyAlignment="true" applyBorder="false" applyFill="true" applyFont="true" applyNumberFormat="true" applyProtection="false" borderId="42" fillId="22" fontId="1" numFmtId="220" xfId="0">
      <alignment horizontal="center" vertical="center"/>
    </xf>
    <xf applyAlignment="true" applyBorder="false" applyFill="false" applyFont="true" applyNumberFormat="false" applyProtection="false" borderId="43" fillId="0" fontId="5" numFmtId="0" xfId="0">
      <alignment horizontal="center" vertical="center"/>
    </xf>
    <xf applyAlignment="true" applyBorder="false" applyFill="false" applyFont="true" applyNumberFormat="false" applyProtection="false" borderId="44" fillId="0" fontId="5" numFmtId="0" xfId="0">
      <alignment horizontal="center" vertical="center"/>
    </xf>
    <xf applyAlignment="true" applyBorder="false" applyFill="false" applyFont="true" applyNumberFormat="false" applyProtection="false" borderId="45" fillId="0" fontId="5" numFmtId="0" xfId="0">
      <alignment horizontal="center" vertical="center"/>
    </xf>
    <xf applyAlignment="true" applyBorder="false" applyFill="false" applyFont="true" applyNumberFormat="false" applyProtection="false" borderId="46" fillId="0" fontId="5" numFmtId="0" xfId="0">
      <alignment horizontal="center" vertical="center"/>
    </xf>
    <xf applyAlignment="true" applyBorder="false" applyFill="false" applyFont="true" applyNumberFormat="true" applyProtection="false" borderId="46" fillId="0" fontId="5" numFmtId="222" xfId="0">
      <alignment horizontal="center" vertical="center"/>
    </xf>
    <xf applyAlignment="true" applyBorder="false" applyFill="true" applyFont="true" applyNumberFormat="true" applyProtection="false" borderId="46" fillId="23" fontId="6" numFmtId="217" xfId="0">
      <alignment horizontal="center" vertical="center"/>
    </xf>
    <xf applyAlignment="true" applyBorder="false" applyFill="false" applyFont="true" applyNumberFormat="true" applyProtection="false" borderId="46" fillId="0" fontId="5" numFmtId="223" xfId="0">
      <alignment horizontal="center" vertical="center"/>
    </xf>
    <xf applyAlignment="true" applyBorder="false" applyFill="false" applyFont="true" applyNumberFormat="false" applyProtection="false" borderId="46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224" xfId="0">
      <alignment horizontal="center" vertical="center"/>
    </xf>
    <xf applyAlignment="true" applyBorder="false" applyFill="false" applyFont="true" applyNumberFormat="true" applyProtection="false" borderId="46" fillId="0" fontId="5" numFmtId="219" xfId="0">
      <alignment horizontal="center" vertical="center"/>
    </xf>
    <xf applyAlignment="true" applyBorder="false" applyFill="false" applyFont="true" applyNumberFormat="true" applyProtection="false" borderId="46" fillId="0" fontId="5" numFmtId="219" xfId="0">
      <alignment horizontal="center" vertical="center"/>
    </xf>
    <xf applyAlignment="true" applyBorder="false" applyFill="false" applyFont="true" applyNumberFormat="true" applyProtection="false" borderId="46" fillId="0" fontId="5" numFmtId="220" xfId="0">
      <alignment horizontal="center" vertical="center"/>
    </xf>
    <xf applyAlignment="true" applyBorder="false" applyFill="false" applyFont="true" applyNumberFormat="true" applyProtection="false" borderId="46" fillId="0" fontId="5" numFmtId="221" xfId="0">
      <alignment horizontal="center" vertical="center"/>
    </xf>
    <xf applyAlignment="true" applyBorder="false" applyFill="false" applyFont="true" applyNumberFormat="false" applyProtection="false" borderId="47" fillId="0" fontId="5" numFmtId="0" xfId="0">
      <alignment horizontal="center" vertical="center"/>
    </xf>
    <xf applyAlignment="true" applyBorder="false" applyFill="false" applyFont="true" applyNumberFormat="true" applyProtection="false" borderId="47" fillId="0" fontId="5" numFmtId="222" xfId="0">
      <alignment horizontal="center" vertical="center"/>
    </xf>
    <xf applyAlignment="true" applyBorder="false" applyFill="false" applyFont="true" applyNumberFormat="false" applyProtection="false" borderId="44" fillId="0" fontId="5" numFmtId="0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false" applyFont="true" applyNumberFormat="false" applyProtection="false" borderId="42" fillId="0" fontId="2" numFmtId="0" xfId="0">
      <alignment horizontal="center" vertical="center"/>
    </xf>
    <xf applyAlignment="true" applyBorder="false" applyFill="true" applyFont="true" applyNumberFormat="true" applyProtection="false" borderId="45" fillId="23" fontId="6" numFmtId="217" xfId="0">
      <alignment horizontal="center" vertical="center"/>
    </xf>
    <xf applyAlignment="true" applyBorder="false" applyFill="true" applyFont="true" applyNumberFormat="true" applyProtection="false" borderId="43" fillId="23" fontId="6" numFmtId="217" xfId="0">
      <alignment horizontal="center" vertical="center"/>
    </xf>
    <xf applyAlignment="true" applyBorder="false" applyFill="false" applyFont="true" applyNumberFormat="false" applyProtection="false" borderId="48" fillId="0" fontId="2" numFmtId="0" xfId="0">
      <alignment horizontal="center" vertical="center"/>
    </xf>
    <xf applyAlignment="true" applyBorder="false" applyFill="false" applyFont="true" applyNumberFormat="false" applyProtection="false" borderId="45" fillId="0" fontId="5" numFmtId="0" xfId="0">
      <alignment horizontal="center" vertical="center"/>
    </xf>
    <xf applyAlignment="true" applyBorder="false" applyFill="false" applyFont="true" applyNumberFormat="false" applyProtection="false" borderId="49" fillId="0" fontId="5" numFmtId="0" xfId="0">
      <alignment horizontal="center" vertical="center"/>
    </xf>
    <xf applyAlignment="true" applyBorder="false" applyFill="false" applyFont="true" applyNumberFormat="true" applyProtection="false" borderId="49" fillId="0" fontId="5" numFmtId="222" xfId="0">
      <alignment horizontal="center" vertical="center"/>
    </xf>
    <xf applyAlignment="true" applyBorder="false" applyFill="false" applyFont="true" applyNumberFormat="false" applyProtection="false" borderId="48" fillId="0" fontId="2" numFmtId="0" xfId="0">
      <alignment vertical="center"/>
    </xf>
    <xf applyAlignment="true" applyBorder="false" applyFill="false" applyFont="true" applyNumberFormat="true" applyProtection="false" borderId="46" fillId="0" fontId="5" numFmtId="220" xfId="0">
      <alignment horizontal="center" vertical="center"/>
    </xf>
    <xf applyAlignment="true" applyBorder="false" applyFill="true" applyFont="true" applyNumberFormat="false" applyProtection="false" borderId="42" fillId="24" fontId="5" numFmtId="0" xfId="0">
      <alignment horizontal="center" vertical="center"/>
    </xf>
    <xf applyAlignment="true" applyBorder="false" applyFill="true" applyFont="true" applyNumberFormat="false" applyProtection="false" borderId="50" fillId="24" fontId="5" numFmtId="0" xfId="0">
      <alignment horizontal="center" vertical="center"/>
    </xf>
    <xf applyAlignment="true" applyBorder="false" applyFill="true" applyFont="true" applyNumberFormat="false" applyProtection="false" borderId="42" fillId="24" fontId="5" numFmtId="0" xfId="0">
      <alignment horizontal="center" vertical="center"/>
    </xf>
    <xf applyAlignment="true" applyBorder="false" applyFill="true" applyFont="true" applyNumberFormat="true" applyProtection="false" borderId="42" fillId="24" fontId="6" numFmtId="217" xfId="0">
      <alignment horizontal="center" vertical="center"/>
    </xf>
    <xf applyAlignment="true" applyBorder="false" applyFill="true" applyFont="true" applyNumberFormat="true" applyProtection="false" borderId="42" fillId="24" fontId="5" numFmtId="223" xfId="0">
      <alignment horizontal="center" vertical="center"/>
    </xf>
    <xf applyAlignment="true" applyBorder="false" applyFill="true" applyFont="true" applyNumberFormat="true" applyProtection="false" borderId="42" fillId="24" fontId="5" numFmtId="221" xfId="0">
      <alignment horizontal="center" vertical="center"/>
    </xf>
    <xf applyAlignment="true" applyBorder="false" applyFill="true" applyFont="true" applyNumberFormat="true" applyProtection="false" borderId="42" fillId="24" fontId="5" numFmtId="219" xfId="0">
      <alignment horizontal="center" vertical="center"/>
    </xf>
    <xf applyAlignment="true" applyBorder="false" applyFill="true" applyFont="true" applyNumberFormat="true" applyProtection="false" borderId="42" fillId="24" fontId="5" numFmtId="220" xfId="0">
      <alignment horizontal="center" vertical="center"/>
    </xf>
    <xf applyAlignment="true" applyBorder="false" applyFill="false" applyFont="true" applyNumberFormat="true" applyProtection="false" borderId="49" fillId="0" fontId="5" numFmtId="223" xfId="0">
      <alignment horizontal="center" vertical="center"/>
    </xf>
    <xf applyAlignment="true" applyBorder="false" applyFill="false" applyFont="true" applyNumberFormat="false" applyProtection="false" borderId="44" fillId="0" fontId="8" numFmtId="0" xfId="0">
      <alignment horizontal="center" vertical="center"/>
    </xf>
    <xf applyAlignment="true" applyBorder="false" applyFill="false" applyFont="true" applyNumberFormat="false" applyProtection="false" borderId="51" fillId="0" fontId="5" numFmtId="0" xfId="0">
      <alignment horizontal="center" vertical="center"/>
    </xf>
    <xf applyAlignment="true" applyBorder="false" applyFill="false" applyFont="true" applyNumberFormat="false" applyProtection="false" borderId="46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221" xfId="0">
      <alignment vertical="center"/>
    </xf>
    <xf applyAlignment="true" applyBorder="false" applyFill="true" applyFont="true" applyNumberFormat="false" applyProtection="false" borderId="52" fillId="25" fontId="1" numFmtId="0" xfId="0">
      <alignment horizontal="center" vertical="center"/>
    </xf>
    <xf applyAlignment="true" applyBorder="false" applyFill="true" applyFont="true" applyNumberFormat="false" applyProtection="false" borderId="52" fillId="25" fontId="1" numFmtId="0" xfId="0">
      <alignment horizontal="center" vertical="center"/>
    </xf>
    <xf applyAlignment="true" applyBorder="false" applyFill="true" applyFont="true" applyNumberFormat="true" applyProtection="false" borderId="52" fillId="25" fontId="1" numFmtId="225" xfId="0">
      <alignment horizontal="center" vertical="center"/>
    </xf>
    <xf applyAlignment="true" applyBorder="false" applyFill="true" applyFont="true" applyNumberFormat="true" applyProtection="false" borderId="52" fillId="25" fontId="1" numFmtId="226" xfId="0">
      <alignment horizontal="center" vertical="center"/>
    </xf>
    <xf applyAlignment="true" applyBorder="false" applyFill="true" applyFont="true" applyNumberFormat="true" applyProtection="false" borderId="52" fillId="25" fontId="1" numFmtId="227" xfId="0">
      <alignment horizontal="center" vertical="center"/>
    </xf>
    <xf applyAlignment="true" applyBorder="false" applyFill="true" applyFont="true" applyNumberFormat="true" applyProtection="false" borderId="52" fillId="25" fontId="1" numFmtId="228" xfId="0">
      <alignment horizontal="center" vertical="center"/>
    </xf>
    <xf applyAlignment="true" applyBorder="false" applyFill="true" applyFont="true" applyNumberFormat="true" applyProtection="false" borderId="52" fillId="25" fontId="1" numFmtId="229" xfId="0">
      <alignment horizontal="center" vertical="center"/>
    </xf>
    <xf applyAlignment="true" applyBorder="false" applyFill="true" applyFont="true" applyNumberFormat="true" applyProtection="false" borderId="52" fillId="25" fontId="1" numFmtId="228" xfId="0">
      <alignment horizontal="center" vertical="center"/>
    </xf>
    <xf applyAlignment="true" applyBorder="false" applyFill="false" applyFont="true" applyNumberFormat="false" applyProtection="false" borderId="53" fillId="0" fontId="5" numFmtId="0" xfId="0">
      <alignment horizontal="center" vertical="center"/>
    </xf>
    <xf applyAlignment="true" applyBorder="false" applyFill="false" applyFont="true" applyNumberFormat="true" applyProtection="false" borderId="53" fillId="0" fontId="5" numFmtId="230" xfId="0">
      <alignment horizontal="center" vertical="center"/>
    </xf>
    <xf applyAlignment="true" applyBorder="false" applyFill="true" applyFont="true" applyNumberFormat="true" applyProtection="false" borderId="53" fillId="26" fontId="6" numFmtId="225" xfId="0">
      <alignment horizontal="center" vertical="center"/>
    </xf>
    <xf applyAlignment="true" applyBorder="false" applyFill="false" applyFont="true" applyNumberFormat="true" applyProtection="false" borderId="53" fillId="0" fontId="5" numFmtId="231" xfId="0">
      <alignment horizontal="center" vertical="center"/>
    </xf>
    <xf applyAlignment="true" applyBorder="false" applyFill="false" applyFont="true" applyNumberFormat="false" applyProtection="false" borderId="53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232" xfId="0">
      <alignment horizontal="center" vertical="center"/>
    </xf>
    <xf applyAlignment="true" applyBorder="false" applyFill="false" applyFont="true" applyNumberFormat="true" applyProtection="false" borderId="53" fillId="0" fontId="5" numFmtId="227" xfId="0">
      <alignment horizontal="center" vertical="center"/>
    </xf>
    <xf applyAlignment="true" applyBorder="false" applyFill="false" applyFont="true" applyNumberFormat="true" applyProtection="false" borderId="53" fillId="0" fontId="5" numFmtId="227" xfId="0">
      <alignment horizontal="center" vertical="center"/>
    </xf>
    <xf applyAlignment="true" applyBorder="false" applyFill="false" applyFont="true" applyNumberFormat="true" applyProtection="false" borderId="53" fillId="0" fontId="5" numFmtId="228" xfId="0">
      <alignment horizontal="center" vertical="center"/>
    </xf>
    <xf applyAlignment="true" applyBorder="false" applyFill="false" applyFont="true" applyNumberFormat="true" applyProtection="false" borderId="53" fillId="0" fontId="5" numFmtId="229" xfId="0">
      <alignment horizontal="center" vertical="center"/>
    </xf>
    <xf applyAlignment="true" applyBorder="false" applyFill="false" applyFont="true" applyNumberFormat="false" applyProtection="false" borderId="54" fillId="0" fontId="5" numFmtId="0" xfId="0">
      <alignment horizontal="center" vertical="center"/>
    </xf>
    <xf applyAlignment="true" applyBorder="false" applyFill="true" applyFont="true" applyNumberFormat="true" applyProtection="false" borderId="55" fillId="26" fontId="6" numFmtId="225" xfId="0">
      <alignment horizontal="center" vertical="center"/>
    </xf>
    <xf applyAlignment="true" applyBorder="false" applyFill="false" applyFont="true" applyNumberFormat="false" applyProtection="false" borderId="56" fillId="0" fontId="2" numFmtId="0" xfId="0">
      <alignment vertical="center"/>
    </xf>
    <xf applyAlignment="true" applyBorder="false" applyFill="false" applyFont="true" applyNumberFormat="false" applyProtection="false" borderId="57" fillId="0" fontId="5" numFmtId="0" xfId="0">
      <alignment horizontal="center" vertical="center"/>
    </xf>
    <xf applyAlignment="true" applyBorder="false" applyFill="false" applyFont="true" applyNumberFormat="false" applyProtection="false" borderId="58" fillId="0" fontId="5" numFmtId="0" xfId="0">
      <alignment horizontal="center" vertical="center"/>
    </xf>
    <xf applyAlignment="true" applyBorder="false" applyFill="true" applyFont="true" applyNumberFormat="false" applyProtection="false" borderId="52" fillId="27" fontId="5" numFmtId="0" xfId="0">
      <alignment horizontal="center" vertical="center"/>
    </xf>
    <xf applyAlignment="true" applyBorder="false" applyFill="true" applyFont="true" applyNumberFormat="false" applyProtection="false" borderId="52" fillId="27" fontId="5" numFmtId="0" xfId="0">
      <alignment horizontal="center" vertical="center"/>
    </xf>
    <xf applyAlignment="true" applyBorder="false" applyFill="true" applyFont="true" applyNumberFormat="true" applyProtection="false" borderId="52" fillId="27" fontId="6" numFmtId="225" xfId="0">
      <alignment horizontal="center" vertical="center"/>
    </xf>
    <xf applyAlignment="true" applyBorder="false" applyFill="true" applyFont="true" applyNumberFormat="true" applyProtection="false" borderId="52" fillId="27" fontId="5" numFmtId="231" xfId="0">
      <alignment horizontal="center" vertical="center"/>
    </xf>
    <xf applyAlignment="true" applyBorder="false" applyFill="true" applyFont="true" applyNumberFormat="true" applyProtection="false" borderId="52" fillId="27" fontId="5" numFmtId="229" xfId="0">
      <alignment horizontal="center" vertical="center"/>
    </xf>
    <xf applyAlignment="true" applyBorder="false" applyFill="true" applyFont="true" applyNumberFormat="true" applyProtection="false" borderId="52" fillId="27" fontId="5" numFmtId="227" xfId="0">
      <alignment horizontal="center" vertical="center"/>
    </xf>
    <xf applyAlignment="true" applyBorder="false" applyFill="true" applyFont="true" applyNumberFormat="true" applyProtection="false" borderId="52" fillId="27" fontId="5" numFmtId="228" xfId="0">
      <alignment horizontal="center" vertical="center"/>
    </xf>
    <xf applyAlignment="true" applyBorder="false" applyFill="false" applyFont="true" applyNumberFormat="false" applyProtection="false" borderId="55" fillId="0" fontId="5" numFmtId="0" xfId="0">
      <alignment horizontal="center" vertical="center"/>
    </xf>
    <xf applyAlignment="true" applyBorder="false" applyFill="false" applyFont="true" applyNumberFormat="false" applyProtection="false" borderId="52" fillId="0" fontId="5" numFmtId="0" xfId="0">
      <alignment horizontal="center" vertical="center"/>
    </xf>
    <xf applyAlignment="true" applyBorder="false" applyFill="false" applyFont="true" applyNumberFormat="false" applyProtection="false" borderId="57" fillId="0" fontId="5" numFmtId="0" xfId="0">
      <alignment horizontal="center" vertical="center"/>
    </xf>
    <xf applyAlignment="true" applyBorder="false" applyFill="false" applyFont="true" applyNumberFormat="false" applyProtection="false" borderId="59" fillId="0" fontId="5" numFmtId="0" xfId="0">
      <alignment horizontal="center" vertical="center"/>
    </xf>
    <xf applyAlignment="true" applyBorder="false" applyFill="false" applyFont="true" applyNumberFormat="false" applyProtection="false" borderId="56" fillId="0" fontId="2" numFmtId="0" xfId="0">
      <alignment horizontal="center" vertical="center"/>
    </xf>
    <xf applyAlignment="true" applyBorder="false" applyFill="false" applyFont="true" applyNumberFormat="false" applyProtection="false" borderId="52" fillId="0" fontId="5" numFmtId="0" xfId="0">
      <alignment horizontal="center" vertical="center"/>
    </xf>
    <xf applyAlignment="true" applyBorder="false" applyFill="false" applyFont="true" applyNumberFormat="true" applyProtection="false" borderId="53" fillId="0" fontId="5" numFmtId="228" xfId="0">
      <alignment horizontal="center" vertical="center"/>
    </xf>
    <xf applyAlignment="true" applyBorder="false" applyFill="false" applyFont="true" applyNumberFormat="false" applyProtection="false" borderId="52" fillId="0" fontId="2" numFmtId="0" xfId="0">
      <alignment horizontal="center" vertical="center"/>
    </xf>
    <xf applyAlignment="true" applyBorder="false" applyFill="true" applyFont="true" applyNumberFormat="false" applyProtection="false" borderId="60" fillId="27" fontId="5" numFmtId="0" xfId="0">
      <alignment horizontal="center" vertical="center"/>
    </xf>
    <xf applyAlignment="true" applyBorder="false" applyFill="false" applyFont="true" applyNumberFormat="false" applyProtection="false" borderId="61" fillId="0" fontId="5" numFmtId="0" xfId="0">
      <alignment horizontal="center" vertical="center"/>
    </xf>
    <xf applyAlignment="true" applyBorder="false" applyFill="false" applyFont="true" applyNumberFormat="false" applyProtection="false" borderId="60" fillId="0" fontId="5" numFmtId="0" xfId="0">
      <alignment horizontal="center" vertical="center"/>
    </xf>
    <xf applyAlignment="true" applyBorder="false" applyFill="false" applyFont="true" applyNumberFormat="false" applyProtection="false" borderId="62" fillId="0" fontId="5" numFmtId="0" xfId="0">
      <alignment horizontal="center" vertical="center"/>
    </xf>
    <xf applyAlignment="true" applyBorder="false" applyFill="false" applyFont="true" applyNumberFormat="false" applyProtection="false" borderId="63" fillId="0" fontId="5" numFmtId="0" xfId="0">
      <alignment horizontal="center" vertical="center"/>
    </xf>
    <xf applyAlignment="true" applyBorder="false" applyFill="false" applyFont="true" applyNumberFormat="false" applyProtection="false" borderId="62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54" fillId="0" fontId="5" numFmtId="230" xfId="0">
      <alignment horizontal="center" vertical="center"/>
    </xf>
    <xf applyAlignment="true" applyBorder="false" applyFill="false" applyFont="true" applyNumberFormat="false" applyProtection="false" borderId="52" fillId="0" fontId="2" numFmtId="0" xfId="0">
      <alignment horizontal="center" vertical="center"/>
    </xf>
    <xf applyAlignment="true" applyBorder="false" applyFill="true" applyFont="true" applyNumberFormat="true" applyProtection="false" borderId="57" fillId="26" fontId="6" numFmtId="225" xfId="0">
      <alignment horizontal="center" vertical="center"/>
    </xf>
    <xf applyAlignment="true" applyBorder="false" applyFill="false" applyFont="true" applyNumberFormat="true" applyProtection="false" borderId="59" fillId="0" fontId="5" numFmtId="230" xfId="0">
      <alignment horizontal="center" vertical="center"/>
    </xf>
    <xf applyAlignment="true" applyBorder="false" applyFill="false" applyFont="true" applyNumberFormat="false" applyProtection="false" borderId="55" fillId="0" fontId="9" numFmtId="0" xfId="0">
      <alignment horizontal="center" vertical="center"/>
    </xf>
    <xf applyAlignment="true" applyBorder="false" applyFill="false" applyFont="true" applyNumberFormat="false" applyProtection="false" borderId="53" fillId="0" fontId="9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0" fillId="28" fontId="11" numFmtId="230" xfId="0">
      <alignment vertical="center"/>
    </xf>
    <xf applyAlignment="true" applyBorder="false" applyFill="false" applyFont="true" applyNumberFormat="true" applyProtection="false" borderId="0" fillId="0" fontId="2" numFmtId="229" xfId="0">
      <alignment vertical="center"/>
    </xf>
    <xf applyAlignment="true" applyBorder="false" applyFill="false" applyFont="true" applyNumberFormat="true" applyProtection="false" borderId="0" fillId="0" fontId="2" numFmtId="233" xfId="0">
      <alignment vertical="center"/>
    </xf>
    <xf applyAlignment="true" applyBorder="false" applyFill="false" applyFont="true" applyNumberFormat="true" applyProtection="false" borderId="0" fillId="0" fontId="2" numFmtId="228" xfId="0">
      <alignment vertical="center"/>
    </xf>
    <xf applyAlignment="true" applyBorder="false" applyFill="false" applyFont="true" applyNumberFormat="true" applyProtection="false" borderId="0" fillId="0" fontId="2" numFmtId="229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53" fillId="29" fontId="6" numFmtId="225" xfId="0">
      <alignment horizontal="center" vertical="center"/>
    </xf>
    <xf applyAlignment="true" applyBorder="false" applyFill="true" applyFont="true" applyNumberFormat="false" applyProtection="false" borderId="0" fillId="28" fontId="11" numFmtId="0" xfId="0">
      <alignment vertical="center"/>
    </xf>
    <xf applyAlignment="true" applyBorder="false" applyFill="true" applyFont="true" applyNumberFormat="false" applyProtection="false" borderId="0" fillId="28" fontId="11" numFmtId="0" xfId="0">
      <alignment vertical="center"/>
    </xf>
    <xf applyAlignment="true" applyBorder="false" applyFill="true" applyFont="true" applyNumberFormat="false" applyProtection="false" borderId="0" fillId="28" fontId="11" numFmtId="0" xfId="0">
      <alignment vertical="center"/>
    </xf>
    <xf applyAlignment="true" applyBorder="false" applyFill="true" applyFont="true" applyNumberFormat="false" applyProtection="false" borderId="0" fillId="28" fontId="11" numFmtId="0" xfId="0">
      <alignment vertical="center"/>
    </xf>
    <xf applyAlignment="true" applyBorder="false" applyFill="true" applyFont="true" applyNumberFormat="true" applyProtection="false" borderId="53" fillId="29" fontId="6" numFmtId="225" xfId="0">
      <alignment horizontal="center" vertical="center"/>
    </xf>
    <xf applyAlignment="true" applyBorder="false" applyFill="true" applyFont="true" applyNumberFormat="false" applyProtection="false" borderId="64" fillId="30" fontId="1" numFmtId="0" xfId="0">
      <alignment horizontal="center" vertical="center"/>
    </xf>
    <xf applyAlignment="true" applyBorder="false" applyFill="true" applyFont="true" applyNumberFormat="false" applyProtection="false" borderId="64" fillId="30" fontId="1" numFmtId="0" xfId="0">
      <alignment horizontal="center" vertical="center"/>
    </xf>
    <xf applyAlignment="true" applyBorder="false" applyFill="true" applyFont="true" applyNumberFormat="true" applyProtection="false" borderId="64" fillId="30" fontId="1" numFmtId="234" xfId="0">
      <alignment horizontal="center" vertical="center"/>
    </xf>
    <xf applyAlignment="true" applyBorder="false" applyFill="true" applyFont="true" applyNumberFormat="true" applyProtection="false" borderId="64" fillId="30" fontId="1" numFmtId="235" xfId="0">
      <alignment horizontal="center" vertical="center"/>
    </xf>
    <xf applyAlignment="true" applyBorder="false" applyFill="true" applyFont="true" applyNumberFormat="true" applyProtection="false" borderId="64" fillId="30" fontId="1" numFmtId="236" xfId="0">
      <alignment horizontal="center" vertical="center"/>
    </xf>
    <xf applyAlignment="true" applyBorder="false" applyFill="true" applyFont="true" applyNumberFormat="true" applyProtection="false" borderId="64" fillId="30" fontId="1" numFmtId="237" xfId="0">
      <alignment horizontal="center" vertical="center"/>
    </xf>
    <xf applyAlignment="true" applyBorder="false" applyFill="true" applyFont="true" applyNumberFormat="true" applyProtection="false" borderId="64" fillId="30" fontId="1" numFmtId="238" xfId="0">
      <alignment horizontal="center" vertical="center"/>
    </xf>
    <xf applyAlignment="true" applyBorder="false" applyFill="true" applyFont="true" applyNumberFormat="true" applyProtection="false" borderId="64" fillId="30" fontId="1" numFmtId="237" xfId="0">
      <alignment horizontal="center" vertical="center"/>
    </xf>
    <xf applyAlignment="true" applyBorder="false" applyFill="false" applyFont="true" applyNumberFormat="false" applyProtection="false" borderId="65" fillId="0" fontId="5" numFmtId="0" xfId="0">
      <alignment horizontal="center" vertical="center"/>
    </xf>
    <xf applyAlignment="true" applyBorder="false" applyFill="false" applyFont="true" applyNumberFormat="true" applyProtection="false" borderId="65" fillId="0" fontId="5" numFmtId="239" xfId="0">
      <alignment horizontal="center" vertical="center"/>
    </xf>
    <xf applyAlignment="true" applyBorder="false" applyFill="true" applyFont="true" applyNumberFormat="true" applyProtection="false" borderId="65" fillId="31" fontId="6" numFmtId="234" xfId="0">
      <alignment horizontal="center" vertical="center"/>
    </xf>
    <xf applyAlignment="true" applyBorder="false" applyFill="false" applyFont="true" applyNumberFormat="true" applyProtection="false" borderId="65" fillId="0" fontId="5" numFmtId="240" xfId="0">
      <alignment horizontal="center" vertical="center"/>
    </xf>
    <xf applyAlignment="true" applyBorder="false" applyFill="false" applyFont="true" applyNumberFormat="false" applyProtection="false" borderId="65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241" xfId="0">
      <alignment horizontal="center" vertical="center"/>
    </xf>
    <xf applyAlignment="true" applyBorder="false" applyFill="false" applyFont="true" applyNumberFormat="true" applyProtection="false" borderId="65" fillId="0" fontId="5" numFmtId="236" xfId="0">
      <alignment horizontal="center" vertical="center"/>
    </xf>
    <xf applyAlignment="true" applyBorder="false" applyFill="false" applyFont="true" applyNumberFormat="true" applyProtection="false" borderId="65" fillId="0" fontId="5" numFmtId="236" xfId="0">
      <alignment horizontal="center" vertical="center"/>
    </xf>
    <xf applyAlignment="true" applyBorder="false" applyFill="false" applyFont="true" applyNumberFormat="true" applyProtection="false" borderId="65" fillId="0" fontId="5" numFmtId="237" xfId="0">
      <alignment horizontal="center" vertical="center"/>
    </xf>
    <xf applyAlignment="true" applyBorder="false" applyFill="false" applyFont="true" applyNumberFormat="true" applyProtection="false" borderId="65" fillId="0" fontId="5" numFmtId="238" xfId="0">
      <alignment horizontal="center" vertical="center"/>
    </xf>
    <xf applyAlignment="true" applyBorder="false" applyFill="false" applyFont="true" applyNumberFormat="false" applyProtection="false" borderId="66" fillId="0" fontId="5" numFmtId="0" xfId="0">
      <alignment horizontal="center" vertical="center"/>
    </xf>
    <xf applyAlignment="true" applyBorder="false" applyFill="true" applyFont="true" applyNumberFormat="true" applyProtection="false" borderId="67" fillId="31" fontId="6" numFmtId="234" xfId="0">
      <alignment horizontal="center" vertical="center"/>
    </xf>
    <xf applyAlignment="true" applyBorder="false" applyFill="false" applyFont="true" applyNumberFormat="false" applyProtection="false" borderId="68" fillId="0" fontId="2" numFmtId="0" xfId="0">
      <alignment vertical="center"/>
    </xf>
    <xf applyAlignment="true" applyBorder="false" applyFill="false" applyFont="true" applyNumberFormat="false" applyProtection="false" borderId="69" fillId="0" fontId="5" numFmtId="0" xfId="0">
      <alignment horizontal="center" vertical="center"/>
    </xf>
    <xf applyAlignment="true" applyBorder="false" applyFill="false" applyFont="true" applyNumberFormat="false" applyProtection="false" borderId="70" fillId="0" fontId="5" numFmtId="0" xfId="0">
      <alignment horizontal="center" vertical="center"/>
    </xf>
    <xf applyAlignment="true" applyBorder="false" applyFill="true" applyFont="true" applyNumberFormat="false" applyProtection="false" borderId="64" fillId="32" fontId="5" numFmtId="0" xfId="0">
      <alignment horizontal="center" vertical="center"/>
    </xf>
    <xf applyAlignment="true" applyBorder="false" applyFill="true" applyFont="true" applyNumberFormat="false" applyProtection="false" borderId="64" fillId="32" fontId="5" numFmtId="0" xfId="0">
      <alignment horizontal="center" vertical="center"/>
    </xf>
    <xf applyAlignment="true" applyBorder="false" applyFill="true" applyFont="true" applyNumberFormat="true" applyProtection="false" borderId="64" fillId="32" fontId="6" numFmtId="234" xfId="0">
      <alignment horizontal="center" vertical="center"/>
    </xf>
    <xf applyAlignment="true" applyBorder="false" applyFill="true" applyFont="true" applyNumberFormat="true" applyProtection="false" borderId="64" fillId="32" fontId="5" numFmtId="240" xfId="0">
      <alignment horizontal="center" vertical="center"/>
    </xf>
    <xf applyAlignment="true" applyBorder="false" applyFill="true" applyFont="true" applyNumberFormat="true" applyProtection="false" borderId="64" fillId="32" fontId="5" numFmtId="238" xfId="0">
      <alignment horizontal="center" vertical="center"/>
    </xf>
    <xf applyAlignment="true" applyBorder="false" applyFill="true" applyFont="true" applyNumberFormat="true" applyProtection="false" borderId="64" fillId="32" fontId="5" numFmtId="236" xfId="0">
      <alignment horizontal="center" vertical="center"/>
    </xf>
    <xf applyAlignment="true" applyBorder="false" applyFill="true" applyFont="true" applyNumberFormat="true" applyProtection="false" borderId="64" fillId="32" fontId="5" numFmtId="237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false" applyFont="true" applyNumberFormat="true" applyProtection="false" borderId="65" fillId="0" fontId="5" numFmtId="238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horizontal="center" vertical="center"/>
    </xf>
    <xf applyAlignment="true" applyBorder="false" applyFill="false" applyFont="true" applyNumberFormat="true" applyProtection="false" borderId="71" fillId="0" fontId="5" numFmtId="239" xfId="0">
      <alignment horizontal="center" vertical="center"/>
    </xf>
    <xf applyAlignment="true" applyBorder="false" applyFill="true" applyFont="true" applyNumberFormat="true" applyProtection="false" borderId="71" fillId="31" fontId="6" numFmtId="234" xfId="0">
      <alignment horizontal="center" vertical="center"/>
    </xf>
    <xf applyAlignment="true" applyBorder="false" applyFill="false" applyFont="true" applyNumberFormat="true" applyProtection="false" borderId="71" fillId="0" fontId="5" numFmtId="240" xfId="0">
      <alignment horizontal="center" vertical="center"/>
    </xf>
    <xf applyAlignment="true" applyBorder="false" applyFill="false" applyFont="true" applyNumberFormat="true" applyProtection="false" borderId="0" fillId="0" fontId="5" numFmtId="241" xfId="0">
      <alignment horizontal="center" vertical="center"/>
    </xf>
    <xf applyAlignment="true" applyBorder="false" applyFill="false" applyFont="true" applyNumberFormat="true" applyProtection="false" borderId="71" fillId="0" fontId="5" numFmtId="236" xfId="0">
      <alignment horizontal="center" vertical="center"/>
    </xf>
    <xf applyAlignment="true" applyBorder="false" applyFill="false" applyFont="true" applyNumberFormat="true" applyProtection="false" borderId="71" fillId="0" fontId="5" numFmtId="237" xfId="0">
      <alignment horizontal="center" vertical="center"/>
    </xf>
    <xf applyAlignment="true" applyBorder="false" applyFill="false" applyFont="true" applyNumberFormat="true" applyProtection="false" borderId="71" fillId="0" fontId="5" numFmtId="238" xfId="0">
      <alignment horizontal="center" vertical="center"/>
    </xf>
    <xf applyAlignment="true" applyBorder="false" applyFill="false" applyFont="true" applyNumberFormat="false" applyProtection="false" borderId="72" fillId="0" fontId="5" numFmtId="0" xfId="0">
      <alignment horizontal="center" vertical="center"/>
    </xf>
    <xf applyAlignment="true" applyBorder="false" applyFill="true" applyFont="true" applyNumberFormat="true" applyProtection="false" borderId="73" fillId="31" fontId="6" numFmtId="234" xfId="0">
      <alignment horizontal="center" vertical="center"/>
    </xf>
    <xf applyAlignment="true" applyBorder="false" applyFill="false" applyFont="true" applyNumberFormat="false" applyProtection="false" borderId="71" fillId="0" fontId="5" numFmtId="0" xfId="0">
      <alignment vertical="center"/>
    </xf>
    <xf applyAlignment="true" applyBorder="false" applyFill="false" applyFont="true" applyNumberFormat="false" applyProtection="false" borderId="74" fillId="0" fontId="5" numFmtId="0" xfId="0">
      <alignment horizontal="center" vertical="center"/>
    </xf>
    <xf applyAlignment="true" applyBorder="false" applyFill="false" applyFont="true" applyNumberFormat="false" applyProtection="false" borderId="75" fillId="0" fontId="5" numFmtId="0" xfId="0">
      <alignment horizontal="center" vertical="center"/>
    </xf>
    <xf applyAlignment="true" applyBorder="false" applyFill="false" applyFont="true" applyNumberFormat="true" applyProtection="false" borderId="71" fillId="0" fontId="5" numFmtId="240" xfId="0">
      <alignment horizontal="center" vertical="center"/>
    </xf>
    <xf applyAlignment="true" applyBorder="false" applyFill="false" applyFont="true" applyNumberFormat="false" applyProtection="false" borderId="72" fillId="0" fontId="5" numFmtId="0" xfId="0">
      <alignment horizontal="center" vertical="center"/>
    </xf>
    <xf applyAlignment="true" applyBorder="false" applyFill="false" applyFont="true" applyNumberFormat="false" applyProtection="false" borderId="75" fillId="0" fontId="5" numFmtId="0" xfId="0">
      <alignment horizontal="center" vertical="center"/>
    </xf>
    <xf applyAlignment="true" applyBorder="false" applyFill="true" applyFont="true" applyNumberFormat="false" applyProtection="false" borderId="71" fillId="32" fontId="5" numFmtId="0" xfId="0">
      <alignment horizontal="center" vertical="center"/>
    </xf>
    <xf applyAlignment="true" applyBorder="false" applyFill="true" applyFont="true" applyNumberFormat="false" applyProtection="false" borderId="71" fillId="32" fontId="5" numFmtId="0" xfId="0">
      <alignment horizontal="center" vertical="center"/>
    </xf>
    <xf applyAlignment="true" applyBorder="false" applyFill="true" applyFont="true" applyNumberFormat="true" applyProtection="false" borderId="71" fillId="32" fontId="6" numFmtId="234" xfId="0">
      <alignment horizontal="center" vertical="center"/>
    </xf>
    <xf applyAlignment="true" applyBorder="false" applyFill="true" applyFont="true" applyNumberFormat="false" applyProtection="false" borderId="75" fillId="32" fontId="5" numFmtId="0" xfId="0">
      <alignment horizontal="center" vertical="center"/>
    </xf>
    <xf applyAlignment="true" applyBorder="false" applyFill="true" applyFont="true" applyNumberFormat="true" applyProtection="false" borderId="75" fillId="32" fontId="5" numFmtId="240" xfId="0">
      <alignment horizontal="center" vertical="center"/>
    </xf>
    <xf applyAlignment="true" applyBorder="false" applyFill="true" applyFont="true" applyNumberFormat="true" applyProtection="false" borderId="71" fillId="32" fontId="5" numFmtId="238" xfId="0">
      <alignment horizontal="center" vertical="center"/>
    </xf>
    <xf applyAlignment="true" applyBorder="false" applyFill="true" applyFont="true" applyNumberFormat="true" applyProtection="false" borderId="71" fillId="32" fontId="5" numFmtId="236" xfId="0">
      <alignment horizontal="center" vertical="center"/>
    </xf>
    <xf applyAlignment="true" applyBorder="false" applyFill="true" applyFont="true" applyNumberFormat="true" applyProtection="false" borderId="71" fillId="32" fontId="5" numFmtId="237" xfId="0">
      <alignment horizontal="center" vertical="center"/>
    </xf>
    <xf applyAlignment="true" applyBorder="false" applyFill="false" applyFont="true" applyNumberFormat="false" applyProtection="false" borderId="64" fillId="0" fontId="2" numFmtId="0" xfId="0">
      <alignment vertical="center"/>
    </xf>
    <xf applyAlignment="true" applyBorder="false" applyFill="false" applyFont="true" applyNumberFormat="false" applyProtection="false" borderId="64" fillId="0" fontId="2" numFmtId="0" xfId="0">
      <alignment vertical="center"/>
    </xf>
    <xf applyAlignment="true" applyBorder="false" applyFill="true" applyFont="true" applyNumberFormat="false" applyProtection="false" borderId="76" fillId="33" fontId="1" numFmtId="0" xfId="0">
      <alignment horizontal="center" vertical="center"/>
    </xf>
    <xf applyAlignment="true" applyBorder="false" applyFill="true" applyFont="true" applyNumberFormat="false" applyProtection="false" borderId="76" fillId="33" fontId="1" numFmtId="0" xfId="0">
      <alignment horizontal="center" vertical="center"/>
    </xf>
    <xf applyAlignment="true" applyBorder="false" applyFill="true" applyFont="true" applyNumberFormat="true" applyProtection="false" borderId="76" fillId="33" fontId="1" numFmtId="242" xfId="0">
      <alignment horizontal="center" vertical="center"/>
    </xf>
    <xf applyAlignment="true" applyBorder="false" applyFill="true" applyFont="true" applyNumberFormat="true" applyProtection="false" borderId="76" fillId="33" fontId="1" numFmtId="243" xfId="0">
      <alignment horizontal="center" vertical="center"/>
    </xf>
    <xf applyAlignment="true" applyBorder="false" applyFill="true" applyFont="true" applyNumberFormat="true" applyProtection="false" borderId="76" fillId="33" fontId="1" numFmtId="244" xfId="0">
      <alignment horizontal="center" vertical="center"/>
    </xf>
    <xf applyAlignment="true" applyBorder="false" applyFill="true" applyFont="true" applyNumberFormat="true" applyProtection="false" borderId="76" fillId="33" fontId="1" numFmtId="245" xfId="0">
      <alignment horizontal="center" vertical="center"/>
    </xf>
    <xf applyAlignment="true" applyBorder="false" applyFill="true" applyFont="true" applyNumberFormat="true" applyProtection="false" borderId="76" fillId="33" fontId="1" numFmtId="246" xfId="0">
      <alignment horizontal="center" vertical="center"/>
    </xf>
    <xf applyAlignment="true" applyBorder="false" applyFill="true" applyFont="true" applyNumberFormat="true" applyProtection="false" borderId="76" fillId="33" fontId="1" numFmtId="245" xfId="0">
      <alignment horizontal="center" vertical="center"/>
    </xf>
    <xf applyAlignment="true" applyBorder="false" applyFill="false" applyFont="true" applyNumberFormat="false" applyProtection="false" borderId="77" fillId="0" fontId="5" numFmtId="0" xfId="0">
      <alignment horizontal="center" vertical="center"/>
    </xf>
    <xf applyAlignment="true" applyBorder="false" applyFill="false" applyFont="true" applyNumberFormat="false" applyProtection="false" borderId="77" fillId="0" fontId="5" numFmtId="0" xfId="0">
      <alignment horizontal="center" vertical="center"/>
    </xf>
    <xf applyAlignment="true" applyBorder="false" applyFill="false" applyFont="true" applyNumberFormat="true" applyProtection="false" borderId="77" fillId="0" fontId="5" numFmtId="247" xfId="0">
      <alignment horizontal="center" vertical="center"/>
    </xf>
    <xf applyAlignment="true" applyBorder="false" applyFill="true" applyFont="true" applyNumberFormat="true" applyProtection="false" borderId="77" fillId="34" fontId="6" numFmtId="242" xfId="0">
      <alignment horizontal="center" vertical="center"/>
    </xf>
    <xf applyAlignment="true" applyBorder="false" applyFill="false" applyFont="true" applyNumberFormat="true" applyProtection="false" borderId="77" fillId="0" fontId="5" numFmtId="248" xfId="0">
      <alignment horizontal="center" vertical="center"/>
    </xf>
    <xf applyAlignment="true" applyBorder="false" applyFill="false" applyFont="true" applyNumberFormat="true" applyProtection="false" borderId="0" fillId="0" fontId="5" numFmtId="249" xfId="0">
      <alignment horizontal="center" vertical="center"/>
    </xf>
    <xf applyAlignment="true" applyBorder="false" applyFill="false" applyFont="true" applyNumberFormat="true" applyProtection="false" borderId="77" fillId="0" fontId="5" numFmtId="244" xfId="0">
      <alignment horizontal="center" vertical="center"/>
    </xf>
    <xf applyAlignment="true" applyBorder="false" applyFill="false" applyFont="true" applyNumberFormat="true" applyProtection="false" borderId="77" fillId="0" fontId="5" numFmtId="245" xfId="0">
      <alignment horizontal="center" vertical="center"/>
    </xf>
    <xf applyAlignment="true" applyBorder="false" applyFill="false" applyFont="true" applyNumberFormat="true" applyProtection="false" borderId="77" fillId="0" fontId="5" numFmtId="246" xfId="0">
      <alignment horizontal="center" vertical="center"/>
    </xf>
    <xf applyAlignment="true" applyBorder="false" applyFill="false" applyFont="true" applyNumberFormat="true" applyProtection="false" borderId="77" fillId="0" fontId="5" numFmtId="247" xfId="0">
      <alignment horizontal="center" vertical="center"/>
    </xf>
    <xf applyAlignment="true" applyBorder="false" applyFill="true" applyFont="true" applyNumberFormat="false" applyProtection="false" borderId="77" fillId="35" fontId="5" numFmtId="0" xfId="0">
      <alignment horizontal="center" vertical="center"/>
    </xf>
    <xf applyAlignment="true" applyBorder="false" applyFill="true" applyFont="true" applyNumberFormat="false" applyProtection="false" borderId="77" fillId="35" fontId="5" numFmtId="0" xfId="0">
      <alignment horizontal="center" vertical="center"/>
    </xf>
    <xf applyAlignment="true" applyBorder="false" applyFill="true" applyFont="true" applyNumberFormat="true" applyProtection="false" borderId="77" fillId="35" fontId="6" numFmtId="242" xfId="0">
      <alignment horizontal="center" vertical="center"/>
    </xf>
    <xf applyAlignment="true" applyBorder="false" applyFill="true" applyFont="true" applyNumberFormat="true" applyProtection="false" borderId="77" fillId="35" fontId="5" numFmtId="248" xfId="0">
      <alignment horizontal="center" vertical="center"/>
    </xf>
    <xf applyAlignment="true" applyBorder="false" applyFill="true" applyFont="true" applyNumberFormat="true" applyProtection="false" borderId="77" fillId="35" fontId="5" numFmtId="246" xfId="0">
      <alignment horizontal="center" vertical="center"/>
    </xf>
    <xf applyAlignment="true" applyBorder="false" applyFill="true" applyFont="true" applyNumberFormat="true" applyProtection="false" borderId="77" fillId="35" fontId="5" numFmtId="244" xfId="0">
      <alignment horizontal="center" vertical="center"/>
    </xf>
    <xf applyAlignment="true" applyBorder="false" applyFill="true" applyFont="true" applyNumberFormat="true" applyProtection="false" borderId="77" fillId="35" fontId="5" numFmtId="245" xfId="0">
      <alignment horizontal="center" vertical="center"/>
    </xf>
    <xf applyAlignment="true" applyBorder="false" applyFill="false" applyFont="true" applyNumberFormat="false" applyProtection="false" borderId="78" fillId="0" fontId="12" numFmtId="0" xfId="0">
      <alignment horizontal="center" vertical="center"/>
    </xf>
    <xf applyAlignment="true" applyBorder="false" applyFill="false" applyFont="true" applyNumberFormat="false" applyProtection="false" borderId="79" fillId="0" fontId="12" numFmtId="0" xfId="0">
      <alignment horizontal="center" vertical="center"/>
    </xf>
    <xf applyAlignment="true" applyBorder="false" applyFill="false" applyFont="true" applyNumberFormat="false" applyProtection="false" borderId="79" fillId="0" fontId="12" numFmtId="0" xfId="0">
      <alignment horizontal="center" vertical="center"/>
    </xf>
    <xf applyAlignment="true" applyBorder="false" applyFill="false" applyFont="true" applyNumberFormat="true" applyProtection="false" borderId="77" fillId="0" fontId="5" numFmtId="245" xfId="0">
      <alignment horizontal="center" vertical="center"/>
    </xf>
    <xf applyAlignment="true" applyBorder="false" applyFill="false" applyFont="true" applyNumberFormat="true" applyProtection="false" borderId="77" fillId="0" fontId="5" numFmtId="24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80" fillId="0" fontId="5" numFmtId="0" xfId="0">
      <alignment horizontal="center" vertical="center"/>
    </xf>
    <xf applyAlignment="true" applyBorder="false" applyFill="true" applyFont="true" applyNumberFormat="true" applyProtection="false" borderId="81" fillId="34" fontId="6" numFmtId="242" xfId="0">
      <alignment horizontal="center" vertical="center"/>
    </xf>
    <xf applyAlignment="true" applyBorder="false" applyFill="false" applyFont="true" applyNumberFormat="false" applyProtection="false" borderId="76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82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5" numFmtId="249" xfId="0">
      <alignment horizontal="center" vertical="center"/>
    </xf>
    <xf applyAlignment="true" applyBorder="false" applyFill="false" applyFont="true" applyNumberFormat="true" applyProtection="false" borderId="77" fillId="0" fontId="5" numFmtId="244" xfId="0">
      <alignment horizontal="center" vertical="center"/>
    </xf>
    <xf applyAlignment="true" applyBorder="false" applyFill="false" applyFont="true" applyNumberFormat="false" applyProtection="false" borderId="76" fillId="0" fontId="5" numFmtId="0" xfId="0">
      <alignment horizontal="center" vertical="center"/>
    </xf>
    <xf applyAlignment="true" applyBorder="false" applyFill="false" applyFont="true" applyNumberFormat="false" applyProtection="false" borderId="78" fillId="0" fontId="5" numFmtId="0" xfId="0">
      <alignment horizontal="center" vertical="center"/>
    </xf>
    <xf applyAlignment="true" applyBorder="false" applyFill="false" applyFont="true" applyNumberFormat="false" applyProtection="false" borderId="76" fillId="0" fontId="2" numFmtId="0" xfId="0">
      <alignment horizontal="center" vertical="center"/>
    </xf>
    <xf applyAlignment="true" applyBorder="false" applyFill="true" applyFont="true" applyNumberFormat="false" applyProtection="false" borderId="82" fillId="35" fontId="5" numFmtId="0" xfId="0">
      <alignment horizontal="center" vertical="center"/>
    </xf>
    <xf applyAlignment="true" applyBorder="false" applyFill="true" applyFont="true" applyNumberFormat="true" applyProtection="false" borderId="82" fillId="35" fontId="5" numFmtId="248" xfId="0">
      <alignment horizontal="center" vertical="center"/>
    </xf>
    <xf applyAlignment="true" applyBorder="false" applyFill="true" applyFont="true" applyNumberFormat="true" applyProtection="false" borderId="0" fillId="36" fontId="11" numFmtId="247" xfId="0">
      <alignment vertical="center"/>
    </xf>
    <xf applyAlignment="true" applyBorder="false" applyFill="true" applyFont="true" applyNumberFormat="true" applyProtection="false" borderId="77" fillId="37" fontId="6" numFmtId="242" xfId="0">
      <alignment horizontal="center" vertical="center"/>
    </xf>
    <xf applyAlignment="true" applyBorder="false" applyFill="true" applyFont="true" applyNumberFormat="false" applyProtection="false" borderId="83" fillId="38" fontId="1" numFmtId="0" xfId="0">
      <alignment horizontal="center" vertical="center"/>
    </xf>
    <xf applyAlignment="true" applyBorder="false" applyFill="true" applyFont="true" applyNumberFormat="false" applyProtection="false" borderId="83" fillId="38" fontId="1" numFmtId="0" xfId="0">
      <alignment horizontal="center" vertical="center"/>
    </xf>
    <xf applyAlignment="true" applyBorder="false" applyFill="true" applyFont="true" applyNumberFormat="true" applyProtection="false" borderId="83" fillId="38" fontId="1" numFmtId="250" xfId="0">
      <alignment horizontal="center" vertical="center"/>
    </xf>
    <xf applyAlignment="true" applyBorder="false" applyFill="true" applyFont="true" applyNumberFormat="true" applyProtection="false" borderId="83" fillId="38" fontId="1" numFmtId="251" xfId="0">
      <alignment horizontal="center" vertical="center"/>
    </xf>
    <xf applyAlignment="true" applyBorder="false" applyFill="true" applyFont="true" applyNumberFormat="true" applyProtection="false" borderId="83" fillId="38" fontId="1" numFmtId="252" xfId="0">
      <alignment horizontal="center" vertical="center"/>
    </xf>
    <xf applyAlignment="true" applyBorder="false" applyFill="true" applyFont="true" applyNumberFormat="true" applyProtection="false" borderId="83" fillId="38" fontId="1" numFmtId="253" xfId="0">
      <alignment horizontal="center" vertical="center"/>
    </xf>
    <xf applyAlignment="true" applyBorder="false" applyFill="true" applyFont="true" applyNumberFormat="true" applyProtection="false" borderId="83" fillId="38" fontId="1" numFmtId="254" xfId="0">
      <alignment horizontal="center" vertical="center"/>
    </xf>
    <xf applyAlignment="true" applyBorder="false" applyFill="true" applyFont="true" applyNumberFormat="true" applyProtection="false" borderId="83" fillId="38" fontId="1" numFmtId="253" xfId="0">
      <alignment horizontal="center" vertical="center"/>
    </xf>
    <xf applyAlignment="true" applyBorder="false" applyFill="false" applyFont="true" applyNumberFormat="false" applyProtection="false" borderId="84" fillId="0" fontId="5" numFmtId="0" xfId="0">
      <alignment horizontal="center" vertical="center"/>
    </xf>
    <xf applyAlignment="true" applyBorder="false" applyFill="false" applyFont="true" applyNumberFormat="false" applyProtection="false" borderId="84" fillId="0" fontId="5" numFmtId="0" xfId="0">
      <alignment horizontal="center" vertical="center"/>
    </xf>
    <xf applyAlignment="true" applyBorder="false" applyFill="false" applyFont="true" applyNumberFormat="true" applyProtection="false" borderId="84" fillId="0" fontId="5" numFmtId="255" xfId="0">
      <alignment horizontal="center" vertical="center"/>
    </xf>
    <xf applyAlignment="true" applyBorder="false" applyFill="true" applyFont="true" applyNumberFormat="true" applyProtection="false" borderId="84" fillId="39" fontId="6" numFmtId="250" xfId="0">
      <alignment horizontal="center" vertical="center"/>
    </xf>
    <xf applyAlignment="true" applyBorder="false" applyFill="false" applyFont="true" applyNumberFormat="true" applyProtection="false" borderId="84" fillId="0" fontId="5" numFmtId="251" xfId="0">
      <alignment horizontal="center" vertical="center"/>
    </xf>
    <xf applyAlignment="true" applyBorder="false" applyFill="false" applyFont="true" applyNumberFormat="true" applyProtection="false" borderId="0" fillId="0" fontId="5" numFmtId="256" xfId="0">
      <alignment horizontal="center" vertical="center"/>
    </xf>
    <xf applyAlignment="true" applyBorder="false" applyFill="false" applyFont="true" applyNumberFormat="true" applyProtection="false" borderId="84" fillId="0" fontId="5" numFmtId="252" xfId="0">
      <alignment horizontal="center" vertical="center"/>
    </xf>
    <xf applyAlignment="true" applyBorder="false" applyFill="false" applyFont="true" applyNumberFormat="true" applyProtection="false" borderId="84" fillId="0" fontId="5" numFmtId="253" xfId="0">
      <alignment horizontal="center" vertical="center"/>
    </xf>
    <xf applyAlignment="true" applyBorder="false" applyFill="false" applyFont="true" applyNumberFormat="true" applyProtection="false" borderId="84" fillId="0" fontId="5" numFmtId="254" xfId="0">
      <alignment horizontal="center" vertical="center"/>
    </xf>
    <xf applyAlignment="true" applyBorder="false" applyFill="true" applyFont="true" applyNumberFormat="false" applyProtection="false" borderId="84" fillId="40" fontId="5" numFmtId="0" xfId="0">
      <alignment horizontal="center" vertical="center"/>
    </xf>
    <xf applyAlignment="true" applyBorder="false" applyFill="true" applyFont="true" applyNumberFormat="false" applyProtection="false" borderId="84" fillId="40" fontId="5" numFmtId="0" xfId="0">
      <alignment horizontal="center" vertical="center"/>
    </xf>
    <xf applyAlignment="true" applyBorder="false" applyFill="true" applyFont="true" applyNumberFormat="true" applyProtection="false" borderId="84" fillId="40" fontId="6" numFmtId="250" xfId="0">
      <alignment horizontal="center" vertical="center"/>
    </xf>
    <xf applyAlignment="true" applyBorder="false" applyFill="true" applyFont="true" applyNumberFormat="true" applyProtection="false" borderId="84" fillId="40" fontId="5" numFmtId="251" xfId="0">
      <alignment horizontal="center" vertical="center"/>
    </xf>
    <xf applyAlignment="true" applyBorder="false" applyFill="true" applyFont="true" applyNumberFormat="true" applyProtection="false" borderId="84" fillId="40" fontId="5" numFmtId="254" xfId="0">
      <alignment horizontal="center" vertical="center"/>
    </xf>
    <xf applyAlignment="true" applyBorder="false" applyFill="true" applyFont="true" applyNumberFormat="true" applyProtection="false" borderId="84" fillId="40" fontId="5" numFmtId="252" xfId="0">
      <alignment horizontal="center" vertical="center"/>
    </xf>
    <xf applyAlignment="true" applyBorder="false" applyFill="true" applyFont="true" applyNumberFormat="true" applyProtection="false" borderId="84" fillId="40" fontId="5" numFmtId="253" xfId="0">
      <alignment horizontal="center" vertical="center"/>
    </xf>
    <xf applyAlignment="true" applyBorder="false" applyFill="false" applyFont="true" applyNumberFormat="false" applyProtection="false" borderId="85" fillId="0" fontId="12" numFmtId="0" xfId="0">
      <alignment horizontal="center" vertical="center"/>
    </xf>
    <xf applyAlignment="true" applyBorder="false" applyFill="false" applyFont="true" applyNumberFormat="false" applyProtection="false" borderId="86" fillId="0" fontId="12" numFmtId="0" xfId="0">
      <alignment horizontal="center" vertical="center"/>
    </xf>
    <xf applyAlignment="true" applyBorder="false" applyFill="false" applyFont="true" applyNumberFormat="false" applyProtection="false" borderId="85" fillId="0" fontId="12" numFmtId="0" xfId="0">
      <alignment horizontal="center" vertical="center"/>
    </xf>
    <xf applyAlignment="true" applyBorder="false" applyFill="false" applyFont="true" applyNumberFormat="false" applyProtection="false" borderId="86" fillId="0" fontId="12" numFmtId="0" xfId="0">
      <alignment horizontal="center" vertical="center"/>
    </xf>
    <xf applyAlignment="true" applyBorder="false" applyFill="false" applyFont="true" applyNumberFormat="true" applyProtection="false" borderId="84" fillId="0" fontId="5" numFmtId="251" xfId="0">
      <alignment horizontal="center" vertical="center"/>
    </xf>
    <xf applyAlignment="true" applyBorder="false" applyFill="false" applyFont="true" applyNumberFormat="true" applyProtection="false" borderId="84" fillId="0" fontId="5" numFmtId="252" xfId="0">
      <alignment horizontal="center" vertical="center"/>
    </xf>
    <xf applyAlignment="true" applyBorder="false" applyFill="false" applyFont="true" applyNumberFormat="true" applyProtection="false" borderId="84" fillId="0" fontId="5" numFmtId="255" xfId="0">
      <alignment horizontal="center" vertical="center"/>
    </xf>
    <xf applyAlignment="true" applyBorder="false" applyFill="true" applyFont="true" applyNumberFormat="false" applyProtection="false" borderId="84" fillId="41" fontId="3" numFmtId="0" xfId="0">
      <alignment horizontal="center" vertical="center"/>
    </xf>
    <xf applyAlignment="true" applyBorder="false" applyFill="false" applyFont="true" applyNumberFormat="true" applyProtection="false" borderId="84" fillId="0" fontId="5" numFmtId="257" xfId="0">
      <alignment horizontal="center" vertical="center"/>
    </xf>
    <xf applyAlignment="true" applyBorder="false" applyFill="true" applyFont="true" applyNumberFormat="true" applyProtection="false" borderId="84" fillId="40" fontId="5" numFmtId="257" xfId="0">
      <alignment horizontal="center" vertical="center"/>
    </xf>
    <xf applyAlignment="true" applyBorder="false" applyFill="true" applyFont="true" applyNumberFormat="false" applyProtection="false" borderId="0" fillId="42" fontId="5" numFmtId="0" xfId="0">
      <alignment horizontal="center" vertical="center"/>
    </xf>
    <xf applyAlignment="true" applyBorder="false" applyFill="true" applyFont="true" applyNumberFormat="false" applyProtection="false" borderId="0" fillId="42" fontId="5" numFmtId="0" xfId="0">
      <alignment horizontal="center" vertical="center"/>
    </xf>
    <xf applyAlignment="true" applyBorder="false" applyFill="true" applyFont="true" applyNumberFormat="true" applyProtection="false" borderId="0" fillId="43" fontId="11" numFmtId="255" xfId="0">
      <alignment vertical="center"/>
    </xf>
    <xf applyAlignment="true" applyBorder="false" applyFill="true" applyFont="true" applyNumberFormat="true" applyProtection="false" borderId="84" fillId="40" fontId="6" numFmtId="250" xfId="0">
      <alignment horizontal="center" vertical="center"/>
    </xf>
    <xf applyAlignment="true" applyBorder="false" applyFill="true" applyFont="true" applyNumberFormat="true" applyProtection="false" borderId="0" fillId="42" fontId="6" numFmtId="250" xfId="0">
      <alignment horizontal="center" vertical="center"/>
    </xf>
    <xf applyAlignment="true" applyBorder="false" applyFill="true" applyFont="true" applyNumberFormat="true" applyProtection="false" borderId="0" fillId="42" fontId="5" numFmtId="257" xfId="0">
      <alignment horizontal="center" vertical="center"/>
    </xf>
    <xf applyAlignment="true" applyBorder="false" applyFill="true" applyFont="true" applyNumberFormat="false" applyProtection="false" borderId="0" fillId="42" fontId="5" numFmtId="0" xfId="0">
      <alignment horizontal="center" vertical="center"/>
    </xf>
    <xf applyAlignment="true" applyBorder="false" applyFill="true" applyFont="true" applyNumberFormat="true" applyProtection="false" borderId="0" fillId="42" fontId="5" numFmtId="256" xfId="0">
      <alignment horizontal="center" vertical="center"/>
    </xf>
    <xf applyAlignment="true" applyBorder="false" applyFill="true" applyFont="true" applyNumberFormat="true" applyProtection="false" borderId="0" fillId="42" fontId="5" numFmtId="252" xfId="0">
      <alignment horizontal="center" vertical="center"/>
    </xf>
    <xf applyAlignment="true" applyBorder="false" applyFill="true" applyFont="true" applyNumberFormat="true" applyProtection="false" borderId="0" fillId="42" fontId="5" numFmtId="253" xfId="0">
      <alignment horizontal="center" vertical="center"/>
    </xf>
    <xf applyAlignment="true" applyBorder="false" applyFill="true" applyFont="true" applyNumberFormat="true" applyProtection="false" borderId="0" fillId="42" fontId="5" numFmtId="254" xfId="0">
      <alignment horizontal="center" vertical="center"/>
    </xf>
    <xf applyAlignment="true" applyBorder="false" applyFill="true" applyFont="true" applyNumberFormat="false" applyProtection="false" borderId="0" fillId="42" fontId="2" numFmtId="0" xfId="0">
      <alignment vertical="center"/>
    </xf>
    <xf applyAlignment="true" applyBorder="false" applyFill="true" applyFont="true" applyNumberFormat="true" applyProtection="false" borderId="0" fillId="42" fontId="5" numFmtId="255" xfId="0">
      <alignment horizontal="center" vertical="center"/>
    </xf>
    <xf applyAlignment="true" applyBorder="false" applyFill="true" applyFont="true" applyNumberFormat="true" applyProtection="false" borderId="0" fillId="42" fontId="5" numFmtId="255" xfId="0">
      <alignment horizontal="center" vertical="center"/>
    </xf>
    <xf applyAlignment="true" applyBorder="false" applyFill="true" applyFont="true" applyNumberFormat="true" applyProtection="false" borderId="0" fillId="42" fontId="5" numFmtId="25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87" fillId="44" fontId="1" numFmtId="0" xfId="0">
      <alignment horizontal="center" vertical="center"/>
    </xf>
    <xf applyAlignment="true" applyBorder="false" applyFill="true" applyFont="true" applyNumberFormat="false" applyProtection="false" borderId="87" fillId="44" fontId="1" numFmtId="0" xfId="0">
      <alignment horizontal="center" vertical="center"/>
    </xf>
    <xf applyAlignment="true" applyBorder="false" applyFill="true" applyFont="true" applyNumberFormat="true" applyProtection="false" borderId="87" fillId="44" fontId="1" numFmtId="258" xfId="0">
      <alignment horizontal="center" vertical="center"/>
    </xf>
    <xf applyAlignment="true" applyBorder="false" applyFill="true" applyFont="true" applyNumberFormat="true" applyProtection="false" borderId="87" fillId="44" fontId="1" numFmtId="259" xfId="0">
      <alignment horizontal="center" vertical="center"/>
    </xf>
    <xf applyAlignment="true" applyBorder="false" applyFill="true" applyFont="true" applyNumberFormat="true" applyProtection="false" borderId="87" fillId="44" fontId="1" numFmtId="260" xfId="0">
      <alignment horizontal="center" vertical="center"/>
    </xf>
    <xf applyAlignment="true" applyBorder="false" applyFill="true" applyFont="true" applyNumberFormat="true" applyProtection="false" borderId="87" fillId="44" fontId="1" numFmtId="261" xfId="0">
      <alignment horizontal="center" vertical="center"/>
    </xf>
    <xf applyAlignment="true" applyBorder="false" applyFill="true" applyFont="true" applyNumberFormat="true" applyProtection="false" borderId="87" fillId="44" fontId="1" numFmtId="262" xfId="0">
      <alignment horizontal="center" vertical="center"/>
    </xf>
    <xf applyAlignment="true" applyBorder="false" applyFill="true" applyFont="true" applyNumberFormat="true" applyProtection="false" borderId="87" fillId="44" fontId="1" numFmtId="261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false" applyFont="true" applyNumberFormat="false" applyProtection="false" borderId="88" fillId="0" fontId="5" numFmtId="0" xfId="0">
      <alignment horizontal="center" vertical="center"/>
    </xf>
    <xf applyAlignment="true" applyBorder="false" applyFill="false" applyFont="true" applyNumberFormat="true" applyProtection="false" borderId="87" fillId="0" fontId="5" numFmtId="263" xfId="0">
      <alignment horizontal="center" vertical="center"/>
    </xf>
    <xf applyAlignment="true" applyBorder="false" applyFill="true" applyFont="true" applyNumberFormat="true" applyProtection="false" borderId="87" fillId="44" fontId="6" numFmtId="25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87" fillId="0" fontId="5" numFmtId="259" xfId="0">
      <alignment horizontal="center" vertical="center"/>
    </xf>
    <xf applyAlignment="true" applyBorder="false" applyFill="false" applyFont="true" applyNumberFormat="false" applyProtection="false" borderId="87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2" numFmtId="264" xfId="0">
      <alignment horizontal="center" vertical="center"/>
    </xf>
    <xf applyAlignment="true" applyBorder="false" applyFill="false" applyFont="true" applyNumberFormat="true" applyProtection="false" borderId="87" fillId="0" fontId="5" numFmtId="260" xfId="0">
      <alignment horizontal="center" vertical="center"/>
    </xf>
    <xf applyAlignment="true" applyBorder="false" applyFill="false" applyFont="true" applyNumberFormat="true" applyProtection="false" borderId="87" fillId="0" fontId="5" numFmtId="261" xfId="0">
      <alignment horizontal="center" vertical="center"/>
    </xf>
    <xf applyAlignment="true" applyBorder="false" applyFill="false" applyFont="true" applyNumberFormat="true" applyProtection="false" borderId="87" fillId="0" fontId="5" numFmtId="262" xfId="0">
      <alignment horizontal="center" vertical="center"/>
    </xf>
    <xf applyAlignment="true" applyBorder="false" applyFill="true" applyFont="true" applyNumberFormat="false" applyProtection="false" borderId="87" fillId="45" fontId="5" numFmtId="0" xfId="0">
      <alignment horizontal="center" vertical="center"/>
    </xf>
    <xf applyAlignment="true" applyBorder="false" applyFill="true" applyFont="true" applyNumberFormat="false" applyProtection="false" borderId="87" fillId="45" fontId="5" numFmtId="0" xfId="0">
      <alignment horizontal="center" vertical="center"/>
    </xf>
    <xf applyAlignment="true" applyBorder="false" applyFill="true" applyFont="true" applyNumberFormat="true" applyProtection="false" borderId="87" fillId="45" fontId="6" numFmtId="258" xfId="0">
      <alignment horizontal="center" vertical="center"/>
    </xf>
    <xf applyAlignment="true" applyBorder="false" applyFill="true" applyFont="true" applyNumberFormat="true" applyProtection="false" borderId="87" fillId="45" fontId="5" numFmtId="259" xfId="0">
      <alignment horizontal="center" vertical="center"/>
    </xf>
    <xf applyAlignment="true" applyBorder="false" applyFill="true" applyFont="true" applyNumberFormat="true" applyProtection="false" borderId="87" fillId="45" fontId="5" numFmtId="262" xfId="0">
      <alignment horizontal="center" vertical="center"/>
    </xf>
    <xf applyAlignment="true" applyBorder="false" applyFill="true" applyFont="true" applyNumberFormat="true" applyProtection="false" borderId="87" fillId="45" fontId="5" numFmtId="260" xfId="0">
      <alignment horizontal="center" vertical="center"/>
    </xf>
    <xf applyAlignment="true" applyBorder="false" applyFill="true" applyFont="true" applyNumberFormat="true" applyProtection="false" borderId="87" fillId="45" fontId="5" numFmtId="261" xfId="0">
      <alignment horizontal="center" vertical="center"/>
    </xf>
    <xf applyAlignment="true" applyBorder="false" applyFill="true" applyFont="true" applyNumberFormat="true" applyProtection="false" borderId="87" fillId="45" fontId="5" numFmtId="261" xfId="0">
      <alignment horizontal="center" vertical="center"/>
    </xf>
    <xf applyAlignment="true" applyBorder="false" applyFill="false" applyFont="true" applyNumberFormat="false" applyProtection="false" borderId="88" fillId="0" fontId="5" numFmtId="0" xfId="0">
      <alignment horizontal="center" vertical="center"/>
    </xf>
    <xf applyAlignment="true" applyBorder="false" applyFill="false" applyFont="true" applyNumberFormat="true" applyProtection="false" borderId="88" fillId="0" fontId="5" numFmtId="263" xfId="0">
      <alignment horizontal="center" vertical="center"/>
    </xf>
    <xf applyAlignment="true" applyBorder="false" applyFill="true" applyFont="true" applyNumberFormat="true" applyProtection="false" borderId="88" fillId="46" fontId="6" numFmtId="258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true" applyProtection="false" borderId="88" fillId="0" fontId="5" numFmtId="259" xfId="0">
      <alignment horizontal="center" vertical="center"/>
    </xf>
    <xf applyAlignment="true" applyBorder="false" applyFill="false" applyFont="true" applyNumberFormat="true" applyProtection="false" borderId="0" fillId="0" fontId="5" numFmtId="264" xfId="0">
      <alignment horizontal="center" vertical="center"/>
    </xf>
    <xf applyAlignment="true" applyBorder="false" applyFill="false" applyFont="true" applyNumberFormat="true" applyProtection="false" borderId="88" fillId="0" fontId="5" numFmtId="260" xfId="0">
      <alignment horizontal="center" vertical="center"/>
    </xf>
    <xf applyAlignment="true" applyBorder="false" applyFill="false" applyFont="true" applyNumberFormat="true" applyProtection="false" borderId="88" fillId="0" fontId="5" numFmtId="261" xfId="0">
      <alignment horizontal="center" vertical="center"/>
    </xf>
    <xf applyAlignment="true" applyBorder="false" applyFill="false" applyFont="true" applyNumberFormat="true" applyProtection="false" borderId="88" fillId="0" fontId="5" numFmtId="262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88" fillId="47" fontId="5" numFmtId="0" xfId="0">
      <alignment horizontal="center" vertical="center"/>
    </xf>
    <xf applyAlignment="true" applyBorder="false" applyFill="true" applyFont="true" applyNumberFormat="true" applyProtection="false" borderId="88" fillId="47" fontId="6" numFmtId="258" xfId="0">
      <alignment horizontal="center" vertical="center"/>
    </xf>
    <xf applyAlignment="true" applyBorder="false" applyFill="true" applyFont="true" applyNumberFormat="true" applyProtection="false" borderId="88" fillId="47" fontId="5" numFmtId="259" xfId="0">
      <alignment horizontal="center" vertical="center"/>
    </xf>
    <xf applyAlignment="true" applyBorder="false" applyFill="true" applyFont="true" applyNumberFormat="true" applyProtection="false" borderId="88" fillId="47" fontId="5" numFmtId="262" xfId="0">
      <alignment horizontal="center" vertical="center"/>
    </xf>
    <xf applyAlignment="true" applyBorder="false" applyFill="true" applyFont="true" applyNumberFormat="true" applyProtection="false" borderId="88" fillId="47" fontId="5" numFmtId="260" xfId="0">
      <alignment horizontal="center" vertical="center"/>
    </xf>
    <xf applyAlignment="true" applyBorder="false" applyFill="true" applyFont="true" applyNumberFormat="true" applyProtection="false" borderId="88" fillId="47" fontId="5" numFmtId="261" xfId="0">
      <alignment horizontal="center" vertical="center"/>
    </xf>
    <xf applyAlignment="true" applyBorder="false" applyFill="false" applyFont="true" applyNumberFormat="true" applyProtection="false" borderId="88" fillId="0" fontId="5" numFmtId="263" xfId="0">
      <alignment horizontal="center" vertical="center"/>
    </xf>
    <xf applyAlignment="true" applyBorder="false" applyFill="false" applyFont="true" applyNumberFormat="true" applyProtection="false" borderId="88" fillId="0" fontId="5" numFmtId="259" xfId="0">
      <alignment horizontal="center" vertical="center"/>
    </xf>
    <xf applyAlignment="true" applyBorder="false" applyFill="true" applyFont="true" applyNumberFormat="false" applyProtection="false" borderId="88" fillId="47" fontId="5" numFmtId="0" xfId="0">
      <alignment horizontal="center" vertical="center"/>
    </xf>
    <xf applyAlignment="true" applyBorder="false" applyFill="true" applyFont="true" applyNumberFormat="false" applyProtection="false" borderId="0" fillId="48" fontId="11" numFmtId="0" xfId="0">
      <alignment vertical="center"/>
    </xf>
    <xf applyAlignment="true" applyBorder="false" applyFill="true" applyFont="true" applyNumberFormat="false" applyProtection="false" borderId="0" fillId="48" fontId="11" numFmtId="0" xfId="0">
      <alignment vertical="center"/>
    </xf>
    <xf applyAlignment="true" applyBorder="false" applyFill="true" applyFont="true" applyNumberFormat="true" applyProtection="false" borderId="88" fillId="49" fontId="6" numFmtId="258" xfId="0">
      <alignment horizontal="center" vertical="center"/>
    </xf>
    <xf applyAlignment="true" applyBorder="false" applyFill="false" applyFont="true" applyNumberFormat="true" applyProtection="false" borderId="0" fillId="0" fontId="5" numFmtId="263" xfId="0">
      <alignment vertical="center"/>
    </xf>
    <xf applyAlignment="true" applyBorder="false" applyFill="true" applyFont="true" applyNumberFormat="true" applyProtection="false" borderId="0" fillId="48" fontId="11" numFmtId="263" xfId="0">
      <alignment vertical="center"/>
    </xf>
    <xf applyAlignment="true" applyBorder="false" applyFill="true" applyFont="true" applyNumberFormat="false" applyProtection="false" borderId="89" fillId="50" fontId="1" numFmtId="0" xfId="0">
      <alignment horizontal="center" vertical="center"/>
    </xf>
    <xf applyAlignment="true" applyBorder="false" applyFill="true" applyFont="true" applyNumberFormat="false" applyProtection="false" borderId="89" fillId="50" fontId="1" numFmtId="0" xfId="0">
      <alignment horizontal="center" vertical="center"/>
    </xf>
    <xf applyAlignment="true" applyBorder="false" applyFill="true" applyFont="true" applyNumberFormat="true" applyProtection="false" borderId="89" fillId="50" fontId="1" numFmtId="265" xfId="0">
      <alignment horizontal="center" vertical="center"/>
    </xf>
    <xf applyAlignment="true" applyBorder="false" applyFill="true" applyFont="true" applyNumberFormat="true" applyProtection="false" borderId="89" fillId="50" fontId="1" numFmtId="266" xfId="0">
      <alignment horizontal="center" vertical="center"/>
    </xf>
    <xf applyAlignment="true" applyBorder="false" applyFill="true" applyFont="true" applyNumberFormat="true" applyProtection="false" borderId="89" fillId="50" fontId="1" numFmtId="267" xfId="0">
      <alignment horizontal="center" vertical="center"/>
    </xf>
    <xf applyAlignment="true" applyBorder="false" applyFill="true" applyFont="true" applyNumberFormat="true" applyProtection="false" borderId="89" fillId="50" fontId="1" numFmtId="268" xfId="0">
      <alignment horizontal="center" vertical="center"/>
    </xf>
    <xf applyAlignment="true" applyBorder="false" applyFill="true" applyFont="true" applyNumberFormat="true" applyProtection="false" borderId="89" fillId="50" fontId="1" numFmtId="269" xfId="0">
      <alignment horizontal="center" vertical="center"/>
    </xf>
    <xf applyAlignment="true" applyBorder="false" applyFill="true" applyFont="true" applyNumberFormat="true" applyProtection="false" borderId="89" fillId="50" fontId="1" numFmtId="268" xfId="0">
      <alignment horizontal="center" vertical="center"/>
    </xf>
    <xf applyAlignment="true" applyBorder="false" applyFill="false" applyFont="true" applyNumberFormat="false" applyProtection="false" borderId="89" fillId="0" fontId="5" numFmtId="0" xfId="0">
      <alignment horizontal="center" vertical="center"/>
    </xf>
    <xf applyAlignment="true" applyBorder="false" applyFill="false" applyFont="true" applyNumberFormat="false" applyProtection="false" borderId="90" fillId="0" fontId="5" numFmtId="0" xfId="0">
      <alignment horizontal="center" vertical="center"/>
    </xf>
    <xf applyAlignment="true" applyBorder="false" applyFill="false" applyFont="true" applyNumberFormat="true" applyProtection="false" borderId="89" fillId="0" fontId="5" numFmtId="270" xfId="0">
      <alignment horizontal="center" vertical="center"/>
    </xf>
    <xf applyAlignment="true" applyBorder="false" applyFill="true" applyFont="true" applyNumberFormat="true" applyProtection="false" borderId="89" fillId="50" fontId="6" numFmtId="265" xfId="0">
      <alignment horizontal="center" vertical="center"/>
    </xf>
    <xf applyAlignment="true" applyBorder="false" applyFill="false" applyFont="true" applyNumberFormat="true" applyProtection="false" borderId="89" fillId="0" fontId="5" numFmtId="266" xfId="0">
      <alignment horizontal="center" vertical="center"/>
    </xf>
    <xf applyAlignment="true" applyBorder="false" applyFill="false" applyFont="true" applyNumberFormat="false" applyProtection="false" borderId="89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2" numFmtId="271" xfId="0">
      <alignment horizontal="center" vertical="center"/>
    </xf>
    <xf applyAlignment="true" applyBorder="false" applyFill="false" applyFont="true" applyNumberFormat="true" applyProtection="false" borderId="89" fillId="0" fontId="5" numFmtId="267" xfId="0">
      <alignment horizontal="center" vertical="center"/>
    </xf>
    <xf applyAlignment="true" applyBorder="false" applyFill="false" applyFont="true" applyNumberFormat="true" applyProtection="false" borderId="89" fillId="0" fontId="5" numFmtId="268" xfId="0">
      <alignment horizontal="center" vertical="center"/>
    </xf>
    <xf applyAlignment="true" applyBorder="false" applyFill="false" applyFont="true" applyNumberFormat="true" applyProtection="false" borderId="89" fillId="0" fontId="5" numFmtId="269" xfId="0">
      <alignment horizontal="center" vertical="center"/>
    </xf>
    <xf applyAlignment="true" applyBorder="false" applyFill="true" applyFont="true" applyNumberFormat="false" applyProtection="false" borderId="89" fillId="51" fontId="5" numFmtId="0" xfId="0">
      <alignment horizontal="center" vertical="center"/>
    </xf>
    <xf applyAlignment="true" applyBorder="false" applyFill="true" applyFont="true" applyNumberFormat="false" applyProtection="false" borderId="89" fillId="51" fontId="5" numFmtId="0" xfId="0">
      <alignment horizontal="center" vertical="center"/>
    </xf>
    <xf applyAlignment="true" applyBorder="false" applyFill="true" applyFont="true" applyNumberFormat="true" applyProtection="false" borderId="89" fillId="51" fontId="6" numFmtId="265" xfId="0">
      <alignment horizontal="center" vertical="center"/>
    </xf>
    <xf applyAlignment="true" applyBorder="false" applyFill="true" applyFont="true" applyNumberFormat="true" applyProtection="false" borderId="89" fillId="51" fontId="5" numFmtId="266" xfId="0">
      <alignment horizontal="center" vertical="center"/>
    </xf>
    <xf applyAlignment="true" applyBorder="false" applyFill="true" applyFont="true" applyNumberFormat="true" applyProtection="false" borderId="89" fillId="51" fontId="5" numFmtId="269" xfId="0">
      <alignment horizontal="center" vertical="center"/>
    </xf>
    <xf applyAlignment="true" applyBorder="false" applyFill="true" applyFont="true" applyNumberFormat="true" applyProtection="false" borderId="89" fillId="51" fontId="5" numFmtId="267" xfId="0">
      <alignment horizontal="center" vertical="center"/>
    </xf>
    <xf applyAlignment="true" applyBorder="false" applyFill="true" applyFont="true" applyNumberFormat="true" applyProtection="false" borderId="89" fillId="51" fontId="5" numFmtId="268" xfId="0">
      <alignment horizontal="center" vertical="center"/>
    </xf>
    <xf applyAlignment="true" applyBorder="false" applyFill="true" applyFont="true" applyNumberFormat="true" applyProtection="false" borderId="89" fillId="51" fontId="5" numFmtId="268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91" fillId="52" fontId="1" numFmtId="0" xfId="0">
      <alignment horizontal="center" vertical="center"/>
    </xf>
    <xf applyAlignment="true" applyBorder="false" applyFill="true" applyFont="true" applyNumberFormat="false" applyProtection="false" borderId="91" fillId="52" fontId="1" numFmtId="0" xfId="0">
      <alignment horizontal="center" vertical="center"/>
    </xf>
    <xf applyAlignment="true" applyBorder="false" applyFill="true" applyFont="true" applyNumberFormat="true" applyProtection="false" borderId="91" fillId="52" fontId="1" numFmtId="272" xfId="0">
      <alignment horizontal="center" vertical="center"/>
    </xf>
    <xf applyAlignment="true" applyBorder="false" applyFill="true" applyFont="true" applyNumberFormat="true" applyProtection="false" borderId="91" fillId="52" fontId="1" numFmtId="273" xfId="0">
      <alignment horizontal="center" vertical="center"/>
    </xf>
    <xf applyAlignment="true" applyBorder="false" applyFill="true" applyFont="true" applyNumberFormat="true" applyProtection="false" borderId="91" fillId="52" fontId="1" numFmtId="274" xfId="0">
      <alignment horizontal="center" vertical="center"/>
    </xf>
    <xf applyAlignment="true" applyBorder="false" applyFill="true" applyFont="true" applyNumberFormat="true" applyProtection="false" borderId="91" fillId="52" fontId="1" numFmtId="275" xfId="0">
      <alignment horizontal="center" vertical="center"/>
    </xf>
    <xf applyAlignment="true" applyBorder="false" applyFill="true" applyFont="true" applyNumberFormat="true" applyProtection="false" borderId="91" fillId="52" fontId="1" numFmtId="276" xfId="0">
      <alignment horizontal="center" vertical="center"/>
    </xf>
    <xf applyAlignment="true" applyBorder="false" applyFill="true" applyFont="true" applyNumberFormat="true" applyProtection="false" borderId="91" fillId="52" fontId="1" numFmtId="275" xfId="0">
      <alignment horizontal="center" vertical="center"/>
    </xf>
    <xf applyAlignment="true" applyBorder="false" applyFill="false" applyFont="true" applyNumberFormat="false" applyProtection="false" borderId="91" fillId="0" fontId="5" numFmtId="0" xfId="0">
      <alignment horizontal="center" vertical="center"/>
    </xf>
    <xf applyAlignment="true" applyBorder="false" applyFill="false" applyFont="true" applyNumberFormat="true" applyProtection="false" borderId="91" fillId="0" fontId="5" numFmtId="277" xfId="0">
      <alignment horizontal="center" vertical="center"/>
    </xf>
    <xf applyAlignment="true" applyBorder="false" applyFill="true" applyFont="true" applyNumberFormat="true" applyProtection="false" borderId="91" fillId="52" fontId="6" numFmtId="272" xfId="0">
      <alignment horizontal="center" vertical="center"/>
    </xf>
    <xf applyAlignment="true" applyBorder="false" applyFill="false" applyFont="true" applyNumberFormat="true" applyProtection="false" borderId="91" fillId="0" fontId="5" numFmtId="273" xfId="0">
      <alignment horizontal="center" vertical="center"/>
    </xf>
    <xf applyAlignment="true" applyBorder="false" applyFill="false" applyFont="true" applyNumberFormat="false" applyProtection="false" borderId="91" fillId="0" fontId="5" numFmtId="0" xfId="0">
      <alignment horizontal="center" vertical="center"/>
    </xf>
    <xf applyAlignment="true" applyBorder="false" applyFill="false" applyFont="true" applyNumberFormat="true" applyProtection="false" borderId="0" fillId="0" fontId="2" numFmtId="278" xfId="0">
      <alignment horizontal="center" vertical="center"/>
    </xf>
    <xf applyAlignment="true" applyBorder="false" applyFill="false" applyFont="true" applyNumberFormat="true" applyProtection="false" borderId="91" fillId="0" fontId="5" numFmtId="274" xfId="0">
      <alignment horizontal="center" vertical="center"/>
    </xf>
    <xf applyAlignment="true" applyBorder="false" applyFill="false" applyFont="true" applyNumberFormat="true" applyProtection="false" borderId="91" fillId="0" fontId="5" numFmtId="275" xfId="0">
      <alignment horizontal="center" vertical="center"/>
    </xf>
    <xf applyAlignment="true" applyBorder="false" applyFill="false" applyFont="true" applyNumberFormat="true" applyProtection="false" borderId="91" fillId="0" fontId="5" numFmtId="276" xfId="0">
      <alignment horizontal="center" vertical="center"/>
    </xf>
    <xf applyAlignment="true" applyBorder="false" applyFill="true" applyFont="true" applyNumberFormat="false" applyProtection="false" borderId="91" fillId="53" fontId="5" numFmtId="0" xfId="0">
      <alignment horizontal="center" vertical="center"/>
    </xf>
    <xf applyAlignment="true" applyBorder="false" applyFill="true" applyFont="true" applyNumberFormat="false" applyProtection="false" borderId="91" fillId="53" fontId="5" numFmtId="0" xfId="0">
      <alignment horizontal="center" vertical="center"/>
    </xf>
    <xf applyAlignment="true" applyBorder="false" applyFill="true" applyFont="true" applyNumberFormat="true" applyProtection="false" borderId="91" fillId="53" fontId="6" numFmtId="272" xfId="0">
      <alignment horizontal="center" vertical="center"/>
    </xf>
    <xf applyAlignment="true" applyBorder="false" applyFill="true" applyFont="true" applyNumberFormat="true" applyProtection="false" borderId="91" fillId="53" fontId="5" numFmtId="273" xfId="0">
      <alignment horizontal="center" vertical="center"/>
    </xf>
    <xf applyAlignment="true" applyBorder="false" applyFill="true" applyFont="true" applyNumberFormat="true" applyProtection="false" borderId="91" fillId="53" fontId="5" numFmtId="276" xfId="0">
      <alignment horizontal="center" vertical="center"/>
    </xf>
    <xf applyAlignment="true" applyBorder="false" applyFill="true" applyFont="true" applyNumberFormat="true" applyProtection="false" borderId="91" fillId="53" fontId="5" numFmtId="274" xfId="0">
      <alignment horizontal="center" vertical="center"/>
    </xf>
    <xf applyAlignment="true" applyBorder="false" applyFill="true" applyFont="true" applyNumberFormat="true" applyProtection="false" borderId="91" fillId="53" fontId="5" numFmtId="275" xfId="0">
      <alignment horizontal="center" vertical="center"/>
    </xf>
    <xf applyAlignment="true" applyBorder="false" applyFill="true" applyFont="true" applyNumberFormat="true" applyProtection="false" borderId="91" fillId="53" fontId="5" numFmtId="275" xfId="0">
      <alignment horizontal="center" vertical="center"/>
    </xf>
    <xf applyAlignment="true" applyBorder="false" applyFill="false" applyFont="true" applyNumberFormat="false" applyProtection="false" borderId="92" fillId="0" fontId="5" numFmtId="0" xfId="0">
      <alignment horizontal="center" vertical="center"/>
    </xf>
    <xf applyAlignment="true" applyBorder="false" applyFill="false" applyFont="true" applyNumberFormat="false" applyProtection="false" borderId="93" fillId="0" fontId="5" numFmtId="0" xfId="0">
      <alignment horizontal="center" vertical="center"/>
    </xf>
    <xf applyAlignment="true" applyBorder="false" applyFill="false" applyFont="true" applyNumberFormat="false" applyProtection="false" borderId="93" fillId="0" fontId="5" numFmtId="0" xfId="0">
      <alignment horizontal="center" vertical="center"/>
    </xf>
    <xf applyAlignment="true" applyBorder="false" applyFill="false" applyFont="true" applyNumberFormat="true" applyProtection="false" borderId="93" fillId="0" fontId="5" numFmtId="277" xfId="0">
      <alignment horizontal="center" vertical="center"/>
    </xf>
    <xf applyAlignment="true" applyBorder="false" applyFill="true" applyFont="true" applyNumberFormat="true" applyProtection="false" borderId="93" fillId="54" fontId="6" numFmtId="272" xfId="0">
      <alignment horizontal="center" vertical="center"/>
    </xf>
    <xf applyAlignment="true" applyBorder="false" applyFill="false" applyFont="true" applyNumberFormat="true" applyProtection="false" borderId="93" fillId="0" fontId="5" numFmtId="273" xfId="0">
      <alignment horizontal="center" vertical="center"/>
    </xf>
    <xf applyAlignment="true" applyBorder="false" applyFill="false" applyFont="true" applyNumberFormat="true" applyProtection="false" borderId="93" fillId="0" fontId="5" numFmtId="276" xfId="0">
      <alignment horizontal="center" vertical="center"/>
    </xf>
    <xf applyAlignment="true" applyBorder="false" applyFill="false" applyFont="true" applyNumberFormat="true" applyProtection="false" borderId="93" fillId="0" fontId="5" numFmtId="274" xfId="0">
      <alignment horizontal="center" vertical="center"/>
    </xf>
    <xf applyAlignment="true" applyBorder="false" applyFill="false" applyFont="true" applyNumberFormat="true" applyProtection="false" borderId="93" fillId="0" fontId="5" numFmtId="275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vertical="center"/>
    </xf>
    <xf applyAlignment="true" applyBorder="false" applyFill="true" applyFont="true" applyNumberFormat="false" applyProtection="false" borderId="93" fillId="55" fontId="5" numFmtId="0" xfId="0">
      <alignment horizontal="center" vertical="center"/>
    </xf>
    <xf applyAlignment="true" applyBorder="false" applyFill="true" applyFont="true" applyNumberFormat="true" applyProtection="false" borderId="93" fillId="55" fontId="6" numFmtId="272" xfId="0">
      <alignment horizontal="center" vertical="center"/>
    </xf>
    <xf applyAlignment="true" applyBorder="false" applyFill="true" applyFont="true" applyNumberFormat="true" applyProtection="false" borderId="93" fillId="55" fontId="5" numFmtId="276" xfId="0">
      <alignment horizontal="center" vertical="center"/>
    </xf>
    <xf applyAlignment="true" applyBorder="false" applyFill="true" applyFont="true" applyNumberFormat="true" applyProtection="false" borderId="93" fillId="55" fontId="5" numFmtId="274" xfId="0">
      <alignment horizontal="center" vertical="center"/>
    </xf>
    <xf applyAlignment="true" applyBorder="false" applyFill="true" applyFont="true" applyNumberFormat="true" applyProtection="false" borderId="93" fillId="55" fontId="5" numFmtId="275" xfId="0">
      <alignment horizontal="center" vertical="center"/>
    </xf>
    <xf applyAlignment="true" applyBorder="false" applyFill="true" applyFont="true" applyNumberFormat="true" applyProtection="false" borderId="91" fillId="53" fontId="5" numFmtId="276" xfId="0">
      <alignment horizontal="center" vertical="center"/>
    </xf>
    <xf applyAlignment="true" applyBorder="false" applyFill="true" applyFont="true" applyNumberFormat="false" applyProtection="false" borderId="94" fillId="56" fontId="1" numFmtId="0" xfId="0">
      <alignment horizontal="center" vertical="center"/>
    </xf>
    <xf applyAlignment="true" applyBorder="false" applyFill="true" applyFont="true" applyNumberFormat="false" applyProtection="false" borderId="94" fillId="56" fontId="1" numFmtId="0" xfId="0">
      <alignment horizontal="center" vertical="center"/>
    </xf>
    <xf applyAlignment="true" applyBorder="false" applyFill="true" applyFont="true" applyNumberFormat="true" applyProtection="false" borderId="94" fillId="56" fontId="1" numFmtId="279" xfId="0">
      <alignment horizontal="center" vertical="center"/>
    </xf>
    <xf applyAlignment="true" applyBorder="false" applyFill="true" applyFont="true" applyNumberFormat="true" applyProtection="false" borderId="94" fillId="56" fontId="1" numFmtId="280" xfId="0">
      <alignment horizontal="center" vertical="center"/>
    </xf>
    <xf applyAlignment="true" applyBorder="false" applyFill="true" applyFont="true" applyNumberFormat="true" applyProtection="false" borderId="94" fillId="56" fontId="1" numFmtId="281" xfId="0">
      <alignment horizontal="center" vertical="center"/>
    </xf>
    <xf applyAlignment="true" applyBorder="false" applyFill="true" applyFont="true" applyNumberFormat="true" applyProtection="false" borderId="94" fillId="56" fontId="1" numFmtId="282" xfId="0">
      <alignment horizontal="center" vertical="center"/>
    </xf>
    <xf applyAlignment="true" applyBorder="false" applyFill="true" applyFont="true" applyNumberFormat="true" applyProtection="false" borderId="94" fillId="56" fontId="1" numFmtId="283" xfId="0">
      <alignment horizontal="center" vertical="center"/>
    </xf>
    <xf applyAlignment="true" applyBorder="false" applyFill="true" applyFont="true" applyNumberFormat="true" applyProtection="false" borderId="94" fillId="56" fontId="1" numFmtId="282" xfId="0">
      <alignment horizontal="center" vertical="center"/>
    </xf>
    <xf applyAlignment="true" applyBorder="false" applyFill="false" applyFont="true" applyNumberFormat="false" applyProtection="false" borderId="94" fillId="0" fontId="5" numFmtId="0" xfId="0">
      <alignment horizontal="center" vertical="center"/>
    </xf>
    <xf applyAlignment="true" applyBorder="false" applyFill="false" applyFont="true" applyNumberFormat="true" applyProtection="false" borderId="94" fillId="0" fontId="5" numFmtId="284" xfId="0">
      <alignment horizontal="center" vertical="center"/>
    </xf>
    <xf applyAlignment="true" applyBorder="false" applyFill="true" applyFont="true" applyNumberFormat="true" applyProtection="false" borderId="94" fillId="56" fontId="6" numFmtId="279" xfId="0">
      <alignment horizontal="center" vertical="center"/>
    </xf>
    <xf applyAlignment="true" applyBorder="false" applyFill="false" applyFont="true" applyNumberFormat="true" applyProtection="false" borderId="94" fillId="0" fontId="5" numFmtId="280" xfId="0">
      <alignment horizontal="center" vertical="center"/>
    </xf>
    <xf applyAlignment="true" applyBorder="false" applyFill="false" applyFont="true" applyNumberFormat="false" applyProtection="false" borderId="94" fillId="0" fontId="5" numFmtId="0" xfId="0">
      <alignment horizontal="center" vertical="center"/>
    </xf>
    <xf applyAlignment="true" applyBorder="false" applyFill="false" applyFont="true" applyNumberFormat="true" applyProtection="false" borderId="94" fillId="0" fontId="5" numFmtId="283" xfId="0">
      <alignment horizontal="center" vertical="center"/>
    </xf>
    <xf applyAlignment="true" applyBorder="false" applyFill="false" applyFont="true" applyNumberFormat="true" applyProtection="false" borderId="94" fillId="0" fontId="5" numFmtId="281" xfId="0">
      <alignment horizontal="center" vertical="center"/>
    </xf>
    <xf applyAlignment="true" applyBorder="false" applyFill="false" applyFont="true" applyNumberFormat="true" applyProtection="false" borderId="94" fillId="0" fontId="5" numFmtId="282" xfId="0">
      <alignment horizontal="center" vertical="center"/>
    </xf>
    <xf applyAlignment="true" applyBorder="false" applyFill="true" applyFont="true" applyNumberFormat="false" applyProtection="false" borderId="94" fillId="57" fontId="5" numFmtId="0" xfId="0">
      <alignment horizontal="center" vertical="center"/>
    </xf>
    <xf applyAlignment="true" applyBorder="false" applyFill="true" applyFont="true" applyNumberFormat="false" applyProtection="false" borderId="94" fillId="57" fontId="5" numFmtId="0" xfId="0">
      <alignment horizontal="center" vertical="center"/>
    </xf>
    <xf applyAlignment="true" applyBorder="false" applyFill="true" applyFont="true" applyNumberFormat="true" applyProtection="false" borderId="94" fillId="57" fontId="6" numFmtId="279" xfId="0">
      <alignment horizontal="center" vertical="center"/>
    </xf>
    <xf applyAlignment="true" applyBorder="false" applyFill="true" applyFont="true" applyNumberFormat="true" applyProtection="false" borderId="94" fillId="57" fontId="5" numFmtId="280" xfId="0">
      <alignment horizontal="center" vertical="center"/>
    </xf>
    <xf applyAlignment="true" applyBorder="false" applyFill="true" applyFont="true" applyNumberFormat="true" applyProtection="false" borderId="94" fillId="57" fontId="5" numFmtId="283" xfId="0">
      <alignment horizontal="center" vertical="center"/>
    </xf>
    <xf applyAlignment="true" applyBorder="false" applyFill="true" applyFont="true" applyNumberFormat="true" applyProtection="false" borderId="94" fillId="57" fontId="5" numFmtId="281" xfId="0">
      <alignment horizontal="center" vertical="center"/>
    </xf>
    <xf applyAlignment="true" applyBorder="false" applyFill="true" applyFont="true" applyNumberFormat="true" applyProtection="false" borderId="94" fillId="57" fontId="5" numFmtId="28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true" applyProtection="false" borderId="94" fillId="57" fontId="5" numFmtId="282" xfId="0">
      <alignment horizontal="center" vertical="center"/>
    </xf>
    <xf applyAlignment="true" applyBorder="false" applyFill="false" applyFont="true" applyNumberFormat="true" applyProtection="false" borderId="0" fillId="0" fontId="2" numFmtId="28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95" fillId="58" fontId="1" numFmtId="0" xfId="0">
      <alignment horizontal="center" vertical="center"/>
    </xf>
    <xf applyAlignment="true" applyBorder="false" applyFill="true" applyFont="true" applyNumberFormat="false" applyProtection="false" borderId="95" fillId="58" fontId="1" numFmtId="0" xfId="0">
      <alignment horizontal="center" vertical="center"/>
    </xf>
    <xf applyAlignment="true" applyBorder="false" applyFill="true" applyFont="true" applyNumberFormat="true" applyProtection="false" borderId="95" fillId="58" fontId="1" numFmtId="286" xfId="0">
      <alignment horizontal="center" vertical="center"/>
    </xf>
    <xf applyAlignment="true" applyBorder="false" applyFill="true" applyFont="true" applyNumberFormat="true" applyProtection="false" borderId="95" fillId="58" fontId="1" numFmtId="287" xfId="0">
      <alignment horizontal="center" vertical="center"/>
    </xf>
    <xf applyAlignment="true" applyBorder="false" applyFill="true" applyFont="true" applyNumberFormat="true" applyProtection="false" borderId="95" fillId="58" fontId="1" numFmtId="288" xfId="0">
      <alignment horizontal="center" vertical="center"/>
    </xf>
    <xf applyAlignment="true" applyBorder="false" applyFill="true" applyFont="true" applyNumberFormat="true" applyProtection="false" borderId="95" fillId="58" fontId="1" numFmtId="289" xfId="0">
      <alignment horizontal="center" vertical="center"/>
    </xf>
    <xf applyAlignment="true" applyBorder="false" applyFill="true" applyFont="true" applyNumberFormat="true" applyProtection="false" borderId="95" fillId="58" fontId="1" numFmtId="290" xfId="0">
      <alignment horizontal="center" vertical="center"/>
    </xf>
    <xf applyAlignment="true" applyBorder="false" applyFill="true" applyFont="true" applyNumberFormat="true" applyProtection="false" borderId="95" fillId="58" fontId="1" numFmtId="289" xfId="0">
      <alignment horizontal="center" vertical="center"/>
    </xf>
    <xf applyAlignment="true" applyBorder="false" applyFill="false" applyFont="true" applyNumberFormat="false" applyProtection="false" borderId="95" fillId="0" fontId="5" numFmtId="0" xfId="0">
      <alignment horizontal="center" vertical="center"/>
    </xf>
    <xf applyAlignment="true" applyBorder="false" applyFill="false" applyFont="true" applyNumberFormat="true" applyProtection="false" borderId="95" fillId="0" fontId="5" numFmtId="291" xfId="0">
      <alignment horizontal="center" vertical="center"/>
    </xf>
    <xf applyAlignment="true" applyBorder="false" applyFill="true" applyFont="true" applyNumberFormat="true" applyProtection="false" borderId="95" fillId="58" fontId="6" numFmtId="286" xfId="0">
      <alignment horizontal="center" vertical="center"/>
    </xf>
    <xf applyAlignment="true" applyBorder="false" applyFill="false" applyFont="true" applyNumberFormat="true" applyProtection="false" borderId="95" fillId="0" fontId="5" numFmtId="287" xfId="0">
      <alignment horizontal="center" vertical="center"/>
    </xf>
    <xf applyAlignment="true" applyBorder="false" applyFill="false" applyFont="true" applyNumberFormat="false" applyProtection="false" borderId="95" fillId="0" fontId="5" numFmtId="0" xfId="0">
      <alignment horizontal="center" vertical="center"/>
    </xf>
    <xf applyAlignment="true" applyBorder="false" applyFill="false" applyFont="true" applyNumberFormat="true" applyProtection="false" borderId="95" fillId="0" fontId="5" numFmtId="290" xfId="0">
      <alignment horizontal="center" vertical="center"/>
    </xf>
    <xf applyAlignment="true" applyBorder="false" applyFill="false" applyFont="true" applyNumberFormat="true" applyProtection="false" borderId="95" fillId="0" fontId="5" numFmtId="288" xfId="0">
      <alignment horizontal="center" vertical="center"/>
    </xf>
    <xf applyAlignment="true" applyBorder="false" applyFill="false" applyFont="true" applyNumberFormat="true" applyProtection="false" borderId="95" fillId="0" fontId="5" numFmtId="289" xfId="0">
      <alignment horizontal="center" vertical="center"/>
    </xf>
    <xf applyAlignment="true" applyBorder="false" applyFill="true" applyFont="true" applyNumberFormat="false" applyProtection="false" borderId="95" fillId="59" fontId="5" numFmtId="0" xfId="0">
      <alignment horizontal="center" vertical="center"/>
    </xf>
    <xf applyAlignment="true" applyBorder="false" applyFill="true" applyFont="true" applyNumberFormat="false" applyProtection="false" borderId="95" fillId="59" fontId="5" numFmtId="0" xfId="0">
      <alignment horizontal="center" vertical="center"/>
    </xf>
    <xf applyAlignment="true" applyBorder="false" applyFill="true" applyFont="true" applyNumberFormat="true" applyProtection="false" borderId="95" fillId="59" fontId="6" numFmtId="286" xfId="0">
      <alignment horizontal="center" vertical="center"/>
    </xf>
    <xf applyAlignment="true" applyBorder="false" applyFill="true" applyFont="true" applyNumberFormat="true" applyProtection="false" borderId="95" fillId="59" fontId="5" numFmtId="287" xfId="0">
      <alignment horizontal="center" vertical="center"/>
    </xf>
    <xf applyAlignment="true" applyBorder="false" applyFill="true" applyFont="true" applyNumberFormat="true" applyProtection="false" borderId="95" fillId="59" fontId="5" numFmtId="290" xfId="0">
      <alignment horizontal="center" vertical="center"/>
    </xf>
    <xf applyAlignment="true" applyBorder="false" applyFill="true" applyFont="true" applyNumberFormat="true" applyProtection="false" borderId="95" fillId="59" fontId="5" numFmtId="288" xfId="0">
      <alignment horizontal="center" vertical="center"/>
    </xf>
    <xf applyAlignment="true" applyBorder="false" applyFill="true" applyFont="true" applyNumberFormat="true" applyProtection="false" borderId="95" fillId="59" fontId="5" numFmtId="28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96" fillId="60" fontId="1" numFmtId="0" xfId="0">
      <alignment horizontal="center" vertical="center"/>
    </xf>
    <xf applyAlignment="true" applyBorder="false" applyFill="true" applyFont="true" applyNumberFormat="false" applyProtection="false" borderId="96" fillId="60" fontId="1" numFmtId="0" xfId="0">
      <alignment horizontal="center" vertical="center"/>
    </xf>
    <xf applyAlignment="true" applyBorder="false" applyFill="true" applyFont="true" applyNumberFormat="true" applyProtection="false" borderId="96" fillId="60" fontId="1" numFmtId="292" xfId="0">
      <alignment horizontal="center" vertical="center"/>
    </xf>
    <xf applyAlignment="true" applyBorder="false" applyFill="true" applyFont="true" applyNumberFormat="true" applyProtection="false" borderId="96" fillId="60" fontId="1" numFmtId="293" xfId="0">
      <alignment horizontal="center" vertical="center"/>
    </xf>
    <xf applyAlignment="true" applyBorder="false" applyFill="true" applyFont="true" applyNumberFormat="true" applyProtection="false" borderId="96" fillId="60" fontId="1" numFmtId="294" xfId="0">
      <alignment horizontal="center" vertical="center"/>
    </xf>
    <xf applyAlignment="true" applyBorder="false" applyFill="true" applyFont="true" applyNumberFormat="true" applyProtection="false" borderId="96" fillId="60" fontId="1" numFmtId="295" xfId="0">
      <alignment horizontal="center" vertical="center"/>
    </xf>
    <xf applyAlignment="true" applyBorder="false" applyFill="true" applyFont="true" applyNumberFormat="true" applyProtection="false" borderId="96" fillId="60" fontId="1" numFmtId="296" xfId="0">
      <alignment horizontal="center" vertical="center"/>
    </xf>
    <xf applyAlignment="true" applyBorder="false" applyFill="true" applyFont="true" applyNumberFormat="true" applyProtection="false" borderId="96" fillId="60" fontId="1" numFmtId="297" xfId="0">
      <alignment horizontal="center" vertical="center"/>
    </xf>
    <xf applyAlignment="true" applyBorder="false" applyFill="true" applyFont="true" applyNumberFormat="true" applyProtection="false" borderId="96" fillId="60" fontId="1" numFmtId="296" xfId="0">
      <alignment horizontal="center" vertical="center"/>
    </xf>
    <xf applyAlignment="true" applyBorder="false" applyFill="false" applyFont="true" applyNumberFormat="false" applyProtection="false" borderId="96" fillId="0" fontId="5" numFmtId="0" xfId="0">
      <alignment horizontal="center" vertical="center"/>
    </xf>
    <xf applyAlignment="true" applyBorder="false" applyFill="false" applyFont="true" applyNumberFormat="true" applyProtection="false" borderId="96" fillId="0" fontId="5" numFmtId="292" xfId="0">
      <alignment horizontal="center" vertical="center"/>
    </xf>
    <xf applyAlignment="true" applyBorder="false" applyFill="true" applyFont="true" applyNumberFormat="true" applyProtection="false" borderId="96" fillId="60" fontId="6" numFmtId="293" xfId="0">
      <alignment horizontal="center" vertical="center"/>
    </xf>
    <xf applyAlignment="true" applyBorder="false" applyFill="false" applyFont="true" applyNumberFormat="true" applyProtection="false" borderId="96" fillId="0" fontId="5" numFmtId="294" xfId="0">
      <alignment horizontal="center" vertical="center"/>
    </xf>
    <xf applyAlignment="true" applyBorder="false" applyFill="false" applyFont="true" applyNumberFormat="false" applyProtection="false" borderId="96" fillId="0" fontId="5" numFmtId="0" xfId="0">
      <alignment horizontal="center" vertical="center"/>
    </xf>
    <xf applyAlignment="true" applyBorder="false" applyFill="false" applyFont="true" applyNumberFormat="true" applyProtection="false" borderId="96" fillId="0" fontId="5" numFmtId="297" xfId="0">
      <alignment horizontal="center" vertical="center"/>
    </xf>
    <xf applyAlignment="true" applyBorder="false" applyFill="false" applyFont="true" applyNumberFormat="true" applyProtection="false" borderId="96" fillId="0" fontId="5" numFmtId="295" xfId="0">
      <alignment horizontal="center" vertical="center"/>
    </xf>
    <xf applyAlignment="true" applyBorder="false" applyFill="false" applyFont="true" applyNumberFormat="true" applyProtection="false" borderId="96" fillId="0" fontId="5" numFmtId="296" xfId="0">
      <alignment horizontal="center" vertical="center"/>
    </xf>
    <xf applyAlignment="true" applyBorder="false" applyFill="true" applyFont="true" applyNumberFormat="false" applyProtection="false" borderId="96" fillId="61" fontId="5" numFmtId="0" xfId="0">
      <alignment horizontal="center" vertical="center"/>
    </xf>
    <xf applyAlignment="true" applyBorder="false" applyFill="true" applyFont="true" applyNumberFormat="false" applyProtection="false" borderId="96" fillId="61" fontId="5" numFmtId="0" xfId="0">
      <alignment horizontal="center" vertical="center"/>
    </xf>
    <xf applyAlignment="true" applyBorder="false" applyFill="true" applyFont="true" applyNumberFormat="true" applyProtection="false" borderId="96" fillId="61" fontId="5" numFmtId="292" xfId="0">
      <alignment horizontal="center" vertical="center"/>
    </xf>
    <xf applyAlignment="true" applyBorder="false" applyFill="true" applyFont="true" applyNumberFormat="true" applyProtection="false" borderId="96" fillId="61" fontId="6" numFmtId="293" xfId="0">
      <alignment horizontal="center" vertical="center"/>
    </xf>
    <xf applyAlignment="true" applyBorder="false" applyFill="true" applyFont="true" applyNumberFormat="true" applyProtection="false" borderId="96" fillId="61" fontId="5" numFmtId="294" xfId="0">
      <alignment horizontal="center" vertical="center"/>
    </xf>
    <xf applyAlignment="true" applyBorder="false" applyFill="true" applyFont="true" applyNumberFormat="true" applyProtection="false" borderId="96" fillId="61" fontId="5" numFmtId="297" xfId="0">
      <alignment horizontal="center" vertical="center"/>
    </xf>
    <xf applyAlignment="true" applyBorder="false" applyFill="true" applyFont="true" applyNumberFormat="true" applyProtection="false" borderId="96" fillId="61" fontId="5" numFmtId="295" xfId="0">
      <alignment horizontal="center" vertical="center"/>
    </xf>
    <xf applyAlignment="true" applyBorder="false" applyFill="true" applyFont="true" applyNumberFormat="true" applyProtection="false" borderId="96" fillId="61" fontId="5" numFmtId="296" xfId="0">
      <alignment horizontal="center" vertical="center"/>
    </xf>
    <xf applyAlignment="true" applyBorder="false" applyFill="false" applyFont="true" applyNumberFormat="false" applyProtection="false" borderId="97" fillId="0" fontId="13" numFmtId="0" xfId="0">
      <alignment horizontal="center" vertical="center"/>
    </xf>
    <xf applyAlignment="true" applyBorder="false" applyFill="false" applyFont="true" applyNumberFormat="true" applyProtection="false" borderId="97" fillId="0" fontId="13" numFmtId="292" xfId="0">
      <alignment horizontal="center" vertical="center"/>
    </xf>
    <xf applyAlignment="true" applyBorder="false" applyFill="false" applyFont="true" applyNumberFormat="true" applyProtection="false" borderId="0" fillId="0" fontId="2" numFmtId="294" xfId="0">
      <alignment vertical="center"/>
    </xf>
    <xf applyAlignment="true" applyBorder="false" applyFill="true" applyFont="true" applyNumberFormat="true" applyProtection="false" borderId="97" fillId="62" fontId="13" numFmtId="292" xfId="0">
      <alignment horizontal="center" vertical="center"/>
    </xf>
    <xf applyAlignment="true" applyBorder="false" applyFill="true" applyFont="true" applyNumberFormat="false" applyProtection="false" borderId="97" fillId="62" fontId="13" numFmtId="0" xfId="0">
      <alignment horizontal="center" vertical="center"/>
    </xf>
    <xf applyAlignment="true" applyBorder="false" applyFill="true" applyFont="true" applyNumberFormat="false" applyProtection="false" borderId="97" fillId="62" fontId="13" numFmtId="0" xfId="0">
      <alignment horizontal="center" vertical="center"/>
    </xf>
    <xf applyAlignment="true" applyBorder="false" applyFill="true" applyFont="true" applyNumberFormat="false" applyProtection="false" borderId="98" fillId="63" fontId="1" numFmtId="0" xfId="0">
      <alignment horizontal="center" vertical="center"/>
    </xf>
    <xf applyAlignment="true" applyBorder="false" applyFill="true" applyFont="true" applyNumberFormat="false" applyProtection="false" borderId="98" fillId="63" fontId="1" numFmtId="0" xfId="0">
      <alignment horizontal="center" vertical="center"/>
    </xf>
    <xf applyAlignment="true" applyBorder="false" applyFill="true" applyFont="true" applyNumberFormat="true" applyProtection="false" borderId="98" fillId="63" fontId="1" numFmtId="298" xfId="0">
      <alignment horizontal="center" vertical="center"/>
    </xf>
    <xf applyAlignment="true" applyBorder="false" applyFill="true" applyFont="true" applyNumberFormat="true" applyProtection="false" borderId="98" fillId="63" fontId="1" numFmtId="299" xfId="0">
      <alignment horizontal="center" vertical="center"/>
    </xf>
    <xf applyAlignment="true" applyBorder="false" applyFill="true" applyFont="true" applyNumberFormat="true" applyProtection="false" borderId="98" fillId="63" fontId="1" numFmtId="300" xfId="0">
      <alignment horizontal="center" vertical="center"/>
    </xf>
    <xf applyAlignment="true" applyBorder="false" applyFill="true" applyFont="true" applyNumberFormat="true" applyProtection="false" borderId="98" fillId="63" fontId="1" numFmtId="301" xfId="0">
      <alignment horizontal="center" vertical="center"/>
    </xf>
    <xf applyAlignment="true" applyBorder="false" applyFill="true" applyFont="true" applyNumberFormat="true" applyProtection="false" borderId="98" fillId="63" fontId="1" numFmtId="299" xfId="0">
      <alignment horizontal="center" vertical="center"/>
    </xf>
    <xf applyAlignment="true" applyBorder="false" applyFill="false" applyFont="true" applyNumberFormat="false" applyProtection="false" borderId="98" fillId="0" fontId="5" numFmtId="0" xfId="0">
      <alignment horizontal="center" vertical="center"/>
    </xf>
    <xf applyAlignment="true" applyBorder="false" applyFill="false" applyFont="true" applyNumberFormat="true" applyProtection="false" borderId="98" fillId="0" fontId="5" numFmtId="302" xfId="0">
      <alignment horizontal="center" vertical="center"/>
    </xf>
    <xf applyAlignment="true" applyBorder="false" applyFill="true" applyFont="true" applyNumberFormat="true" applyProtection="false" borderId="98" fillId="63" fontId="6" numFmtId="298" xfId="0">
      <alignment horizontal="center" vertical="center"/>
    </xf>
    <xf applyAlignment="true" applyBorder="false" applyFill="false" applyFont="true" applyNumberFormat="true" applyProtection="false" borderId="98" fillId="0" fontId="5" numFmtId="303" xfId="0">
      <alignment horizontal="center" vertical="center"/>
    </xf>
    <xf applyAlignment="true" applyBorder="false" applyFill="false" applyFont="true" applyNumberFormat="false" applyProtection="false" borderId="98" fillId="0" fontId="5" numFmtId="0" xfId="0">
      <alignment horizontal="center" vertical="center"/>
    </xf>
    <xf applyAlignment="true" applyBorder="false" applyFill="false" applyFont="true" applyNumberFormat="true" applyProtection="false" borderId="98" fillId="0" fontId="5" numFmtId="301" xfId="0">
      <alignment horizontal="center" vertical="center"/>
    </xf>
    <xf applyAlignment="true" applyBorder="false" applyFill="false" applyFont="true" applyNumberFormat="true" applyProtection="false" borderId="98" fillId="0" fontId="5" numFmtId="300" xfId="0">
      <alignment horizontal="center" vertical="center"/>
    </xf>
    <xf applyAlignment="true" applyBorder="false" applyFill="false" applyFont="true" applyNumberFormat="true" applyProtection="false" borderId="98" fillId="0" fontId="5" numFmtId="299" xfId="0">
      <alignment horizontal="center" vertical="center"/>
    </xf>
    <xf applyAlignment="true" applyBorder="false" applyFill="true" applyFont="true" applyNumberFormat="false" applyProtection="false" borderId="98" fillId="64" fontId="5" numFmtId="0" xfId="0">
      <alignment horizontal="center" vertical="center"/>
    </xf>
    <xf applyAlignment="true" applyBorder="false" applyFill="true" applyFont="true" applyNumberFormat="false" applyProtection="false" borderId="98" fillId="64" fontId="5" numFmtId="0" xfId="0">
      <alignment horizontal="center" vertical="center"/>
    </xf>
    <xf applyAlignment="true" applyBorder="false" applyFill="true" applyFont="true" applyNumberFormat="true" applyProtection="false" borderId="98" fillId="64" fontId="6" numFmtId="298" xfId="0">
      <alignment horizontal="center" vertical="center"/>
    </xf>
    <xf applyAlignment="true" applyBorder="false" applyFill="true" applyFont="true" applyNumberFormat="true" applyProtection="false" borderId="98" fillId="64" fontId="5" numFmtId="301" xfId="0">
      <alignment horizontal="center" vertical="center"/>
    </xf>
    <xf applyAlignment="true" applyBorder="false" applyFill="true" applyFont="true" applyNumberFormat="true" applyProtection="false" borderId="98" fillId="64" fontId="5" numFmtId="300" xfId="0">
      <alignment horizontal="center" vertical="center"/>
    </xf>
    <xf applyAlignment="true" applyBorder="false" applyFill="true" applyFont="true" applyNumberFormat="true" applyProtection="false" borderId="98" fillId="64" fontId="5" numFmtId="299" xfId="0">
      <alignment horizontal="center" vertical="center"/>
    </xf>
    <xf applyAlignment="true" applyBorder="false" applyFill="false" applyFont="true" applyNumberFormat="false" applyProtection="false" borderId="99" fillId="0" fontId="13" numFmtId="0" xfId="0">
      <alignment horizontal="center" vertical="center"/>
    </xf>
    <xf applyAlignment="true" applyBorder="false" applyFill="true" applyFont="true" applyNumberFormat="false" applyProtection="false" borderId="100" fillId="65" fontId="1" numFmtId="0" xfId="0">
      <alignment horizontal="center" vertical="center"/>
    </xf>
    <xf applyAlignment="true" applyBorder="false" applyFill="true" applyFont="true" applyNumberFormat="false" applyProtection="false" borderId="100" fillId="65" fontId="1" numFmtId="0" xfId="0">
      <alignment horizontal="center" vertical="center"/>
    </xf>
    <xf applyAlignment="true" applyBorder="false" applyFill="true" applyFont="true" applyNumberFormat="true" applyProtection="false" borderId="100" fillId="65" fontId="1" numFmtId="304" xfId="0">
      <alignment horizontal="center" vertical="center"/>
    </xf>
    <xf applyAlignment="true" applyBorder="false" applyFill="true" applyFont="true" applyNumberFormat="true" applyProtection="false" borderId="100" fillId="65" fontId="1" numFmtId="305" xfId="0">
      <alignment horizontal="center" vertical="center"/>
    </xf>
    <xf applyAlignment="true" applyBorder="false" applyFill="true" applyFont="true" applyNumberFormat="true" applyProtection="false" borderId="100" fillId="65" fontId="1" numFmtId="306" xfId="0">
      <alignment horizontal="center" vertical="center"/>
    </xf>
    <xf applyAlignment="true" applyBorder="false" applyFill="true" applyFont="true" applyNumberFormat="true" applyProtection="false" borderId="100" fillId="65" fontId="1" numFmtId="307" xfId="0">
      <alignment horizontal="center" vertical="center"/>
    </xf>
    <xf applyAlignment="true" applyBorder="false" applyFill="true" applyFont="true" applyNumberFormat="true" applyProtection="false" borderId="100" fillId="65" fontId="1" numFmtId="305" xfId="0">
      <alignment horizontal="center" vertical="center"/>
    </xf>
    <xf applyAlignment="true" applyBorder="false" applyFill="false" applyFont="true" applyNumberFormat="false" applyProtection="false" borderId="100" fillId="0" fontId="5" numFmtId="0" xfId="0">
      <alignment horizontal="center" vertical="center"/>
    </xf>
    <xf applyAlignment="true" applyBorder="false" applyFill="false" applyFont="true" applyNumberFormat="true" applyProtection="false" borderId="100" fillId="0" fontId="5" numFmtId="308" xfId="0">
      <alignment horizontal="center" vertical="center"/>
    </xf>
    <xf applyAlignment="true" applyBorder="false" applyFill="true" applyFont="true" applyNumberFormat="true" applyProtection="false" borderId="100" fillId="65" fontId="6" numFmtId="304" xfId="0">
      <alignment horizontal="center" vertical="center"/>
    </xf>
    <xf applyAlignment="true" applyBorder="false" applyFill="false" applyFont="true" applyNumberFormat="true" applyProtection="false" borderId="100" fillId="0" fontId="5" numFmtId="305" xfId="0">
      <alignment horizontal="center" vertical="center"/>
    </xf>
    <xf applyAlignment="true" applyBorder="false" applyFill="false" applyFont="true" applyNumberFormat="false" applyProtection="false" borderId="100" fillId="0" fontId="5" numFmtId="0" xfId="0">
      <alignment horizontal="center" vertical="center"/>
    </xf>
    <xf applyAlignment="true" applyBorder="false" applyFill="false" applyFont="true" applyNumberFormat="true" applyProtection="false" borderId="100" fillId="0" fontId="5" numFmtId="307" xfId="0">
      <alignment horizontal="center" vertical="center"/>
    </xf>
    <xf applyAlignment="true" applyBorder="false" applyFill="false" applyFont="true" applyNumberFormat="true" applyProtection="false" borderId="100" fillId="0" fontId="5" numFmtId="306" xfId="0">
      <alignment horizontal="center" vertical="center"/>
    </xf>
    <xf applyAlignment="true" applyBorder="false" applyFill="true" applyFont="true" applyNumberFormat="false" applyProtection="false" borderId="100" fillId="66" fontId="5" numFmtId="0" xfId="0">
      <alignment horizontal="center" vertical="center"/>
    </xf>
    <xf applyAlignment="true" applyBorder="false" applyFill="true" applyFont="true" applyNumberFormat="false" applyProtection="false" borderId="100" fillId="66" fontId="5" numFmtId="0" xfId="0">
      <alignment horizontal="center" vertical="center"/>
    </xf>
    <xf applyAlignment="true" applyBorder="false" applyFill="true" applyFont="true" applyNumberFormat="true" applyProtection="false" borderId="100" fillId="66" fontId="6" numFmtId="304" xfId="0">
      <alignment horizontal="center" vertical="center"/>
    </xf>
    <xf applyAlignment="true" applyBorder="false" applyFill="true" applyFont="true" applyNumberFormat="true" applyProtection="false" borderId="100" fillId="66" fontId="5" numFmtId="305" xfId="0">
      <alignment horizontal="center" vertical="center"/>
    </xf>
    <xf applyAlignment="true" applyBorder="false" applyFill="true" applyFont="true" applyNumberFormat="true" applyProtection="false" borderId="100" fillId="66" fontId="5" numFmtId="307" xfId="0">
      <alignment horizontal="center" vertical="center"/>
    </xf>
    <xf applyAlignment="true" applyBorder="false" applyFill="true" applyFont="true" applyNumberFormat="true" applyProtection="false" borderId="100" fillId="66" fontId="5" numFmtId="30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305" xfId="0">
      <alignment vertical="center"/>
    </xf>
    <xf applyAlignment="true" applyBorder="false" applyFill="true" applyFont="true" applyNumberFormat="false" applyProtection="false" borderId="101" fillId="67" fontId="1" numFmtId="0" xfId="0">
      <alignment horizontal="center" vertical="center"/>
    </xf>
    <xf applyAlignment="true" applyBorder="false" applyFill="true" applyFont="true" applyNumberFormat="false" applyProtection="false" borderId="101" fillId="67" fontId="1" numFmtId="0" xfId="0">
      <alignment horizontal="center" vertical="center"/>
    </xf>
    <xf applyAlignment="true" applyBorder="false" applyFill="true" applyFont="true" applyNumberFormat="false" applyProtection="false" borderId="101" fillId="67" fontId="1" numFmtId="0" xfId="0">
      <alignment horizontal="center" vertical="center"/>
    </xf>
    <xf applyAlignment="true" applyBorder="false" applyFill="true" applyFont="true" applyNumberFormat="false" applyProtection="false" borderId="101" fillId="67" fontId="1" numFmtId="0" xfId="0">
      <alignment horizontal="center" vertical="center"/>
    </xf>
    <xf applyAlignment="true" applyBorder="false" applyFill="false" applyFont="true" applyNumberFormat="true" applyProtection="false" borderId="102" fillId="0" fontId="5" numFmtId="309" xfId="0">
      <alignment horizontal="center" vertical="center"/>
    </xf>
    <xf applyAlignment="true" applyBorder="false" applyFill="false" applyFont="true" applyNumberFormat="false" applyProtection="false" borderId="103" fillId="0" fontId="8" numFmtId="0" xfId="0">
      <alignment horizontal="center" vertical="center"/>
    </xf>
    <xf applyAlignment="true" applyBorder="false" applyFill="false" applyFont="true" applyNumberFormat="false" applyProtection="false" borderId="104" fillId="0" fontId="5" numFmtId="0" xfId="0">
      <alignment horizontal="center" vertical="center"/>
    </xf>
    <xf applyAlignment="true" applyBorder="false" applyFill="false" applyFont="true" applyNumberFormat="true" applyProtection="false" borderId="104" fillId="0" fontId="5" numFmtId="310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/>
    </xf>
    <xf applyAlignment="true" applyBorder="false" applyFill="false" applyFont="true" applyNumberFormat="true" applyProtection="false" borderId="103" fillId="0" fontId="5" numFmtId="310" xfId="0">
      <alignment horizontal="center" vertical="center"/>
    </xf>
    <xf applyAlignment="true" applyBorder="false" applyFill="false" applyFont="true" applyNumberFormat="false" applyProtection="false" borderId="103" fillId="0" fontId="5" numFmtId="0" xfId="0">
      <alignment horizontal="center" vertical="center"/>
    </xf>
    <xf applyAlignment="true" applyBorder="false" applyFill="false" applyFont="true" applyNumberFormat="false" applyProtection="false" borderId="105" fillId="0" fontId="5" numFmtId="0" xfId="0">
      <alignment horizontal="center" vertical="center"/>
    </xf>
    <xf applyAlignment="true" applyBorder="false" applyFill="false" applyFont="true" applyNumberFormat="true" applyProtection="false" borderId="105" fillId="0" fontId="5" numFmtId="310" xfId="0">
      <alignment horizontal="center" vertical="center"/>
    </xf>
    <xf applyAlignment="true" applyBorder="false" applyFill="true" applyFont="true" applyNumberFormat="true" applyProtection="false" borderId="103" fillId="68" fontId="5" numFmtId="309" xfId="0">
      <alignment horizontal="center" vertical="center"/>
    </xf>
    <xf applyAlignment="true" applyBorder="false" applyFill="true" applyFont="true" applyNumberFormat="false" applyProtection="false" borderId="105" fillId="68" fontId="5" numFmtId="0" xfId="0">
      <alignment horizontal="center" vertical="center"/>
    </xf>
    <xf applyAlignment="true" applyBorder="false" applyFill="true" applyFont="true" applyNumberFormat="false" applyProtection="false" borderId="103" fillId="68" fontId="5" numFmtId="0" xfId="0">
      <alignment horizontal="center" vertical="center"/>
    </xf>
    <xf applyAlignment="true" applyBorder="false" applyFill="true" applyFont="true" applyNumberFormat="true" applyProtection="false" borderId="103" fillId="68" fontId="5" numFmtId="310" xfId="0">
      <alignment horizontal="center" vertical="center"/>
    </xf>
    <xf applyAlignment="true" applyBorder="false" applyFill="false" applyFont="true" applyNumberFormat="true" applyProtection="false" borderId="103" fillId="0" fontId="5" numFmtId="310" xfId="0">
      <alignment horizontal="center" vertical="center"/>
    </xf>
    <xf applyAlignment="true" applyBorder="false" applyFill="false" applyFont="true" applyNumberFormat="true" applyProtection="false" borderId="105" fillId="0" fontId="5" numFmtId="31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311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69" fontId="2" numFmtId="0" xfId="0">
      <alignment horizontal="center" vertical="center"/>
    </xf>
    <xf applyAlignment="true" applyBorder="false" applyFill="true" applyFont="true" applyNumberFormat="false" applyProtection="false" borderId="0" fillId="69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311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101" fillId="70" fontId="5" numFmtId="309" xfId="0">
      <alignment horizontal="center" vertical="center"/>
    </xf>
    <xf applyAlignment="true" applyBorder="false" applyFill="false" applyFont="true" applyNumberFormat="false" applyProtection="false" borderId="101" fillId="0" fontId="2" numFmtId="0" xfId="0">
      <alignment vertical="center"/>
    </xf>
    <xf applyAlignment="true" applyBorder="false" applyFill="true" applyFont="true" applyNumberFormat="false" applyProtection="false" borderId="103" fillId="71" fontId="14" numFmtId="0" xfId="0">
      <alignment horizontal="center" vertical="center"/>
    </xf>
    <xf applyAlignment="true" applyBorder="false" applyFill="true" applyFont="true" applyNumberFormat="false" applyProtection="false" borderId="106" fillId="71" fontId="14" numFmtId="0" xfId="0">
      <alignment horizontal="center" vertical="center"/>
    </xf>
    <xf applyAlignment="true" applyBorder="false" applyFill="true" applyFont="true" applyNumberFormat="true" applyProtection="false" borderId="103" fillId="72" fontId="14" numFmtId="310" xfId="0">
      <alignment horizontal="center" vertical="center"/>
    </xf>
    <xf applyAlignment="true" applyBorder="false" applyFill="true" applyFont="true" applyNumberFormat="true" applyProtection="false" borderId="103" fillId="73" fontId="14" numFmtId="311" xfId="0">
      <alignment horizontal="center" vertical="center"/>
    </xf>
    <xf applyAlignment="true" applyBorder="false" applyFill="true" applyFont="true" applyNumberFormat="false" applyProtection="false" borderId="107" fillId="74" fontId="14" numFmtId="0" xfId="0">
      <alignment horizontal="center" vertical="center"/>
    </xf>
    <xf applyAlignment="true" applyBorder="false" applyFill="false" applyFont="true" applyNumberFormat="false" applyProtection="false" borderId="0" fillId="0" fontId="15" numFmtId="0" xfId="0">
      <alignment horizontal="center" vertical="center"/>
    </xf>
    <xf applyAlignment="true" applyBorder="false" applyFill="true" applyFont="true" applyNumberFormat="true" applyProtection="false" borderId="104" fillId="75" fontId="14" numFmtId="310" xfId="0">
      <alignment horizontal="center" vertical="center" wrapText="true"/>
    </xf>
    <xf applyAlignment="true" applyBorder="false" applyFill="true" applyFont="true" applyNumberFormat="true" applyProtection="false" borderId="104" fillId="76" fontId="16" numFmtId="312" xfId="0">
      <alignment horizontal="center" vertical="center" wrapText="true"/>
    </xf>
    <xf applyAlignment="true" applyBorder="false" applyFill="true" applyFont="true" applyNumberFormat="true" applyProtection="false" borderId="103" fillId="77" fontId="14" numFmtId="313" xfId="0">
      <alignment horizontal="center" vertical="center" wrapText="true"/>
    </xf>
    <xf applyAlignment="true" applyBorder="false" applyFill="true" applyFont="true" applyNumberFormat="true" applyProtection="false" borderId="103" fillId="78" fontId="14" numFmtId="313" xfId="0">
      <alignment horizontal="center" vertical="center" wrapText="true"/>
    </xf>
    <xf applyAlignment="true" applyBorder="false" applyFill="true" applyFont="true" applyNumberFormat="true" applyProtection="false" borderId="103" fillId="79" fontId="14" numFmtId="312" xfId="0">
      <alignment horizontal="center" vertical="center" wrapText="true"/>
    </xf>
    <xf applyAlignment="true" applyBorder="false" applyFill="true" applyFont="true" applyNumberFormat="false" applyProtection="false" borderId="107" fillId="80" fontId="14" numFmtId="0" xfId="0">
      <alignment horizontal="center" vertical="center" wrapText="true"/>
    </xf>
    <xf applyAlignment="true" applyBorder="false" applyFill="true" applyFont="true" applyNumberFormat="false" applyProtection="false" borderId="108" fillId="80" fontId="14" numFmtId="0" xfId="0">
      <alignment horizontal="center" vertical="center" wrapText="true"/>
    </xf>
    <xf applyAlignment="true" applyBorder="false" applyFill="true" applyFont="true" applyNumberFormat="true" applyProtection="false" borderId="103" fillId="71" fontId="14" numFmtId="310" xfId="0">
      <alignment horizontal="center" vertical="center" wrapText="true"/>
    </xf>
    <xf applyAlignment="true" applyBorder="false" applyFill="true" applyFont="true" applyNumberFormat="true" applyProtection="false" borderId="102" fillId="71" fontId="14" numFmtId="310" xfId="0">
      <alignment horizontal="center" vertical="center" wrapText="true"/>
    </xf>
    <xf applyAlignment="true" applyBorder="false" applyFill="true" applyFont="true" applyNumberFormat="true" applyProtection="false" borderId="103" fillId="75" fontId="14" numFmtId="310" xfId="0">
      <alignment horizontal="center" vertical="center" wrapText="true"/>
    </xf>
    <xf applyAlignment="true" applyBorder="false" applyFill="true" applyFont="true" applyNumberFormat="true" applyProtection="false" borderId="103" fillId="76" fontId="14" numFmtId="312" xfId="0">
      <alignment horizontal="center" vertical="center" wrapText="true"/>
    </xf>
    <xf applyAlignment="true" applyBorder="false" applyFill="true" applyFont="true" applyNumberFormat="true" applyProtection="false" borderId="103" fillId="76" fontId="14" numFmtId="310" xfId="0">
      <alignment horizontal="center" vertical="center" wrapText="true"/>
    </xf>
    <xf applyAlignment="true" applyBorder="false" applyFill="true" applyFont="true" applyNumberFormat="true" applyProtection="false" borderId="103" fillId="78" fontId="17" numFmtId="313" xfId="0">
      <alignment horizontal="center" vertical="center" wrapText="true"/>
    </xf>
    <xf applyAlignment="true" applyBorder="false" applyFill="true" applyFont="true" applyNumberFormat="true" applyProtection="false" borderId="103" fillId="78" fontId="17" numFmtId="314" xfId="0">
      <alignment horizontal="center" vertical="center" wrapText="true"/>
    </xf>
    <xf applyAlignment="true" applyBorder="false" applyFill="true" applyFont="true" applyNumberFormat="true" applyProtection="false" borderId="103" fillId="78" fontId="17" numFmtId="311" xfId="0">
      <alignment horizontal="center" vertical="center" wrapText="true"/>
    </xf>
    <xf applyAlignment="true" applyBorder="false" applyFill="true" applyFont="true" applyNumberFormat="true" applyProtection="false" borderId="103" fillId="78" fontId="14" numFmtId="314" xfId="0">
      <alignment horizontal="center" vertical="center" wrapText="true"/>
    </xf>
    <xf applyAlignment="true" applyBorder="false" applyFill="true" applyFont="true" applyNumberFormat="true" applyProtection="false" borderId="103" fillId="78" fontId="17" numFmtId="314" xfId="0">
      <alignment horizontal="center" vertical="center" wrapText="true"/>
    </xf>
    <xf applyAlignment="true" applyBorder="false" applyFill="true" applyFont="true" applyNumberFormat="true" applyProtection="false" borderId="104" fillId="79" fontId="14" numFmtId="312" xfId="0">
      <alignment horizontal="center" vertical="center" wrapText="true"/>
    </xf>
    <xf applyAlignment="true" applyBorder="false" applyFill="false" applyFont="true" applyNumberFormat="false" applyProtection="false" borderId="105" fillId="0" fontId="18" numFmtId="0" xfId="0">
      <alignment horizontal="center" vertical="center"/>
    </xf>
    <xf applyAlignment="true" applyBorder="false" applyFill="false" applyFont="true" applyNumberFormat="false" applyProtection="false" borderId="103" fillId="0" fontId="19" numFmtId="0" xfId="0">
      <alignment horizontal="center" vertical="center"/>
    </xf>
    <xf applyAlignment="true" applyBorder="false" applyFill="false" applyFont="true" applyNumberFormat="true" applyProtection="false" borderId="103" fillId="0" fontId="13" numFmtId="314" xfId="0">
      <alignment horizontal="center" vertical="center"/>
    </xf>
    <xf applyAlignment="true" applyBorder="false" applyFill="false" applyFont="true" applyNumberFormat="true" applyProtection="false" borderId="109" fillId="0" fontId="19" numFmtId="310" xfId="0">
      <alignment horizontal="center" vertical="center"/>
    </xf>
    <xf applyAlignment="true" applyBorder="false" applyFill="false" applyFont="true" applyNumberFormat="true" applyProtection="false" borderId="103" fillId="0" fontId="19" numFmtId="312" xfId="0">
      <alignment horizontal="center" vertical="center"/>
    </xf>
    <xf applyAlignment="true" applyBorder="false" applyFill="false" applyFont="true" applyNumberFormat="true" applyProtection="false" borderId="103" fillId="0" fontId="19" numFmtId="310" xfId="0">
      <alignment horizontal="center" vertical="center"/>
    </xf>
    <xf applyAlignment="true" applyBorder="false" applyFill="false" applyFont="true" applyNumberFormat="true" applyProtection="false" borderId="103" fillId="0" fontId="19" numFmtId="315" xfId="0">
      <alignment horizontal="center" vertical="center"/>
    </xf>
    <xf applyAlignment="true" applyBorder="false" applyFill="true" applyFont="true" applyNumberFormat="true" applyProtection="false" borderId="102" fillId="71" fontId="14" numFmtId="310" xfId="0">
      <alignment horizontal="center" vertical="center" wrapText="true"/>
    </xf>
    <xf applyAlignment="true" applyBorder="false" applyFill="true" applyFont="true" applyNumberFormat="true" applyProtection="false" borderId="103" fillId="76" fontId="14" numFmtId="310" xfId="0">
      <alignment horizontal="center" vertical="center" wrapText="true"/>
    </xf>
    <xf applyAlignment="true" applyBorder="false" applyFill="false" applyFont="true" applyNumberFormat="true" applyProtection="false" borderId="103" fillId="0" fontId="13" numFmtId="314" xfId="0">
      <alignment horizontal="center" vertical="center"/>
    </xf>
    <xf applyAlignment="true" applyBorder="false" applyFill="false" applyFont="true" applyNumberFormat="false" applyProtection="false" borderId="105" fillId="0" fontId="18" numFmtId="0" xfId="0">
      <alignment horizontal="center" vertical="center"/>
    </xf>
    <xf applyAlignment="true" applyBorder="false" applyFill="false" applyFont="true" applyNumberFormat="false" applyProtection="false" borderId="103" fillId="0" fontId="19" numFmtId="0" xfId="0">
      <alignment horizontal="center" vertical="center"/>
    </xf>
    <xf applyAlignment="true" applyBorder="false" applyFill="false" applyFont="true" applyNumberFormat="true" applyProtection="false" borderId="103" fillId="0" fontId="19" numFmtId="312" xfId="0">
      <alignment horizontal="center" vertical="center"/>
    </xf>
    <xf applyAlignment="true" applyBorder="false" applyFill="false" applyFont="true" applyNumberFormat="true" applyProtection="false" borderId="103" fillId="0" fontId="19" numFmtId="310" xfId="0">
      <alignment horizontal="center" vertical="center"/>
    </xf>
    <xf applyAlignment="true" applyBorder="false" applyFill="true" applyFont="true" applyNumberFormat="false" applyProtection="false" borderId="0" fillId="81" fontId="20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/xl/pivotCache/pivotCacheDefinition1.xml" Type="http://schemas.openxmlformats.org/officeDocument/2006/relationships/pivotCacheDefinition"></Relationship><Relationship Id="rId10" Target="worksheets/sheet6.xml" Type="http://schemas.openxmlformats.org/officeDocument/2006/relationships/worksheet"></Relationship><Relationship Id="rId11" Target="worksheets/sheet7.xml" Type="http://schemas.openxmlformats.org/officeDocument/2006/relationships/worksheet"></Relationship><Relationship Id="rId12" Target="worksheets/sheet8.xml" Type="http://schemas.openxmlformats.org/officeDocument/2006/relationships/worksheet"></Relationship><Relationship Id="rId13" Target="worksheets/sheet9.xml" Type="http://schemas.openxmlformats.org/officeDocument/2006/relationships/worksheet"></Relationship><Relationship Id="rId14" Target="/xl/pivotCache/pivotCacheDefinition2.xml" Type="http://schemas.openxmlformats.org/officeDocument/2006/relationships/pivotCacheDefinition"></Relationship><Relationship Id="rId15" Target="worksheets/sheet10.xml" Type="http://schemas.openxmlformats.org/officeDocument/2006/relationships/worksheet"></Relationship><Relationship Id="rId16" Target="/xl/pivotCache/pivotCacheDefinition3.xml" Type="http://schemas.openxmlformats.org/officeDocument/2006/relationships/pivotCacheDefinition"></Relationship><Relationship Id="rId17" Target="worksheets/sheet11.xml" Type="http://schemas.openxmlformats.org/officeDocument/2006/relationships/worksheet"></Relationship><Relationship Id="rId18" Target="worksheets/sheet12.xml" Type="http://schemas.openxmlformats.org/officeDocument/2006/relationships/worksheet"></Relationship><Relationship Id="rId19" Target="/xl/pivotCache/pivotCacheDefinition4.xml" Type="http://schemas.openxmlformats.org/officeDocument/2006/relationships/pivotCacheDefinition"></Relationship><Relationship Id="rId20" Target="worksheets/sheet13.xml" Type="http://schemas.openxmlformats.org/officeDocument/2006/relationships/worksheet"></Relationship><Relationship Id="rId21" Target="/xl/pivotCache/pivotCacheDefinition5.xml" Type="http://schemas.openxmlformats.org/officeDocument/2006/relationships/pivotCacheDefinition"></Relationship><Relationship Id="rId22" Target="worksheets/sheet14.xml" Type="http://schemas.openxmlformats.org/officeDocument/2006/relationships/worksheet"></Relationship><Relationship Id="rId23" Target="/xl/pivotCache/pivotCacheDefinition6.xml" Type="http://schemas.openxmlformats.org/officeDocument/2006/relationships/pivotCacheDefinition"></Relationship><Relationship Id="rId24" Target="worksheets/sheet15.xml" Type="http://schemas.openxmlformats.org/officeDocument/2006/relationships/worksheet"></Relationship><Relationship Id="rId25" Target="worksheets/sheet16.xml" Type="http://schemas.openxmlformats.org/officeDocument/2006/relationships/worksheet"></Relationship><Relationship Id="rId26" Target="worksheets/sheet17.xml" Type="http://schemas.openxmlformats.org/officeDocument/2006/relationships/worksheet"></Relationship><Relationship Id="rId27" Target="/xl/pivotCache/pivotCacheDefinition7.xml" Type="http://schemas.openxmlformats.org/officeDocument/2006/relationships/pivotCacheDefinition"></Relationship><Relationship Id="rId28" Target="worksheets/sheet18.xml" Type="http://schemas.openxmlformats.org/officeDocument/2006/relationships/worksheet"></Relationship><Relationship Id="rId29" Target="/xl/pivotCache/pivotCacheDefinition8.xml" Type="http://schemas.openxmlformats.org/officeDocument/2006/relationships/pivotCacheDefinition"></Relationship><Relationship Id="rId30" Target="worksheets/sheet19.xml" Type="http://schemas.openxmlformats.org/officeDocument/2006/relationships/worksheet"></Relationship><Relationship Id="rId31" Target="/xl/pivotCache/pivotCacheDefinition9.xml" Type="http://schemas.openxmlformats.org/officeDocument/2006/relationships/pivotCacheDefinition"></Relationship><Relationship Id="rId32" Target="worksheets/sheet20.xml" Type="http://schemas.openxmlformats.org/officeDocument/2006/relationships/worksheet"></Relationship><Relationship Id="rId33" Target="/xl/pivotCache/pivotCacheDefinition10.xml" Type="http://schemas.openxmlformats.org/officeDocument/2006/relationships/pivotCacheDefinition"></Relationship><Relationship Id="rId34" Target="/xl/pivotCache/pivotCacheDefinition11.xml" Type="http://schemas.openxmlformats.org/officeDocument/2006/relationships/pivotCacheDefinition"></Relationship><Relationship Id="rId35" Target="worksheets/sheet21.xml" Type="http://schemas.openxmlformats.org/officeDocument/2006/relationships/worksheet"></Relationship><Relationship Id="rId36" Target="worksheets/sheet22.xml" Type="http://schemas.openxmlformats.org/officeDocument/2006/relationships/worksheet"></Relationship><Relationship Id="rId37" Target="worksheets/sheet23.xml" Type="http://schemas.openxmlformats.org/officeDocument/2006/relationships/worksheet"></Relationship><Relationship Id="rId38" Target="worksheets/sheet24.xml" Type="http://schemas.openxmlformats.org/officeDocument/2006/relationships/worksheet"></Relationship><Relationship Id="rId39" Target="/xl/pivotCache/pivotCacheDefinition12.xml" Type="http://schemas.openxmlformats.org/officeDocument/2006/relationships/pivotCacheDefinition"></Relationship><Relationship Id="rId40" Target="/xl/pivotCache/pivotCacheDefinition13.xml" Type="http://schemas.openxmlformats.org/officeDocument/2006/relationships/pivotCacheDefinition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188" sheet="2026.9月"/>
  </cacheSource>
  <cacheFields count="17">
    <cacheField name="时间" numFmtId="0">
      <sharedItems containsSemiMixedTypes="false" containsNonDate="false" containsDate="true" containsString="false" minDate="2026-09-01T00:00:00.000Z" maxDate="2026-09-30T00:00:00.000Z" count="0"/>
    </cacheField>
    <cacheField name="主播" numFmtId="0">
      <sharedItems count="7">
        <s v="习晓展"/>
        <s v="靳旭会"/>
        <s v="赵佳茜"/>
        <s v="张梦婷"/>
        <s v="李凯旋"/>
        <s v="日总"/>
        <s v="赵培培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minValue="1" maxValue="24" count="13">
        <n v="4"/>
        <n v="5"/>
        <n v="22"/>
        <n v="18"/>
        <n v="1"/>
        <n v="24"/>
        <n v="3"/>
        <n v="4.25"/>
        <n v="21.25"/>
        <n v="3.75"/>
        <n v="2.5"/>
        <n v="2.75"/>
        <n v="17.25"/>
      </sharedItems>
    </cacheField>
    <cacheField name="保险支付数" numFmtId="0">
      <sharedItems containsSemiMixedTypes="false" containsString="false" containsNumber="true" containsInteger="true" minValue="0" maxValue="86" count="0"/>
    </cacheField>
    <cacheField name="保单" numFmtId="0">
      <sharedItems containsSemiMixedTypes="false" containsString="false" containsNumber="true" containsInteger="true" minValue="1" maxValue="98" count="0"/>
    </cacheField>
    <cacheField name="年化保费" numFmtId="0">
      <sharedItems containsSemiMixedTypes="false" containsString="false" containsNumber="true" minValue="1994.85" maxValue="253515.61" count="187">
        <n v="60357.64"/>
        <n v="58833.96"/>
        <n v="47174.77"/>
        <n v="68976.8"/>
        <n v="18172.440000000002"/>
        <n v="253515.61"/>
        <n v="43724.50000000001"/>
        <n v="37774.5"/>
        <n v="38762.57"/>
        <n v="53487.28999999999"/>
        <n v="31311.379999999997"/>
        <n v="205060.24"/>
        <n v="39682.86"/>
        <n v="43612.99"/>
        <n v="49913.990000000005"/>
        <n v="65158.15999999999"/>
        <n v="29259.969999999998"/>
        <n v="227627.97"/>
        <n v="38584.28"/>
        <n v="51156.46999999999"/>
        <n v="35212.34"/>
        <n v="63623.259999999995"/>
        <n v="37779.91"/>
        <n v="226356.25999999998"/>
        <n v="60217.420000000006"/>
        <n v="28938.219999999987"/>
        <n v="39734.79000000001"/>
        <n v="69324.62"/>
        <n v="22995.78"/>
        <n v="221210.83"/>
        <n v="30926.619999999995"/>
        <n v="39536.44000000001"/>
        <n v="30994.180000000004"/>
        <n v="63804.52"/>
        <n v="43989.68000000001"/>
        <n v="209251.44"/>
        <n v="38178.869999999995"/>
        <n v="43248.310000000005"/>
        <n v="40154.44"/>
        <n v="38525.09"/>
        <n v="29340.409999999993"/>
        <n v="189447.12"/>
        <n v="43300.09999999999"/>
        <n v="50304.58"/>
        <n v="20874.920000000006"/>
        <n v="24579.829999999994"/>
        <n v="139059.43"/>
        <n v="14420.85"/>
        <n v="6677.949999999999"/>
        <n v="47007.700000000004"/>
        <n v="45160.92999999999"/>
        <n v="45720.70000000001"/>
        <n v="43457.73"/>
        <n v="202445.86000000002"/>
        <n v="2548.26"/>
        <n v="17528.95"/>
        <n v="47973.94"/>
        <n v="45309.179999999986"/>
        <n v="38011.55000000001"/>
        <n v="72572.39000000001"/>
        <n v="223944.27000000002"/>
        <n v="10759.33"/>
        <n v="11640.92"/>
        <n v="28904.69"/>
        <n v="50442.17999999999"/>
        <n v="23590.490000000005"/>
        <n v="26061.78"/>
        <n v="151399.39"/>
        <n v="9086.220000000001"/>
        <n v="10675.68"/>
        <n v="61081.30000000002"/>
        <n v="28687.25"/>
        <n v="49748.770000000004"/>
        <n v="34865.16"/>
        <n v="194144.38000000003"/>
        <n v="6531.530000000001"/>
        <n v="27089.789999999997"/>
        <n v="45764.46000000001"/>
        <n v="33344.31"/>
        <n v="29181.469999999958"/>
        <n v="43000.82999999999"/>
        <n v="184912.38999999993"/>
        <n v="1994.85"/>
        <n v="14736.75"/>
        <n v="54787.68999999999"/>
        <n v="37857.13"/>
        <n v="38501.43999999999"/>
        <n v="19613.670000000013"/>
        <n v="167491.53"/>
        <n v="8532.59"/>
        <n v="7091.370000000001"/>
        <n v="49219.75"/>
        <n v="65752.41"/>
        <n v="39270.06000000002"/>
        <n v="46930.49000000002"/>
        <n v="216796.67000000004"/>
        <n v="7651.220000000001"/>
        <n v="6537.960000000001"/>
        <n v="37386.92"/>
        <n v="28525.019999999997"/>
        <n v="27799.219999999987"/>
        <n v="13397.679999999993"/>
        <n v="121298.01999999997"/>
        <n v="20231.670000000002"/>
        <n v="36779.79000000001"/>
        <n v="31663.95999999999"/>
        <n v="29721.939999999988"/>
        <n v="39432.130000000005"/>
        <n v="157829.49"/>
        <n v="12747.74"/>
        <n v="40055.33"/>
        <n v="26206.840000000004"/>
        <n v="42102.95"/>
        <n v="36672.84"/>
        <n v="157785.7"/>
        <n v="6960.790000000001"/>
        <n v="40984.06999999999"/>
        <n v="41909.369999999995"/>
        <n v="44015.40999999999"/>
        <n v="36737.43"/>
        <n v="170607.06999999995"/>
        <n v="8211.07"/>
        <n v="30926.65"/>
        <n v="31151.849999999995"/>
        <n v="26768.270000000008"/>
        <n v="22721.999999999996"/>
        <n v="119779.84"/>
        <n v="12894.4"/>
        <n v="50366.770000000004"/>
        <n v="66332.01000000001"/>
        <n v="64367.99"/>
        <n v="36738.48999999999"/>
        <n v="230699.66"/>
        <n v="27027.019999999997"/>
        <n v="54533.970000000016"/>
        <n v="18640.39"/>
        <n v="37431.06"/>
        <n v="38130.889999999985"/>
        <n v="175763.33"/>
        <n v="14007.65"/>
        <n v="59176.38"/>
        <n v="25134.08"/>
        <n v="45437.54"/>
        <n v="34916.329999999994"/>
        <n v="178671.97999999998"/>
        <n v="19607.22"/>
        <n v="59446.600000000006"/>
        <n v="33484.520000000004"/>
        <n v="44528.41000000001"/>
        <n v="34174.94999999998"/>
        <n v="191241.7"/>
        <n v="9646.070000000002"/>
        <n v="40000.579999999994"/>
        <n v="31866.139999999992"/>
        <n v="34356.24"/>
        <n v="48880.590000000004"/>
        <n v="164749.61999999997"/>
        <n v="16177.590000000002"/>
        <n v="19985.770000000004"/>
        <n v="31235.269999999997"/>
        <n v="29485.19"/>
        <n v="45321.750000000015"/>
        <n v="142205.57"/>
        <n v="7799.2300000000005"/>
        <n v="42889.3"/>
        <n v="30061.109999999993"/>
        <n v="24221.36"/>
        <n v="47062.91"/>
        <n v="152033.91"/>
        <n v="8249.98"/>
        <n v="71956.82"/>
        <n v="43101.65"/>
        <n v="31151.85000000001"/>
        <n v="59939.13000000003"/>
        <n v="214399.43000000005"/>
        <n v="27958.730000000003"/>
        <n v="54818.75"/>
        <n v="49618.96000000001"/>
        <n v="54755.45999999999"/>
        <n v="57172.3"/>
        <n v="244324.2"/>
        <n v="12516.080000000002"/>
        <n v="61209.530000000006"/>
        <n v="55573"/>
        <n v="66012.19999999998"/>
        <n v="39453.01000000004"/>
        <n v="234763.82000000004"/>
      </sharedItems>
    </cacheField>
    <cacheField name="消耗" numFmtId="0">
      <sharedItems containsSemiMixedTypes="false" containsString="false" containsNumber="true" minValue="1443" maxValue="81687.85" count="187">
        <n v="16364.37"/>
        <n v="18308.87"/>
        <n v="15877.1"/>
        <n v="21981.04"/>
        <n v="8705.96"/>
        <n v="81237.34"/>
        <n v="14699.73"/>
        <n v="15366.600000000002"/>
        <n v="16579.23"/>
        <n v="19609.879999999997"/>
        <n v="6519.14"/>
        <n v="72774.58"/>
        <n v="12570.75"/>
        <n v="14529.77"/>
        <n v="14093.27"/>
        <n v="18564.65"/>
        <n v="7940.24"/>
        <n v="67698.68000000001"/>
        <n v="20398.18"/>
        <n v="16894.27"/>
        <n v="12124.690000000002"/>
        <n v="19593.54"/>
        <n v="10080.25"/>
        <n v="79090.93"/>
        <n v="19240.33"/>
        <n v="12784.16"/>
        <n v="12016.2"/>
        <n v="17539.78"/>
        <n v="8168.65"/>
        <n v="69749.12"/>
        <n v="15936.240000000002"/>
        <n v="12821.48"/>
        <n v="12427.57"/>
        <n v="19430.98"/>
        <n v="8500.4"/>
        <n v="69116.67"/>
        <n v="14957.73"/>
        <n v="17534.66"/>
        <n v="19113.010000000002"/>
        <n v="16530.91"/>
        <n v="8509.55"/>
        <n v="76645.86"/>
        <n v="12528.77"/>
        <n v="11167.339999999998"/>
        <n v="6701.169999999999"/>
        <n v="6432.789999999999"/>
        <n v="36830.07"/>
        <n v="1609.49"/>
        <n v="4089.6899999999996"/>
        <n v="7963.13"/>
        <n v="13803.21"/>
        <n v="12788.130000000001"/>
        <n v="16265.44"/>
        <n v="56519.09"/>
        <n v="1570.55"/>
        <n v="3418.06"/>
        <n v="13845.740000000002"/>
        <n v="14340.589999999998"/>
        <n v="11024.97"/>
        <n v="17555.39"/>
        <n v="61755.3"/>
        <n v="1865.96"/>
        <n v="3715.9"/>
        <n v="12343.869999999999"/>
        <n v="18475.59"/>
        <n v="8824.35"/>
        <n v="9786.68"/>
        <n v="55012.35"/>
        <n v="1465.1100000000001"/>
        <n v="4128.75"/>
        <n v="16060.2"/>
        <n v="14001.42"/>
        <n v="12889.130000000001"/>
        <n v="11881.279999999999"/>
        <n v="60425.89"/>
        <n v="2706.3"/>
        <n v="5296.719999999999"/>
        <n v="19736.66"/>
        <n v="14669.240000000002"/>
        <n v="9343.02"/>
        <n v="11128.01"/>
        <n v="62879.950000000004"/>
        <n v="1964.94"/>
        <n v="3612.49"/>
        <n v="16886.97"/>
        <n v="19203.129999999997"/>
        <n v="12392.07"/>
        <n v="8669.31"/>
        <n v="62728.909999999996"/>
        <n v="1443"/>
        <n v="3295.7300000000005"/>
        <n v="15235.05"/>
        <n v="19598.81"/>
        <n v="14144.960000000001"/>
        <n v="18464.65"/>
        <n v="72182.2"/>
        <n v="1778.75"/>
        <n v="4351.97"/>
        <n v="15710.220000000001"/>
        <n v="7472.91"/>
        <n v="8480.199999999999"/>
        <n v="6019.950000000001"/>
        <n v="43814"/>
        <n v="3784.41"/>
        <n v="13000.36"/>
        <n v="10106.33"/>
        <n v="12108.62"/>
        <n v="14237.08"/>
        <n v="53236.8"/>
        <n v="3396.6700000000005"/>
        <n v="12132.01"/>
        <n v="9641.3"/>
        <n v="12307.87"/>
        <n v="17742.28"/>
        <n v="55220.13"/>
        <n v="3873.78"/>
        <n v="12721.000000000002"/>
        <n v="12216.55"/>
        <n v="12238.1"/>
        <n v="13429.98"/>
        <n v="54479.41"/>
        <n v="2777.24"/>
        <n v="12851.89"/>
        <n v="10727.46"/>
        <n v="10699.310000000001"/>
        <n v="9575.91"/>
        <n v="46631.81"/>
        <n v="4216.14"/>
        <n v="15964.300000000001"/>
        <n v="16939.88"/>
        <n v="20666.95"/>
        <n v="21260.77"/>
        <n v="79048.04000000001"/>
        <n v="4807.49"/>
        <n v="19634.770000000004"/>
        <n v="13351.380000000001"/>
        <n v="11613.27"/>
        <n v="13193.279999999999"/>
        <n v="62600.19"/>
        <n v="3581.22"/>
        <n v="17003.26"/>
        <n v="11579.630000000001"/>
        <n v="16323.35"/>
        <n v="15558.699999999999"/>
        <n v="64046.159999999996"/>
        <n v="4191.19"/>
        <n v="16776.82"/>
        <n v="16571.440000000002"/>
        <n v="13298.83"/>
        <n v="13291.150000000001"/>
        <n v="64129.43"/>
        <n v="4518.06"/>
        <n v="17990.89"/>
        <n v="11430.130000000001"/>
        <n v="11783.06"/>
        <n v="13037.719999999998"/>
        <n v="58759.86"/>
        <n v="4804.66"/>
        <n v="15303.94"/>
        <n v="10409.54"/>
        <n v="10807.96"/>
        <n v="10700.04"/>
        <n v="52026.14"/>
        <n v="3767.99"/>
        <n v="19401.72"/>
        <n v="9564.08"/>
        <n v="10759.73"/>
        <n v="10603.6"/>
        <n v="54097.12"/>
        <n v="3543.97"/>
        <n v="18824.54"/>
        <n v="17093.160000000003"/>
        <n v="11825.669999999998"/>
        <n v="16041.18"/>
        <n v="67328.52"/>
        <n v="3746.6000000000004"/>
        <n v="21556.57"/>
        <n v="15287.92"/>
        <n v="21665.29"/>
        <n v="16329.73"/>
        <n v="78586.11"/>
        <n v="6100.65"/>
        <n v="25226.050000000003"/>
        <n v="15870.330000000002"/>
        <n v="17011.66"/>
        <n v="17479.16"/>
        <n v="81687.85"/>
      </sharedItems>
    </cacheField>
    <cacheField name="roi" numFmtId="0">
      <sharedItems containsSemiMixedTypes="false" containsString="false" containsNumber="true" minValue="1.0152218388347736" maxValue="8.95988791480531" count="0"/>
    </cacheField>
    <cacheField name="单均" numFmtId="0">
      <sharedItems containsSemiMixedTypes="false" containsString="false" containsNumber="true" minValue="1544.2321052631576" maxValue="3605.2125" count="0"/>
    </cacheField>
    <cacheField name="保单成本" numFmtId="0">
      <sharedItems containsSemiMixedTypes="false" containsString="false" containsNumber="true" minValue="288.20000000000005" maxValue="1964.94" count="0"/>
    </cacheField>
    <cacheField name="时耗" numFmtId="0">
      <sharedItems containsString="false" containsBlank="true" containsNumber="true" minValue="659.1460000000001" maxValue="6726.946666666668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containsInteger="true" minValue="1" maxValue="24" count="0"/>
    </cacheField>
    <cacheField name="备注" numFmtId="0">
      <sharedItems containsBlank="true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62" sheet="2026.8月"/>
  </cacheSource>
  <cacheFields count="16">
    <cacheField name="时间" numFmtId="0">
      <sharedItems containsSemiMixedTypes="false" containsNonDate="false" containsDate="true" containsString="false" minDate="2026-08-01T00:00:00.000Z" maxDate="2026-08-31T00:00:00.000Z" count="0"/>
    </cacheField>
    <cacheField name="主播" numFmtId="0">
      <sharedItems count="7">
        <s v="张梦婷"/>
        <s v="靳旭会"/>
        <s v="赵培培"/>
        <s v="习晓展"/>
        <s v="日总"/>
        <s v="赵佳茜"/>
        <s v="李凯旋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minValue="2.75" maxValue="22" count="11">
        <n v="5"/>
        <n v="20"/>
        <n v="4"/>
        <n v="19"/>
        <n v="21"/>
        <n v="22"/>
        <n v="3.5"/>
        <n v="2.75"/>
        <n v="3.25"/>
        <n v="3.75"/>
        <n v="18.25"/>
      </sharedItems>
    </cacheField>
    <cacheField name="保险支付数" numFmtId="0">
      <sharedItems containsSemiMixedTypes="false" containsString="false" containsNumber="true" containsInteger="true" minValue="1" maxValue="82" count="0"/>
    </cacheField>
    <cacheField name="保单" numFmtId="0">
      <sharedItems containsSemiMixedTypes="false" containsString="false" containsNumber="true" containsInteger="true" minValue="1" maxValue="103" count="0"/>
    </cacheField>
    <cacheField name="年化保费" numFmtId="0">
      <sharedItems containsSemiMixedTypes="false" containsString="false" containsNumber="true" minValue="2825.27" maxValue="256387.04" count="0"/>
    </cacheField>
    <cacheField name="消耗" numFmtId="0">
      <sharedItems containsSemiMixedTypes="false" containsString="false" containsNumber="true" minValue="6191.290000000001" maxValue="80014.2" count="0"/>
    </cacheField>
    <cacheField name="roi" numFmtId="0">
      <sharedItems containsSemiMixedTypes="false" containsString="false" containsNumber="true" minValue="0.2988514622753275" maxValue="5.5647254326402456" count="0"/>
    </cacheField>
    <cacheField name="单均" numFmtId="0">
      <sharedItems containsSemiMixedTypes="false" containsString="false" containsNumber="true" minValue="1968.6405882352938" maxValue="3330.602941176472" count="0"/>
    </cacheField>
    <cacheField name="保单成本" numFmtId="0">
      <sharedItems containsSemiMixedTypes="false" containsString="false" containsNumber="true" minValue="386.3973684210526" maxValue="9453.76" count="0"/>
    </cacheField>
    <cacheField name="时耗" numFmtId="0">
      <sharedItems containsString="false" containsBlank="true" containsNumber="true" minValue="1306.414" maxValue="6379.424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containsInteger="true" minValue="1" maxValue="22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154" sheet="2026.7月"/>
  </cacheSource>
  <cacheFields count="15">
    <cacheField name="时间" numFmtId="0">
      <sharedItems count="0"/>
    </cacheField>
    <cacheField name="主播" numFmtId="0">
      <sharedItems count="6">
        <s v="靳旭会"/>
        <s v="赵培培"/>
        <s v="日总"/>
        <s v="赵佳茜"/>
        <s v="习晓展"/>
        <s v="张梦婷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minValue="4" maxValue="20" count="6">
        <n v="4"/>
        <n v="8"/>
        <n v="5"/>
        <n v="20"/>
        <n v="4.5"/>
        <n v="17"/>
      </sharedItems>
    </cacheField>
    <cacheField name="保险支付数" numFmtId="0">
      <sharedItems containsSemiMixedTypes="false" containsString="false" containsNumber="true" containsInteger="true" minValue="5" maxValue="103" count="0"/>
    </cacheField>
    <cacheField name="保单" numFmtId="0">
      <sharedItems containsSemiMixedTypes="false" containsString="false" containsNumber="true" containsInteger="true" minValue="8" maxValue="125" count="0"/>
    </cacheField>
    <cacheField name="年化保费" numFmtId="0">
      <sharedItems containsSemiMixedTypes="false" containsString="false" containsNumber="true" minValue="19985.54" maxValue="303337.48000000004" count="0"/>
    </cacheField>
    <cacheField name="消耗" numFmtId="0">
      <sharedItems containsSemiMixedTypes="false" containsString="false" containsNumber="true" minValue="7196.93" maxValue="87399.23000000001" count="153">
        <n v="24121.449999999997"/>
        <n v="21162.32"/>
        <n v="45283.77"/>
        <n v="25002.06"/>
        <n v="24777.760000000002"/>
        <n v="19982.78"/>
        <n v="17101.14"/>
        <n v="86863.74"/>
        <n v="23405.78"/>
        <n v="23237.809999999998"/>
        <n v="18943.7"/>
        <n v="16247.850000000002"/>
        <n v="81835.14"/>
        <n v="23641.699999999997"/>
        <n v="22676.19"/>
        <n v="18241.02"/>
        <n v="15647.83"/>
        <n v="80206.74"/>
        <n v="25714.540000000005"/>
        <n v="21960.449999999997"/>
        <n v="22239.99"/>
        <n v="17484.25"/>
        <n v="87399.23000000001"/>
        <n v="23334.160000000003"/>
        <n v="21689.88"/>
        <n v="22014.56"/>
        <n v="18840.23"/>
        <n v="85878.83"/>
        <n v="21092.300000000003"/>
        <n v="17124.22"/>
        <n v="21023.27"/>
        <n v="16734.03"/>
        <n v="75973.82"/>
        <n v="19336.29"/>
        <n v="18502.52"/>
        <n v="16707.23"/>
        <n v="15214.5"/>
        <n v="69760.54"/>
        <n v="19772.14"/>
        <n v="17982.32"/>
        <n v="17656.940000000002"/>
        <n v="14177.929999999998"/>
        <n v="69589.33"/>
        <n v="17998.78"/>
        <n v="17591.5"/>
        <n v="16855.5"/>
        <n v="12095.080000000002"/>
        <n v="64540.86"/>
        <n v="14525.289999999999"/>
        <n v="15163.36"/>
        <n v="13897.92"/>
        <n v="12900.24"/>
        <n v="56486.81"/>
        <n v="12957.77"/>
        <n v="17367.47"/>
        <n v="13230.25"/>
        <n v="13570.68"/>
        <n v="57126.170000000006"/>
        <n v="15983.52"/>
        <n v="15896.189999999999"/>
        <n v="13420.169999999998"/>
        <n v="11533.109999999999"/>
        <n v="56832.99"/>
        <n v="16151.41"/>
        <n v="13524.259999999998"/>
        <n v="13816.21"/>
        <n v="12696.99"/>
        <n v="56188.869999999995"/>
        <n v="16417.690000000002"/>
        <n v="13932.510000000002"/>
        <n v="12580.73"/>
        <n v="10829.7"/>
        <n v="53760.630000000005"/>
        <n v="16211.510000000002"/>
        <n v="17773.230000000003"/>
        <n v="14998.309999999998"/>
        <n v="12391"/>
        <n v="61374.05"/>
        <n v="15545.92"/>
        <n v="15657.01"/>
        <n v="15710.27"/>
        <n v="12141.099999999999"/>
        <n v="59054.299999999996"/>
        <n v="12939.490000000002"/>
        <n v="15169.670000000002"/>
        <n v="11184.85"/>
        <n v="9935.420000000002"/>
        <n v="49229.43000000001"/>
        <n v="14205.32"/>
        <n v="15350.470000000001"/>
        <n v="13595.58"/>
        <n v="12644.16"/>
        <n v="55795.53"/>
        <n v="17925.04"/>
        <n v="19966.74"/>
        <n v="13987.57"/>
        <n v="15324.689999999999"/>
        <n v="67204.04"/>
        <n v="15099.739999999998"/>
        <n v="12837.46"/>
        <n v="15839.999999999998"/>
        <n v="12780.519999999999"/>
        <n v="56557.719999999994"/>
        <n v="14321.95"/>
        <n v="14022.81"/>
        <n v="11460.449999999999"/>
        <n v="13539.519999999997"/>
        <n v="53344.729999999996"/>
        <n v="15514.56"/>
        <n v="15283.46"/>
        <n v="12890.880000000001"/>
        <n v="9727.71"/>
        <n v="53416.60999999999"/>
        <n v="12733.38"/>
        <n v="14010.310000000001"/>
        <n v="13591.95"/>
        <n v="14699.910000000002"/>
        <n v="55035.55"/>
        <n v="13628.36"/>
        <n v="14817.17"/>
        <n v="13360.189999999999"/>
        <n v="13062.05"/>
        <n v="54867.770000000004"/>
        <n v="13878.05"/>
        <n v="13186.83"/>
        <n v="11756.09"/>
        <n v="11473.900000000001"/>
        <n v="50294.87"/>
        <n v="13538.6"/>
        <n v="13454.579999999998"/>
        <n v="13186.62"/>
        <n v="13570.659999999998"/>
        <n v="53750.46"/>
        <n v="14307.81"/>
        <n v="12589.41"/>
        <n v="10313.970000000001"/>
        <n v="11008.95"/>
        <n v="48220.14"/>
        <n v="15761.23"/>
        <n v="13821.009999999998"/>
        <n v="10917.02"/>
        <n v="9318.929999999998"/>
        <n v="49818.189999999995"/>
        <n v="12938.77"/>
        <n v="9679.24"/>
        <n v="9081.27"/>
        <n v="9488.03"/>
        <n v="41187.310000000005"/>
        <n v="12412.79"/>
        <n v="9936.34"/>
        <n v="9425.12"/>
        <n v="7196.93"/>
        <n v="38971.18"/>
      </sharedItems>
    </cacheField>
    <cacheField name="roi" numFmtId="0">
      <sharedItems containsSemiMixedTypes="false" containsString="false" containsNumber="true" minValue="1.569539273939834" maxValue="6.049504603082264" count="0"/>
    </cacheField>
    <cacheField name="单均" numFmtId="0">
      <sharedItems containsSemiMixedTypes="false" containsString="false" containsNumber="true" minValue="2037.3128571428574" maxValue="3098.0966666666654" count="0"/>
    </cacheField>
    <cacheField name="保单成本" numFmtId="0">
      <sharedItems containsSemiMixedTypes="false" containsString="false" containsNumber="true" minValue="416.5269230769231" maxValue="1591.6725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containsInteger="true" minValue="1" maxValue="20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187" sheet="2026.5月"/>
  </cacheSource>
  <cacheFields count="15">
    <cacheField name="时间" numFmtId="0">
      <sharedItems count="0"/>
    </cacheField>
    <cacheField name="主播" numFmtId="0">
      <sharedItems count="0"/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minValue="2" maxValue="20" count="0"/>
    </cacheField>
    <cacheField name="保险支付数" numFmtId="0">
      <sharedItems containsSemiMixedTypes="false" containsString="false" containsNumber="true" containsInteger="true" minValue="4" maxValue="84" count="0"/>
    </cacheField>
    <cacheField name="保单" numFmtId="0">
      <sharedItems containsSemiMixedTypes="false" containsString="false" containsNumber="true" containsInteger="true" minValue="6" maxValue="105" count="0"/>
    </cacheField>
    <cacheField name="年化保费" numFmtId="0">
      <sharedItems containsSemiMixedTypes="false" containsString="false" containsNumber="true" minValue="10656.089999999997" maxValue="209381.88999999998" count="0"/>
    </cacheField>
    <cacheField name="消耗" numFmtId="0">
      <sharedItems containsSemiMixedTypes="false" containsString="false" containsNumber="true" minValue="5766.660000000001" maxValue="69507.45" count="0"/>
    </cacheField>
    <cacheField name="roi" numFmtId="0">
      <sharedItems containsSemiMixedTypes="false" containsString="false" containsNumber="true" minValue="1.0984232975922714" maxValue="5.052962073979519" count="0"/>
    </cacheField>
    <cacheField name="单均" numFmtId="0">
      <sharedItems containsSemiMixedTypes="false" containsString="false" containsNumber="true" minValue="1594.962857142856" maxValue="2581.2008" count="0"/>
    </cacheField>
    <cacheField name="保单成本" numFmtId="0">
      <sharedItems containsSemiMixedTypes="false" containsString="false" containsNumber="true" minValue="497.6892592592592" maxValue="1616.8766666666663" count="0"/>
    </cacheField>
    <cacheField name="场控" numFmtId="0">
      <sharedItems containsBlank="true" count="11">
        <s v="王学伟双"/>
        <m/>
        <s v="张怡棣双"/>
        <s v="李哲双"/>
        <s v="王学伟早"/>
        <s v="朱明双"/>
        <s v="卢家轩双"/>
        <s v="王学伟晚"/>
        <s v="董柯言双"/>
        <s v="董柯言"/>
        <s v="魏迪双"/>
      </sharedItems>
    </cacheField>
    <cacheField name="场控时长" numFmtId="0">
      <sharedItems containsString="false" containsBlank="true" containsNumber="true" containsInteger="true" minValue="1" maxValue="20" count="5">
        <n v="10"/>
        <m/>
        <n v="20"/>
        <n v="1"/>
        <n v="9"/>
      </sharedItems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175" sheet="2026.4月"/>
  </cacheSource>
  <cacheFields count="15">
    <cacheField name="时间" numFmtId="0">
      <sharedItems count="0"/>
    </cacheField>
    <cacheField name="主播" numFmtId="0">
      <sharedItems count="9">
        <s v="靳旭会"/>
        <s v="赵培培"/>
        <s v="米静"/>
        <s v="张梦婷"/>
        <s v="日总"/>
        <s v="孙玉冰"/>
        <s v="赵佳茜"/>
        <s v="樊书燕"/>
        <s v="习晓展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containsInteger="true" minValue="2" maxValue="20" count="7">
        <n v="5"/>
        <n v="3"/>
        <n v="18"/>
        <n v="4"/>
        <n v="20"/>
        <n v="2"/>
        <n v="19"/>
      </sharedItems>
    </cacheField>
    <cacheField name="保险支付数" numFmtId="0">
      <sharedItems containsSemiMixedTypes="false" containsString="false" containsNumber="true" containsInteger="true" minValue="4" maxValue="100" count="0"/>
    </cacheField>
    <cacheField name="保单" numFmtId="0">
      <sharedItems containsSemiMixedTypes="false" containsString="false" containsNumber="true" containsInteger="true" minValue="4" maxValue="111" count="0"/>
    </cacheField>
    <cacheField name="年化保费" numFmtId="0">
      <sharedItems containsSemiMixedTypes="false" containsString="false" containsNumber="true" minValue="8693.690000000002" maxValue="226340.69" count="174">
        <n v="32586.87"/>
        <n v="43196.979999999996"/>
        <n v="26745.59999999999"/>
        <n v="31569.21000000002"/>
        <n v="134098.66"/>
        <n v="39434.409999999996"/>
        <n v="18751.379999999997"/>
        <n v="18101.81999999999"/>
        <n v="54320.380000000005"/>
        <n v="130607.98999999999"/>
        <n v="32199.419999999995"/>
        <n v="18870.38"/>
        <n v="27444.890000000007"/>
        <n v="23326.899999999987"/>
        <n v="32490.329999999994"/>
        <n v="134331.91999999998"/>
        <n v="40125.27"/>
        <n v="12406.409999999996"/>
        <n v="32493.20000000001"/>
        <n v="10772.199999999997"/>
        <n v="28263.97"/>
        <n v="124061.05"/>
        <n v="40389.92"/>
        <n v="16859.71"/>
        <n v="23112.629999999997"/>
        <n v="45467.64999999998"/>
        <n v="35838.92999999999"/>
        <n v="161668.83999999997"/>
        <n v="12953.66"/>
        <n v="30914.06"/>
        <n v="12046.099999999999"/>
        <n v="55821.799999999996"/>
        <n v="28641.5"/>
        <n v="140377.12"/>
        <n v="40617.75000000001"/>
        <n v="24436.75"/>
        <n v="45110.80000000001"/>
        <n v="43453.76999999999"/>
        <n v="25063.649999999994"/>
        <n v="178682.72"/>
        <n v="39729.72000000001"/>
        <n v="48437.36000000001"/>
        <n v="30466.740000000005"/>
        <n v="54341.84999999996"/>
        <n v="53365.02000000002"/>
        <n v="226340.69"/>
        <n v="39571.48"/>
        <n v="54669.65999999998"/>
        <n v="35171.580000000016"/>
        <n v="56363.75"/>
        <n v="19620.100000000006"/>
        <n v="205396.57"/>
        <n v="35360.35"/>
        <n v="35262.01"/>
        <n v="44452.45"/>
        <n v="33887.03999999998"/>
        <n v="43607.43000000005"/>
        <n v="192569.28000000003"/>
        <n v="48455.37000000002"/>
        <n v="36441.349999999984"/>
        <n v="26119.460000000006"/>
        <n v="45198.12000000001"/>
        <n v="46699.130000000005"/>
        <n v="202913.43000000002"/>
        <n v="17934.670000000002"/>
        <n v="54276.56999999999"/>
        <n v="57543.490000000005"/>
        <n v="76166.26000000005"/>
        <n v="18150.559999999998"/>
        <n v="224071.55000000005"/>
        <n v="37612.42"/>
        <n v="30667.530000000013"/>
        <n v="37046.31"/>
        <n v="51375.159999999974"/>
        <n v="21724.870000000024"/>
        <n v="178426.29"/>
        <n v="36608.740000000005"/>
        <n v="37884.05"/>
        <n v="31503.17"/>
        <n v="49487.19000000002"/>
        <n v="22580.440000000002"/>
        <n v="178063.59000000003"/>
        <n v="34130.21"/>
        <n v="34968.13"/>
        <n v="29398.61"/>
        <n v="42148.239999999976"/>
        <n v="37363.68000000002"/>
        <n v="178008.87"/>
        <n v="24965.940000000002"/>
        <n v="40398.95999999999"/>
        <n v="44204.54"/>
        <n v="47103.37"/>
        <n v="54697.22"/>
        <n v="211370.03"/>
        <n v="36269.88"/>
        <n v="51728.299999999996"/>
        <n v="12945.330000000002"/>
        <n v="60338.05"/>
        <n v="52707.67999999999"/>
        <n v="213989.24"/>
        <n v="29401.54"/>
        <n v="55255.04"/>
        <n v="34060.259999999995"/>
        <n v="56423.57999999999"/>
        <n v="44748.48999999999"/>
        <n v="219888.90999999997"/>
        <n v="39140.86"/>
        <n v="14371.86"/>
        <n v="52003.78999999999"/>
        <n v="66938.69000000002"/>
        <n v="35658.659999999974"/>
        <n v="208113.86"/>
        <n v="37949.93999999999"/>
        <n v="58886.67"/>
        <n v="42883.649999999994"/>
        <n v="50329.289999999964"/>
        <n v="190049.54999999993"/>
        <n v="30791.5"/>
        <n v="33351.28"/>
        <n v="47975.979999999996"/>
        <n v="27985.13000000002"/>
        <n v="18550.709999999992"/>
        <n v="158654.6"/>
        <n v="57247.159999999996"/>
        <n v="37831.62"/>
        <n v="49001.859999999986"/>
        <n v="50087.72"/>
        <n v="194168.36"/>
        <n v="30528.579999999998"/>
        <n v="40848.71000000001"/>
        <n v="47810.33"/>
        <n v="35758.39"/>
        <n v="17815.820000000007"/>
        <n v="172761.83000000002"/>
        <n v="22493.54"/>
        <n v="43418.38"/>
        <n v="23674.39"/>
        <n v="35515.08"/>
        <n v="44051.64999999998"/>
        <n v="169153.03999999998"/>
        <n v="40070.27"/>
        <n v="35738.13"/>
        <n v="19478.059999999998"/>
        <n v="66984.32"/>
        <n v="40733.72"/>
        <n v="203004.5"/>
        <n v="38354.729999999996"/>
        <n v="31454.92"/>
        <n v="37244.770000000004"/>
        <n v="54832.17999999998"/>
        <n v="161886.59999999998"/>
        <n v="43113.1"/>
        <n v="18635.769999999997"/>
        <n v="42360.470000000016"/>
        <n v="49098.029999999984"/>
        <n v="37889.54999999999"/>
        <n v="191096.91999999998"/>
        <n v="45364.87999999999"/>
        <n v="74609.62000000001"/>
        <n v="8693.690000000002"/>
        <n v="41433.09"/>
        <n v="31124.25"/>
        <n v="201225.53"/>
        <n v="16466.95"/>
        <n v="62380.42000000001"/>
        <n v="44828.07"/>
        <n v="24237.410000000018"/>
        <n v="30597.75"/>
        <n v="178510.60000000003"/>
        <n v="61435.95000000001"/>
        <n v="83836.12"/>
        <n v="29338.120000000006"/>
        <n v="32713.03"/>
        <n v="207323.22"/>
      </sharedItems>
    </cacheField>
    <cacheField name="消耗" numFmtId="0">
      <sharedItems containsSemiMixedTypes="false" containsString="false" containsNumber="true" minValue="6272.9" maxValue="78310.09" count="174">
        <n v="13429.869999999999"/>
        <n v="14077.849999999999"/>
        <n v="7847.08"/>
        <n v="14539.69"/>
        <n v="49894.49"/>
        <n v="13583.66"/>
        <n v="13325.39"/>
        <n v="7536.700000000001"/>
        <n v="13586.970000000001"/>
        <n v="48032.72"/>
        <n v="13220.66"/>
        <n v="7515.949999999999"/>
        <n v="11496.1"/>
        <n v="11180.78"/>
        <n v="8784.310000000001"/>
        <n v="52197.8"/>
        <n v="14154.64"/>
        <n v="7923.049999999999"/>
        <n v="13478.85"/>
        <n v="9076.189999999999"/>
        <n v="8936.169999999998"/>
        <n v="53568.899999999994"/>
        <n v="13909.64"/>
        <n v="7507.9"/>
        <n v="10449.669999999998"/>
        <n v="12171.86"/>
        <n v="10565.050000000001"/>
        <n v="54604.12"/>
        <n v="11490.640000000001"/>
        <n v="11660.46"/>
        <n v="7750.62"/>
        <n v="15443.98"/>
        <n v="10246.84"/>
        <n v="56592.53999999999"/>
        <n v="13664.490000000002"/>
        <n v="9509.04"/>
        <n v="13464.5"/>
        <n v="16251.33"/>
        <n v="13167.889999999998"/>
        <n v="66057.25"/>
        <n v="14665.989999999998"/>
        <n v="19108.24"/>
        <n v="11551.15"/>
        <n v="17068.140000000003"/>
        <n v="13110.099999999999"/>
        <n v="75503.62"/>
        <n v="15200.84"/>
        <n v="16044.289999999999"/>
        <n v="16298.78"/>
        <n v="17660.81"/>
        <n v="12335.609999999999"/>
        <n v="77540.33"/>
        <n v="14775.109999999999"/>
        <n v="13562.46"/>
        <n v="14630.289999999999"/>
        <n v="16019.699999999999"/>
        <n v="13128.57"/>
        <n v="72116.13"/>
        <n v="14956.45"/>
        <n v="16049.509999999998"/>
        <n v="15492.179999999998"/>
        <n v="18193.58"/>
        <n v="13286.710000000001"/>
        <n v="77978.43000000001"/>
        <n v="14856.1"/>
        <n v="14467.52"/>
        <n v="15543.99"/>
        <n v="18452.53"/>
        <n v="14989.95"/>
        <n v="78310.09"/>
        <n v="15381.16"/>
        <n v="14170.5"/>
        <n v="16282.31"/>
        <n v="17747.28"/>
        <n v="13908.689999999999"/>
        <n v="77489.94"/>
        <n v="14181.65"/>
        <n v="14006.32"/>
        <n v="15180.92"/>
        <n v="15966.95"/>
        <n v="7259.33"/>
        <n v="66595.17"/>
        <n v="16044.94"/>
        <n v="14874.41"/>
        <n v="11016.35"/>
        <n v="14209.339999999998"/>
        <n v="15714.95"/>
        <n v="71859.98999999999"/>
        <n v="13502.25"/>
        <n v="15018.720000000001"/>
        <n v="13802.63"/>
        <n v="13870.28"/>
        <n v="13354.6"/>
        <n v="69548.48"/>
        <n v="14758.130000000001"/>
        <n v="15653.72"/>
        <n v="6272.9"/>
        <n v="19990.260000000002"/>
        <n v="18077.68"/>
        <n v="74752.69"/>
        <n v="14015.529999999999"/>
        <n v="15441.8"/>
        <n v="15689.91"/>
        <n v="15729.65"/>
        <n v="14046.150000000001"/>
        <n v="74923.04000000001"/>
        <n v="15395.51"/>
        <n v="8623.95"/>
        <n v="14617.66"/>
        <n v="20076.68"/>
        <n v="14800.44"/>
        <n v="73514.23999999999"/>
        <n v="17580.079999999998"/>
        <n v="19878.62"/>
        <n v="19552.95"/>
        <n v="18115.07"/>
        <n v="75126.72"/>
        <n v="14341.48"/>
        <n v="13303.34"/>
        <n v="16277.689999999999"/>
        <n v="14405.46"/>
        <n v="10056.609999999999"/>
        <n v="68384.57999999999"/>
        <n v="17491.010000000002"/>
        <n v="19296.34"/>
        <n v="19186.56"/>
        <n v="15153.369999999999"/>
        <n v="71127.28"/>
        <n v="15052.86"/>
        <n v="14921.960000000001"/>
        <n v="14995.55"/>
        <n v="14545.800000000001"/>
        <n v="12534.960000000001"/>
        <n v="72051.13"/>
        <n v="13377.51"/>
        <n v="13111.650000000001"/>
        <n v="12878.970000000001"/>
        <n v="12001.57"/>
        <n v="10592.69"/>
        <n v="61962.39000000001"/>
        <n v="13309.54"/>
        <n v="15352.510000000002"/>
        <n v="7082.44"/>
        <n v="19383.09"/>
        <n v="11639.73"/>
        <n v="66767.31"/>
        <n v="18838.53"/>
        <n v="16943.77"/>
        <n v="15211.940000000002"/>
        <n v="13459.719999999998"/>
        <n v="64453.96000000001"/>
        <n v="17462.41"/>
        <n v="7390.67"/>
        <n v="16603.93"/>
        <n v="16644.88"/>
        <n v="11465.81"/>
        <n v="69567.7"/>
        <n v="17277.739999999998"/>
        <n v="19409.489999999998"/>
        <n v="7601.35"/>
        <n v="13392.09"/>
        <n v="11954.98"/>
        <n v="69635.65"/>
        <n v="6583"/>
        <n v="15371.17"/>
        <n v="15358.029999999999"/>
        <n v="13935.76"/>
        <n v="10978.420000000002"/>
        <n v="62226.380000000005"/>
        <n v="19035.36"/>
        <n v="20757.65"/>
        <n v="13526.289999999999"/>
        <n v="16104.05"/>
        <n v="69423.35"/>
      </sharedItems>
    </cacheField>
    <cacheField name="roi" numFmtId="0">
      <sharedItems containsSemiMixedTypes="false" containsString="false" containsNumber="true" minValue="1.1273227600899514" maxValue="4.158683960353789" count="0"/>
    </cacheField>
    <cacheField name="单均" numFmtId="0">
      <sharedItems containsSemiMixedTypes="false" containsString="false" containsNumber="true" minValue="1538.885714285714" maxValue="2420.5028571428556" count="0"/>
    </cacheField>
    <cacheField name="保单成本" numFmtId="0">
      <sharedItems containsSemiMixedTypes="false" containsString="false" containsNumber="true" minValue="460.50344827586207" maxValue="1915.1066666666668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containsInteger="true" minValue="3" maxValue="20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6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139" sheet="2026.3月"/>
  </cacheSource>
  <cacheFields count="15">
    <cacheField name="时间" numFmtId="0">
      <sharedItems count="0"/>
    </cacheField>
    <cacheField name="主播" numFmtId="0">
      <sharedItems containsBlank="true" count="9">
        <s v="赵培培"/>
        <s v="王雪"/>
        <s v="赵佳茜"/>
        <s v="日总"/>
        <s v="靳旭会"/>
        <m/>
        <s v="张梦婷"/>
        <s v="孙玉冰"/>
        <s v="米静"/>
      </sharedItems>
    </cacheField>
    <cacheField name="主播时段" numFmtId="0">
      <sharedItems containsBlank="true" count="0"/>
    </cacheField>
    <cacheField name="主播时长" numFmtId="0">
      <sharedItems containsString="false" containsBlank="true" containsNumber="true" containsInteger="true" minValue="2" maxValue="15" count="9">
        <n v="5"/>
        <n v="3"/>
        <n v="13"/>
        <n v="4"/>
        <n v="12"/>
        <n v="8"/>
        <m/>
        <n v="2"/>
        <n v="15"/>
      </sharedItems>
    </cacheField>
    <cacheField name="保险支付数" numFmtId="0">
      <sharedItems containsString="false" containsBlank="true" containsNumber="true" containsInteger="true" minValue="1" maxValue="54" count="0"/>
    </cacheField>
    <cacheField name="保单" numFmtId="0">
      <sharedItems containsString="false" containsBlank="true" containsNumber="true" containsInteger="true" minValue="2" maxValue="68" count="0"/>
    </cacheField>
    <cacheField name="年化保费" numFmtId="0">
      <sharedItems containsString="false" containsBlank="true" containsNumber="true" minValue="3931.08" maxValue="135704.46000000002" count="138">
        <n v="17031.88"/>
        <n v="7696.26"/>
        <n v="26499.35"/>
        <n v="51227.49"/>
        <n v="10888.02"/>
        <n v="4543.12"/>
        <n v="8404.12"/>
        <n v="23835.260000000002"/>
        <n v="21505.55"/>
        <n v="10390.48"/>
        <n v="30069.27"/>
        <n v="61965.3"/>
        <n v="12239.38"/>
        <n v="30083.42"/>
        <n v="42322.799999999996"/>
        <n v="12380.95"/>
        <n v="24348.72"/>
        <n v="36729.67"/>
        <n v="24111.97"/>
        <n v="7889.31"/>
        <n v="27007"/>
        <n v="59008.28"/>
        <n v="49109.12"/>
        <n v="16273.86"/>
        <n v="27678.25"/>
        <n v="93061.23000000001"/>
        <n v="15939.5"/>
        <n v="24528.36"/>
        <n v="27070.71"/>
        <n v="67538.57"/>
        <n v="22364.41"/>
        <n v="43303.31"/>
        <n v="33530.9"/>
        <n v="99198.62"/>
        <n v="42192.98"/>
        <n v="19067.23"/>
        <n v="38370.36"/>
        <n v="99630.57"/>
        <n v="30277.31"/>
        <n v="19902.12"/>
        <n v="28481.33"/>
        <n v="78660.76000000001"/>
        <n v="23584.38"/>
        <n v="27977.83"/>
        <n v="29002.35"/>
        <n v="80564.56"/>
        <n v="55121.93"/>
        <n v="22682.69"/>
        <n v="35018.97"/>
        <n v="112823.59"/>
        <n v="29742.43"/>
        <n v="6008.94"/>
        <n v="14227.8"/>
        <n v="49979.17"/>
        <n v="23893.18"/>
        <n v="26696.79"/>
        <n v="23321.55"/>
        <n v="73911.52"/>
        <n v="17426"/>
        <n v="19156.8"/>
        <n v="21514.03"/>
        <m/>
        <n v="58096.83"/>
        <n v="32001.28"/>
        <n v="25856.33"/>
        <n v="5757.92"/>
        <n v="11954.36"/>
        <n v="75569.89"/>
        <n v="34592.22"/>
        <n v="6447.87"/>
        <n v="18551.41"/>
        <n v="29266.17"/>
        <n v="88857.67"/>
        <n v="44124.77"/>
        <n v="13974.22"/>
        <n v="36527.86"/>
        <n v="41077.61"/>
        <n v="135704.46000000002"/>
        <n v="19221.37"/>
        <n v="24884.18"/>
        <n v="21210.63"/>
        <n v="28401.53"/>
        <n v="93717.71"/>
        <n v="20666"/>
        <n v="29374.53"/>
        <n v="18712.99"/>
        <n v="30340.35"/>
        <n v="99093.87"/>
        <n v="24654.12"/>
        <n v="16499.35"/>
        <n v="11074.64"/>
        <n v="36369.71"/>
        <n v="88597.82"/>
        <n v="32489.63"/>
        <n v="12213.64"/>
        <n v="12907.27"/>
        <n v="16589.44"/>
        <n v="74199.98000000001"/>
        <n v="28298.45"/>
        <n v="17960.1"/>
        <n v="29285.949999999997"/>
        <n v="38292.58"/>
        <n v="113837.08"/>
        <n v="28880.29"/>
        <n v="19998.18"/>
        <n v="23582.240000000005"/>
        <n v="24200.430000000008"/>
        <n v="96661.14000000001"/>
        <n v="31931.1"/>
        <n v="16628.060000000005"/>
        <n v="17302.449999999997"/>
        <n v="25037.009999999995"/>
        <n v="90898.62"/>
        <n v="21316.55"/>
        <n v="41993.259999999995"/>
        <n v="24532.630000000005"/>
        <n v="34638.86"/>
        <n v="122481.3"/>
        <n v="34231.3"/>
        <n v="25297.92"/>
        <n v="7091.369999999995"/>
        <n v="23166.020000000004"/>
        <n v="89786.61"/>
        <n v="22694.359999999997"/>
        <n v="44359.22"/>
        <n v="5102.960000000006"/>
        <n v="38764.55"/>
        <n v="110921.09000000001"/>
        <n v="39824.11"/>
        <n v="34961.39"/>
        <n v="15978.11"/>
        <n v="20260.590000000026"/>
        <n v="111024.20000000003"/>
        <n v="34698.14"/>
        <n v="44613.09"/>
        <n v="3931.08"/>
        <n v="31740.66"/>
        <n v="114982.97"/>
      </sharedItems>
    </cacheField>
    <cacheField name="消耗" numFmtId="0">
      <sharedItems containsString="false" containsBlank="true" containsNumber="true" minValue="3919.8" maxValue="40199.35" count="137">
        <n v="8091.65"/>
        <n v="5995.63"/>
        <n v="9884.77"/>
        <n v="23972.05"/>
        <n v="9381.109999999999"/>
        <n v="6487.59"/>
        <n v="5795.96"/>
        <n v="21664.66"/>
        <n v="9624.64"/>
        <n v="6154.8099999999995"/>
        <n v="11078.52"/>
        <n v="26857.97"/>
        <n v="7930.539999999999"/>
        <n v="9405.41"/>
        <n v="17335.949999999997"/>
        <n v="7320.17"/>
        <n v="7502.960000000001"/>
        <n v="14823.130000000001"/>
        <n v="9530.06"/>
        <n v="4640.6"/>
        <n v="11952.06"/>
        <n v="26122.72"/>
        <n v="13718.73"/>
        <n v="7292.92"/>
        <n v="10820.11"/>
        <n v="31831.760000000002"/>
        <n v="5784"/>
        <n v="10006.76"/>
        <n v="9825.16"/>
        <n v="25615.92"/>
        <n v="7782.46"/>
        <n v="10475.39"/>
        <n v="9734.539999999999"/>
        <n v="27992.39"/>
        <n v="11136.619999999999"/>
        <n v="9433.62"/>
        <n v="9224.43"/>
        <n v="29794.67"/>
        <n v="10724.26"/>
        <n v="8239.26"/>
        <n v="7700.039999999999"/>
        <n v="26663.559999999998"/>
        <n v="7414.44"/>
        <n v="8449.9"/>
        <n v="11364.070000000002"/>
        <n v="27228.410000000003"/>
        <n v="12720.96"/>
        <n v="10828.73"/>
        <n v="9826.15"/>
        <n v="33375.84"/>
        <n v="10681.99"/>
        <n v="6461.83"/>
        <n v="7487.85"/>
        <n v="24631.67"/>
        <n v="8996.82"/>
        <n v="8471.01"/>
        <n v="9543.42"/>
        <n v="27011.25"/>
        <n v="6964.52"/>
        <n v="8763.300000000001"/>
        <n v="8259.75"/>
        <m/>
        <n v="23987.57"/>
        <n v="8749.5"/>
        <n v="9667.23"/>
        <n v="4089.4800000000005"/>
        <n v="9517.9"/>
        <n v="32024.11"/>
        <n v="11077.87"/>
        <n v="4123.31"/>
        <n v="7837.07"/>
        <n v="8206.37"/>
        <n v="31244.620000000003"/>
        <n v="10293.55"/>
        <n v="4111.03"/>
        <n v="8494.07"/>
        <n v="8703.26"/>
        <n v="31601.909999999996"/>
        <n v="8580.289999999999"/>
        <n v="5326.469999999999"/>
        <n v="8498.83"/>
        <n v="30899.660000000003"/>
        <n v="8109.35"/>
        <n v="8766.89"/>
        <n v="6203.76"/>
        <n v="8210.36"/>
        <n v="31290.36"/>
        <n v="8351.7"/>
        <n v="6336.929999999999"/>
        <n v="8684.859999999999"/>
        <n v="9081.380000000001"/>
        <n v="32454.87"/>
        <n v="8759.14"/>
        <n v="6657.88"/>
        <n v="8324.8"/>
        <n v="8331.48"/>
        <n v="32073.3"/>
        <n v="9055.08"/>
        <n v="6244.620000000001"/>
        <n v="9900.93"/>
        <n v="9203.75"/>
        <n v="34404.380000000005"/>
        <n v="8800.3"/>
        <n v="7175.849999999999"/>
        <n v="10399.17"/>
        <n v="9402.380000000001"/>
        <n v="35777.7"/>
        <n v="9992.95"/>
        <n v="8722.41"/>
        <n v="6893.110000000001"/>
        <n v="9227.67"/>
        <n v="34836.14"/>
        <n v="9201.79"/>
        <n v="10205.15"/>
        <n v="7430.99"/>
        <n v="9518.49"/>
        <n v="36356.42"/>
        <n v="11790.67"/>
        <n v="8919.92"/>
        <n v="4477.52"/>
        <n v="7881.43"/>
        <n v="33069.54"/>
        <n v="9647.81"/>
        <n v="11842.66"/>
        <n v="3919.8"/>
        <n v="7999.160000000001"/>
        <n v="33409.43"/>
        <n v="11596.92"/>
        <n v="9786.119999999999"/>
        <n v="4471.59"/>
        <n v="9317.79"/>
        <n v="35172.42"/>
        <n v="11192.24"/>
        <n v="14189.77"/>
        <n v="4595.12"/>
        <n v="10222.22"/>
        <n v="40199.35"/>
      </sharedItems>
    </cacheField>
    <cacheField name="roi" numFmtId="0">
      <sharedItems containsString="false" containsBlank="true" containsNumber="true" minValue="0.7002785317814473" maxValue="4.8460775881467555" count="0"/>
    </cacheField>
    <cacheField name="单均" numFmtId="0">
      <sharedItems containsString="false" containsBlank="true" containsNumber="true" minValue="1310.36" maxValue="2913.4491666666668" count="0"/>
    </cacheField>
    <cacheField name="保单成本" numFmtId="0">
      <sharedItems containsString="false" containsBlank="true" containsNumber="true" minValue="424.70349999999996" maxValue="3243.795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containsInteger="true" minValue="1" maxValue="17" count="0"/>
    </cacheField>
    <cacheField name="投手" numFmtId="0">
      <sharedItems containsBlank="true" count="0"/>
    </cacheField>
    <cacheField name="投手时长" numFmtId="0">
      <sharedItems containsString="false" containsBlank="true" containsNumber="true" containsInteger="true" minValue="4" maxValue="4" count="0"/>
    </cacheField>
  </cacheFields>
</pivotCacheDefinition>
</file>

<file path=xl/pivotCache/pivotCacheDefinition7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91" sheet="2025.12月"/>
  </cacheSource>
  <cacheFields count="15">
    <cacheField name="时间" numFmtId="0">
      <sharedItems count="30">
        <s v="2025.12.2"/>
        <s v="2025.12.3"/>
        <s v="2025.12.4"/>
        <s v="2025.12.5"/>
        <s v="2025.12.6"/>
        <s v="2025.12.7"/>
        <s v="2025.12.8"/>
        <s v="2025.12.9"/>
        <s v="2025.12.10"/>
        <s v="2025.12.11"/>
        <s v="2025.12.12"/>
        <s v="2025.12.13"/>
        <s v="2025.12.14"/>
        <s v="2025.12.15"/>
        <s v="2025.12.16"/>
        <s v="2025.12.17"/>
        <s v="2025.12.18"/>
        <s v="2025.12.19"/>
        <s v="2025.12.20"/>
        <s v="2025.12.21"/>
        <s v="2025.12.22"/>
        <s v="2025.12.23"/>
        <s v="2025.12.24"/>
        <s v="2025.12.25"/>
        <s v="2025.12.26"/>
        <s v="2025.12.27"/>
        <s v="2025.12.28"/>
        <s v="2025.12.29"/>
        <s v="2025.12.30"/>
        <s v="2025.12.31"/>
      </sharedItems>
    </cacheField>
    <cacheField name="主播" numFmtId="0">
      <sharedItems count="4">
        <s v="张晓策"/>
        <s v="赵佳茜"/>
        <s v="日总"/>
        <s v="靳旭会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containsInteger="true" minValue="1" maxValue="10" count="0"/>
    </cacheField>
    <cacheField name="保险支付数" numFmtId="0">
      <sharedItems containsSemiMixedTypes="false" containsString="false" containsNumber="true" containsInteger="true" minValue="0" maxValue="30" count="27">
        <n v="8"/>
        <n v="4"/>
        <n v="12"/>
        <n v="11"/>
        <n v="7"/>
        <n v="18"/>
        <n v="2"/>
        <n v="5"/>
        <n v="9"/>
        <n v="13"/>
        <n v="10"/>
        <n v="14"/>
        <n v="3"/>
        <n v="6"/>
        <n v="15"/>
        <n v="0"/>
        <n v="20"/>
        <n v="28"/>
        <n v="17"/>
        <n v="16"/>
        <n v="26"/>
        <n v="30"/>
        <n v="21"/>
        <n v="22"/>
        <n v="25"/>
        <n v="23"/>
        <n v="1"/>
      </sharedItems>
    </cacheField>
    <cacheField name="保单" numFmtId="0">
      <sharedItems containsSemiMixedTypes="false" containsString="false" containsNumber="true" containsInteger="true" minValue="1" maxValue="32" count="27">
        <n v="12"/>
        <n v="7"/>
        <n v="19"/>
        <n v="13"/>
        <n v="9"/>
        <n v="22"/>
        <n v="3"/>
        <n v="6"/>
        <n v="8"/>
        <n v="5"/>
        <n v="15"/>
        <n v="14"/>
        <n v="4"/>
        <n v="10"/>
        <n v="16"/>
        <n v="11"/>
        <n v="1"/>
        <n v="21"/>
        <n v="31"/>
        <n v="23"/>
        <n v="20"/>
        <n v="18"/>
        <n v="27"/>
        <n v="32"/>
        <n v="26"/>
        <n v="30"/>
        <n v="2"/>
      </sharedItems>
    </cacheField>
    <cacheField name="年化保费" numFmtId="0">
      <sharedItems containsSemiMixedTypes="false" containsString="false" containsNumber="true" minValue="1351.35" maxValue="66403.15" count="90">
        <n v="22541.82"/>
        <n v="14668.13"/>
        <n v="37209.95"/>
        <n v="29534.7"/>
        <n v="17548.25"/>
        <n v="47082.95"/>
        <n v="6743.88"/>
        <n v="13574.18"/>
        <n v="20318.06"/>
        <n v="17290.86"/>
        <n v="20675.17"/>
        <n v="37966.03"/>
        <n v="14476.87"/>
        <n v="10501.69"/>
        <n v="24978.56"/>
        <n v="11074.65"/>
        <n v="30191.69"/>
        <n v="41266.34"/>
        <n v="13622.9"/>
        <n v="31415.69"/>
        <n v="45038.59"/>
        <n v="11309.05"/>
        <n v="7651.22"/>
        <n v="18960.27"/>
        <n v="8507.08"/>
        <n v="14799.3"/>
        <n v="23306.379999999997"/>
        <n v="14223.88"/>
        <n v="18406.74"/>
        <n v="32630.620000000003"/>
        <n v="9922.78"/>
        <n v="11698.03"/>
        <n v="21620.81"/>
        <n v="6543.05"/>
        <n v="24567.68"/>
        <n v="31110.73"/>
        <n v="1351.35"/>
        <n v="18365.8"/>
        <n v="19717.149999999998"/>
        <n v="7972.74"/>
        <n v="6937.31"/>
        <n v="14910.05"/>
        <n v="19877.73"/>
        <n v="43661.1"/>
        <n v="63538.83"/>
        <n v="23998.66"/>
        <n v="24727.66"/>
        <n v="48726.32"/>
        <n v="14761.66"/>
        <n v="26517.31"/>
        <n v="41278.97"/>
        <n v="7528.25"/>
        <n v="30613.95"/>
        <n v="38142.2"/>
        <n v="21988.42"/>
        <n v="16004.23"/>
        <n v="37992.649999999994"/>
        <n v="33269.37"/>
        <n v="20693.07"/>
        <n v="53962.44"/>
        <n v="30289.58"/>
        <n v="36113.57"/>
        <n v="66403.15"/>
        <n v="8247.79"/>
        <n v="8181.42"/>
        <n v="16429.21"/>
        <n v="10254.14"/>
        <n v="34432.97"/>
        <n v="44687.11"/>
        <n v="7284.42"/>
        <n v="6810.99"/>
        <n v="14095.41"/>
        <n v="6527.85"/>
        <n v="47050.67"/>
        <n v="53578.52"/>
        <n v="20522.09"/>
        <n v="37329.48"/>
        <n v="57851.57000000001"/>
        <n v="8505.18"/>
        <n v="7122.84"/>
        <n v="15628.02"/>
        <n v="15035.31"/>
        <n v="26670.73"/>
        <n v="41706.04"/>
        <n v="7678.34"/>
        <n v="13848.13"/>
        <n v="21526.47"/>
        <n v="3346.2"/>
        <n v="20911.65"/>
        <n v="24257.850000000002"/>
      </sharedItems>
    </cacheField>
    <cacheField name="消耗" numFmtId="0">
      <sharedItems containsSemiMixedTypes="false" containsString="false" containsNumber="true" minValue="1447.75" maxValue="20217.4" count="90">
        <n v="8000"/>
        <n v="4879.67"/>
        <n v="12879.67"/>
        <n v="9823.15"/>
        <n v="5412.92"/>
        <n v="15236.07"/>
        <n v="8861.14"/>
        <n v="4119.41"/>
        <n v="12980.55"/>
        <n v="8328.08"/>
        <n v="6111.9"/>
        <n v="14439.98"/>
        <n v="6358.66"/>
        <n v="6624.03"/>
        <n v="12982.689999999999"/>
        <n v="6491.85"/>
        <n v="7230.579999999999"/>
        <n v="13722.43"/>
        <n v="4733.14"/>
        <n v="5183.4800000000005"/>
        <n v="9916.62"/>
        <n v="7000.93"/>
        <n v="3499.07"/>
        <n v="10500"/>
        <n v="4924.299999999999"/>
        <n v="5023.43"/>
        <n v="9947.73"/>
        <n v="5106.85"/>
        <n v="5788.120000000001"/>
        <n v="10894.970000000001"/>
        <n v="5436.59"/>
        <n v="4371.17"/>
        <n v="9807.76"/>
        <n v="4828.18"/>
        <n v="3879.31"/>
        <n v="8707.49"/>
        <n v="1447.75"/>
        <n v="5738.25"/>
        <n v="7186"/>
        <n v="5892.33"/>
        <n v="5363.13"/>
        <n v="11255.46"/>
        <n v="6074.55"/>
        <n v="9940.499999999998"/>
        <n v="16015.05"/>
        <n v="8707.820000000002"/>
        <n v="7839.539999999999"/>
        <n v="16547.36"/>
        <n v="6687.23"/>
        <n v="7863.140000000001"/>
        <n v="14550.37"/>
        <n v="7811.17"/>
        <n v="8044.320000000001"/>
        <n v="15855.490000000002"/>
        <n v="6991.75"/>
        <n v="8630.68"/>
        <n v="15622.43"/>
        <n v="8064.849999999999"/>
        <n v="9863.6"/>
        <n v="17928.45"/>
        <n v="9419.99"/>
        <n v="10797.41"/>
        <n v="20217.4"/>
        <n v="8325.32"/>
        <n v="5633.06"/>
        <n v="13958.380000000001"/>
        <n v="4160.67"/>
        <n v="15560.97"/>
        <n v="19721.64"/>
        <n v="6635.45"/>
        <n v="6017.47"/>
        <n v="12652.92"/>
        <n v="5389.509999999999"/>
        <n v="10801.36"/>
        <n v="16190.869999999999"/>
        <n v="10473.810000000001"/>
        <n v="9529.880000000001"/>
        <n v="20003.690000000002"/>
        <n v="4945.7300000000005"/>
        <n v="4422.049999999999"/>
        <n v="9367.779999999999"/>
        <n v="9998.58"/>
        <n v="6624.429999999999"/>
        <n v="16623.01"/>
        <n v="5888.01"/>
        <n v="5083.05"/>
        <n v="10971.060000000001"/>
        <n v="3734.3"/>
        <n v="6410.01"/>
        <n v="10144.310000000001"/>
      </sharedItems>
    </cacheField>
    <cacheField name="roi" numFmtId="0">
      <sharedItems containsSemiMixedTypes="false" containsString="false" containsNumber="true" minValue="0.7610623463798112" maxValue="6.3330025184891126" count="0"/>
    </cacheField>
    <cacheField name="单均" numFmtId="0">
      <sharedItems containsSemiMixedTypes="false" containsString="false" containsNumber="true" minValue="1351.35" maxValue="2657.58" count="0"/>
    </cacheField>
    <cacheField name="保单成本" numFmtId="0">
      <sharedItems containsSemiMixedTypes="false" containsString="false" containsNumber="true" minValue="323.2758333333333" maxValue="2953.713333333333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minValue="0.4" maxValue="5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8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91" sheet="2025.11月"/>
  </cacheSource>
  <cacheFields count="15">
    <cacheField name="时间" numFmtId="0">
      <sharedItems containsBlank="true" count="0"/>
    </cacheField>
    <cacheField name="主播" numFmtId="0">
      <sharedItems containsBlank="true" count="6">
        <s v="王雪"/>
        <s v="赵佳茜"/>
        <s v="日总"/>
        <s v="张晓策"/>
        <m/>
        <s v="靳旭会"/>
      </sharedItems>
    </cacheField>
    <cacheField name="主播时段" numFmtId="0">
      <sharedItems containsBlank="true" count="0"/>
    </cacheField>
    <cacheField name="主播时长" numFmtId="0">
      <sharedItems containsString="false" containsBlank="true" containsNumber="true" containsInteger="true" minValue="2" maxValue="16" count="11">
        <n v="4"/>
        <n v="8"/>
        <n v="3"/>
        <n v="7"/>
        <n v="2"/>
        <n v="5"/>
        <n v="16"/>
        <n v="6"/>
        <n v="10"/>
        <n v="9"/>
        <m/>
      </sharedItems>
    </cacheField>
    <cacheField name="保险支付数" numFmtId="0">
      <sharedItems containsString="false" containsBlank="true" containsNumber="true" containsInteger="true" minValue="0" maxValue="32" count="0"/>
    </cacheField>
    <cacheField name="保单" numFmtId="0">
      <sharedItems containsString="false" containsBlank="true" containsNumber="true" containsInteger="true" minValue="0" maxValue="45" count="0"/>
    </cacheField>
    <cacheField name="年化保费" numFmtId="0">
      <sharedItems containsString="false" containsBlank="true" containsNumber="true" minValue="0" maxValue="87607.58" count="88">
        <n v="27271.33"/>
        <n v="37766.79"/>
        <n v="65038.12"/>
        <n v="43587.8"/>
        <n v="32996.36"/>
        <n v="76584.16"/>
        <n v="17198.62"/>
        <n v="32316.61"/>
        <n v="49515.229999999996"/>
        <n v="16473.92"/>
        <n v="31871.22"/>
        <n v="48345.14"/>
        <n v="18449.17"/>
        <n v="11692.4"/>
        <n v="30141.57"/>
        <n v="22576.75"/>
        <n v="34079.77"/>
        <n v="56656.52"/>
        <n v="16330.69"/>
        <n v="24555.98"/>
        <n v="40886.67"/>
        <n v="8288.28"/>
        <n v="14034.74"/>
        <n v="22323.02"/>
        <n v="14352.46"/>
        <n v="20095.16"/>
        <n v="34447.619999999995"/>
        <n v="25605.45"/>
        <n v="27239.37"/>
        <n v="52844.82"/>
        <n v="0"/>
        <n v="29832.72"/>
        <n v="32443.95"/>
        <n v="62276.67"/>
        <n v="2520.59"/>
        <n v="28833.35"/>
        <n v="56253.64"/>
        <n v="87607.58"/>
        <n v="5849.42"/>
        <n v="13519.71"/>
        <n v="19369.129999999997"/>
        <n v="22879.06"/>
        <n v="34646.06"/>
        <n v="57525.119999999995"/>
        <n v="34781.33"/>
        <n v="3492.3"/>
        <n v="38273.630000000005"/>
        <n v="18424.82"/>
        <n v="12636.3"/>
        <n v="31061.12"/>
        <n v="5611.7"/>
        <n v="17934.35"/>
        <n v="23546.05"/>
        <n v="24508.23"/>
        <n v="34088.36"/>
        <n v="58596.59"/>
        <n v="20585.57"/>
        <n v="26899.59"/>
        <n v="47485.16"/>
        <n v="17243.9"/>
        <n v="21640.93"/>
        <n v="38884.83"/>
        <n v="15096.52"/>
        <n v="33994.79"/>
        <n v="49091.31"/>
        <n v="17232.95"/>
        <n v="14639.64"/>
        <n v="31872.59"/>
        <n v="13693.69"/>
        <n v="19901.57"/>
        <n v="33595.26"/>
        <n v="19115.69"/>
        <n v="22717.14"/>
        <n v="41832.83"/>
        <n v="24343.62"/>
        <m/>
        <n v="28570.06"/>
        <n v="52913.68"/>
        <n v="10732.06"/>
        <n v="4736.17"/>
        <n v="20892.58"/>
        <n v="25628.75"/>
        <n v="17368.07"/>
        <n v="17052.76"/>
        <n v="34420.83"/>
        <n v="11557.27"/>
        <n v="25158.98"/>
        <n v="36716.25"/>
      </sharedItems>
    </cacheField>
    <cacheField name="消耗" numFmtId="0">
      <sharedItems containsString="false" containsBlank="true" containsNumber="true" minValue="1710.5299999999997" maxValue="40598.17" count="89">
        <n v="10077.09"/>
        <n v="11157.39"/>
        <n v="21234.48"/>
        <n v="15243.47"/>
        <n v="9734.5"/>
        <n v="24977.97"/>
        <n v="9172.21"/>
        <n v="9300.880000000001"/>
        <n v="18473.09"/>
        <n v="8106.6"/>
        <n v="11203.400000000001"/>
        <n v="19310"/>
        <n v="11296.68"/>
        <n v="9316.06"/>
        <n v="20612.739999999998"/>
        <n v="10710.189999999999"/>
        <n v="9018.45"/>
        <n v="19728.64"/>
        <n v="6652.860000000001"/>
        <n v="11032.16"/>
        <n v="17685.02"/>
        <n v="6666.360000000001"/>
        <n v="6621.05"/>
        <n v="13287.41"/>
        <n v="6698.59"/>
        <n v="9316.61"/>
        <n v="16015.2"/>
        <n v="10988.41"/>
        <n v="8092.17"/>
        <n v="19080.58"/>
        <n v="1710.5299999999997"/>
        <n v="5085.12"/>
        <n v="13812.09"/>
        <n v="13032.310000000001"/>
        <n v="33640.05"/>
        <n v="6432.06"/>
        <n v="12849.28"/>
        <n v="21316.829999999998"/>
        <n v="40598.17"/>
        <n v="9845.08"/>
        <n v="7079.740000000001"/>
        <n v="16924.82"/>
        <n v="11119.380000000001"/>
        <n v="13731.689999999999"/>
        <n v="24851.07"/>
        <n v="11779.96"/>
        <n v="8640.050000000001"/>
        <n v="20420.010000000002"/>
        <n v="7923.99"/>
        <n v="7405.09"/>
        <n v="15329.08"/>
        <n v="6843.17"/>
        <n v="6899.910000000001"/>
        <n v="13743.080000000002"/>
        <n v="9539.83"/>
        <n v="8620.57"/>
        <n v="18160.4"/>
        <n v="10201.060000000001"/>
        <n v="9369.43"/>
        <n v="19570.49"/>
        <n v="8276.01"/>
        <n v="9941.16"/>
        <n v="18217.17"/>
        <n v="8794.66"/>
        <n v="8374.710000000001"/>
        <n v="17169.370000000003"/>
        <n v="8915.74"/>
        <n v="9454.93"/>
        <n v="18370.67"/>
        <n v="7515.99"/>
        <n v="7374.97"/>
        <n v="14890.96"/>
        <n v="8971.69"/>
        <n v="5299.35"/>
        <n v="14271.04"/>
        <n v="7775.339999999999"/>
        <m/>
        <n v="7920.860000000001"/>
        <n v="15696.2"/>
        <n v="7698.82"/>
        <n v="5349.09"/>
        <n v="7432.7300000000005"/>
        <n v="12781.82"/>
        <n v="7364.219999999999"/>
        <n v="6756.82"/>
        <n v="14121.039999999999"/>
        <n v="7646.25"/>
        <n v="7523.540000000001"/>
        <n v="15169.79"/>
      </sharedItems>
    </cacheField>
    <cacheField name="roi" numFmtId="0">
      <sharedItems containsString="false" containsBlank="true" containsNumber="true" minValue="0" maxValue="4.286778567182767" count="0"/>
    </cacheField>
    <cacheField name="单均" numFmtId="0">
      <sharedItems containsBlank="true" containsMixedTypes="true" containsNumber="true" minValue="840.1966666666667" maxValue="2485.893076923077" count="0"/>
    </cacheField>
    <cacheField name="保单成本" numFmtId="0">
      <sharedItems containsBlank="true" containsMixedTypes="true" containsNumber="true" minValue="441.6125" maxValue="4320.025000000001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minValue="0.4" maxValue="11.8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9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94" sheet="2025.10月"/>
  </cacheSource>
  <cacheFields count="15">
    <cacheField name="时间" numFmtId="0">
      <sharedItems count="31">
        <s v="2025.10.1"/>
        <s v="2025.10.2"/>
        <s v="2025.10.3"/>
        <s v="2025.10.4"/>
        <s v="2025.10.5"/>
        <s v="2025.10.6"/>
        <s v="2025.10.7"/>
        <s v="2025.10.8"/>
        <s v="2025.10.9"/>
        <s v="2025.10.10"/>
        <s v="2025.10.11"/>
        <s v="2025.10.12"/>
        <s v="2025.10.13"/>
        <s v="2025.10.14"/>
        <s v="2025.10.15"/>
        <s v="2025.10.16"/>
        <s v="2025.10.17"/>
        <s v="2025.10.18"/>
        <s v="2025.10.19"/>
        <s v="2025.10.20"/>
        <s v="2025.10.21"/>
        <s v="2025.10.22"/>
        <s v="2025.10.23"/>
        <s v="2025.10.24"/>
        <s v="2025.10.25"/>
        <s v="2025.10.26"/>
        <s v="2025.10.27"/>
        <s v="2025.10.28"/>
        <s v="2025.10.29"/>
        <s v="2025.10.30"/>
        <s v="2025.10.31"/>
      </sharedItems>
    </cacheField>
    <cacheField name="主播" numFmtId="0">
      <sharedItems count="5">
        <s v="王雪"/>
        <s v="张晓策"/>
        <s v="日总"/>
        <s v="赵佳茜"/>
        <s v="靳旭会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containsInteger="true" minValue="4" maxValue="8" count="2">
        <n v="4"/>
        <n v="8"/>
      </sharedItems>
    </cacheField>
    <cacheField name="保险支付数" numFmtId="0">
      <sharedItems containsSemiMixedTypes="false" containsString="false" containsNumber="true" containsInteger="true" minValue="0" maxValue="22" count="0"/>
    </cacheField>
    <cacheField name="保单" numFmtId="0">
      <sharedItems containsSemiMixedTypes="false" containsString="false" containsNumber="true" containsInteger="true" minValue="0" maxValue="23" count="23">
        <n v="4"/>
        <n v="8"/>
        <n v="12"/>
        <n v="11"/>
        <n v="7"/>
        <n v="18"/>
        <n v="13"/>
        <n v="20"/>
        <n v="6"/>
        <n v="16"/>
        <n v="23"/>
        <n v="10"/>
        <n v="9"/>
        <n v="21"/>
        <n v="17"/>
        <n v="1"/>
        <n v="2"/>
        <n v="5"/>
        <n v="3"/>
        <n v="0"/>
        <n v="14"/>
        <n v="22"/>
        <n v="15"/>
      </sharedItems>
    </cacheField>
    <cacheField name="年化保费" numFmtId="0">
      <sharedItems containsSemiMixedTypes="false" containsString="false" containsNumber="true" minValue="0" maxValue="48941.100000000006" count="82">
        <n v="7858.5"/>
        <n v="21036.6"/>
        <n v="28895.1"/>
        <n v="21354.449999999997"/>
        <n v="13172.25"/>
        <n v="34526.7"/>
        <n v="14016.599999999999"/>
        <n v="32664.449999999997"/>
        <n v="46681.049999999996"/>
        <n v="10440.3"/>
        <n v="21841.949999999997"/>
        <n v="32282.249999999996"/>
        <n v="14531.399999999998"/>
        <n v="32444.099999999995"/>
        <n v="46975.49999999999"/>
        <n v="21204.3"/>
        <n v="18447"/>
        <n v="39651.3"/>
        <n v="25648.350000000002"/>
        <n v="23292.75"/>
        <n v="48941.100000000006"/>
        <n v="18501.6"/>
        <n v="24297"/>
        <n v="42798.6"/>
        <n v="21604.05"/>
        <n v="23969.4"/>
        <n v="45573.45"/>
        <n v="19544.85"/>
        <n v="26399.1"/>
        <n v="45943.95"/>
        <n v="2316.6"/>
        <n v="1772.55"/>
        <n v="4089.1499999999996"/>
        <n v="9178.65"/>
        <n v="9172.8"/>
        <n v="18351.449999999997"/>
        <n v="5493.15"/>
        <n v="3814.2"/>
        <n v="9307.349999999999"/>
        <n v="9295.65"/>
        <n v="13969.8"/>
        <n v="23265.449999999997"/>
        <n v="4767.75"/>
        <n v="8581.95"/>
        <n v="9412.65"/>
        <n v="11729.25"/>
        <n v="4539.6"/>
        <n v="4808.7"/>
        <n v="9348.3"/>
        <n v="0"/>
        <n v="8622.9"/>
        <n v="8400.6"/>
        <n v="10325.25"/>
        <n v="12641.85"/>
        <n v="6370.65"/>
        <n v="8687.25"/>
        <n v="5627.7"/>
        <n v="9640.8"/>
        <n v="15268.5"/>
        <n v="6739.2"/>
        <n v="9055.8"/>
        <n v="4229.55"/>
        <n v="7716.15"/>
        <n v="11945.7"/>
        <n v="5768.1"/>
        <n v="11583"/>
        <n v="17351.1"/>
        <n v="3311.1"/>
        <n v="13121.55"/>
        <n v="16432.649999999998"/>
        <n v="4594.01"/>
        <n v="16325.61"/>
        <n v="20919.620000000003"/>
        <n v="14337.19"/>
        <n v="13969.69"/>
        <n v="28306.88"/>
        <n v="17136.96"/>
        <n v="26975.31"/>
        <n v="44112.270000000004"/>
        <n v="9144.15"/>
        <n v="31709.79"/>
        <n v="40853.94"/>
      </sharedItems>
    </cacheField>
    <cacheField name="消耗" numFmtId="0">
      <sharedItems containsSemiMixedTypes="false" containsString="false" containsNumber="true" minValue="1401.03" maxValue="16784.98" count="93">
        <n v="6545.28"/>
        <n v="4873.07"/>
        <n v="11418.349999999999"/>
        <n v="5254.33"/>
        <n v="6194.410000000001"/>
        <n v="11448.740000000002"/>
        <n v="4961.54"/>
        <n v="10632.49"/>
        <n v="15594.029999999999"/>
        <n v="5335.23"/>
        <n v="6676.62"/>
        <n v="12011.849999999999"/>
        <n v="7783.68"/>
        <n v="9001.3"/>
        <n v="16784.98"/>
        <n v="7895.6"/>
        <n v="5341.499999999999"/>
        <n v="13237.099999999999"/>
        <n v="7989.970000000001"/>
        <n v="7805.08"/>
        <n v="15795.050000000001"/>
        <n v="8487.08"/>
        <n v="7166.07"/>
        <n v="15653.15"/>
        <n v="6809.55"/>
        <n v="8461.82"/>
        <n v="15271.369999999999"/>
        <n v="5810.2300000000005"/>
        <n v="7038.68"/>
        <n v="12848.91"/>
        <n v="4452.24"/>
        <n v="3824.58"/>
        <n v="8276.82"/>
        <n v="3944.62"/>
        <n v="3872.77"/>
        <n v="7817.389999999999"/>
        <n v="4206.19"/>
        <n v="3030.4"/>
        <n v="7236.59"/>
        <n v="6767.049999999999"/>
        <n v="7432.73"/>
        <n v="14199.779999999999"/>
        <n v="3237.2"/>
        <n v="3482.09"/>
        <n v="6719.29"/>
        <n v="2189.29"/>
        <n v="3511.29"/>
        <n v="5700.58"/>
        <n v="2162.17"/>
        <n v="2096.33"/>
        <n v="4258.5"/>
        <n v="1718.92"/>
        <n v="2240.8"/>
        <n v="3959.7200000000003"/>
        <n v="1453.53"/>
        <n v="2774.72"/>
        <n v="4228.25"/>
        <n v="2339.13"/>
        <n v="2792.06"/>
        <n v="5131.1900000000005"/>
        <n v="1484.6599999999999"/>
        <n v="1478.21"/>
        <n v="2962.87"/>
        <n v="1419.32"/>
        <n v="1401.03"/>
        <n v="2820.35"/>
        <n v="1420.8799999999999"/>
        <n v="1968.0800000000004"/>
        <n v="3388.96"/>
        <n v="1481.3400000000001"/>
        <n v="2377.97"/>
        <n v="3859.31"/>
        <n v="2024.04"/>
        <n v="3447.4600000000005"/>
        <n v="5471.5"/>
        <n v="2172.57"/>
        <n v="3448.06"/>
        <n v="5620.63"/>
        <n v="3244.88"/>
        <n v="3677.15"/>
        <n v="6922.030000000001"/>
        <n v="4952.77"/>
        <n v="5591.04"/>
        <n v="10543.810000000001"/>
        <n v="5657.98"/>
        <n v="7433.84"/>
        <n v="13091.82"/>
        <n v="6631.02"/>
        <n v="7658.2"/>
        <n v="14289.220000000001"/>
        <n v="5274.05"/>
        <n v="8505.27"/>
        <n v="13779.32"/>
      </sharedItems>
    </cacheField>
    <cacheField name="roi" numFmtId="0">
      <sharedItems containsSemiMixedTypes="false" containsString="false" containsNumber="true" minValue="0" maxValue="6.881223100147748" count="0"/>
    </cacheField>
    <cacheField name="单均" numFmtId="0">
      <sharedItems containsMixedTypes="true" containsNumber="true" minValue="1373.2875" maxValue="3074.5" count="0"/>
    </cacheField>
    <cacheField name="保单成本" numFmtId="0">
      <sharedItems containsMixedTypes="true" containsNumber="true" minValue="350.2575" maxValue="4452.24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minValue="1" maxValue="8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10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85" sheet="2025.9月"/>
  </cacheSource>
  <cacheFields count="15">
    <cacheField name="时间" numFmtId="0">
      <sharedItems count="0"/>
    </cacheField>
    <cacheField name="主播" numFmtId="0">
      <sharedItems count="6">
        <s v="靳旭会"/>
        <s v="卢琰"/>
        <s v="日总"/>
        <s v="赵佳茜"/>
        <s v="王雪"/>
        <s v="张晓策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containsInteger="true" minValue="3" maxValue="8" count="5">
        <n v="4"/>
        <n v="3"/>
        <n v="7"/>
        <n v="8"/>
        <n v="5"/>
      </sharedItems>
    </cacheField>
    <cacheField name="保险支付数" numFmtId="0">
      <sharedItems containsSemiMixedTypes="false" containsString="false" containsNumber="true" containsInteger="true" minValue="1" maxValue="22" count="0"/>
    </cacheField>
    <cacheField name="保单" numFmtId="0">
      <sharedItems containsSemiMixedTypes="false" containsString="false" containsNumber="true" containsInteger="true" minValue="2" maxValue="30" count="0"/>
    </cacheField>
    <cacheField name="年化保费" numFmtId="0">
      <sharedItems containsSemiMixedTypes="false" containsString="false" containsNumber="true" minValue="4056" maxValue="65096.85" count="84">
        <n v="22900.8"/>
        <n v="15995.85"/>
        <n v="38896.65"/>
        <n v="30950.4"/>
        <n v="17659.2"/>
        <n v="48609.600000000006"/>
        <n v="16633.5"/>
        <n v="23815.35"/>
        <n v="40448.85"/>
        <n v="25823.85"/>
        <n v="24254.1"/>
        <n v="50077.95"/>
        <n v="33996.3"/>
        <n v="18306.6"/>
        <n v="52302.9"/>
        <n v="18550.35"/>
        <n v="30108"/>
        <n v="48658.35"/>
        <n v="9040.2"/>
        <n v="27668.55"/>
        <n v="36708.75"/>
        <n v="29078.4"/>
        <n v="25314.9"/>
        <n v="54393.3"/>
        <n v="31348.2"/>
        <n v="24316.5"/>
        <n v="55664.7"/>
        <n v="4056"/>
        <n v="27132.3"/>
        <n v="31188.3"/>
        <n v="15367.95"/>
        <n v="25628.85"/>
        <n v="40996.8"/>
        <n v="9812.4"/>
        <n v="12396.15"/>
        <n v="22208.55"/>
        <n v="20549.1"/>
        <n v="13511.55"/>
        <n v="34060.649999999994"/>
        <n v="18470.4"/>
        <n v="40277.25"/>
        <n v="58747.65"/>
        <n v="16346.849999999999"/>
        <n v="35088.3"/>
        <n v="51435.15"/>
        <n v="27849.9"/>
        <n v="36318.75"/>
        <n v="64168.65"/>
        <n v="34899.15"/>
        <n v="26658.45"/>
        <n v="61557.600000000006"/>
        <n v="23031.45"/>
        <n v="13453.05"/>
        <n v="36484.5"/>
        <n v="29193.45"/>
        <n v="9677.85"/>
        <n v="38871.3"/>
        <n v="27886.95"/>
        <n v="13505.7"/>
        <n v="41392.65"/>
        <n v="16614"/>
        <n v="15182.7"/>
        <n v="31796.7"/>
        <n v="21522.15"/>
        <n v="9765.6"/>
        <n v="31287.75"/>
        <n v="18640.05"/>
        <n v="17335.5"/>
        <n v="35975.55"/>
        <n v="18004.35"/>
        <n v="25377.3"/>
        <n v="43381.649999999994"/>
        <n v="21173.1"/>
        <n v="10335"/>
        <n v="31508.1"/>
        <n v="30225"/>
        <n v="34871.85"/>
        <n v="65096.85"/>
        <n v="10192.65"/>
        <n v="20358"/>
        <n v="30550.65"/>
        <n v="19340.1"/>
        <n v="21637.2"/>
        <n v="40977.3"/>
      </sharedItems>
    </cacheField>
    <cacheField name="消耗" numFmtId="0">
      <sharedItems containsSemiMixedTypes="false" containsString="false" containsNumber="true" minValue="2992.77" maxValue="16849.49" count="84">
        <n v="5385.52"/>
        <n v="4055.38"/>
        <n v="9440.900000000001"/>
        <n v="5716.6900000000005"/>
        <n v="5581.7"/>
        <n v="11298.39"/>
        <n v="6602.89"/>
        <n v="4685.82"/>
        <n v="11288.71"/>
        <n v="5415.55"/>
        <n v="5120.08"/>
        <n v="10535.630000000001"/>
        <n v="6219.34"/>
        <n v="6186.66"/>
        <n v="12406"/>
        <n v="5331.53"/>
        <n v="5355.8"/>
        <n v="10687.33"/>
        <n v="7178.52"/>
        <n v="5161.150000000001"/>
        <n v="12339.670000000002"/>
        <n v="6798.469999999999"/>
        <n v="6499.39"/>
        <n v="13297.86"/>
        <n v="6320.15"/>
        <n v="9222.38"/>
        <n v="15542.529999999999"/>
        <n v="6376.69"/>
        <n v="6050.540000000001"/>
        <n v="12427.23"/>
        <n v="5633.24"/>
        <n v="5085.34"/>
        <n v="10718.58"/>
        <n v="4088.09"/>
        <n v="3770.87"/>
        <n v="7858.96"/>
        <n v="4018"/>
        <n v="5610.66"/>
        <n v="9628.66"/>
        <n v="6432.280000000001"/>
        <n v="6836.31"/>
        <n v="13268.59"/>
        <n v="7520.660000000001"/>
        <n v="9328.83"/>
        <n v="16849.49"/>
        <n v="7200.65"/>
        <n v="7141.66"/>
        <n v="14342.31"/>
        <n v="6384.92"/>
        <n v="5514.35"/>
        <n v="11899.27"/>
        <n v="7709.140000000001"/>
        <n v="5124.82"/>
        <n v="12833.960000000001"/>
        <n v="9304.25"/>
        <n v="5875.15"/>
        <n v="15179.4"/>
        <n v="7939.390000000001"/>
        <n v="4170.26"/>
        <n v="12109.650000000001"/>
        <n v="7114.61"/>
        <n v="7511.740000000002"/>
        <n v="14626.350000000002"/>
        <n v="8305.56"/>
        <n v="3678.6400000000003"/>
        <n v="11984.2"/>
        <n v="6378.629999999999"/>
        <n v="3803.56"/>
        <n v="10182.189999999999"/>
        <n v="4995.6900000000005"/>
        <n v="5532.5199999999995"/>
        <n v="10528.21"/>
        <n v="7163.54"/>
        <n v="2992.77"/>
        <n v="10156.31"/>
        <n v="5930.81"/>
        <n v="6651.05"/>
        <n v="12581.86"/>
        <n v="6201.71"/>
        <n v="3710.28"/>
        <n v="9911.99"/>
        <n v="5856.52"/>
        <n v="7577.24"/>
        <n v="13433.76"/>
      </sharedItems>
    </cacheField>
    <cacheField name="roi" numFmtId="0">
      <sharedItems containsSemiMixedTypes="false" containsString="false" containsNumber="true" minValue="0.6360666740895355" maxValue="5.891665240458668" count="0"/>
    </cacheField>
    <cacheField name="单均" numFmtId="0">
      <sharedItems containsSemiMixedTypes="false" containsString="false" containsNumber="true" minValue="1846" maxValue="3255.2000000000003" count="0"/>
    </cacheField>
    <cacheField name="保单成本" numFmtId="0">
      <sharedItems containsSemiMixedTypes="false" containsString="false" containsNumber="true" minValue="341.81550000000004" maxValue="3188.345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minValue="1.6" maxValue="8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1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O$85" sheet="2025.9月"/>
  </cacheSource>
  <cacheFields count="15">
    <cacheField name="时间" numFmtId="0">
      <sharedItems count="0"/>
    </cacheField>
    <cacheField name="主播" numFmtId="0">
      <sharedItems count="6">
        <s v="靳旭会"/>
        <s v="卢琰"/>
        <s v="日总"/>
        <s v="赵佳茜"/>
        <s v="王雪"/>
        <s v="张晓策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containsInteger="true" minValue="3" maxValue="8" count="5">
        <n v="4"/>
        <n v="3"/>
        <n v="7"/>
        <n v="8"/>
        <n v="5"/>
      </sharedItems>
    </cacheField>
    <cacheField name="保险支付数" numFmtId="0">
      <sharedItems containsSemiMixedTypes="false" containsString="false" containsNumber="true" containsInteger="true" minValue="1" maxValue="22" count="0"/>
    </cacheField>
    <cacheField name="保单" numFmtId="0">
      <sharedItems containsSemiMixedTypes="false" containsString="false" containsNumber="true" containsInteger="true" minValue="2" maxValue="30" count="0"/>
    </cacheField>
    <cacheField name="年化保费" numFmtId="0">
      <sharedItems containsSemiMixedTypes="false" containsString="false" containsNumber="true" minValue="4056" maxValue="65096.85" count="84">
        <n v="22900.8"/>
        <n v="15995.85"/>
        <n v="38896.65"/>
        <n v="30950.4"/>
        <n v="17659.2"/>
        <n v="48609.600000000006"/>
        <n v="16633.5"/>
        <n v="23815.35"/>
        <n v="40448.85"/>
        <n v="25823.85"/>
        <n v="24254.1"/>
        <n v="50077.95"/>
        <n v="33996.3"/>
        <n v="18306.6"/>
        <n v="52302.9"/>
        <n v="18550.35"/>
        <n v="30108"/>
        <n v="48658.35"/>
        <n v="9040.2"/>
        <n v="27668.55"/>
        <n v="36708.75"/>
        <n v="29078.4"/>
        <n v="25314.9"/>
        <n v="54393.3"/>
        <n v="31348.2"/>
        <n v="24316.5"/>
        <n v="55664.7"/>
        <n v="4056"/>
        <n v="27132.3"/>
        <n v="31188.3"/>
        <n v="15367.95"/>
        <n v="25628.85"/>
        <n v="40996.8"/>
        <n v="9812.4"/>
        <n v="12396.15"/>
        <n v="22208.55"/>
        <n v="20549.1"/>
        <n v="13511.55"/>
        <n v="34060.649999999994"/>
        <n v="18470.4"/>
        <n v="40277.25"/>
        <n v="58747.65"/>
        <n v="16346.849999999999"/>
        <n v="35088.3"/>
        <n v="51435.15"/>
        <n v="27849.9"/>
        <n v="36318.75"/>
        <n v="64168.65"/>
        <n v="34899.15"/>
        <n v="26658.45"/>
        <n v="61557.600000000006"/>
        <n v="23031.45"/>
        <n v="13453.05"/>
        <n v="36484.5"/>
        <n v="29193.45"/>
        <n v="9677.85"/>
        <n v="38871.3"/>
        <n v="27886.95"/>
        <n v="13505.7"/>
        <n v="41392.65"/>
        <n v="16614"/>
        <n v="15182.7"/>
        <n v="31796.7"/>
        <n v="21522.15"/>
        <n v="9765.6"/>
        <n v="31287.75"/>
        <n v="18640.05"/>
        <n v="17335.5"/>
        <n v="35975.55"/>
        <n v="18004.35"/>
        <n v="25377.3"/>
        <n v="43381.649999999994"/>
        <n v="21173.1"/>
        <n v="10335"/>
        <n v="31508.1"/>
        <n v="30225"/>
        <n v="34871.85"/>
        <n v="65096.85"/>
        <n v="10192.65"/>
        <n v="20358"/>
        <n v="30550.65"/>
        <n v="19340.1"/>
        <n v="21637.2"/>
        <n v="40977.3"/>
      </sharedItems>
    </cacheField>
    <cacheField name="消耗" numFmtId="0">
      <sharedItems containsSemiMixedTypes="false" containsString="false" containsNumber="true" minValue="2992.77" maxValue="16849.49" count="84">
        <n v="5385.52"/>
        <n v="4055.38"/>
        <n v="9440.900000000001"/>
        <n v="5716.6900000000005"/>
        <n v="5581.7"/>
        <n v="11298.39"/>
        <n v="6602.89"/>
        <n v="4685.82"/>
        <n v="11288.71"/>
        <n v="5415.55"/>
        <n v="5120.08"/>
        <n v="10535.630000000001"/>
        <n v="6219.34"/>
        <n v="6186.66"/>
        <n v="12406"/>
        <n v="5331.53"/>
        <n v="5355.8"/>
        <n v="10687.33"/>
        <n v="7178.52"/>
        <n v="5161.150000000001"/>
        <n v="12339.670000000002"/>
        <n v="6798.469999999999"/>
        <n v="6499.39"/>
        <n v="13297.86"/>
        <n v="6320.15"/>
        <n v="9222.38"/>
        <n v="15542.529999999999"/>
        <n v="6376.69"/>
        <n v="6050.540000000001"/>
        <n v="12427.23"/>
        <n v="5633.24"/>
        <n v="5085.34"/>
        <n v="10718.58"/>
        <n v="4088.09"/>
        <n v="3770.87"/>
        <n v="7858.96"/>
        <n v="4018"/>
        <n v="5610.66"/>
        <n v="9628.66"/>
        <n v="6432.280000000001"/>
        <n v="6836.31"/>
        <n v="13268.59"/>
        <n v="7520.660000000001"/>
        <n v="9328.83"/>
        <n v="16849.49"/>
        <n v="7200.65"/>
        <n v="7141.66"/>
        <n v="14342.31"/>
        <n v="6384.92"/>
        <n v="5514.35"/>
        <n v="11899.27"/>
        <n v="7709.140000000001"/>
        <n v="5124.82"/>
        <n v="12833.960000000001"/>
        <n v="9304.25"/>
        <n v="5875.15"/>
        <n v="15179.4"/>
        <n v="7939.390000000001"/>
        <n v="4170.26"/>
        <n v="12109.650000000001"/>
        <n v="7114.61"/>
        <n v="7511.740000000002"/>
        <n v="14626.350000000002"/>
        <n v="8305.56"/>
        <n v="3678.6400000000003"/>
        <n v="11984.2"/>
        <n v="6378.629999999999"/>
        <n v="3803.56"/>
        <n v="10182.189999999999"/>
        <n v="4995.6900000000005"/>
        <n v="5532.5199999999995"/>
        <n v="10528.21"/>
        <n v="7163.54"/>
        <n v="2992.77"/>
        <n v="10156.31"/>
        <n v="5930.81"/>
        <n v="6651.05"/>
        <n v="12581.86"/>
        <n v="6201.71"/>
        <n v="3710.28"/>
        <n v="9911.99"/>
        <n v="5856.52"/>
        <n v="7577.24"/>
        <n v="13433.76"/>
      </sharedItems>
    </cacheField>
    <cacheField name="roi" numFmtId="0">
      <sharedItems containsSemiMixedTypes="false" containsString="false" containsNumber="true" minValue="0.6360666740895355" maxValue="5.891665240458668" count="0"/>
    </cacheField>
    <cacheField name="单均" numFmtId="0">
      <sharedItems containsSemiMixedTypes="false" containsString="false" containsNumber="true" minValue="1846" maxValue="3255.2000000000003" count="0"/>
    </cacheField>
    <cacheField name="保单成本" numFmtId="0">
      <sharedItems containsSemiMixedTypes="false" containsString="false" containsNumber="true" minValue="341.81550000000004" maxValue="3188.345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minValue="1.6" maxValue="8" count="0"/>
    </cacheField>
    <cacheField name="投手" numFmtId="0">
      <sharedItems containsString="false" containsBlank="true" count="0"/>
    </cacheField>
    <cacheField name="投手时长" numFmtId="0">
      <sharedItems containsString="false" containsBlank="true" count="0"/>
    </cacheField>
  </cacheFields>
</pivotCacheDefinition>
</file>

<file path=xl/pivotCache/pivotCacheDefinition1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E$61" sheet="Sheet20"/>
  </cacheSource>
  <cacheFields count="5">
    <cacheField name="时间" numFmtId="0">
      <sharedItems containsSemiMixedTypes="false" containsNonDate="false" containsDate="true" containsString="false" minDate="2026-08-28T00:00:00.000Z" maxDate="2026-09-06T00:00:00.000Z" count="0"/>
    </cacheField>
    <cacheField name="主播" numFmtId="0">
      <sharedItems count="7">
        <s v="靳旭会"/>
        <s v="习晓展"/>
        <s v="李凯旋"/>
        <s v="张梦婷"/>
        <s v="赵佳茜"/>
        <s v="日总"/>
        <s v="赵培培"/>
      </sharedItems>
    </cacheField>
    <cacheField name="保险支付数" numFmtId="0">
      <sharedItems containsSemiMixedTypes="false" containsString="false" containsNumber="true" containsInteger="true" minValue="3" maxValue="83" count="0"/>
    </cacheField>
    <cacheField name="D列" numFmtId="0">
      <sharedItems containsString="false" containsBlank="true" count="0"/>
    </cacheField>
    <cacheField name="年化保费" numFmtId="0">
      <sharedItems containsSemiMixedTypes="false" containsString="false" containsNumber="true" minValue="9916.650000000001" maxValue="256387.04" count="60">
        <n v="73017.52000000002"/>
        <n v="40712.70000000001"/>
        <n v="33615.11"/>
        <n v="68314.8"/>
        <n v="40726.91"/>
        <n v="256387.04"/>
        <n v="55765.27000000002"/>
        <n v="34071.58999999999"/>
        <n v="27953.430000000004"/>
        <n v="22025.160000000003"/>
        <n v="15764.179999999964"/>
        <n v="155579.62999999998"/>
        <n v="25600.82"/>
        <n v="9916.650000000001"/>
        <n v="23268.97"/>
        <n v="32361.63"/>
        <n v="26343.01999999999"/>
        <n v="117491.09"/>
        <n v="47057.08000000001"/>
        <n v="46102.51999999999"/>
        <n v="48024.280000000006"/>
        <n v="68657.49"/>
        <n v="23526.45"/>
        <n v="233367.82"/>
        <n v="60357.64"/>
        <n v="58833.96"/>
        <n v="47174.77"/>
        <n v="68976.8"/>
        <n v="18172.440000000002"/>
        <n v="253515.61"/>
        <n v="43724.50000000001"/>
        <n v="37774.5"/>
        <n v="38762.57"/>
        <n v="53487.28999999999"/>
        <n v="31311.379999999997"/>
        <n v="205060.24"/>
        <n v="39682.86"/>
        <n v="43612.99"/>
        <n v="49913.990000000005"/>
        <n v="65158.15999999999"/>
        <n v="29259.969999999998"/>
        <n v="227627.97"/>
        <n v="38584.28"/>
        <n v="51156.46999999999"/>
        <n v="35212.34"/>
        <n v="63623.259999999995"/>
        <n v="37779.91"/>
        <n v="226356.25999999998"/>
        <n v="60217.420000000006"/>
        <n v="28938.219999999987"/>
        <n v="39734.79000000001"/>
        <n v="69324.62"/>
        <n v="22995.78"/>
        <n v="221210.83"/>
        <n v="30926.619999999995"/>
        <n v="39536.44000000001"/>
        <n v="30994.180000000004"/>
        <n v="63804.52"/>
        <n v="43989.68000000001"/>
        <n v="209251.44"/>
      </sharedItems>
    </cacheField>
  </cacheFields>
</pivotCacheDefinition>
</file>

<file path=xl/pivotCache/pivotCacheDefinition1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B$136:$G$147" sheet="Sheet20"/>
  </cacheSource>
  <cacheFields count="6">
    <cacheField name="B列" numFmtId="0">
      <sharedItems containsBlank="true" count="0"/>
    </cacheField>
    <cacheField name="主播" numFmtId="0">
      <sharedItems containsBlank="true" count="5">
        <s v="赵佳茜"/>
        <s v="张梦婷"/>
        <s v="李凯旋"/>
        <s v="靳旭会"/>
        <m/>
      </sharedItems>
    </cacheField>
    <cacheField name="主播时长" numFmtId="0">
      <sharedItems containsString="false" containsBlank="true" containsNumber="true" containsInteger="true" minValue="1" maxValue="2" count="3">
        <n v="1"/>
        <n v="2"/>
        <m/>
      </sharedItems>
    </cacheField>
    <cacheField name="总消耗" numFmtId="0">
      <sharedItems containsString="false" containsBlank="true" containsNumber="true" minValue="460.17" maxValue="1824.17" count="11">
        <n v="967.0999999999999"/>
        <n v="460.17"/>
        <n v="1690.89"/>
        <n v="1200.52"/>
        <n v="1070.74"/>
        <n v="1015.87"/>
        <n v="1737.19"/>
        <n v="1434.04"/>
        <n v="1400.93"/>
        <n v="1824.17"/>
        <m/>
      </sharedItems>
    </cacheField>
    <cacheField name="总保单" numFmtId="0">
      <sharedItems containsString="false" containsBlank="true" containsNumber="true" containsInteger="true" minValue="0" maxValue="5" count="0"/>
    </cacheField>
    <cacheField name="总年化保费" numFmtId="0">
      <sharedItems containsString="false" containsBlank="true" containsNumber="true" minValue="0" maxValue="12200.76999999999" count="10">
        <n v="3815.96"/>
        <n v="3108.109999999986"/>
        <n v="7972.969999999972"/>
        <n v="2548.26"/>
        <n v="0"/>
        <n v="12200.76999999999"/>
        <n v="5978.12"/>
        <n v="8169.760000000009"/>
        <n v="7091.370000000024"/>
        <m/>
      </sharedItems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_rels/pivotTable5.xml.rels><?xml version="1.0" encoding="UTF-8" standalone="yes"?>
<Relationships xmlns="http://schemas.openxmlformats.org/package/2006/relationships"><Relationship Id="rId1" Target="../pivotCache/pivotCacheDefinition5.xml" Type="http://schemas.openxmlformats.org/officeDocument/2006/relationships/pivotCacheDefinition"></Relationship></Relationships>
</file>

<file path=xl/pivotTables/_rels/pivotTable6.xml.rels><?xml version="1.0" encoding="UTF-8" standalone="yes"?>
<Relationships xmlns="http://schemas.openxmlformats.org/package/2006/relationships"><Relationship Id="rId1" Target="../pivotCache/pivotCacheDefinition6.xml" Type="http://schemas.openxmlformats.org/officeDocument/2006/relationships/pivotCacheDefinition"></Relationship></Relationships>
</file>

<file path=xl/pivotTables/_rels/pivotTable7.xml.rels><?xml version="1.0" encoding="UTF-8" standalone="yes"?>
<Relationships xmlns="http://schemas.openxmlformats.org/package/2006/relationships"><Relationship Id="rId1" Target="../pivotCache/pivotCacheDefinition7.xml" Type="http://schemas.openxmlformats.org/officeDocument/2006/relationships/pivotCacheDefinition"></Relationship></Relationships>
</file>

<file path=xl/pivotTables/_rels/pivotTable8.xml.rels><?xml version="1.0" encoding="UTF-8" standalone="yes"?>
<Relationships xmlns="http://schemas.openxmlformats.org/package/2006/relationships"><Relationship Id="rId1" Target="../pivotCache/pivotCacheDefinition8.xml" Type="http://schemas.openxmlformats.org/officeDocument/2006/relationships/pivotCacheDefinition"></Relationship></Relationships>
</file>

<file path=xl/pivotTables/_rels/pivotTable9.xml.rels><?xml version="1.0" encoding="UTF-8" standalone="yes"?>
<Relationships xmlns="http://schemas.openxmlformats.org/package/2006/relationships"><Relationship Id="rId1" Target="../pivotCache/pivotCacheDefinition9.xml" Type="http://schemas.openxmlformats.org/officeDocument/2006/relationships/pivotCacheDefinition"></Relationship></Relationships>
</file>

<file path=xl/pivotTables/_rels/pivotTable10.xml.rels><?xml version="1.0" encoding="UTF-8" standalone="yes"?>
<Relationships xmlns="http://schemas.openxmlformats.org/package/2006/relationships"><Relationship Id="rId1" Target="../pivotCache/pivotCacheDefinition10.xml" Type="http://schemas.openxmlformats.org/officeDocument/2006/relationships/pivotCacheDefinition"></Relationship></Relationships>
</file>

<file path=xl/pivotTables/_rels/pivotTable11.xml.rels><?xml version="1.0" encoding="UTF-8" standalone="yes"?>
<Relationships xmlns="http://schemas.openxmlformats.org/package/2006/relationships"><Relationship Id="rId1" Target="../pivotCache/pivotCacheDefinition11.xml" Type="http://schemas.openxmlformats.org/officeDocument/2006/relationships/pivotCacheDefinition"></Relationship></Relationships>
</file>

<file path=xl/pivotTables/_rels/pivotTable12.xml.rels><?xml version="1.0" encoding="UTF-8" standalone="yes"?>
<Relationships xmlns="http://schemas.openxmlformats.org/package/2006/relationships"><Relationship Id="rId1" Target="../pivotCache/pivotCacheDefinition12.xml" Type="http://schemas.openxmlformats.org/officeDocument/2006/relationships/pivotCacheDefinition"></Relationship></Relationships>
</file>

<file path=xl/pivotTables/_rels/pivotTable13.xml.rels><?xml version="1.0" encoding="UTF-8" standalone="yes"?>
<Relationships xmlns="http://schemas.openxmlformats.org/package/2006/relationships"><Relationship Id="rId1" Target="../pivotCache/pivotCacheDefinition13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C$191:$F$198" firstHeaderRow="1" firstDataRow="1" firstDataCol="1"/>
  <pivotFields count="17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h="true" x="5"/>
        <item x="6"/>
        <item t="default"/>
      </items>
    </pivotField>
    <pivotField compact="false" outline="false" showAll="false"/>
    <pivotField dataField="true" compact="false" outline="false" showAll="false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dataField="true" compact="false" outline="false" showAll="false">
      <items count="18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主播时长" fld="3" subtotal="sum"/>
    <dataField name="求和项:年化保费" fld="6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D$166:$E$173" firstHeaderRow="1" firstDataRow="1" firstDataCol="1"/>
  <pivotFields count="16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主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159:$E$165" firstHeaderRow="1" firstDataRow="1" firstDataCol="1"/>
  <pivotFields count="15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7">
        <item x="0"/>
        <item x="1"/>
        <item x="2"/>
        <item x="3"/>
        <item x="4"/>
        <item x="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2">
    <dataField name="求和项:主播时长" fld="3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C$192:$D$203" firstHeaderRow="1" firstDataRow="1" firstDataCol="1"/>
  <pivotFields count="15"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axis="axisRow" compact="false" outline="false" showAll="false">
      <items count="12">
        <item x="0"/>
        <item h="true"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</pivotFields>
  <rowFields count="1">
    <field x="11"/>
  </rowFields>
  <dataFields count="1">
    <dataField name="计数项:场控时长" fld="12" subtotal="count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 Table5" cacheId="5" dataCaption="值" updatedVersion="3" minRefreshableVersion="3" useAutoFormatting="true" createdVersion="3" compact="false" compactData="false">
  <location ref="$E$179:$H$188" firstHeaderRow="1" firstDataRow="1" firstDataCol="1"/>
  <pivotFields count="15">
    <pivotField compact="false" outline="false" showAll="false"/>
    <pivotField axis="axisRow" compact="false" outline="false" showAll="false">
      <items count="10">
        <item x="0"/>
        <item x="1"/>
        <item x="2"/>
        <item x="3"/>
        <item h="true"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1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dataField="true" compact="false" outline="false" showAll="false">
      <items count="1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主播时长" fld="3" subtotal="sum"/>
    <dataField name="求和项:年化保费" fld="6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 Table6" cacheId="6" dataCaption="值" updatedVersion="3" minRefreshableVersion="3" useAutoFormatting="true" createdVersion="3" compact="false" compactData="false">
  <location ref="$D$143:$G$151" firstHeaderRow="1" firstDataRow="1" firstDataCol="1"/>
  <pivotFields count="15">
    <pivotField compact="false" outline="false" showAll="false"/>
    <pivotField axis="axisRow" compact="false" outline="false" showAll="false">
      <items count="10">
        <item x="0"/>
        <item x="1"/>
        <item x="2"/>
        <item h="true" x="3"/>
        <item x="4"/>
        <item h="true"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dataField="true" compact="false" outline="false" showAll="false">
      <items count="1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主播时长" fld="3" subtotal="sum"/>
    <dataField name="求和项:年化保费" fld="6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 Table7" cacheId="7" dataCaption="值" updatedVersion="3" minRefreshableVersion="3" useAutoFormatting="true" createdVersion="3" compact="false" compactData="false">
  <location ref="$E$98:$I$102" firstHeaderRow="1" firstDataRow="1" firstDataCol="1" rowPageCount="1" colPageCount="2"/>
  <pivotFields count="15">
    <pivotField axis="axisPage" compact="false" outline="false" showAll="false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compact="false" outline="false" showAll="false">
      <items count="5">
        <item x="0"/>
        <item x="1"/>
        <item h="true" x="2"/>
        <item x="3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true" compact="false" outline="false" showAll="false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dataField="true" compact="false" outline="false" showAll="false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dataField="true" compact="false" outline="false" showAll="false">
      <items count="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pageFields count="1">
    <pageField fld="0"/>
  </pageFields>
  <dataFields count="4">
    <dataField name="求和项:年化保费" fld="6" subtotal="sum"/>
    <dataField name="求和项:消耗" fld="7" subtotal="sum"/>
    <dataField name="求和项:保险支付数" fld="4" subtotal="sum"/>
    <dataField name="求和项:保单" fld="5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 Table8" cacheId="8" dataCaption="值" updatedVersion="3" minRefreshableVersion="3" useAutoFormatting="true" createdVersion="3" compact="false" compactData="false">
  <location ref="$D$96:$G$101" firstHeaderRow="1" firstDataRow="1" firstDataCol="1"/>
  <pivotFields count="15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h="true" x="4"/>
        <item x="5"/>
        <item t="default"/>
      </items>
    </pivotField>
    <pivotField compact="false" outline="false" showAll="false"/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8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dataField="true" compact="false" outline="false" showAll="false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主播时长" fld="3" subtotal="sum"/>
    <dataField name="求和项:年化保费" fld="6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 Table9" cacheId="9" dataCaption="值" updatedVersion="3" minRefreshableVersion="3" useAutoFormatting="true" createdVersion="3" compact="false" compactData="false">
  <location ref="$C$100:$G$105" firstHeaderRow="1" firstDataRow="1" firstDataCol="1" rowPageCount="1" colPageCount="2"/>
  <pivotFields count="15">
    <pivotField axis="axisPage" compact="false" outline="false" showAll="false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compact="false" outline="false" showAll="false">
      <items count="6">
        <item x="0"/>
        <item x="1"/>
        <item h="true" x="2"/>
        <item x="3"/>
        <item x="4"/>
        <item t="default"/>
      </items>
    </pivotField>
    <pivotField compact="false" outline="false" showAll="false"/>
    <pivotField dataField="true" compact="false" outline="false" showAll="false">
      <items count="3">
        <item x="0"/>
        <item x="1"/>
        <item t="default"/>
      </items>
    </pivotField>
    <pivotField compact="false" outline="false" showAll="false"/>
    <pivotField dataField="true" compact="false" outline="false" showAll="false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true" compact="false" outline="false" showAll="false">
      <items count="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dataField="true" compact="false" outline="false" showAll="false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pageFields count="1">
    <pageField fld="0"/>
  </pageFields>
  <dataFields count="4">
    <dataField name="求和项:主播时长" fld="3" subtotal="sum"/>
    <dataField name="求和项:保单" fld="5" subtotal="sum"/>
    <dataField name="求和项:年化保费" fld="6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 Table10" cacheId="10" dataCaption="值" updatedVersion="3" minRefreshableVersion="3" useAutoFormatting="true" createdVersion="3" compact="false" compactData="false">
  <location ref="$D$94:$G$100" firstHeaderRow="1" firstDataRow="1" firstDataCol="1"/>
  <pivotFields count="15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dataField="true" compact="false" outline="false" showAll="false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主播时长" fld="3" subtotal="sum"/>
    <dataField name="求和项:年化保费" fld="6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 Table11" cacheId="11" dataCaption="值" updatedVersion="3" minRefreshableVersion="3" useAutoFormatting="true" createdVersion="3" compact="false" compactData="false">
  <location ref="$I$98:$L$104" firstHeaderRow="1" firstDataRow="1" firstDataCol="1"/>
  <pivotFields count="15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6">
        <item x="0"/>
        <item x="1"/>
        <item x="2"/>
        <item x="3"/>
        <item x="4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dataField="true" compact="false" outline="false" showAll="false">
      <items count="8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主播时长" fld="3" subtotal="sum"/>
    <dataField name="求和项:年化保费" fld="6" subtotal="sum"/>
    <dataField name="求和项: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 Table12" cacheId="12" dataCaption="值" updatedVersion="3" minRefreshableVersion="3" useAutoFormatting="true" createdVersion="3" compact="false" compactData="false">
  <location ref="$B$68:$C$76" firstHeaderRow="1" firstDataRow="1" firstDataCol="1"/>
  <pivotFields count="5">
    <pivotField compact="false" outline="false" showAll="false"/>
    <pivotField axis="axisRow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</pivotFields>
  <rowFields count="1">
    <field x="1"/>
  </rowFields>
  <dataFields count="1">
    <dataField name="求和项:年化保费" fld="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Pivot Table13" cacheId="13" dataCaption="值" updatedVersion="3" minRefreshableVersion="3" useAutoFormatting="true" createdVersion="3" compact="false" compactData="false">
  <location ref="$B$153:$E$159" firstHeaderRow="1" firstDataRow="1" firstDataCol="1"/>
  <pivotFields count="6">
    <pivotField compact="false" outline="false" showAll="false"/>
    <pivotField axis="axisRow" compact="false" outline="false" showAll="false">
      <items count="6">
        <item x="0"/>
        <item x="1"/>
        <item x="2"/>
        <item x="3"/>
        <item x="4"/>
        <item t="default"/>
      </items>
    </pivotField>
    <pivotField dataField="true" compact="false" outline="false" showAll="false">
      <items count="4">
        <item x="0"/>
        <item x="1"/>
        <item x="2"/>
        <item t="default"/>
      </items>
    </pivotField>
    <pivotField dataField="true" compact="false" outline="false" showAll="false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colFields count="1">
    <field x="-2"/>
  </colFields>
  <dataFields count="3">
    <dataField name="求和项:主播时长" fld="2" subtotal="sum"/>
    <dataField name="求和项:总年化保费" fld="5" subtotal="sum"/>
    <dataField name="求和项:总消耗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9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10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12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_rels/sheet13.xml.rels><?xml version="1.0" encoding="UTF-8" standalone="yes"?>
<Relationships xmlns="http://schemas.openxmlformats.org/package/2006/relationships"><Relationship Id="rId1" Target="../pivotTables/pivotTable5.xml" Type="http://schemas.openxmlformats.org/officeDocument/2006/relationships/pivotTable"></Relationship></Relationships>
</file>

<file path=xl/worksheets/_rels/sheet14.xml.rels><?xml version="1.0" encoding="UTF-8" standalone="yes"?>
<Relationships xmlns="http://schemas.openxmlformats.org/package/2006/relationships"><Relationship Id="rId1" Target="../pivotTables/pivotTable6.xml" Type="http://schemas.openxmlformats.org/officeDocument/2006/relationships/pivotTable"></Relationship></Relationships>
</file>

<file path=xl/worksheets/_rels/sheet17.xml.rels><?xml version="1.0" encoding="UTF-8" standalone="yes"?>
<Relationships xmlns="http://schemas.openxmlformats.org/package/2006/relationships"><Relationship Id="rId1" Target="../pivotTables/pivotTable7.xml" Type="http://schemas.openxmlformats.org/officeDocument/2006/relationships/pivotTable"></Relationship></Relationships>
</file>

<file path=xl/worksheets/_rels/sheet18.xml.rels><?xml version="1.0" encoding="UTF-8" standalone="yes"?>
<Relationships xmlns="http://schemas.openxmlformats.org/package/2006/relationships"><Relationship Id="rId1" Target="../pivotTables/pivotTable8.xml" Type="http://schemas.openxmlformats.org/officeDocument/2006/relationships/pivotTable"></Relationship></Relationships>
</file>

<file path=xl/worksheets/_rels/sheet19.xml.rels><?xml version="1.0" encoding="UTF-8" standalone="yes"?>
<Relationships xmlns="http://schemas.openxmlformats.org/package/2006/relationships"><Relationship Id="rId1" Target="../pivotTables/pivotTable9.xml" Type="http://schemas.openxmlformats.org/officeDocument/2006/relationships/pivotTable"></Relationship></Relationships>
</file>

<file path=xl/worksheets/_rels/sheet20.xml.rels><?xml version="1.0" encoding="UTF-8" standalone="yes"?>
<Relationships xmlns="http://schemas.openxmlformats.org/package/2006/relationships"><Relationship Id="rId1" Target="../pivotTables/pivotTable10.xml" Type="http://schemas.openxmlformats.org/officeDocument/2006/relationships/pivotTable"></Relationship><Relationship Id="rId2" Target="../pivotTables/pivotTable11.xml" Type="http://schemas.openxmlformats.org/officeDocument/2006/relationships/pivotTable"></Relationship></Relationships>
</file>

<file path=xl/worksheets/_rels/sheet24.xml.rels><?xml version="1.0" encoding="UTF-8" standalone="yes"?>
<Relationships xmlns="http://schemas.openxmlformats.org/package/2006/relationships"><Relationship Id="rId1" Target="../pivotTables/pivotTable12.xml" Type="http://schemas.openxmlformats.org/officeDocument/2006/relationships/pivotTable"></Relationship><Relationship Id="rId2" Target="../pivotTables/pivotTable13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</cols>
  <sheetData>
    <row r="1">
      <c r="A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3" t="s">
        <v>9</v>
      </c>
      <c r="J1" s="4" t="s">
        <v>10</v>
      </c>
    </row>
    <row r="2">
      <c r="A2" s="5" t="s">
        <v>11</v>
      </c>
      <c r="B2" s="5" t="s">
        <v>12</v>
      </c>
      <c r="D2" s="6">
        <v>18</v>
      </c>
      <c r="E2" s="7">
        <v>69</v>
      </c>
      <c r="F2" s="6">
        <v>83</v>
      </c>
      <c r="G2" s="6">
        <v>199646.34</v>
      </c>
      <c r="H2" s="8">
        <v>75056.36</v>
      </c>
      <c r="I2" s="9">
        <f t="shared" ref="I2:I8" si="0">G2/H2</f>
      </c>
      <c r="J2" s="10">
        <f t="shared" ref="J2:J25" si="3">H2/D2</f>
      </c>
    </row>
    <row r="3">
      <c r="A3" s="5" t="s">
        <v>13</v>
      </c>
      <c r="B3" t="s">
        <v>12</v>
      </c>
      <c r="D3" s="6">
        <v>20</v>
      </c>
      <c r="E3" s="11">
        <v>81</v>
      </c>
      <c r="F3" s="6">
        <v>94</v>
      </c>
      <c r="G3" s="11">
        <v>224607.09000000003</v>
      </c>
      <c r="H3" s="11">
        <v>78809.37</v>
      </c>
      <c r="I3" s="9">
        <f t="shared" si="0"/>
      </c>
      <c r="J3" s="10">
        <f t="shared" si="3"/>
      </c>
    </row>
    <row r="4">
      <c r="A4" s="5" t="s">
        <v>14</v>
      </c>
      <c r="B4" s="5" t="s">
        <v>12</v>
      </c>
      <c r="D4" s="6">
        <v>20</v>
      </c>
      <c r="E4" s="6">
        <v>69</v>
      </c>
      <c r="F4" s="6">
        <v>84</v>
      </c>
      <c r="G4" s="6">
        <v>210860.94999999998</v>
      </c>
      <c r="H4" s="6">
        <v>73778.96</v>
      </c>
      <c r="I4" s="9">
        <f t="shared" si="0"/>
      </c>
      <c r="J4" s="10">
        <f t="shared" si="3"/>
      </c>
    </row>
    <row r="5">
      <c r="A5" s="5" t="s">
        <v>15</v>
      </c>
      <c r="B5" t="s">
        <v>12</v>
      </c>
      <c r="D5" s="11">
        <v>20</v>
      </c>
      <c r="E5" s="11">
        <v>99</v>
      </c>
      <c r="F5" s="11">
        <v>112</v>
      </c>
      <c r="G5" s="11">
        <v>283940.32000000007</v>
      </c>
      <c r="H5" s="11">
        <v>86902.51</v>
      </c>
      <c r="I5" s="9">
        <f t="shared" si="0"/>
      </c>
      <c r="J5" s="10">
        <f t="shared" si="3"/>
      </c>
    </row>
    <row r="6">
      <c r="A6" s="5" t="s">
        <v>16</v>
      </c>
      <c r="B6" t="s">
        <v>12</v>
      </c>
      <c r="D6" s="11">
        <v>20</v>
      </c>
      <c r="E6" s="11">
        <v>74</v>
      </c>
      <c r="F6" s="11">
        <v>86</v>
      </c>
      <c r="G6" s="11">
        <v>199754.34999999998</v>
      </c>
      <c r="H6" s="11">
        <v>81858.85</v>
      </c>
      <c r="I6" s="9">
        <f t="shared" si="0"/>
      </c>
      <c r="J6" s="10">
        <f t="shared" si="3"/>
      </c>
    </row>
    <row r="7">
      <c r="A7" s="5" t="s">
        <v>17</v>
      </c>
      <c r="B7" t="s">
        <v>12</v>
      </c>
      <c r="D7" s="6">
        <v>20</v>
      </c>
      <c r="E7" s="11">
        <v>68</v>
      </c>
      <c r="F7" s="11">
        <v>83</v>
      </c>
      <c r="G7" s="11">
        <v>208100.09</v>
      </c>
      <c r="H7" s="11">
        <v>67927.03</v>
      </c>
      <c r="I7" s="9">
        <f t="shared" si="0"/>
      </c>
      <c r="J7" s="10">
        <f t="shared" si="3"/>
      </c>
    </row>
    <row r="8">
      <c r="A8" s="5" t="s">
        <v>18</v>
      </c>
      <c r="B8" t="s">
        <v>12</v>
      </c>
      <c r="C8" s="12"/>
      <c r="D8" s="13">
        <v>20</v>
      </c>
      <c r="E8" s="13">
        <v>57</v>
      </c>
      <c r="F8" s="13">
        <v>70</v>
      </c>
      <c r="G8" s="13">
        <v>173548.4</v>
      </c>
      <c r="H8" s="13">
        <v>68421.74</v>
      </c>
      <c r="I8" s="9">
        <f t="shared" si="0"/>
      </c>
      <c r="J8" s="10">
        <f t="shared" si="3"/>
      </c>
    </row>
    <row r="9">
      <c r="A9" s="5" t="s">
        <v>19</v>
      </c>
      <c r="B9" s="14" t="s">
        <v>12</v>
      </c>
      <c r="D9" s="6">
        <v>20</v>
      </c>
      <c r="E9" s="11">
        <v>73</v>
      </c>
      <c r="F9" s="11">
        <v>84</v>
      </c>
      <c r="G9" s="11">
        <v>204383.6</v>
      </c>
      <c r="H9" s="11">
        <v>71810.99</v>
      </c>
      <c r="I9" s="9">
        <v>2.846132604494103</v>
      </c>
      <c r="J9" s="10">
        <f t="shared" si="3"/>
      </c>
    </row>
    <row r="10">
      <c r="A10" s="5" t="s">
        <v>20</v>
      </c>
      <c r="B10" t="s">
        <v>12</v>
      </c>
      <c r="D10" s="6">
        <v>20</v>
      </c>
      <c r="E10" s="11">
        <v>98</v>
      </c>
      <c r="F10" s="11">
        <v>118</v>
      </c>
      <c r="G10" s="11">
        <v>281696.83</v>
      </c>
      <c r="H10" s="11">
        <v>81705.21</v>
      </c>
      <c r="I10" s="9">
        <f t="shared" ref="I10:I25" si="1">G10/H10</f>
      </c>
      <c r="J10" s="10">
        <f t="shared" si="3"/>
      </c>
    </row>
    <row r="11">
      <c r="A11" s="5" t="s">
        <v>21</v>
      </c>
      <c r="B11" t="s">
        <v>12</v>
      </c>
      <c r="D11" s="11">
        <v>20</v>
      </c>
      <c r="E11" s="11">
        <v>61</v>
      </c>
      <c r="F11" s="11">
        <v>73</v>
      </c>
      <c r="G11" s="11">
        <v>184329.25999999998</v>
      </c>
      <c r="H11" s="11">
        <v>66677.17</v>
      </c>
      <c r="I11" s="9">
        <f t="shared" si="1"/>
      </c>
      <c r="J11" s="10">
        <f t="shared" si="3"/>
      </c>
    </row>
    <row r="12">
      <c r="A12" s="5" t="s">
        <v>22</v>
      </c>
      <c r="B12" t="s">
        <v>12</v>
      </c>
      <c r="D12" s="15">
        <v>20</v>
      </c>
      <c r="E12" s="11">
        <v>98</v>
      </c>
      <c r="F12" s="11">
        <v>107</v>
      </c>
      <c r="G12" s="11">
        <v>266233.17000000004</v>
      </c>
      <c r="H12" s="11">
        <v>85032.51</v>
      </c>
      <c r="I12" s="9">
        <f t="shared" si="1"/>
      </c>
      <c r="J12" s="10">
        <f t="shared" si="3"/>
      </c>
    </row>
    <row r="13">
      <c r="A13" s="16" t="s">
        <v>23</v>
      </c>
      <c r="B13" s="17" t="s">
        <v>12</v>
      </c>
      <c r="C13" s="17"/>
      <c r="D13" s="18"/>
      <c r="E13" s="18"/>
      <c r="F13" s="18"/>
      <c r="G13" s="18"/>
      <c r="H13" s="18"/>
      <c r="I13" s="19">
        <f t="shared" si="1"/>
      </c>
      <c r="J13" s="20">
        <f t="shared" si="3"/>
      </c>
    </row>
    <row r="14">
      <c r="A14" s="5" t="s">
        <v>24</v>
      </c>
      <c r="B14" t="s">
        <v>12</v>
      </c>
      <c r="D14" s="6"/>
      <c r="E14" s="6"/>
      <c r="F14" s="6"/>
      <c r="G14" s="11"/>
      <c r="H14" s="11"/>
      <c r="I14" s="9">
        <f t="shared" si="1"/>
      </c>
      <c r="J14" s="10">
        <f t="shared" si="3"/>
      </c>
    </row>
    <row r="15">
      <c r="A15" s="5" t="s">
        <v>25</v>
      </c>
      <c r="B15" t="s">
        <v>12</v>
      </c>
      <c r="D15" s="11"/>
      <c r="E15" s="11"/>
      <c r="F15" s="11"/>
      <c r="G15" s="11"/>
      <c r="H15" s="11"/>
      <c r="I15" s="9">
        <f t="shared" si="1"/>
      </c>
      <c r="J15" s="10">
        <f t="shared" si="3"/>
      </c>
    </row>
    <row r="16">
      <c r="A16" s="5" t="s">
        <v>26</v>
      </c>
      <c r="B16" s="5" t="s">
        <v>12</v>
      </c>
      <c r="D16" s="6"/>
      <c r="E16" s="6"/>
      <c r="F16" s="11"/>
      <c r="G16" s="11"/>
      <c r="H16" s="11"/>
      <c r="I16" s="9">
        <f t="shared" si="1"/>
      </c>
      <c r="J16" s="10">
        <f t="shared" si="3"/>
      </c>
    </row>
    <row r="17">
      <c r="A17" s="5" t="s">
        <v>27</v>
      </c>
      <c r="B17" s="5" t="s">
        <v>12</v>
      </c>
      <c r="D17" s="6"/>
      <c r="E17" s="11"/>
      <c r="F17" s="11"/>
      <c r="G17" s="11"/>
      <c r="H17" s="11"/>
      <c r="I17" s="9">
        <f t="shared" si="1"/>
      </c>
      <c r="J17" s="10">
        <f t="shared" si="3"/>
      </c>
    </row>
    <row r="18">
      <c r="A18" s="5" t="s">
        <v>28</v>
      </c>
      <c r="B18" s="5" t="s">
        <v>12</v>
      </c>
      <c r="D18" s="6"/>
      <c r="E18" s="11"/>
      <c r="F18" s="11"/>
      <c r="G18" s="11"/>
      <c r="H18" s="11"/>
      <c r="I18" s="9">
        <f t="shared" si="1"/>
      </c>
      <c r="J18" s="10">
        <f t="shared" si="3"/>
      </c>
    </row>
    <row r="19">
      <c r="A19" s="5" t="s">
        <v>29</v>
      </c>
      <c r="B19" s="5" t="s">
        <v>12</v>
      </c>
      <c r="D19" s="6"/>
      <c r="E19" s="11"/>
      <c r="F19" s="11"/>
      <c r="G19" s="11"/>
      <c r="H19" s="11"/>
      <c r="I19" s="9">
        <f t="shared" si="1"/>
      </c>
      <c r="J19" s="10">
        <f t="shared" si="3"/>
      </c>
    </row>
    <row r="20">
      <c r="A20" s="5" t="s">
        <v>30</v>
      </c>
      <c r="B20" s="5" t="s">
        <v>12</v>
      </c>
      <c r="D20" s="6"/>
      <c r="E20" s="6"/>
      <c r="F20" s="6"/>
      <c r="G20" s="11"/>
      <c r="H20" s="11"/>
      <c r="I20" s="9">
        <f t="shared" si="1"/>
      </c>
      <c r="J20" s="10">
        <f t="shared" si="3"/>
      </c>
    </row>
    <row r="21">
      <c r="A21" s="5" t="s">
        <v>31</v>
      </c>
      <c r="B21" s="5" t="s">
        <v>12</v>
      </c>
      <c r="D21" s="6"/>
      <c r="E21" s="11"/>
      <c r="F21" s="11"/>
      <c r="G21" s="11"/>
      <c r="H21" s="11"/>
      <c r="I21" s="9">
        <f t="shared" si="1"/>
      </c>
      <c r="J21" s="10">
        <f t="shared" si="3"/>
      </c>
    </row>
    <row r="22">
      <c r="A22" s="5" t="s">
        <v>32</v>
      </c>
      <c r="B22" s="5" t="s">
        <v>12</v>
      </c>
      <c r="D22" s="6"/>
      <c r="E22" s="11"/>
      <c r="F22" s="11"/>
      <c r="G22" s="11"/>
      <c r="H22" s="11"/>
      <c r="I22" s="9">
        <f t="shared" si="1"/>
      </c>
      <c r="J22" s="10">
        <f t="shared" si="3"/>
      </c>
    </row>
    <row r="23">
      <c r="A23" s="5" t="s">
        <v>33</v>
      </c>
      <c r="B23" s="5" t="s">
        <v>12</v>
      </c>
      <c r="D23" s="6"/>
      <c r="E23" s="11"/>
      <c r="F23" s="11"/>
      <c r="G23" s="11"/>
      <c r="H23" s="11"/>
      <c r="I23" s="9">
        <f t="shared" si="1"/>
      </c>
      <c r="J23" s="10">
        <f t="shared" si="3"/>
      </c>
    </row>
    <row r="24">
      <c r="A24" s="5" t="s">
        <v>34</v>
      </c>
      <c r="B24" s="5" t="s">
        <v>12</v>
      </c>
      <c r="D24" s="6"/>
      <c r="E24" s="11"/>
      <c r="F24" s="11"/>
      <c r="G24" s="11"/>
      <c r="H24" s="11"/>
      <c r="I24" s="9">
        <f t="shared" si="1"/>
      </c>
      <c r="J24" s="10">
        <f t="shared" si="3"/>
      </c>
    </row>
    <row r="25">
      <c r="A25" s="5" t="s">
        <v>35</v>
      </c>
      <c r="B25" s="5" t="s">
        <v>12</v>
      </c>
      <c r="D25" s="6"/>
      <c r="E25" s="11"/>
      <c r="F25" s="11"/>
      <c r="G25" s="11"/>
      <c r="H25" s="11"/>
      <c r="I25" s="9">
        <f t="shared" si="1"/>
      </c>
      <c r="J25" s="10">
        <f t="shared" si="3"/>
      </c>
    </row>
    <row r="26">
      <c r="A26" s="5"/>
      <c r="B26" s="5"/>
      <c r="D26" s="6"/>
      <c r="E26" s="11"/>
      <c r="F26" s="11"/>
      <c r="G26" s="11"/>
      <c r="H26" s="11"/>
      <c r="I26" s="9"/>
      <c r="J26" s="10"/>
    </row>
    <row r="27">
      <c r="A27" s="5"/>
      <c r="B27" s="5"/>
      <c r="D27" s="6"/>
      <c r="E27" s="11"/>
      <c r="F27" s="11"/>
      <c r="G27" s="11"/>
      <c r="H27" s="11"/>
      <c r="I27" s="9"/>
      <c r="J27" s="10"/>
    </row>
    <row r="28">
      <c r="A28" s="5"/>
      <c r="B28" s="5"/>
      <c r="D28" s="11"/>
      <c r="E28" s="11"/>
      <c r="F28" s="11"/>
      <c r="G28" s="11"/>
      <c r="H28" s="11"/>
      <c r="I28" s="9"/>
      <c r="J28" s="10"/>
    </row>
    <row r="29">
      <c r="A29" s="5"/>
      <c r="B29" s="5"/>
      <c r="D29" s="11"/>
      <c r="E29" s="6"/>
      <c r="F29" s="11"/>
      <c r="G29" s="11"/>
      <c r="H29" s="11"/>
      <c r="I29" s="11"/>
      <c r="J29" s="10"/>
    </row>
    <row r="30">
      <c r="A30" s="5"/>
      <c r="B30" s="5"/>
      <c r="D30" s="11"/>
      <c r="E30" s="11"/>
      <c r="F30" s="6"/>
      <c r="G30" s="11"/>
      <c r="H30" s="11"/>
      <c r="I30" s="9"/>
      <c r="J30" s="10"/>
    </row>
    <row r="31">
      <c r="A31" s="5"/>
      <c r="B31" s="5"/>
      <c r="D31" s="11"/>
      <c r="E31" s="11"/>
      <c r="F31" s="6"/>
      <c r="G31" s="11"/>
      <c r="H31" s="11"/>
      <c r="I31" s="9"/>
      <c r="J31" s="10"/>
    </row>
    <row r="32">
      <c r="A32" s="5"/>
      <c r="B32" s="5"/>
      <c r="D32" s="11"/>
      <c r="E32" s="11"/>
      <c r="F32" s="6"/>
      <c r="G32" s="11"/>
      <c r="H32" s="11"/>
      <c r="I32" s="9"/>
      <c r="J32" s="10"/>
    </row>
    <row r="33">
      <c r="A33" s="5"/>
      <c r="B33" s="5"/>
      <c r="D33" s="11"/>
      <c r="E33" s="11"/>
      <c r="F33" s="6"/>
      <c r="G33" s="11"/>
      <c r="H33" s="11"/>
      <c r="I33" s="9"/>
      <c r="J33" s="10"/>
    </row>
    <row r="34">
      <c r="D34" s="5">
        <f>SUM(D3:D9)</f>
      </c>
      <c r="F34" s="5" t="s">
        <v>36</v>
      </c>
      <c r="G34" s="5">
        <f>SUM(G3:G9)</f>
      </c>
      <c r="H34" s="5">
        <f>SUM(H3:H9)</f>
      </c>
      <c r="I34" s="21">
        <f t="shared" ref="I34:I36" si="2">G34/H34</f>
      </c>
      <c r="J34" s="22">
        <f t="shared" ref="J34:J36" si="4">G34/(H34+D34*500)</f>
      </c>
      <c r="K34" s="23"/>
    </row>
    <row r="35">
      <c r="D35">
        <f>SUM(D2:D12)</f>
      </c>
      <c r="F35" s="5" t="s">
        <v>37</v>
      </c>
      <c r="G35">
        <f>SUM(G2:G12)</f>
      </c>
      <c r="H35">
        <f>SUM(H2:H12)</f>
      </c>
      <c r="I35" s="21">
        <f t="shared" si="2"/>
      </c>
      <c r="J35" s="22">
        <f t="shared" si="4"/>
      </c>
    </row>
    <row r="36">
      <c r="D36">
        <f>SUM(D2:D33)</f>
      </c>
      <c r="F36" s="5" t="s">
        <v>38</v>
      </c>
      <c r="G36">
        <f>SUM(G2:G33)</f>
      </c>
      <c r="H36">
        <f>SUM(H2:H33)</f>
      </c>
      <c r="I36" s="21">
        <f t="shared" si="2"/>
      </c>
      <c r="J36" s="22">
        <f t="shared" si="4"/>
      </c>
    </row>
    <row r="37">
      <c r="F37" s="5"/>
      <c r="I37" s="21"/>
      <c r="J37" s="22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27" min="27" style="0" width="11.211267605633802"/>
  </cols>
  <sheetData>
    <row r="1">
      <c r="A1" s="24" t="s">
        <v>39</v>
      </c>
      <c r="B1" s="25" t="s">
        <v>40</v>
      </c>
      <c r="C1" s="25" t="s">
        <v>41</v>
      </c>
      <c r="D1" s="25" t="s">
        <v>42</v>
      </c>
      <c r="E1" s="24" t="s">
        <v>43</v>
      </c>
      <c r="F1" s="25" t="s">
        <v>44</v>
      </c>
      <c r="G1" s="25" t="s">
        <v>45</v>
      </c>
      <c r="H1" s="25" t="s">
        <v>46</v>
      </c>
      <c r="I1" s="26" t="s">
        <v>47</v>
      </c>
      <c r="J1" s="26" t="s">
        <v>48</v>
      </c>
      <c r="K1" s="26" t="s">
        <v>49</v>
      </c>
      <c r="L1" s="27" t="s">
        <v>50</v>
      </c>
      <c r="M1" s="25" t="s">
        <v>51</v>
      </c>
      <c r="N1" s="28" t="s">
        <v>52</v>
      </c>
      <c r="O1" s="29" t="s">
        <v>53</v>
      </c>
      <c r="P1" s="25" t="s">
        <v>54</v>
      </c>
      <c r="Q1" s="25" t="s">
        <v>55</v>
      </c>
      <c r="R1" s="25"/>
      <c r="S1" s="25" t="s">
        <v>56</v>
      </c>
      <c r="T1" s="30" t="s">
        <v>57</v>
      </c>
      <c r="U1" s="30" t="s">
        <v>58</v>
      </c>
      <c r="V1" s="30" t="s">
        <v>59</v>
      </c>
      <c r="W1" s="30" t="s">
        <v>60</v>
      </c>
      <c r="X1" s="31" t="s">
        <v>61</v>
      </c>
      <c r="Y1" s="30" t="s">
        <v>62</v>
      </c>
      <c r="Z1" s="31" t="s">
        <v>63</v>
      </c>
      <c r="AA1" s="32" t="s">
        <v>64</v>
      </c>
      <c r="AB1" s="33" t="s">
        <v>65</v>
      </c>
      <c r="AC1" s="31" t="s">
        <v>66</v>
      </c>
      <c r="AD1" s="31" t="s">
        <v>67</v>
      </c>
      <c r="AE1" s="31" t="s">
        <v>68</v>
      </c>
      <c r="AF1" s="31" t="s">
        <v>69</v>
      </c>
      <c r="AG1" s="31" t="s">
        <v>70</v>
      </c>
      <c r="AH1" s="31" t="s">
        <v>71</v>
      </c>
      <c r="AI1" s="31" t="s">
        <v>72</v>
      </c>
    </row>
    <row hidden="true" r="2">
      <c r="A2" s="34">
        <v>46296</v>
      </c>
      <c r="B2" s="35" t="s">
        <v>73</v>
      </c>
      <c r="C2" s="36" t="s">
        <v>74</v>
      </c>
      <c r="D2" s="37">
        <v>4</v>
      </c>
      <c r="E2" s="35">
        <v>10</v>
      </c>
      <c r="F2" s="35">
        <v>13</v>
      </c>
      <c r="G2" s="38">
        <v>28016.119999999995</v>
      </c>
      <c r="H2" s="39">
        <v>6412.49</v>
      </c>
      <c r="I2" s="40">
        <f t="shared" ref="I2:I134" si="156">G2/H2</f>
      </c>
      <c r="J2" s="41">
        <f t="shared" ref="J2:J134" si="136">G2/F2</f>
      </c>
      <c r="K2" s="41">
        <f t="shared" ref="K2:K134" si="20">H2/F2</f>
      </c>
      <c r="L2" s="42">
        <f t="shared" ref="L2:L134" si="0">H2/D2</f>
      </c>
      <c r="M2" s="43" t="s">
        <v>75</v>
      </c>
      <c r="N2" s="44">
        <v>4</v>
      </c>
      <c r="O2" s="44"/>
      <c r="P2" s="45"/>
      <c r="Q2" s="46"/>
      <c r="R2" s="47"/>
      <c r="S2" s="38">
        <f t="shared" ref="S2:S7" si="40">H2/AC2</f>
      </c>
      <c r="T2" s="48">
        <f t="shared" ref="T2:T7" si="21">X2/AB2*1</f>
      </c>
      <c r="U2" s="49">
        <f t="shared" ref="U2:U7" si="98">AC2/AB2</f>
      </c>
      <c r="V2" s="49">
        <f t="shared" ref="V2:V7" si="60">AD2/AB2</f>
      </c>
      <c r="W2" s="49">
        <f t="shared" ref="W2:W7" si="117">AF2/AD2</f>
      </c>
      <c r="X2" s="50">
        <f t="shared" ref="X2:X7" si="79">AE2/Y2</f>
      </c>
      <c r="Y2" s="49">
        <f t="shared" ref="Y2:Y7" si="1">AE2/AD2</f>
      </c>
      <c r="Z2" s="51">
        <v>56</v>
      </c>
      <c r="AA2" s="52">
        <f t="shared" ref="AA2:AA7" si="137">(H2/AB2)*1000</f>
      </c>
      <c r="AB2" s="50">
        <v>81065</v>
      </c>
      <c r="AC2" s="50">
        <v>2648</v>
      </c>
      <c r="AD2" s="50">
        <v>3016</v>
      </c>
      <c r="AE2" s="50">
        <v>209</v>
      </c>
      <c r="AF2" s="51">
        <v>130</v>
      </c>
      <c r="AG2" s="51">
        <v>14</v>
      </c>
      <c r="AH2" s="50">
        <v>5</v>
      </c>
      <c r="AI2" s="50">
        <v>35</v>
      </c>
    </row>
    <row hidden="true" r="3">
      <c r="A3" s="34">
        <v>46296</v>
      </c>
      <c r="B3" s="35" t="s">
        <v>76</v>
      </c>
      <c r="C3" s="36" t="s">
        <v>77</v>
      </c>
      <c r="D3" s="37">
        <v>4</v>
      </c>
      <c r="E3" s="35">
        <v>12</v>
      </c>
      <c r="F3" s="35">
        <v>13</v>
      </c>
      <c r="G3" s="38">
        <v>29530.53</v>
      </c>
      <c r="H3" s="53">
        <v>15180.24</v>
      </c>
      <c r="I3" s="40">
        <f t="shared" si="156"/>
      </c>
      <c r="J3" s="41">
        <f t="shared" si="136"/>
      </c>
      <c r="K3" s="41">
        <f t="shared" si="20"/>
      </c>
      <c r="L3" s="42">
        <f t="shared" si="0"/>
      </c>
      <c r="M3" s="54"/>
      <c r="N3" s="44"/>
      <c r="O3" s="44"/>
      <c r="P3" s="45"/>
      <c r="Q3" s="46"/>
      <c r="R3" s="47"/>
      <c r="S3" s="38">
        <f t="shared" si="40"/>
      </c>
      <c r="T3" s="48">
        <f t="shared" si="21"/>
      </c>
      <c r="U3" s="49">
        <f t="shared" si="98"/>
      </c>
      <c r="V3" s="49">
        <f t="shared" si="60"/>
      </c>
      <c r="W3" s="49">
        <f t="shared" si="117"/>
      </c>
      <c r="X3" s="50">
        <f t="shared" si="79"/>
      </c>
      <c r="Y3" s="49">
        <f t="shared" si="1"/>
      </c>
      <c r="Z3" s="51">
        <v>34</v>
      </c>
      <c r="AA3" s="52">
        <f t="shared" si="137"/>
      </c>
      <c r="AB3" s="51">
        <v>115072</v>
      </c>
      <c r="AC3" s="50">
        <v>4622</v>
      </c>
      <c r="AD3" s="50">
        <v>4985</v>
      </c>
      <c r="AE3" s="50">
        <v>433</v>
      </c>
      <c r="AF3" s="51">
        <v>215</v>
      </c>
      <c r="AG3" s="51">
        <v>16</v>
      </c>
      <c r="AH3" s="50">
        <v>10</v>
      </c>
      <c r="AI3" s="50">
        <v>50</v>
      </c>
    </row>
    <row hidden="true" r="4">
      <c r="A4" s="34">
        <v>46296</v>
      </c>
      <c r="B4" s="35" t="s">
        <v>78</v>
      </c>
      <c r="C4" s="36" t="s">
        <v>79</v>
      </c>
      <c r="D4" s="37">
        <v>4</v>
      </c>
      <c r="E4" s="35">
        <v>12</v>
      </c>
      <c r="F4" s="35">
        <v>15</v>
      </c>
      <c r="G4" s="55">
        <v>35886.13</v>
      </c>
      <c r="H4" s="39">
        <v>11859.19</v>
      </c>
      <c r="I4" s="40">
        <f t="shared" si="156"/>
      </c>
      <c r="J4" s="41">
        <f t="shared" si="136"/>
      </c>
      <c r="K4" s="41">
        <f t="shared" si="20"/>
      </c>
      <c r="L4" s="42">
        <f t="shared" si="0"/>
      </c>
      <c r="M4" s="43" t="s">
        <v>80</v>
      </c>
      <c r="N4" s="44">
        <v>10</v>
      </c>
      <c r="O4" s="44"/>
      <c r="P4" s="45"/>
      <c r="Q4" s="46"/>
      <c r="R4" s="47"/>
      <c r="S4" s="38">
        <f t="shared" si="40"/>
      </c>
      <c r="T4" s="48">
        <f t="shared" si="21"/>
      </c>
      <c r="U4" s="49">
        <f t="shared" si="98"/>
      </c>
      <c r="V4" s="49">
        <f t="shared" si="60"/>
      </c>
      <c r="W4" s="49">
        <f t="shared" si="117"/>
      </c>
      <c r="X4" s="50">
        <f t="shared" si="79"/>
      </c>
      <c r="Y4" s="49">
        <f t="shared" si="1"/>
      </c>
      <c r="Z4" s="51">
        <v>38</v>
      </c>
      <c r="AA4" s="52">
        <f t="shared" si="137"/>
      </c>
      <c r="AB4" s="50">
        <v>65109</v>
      </c>
      <c r="AC4" s="50">
        <v>2230</v>
      </c>
      <c r="AD4" s="50">
        <v>2429</v>
      </c>
      <c r="AE4" s="50">
        <v>203</v>
      </c>
      <c r="AF4" s="51">
        <v>188</v>
      </c>
      <c r="AG4" s="51">
        <v>13</v>
      </c>
      <c r="AH4" s="50">
        <v>6</v>
      </c>
      <c r="AI4" s="50">
        <v>16</v>
      </c>
    </row>
    <row hidden="true" r="5">
      <c r="A5" s="34">
        <v>46296</v>
      </c>
      <c r="B5" s="35" t="s">
        <v>81</v>
      </c>
      <c r="C5" s="36" t="s">
        <v>82</v>
      </c>
      <c r="D5" s="37">
        <v>4</v>
      </c>
      <c r="E5" s="35">
        <v>15</v>
      </c>
      <c r="F5" s="43">
        <v>16</v>
      </c>
      <c r="G5" s="55">
        <v>40969.78</v>
      </c>
      <c r="H5" s="53">
        <v>14716.8</v>
      </c>
      <c r="I5" s="40">
        <f t="shared" si="156"/>
      </c>
      <c r="J5" s="41">
        <f t="shared" si="136"/>
      </c>
      <c r="K5" s="41">
        <f t="shared" si="20"/>
      </c>
      <c r="L5" s="42">
        <f t="shared" si="0"/>
      </c>
      <c r="M5" s="43"/>
      <c r="N5" s="56"/>
      <c r="O5" s="56"/>
      <c r="P5" s="45"/>
      <c r="Q5" s="46"/>
      <c r="R5" s="47"/>
      <c r="S5" s="38">
        <f t="shared" si="40"/>
      </c>
      <c r="T5" s="48">
        <f t="shared" si="21"/>
      </c>
      <c r="U5" s="49">
        <f t="shared" si="98"/>
      </c>
      <c r="V5" s="49">
        <f t="shared" si="60"/>
      </c>
      <c r="W5" s="49">
        <f t="shared" si="117"/>
      </c>
      <c r="X5" s="50">
        <f t="shared" si="79"/>
      </c>
      <c r="Y5" s="49">
        <f t="shared" si="1"/>
      </c>
      <c r="Z5" s="51">
        <v>41</v>
      </c>
      <c r="AA5" s="52">
        <f t="shared" si="137"/>
      </c>
      <c r="AB5" s="51">
        <v>76462</v>
      </c>
      <c r="AC5" s="50">
        <v>2638</v>
      </c>
      <c r="AD5" s="50">
        <v>2894</v>
      </c>
      <c r="AE5" s="50">
        <v>249</v>
      </c>
      <c r="AF5" s="51">
        <v>252</v>
      </c>
      <c r="AG5" s="50">
        <v>14</v>
      </c>
      <c r="AH5" s="50">
        <v>1</v>
      </c>
      <c r="AI5" s="50">
        <v>28</v>
      </c>
    </row>
    <row customHeight="true" hidden="true" ht="16.071428571428573" r="6">
      <c r="A6" s="34">
        <v>46296</v>
      </c>
      <c r="B6" s="35" t="s">
        <v>83</v>
      </c>
      <c r="C6" s="36" t="s">
        <v>84</v>
      </c>
      <c r="D6" s="37">
        <v>4</v>
      </c>
      <c r="E6" s="43">
        <v>12</v>
      </c>
      <c r="F6" s="43">
        <v>13</v>
      </c>
      <c r="G6" s="55">
        <v>33159.58</v>
      </c>
      <c r="H6" s="57">
        <v>13649.33</v>
      </c>
      <c r="I6" s="40">
        <f t="shared" si="156"/>
      </c>
      <c r="J6" s="41">
        <f t="shared" si="136"/>
      </c>
      <c r="K6" s="41">
        <f t="shared" si="20"/>
      </c>
      <c r="L6" s="42">
        <f t="shared" si="0"/>
      </c>
      <c r="M6" s="43"/>
      <c r="N6" s="56"/>
      <c r="O6" s="56"/>
      <c r="P6" s="45"/>
      <c r="Q6" s="46"/>
      <c r="R6" s="47"/>
      <c r="S6" s="38">
        <f t="shared" si="40"/>
      </c>
      <c r="T6" s="48">
        <f t="shared" si="21"/>
      </c>
      <c r="U6" s="49">
        <f t="shared" si="98"/>
      </c>
      <c r="V6" s="49">
        <f t="shared" si="60"/>
      </c>
      <c r="W6" s="49">
        <f t="shared" si="117"/>
      </c>
      <c r="X6" s="50">
        <f t="shared" si="79"/>
      </c>
      <c r="Y6" s="49">
        <f t="shared" si="1"/>
      </c>
      <c r="Z6" s="51">
        <v>28</v>
      </c>
      <c r="AA6" s="52">
        <f t="shared" si="137"/>
      </c>
      <c r="AB6" s="50">
        <v>85540</v>
      </c>
      <c r="AC6" s="50">
        <v>2507</v>
      </c>
      <c r="AD6" s="50">
        <v>2765</v>
      </c>
      <c r="AE6" s="50">
        <v>224</v>
      </c>
      <c r="AF6" s="51">
        <v>230</v>
      </c>
      <c r="AG6" s="51">
        <v>18</v>
      </c>
      <c r="AH6" s="51">
        <v>1</v>
      </c>
      <c r="AI6" s="51">
        <v>17</v>
      </c>
    </row>
    <row hidden="true" r="7">
      <c r="A7" s="34">
        <v>46296</v>
      </c>
      <c r="B7" s="35" t="s">
        <v>73</v>
      </c>
      <c r="C7" s="36" t="s">
        <v>85</v>
      </c>
      <c r="D7" s="37">
        <v>2</v>
      </c>
      <c r="E7" s="43">
        <v>8</v>
      </c>
      <c r="F7" s="43">
        <v>8</v>
      </c>
      <c r="G7" s="55">
        <v>20923.930000000008</v>
      </c>
      <c r="H7" s="57">
        <v>10024.6</v>
      </c>
      <c r="I7" s="40">
        <f t="shared" si="156"/>
      </c>
      <c r="J7" s="41">
        <f t="shared" si="136"/>
      </c>
      <c r="K7" s="41">
        <f t="shared" si="20"/>
      </c>
      <c r="L7" s="42">
        <f t="shared" si="0"/>
      </c>
      <c r="M7" s="43" t="s">
        <v>86</v>
      </c>
      <c r="N7" s="56">
        <v>8</v>
      </c>
      <c r="O7" s="56"/>
      <c r="P7" s="45"/>
      <c r="Q7" s="46"/>
      <c r="R7" s="47"/>
      <c r="S7" s="38">
        <f t="shared" si="40"/>
      </c>
      <c r="T7" s="48">
        <f t="shared" si="21"/>
      </c>
      <c r="U7" s="49">
        <f t="shared" si="98"/>
      </c>
      <c r="V7" s="49">
        <f t="shared" si="60"/>
      </c>
      <c r="W7" s="49">
        <f t="shared" si="117"/>
      </c>
      <c r="X7" s="50">
        <f t="shared" si="79"/>
      </c>
      <c r="Y7" s="49">
        <f t="shared" si="1"/>
      </c>
      <c r="Z7" s="51">
        <v>37</v>
      </c>
      <c r="AA7" s="52">
        <f t="shared" si="137"/>
      </c>
      <c r="AB7" s="50">
        <v>64893</v>
      </c>
      <c r="AC7" s="50">
        <v>1842</v>
      </c>
      <c r="AD7" s="50">
        <v>2116</v>
      </c>
      <c r="AE7" s="50">
        <v>173</v>
      </c>
      <c r="AF7" s="51">
        <v>243</v>
      </c>
      <c r="AG7" s="51">
        <v>18</v>
      </c>
      <c r="AH7" s="51">
        <v>7</v>
      </c>
      <c r="AI7" s="51">
        <v>14</v>
      </c>
    </row>
    <row hidden="true" r="8">
      <c r="A8" s="58">
        <v>46296</v>
      </c>
      <c r="B8" s="59" t="s">
        <v>87</v>
      </c>
      <c r="C8" s="60"/>
      <c r="D8" s="60">
        <f>SUM(D2:D7)</f>
      </c>
      <c r="E8" s="60">
        <f>SUM(E2:E7)</f>
      </c>
      <c r="F8" s="60">
        <f>SUM(F2:F7)</f>
      </c>
      <c r="G8" s="60">
        <f>SUM(G2:G7)</f>
      </c>
      <c r="H8" s="60">
        <f>SUM(H2:H7)</f>
      </c>
      <c r="I8" s="61">
        <f t="shared" si="156"/>
      </c>
      <c r="J8" s="61">
        <f t="shared" si="136"/>
      </c>
      <c r="K8" s="61">
        <f t="shared" si="20"/>
      </c>
      <c r="L8" s="61">
        <f t="shared" si="0"/>
      </c>
      <c r="M8" s="60"/>
      <c r="N8" s="62">
        <f>SUM(N2:N7)</f>
      </c>
      <c r="O8" s="62"/>
      <c r="P8" s="60"/>
      <c r="Q8" s="60"/>
      <c r="R8" s="60"/>
      <c r="S8" s="63">
        <f>AVERAGE(S2:S7)</f>
      </c>
      <c r="T8" s="64">
        <f>AVERAGE(T2:T7)</f>
      </c>
      <c r="U8" s="64">
        <f>AVERAGE(U2:U7)</f>
      </c>
      <c r="V8" s="64">
        <f>AVERAGE(V2:V7)</f>
      </c>
      <c r="W8" s="64">
        <f>AVERAGE(W2:W7)</f>
      </c>
      <c r="X8" s="65">
        <f>SUM(X2:X7)</f>
      </c>
      <c r="Y8" s="64">
        <f>AVERAGE(Y2:Y7)</f>
      </c>
      <c r="Z8" s="65"/>
      <c r="AA8" s="66">
        <f>AVERAGE(AA2:AA7)</f>
      </c>
      <c r="AB8" s="65">
        <f>SUM(AB2:AB7)</f>
      </c>
      <c r="AC8" s="65">
        <f>SUM(AC2:AC7)</f>
      </c>
      <c r="AD8" s="65">
        <f>SUM(AD2:AD7)</f>
      </c>
      <c r="AE8" s="65">
        <f>SUM(AE2:AE7)</f>
      </c>
      <c r="AF8" s="65">
        <f>SUM(AF2:AF7)</f>
      </c>
      <c r="AG8" s="65">
        <f>SUM(AG2:AG7)</f>
      </c>
      <c r="AH8" s="65">
        <f>SUM(AH2:AH7)</f>
      </c>
      <c r="AI8" s="65">
        <f>SUM(AI2:AI7)</f>
      </c>
    </row>
    <row hidden="true" r="9">
      <c r="A9" s="34">
        <v>46297</v>
      </c>
      <c r="B9" s="35" t="s">
        <v>73</v>
      </c>
      <c r="C9" s="36" t="s">
        <v>88</v>
      </c>
      <c r="D9" s="37">
        <v>2</v>
      </c>
      <c r="E9" s="35">
        <v>4</v>
      </c>
      <c r="F9" s="35">
        <v>6</v>
      </c>
      <c r="G9" s="38">
        <v>16010.29</v>
      </c>
      <c r="H9" s="39">
        <v>3960.66</v>
      </c>
      <c r="I9" s="40">
        <f t="shared" si="156"/>
      </c>
      <c r="J9" s="41">
        <f t="shared" si="136"/>
      </c>
      <c r="K9" s="41">
        <f t="shared" si="20"/>
      </c>
      <c r="L9" s="42">
        <f t="shared" si="0"/>
      </c>
      <c r="M9" s="43" t="s">
        <v>75</v>
      </c>
      <c r="N9" s="44">
        <v>2</v>
      </c>
      <c r="O9" s="44"/>
      <c r="P9" s="45"/>
      <c r="Q9" s="46"/>
      <c r="R9" s="47"/>
      <c r="S9" s="38">
        <f t="shared" ref="S9:S14" si="41">H9/AC9</f>
      </c>
      <c r="T9" s="48">
        <f t="shared" ref="T9:T14" si="22">X9/AB9*1</f>
      </c>
      <c r="U9" s="49">
        <f t="shared" ref="U9:U14" si="99">AC9/AB9</f>
      </c>
      <c r="V9" s="49">
        <f t="shared" ref="V9:V14" si="61">AD9/AB9</f>
      </c>
      <c r="W9" s="49">
        <f t="shared" ref="W9:W14" si="118">AF9/AD9</f>
      </c>
      <c r="X9" s="50">
        <f t="shared" ref="X9:X14" si="80">AE9/Y9</f>
      </c>
      <c r="Y9" s="49">
        <f t="shared" ref="Y9:Y14" si="2">AE9/AD9</f>
      </c>
      <c r="Z9" s="51">
        <v>42</v>
      </c>
      <c r="AA9" s="52">
        <f t="shared" ref="AA9:AA14" si="138">(H9/AB9)*1000</f>
      </c>
      <c r="AB9" s="50">
        <v>47890</v>
      </c>
      <c r="AC9" s="50">
        <v>1187</v>
      </c>
      <c r="AD9" s="50">
        <v>1370</v>
      </c>
      <c r="AE9" s="50">
        <v>125</v>
      </c>
      <c r="AF9" s="51">
        <v>69</v>
      </c>
      <c r="AG9" s="51">
        <v>7</v>
      </c>
      <c r="AH9" s="50">
        <v>0</v>
      </c>
      <c r="AI9" s="50">
        <v>43</v>
      </c>
    </row>
    <row hidden="true" r="10">
      <c r="A10" s="34">
        <v>46297</v>
      </c>
      <c r="B10" s="35" t="s">
        <v>78</v>
      </c>
      <c r="C10" s="36" t="s">
        <v>77</v>
      </c>
      <c r="D10" s="37">
        <v>4</v>
      </c>
      <c r="E10" s="35">
        <v>17</v>
      </c>
      <c r="F10" s="35">
        <v>19</v>
      </c>
      <c r="G10" s="38">
        <v>47302.36000000001</v>
      </c>
      <c r="H10" s="53">
        <v>15061.869999999999</v>
      </c>
      <c r="I10" s="40">
        <f t="shared" si="156"/>
      </c>
      <c r="J10" s="41">
        <f t="shared" si="136"/>
      </c>
      <c r="K10" s="41">
        <f t="shared" si="20"/>
      </c>
      <c r="L10" s="42">
        <f t="shared" si="0"/>
      </c>
      <c r="M10" s="54"/>
      <c r="N10" s="44"/>
      <c r="O10" s="44"/>
      <c r="P10" s="45"/>
      <c r="Q10" s="46"/>
      <c r="R10" s="47"/>
      <c r="S10" s="38">
        <f t="shared" si="41"/>
      </c>
      <c r="T10" s="48">
        <f t="shared" si="22"/>
      </c>
      <c r="U10" s="49">
        <f t="shared" si="99"/>
      </c>
      <c r="V10" s="49">
        <f t="shared" si="61"/>
      </c>
      <c r="W10" s="49">
        <f t="shared" si="118"/>
      </c>
      <c r="X10" s="50">
        <f t="shared" si="80"/>
      </c>
      <c r="Y10" s="49">
        <f t="shared" si="2"/>
      </c>
      <c r="Z10" s="51">
        <v>39.25</v>
      </c>
      <c r="AA10" s="52">
        <f t="shared" si="138"/>
      </c>
      <c r="AB10" s="51">
        <v>146111</v>
      </c>
      <c r="AC10" s="50">
        <v>3484</v>
      </c>
      <c r="AD10" s="50">
        <v>3713</v>
      </c>
      <c r="AE10" s="50">
        <v>526</v>
      </c>
      <c r="AF10" s="51">
        <v>213</v>
      </c>
      <c r="AG10" s="51">
        <v>26</v>
      </c>
      <c r="AH10" s="50">
        <v>8</v>
      </c>
      <c r="AI10" s="50">
        <v>92</v>
      </c>
    </row>
    <row hidden="true" r="11">
      <c r="A11" s="34">
        <v>46297</v>
      </c>
      <c r="B11" s="35" t="s">
        <v>81</v>
      </c>
      <c r="C11" s="36" t="s">
        <v>79</v>
      </c>
      <c r="D11" s="37">
        <v>4</v>
      </c>
      <c r="E11" s="35">
        <v>17</v>
      </c>
      <c r="F11" s="35">
        <v>20</v>
      </c>
      <c r="G11" s="55">
        <v>50855.39</v>
      </c>
      <c r="H11" s="39">
        <v>16876.719999999998</v>
      </c>
      <c r="I11" s="40">
        <f t="shared" si="156"/>
      </c>
      <c r="J11" s="41">
        <f t="shared" si="136"/>
      </c>
      <c r="K11" s="41">
        <f t="shared" si="20"/>
      </c>
      <c r="L11" s="42">
        <f t="shared" si="0"/>
      </c>
      <c r="M11" s="43" t="s">
        <v>80</v>
      </c>
      <c r="N11" s="44">
        <v>10</v>
      </c>
      <c r="O11" s="44"/>
      <c r="P11" s="45"/>
      <c r="Q11" s="46"/>
      <c r="R11" s="47"/>
      <c r="S11" s="38">
        <f t="shared" si="41"/>
      </c>
      <c r="T11" s="48">
        <f t="shared" si="22"/>
      </c>
      <c r="U11" s="49">
        <f t="shared" si="99"/>
      </c>
      <c r="V11" s="49">
        <f t="shared" si="61"/>
      </c>
      <c r="W11" s="49">
        <f t="shared" si="118"/>
      </c>
      <c r="X11" s="50">
        <f t="shared" si="80"/>
      </c>
      <c r="Y11" s="49">
        <f t="shared" si="2"/>
      </c>
      <c r="Z11" s="51">
        <v>48.5</v>
      </c>
      <c r="AA11" s="52">
        <f t="shared" si="138"/>
      </c>
      <c r="AB11" s="50">
        <v>133068</v>
      </c>
      <c r="AC11" s="50">
        <v>2598</v>
      </c>
      <c r="AD11" s="50">
        <v>2773</v>
      </c>
      <c r="AE11" s="50">
        <v>358</v>
      </c>
      <c r="AF11" s="51">
        <v>166</v>
      </c>
      <c r="AG11" s="51">
        <v>7</v>
      </c>
      <c r="AH11" s="50">
        <v>5</v>
      </c>
      <c r="AI11" s="50">
        <v>43</v>
      </c>
    </row>
    <row hidden="true" r="12">
      <c r="A12" s="34">
        <v>46297</v>
      </c>
      <c r="B12" s="35" t="s">
        <v>83</v>
      </c>
      <c r="C12" s="36" t="s">
        <v>82</v>
      </c>
      <c r="D12" s="37">
        <v>4</v>
      </c>
      <c r="E12" s="35">
        <v>8</v>
      </c>
      <c r="F12" s="43">
        <v>11</v>
      </c>
      <c r="G12" s="55">
        <v>29485.180000000004</v>
      </c>
      <c r="H12" s="53">
        <v>13762.92</v>
      </c>
      <c r="I12" s="40">
        <f t="shared" si="156"/>
      </c>
      <c r="J12" s="41">
        <f t="shared" si="136"/>
      </c>
      <c r="K12" s="41">
        <f t="shared" si="20"/>
      </c>
      <c r="L12" s="42">
        <f t="shared" si="0"/>
      </c>
      <c r="M12" s="43"/>
      <c r="N12" s="56"/>
      <c r="O12" s="56"/>
      <c r="P12" s="45"/>
      <c r="Q12" s="46"/>
      <c r="R12" s="47"/>
      <c r="S12" s="38">
        <f t="shared" si="41"/>
      </c>
      <c r="T12" s="48">
        <f t="shared" si="22"/>
      </c>
      <c r="U12" s="49">
        <f t="shared" si="99"/>
      </c>
      <c r="V12" s="49">
        <f t="shared" si="61"/>
      </c>
      <c r="W12" s="49">
        <f t="shared" si="118"/>
      </c>
      <c r="X12" s="50">
        <f t="shared" si="80"/>
      </c>
      <c r="Y12" s="49">
        <f t="shared" si="2"/>
      </c>
      <c r="Z12" s="51">
        <v>47</v>
      </c>
      <c r="AA12" s="52">
        <f t="shared" si="138"/>
      </c>
      <c r="AB12" s="51">
        <v>115634</v>
      </c>
      <c r="AC12" s="50">
        <v>1807</v>
      </c>
      <c r="AD12" s="50">
        <v>1944</v>
      </c>
      <c r="AE12" s="50">
        <v>271</v>
      </c>
      <c r="AF12" s="51">
        <v>258</v>
      </c>
      <c r="AG12" s="50">
        <v>18</v>
      </c>
      <c r="AH12" s="50">
        <v>1</v>
      </c>
      <c r="AI12" s="50">
        <v>42</v>
      </c>
    </row>
    <row hidden="true" r="13">
      <c r="A13" s="34">
        <v>46297</v>
      </c>
      <c r="B13" s="35" t="s">
        <v>73</v>
      </c>
      <c r="C13" s="36" t="s">
        <v>84</v>
      </c>
      <c r="D13" s="37">
        <v>4</v>
      </c>
      <c r="E13" s="43">
        <v>10</v>
      </c>
      <c r="F13" s="43">
        <v>11</v>
      </c>
      <c r="G13" s="55">
        <v>29157.00000000003</v>
      </c>
      <c r="H13" s="57">
        <v>13528.35</v>
      </c>
      <c r="I13" s="40">
        <f t="shared" si="156"/>
      </c>
      <c r="J13" s="41">
        <f t="shared" si="136"/>
      </c>
      <c r="K13" s="41">
        <f t="shared" si="20"/>
      </c>
      <c r="L13" s="42">
        <f t="shared" si="0"/>
      </c>
      <c r="M13" s="43"/>
      <c r="N13" s="56"/>
      <c r="O13" s="56"/>
      <c r="P13" s="45"/>
      <c r="Q13" s="46"/>
      <c r="R13" s="47"/>
      <c r="S13" s="38">
        <f t="shared" si="41"/>
      </c>
      <c r="T13" s="48">
        <f t="shared" si="22"/>
      </c>
      <c r="U13" s="49">
        <f t="shared" si="99"/>
      </c>
      <c r="V13" s="49">
        <f t="shared" si="61"/>
      </c>
      <c r="W13" s="49">
        <f t="shared" si="118"/>
      </c>
      <c r="X13" s="50">
        <f t="shared" si="80"/>
      </c>
      <c r="Y13" s="49">
        <f t="shared" si="2"/>
      </c>
      <c r="Z13" s="51">
        <v>33.75</v>
      </c>
      <c r="AA13" s="52">
        <f t="shared" si="138"/>
      </c>
      <c r="AB13" s="50">
        <v>96563</v>
      </c>
      <c r="AC13" s="50">
        <v>2411</v>
      </c>
      <c r="AD13" s="50">
        <v>2529</v>
      </c>
      <c r="AE13" s="50">
        <v>215</v>
      </c>
      <c r="AF13" s="51">
        <v>201</v>
      </c>
      <c r="AG13" s="51">
        <v>13</v>
      </c>
      <c r="AH13" s="51">
        <v>9</v>
      </c>
      <c r="AI13" s="51">
        <v>29</v>
      </c>
    </row>
    <row hidden="true" r="14">
      <c r="A14" s="34">
        <v>46297</v>
      </c>
      <c r="B14" s="35" t="s">
        <v>89</v>
      </c>
      <c r="C14" s="36" t="s">
        <v>85</v>
      </c>
      <c r="D14" s="37">
        <v>2</v>
      </c>
      <c r="E14" s="43">
        <v>2</v>
      </c>
      <c r="F14" s="43">
        <v>2</v>
      </c>
      <c r="G14" s="55">
        <v>9066.91999999998</v>
      </c>
      <c r="H14" s="57">
        <v>7874.58</v>
      </c>
      <c r="I14" s="40">
        <f t="shared" si="156"/>
      </c>
      <c r="J14" s="41">
        <f t="shared" si="136"/>
      </c>
      <c r="K14" s="41">
        <f t="shared" si="20"/>
      </c>
      <c r="L14" s="42">
        <f t="shared" si="0"/>
      </c>
      <c r="M14" s="43" t="s">
        <v>86</v>
      </c>
      <c r="N14" s="56">
        <v>8</v>
      </c>
      <c r="O14" s="56"/>
      <c r="P14" s="45"/>
      <c r="Q14" s="46"/>
      <c r="R14" s="47"/>
      <c r="S14" s="38">
        <f t="shared" si="41"/>
      </c>
      <c r="T14" s="48">
        <f t="shared" si="22"/>
      </c>
      <c r="U14" s="49">
        <f t="shared" si="99"/>
      </c>
      <c r="V14" s="49">
        <f t="shared" si="61"/>
      </c>
      <c r="W14" s="49">
        <f t="shared" si="118"/>
      </c>
      <c r="X14" s="50">
        <f t="shared" si="80"/>
      </c>
      <c r="Y14" s="49">
        <f t="shared" si="2"/>
      </c>
      <c r="Z14" s="51">
        <v>32</v>
      </c>
      <c r="AA14" s="52">
        <f t="shared" si="138"/>
      </c>
      <c r="AB14" s="50">
        <v>79311</v>
      </c>
      <c r="AC14" s="50">
        <v>2141</v>
      </c>
      <c r="AD14" s="50">
        <v>2276</v>
      </c>
      <c r="AE14" s="50">
        <v>160</v>
      </c>
      <c r="AF14" s="51">
        <v>150</v>
      </c>
      <c r="AG14" s="51">
        <v>11</v>
      </c>
      <c r="AH14" s="51">
        <v>2</v>
      </c>
      <c r="AI14" s="51">
        <v>27</v>
      </c>
    </row>
    <row hidden="true" r="15">
      <c r="A15" s="58">
        <v>46297</v>
      </c>
      <c r="B15" s="59" t="s">
        <v>87</v>
      </c>
      <c r="C15" s="60"/>
      <c r="D15" s="60">
        <f>SUM(D9:D14)</f>
      </c>
      <c r="E15" s="60">
        <f>SUM(E9:E14)</f>
      </c>
      <c r="F15" s="60">
        <f>SUM(F9:F14)</f>
      </c>
      <c r="G15" s="60">
        <f>SUM(G9:G14)</f>
      </c>
      <c r="H15" s="60">
        <f>SUM(H9:H14)</f>
      </c>
      <c r="I15" s="61">
        <f t="shared" si="156"/>
      </c>
      <c r="J15" s="61">
        <f t="shared" si="136"/>
      </c>
      <c r="K15" s="61">
        <f t="shared" si="20"/>
      </c>
      <c r="L15" s="61">
        <f t="shared" si="0"/>
      </c>
      <c r="M15" s="60"/>
      <c r="N15" s="62">
        <f>SUM(N9:N14)</f>
      </c>
      <c r="O15" s="62"/>
      <c r="P15" s="60"/>
      <c r="Q15" s="60"/>
      <c r="R15" s="60"/>
      <c r="S15" s="63">
        <f>AVERAGE(S9:S14)</f>
      </c>
      <c r="T15" s="64">
        <f>AVERAGE(T9:T14)</f>
      </c>
      <c r="U15" s="64">
        <f>AVERAGE(U9:U14)</f>
      </c>
      <c r="V15" s="64">
        <f>AVERAGE(V9:V14)</f>
      </c>
      <c r="W15" s="64">
        <f>AVERAGE(W9:W14)</f>
      </c>
      <c r="X15" s="65">
        <f>SUM(X9:X14)</f>
      </c>
      <c r="Y15" s="64">
        <f>AVERAGE(Y9:Y14)</f>
      </c>
      <c r="Z15" s="65"/>
      <c r="AA15" s="66">
        <f>AVERAGE(AA9:AA14)</f>
      </c>
      <c r="AB15" s="65">
        <f>SUM(AB9:AB14)</f>
      </c>
      <c r="AC15" s="65">
        <f>SUM(AC9:AC14)</f>
      </c>
      <c r="AD15" s="65">
        <f>SUM(AD9:AD14)</f>
      </c>
      <c r="AE15" s="65">
        <f>SUM(AE9:AE14)</f>
      </c>
      <c r="AF15" s="65">
        <f>SUM(AF9:AF14)</f>
      </c>
      <c r="AG15" s="65">
        <f>SUM(AG9:AG14)</f>
      </c>
      <c r="AH15" s="65">
        <f>SUM(AH9:AH14)</f>
      </c>
      <c r="AI15" s="65">
        <f>SUM(AI9:AI14)</f>
      </c>
    </row>
    <row hidden="true" r="16">
      <c r="A16" s="34">
        <v>46298</v>
      </c>
      <c r="B16" s="35" t="s">
        <v>89</v>
      </c>
      <c r="C16" s="36" t="s">
        <v>88</v>
      </c>
      <c r="D16" s="37">
        <v>2</v>
      </c>
      <c r="E16" s="35">
        <v>3</v>
      </c>
      <c r="F16" s="35">
        <v>3</v>
      </c>
      <c r="G16" s="38">
        <v>5978.120000000001</v>
      </c>
      <c r="H16" s="39">
        <v>4078.18</v>
      </c>
      <c r="I16" s="40">
        <f t="shared" si="156"/>
      </c>
      <c r="J16" s="41">
        <f t="shared" si="136"/>
      </c>
      <c r="K16" s="41">
        <f t="shared" si="20"/>
      </c>
      <c r="L16" s="42">
        <f t="shared" si="0"/>
      </c>
      <c r="M16" s="43" t="s">
        <v>75</v>
      </c>
      <c r="N16" s="44">
        <v>2</v>
      </c>
      <c r="O16" s="44"/>
      <c r="P16" s="45"/>
      <c r="Q16" s="46"/>
      <c r="R16" s="47"/>
      <c r="S16" s="38">
        <f t="shared" ref="S16:S21" si="42">H16/AC16</f>
      </c>
      <c r="T16" s="48">
        <f t="shared" ref="T16:T21" si="23">X16/AB16*1</f>
      </c>
      <c r="U16" s="49">
        <f t="shared" ref="U16:U21" si="100">AC16/AB16</f>
      </c>
      <c r="V16" s="49">
        <f t="shared" ref="V16:V21" si="62">AD16/AB16</f>
      </c>
      <c r="W16" s="49">
        <f t="shared" ref="W16:W21" si="119">AF16/AD16</f>
      </c>
      <c r="X16" s="50">
        <f t="shared" ref="X16:X21" si="81">AE16/Y16</f>
      </c>
      <c r="Y16" s="49">
        <f t="shared" ref="Y16:Y21" si="3">AE16/AD16</f>
      </c>
      <c r="Z16" s="51">
        <v>36</v>
      </c>
      <c r="AA16" s="52">
        <f t="shared" ref="AA16:AA21" si="139">(H16/AB16)*1000</f>
      </c>
      <c r="AB16" s="50">
        <v>45673</v>
      </c>
      <c r="AC16" s="50">
        <v>1164</v>
      </c>
      <c r="AD16" s="50">
        <v>1284</v>
      </c>
      <c r="AE16" s="50">
        <v>131</v>
      </c>
      <c r="AF16" s="51">
        <v>95</v>
      </c>
      <c r="AG16" s="51">
        <v>9</v>
      </c>
      <c r="AH16" s="50">
        <v>0</v>
      </c>
      <c r="AI16" s="50">
        <v>23</v>
      </c>
    </row>
    <row hidden="true" r="17">
      <c r="A17" s="34">
        <v>46298</v>
      </c>
      <c r="B17" s="35" t="s">
        <v>78</v>
      </c>
      <c r="C17" s="36" t="s">
        <v>77</v>
      </c>
      <c r="D17" s="37">
        <v>4</v>
      </c>
      <c r="E17" s="35">
        <v>14</v>
      </c>
      <c r="F17" s="35">
        <v>14</v>
      </c>
      <c r="G17" s="38">
        <v>38627.98</v>
      </c>
      <c r="H17" s="53">
        <v>16686.489999999998</v>
      </c>
      <c r="I17" s="40">
        <f t="shared" si="156"/>
      </c>
      <c r="J17" s="41">
        <f t="shared" si="136"/>
      </c>
      <c r="K17" s="41">
        <f t="shared" si="20"/>
      </c>
      <c r="L17" s="42">
        <f t="shared" si="0"/>
      </c>
      <c r="M17" s="54"/>
      <c r="N17" s="44"/>
      <c r="O17" s="44"/>
      <c r="P17" s="45"/>
      <c r="Q17" s="46"/>
      <c r="R17" s="47"/>
      <c r="S17" s="38">
        <f t="shared" si="42"/>
      </c>
      <c r="T17" s="48">
        <f t="shared" si="23"/>
      </c>
      <c r="U17" s="49">
        <f t="shared" si="100"/>
      </c>
      <c r="V17" s="49">
        <f t="shared" si="62"/>
      </c>
      <c r="W17" s="49">
        <f t="shared" si="119"/>
      </c>
      <c r="X17" s="50">
        <f t="shared" si="81"/>
      </c>
      <c r="Y17" s="49">
        <f t="shared" si="3"/>
      </c>
      <c r="Z17" s="51">
        <v>35</v>
      </c>
      <c r="AA17" s="52">
        <f t="shared" si="139"/>
      </c>
      <c r="AB17" s="51">
        <v>136404</v>
      </c>
      <c r="AC17" s="50">
        <v>4221</v>
      </c>
      <c r="AD17" s="50">
        <v>4505</v>
      </c>
      <c r="AE17" s="50">
        <v>502</v>
      </c>
      <c r="AF17" s="51">
        <v>198</v>
      </c>
      <c r="AG17" s="51">
        <v>26</v>
      </c>
      <c r="AH17" s="50">
        <v>5</v>
      </c>
      <c r="AI17" s="50">
        <v>92</v>
      </c>
    </row>
    <row hidden="true" r="18">
      <c r="A18" s="34">
        <v>46298</v>
      </c>
      <c r="B18" s="35" t="s">
        <v>81</v>
      </c>
      <c r="C18" s="36" t="s">
        <v>79</v>
      </c>
      <c r="D18" s="37">
        <v>4</v>
      </c>
      <c r="E18" s="35">
        <v>20</v>
      </c>
      <c r="F18" s="35">
        <v>21</v>
      </c>
      <c r="G18" s="55">
        <v>55141.53999999999</v>
      </c>
      <c r="H18" s="39">
        <v>15680.54</v>
      </c>
      <c r="I18" s="40">
        <f t="shared" si="156"/>
      </c>
      <c r="J18" s="41">
        <f t="shared" si="136"/>
      </c>
      <c r="K18" s="41">
        <f t="shared" si="20"/>
      </c>
      <c r="L18" s="42">
        <f t="shared" si="0"/>
      </c>
      <c r="M18" s="43" t="s">
        <v>90</v>
      </c>
      <c r="N18" s="44">
        <v>10</v>
      </c>
      <c r="O18" s="44"/>
      <c r="P18" s="45"/>
      <c r="Q18" s="46"/>
      <c r="R18" s="47"/>
      <c r="S18" s="38">
        <f t="shared" si="42"/>
      </c>
      <c r="T18" s="48">
        <f t="shared" si="23"/>
      </c>
      <c r="U18" s="49">
        <f t="shared" si="100"/>
      </c>
      <c r="V18" s="49">
        <f t="shared" si="62"/>
      </c>
      <c r="W18" s="49">
        <f t="shared" si="119"/>
      </c>
      <c r="X18" s="50">
        <f t="shared" si="81"/>
      </c>
      <c r="Y18" s="49">
        <f t="shared" si="3"/>
      </c>
      <c r="Z18" s="51">
        <v>41</v>
      </c>
      <c r="AA18" s="52">
        <f t="shared" si="139"/>
      </c>
      <c r="AB18" s="50">
        <v>106347</v>
      </c>
      <c r="AC18" s="50">
        <v>3544</v>
      </c>
      <c r="AD18" s="50">
        <v>3750</v>
      </c>
      <c r="AE18" s="50">
        <v>348</v>
      </c>
      <c r="AF18" s="51">
        <v>231</v>
      </c>
      <c r="AG18" s="51">
        <v>16</v>
      </c>
      <c r="AH18" s="50">
        <v>7</v>
      </c>
      <c r="AI18" s="50">
        <v>26</v>
      </c>
    </row>
    <row hidden="true" r="19">
      <c r="A19" s="34">
        <v>46298</v>
      </c>
      <c r="B19" s="35" t="s">
        <v>83</v>
      </c>
      <c r="C19" s="36" t="s">
        <v>82</v>
      </c>
      <c r="D19" s="37">
        <v>4</v>
      </c>
      <c r="E19" s="35">
        <v>9</v>
      </c>
      <c r="F19" s="43">
        <v>9</v>
      </c>
      <c r="G19" s="55">
        <v>21564.01000000001</v>
      </c>
      <c r="H19" s="53">
        <v>12434.840000000002</v>
      </c>
      <c r="I19" s="40">
        <f t="shared" si="156"/>
      </c>
      <c r="J19" s="41">
        <f t="shared" si="136"/>
      </c>
      <c r="K19" s="41">
        <f t="shared" si="20"/>
      </c>
      <c r="L19" s="42">
        <f t="shared" si="0"/>
      </c>
      <c r="M19" s="43"/>
      <c r="N19" s="56"/>
      <c r="O19" s="56"/>
      <c r="P19" s="45"/>
      <c r="Q19" s="46"/>
      <c r="R19" s="47"/>
      <c r="S19" s="38">
        <f t="shared" si="42"/>
      </c>
      <c r="T19" s="48">
        <f t="shared" si="23"/>
      </c>
      <c r="U19" s="49">
        <f t="shared" si="100"/>
      </c>
      <c r="V19" s="49">
        <f t="shared" si="62"/>
      </c>
      <c r="W19" s="49">
        <f t="shared" si="119"/>
      </c>
      <c r="X19" s="50">
        <f t="shared" si="81"/>
      </c>
      <c r="Y19" s="49">
        <f t="shared" si="3"/>
      </c>
      <c r="Z19" s="51">
        <v>39.25</v>
      </c>
      <c r="AA19" s="52">
        <f t="shared" si="139"/>
      </c>
      <c r="AB19" s="51">
        <v>80977</v>
      </c>
      <c r="AC19" s="50">
        <v>3097</v>
      </c>
      <c r="AD19" s="50">
        <v>3327</v>
      </c>
      <c r="AE19" s="50">
        <v>214</v>
      </c>
      <c r="AF19" s="51">
        <v>187</v>
      </c>
      <c r="AG19" s="50">
        <v>14</v>
      </c>
      <c r="AH19" s="50">
        <v>4</v>
      </c>
      <c r="AI19" s="50">
        <v>14</v>
      </c>
    </row>
    <row hidden="true" r="20">
      <c r="A20" s="34">
        <v>46298</v>
      </c>
      <c r="B20" s="35" t="s">
        <v>76</v>
      </c>
      <c r="C20" s="36" t="s">
        <v>84</v>
      </c>
      <c r="D20" s="37">
        <v>4</v>
      </c>
      <c r="E20" s="43">
        <v>11</v>
      </c>
      <c r="F20" s="43">
        <v>15</v>
      </c>
      <c r="G20" s="55">
        <v>42123.74000000001</v>
      </c>
      <c r="H20" s="57">
        <v>13599.559999999998</v>
      </c>
      <c r="I20" s="40">
        <f t="shared" si="156"/>
      </c>
      <c r="J20" s="41">
        <f t="shared" si="136"/>
      </c>
      <c r="K20" s="41">
        <f t="shared" si="20"/>
      </c>
      <c r="L20" s="42">
        <f t="shared" si="0"/>
      </c>
      <c r="M20" s="43"/>
      <c r="N20" s="56"/>
      <c r="O20" s="56"/>
      <c r="P20" s="45"/>
      <c r="Q20" s="46"/>
      <c r="R20" s="47"/>
      <c r="S20" s="38">
        <f t="shared" si="42"/>
      </c>
      <c r="T20" s="48">
        <f t="shared" si="23"/>
      </c>
      <c r="U20" s="49">
        <f t="shared" si="100"/>
      </c>
      <c r="V20" s="49">
        <f t="shared" si="62"/>
      </c>
      <c r="W20" s="49">
        <f t="shared" si="119"/>
      </c>
      <c r="X20" s="50">
        <f t="shared" si="81"/>
      </c>
      <c r="Y20" s="49">
        <f t="shared" si="3"/>
      </c>
      <c r="Z20" s="51">
        <v>38</v>
      </c>
      <c r="AA20" s="52">
        <f t="shared" si="139"/>
      </c>
      <c r="AB20" s="50">
        <v>101192</v>
      </c>
      <c r="AC20" s="50">
        <v>3924</v>
      </c>
      <c r="AD20" s="50">
        <v>4286</v>
      </c>
      <c r="AE20" s="50">
        <v>214</v>
      </c>
      <c r="AF20" s="51">
        <v>249</v>
      </c>
      <c r="AG20" s="51">
        <v>13</v>
      </c>
      <c r="AH20" s="51">
        <v>10</v>
      </c>
      <c r="AI20" s="51">
        <v>17</v>
      </c>
    </row>
    <row hidden="true" r="21">
      <c r="A21" s="34">
        <v>46298</v>
      </c>
      <c r="B21" s="35" t="s">
        <v>89</v>
      </c>
      <c r="C21" s="36" t="s">
        <v>85</v>
      </c>
      <c r="D21" s="37">
        <v>2</v>
      </c>
      <c r="E21" s="43">
        <v>5</v>
      </c>
      <c r="F21" s="43">
        <v>8</v>
      </c>
      <c r="G21" s="55">
        <v>19839.109999999986</v>
      </c>
      <c r="H21" s="57">
        <v>9090.17</v>
      </c>
      <c r="I21" s="40">
        <f t="shared" si="156"/>
      </c>
      <c r="J21" s="41">
        <f t="shared" si="136"/>
      </c>
      <c r="K21" s="41">
        <f t="shared" si="20"/>
      </c>
      <c r="L21" s="42">
        <f t="shared" si="0"/>
      </c>
      <c r="M21" s="43" t="s">
        <v>91</v>
      </c>
      <c r="N21" s="56">
        <v>8</v>
      </c>
      <c r="O21" s="56"/>
      <c r="P21" s="45"/>
      <c r="Q21" s="46"/>
      <c r="R21" s="47"/>
      <c r="S21" s="38">
        <f t="shared" si="42"/>
      </c>
      <c r="T21" s="48">
        <f t="shared" si="23"/>
      </c>
      <c r="U21" s="49">
        <f t="shared" si="100"/>
      </c>
      <c r="V21" s="49">
        <f t="shared" si="62"/>
      </c>
      <c r="W21" s="49">
        <f t="shared" si="119"/>
      </c>
      <c r="X21" s="50">
        <f t="shared" si="81"/>
      </c>
      <c r="Y21" s="49">
        <f t="shared" si="3"/>
      </c>
      <c r="Z21" s="51">
        <v>36</v>
      </c>
      <c r="AA21" s="52">
        <f t="shared" si="139"/>
      </c>
      <c r="AB21" s="50">
        <v>96476</v>
      </c>
      <c r="AC21" s="50">
        <v>3084</v>
      </c>
      <c r="AD21" s="50">
        <v>3332</v>
      </c>
      <c r="AE21" s="50">
        <v>206</v>
      </c>
      <c r="AF21" s="51">
        <v>121</v>
      </c>
      <c r="AG21" s="51">
        <v>11</v>
      </c>
      <c r="AH21" s="51">
        <v>1</v>
      </c>
      <c r="AI21" s="51">
        <v>18</v>
      </c>
    </row>
    <row hidden="true" r="22">
      <c r="A22" s="58">
        <v>46298</v>
      </c>
      <c r="B22" s="59" t="s">
        <v>87</v>
      </c>
      <c r="C22" s="60"/>
      <c r="D22" s="60">
        <f>SUM(D16:D21)</f>
      </c>
      <c r="E22" s="60">
        <f>SUM(E16:E21)</f>
      </c>
      <c r="F22" s="60">
        <f>SUM(F16:F21)</f>
      </c>
      <c r="G22" s="60">
        <f>SUM(G16:G21)</f>
      </c>
      <c r="H22" s="60">
        <f>SUM(H16:H21)</f>
      </c>
      <c r="I22" s="61">
        <f t="shared" si="156"/>
      </c>
      <c r="J22" s="61">
        <f t="shared" si="136"/>
      </c>
      <c r="K22" s="61">
        <f t="shared" si="20"/>
      </c>
      <c r="L22" s="61">
        <f t="shared" si="0"/>
      </c>
      <c r="M22" s="60"/>
      <c r="N22" s="62">
        <f>SUM(N16:N21)</f>
      </c>
      <c r="O22" s="62"/>
      <c r="P22" s="60"/>
      <c r="Q22" s="60"/>
      <c r="R22" s="60"/>
      <c r="S22" s="63">
        <f>AVERAGE(S16:S21)</f>
      </c>
      <c r="T22" s="64">
        <f>AVERAGE(T16:T21)</f>
      </c>
      <c r="U22" s="64">
        <f>AVERAGE(U16:U21)</f>
      </c>
      <c r="V22" s="64">
        <f>AVERAGE(V16:V21)</f>
      </c>
      <c r="W22" s="64">
        <f>AVERAGE(W16:W21)</f>
      </c>
      <c r="X22" s="65">
        <f>SUM(X16:X21)</f>
      </c>
      <c r="Y22" s="64">
        <f>AVERAGE(Y16:Y21)</f>
      </c>
      <c r="Z22" s="65"/>
      <c r="AA22" s="66">
        <f>AVERAGE(AA16:AA21)</f>
      </c>
      <c r="AB22" s="65">
        <f>SUM(AB16:AB21)</f>
      </c>
      <c r="AC22" s="65">
        <f>SUM(AC16:AC21)</f>
      </c>
      <c r="AD22" s="65">
        <f>SUM(AD16:AD21)</f>
      </c>
      <c r="AE22" s="65">
        <f>SUM(AE16:AE21)</f>
      </c>
      <c r="AF22" s="65">
        <f>SUM(AF16:AF21)</f>
      </c>
      <c r="AG22" s="65">
        <f>SUM(AG16:AG21)</f>
      </c>
      <c r="AH22" s="65">
        <f>SUM(AH16:AH21)</f>
      </c>
      <c r="AI22" s="65">
        <f>SUM(AI16:AI21)</f>
      </c>
    </row>
    <row hidden="true" r="23">
      <c r="A23" s="34">
        <v>46299</v>
      </c>
      <c r="B23" s="35" t="s">
        <v>89</v>
      </c>
      <c r="C23" s="36" t="s">
        <v>88</v>
      </c>
      <c r="D23" s="37">
        <v>2</v>
      </c>
      <c r="E23" s="35">
        <v>5</v>
      </c>
      <c r="F23" s="35">
        <v>7</v>
      </c>
      <c r="G23" s="38">
        <v>16448.18</v>
      </c>
      <c r="H23" s="39">
        <v>3458.03</v>
      </c>
      <c r="I23" s="40">
        <f t="shared" si="156"/>
      </c>
      <c r="J23" s="41">
        <f t="shared" si="136"/>
      </c>
      <c r="K23" s="41">
        <f t="shared" si="20"/>
      </c>
      <c r="L23" s="42">
        <f t="shared" si="0"/>
      </c>
      <c r="M23" s="43" t="s">
        <v>75</v>
      </c>
      <c r="N23" s="44">
        <v>2</v>
      </c>
      <c r="O23" s="44"/>
      <c r="P23" s="45"/>
      <c r="Q23" s="46"/>
      <c r="R23" s="47"/>
      <c r="S23" s="38">
        <f t="shared" ref="S23:S28" si="43">H23/AC23</f>
      </c>
      <c r="T23" s="48">
        <f t="shared" ref="T23:T28" si="24">X23/AB23*1</f>
      </c>
      <c r="U23" s="49">
        <f t="shared" ref="U23:U28" si="101">AC23/AB23</f>
      </c>
      <c r="V23" s="49">
        <f t="shared" ref="V23:V28" si="63">AD23/AB23</f>
      </c>
      <c r="W23" s="49">
        <f t="shared" ref="W23:W28" si="120">AF23/AD23</f>
      </c>
      <c r="X23" s="50">
        <f t="shared" ref="X23:X28" si="82">AE23/Y23</f>
      </c>
      <c r="Y23" s="49">
        <f t="shared" ref="Y23:Y28" si="4">AE23/AD23</f>
      </c>
      <c r="Z23" s="51">
        <v>38</v>
      </c>
      <c r="AA23" s="52">
        <f t="shared" ref="AA23:AA28" si="140">(H23/AB23)*1000</f>
      </c>
      <c r="AB23" s="50">
        <v>39271</v>
      </c>
      <c r="AC23" s="50">
        <v>1086</v>
      </c>
      <c r="AD23" s="50">
        <v>1181</v>
      </c>
      <c r="AE23" s="50">
        <v>107</v>
      </c>
      <c r="AF23" s="51">
        <v>97</v>
      </c>
      <c r="AG23" s="51">
        <v>4</v>
      </c>
      <c r="AH23" s="50">
        <v>5</v>
      </c>
      <c r="AI23" s="50">
        <v>13</v>
      </c>
    </row>
    <row hidden="true" r="24">
      <c r="A24" s="34">
        <v>46299</v>
      </c>
      <c r="B24" s="35" t="s">
        <v>81</v>
      </c>
      <c r="C24" s="36" t="s">
        <v>77</v>
      </c>
      <c r="D24" s="37">
        <v>4</v>
      </c>
      <c r="E24" s="35">
        <v>16</v>
      </c>
      <c r="F24" s="35">
        <v>20</v>
      </c>
      <c r="G24" s="38">
        <v>48300.92999999999</v>
      </c>
      <c r="H24" s="53">
        <v>14612.96</v>
      </c>
      <c r="I24" s="40">
        <f t="shared" si="156"/>
      </c>
      <c r="J24" s="41">
        <f t="shared" si="136"/>
      </c>
      <c r="K24" s="41">
        <f t="shared" si="20"/>
      </c>
      <c r="L24" s="42">
        <f t="shared" si="0"/>
      </c>
      <c r="M24" s="54"/>
      <c r="N24" s="44"/>
      <c r="O24" s="44"/>
      <c r="P24" s="45"/>
      <c r="Q24" s="46"/>
      <c r="R24" s="47"/>
      <c r="S24" s="38">
        <f t="shared" si="43"/>
      </c>
      <c r="T24" s="48">
        <f t="shared" si="24"/>
      </c>
      <c r="U24" s="49">
        <f t="shared" si="101"/>
      </c>
      <c r="V24" s="49">
        <f t="shared" si="63"/>
      </c>
      <c r="W24" s="49">
        <f t="shared" si="120"/>
      </c>
      <c r="X24" s="50">
        <f t="shared" si="82"/>
      </c>
      <c r="Y24" s="49">
        <f t="shared" si="4"/>
      </c>
      <c r="Z24" s="51">
        <v>45</v>
      </c>
      <c r="AA24" s="52">
        <f t="shared" si="140"/>
      </c>
      <c r="AB24" s="51">
        <v>140290</v>
      </c>
      <c r="AC24" s="50">
        <v>3407</v>
      </c>
      <c r="AD24" s="50">
        <v>3611</v>
      </c>
      <c r="AE24" s="50">
        <v>580</v>
      </c>
      <c r="AF24" s="51">
        <v>303</v>
      </c>
      <c r="AG24" s="51">
        <v>27</v>
      </c>
      <c r="AH24" s="50">
        <v>8</v>
      </c>
      <c r="AI24" s="50">
        <v>100</v>
      </c>
    </row>
    <row hidden="true" r="25">
      <c r="A25" s="34">
        <v>46299</v>
      </c>
      <c r="B25" s="35" t="s">
        <v>73</v>
      </c>
      <c r="C25" s="36" t="s">
        <v>79</v>
      </c>
      <c r="D25" s="37">
        <v>4</v>
      </c>
      <c r="E25" s="35">
        <v>12</v>
      </c>
      <c r="F25" s="35">
        <v>15</v>
      </c>
      <c r="G25" s="55">
        <v>35151.19000000001</v>
      </c>
      <c r="H25" s="39">
        <v>17449.83</v>
      </c>
      <c r="I25" s="40">
        <f t="shared" si="156"/>
      </c>
      <c r="J25" s="41">
        <f t="shared" si="136"/>
      </c>
      <c r="K25" s="41">
        <f t="shared" si="20"/>
      </c>
      <c r="L25" s="42">
        <f t="shared" si="0"/>
      </c>
      <c r="M25" s="43" t="s">
        <v>90</v>
      </c>
      <c r="N25" s="44">
        <v>10</v>
      </c>
      <c r="O25" s="44"/>
      <c r="P25" s="45"/>
      <c r="Q25" s="46"/>
      <c r="R25" s="47"/>
      <c r="S25" s="38">
        <f t="shared" si="43"/>
      </c>
      <c r="T25" s="48">
        <f t="shared" si="24"/>
      </c>
      <c r="U25" s="49">
        <f t="shared" si="101"/>
      </c>
      <c r="V25" s="49">
        <f t="shared" si="63"/>
      </c>
      <c r="W25" s="49">
        <f t="shared" si="120"/>
      </c>
      <c r="X25" s="50">
        <f t="shared" si="82"/>
      </c>
      <c r="Y25" s="49">
        <f t="shared" si="4"/>
      </c>
      <c r="Z25" s="51">
        <v>53</v>
      </c>
      <c r="AA25" s="52">
        <f t="shared" si="140"/>
      </c>
      <c r="AB25" s="50">
        <v>140317</v>
      </c>
      <c r="AC25" s="50">
        <v>2536</v>
      </c>
      <c r="AD25" s="50">
        <v>2671</v>
      </c>
      <c r="AE25" s="50">
        <v>523</v>
      </c>
      <c r="AF25" s="51">
        <v>286</v>
      </c>
      <c r="AG25" s="51">
        <v>18</v>
      </c>
      <c r="AH25" s="50">
        <v>6</v>
      </c>
      <c r="AI25" s="50">
        <v>71</v>
      </c>
    </row>
    <row hidden="true" r="26">
      <c r="A26" s="34">
        <v>46299</v>
      </c>
      <c r="B26" s="35" t="s">
        <v>83</v>
      </c>
      <c r="C26" s="36" t="s">
        <v>82</v>
      </c>
      <c r="D26" s="37">
        <v>4</v>
      </c>
      <c r="E26" s="35">
        <v>4</v>
      </c>
      <c r="F26" s="43">
        <v>6</v>
      </c>
      <c r="G26" s="55">
        <v>16375.190000000008</v>
      </c>
      <c r="H26" s="53">
        <v>9929.37</v>
      </c>
      <c r="I26" s="40">
        <f t="shared" si="156"/>
      </c>
      <c r="J26" s="41">
        <f t="shared" si="136"/>
      </c>
      <c r="K26" s="41">
        <f t="shared" si="20"/>
      </c>
      <c r="L26" s="42">
        <f t="shared" si="0"/>
      </c>
      <c r="M26" s="43"/>
      <c r="N26" s="56"/>
      <c r="O26" s="56"/>
      <c r="P26" s="45"/>
      <c r="Q26" s="46"/>
      <c r="R26" s="47"/>
      <c r="S26" s="38">
        <f t="shared" si="43"/>
      </c>
      <c r="T26" s="48">
        <f t="shared" si="24"/>
      </c>
      <c r="U26" s="49">
        <f t="shared" si="101"/>
      </c>
      <c r="V26" s="49">
        <f t="shared" si="63"/>
      </c>
      <c r="W26" s="49">
        <f t="shared" si="120"/>
      </c>
      <c r="X26" s="50">
        <f t="shared" si="82"/>
      </c>
      <c r="Y26" s="49">
        <f t="shared" si="4"/>
      </c>
      <c r="Z26" s="51">
        <v>46</v>
      </c>
      <c r="AA26" s="52">
        <f t="shared" si="140"/>
      </c>
      <c r="AB26" s="51">
        <v>87424</v>
      </c>
      <c r="AC26" s="50">
        <v>1386</v>
      </c>
      <c r="AD26" s="50">
        <v>1454</v>
      </c>
      <c r="AE26" s="50">
        <v>279</v>
      </c>
      <c r="AF26" s="51">
        <v>200</v>
      </c>
      <c r="AG26" s="50">
        <v>13</v>
      </c>
      <c r="AH26" s="50">
        <v>5</v>
      </c>
      <c r="AI26" s="50">
        <v>41</v>
      </c>
    </row>
    <row hidden="true" r="27">
      <c r="A27" s="34">
        <v>46299</v>
      </c>
      <c r="B27" s="35" t="s">
        <v>89</v>
      </c>
      <c r="C27" s="36" t="s">
        <v>84</v>
      </c>
      <c r="D27" s="37">
        <v>4</v>
      </c>
      <c r="E27" s="43">
        <v>18</v>
      </c>
      <c r="F27" s="43">
        <v>21</v>
      </c>
      <c r="G27" s="55">
        <v>54305</v>
      </c>
      <c r="H27" s="57">
        <v>12303.720000000001</v>
      </c>
      <c r="I27" s="40">
        <f t="shared" si="156"/>
      </c>
      <c r="J27" s="41">
        <f t="shared" si="136"/>
      </c>
      <c r="K27" s="41">
        <f t="shared" si="20"/>
      </c>
      <c r="L27" s="42">
        <f t="shared" si="0"/>
      </c>
      <c r="M27" s="43"/>
      <c r="N27" s="56"/>
      <c r="O27" s="56"/>
      <c r="P27" s="45"/>
      <c r="Q27" s="46"/>
      <c r="R27" s="47"/>
      <c r="S27" s="38">
        <f t="shared" si="43"/>
      </c>
      <c r="T27" s="48">
        <f t="shared" si="24"/>
      </c>
      <c r="U27" s="49">
        <f t="shared" si="101"/>
      </c>
      <c r="V27" s="49">
        <f t="shared" si="63"/>
      </c>
      <c r="W27" s="49">
        <f t="shared" si="120"/>
      </c>
      <c r="X27" s="50">
        <f t="shared" si="82"/>
      </c>
      <c r="Y27" s="49">
        <f t="shared" si="4"/>
      </c>
      <c r="Z27" s="51">
        <v>42</v>
      </c>
      <c r="AA27" s="52">
        <f t="shared" si="140"/>
      </c>
      <c r="AB27" s="50">
        <v>90688</v>
      </c>
      <c r="AC27" s="50">
        <v>1686</v>
      </c>
      <c r="AD27" s="50">
        <v>1765</v>
      </c>
      <c r="AE27" s="50">
        <v>289</v>
      </c>
      <c r="AF27" s="51">
        <v>253</v>
      </c>
      <c r="AG27" s="51">
        <v>15</v>
      </c>
      <c r="AH27" s="51">
        <v>6</v>
      </c>
      <c r="AI27" s="51">
        <v>50</v>
      </c>
    </row>
    <row hidden="true" r="28">
      <c r="A28" s="34">
        <v>46299</v>
      </c>
      <c r="B28" s="35" t="s">
        <v>76</v>
      </c>
      <c r="C28" s="36" t="s">
        <v>85</v>
      </c>
      <c r="D28" s="37">
        <v>2</v>
      </c>
      <c r="E28" s="43">
        <v>3</v>
      </c>
      <c r="F28" s="43">
        <v>4</v>
      </c>
      <c r="G28" s="55">
        <v>7932.010000000009</v>
      </c>
      <c r="H28" s="57">
        <v>6420.629999999999</v>
      </c>
      <c r="I28" s="40">
        <f t="shared" si="156"/>
      </c>
      <c r="J28" s="41">
        <f t="shared" si="136"/>
      </c>
      <c r="K28" s="41">
        <f t="shared" si="20"/>
      </c>
      <c r="L28" s="42">
        <f t="shared" si="0"/>
      </c>
      <c r="M28" s="43" t="s">
        <v>91</v>
      </c>
      <c r="N28" s="56">
        <v>8</v>
      </c>
      <c r="O28" s="56"/>
      <c r="P28" s="45"/>
      <c r="Q28" s="46"/>
      <c r="R28" s="47"/>
      <c r="S28" s="38">
        <f t="shared" si="43"/>
      </c>
      <c r="T28" s="48">
        <f t="shared" si="24"/>
      </c>
      <c r="U28" s="49">
        <f t="shared" si="101"/>
      </c>
      <c r="V28" s="49">
        <f t="shared" si="63"/>
      </c>
      <c r="W28" s="49">
        <f t="shared" si="120"/>
      </c>
      <c r="X28" s="50">
        <f t="shared" si="82"/>
      </c>
      <c r="Y28" s="49">
        <f t="shared" si="4"/>
      </c>
      <c r="Z28" s="51">
        <v>47.5</v>
      </c>
      <c r="AA28" s="52">
        <f t="shared" si="140"/>
      </c>
      <c r="AB28" s="50">
        <v>65401</v>
      </c>
      <c r="AC28" s="50">
        <v>1390</v>
      </c>
      <c r="AD28" s="50">
        <v>1493</v>
      </c>
      <c r="AE28" s="50">
        <v>164</v>
      </c>
      <c r="AF28" s="51">
        <v>103</v>
      </c>
      <c r="AG28" s="51">
        <v>12</v>
      </c>
      <c r="AH28" s="51">
        <v>8</v>
      </c>
      <c r="AI28" s="51">
        <v>25</v>
      </c>
    </row>
    <row hidden="true" r="29">
      <c r="A29" s="58">
        <v>46299</v>
      </c>
      <c r="B29" s="59" t="s">
        <v>87</v>
      </c>
      <c r="C29" s="60"/>
      <c r="D29" s="60">
        <f>SUM(D23:D28)</f>
      </c>
      <c r="E29" s="60">
        <f>SUM(E23:E28)</f>
      </c>
      <c r="F29" s="60">
        <f>SUM(F23:F28)</f>
      </c>
      <c r="G29" s="60">
        <f>SUM(G23:G28)</f>
      </c>
      <c r="H29" s="60">
        <f>SUM(H23:H28)</f>
      </c>
      <c r="I29" s="61">
        <f t="shared" si="156"/>
      </c>
      <c r="J29" s="61">
        <f t="shared" si="136"/>
      </c>
      <c r="K29" s="61">
        <f t="shared" si="20"/>
      </c>
      <c r="L29" s="61">
        <f t="shared" si="0"/>
      </c>
      <c r="M29" s="60"/>
      <c r="N29" s="62">
        <f>SUM(N23:N28)</f>
      </c>
      <c r="O29" s="62"/>
      <c r="P29" s="60"/>
      <c r="Q29" s="60"/>
      <c r="R29" s="60"/>
      <c r="S29" s="63">
        <f>AVERAGE(S23:S28)</f>
      </c>
      <c r="T29" s="64">
        <f>AVERAGE(T23:T28)</f>
      </c>
      <c r="U29" s="64">
        <f>AVERAGE(U23:U28)</f>
      </c>
      <c r="V29" s="64">
        <f>AVERAGE(V23:V28)</f>
      </c>
      <c r="W29" s="64">
        <f>AVERAGE(W23:W28)</f>
      </c>
      <c r="X29" s="65">
        <f>SUM(X23:X28)</f>
      </c>
      <c r="Y29" s="64">
        <f>AVERAGE(Y23:Y28)</f>
      </c>
      <c r="Z29" s="65"/>
      <c r="AA29" s="66">
        <f>AVERAGE(AA23:AA28)</f>
      </c>
      <c r="AB29" s="65">
        <f>SUM(AB23:AB28)</f>
      </c>
      <c r="AC29" s="65">
        <f>SUM(AC23:AC28)</f>
      </c>
      <c r="AD29" s="65">
        <f>SUM(AD23:AD28)</f>
      </c>
      <c r="AE29" s="65">
        <f>SUM(AE23:AE28)</f>
      </c>
      <c r="AF29" s="65">
        <f>SUM(AF23:AF28)</f>
      </c>
      <c r="AG29" s="65">
        <f>SUM(AG23:AG28)</f>
      </c>
      <c r="AH29" s="65">
        <f>SUM(AH23:AH28)</f>
      </c>
      <c r="AI29" s="65">
        <f>SUM(AI23:AI28)</f>
      </c>
    </row>
    <row hidden="true" r="30">
      <c r="A30" s="34">
        <v>46300</v>
      </c>
      <c r="B30" s="35" t="s">
        <v>76</v>
      </c>
      <c r="C30" s="36" t="s">
        <v>88</v>
      </c>
      <c r="D30" s="37">
        <v>2</v>
      </c>
      <c r="E30" s="35">
        <v>11</v>
      </c>
      <c r="F30" s="35">
        <v>11</v>
      </c>
      <c r="G30" s="38">
        <v>24421.140000000003</v>
      </c>
      <c r="H30" s="39">
        <v>2948.4800000000005</v>
      </c>
      <c r="I30" s="40">
        <f t="shared" si="156"/>
      </c>
      <c r="J30" s="41">
        <f t="shared" si="136"/>
      </c>
      <c r="K30" s="41">
        <f t="shared" si="20"/>
      </c>
      <c r="L30" s="42">
        <f t="shared" si="0"/>
      </c>
      <c r="M30" s="43" t="s">
        <v>92</v>
      </c>
      <c r="N30" s="44">
        <v>2</v>
      </c>
      <c r="O30" s="44"/>
      <c r="P30" s="45"/>
      <c r="Q30" s="46"/>
      <c r="R30" s="47"/>
      <c r="S30" s="38">
        <f t="shared" ref="S30:S35" si="44">H30/AC30</f>
      </c>
      <c r="T30" s="48">
        <f t="shared" ref="T30:T35" si="25">X30/AB30*1</f>
      </c>
      <c r="U30" s="49">
        <f t="shared" ref="U30:U35" si="102">AC30/AB30</f>
      </c>
      <c r="V30" s="49">
        <f t="shared" ref="V30:V35" si="64">AD30/AB30</f>
      </c>
      <c r="W30" s="49">
        <f t="shared" ref="W30:W35" si="121">AF30/AD30</f>
      </c>
      <c r="X30" s="50">
        <f t="shared" ref="X30:X35" si="83">AE30/Y30</f>
      </c>
      <c r="Y30" s="49">
        <f t="shared" ref="Y30:Y35" si="5">AE30/AD30</f>
      </c>
      <c r="Z30" s="51">
        <v>54</v>
      </c>
      <c r="AA30" s="52">
        <f t="shared" ref="AA30:AA35" si="141">(H30/AB30)*1000</f>
      </c>
      <c r="AB30" s="50">
        <v>33948</v>
      </c>
      <c r="AC30" s="50">
        <v>772</v>
      </c>
      <c r="AD30" s="50">
        <v>820</v>
      </c>
      <c r="AE30" s="50">
        <v>86</v>
      </c>
      <c r="AF30" s="51">
        <v>96</v>
      </c>
      <c r="AG30" s="51">
        <v>3</v>
      </c>
      <c r="AH30" s="50">
        <v>0</v>
      </c>
      <c r="AI30" s="50">
        <v>21</v>
      </c>
    </row>
    <row hidden="true" r="31">
      <c r="A31" s="34">
        <v>46300</v>
      </c>
      <c r="B31" s="35" t="s">
        <v>81</v>
      </c>
      <c r="C31" s="36" t="s">
        <v>77</v>
      </c>
      <c r="D31" s="37">
        <v>4</v>
      </c>
      <c r="E31" s="35">
        <v>15</v>
      </c>
      <c r="F31" s="35">
        <v>19</v>
      </c>
      <c r="G31" s="38">
        <v>48363.92</v>
      </c>
      <c r="H31" s="53">
        <v>12798.3</v>
      </c>
      <c r="I31" s="40">
        <f t="shared" si="156"/>
      </c>
      <c r="J31" s="41">
        <f t="shared" si="136"/>
      </c>
      <c r="K31" s="41">
        <f t="shared" si="20"/>
      </c>
      <c r="L31" s="42">
        <f t="shared" si="0"/>
      </c>
      <c r="M31" s="54"/>
      <c r="N31" s="44"/>
      <c r="O31" s="44"/>
      <c r="P31" s="45"/>
      <c r="Q31" s="46"/>
      <c r="R31" s="47"/>
      <c r="S31" s="38">
        <f t="shared" si="44"/>
      </c>
      <c r="T31" s="48">
        <f t="shared" si="25"/>
      </c>
      <c r="U31" s="49">
        <f t="shared" si="102"/>
      </c>
      <c r="V31" s="49">
        <f t="shared" si="64"/>
      </c>
      <c r="W31" s="49">
        <f t="shared" si="121"/>
      </c>
      <c r="X31" s="50">
        <f t="shared" si="83"/>
      </c>
      <c r="Y31" s="49">
        <f t="shared" si="5"/>
      </c>
      <c r="Z31" s="51">
        <v>54</v>
      </c>
      <c r="AA31" s="52">
        <f t="shared" si="141"/>
      </c>
      <c r="AB31" s="51">
        <v>113819</v>
      </c>
      <c r="AC31" s="50">
        <v>2633</v>
      </c>
      <c r="AD31" s="50">
        <v>2796</v>
      </c>
      <c r="AE31" s="50">
        <v>433</v>
      </c>
      <c r="AF31" s="51">
        <v>232</v>
      </c>
      <c r="AG31" s="51">
        <v>14</v>
      </c>
      <c r="AH31" s="50">
        <v>17</v>
      </c>
      <c r="AI31" s="50">
        <v>73</v>
      </c>
    </row>
    <row hidden="true" r="32">
      <c r="A32" s="34">
        <v>46300</v>
      </c>
      <c r="B32" s="35" t="s">
        <v>83</v>
      </c>
      <c r="C32" s="36" t="s">
        <v>79</v>
      </c>
      <c r="D32" s="37">
        <v>4</v>
      </c>
      <c r="E32" s="35">
        <v>9</v>
      </c>
      <c r="F32" s="35">
        <v>12</v>
      </c>
      <c r="G32" s="55">
        <v>30366.79</v>
      </c>
      <c r="H32" s="39">
        <v>12559.66</v>
      </c>
      <c r="I32" s="40">
        <f t="shared" si="156"/>
      </c>
      <c r="J32" s="41">
        <f t="shared" si="136"/>
      </c>
      <c r="K32" s="41">
        <f t="shared" si="20"/>
      </c>
      <c r="L32" s="42">
        <f t="shared" si="0"/>
      </c>
      <c r="M32" s="43" t="s">
        <v>93</v>
      </c>
      <c r="N32" s="44">
        <v>10</v>
      </c>
      <c r="O32" s="44"/>
      <c r="P32" s="45"/>
      <c r="Q32" s="46"/>
      <c r="R32" s="47"/>
      <c r="S32" s="38">
        <f t="shared" si="44"/>
      </c>
      <c r="T32" s="48">
        <f t="shared" si="25"/>
      </c>
      <c r="U32" s="49">
        <f t="shared" si="102"/>
      </c>
      <c r="V32" s="49">
        <f t="shared" si="64"/>
      </c>
      <c r="W32" s="49">
        <f t="shared" si="121"/>
      </c>
      <c r="X32" s="50">
        <f t="shared" si="83"/>
      </c>
      <c r="Y32" s="49">
        <f t="shared" si="5"/>
      </c>
      <c r="Z32" s="51">
        <v>59</v>
      </c>
      <c r="AA32" s="52">
        <f t="shared" si="141"/>
      </c>
      <c r="AB32" s="50">
        <v>83098</v>
      </c>
      <c r="AC32" s="50">
        <v>1560</v>
      </c>
      <c r="AD32" s="50">
        <v>1621</v>
      </c>
      <c r="AE32" s="50">
        <v>320</v>
      </c>
      <c r="AF32" s="51">
        <v>262</v>
      </c>
      <c r="AG32" s="51">
        <v>15</v>
      </c>
      <c r="AH32" s="50">
        <v>5</v>
      </c>
      <c r="AI32" s="50">
        <v>31</v>
      </c>
    </row>
    <row hidden="true" r="33">
      <c r="A33" s="34">
        <v>46300</v>
      </c>
      <c r="B33" s="35" t="s">
        <v>73</v>
      </c>
      <c r="C33" s="36" t="s">
        <v>82</v>
      </c>
      <c r="D33" s="37">
        <v>4</v>
      </c>
      <c r="E33" s="35">
        <v>5</v>
      </c>
      <c r="F33" s="43">
        <v>13</v>
      </c>
      <c r="G33" s="55">
        <v>32027.01000000001</v>
      </c>
      <c r="H33" s="53">
        <v>10436.05</v>
      </c>
      <c r="I33" s="40">
        <f t="shared" si="156"/>
      </c>
      <c r="J33" s="41">
        <f t="shared" si="136"/>
      </c>
      <c r="K33" s="41">
        <f t="shared" si="20"/>
      </c>
      <c r="L33" s="42">
        <f t="shared" si="0"/>
      </c>
      <c r="M33" s="43"/>
      <c r="N33" s="56"/>
      <c r="O33" s="56"/>
      <c r="P33" s="45"/>
      <c r="Q33" s="46"/>
      <c r="R33" s="47"/>
      <c r="S33" s="38">
        <f t="shared" si="44"/>
      </c>
      <c r="T33" s="48">
        <f t="shared" si="25"/>
      </c>
      <c r="U33" s="49">
        <f t="shared" si="102"/>
      </c>
      <c r="V33" s="49">
        <f t="shared" si="64"/>
      </c>
      <c r="W33" s="49">
        <f t="shared" si="121"/>
      </c>
      <c r="X33" s="50">
        <f t="shared" si="83"/>
      </c>
      <c r="Y33" s="49">
        <f t="shared" si="5"/>
      </c>
      <c r="Z33" s="51">
        <v>55</v>
      </c>
      <c r="AA33" s="52">
        <f t="shared" si="141"/>
      </c>
      <c r="AB33" s="51">
        <v>80513</v>
      </c>
      <c r="AC33" s="50">
        <v>1532</v>
      </c>
      <c r="AD33" s="50">
        <v>1635</v>
      </c>
      <c r="AE33" s="50">
        <v>285</v>
      </c>
      <c r="AF33" s="51">
        <v>166</v>
      </c>
      <c r="AG33" s="50">
        <v>10</v>
      </c>
      <c r="AH33" s="50">
        <v>4</v>
      </c>
      <c r="AI33" s="50">
        <v>31</v>
      </c>
    </row>
    <row hidden="true" r="34">
      <c r="A34" s="34">
        <v>46300</v>
      </c>
      <c r="B34" s="35" t="s">
        <v>78</v>
      </c>
      <c r="C34" s="36" t="s">
        <v>84</v>
      </c>
      <c r="D34" s="37">
        <v>4</v>
      </c>
      <c r="E34" s="43">
        <v>14</v>
      </c>
      <c r="F34" s="43">
        <v>16</v>
      </c>
      <c r="G34" s="55">
        <v>38157.98999999999</v>
      </c>
      <c r="H34" s="57">
        <v>12201.68</v>
      </c>
      <c r="I34" s="40">
        <f t="shared" si="156"/>
      </c>
      <c r="J34" s="41">
        <f t="shared" si="136"/>
      </c>
      <c r="K34" s="41">
        <f t="shared" si="20"/>
      </c>
      <c r="L34" s="42">
        <f t="shared" si="0"/>
      </c>
      <c r="M34" s="43"/>
      <c r="N34" s="56"/>
      <c r="O34" s="56"/>
      <c r="P34" s="45"/>
      <c r="Q34" s="46"/>
      <c r="R34" s="47"/>
      <c r="S34" s="38">
        <f t="shared" si="44"/>
      </c>
      <c r="T34" s="48">
        <f t="shared" si="25"/>
      </c>
      <c r="U34" s="49">
        <f t="shared" si="102"/>
      </c>
      <c r="V34" s="49">
        <f t="shared" si="64"/>
      </c>
      <c r="W34" s="49">
        <f t="shared" si="121"/>
      </c>
      <c r="X34" s="50">
        <f t="shared" si="83"/>
      </c>
      <c r="Y34" s="49">
        <f t="shared" si="5"/>
      </c>
      <c r="Z34" s="51">
        <v>41</v>
      </c>
      <c r="AA34" s="52">
        <f t="shared" si="141"/>
      </c>
      <c r="AB34" s="50">
        <v>69693</v>
      </c>
      <c r="AC34" s="50">
        <v>1872</v>
      </c>
      <c r="AD34" s="50">
        <v>1987</v>
      </c>
      <c r="AE34" s="50">
        <v>235</v>
      </c>
      <c r="AF34" s="51">
        <v>198</v>
      </c>
      <c r="AG34" s="51">
        <v>20</v>
      </c>
      <c r="AH34" s="51">
        <v>5</v>
      </c>
      <c r="AI34" s="51">
        <v>17</v>
      </c>
    </row>
    <row hidden="true" r="35">
      <c r="A35" s="34">
        <v>46300</v>
      </c>
      <c r="B35" s="35" t="s">
        <v>76</v>
      </c>
      <c r="C35" s="36" t="s">
        <v>85</v>
      </c>
      <c r="D35" s="37">
        <v>2</v>
      </c>
      <c r="E35" s="43">
        <v>6</v>
      </c>
      <c r="F35" s="43">
        <v>6</v>
      </c>
      <c r="G35" s="55">
        <v>14742.590000000026</v>
      </c>
      <c r="H35" s="57">
        <v>8644.35</v>
      </c>
      <c r="I35" s="40">
        <f t="shared" si="156"/>
      </c>
      <c r="J35" s="41">
        <f t="shared" si="136"/>
      </c>
      <c r="K35" s="41">
        <f t="shared" si="20"/>
      </c>
      <c r="L35" s="42">
        <f t="shared" si="0"/>
      </c>
      <c r="M35" s="43" t="s">
        <v>91</v>
      </c>
      <c r="N35" s="56">
        <v>8</v>
      </c>
      <c r="O35" s="56"/>
      <c r="P35" s="45"/>
      <c r="Q35" s="46"/>
      <c r="R35" s="47"/>
      <c r="S35" s="38">
        <f t="shared" si="44"/>
      </c>
      <c r="T35" s="48">
        <f t="shared" si="25"/>
      </c>
      <c r="U35" s="49">
        <f t="shared" si="102"/>
      </c>
      <c r="V35" s="49">
        <f t="shared" si="64"/>
      </c>
      <c r="W35" s="49">
        <f t="shared" si="121"/>
      </c>
      <c r="X35" s="50">
        <f t="shared" si="83"/>
      </c>
      <c r="Y35" s="49">
        <f t="shared" si="5"/>
      </c>
      <c r="Z35" s="51">
        <v>45.5</v>
      </c>
      <c r="AA35" s="52">
        <f t="shared" si="141"/>
      </c>
      <c r="AB35" s="50">
        <v>68292</v>
      </c>
      <c r="AC35" s="50">
        <v>2134</v>
      </c>
      <c r="AD35" s="50">
        <v>2277</v>
      </c>
      <c r="AE35" s="50">
        <v>122</v>
      </c>
      <c r="AF35" s="51">
        <v>138</v>
      </c>
      <c r="AG35" s="51">
        <v>12</v>
      </c>
      <c r="AH35" s="51">
        <v>2</v>
      </c>
      <c r="AI35" s="51">
        <v>25</v>
      </c>
    </row>
    <row hidden="true" r="36">
      <c r="A36" s="58">
        <v>46300</v>
      </c>
      <c r="B36" s="59" t="s">
        <v>87</v>
      </c>
      <c r="C36" s="60"/>
      <c r="D36" s="60">
        <f>SUM(D30:D35)</f>
      </c>
      <c r="E36" s="60">
        <f>SUM(E30:E35)</f>
      </c>
      <c r="F36" s="60">
        <f>SUM(F30:F35)</f>
      </c>
      <c r="G36" s="60">
        <f>SUM(G30:G35)</f>
      </c>
      <c r="H36" s="60">
        <f>SUM(H30:H35)</f>
      </c>
      <c r="I36" s="61">
        <f t="shared" si="156"/>
      </c>
      <c r="J36" s="61">
        <f t="shared" si="136"/>
      </c>
      <c r="K36" s="61">
        <f t="shared" si="20"/>
      </c>
      <c r="L36" s="61">
        <f t="shared" si="0"/>
      </c>
      <c r="M36" s="60"/>
      <c r="N36" s="62">
        <f>SUM(N30:N35)</f>
      </c>
      <c r="O36" s="62"/>
      <c r="P36" s="60"/>
      <c r="Q36" s="60"/>
      <c r="R36" s="60"/>
      <c r="S36" s="63">
        <f>AVERAGE(S30:S35)</f>
      </c>
      <c r="T36" s="64">
        <f>AVERAGE(T30:T35)</f>
      </c>
      <c r="U36" s="64">
        <f>AVERAGE(U30:U35)</f>
      </c>
      <c r="V36" s="64">
        <f>AVERAGE(V30:V35)</f>
      </c>
      <c r="W36" s="64">
        <f>AVERAGE(W30:W35)</f>
      </c>
      <c r="X36" s="65">
        <f>SUM(X30:X35)</f>
      </c>
      <c r="Y36" s="64">
        <f>AVERAGE(Y30:Y35)</f>
      </c>
      <c r="Z36" s="65"/>
      <c r="AA36" s="66">
        <f>AVERAGE(AA30:AA35)</f>
      </c>
      <c r="AB36" s="65">
        <f>SUM(AB30:AB35)</f>
      </c>
      <c r="AC36" s="65">
        <f>SUM(AC30:AC35)</f>
      </c>
      <c r="AD36" s="65">
        <f>SUM(AD30:AD35)</f>
      </c>
      <c r="AE36" s="65">
        <f>SUM(AE30:AE35)</f>
      </c>
      <c r="AF36" s="65">
        <f>SUM(AF30:AF35)</f>
      </c>
      <c r="AG36" s="65">
        <f>SUM(AG30:AG35)</f>
      </c>
      <c r="AH36" s="65">
        <f>SUM(AH30:AH35)</f>
      </c>
      <c r="AI36" s="65">
        <f>SUM(AI30:AI35)</f>
      </c>
    </row>
    <row hidden="true" r="37">
      <c r="A37" s="34">
        <v>46301</v>
      </c>
      <c r="B37" s="35" t="s">
        <v>76</v>
      </c>
      <c r="C37" s="36" t="s">
        <v>88</v>
      </c>
      <c r="D37" s="37">
        <v>2</v>
      </c>
      <c r="E37" s="35">
        <v>3</v>
      </c>
      <c r="F37" s="35">
        <v>3</v>
      </c>
      <c r="G37" s="38">
        <v>4734.28</v>
      </c>
      <c r="H37" s="39">
        <v>3446.97</v>
      </c>
      <c r="I37" s="40">
        <f t="shared" si="156"/>
      </c>
      <c r="J37" s="41">
        <f t="shared" si="136"/>
      </c>
      <c r="K37" s="41">
        <f t="shared" si="20"/>
      </c>
      <c r="L37" s="42">
        <f t="shared" si="0"/>
      </c>
      <c r="M37" s="43" t="s">
        <v>92</v>
      </c>
      <c r="N37" s="44">
        <v>2</v>
      </c>
      <c r="O37" s="44"/>
      <c r="P37" s="45"/>
      <c r="Q37" s="46"/>
      <c r="R37" s="47"/>
      <c r="S37" s="38">
        <f t="shared" ref="S37:S42" si="45">H37/AC37</f>
      </c>
      <c r="T37" s="48">
        <f t="shared" ref="T37:T42" si="26">X37/AB37*1</f>
      </c>
      <c r="U37" s="49">
        <f t="shared" ref="U37:U42" si="103">AC37/AB37</f>
      </c>
      <c r="V37" s="49">
        <f t="shared" ref="V37:V42" si="65">AD37/AB37</f>
      </c>
      <c r="W37" s="49">
        <f t="shared" ref="W37:W42" si="122">AF37/AD37</f>
      </c>
      <c r="X37" s="50">
        <f t="shared" ref="X37:X42" si="84">AE37/Y37</f>
      </c>
      <c r="Y37" s="49">
        <f t="shared" ref="Y37:Y42" si="6">AE37/AD37</f>
      </c>
      <c r="Z37" s="51">
        <v>45</v>
      </c>
      <c r="AA37" s="52">
        <f t="shared" ref="AA37:AA42" si="142">(H37/AB37)*1000</f>
      </c>
      <c r="AB37" s="50">
        <v>45766</v>
      </c>
      <c r="AC37" s="50">
        <v>1009</v>
      </c>
      <c r="AD37" s="50">
        <v>1104</v>
      </c>
      <c r="AE37" s="50">
        <v>200</v>
      </c>
      <c r="AF37" s="51">
        <v>90</v>
      </c>
      <c r="AG37" s="51">
        <v>4</v>
      </c>
      <c r="AH37" s="50">
        <v>2</v>
      </c>
      <c r="AI37" s="50">
        <v>30</v>
      </c>
    </row>
    <row hidden="true" r="38">
      <c r="A38" s="34">
        <v>46301</v>
      </c>
      <c r="B38" s="35" t="s">
        <v>81</v>
      </c>
      <c r="C38" s="36" t="s">
        <v>77</v>
      </c>
      <c r="D38" s="37">
        <v>4</v>
      </c>
      <c r="E38" s="35">
        <v>15</v>
      </c>
      <c r="F38" s="35">
        <v>17</v>
      </c>
      <c r="G38" s="38">
        <v>46714.45</v>
      </c>
      <c r="H38" s="53">
        <v>16033.26</v>
      </c>
      <c r="I38" s="40">
        <f t="shared" si="156"/>
      </c>
      <c r="J38" s="41">
        <f t="shared" si="136"/>
      </c>
      <c r="K38" s="41">
        <f t="shared" si="20"/>
      </c>
      <c r="L38" s="42">
        <f t="shared" si="0"/>
      </c>
      <c r="M38" s="54"/>
      <c r="N38" s="44"/>
      <c r="O38" s="44"/>
      <c r="P38" s="45"/>
      <c r="Q38" s="46"/>
      <c r="R38" s="47"/>
      <c r="S38" s="38">
        <f t="shared" si="45"/>
      </c>
      <c r="T38" s="48">
        <f t="shared" si="26"/>
      </c>
      <c r="U38" s="49">
        <f t="shared" si="103"/>
      </c>
      <c r="V38" s="49">
        <f t="shared" si="65"/>
      </c>
      <c r="W38" s="49">
        <f t="shared" si="122"/>
      </c>
      <c r="X38" s="50">
        <f t="shared" si="84"/>
      </c>
      <c r="Y38" s="49">
        <f t="shared" si="6"/>
      </c>
      <c r="Z38" s="51">
        <v>53</v>
      </c>
      <c r="AA38" s="52">
        <f t="shared" si="142"/>
      </c>
      <c r="AB38" s="51">
        <v>142263</v>
      </c>
      <c r="AC38" s="50">
        <v>2994</v>
      </c>
      <c r="AD38" s="50">
        <v>3072</v>
      </c>
      <c r="AE38" s="50">
        <v>627</v>
      </c>
      <c r="AF38" s="51">
        <v>294</v>
      </c>
      <c r="AG38" s="51">
        <v>22</v>
      </c>
      <c r="AH38" s="50">
        <v>6</v>
      </c>
      <c r="AI38" s="50">
        <v>116</v>
      </c>
    </row>
    <row hidden="true" r="39">
      <c r="A39" s="34">
        <v>46301</v>
      </c>
      <c r="B39" s="35" t="s">
        <v>78</v>
      </c>
      <c r="C39" s="36" t="s">
        <v>79</v>
      </c>
      <c r="D39" s="37">
        <v>4</v>
      </c>
      <c r="E39" s="35">
        <v>20</v>
      </c>
      <c r="F39" s="35">
        <v>25</v>
      </c>
      <c r="G39" s="55">
        <v>59438.56</v>
      </c>
      <c r="H39" s="39">
        <v>15311.15</v>
      </c>
      <c r="I39" s="40">
        <f t="shared" si="156"/>
      </c>
      <c r="J39" s="41">
        <f t="shared" si="136"/>
      </c>
      <c r="K39" s="41">
        <f t="shared" si="20"/>
      </c>
      <c r="L39" s="42">
        <f t="shared" si="0"/>
      </c>
      <c r="M39" s="43" t="s">
        <v>93</v>
      </c>
      <c r="N39" s="44">
        <v>10</v>
      </c>
      <c r="O39" s="44"/>
      <c r="P39" s="45"/>
      <c r="Q39" s="46"/>
      <c r="R39" s="47"/>
      <c r="S39" s="38">
        <f t="shared" si="45"/>
      </c>
      <c r="T39" s="48">
        <f t="shared" si="26"/>
      </c>
      <c r="U39" s="49">
        <f t="shared" si="103"/>
      </c>
      <c r="V39" s="49">
        <f t="shared" si="65"/>
      </c>
      <c r="W39" s="49">
        <f t="shared" si="122"/>
      </c>
      <c r="X39" s="50">
        <f t="shared" si="84"/>
      </c>
      <c r="Y39" s="49">
        <f t="shared" si="6"/>
      </c>
      <c r="Z39" s="51">
        <v>58</v>
      </c>
      <c r="AA39" s="52">
        <f t="shared" si="142"/>
      </c>
      <c r="AB39" s="50">
        <v>108858</v>
      </c>
      <c r="AC39" s="50">
        <v>1842</v>
      </c>
      <c r="AD39" s="50">
        <v>1861</v>
      </c>
      <c r="AE39" s="50">
        <v>488</v>
      </c>
      <c r="AF39" s="51">
        <v>233</v>
      </c>
      <c r="AG39" s="51">
        <v>33</v>
      </c>
      <c r="AH39" s="50">
        <v>11</v>
      </c>
      <c r="AI39" s="50">
        <v>74</v>
      </c>
    </row>
    <row hidden="true" r="40">
      <c r="A40" s="34">
        <v>46301</v>
      </c>
      <c r="B40" s="35" t="s">
        <v>76</v>
      </c>
      <c r="C40" s="36" t="s">
        <v>82</v>
      </c>
      <c r="D40" s="37">
        <v>4</v>
      </c>
      <c r="E40" s="35">
        <v>13</v>
      </c>
      <c r="F40" s="43">
        <v>16</v>
      </c>
      <c r="G40" s="55">
        <v>43191.51</v>
      </c>
      <c r="H40" s="53">
        <v>12161.59</v>
      </c>
      <c r="I40" s="40">
        <f t="shared" si="156"/>
      </c>
      <c r="J40" s="41">
        <f t="shared" si="136"/>
      </c>
      <c r="K40" s="41">
        <f t="shared" si="20"/>
      </c>
      <c r="L40" s="42">
        <f t="shared" si="0"/>
      </c>
      <c r="M40" s="43"/>
      <c r="N40" s="56"/>
      <c r="O40" s="56"/>
      <c r="P40" s="45"/>
      <c r="Q40" s="46"/>
      <c r="R40" s="47"/>
      <c r="S40" s="38">
        <f t="shared" si="45"/>
      </c>
      <c r="T40" s="48">
        <f t="shared" si="26"/>
      </c>
      <c r="U40" s="49">
        <f t="shared" si="103"/>
      </c>
      <c r="V40" s="49">
        <f t="shared" si="65"/>
      </c>
      <c r="W40" s="49">
        <f t="shared" si="122"/>
      </c>
      <c r="X40" s="50">
        <f t="shared" si="84"/>
      </c>
      <c r="Y40" s="49">
        <f t="shared" si="6"/>
      </c>
      <c r="Z40" s="51">
        <v>58.5</v>
      </c>
      <c r="AA40" s="52">
        <f t="shared" si="142"/>
      </c>
      <c r="AB40" s="51">
        <v>63673</v>
      </c>
      <c r="AC40" s="50">
        <v>1439</v>
      </c>
      <c r="AD40" s="50">
        <v>1505</v>
      </c>
      <c r="AE40" s="50">
        <v>267</v>
      </c>
      <c r="AF40" s="51">
        <v>246</v>
      </c>
      <c r="AG40" s="50">
        <v>20</v>
      </c>
      <c r="AH40" s="50">
        <v>6</v>
      </c>
      <c r="AI40" s="50">
        <v>31</v>
      </c>
    </row>
    <row hidden="true" r="41">
      <c r="A41" s="34">
        <v>46301</v>
      </c>
      <c r="B41" s="35" t="s">
        <v>89</v>
      </c>
      <c r="C41" s="36" t="s">
        <v>84</v>
      </c>
      <c r="D41" s="37">
        <v>4</v>
      </c>
      <c r="E41" s="43">
        <v>14</v>
      </c>
      <c r="F41" s="43">
        <v>16</v>
      </c>
      <c r="G41" s="55">
        <v>42695.04</v>
      </c>
      <c r="H41" s="57">
        <v>13558.82</v>
      </c>
      <c r="I41" s="40">
        <f t="shared" si="156"/>
      </c>
      <c r="J41" s="41">
        <f t="shared" si="136"/>
      </c>
      <c r="K41" s="41">
        <f t="shared" si="20"/>
      </c>
      <c r="L41" s="42">
        <f t="shared" si="0"/>
      </c>
      <c r="M41" s="43"/>
      <c r="N41" s="56"/>
      <c r="O41" s="56"/>
      <c r="P41" s="45"/>
      <c r="Q41" s="46"/>
      <c r="R41" s="47"/>
      <c r="S41" s="38">
        <f t="shared" si="45"/>
      </c>
      <c r="T41" s="48">
        <f t="shared" si="26"/>
      </c>
      <c r="U41" s="49">
        <f t="shared" si="103"/>
      </c>
      <c r="V41" s="49">
        <f t="shared" si="65"/>
      </c>
      <c r="W41" s="49">
        <f t="shared" si="122"/>
      </c>
      <c r="X41" s="50">
        <f t="shared" si="84"/>
      </c>
      <c r="Y41" s="49">
        <f t="shared" si="6"/>
      </c>
      <c r="Z41" s="51">
        <v>40.75</v>
      </c>
      <c r="AA41" s="52">
        <f t="shared" si="142"/>
      </c>
      <c r="AB41" s="50">
        <v>84606</v>
      </c>
      <c r="AC41" s="50">
        <v>2402</v>
      </c>
      <c r="AD41" s="50">
        <v>2508</v>
      </c>
      <c r="AE41" s="50">
        <v>250</v>
      </c>
      <c r="AF41" s="51">
        <v>295</v>
      </c>
      <c r="AG41" s="51">
        <v>16</v>
      </c>
      <c r="AH41" s="51">
        <v>10</v>
      </c>
      <c r="AI41" s="51">
        <v>34</v>
      </c>
    </row>
    <row hidden="true" r="42">
      <c r="A42" s="34">
        <v>46301</v>
      </c>
      <c r="B42" s="35" t="s">
        <v>83</v>
      </c>
      <c r="C42" s="36" t="s">
        <v>85</v>
      </c>
      <c r="D42" s="37">
        <v>2</v>
      </c>
      <c r="E42" s="43">
        <v>6</v>
      </c>
      <c r="F42" s="43">
        <v>6</v>
      </c>
      <c r="G42" s="55">
        <v>14182.74000000002</v>
      </c>
      <c r="H42" s="57">
        <v>9277.78</v>
      </c>
      <c r="I42" s="40">
        <f t="shared" si="156"/>
      </c>
      <c r="J42" s="41">
        <f t="shared" si="136"/>
      </c>
      <c r="K42" s="41">
        <f t="shared" si="20"/>
      </c>
      <c r="L42" s="42">
        <f t="shared" si="0"/>
      </c>
      <c r="M42" s="43" t="s">
        <v>91</v>
      </c>
      <c r="N42" s="56">
        <v>8</v>
      </c>
      <c r="O42" s="56"/>
      <c r="P42" s="45"/>
      <c r="Q42" s="46"/>
      <c r="R42" s="47"/>
      <c r="S42" s="38">
        <f t="shared" si="45"/>
      </c>
      <c r="T42" s="48">
        <f t="shared" si="26"/>
      </c>
      <c r="U42" s="49">
        <f t="shared" si="103"/>
      </c>
      <c r="V42" s="49">
        <f t="shared" si="65"/>
      </c>
      <c r="W42" s="49">
        <f t="shared" si="122"/>
      </c>
      <c r="X42" s="50">
        <f t="shared" si="84"/>
      </c>
      <c r="Y42" s="49">
        <f t="shared" si="6"/>
      </c>
      <c r="Z42" s="51">
        <v>35.5</v>
      </c>
      <c r="AA42" s="52">
        <f t="shared" si="142"/>
      </c>
      <c r="AB42" s="50">
        <v>74886</v>
      </c>
      <c r="AC42" s="50">
        <v>2315</v>
      </c>
      <c r="AD42" s="50">
        <v>2442</v>
      </c>
      <c r="AE42" s="50">
        <v>220</v>
      </c>
      <c r="AF42" s="51">
        <v>168</v>
      </c>
      <c r="AG42" s="51">
        <v>11</v>
      </c>
      <c r="AH42" s="51">
        <v>1</v>
      </c>
      <c r="AI42" s="51">
        <v>19</v>
      </c>
    </row>
    <row hidden="true" r="43">
      <c r="A43" s="58">
        <v>46301</v>
      </c>
      <c r="B43" s="59" t="s">
        <v>87</v>
      </c>
      <c r="C43" s="60"/>
      <c r="D43" s="60">
        <f>SUM(D37:D42)</f>
      </c>
      <c r="E43" s="60">
        <f>SUM(E37:E42)</f>
      </c>
      <c r="F43" s="60">
        <f>SUM(F37:F42)</f>
      </c>
      <c r="G43" s="60">
        <f>SUM(G37:G42)</f>
      </c>
      <c r="H43" s="60">
        <f>SUM(H37:H42)</f>
      </c>
      <c r="I43" s="61">
        <f t="shared" si="156"/>
      </c>
      <c r="J43" s="61">
        <f t="shared" si="136"/>
      </c>
      <c r="K43" s="61">
        <f t="shared" si="20"/>
      </c>
      <c r="L43" s="61">
        <f t="shared" si="0"/>
      </c>
      <c r="M43" s="60"/>
      <c r="N43" s="62">
        <f>SUM(N37:N42)</f>
      </c>
      <c r="O43" s="62"/>
      <c r="P43" s="60"/>
      <c r="Q43" s="60"/>
      <c r="R43" s="60"/>
      <c r="S43" s="63">
        <f>AVERAGE(S37:S42)</f>
      </c>
      <c r="T43" s="64">
        <f>AVERAGE(T37:T42)</f>
      </c>
      <c r="U43" s="64">
        <f>AVERAGE(U37:U42)</f>
      </c>
      <c r="V43" s="64">
        <f>AVERAGE(V37:V42)</f>
      </c>
      <c r="W43" s="64">
        <f>AVERAGE(W37:W42)</f>
      </c>
      <c r="X43" s="65">
        <f>SUM(X37:X42)</f>
      </c>
      <c r="Y43" s="64">
        <f>AVERAGE(Y37:Y42)</f>
      </c>
      <c r="Z43" s="65"/>
      <c r="AA43" s="66">
        <f>AVERAGE(AA37:AA42)</f>
      </c>
      <c r="AB43" s="65">
        <f>SUM(AB37:AB42)</f>
      </c>
      <c r="AC43" s="65">
        <f>SUM(AC37:AC42)</f>
      </c>
      <c r="AD43" s="65">
        <f>SUM(AD37:AD42)</f>
      </c>
      <c r="AE43" s="65">
        <f>SUM(AE37:AE42)</f>
      </c>
      <c r="AF43" s="65">
        <f>SUM(AF37:AF42)</f>
      </c>
      <c r="AG43" s="65">
        <f>SUM(AG37:AG42)</f>
      </c>
      <c r="AH43" s="65">
        <f>SUM(AH37:AH42)</f>
      </c>
      <c r="AI43" s="65">
        <f>SUM(AI37:AI42)</f>
      </c>
    </row>
    <row hidden="true" r="44">
      <c r="A44" s="34">
        <v>46302</v>
      </c>
      <c r="B44" s="35" t="s">
        <v>83</v>
      </c>
      <c r="C44" s="36" t="s">
        <v>88</v>
      </c>
      <c r="D44" s="37">
        <v>2</v>
      </c>
      <c r="E44" s="35">
        <v>6</v>
      </c>
      <c r="F44" s="35">
        <v>6</v>
      </c>
      <c r="G44" s="38">
        <v>14189.19</v>
      </c>
      <c r="H44" s="39">
        <v>4486.2</v>
      </c>
      <c r="I44" s="40">
        <f t="shared" si="156"/>
      </c>
      <c r="J44" s="41">
        <f t="shared" si="136"/>
      </c>
      <c r="K44" s="41">
        <f t="shared" si="20"/>
      </c>
      <c r="L44" s="42">
        <f t="shared" si="0"/>
      </c>
      <c r="M44" s="43" t="s">
        <v>92</v>
      </c>
      <c r="N44" s="44">
        <v>2</v>
      </c>
      <c r="O44" s="44"/>
      <c r="P44" s="45"/>
      <c r="Q44" s="46"/>
      <c r="R44" s="47"/>
      <c r="S44" s="38">
        <f t="shared" ref="S44:S49" si="46">H44/AC44</f>
      </c>
      <c r="T44" s="48">
        <f t="shared" ref="T44:T49" si="27">X44/AB44*1</f>
      </c>
      <c r="U44" s="49">
        <f t="shared" ref="U44:U49" si="104">AC44/AB44</f>
      </c>
      <c r="V44" s="49">
        <f t="shared" ref="V44:V49" si="66">AD44/AB44</f>
      </c>
      <c r="W44" s="49">
        <f t="shared" ref="W44:W49" si="123">AF44/AD44</f>
      </c>
      <c r="X44" s="50">
        <f t="shared" ref="X44:X49" si="85">AE44/Y44</f>
      </c>
      <c r="Y44" s="49">
        <f t="shared" ref="Y44:Y49" si="7">AE44/AD44</f>
      </c>
      <c r="Z44" s="51">
        <v>45</v>
      </c>
      <c r="AA44" s="52">
        <f t="shared" ref="AA44:AA49" si="143">(H44/AB44)*1000</f>
      </c>
      <c r="AB44" s="50">
        <v>57846</v>
      </c>
      <c r="AC44" s="50">
        <v>1068</v>
      </c>
      <c r="AD44" s="50">
        <v>1132</v>
      </c>
      <c r="AE44" s="50">
        <v>145</v>
      </c>
      <c r="AF44" s="51">
        <v>122</v>
      </c>
      <c r="AG44" s="51">
        <v>4</v>
      </c>
      <c r="AH44" s="50">
        <v>2</v>
      </c>
      <c r="AI44" s="50">
        <v>32</v>
      </c>
    </row>
    <row hidden="true" r="45">
      <c r="A45" s="34">
        <v>46302</v>
      </c>
      <c r="B45" s="35" t="s">
        <v>78</v>
      </c>
      <c r="C45" s="36" t="s">
        <v>77</v>
      </c>
      <c r="D45" s="37">
        <v>4</v>
      </c>
      <c r="E45" s="35">
        <v>23</v>
      </c>
      <c r="F45" s="35">
        <v>25</v>
      </c>
      <c r="G45" s="38">
        <v>80109.66</v>
      </c>
      <c r="H45" s="53">
        <v>19523.77</v>
      </c>
      <c r="I45" s="40">
        <f t="shared" si="156"/>
      </c>
      <c r="J45" s="41">
        <f t="shared" si="136"/>
      </c>
      <c r="K45" s="41">
        <f t="shared" si="20"/>
      </c>
      <c r="L45" s="42">
        <f t="shared" si="0"/>
      </c>
      <c r="M45" s="54"/>
      <c r="N45" s="44"/>
      <c r="O45" s="44"/>
      <c r="P45" s="45"/>
      <c r="Q45" s="46"/>
      <c r="R45" s="47"/>
      <c r="S45" s="38">
        <f t="shared" si="46"/>
      </c>
      <c r="T45" s="48">
        <f t="shared" si="27"/>
      </c>
      <c r="U45" s="49">
        <f t="shared" si="104"/>
      </c>
      <c r="V45" s="49">
        <f t="shared" si="66"/>
      </c>
      <c r="W45" s="49">
        <f t="shared" si="123"/>
      </c>
      <c r="X45" s="50">
        <f t="shared" si="85"/>
      </c>
      <c r="Y45" s="49">
        <f t="shared" si="7"/>
      </c>
      <c r="Z45" s="51">
        <v>51</v>
      </c>
      <c r="AA45" s="52">
        <f t="shared" si="143"/>
      </c>
      <c r="AB45" s="51">
        <v>159649</v>
      </c>
      <c r="AC45" s="50">
        <v>3614</v>
      </c>
      <c r="AD45" s="50">
        <v>3759</v>
      </c>
      <c r="AE45" s="50">
        <v>737</v>
      </c>
      <c r="AF45" s="51">
        <v>289</v>
      </c>
      <c r="AG45" s="51">
        <v>45</v>
      </c>
      <c r="AH45" s="50">
        <v>17</v>
      </c>
      <c r="AI45" s="50">
        <v>135</v>
      </c>
    </row>
    <row customHeight="true" hidden="true" ht="16.071428571428573" r="46">
      <c r="A46" s="34">
        <v>46302</v>
      </c>
      <c r="B46" s="35" t="s">
        <v>89</v>
      </c>
      <c r="C46" s="36" t="s">
        <v>79</v>
      </c>
      <c r="D46" s="37">
        <v>4</v>
      </c>
      <c r="E46" s="35">
        <v>12</v>
      </c>
      <c r="F46" s="35">
        <v>14</v>
      </c>
      <c r="G46" s="55">
        <v>33937.98</v>
      </c>
      <c r="H46" s="39">
        <v>15398.13</v>
      </c>
      <c r="I46" s="40">
        <f t="shared" si="156"/>
      </c>
      <c r="J46" s="41">
        <f t="shared" si="136"/>
      </c>
      <c r="K46" s="41">
        <f t="shared" si="20"/>
      </c>
      <c r="L46" s="42">
        <f t="shared" si="0"/>
      </c>
      <c r="M46" s="43" t="s">
        <v>93</v>
      </c>
      <c r="N46" s="44">
        <v>10</v>
      </c>
      <c r="O46" s="44"/>
      <c r="P46" s="45"/>
      <c r="Q46" s="46"/>
      <c r="R46" s="47"/>
      <c r="S46" s="38">
        <f t="shared" si="46"/>
      </c>
      <c r="T46" s="48">
        <f t="shared" si="27"/>
      </c>
      <c r="U46" s="49">
        <f t="shared" si="104"/>
      </c>
      <c r="V46" s="49">
        <f t="shared" si="66"/>
      </c>
      <c r="W46" s="49">
        <f t="shared" si="123"/>
      </c>
      <c r="X46" s="50">
        <f t="shared" si="85"/>
      </c>
      <c r="Y46" s="49">
        <f t="shared" si="7"/>
      </c>
      <c r="Z46" s="51">
        <v>58</v>
      </c>
      <c r="AA46" s="52">
        <f t="shared" si="143"/>
      </c>
      <c r="AB46" s="50">
        <v>99159</v>
      </c>
      <c r="AC46" s="50">
        <v>2058</v>
      </c>
      <c r="AD46" s="50">
        <v>2209</v>
      </c>
      <c r="AE46" s="50">
        <v>353</v>
      </c>
      <c r="AF46" s="51">
        <v>142</v>
      </c>
      <c r="AG46" s="51">
        <v>12</v>
      </c>
      <c r="AH46" s="50">
        <v>7</v>
      </c>
      <c r="AI46" s="50">
        <v>45</v>
      </c>
    </row>
    <row customHeight="true" hidden="true" ht="16.071428571428573" r="47">
      <c r="A47" s="34">
        <v>46302</v>
      </c>
      <c r="B47" s="35" t="s">
        <v>76</v>
      </c>
      <c r="C47" s="36" t="s">
        <v>82</v>
      </c>
      <c r="D47" s="37">
        <v>4</v>
      </c>
      <c r="E47" s="35">
        <v>12</v>
      </c>
      <c r="F47" s="43">
        <v>13</v>
      </c>
      <c r="G47" s="55">
        <v>32354.96000000002</v>
      </c>
      <c r="H47" s="53">
        <v>15457.919999999998</v>
      </c>
      <c r="I47" s="40">
        <f t="shared" si="156"/>
      </c>
      <c r="J47" s="41">
        <f t="shared" si="136"/>
      </c>
      <c r="K47" s="41">
        <f t="shared" si="20"/>
      </c>
      <c r="L47" s="42">
        <f t="shared" si="0"/>
      </c>
      <c r="M47" s="43"/>
      <c r="N47" s="56"/>
      <c r="O47" s="56"/>
      <c r="P47" s="45"/>
      <c r="Q47" s="46"/>
      <c r="R47" s="47"/>
      <c r="S47" s="38">
        <f t="shared" si="46"/>
      </c>
      <c r="T47" s="48">
        <f t="shared" si="27"/>
      </c>
      <c r="U47" s="49">
        <f t="shared" si="104"/>
      </c>
      <c r="V47" s="49">
        <f t="shared" si="66"/>
      </c>
      <c r="W47" s="49">
        <f t="shared" si="123"/>
      </c>
      <c r="X47" s="50">
        <f t="shared" si="85"/>
      </c>
      <c r="Y47" s="49">
        <f t="shared" si="7"/>
      </c>
      <c r="Z47" s="51">
        <v>46.25</v>
      </c>
      <c r="AA47" s="52">
        <f t="shared" si="143"/>
      </c>
      <c r="AB47" s="51">
        <v>93933</v>
      </c>
      <c r="AC47" s="50">
        <v>2093</v>
      </c>
      <c r="AD47" s="50">
        <v>2193</v>
      </c>
      <c r="AE47" s="50">
        <v>275</v>
      </c>
      <c r="AF47" s="51">
        <v>239</v>
      </c>
      <c r="AG47" s="50">
        <v>21</v>
      </c>
      <c r="AH47" s="50">
        <v>3</v>
      </c>
      <c r="AI47" s="50">
        <v>34</v>
      </c>
    </row>
    <row customHeight="true" hidden="true" ht="16.071428571428573" r="48">
      <c r="A48" s="34">
        <v>46302</v>
      </c>
      <c r="B48" s="35" t="s">
        <v>81</v>
      </c>
      <c r="C48" s="36" t="s">
        <v>84</v>
      </c>
      <c r="D48" s="37">
        <v>4</v>
      </c>
      <c r="E48" s="43">
        <v>30</v>
      </c>
      <c r="F48" s="43">
        <v>32</v>
      </c>
      <c r="G48" s="55">
        <v>78375.43000000002</v>
      </c>
      <c r="H48" s="57">
        <v>23579.230000000003</v>
      </c>
      <c r="I48" s="40">
        <f t="shared" si="156"/>
      </c>
      <c r="J48" s="41">
        <f t="shared" si="136"/>
      </c>
      <c r="K48" s="41">
        <f t="shared" si="20"/>
      </c>
      <c r="L48" s="42">
        <f t="shared" si="0"/>
      </c>
      <c r="M48" s="43"/>
      <c r="N48" s="56"/>
      <c r="O48" s="56"/>
      <c r="P48" s="45"/>
      <c r="Q48" s="46"/>
      <c r="R48" s="47"/>
      <c r="S48" s="38">
        <f t="shared" si="46"/>
      </c>
      <c r="T48" s="48">
        <f t="shared" si="27"/>
      </c>
      <c r="U48" s="49">
        <f t="shared" si="104"/>
      </c>
      <c r="V48" s="49">
        <f t="shared" si="66"/>
      </c>
      <c r="W48" s="49">
        <f t="shared" si="123"/>
      </c>
      <c r="X48" s="50">
        <f t="shared" si="85"/>
      </c>
      <c r="Y48" s="49">
        <f t="shared" si="7"/>
      </c>
      <c r="Z48" s="51">
        <v>46.5</v>
      </c>
      <c r="AA48" s="52">
        <f t="shared" si="143"/>
      </c>
      <c r="AB48" s="50">
        <v>172342</v>
      </c>
      <c r="AC48" s="50">
        <v>3388</v>
      </c>
      <c r="AD48" s="50">
        <v>3585</v>
      </c>
      <c r="AE48" s="50">
        <v>554</v>
      </c>
      <c r="AF48" s="51">
        <v>269</v>
      </c>
      <c r="AG48" s="51">
        <v>26</v>
      </c>
      <c r="AH48" s="51">
        <v>10</v>
      </c>
      <c r="AI48" s="51">
        <v>98</v>
      </c>
    </row>
    <row customHeight="true" hidden="true" ht="16.071428571428573" r="49">
      <c r="A49" s="34">
        <v>46302</v>
      </c>
      <c r="B49" s="35" t="s">
        <v>73</v>
      </c>
      <c r="C49" s="36" t="s">
        <v>85</v>
      </c>
      <c r="D49" s="37">
        <v>2</v>
      </c>
      <c r="E49" s="43">
        <v>11</v>
      </c>
      <c r="F49" s="43">
        <v>13</v>
      </c>
      <c r="G49" s="55">
        <v>31015.659999999974</v>
      </c>
      <c r="H49" s="57">
        <v>12362.91</v>
      </c>
      <c r="I49" s="40">
        <f t="shared" si="156"/>
      </c>
      <c r="J49" s="41">
        <f t="shared" si="136"/>
      </c>
      <c r="K49" s="41">
        <f t="shared" si="20"/>
      </c>
      <c r="L49" s="42">
        <f t="shared" si="0"/>
      </c>
      <c r="M49" s="43" t="s">
        <v>91</v>
      </c>
      <c r="N49" s="56">
        <v>8</v>
      </c>
      <c r="O49" s="56"/>
      <c r="P49" s="45"/>
      <c r="Q49" s="46"/>
      <c r="R49" s="47"/>
      <c r="S49" s="38">
        <f t="shared" si="46"/>
      </c>
      <c r="T49" s="48">
        <f t="shared" si="27"/>
      </c>
      <c r="U49" s="49">
        <f t="shared" si="104"/>
      </c>
      <c r="V49" s="49">
        <f t="shared" si="66"/>
      </c>
      <c r="W49" s="49">
        <f t="shared" si="123"/>
      </c>
      <c r="X49" s="50">
        <f t="shared" si="85"/>
      </c>
      <c r="Y49" s="49">
        <f t="shared" si="7"/>
      </c>
      <c r="Z49" s="51">
        <v>53</v>
      </c>
      <c r="AA49" s="52">
        <f t="shared" si="143"/>
      </c>
      <c r="AB49" s="50">
        <v>103049</v>
      </c>
      <c r="AC49" s="50">
        <v>1569</v>
      </c>
      <c r="AD49" s="50">
        <v>1720</v>
      </c>
      <c r="AE49" s="50">
        <v>275</v>
      </c>
      <c r="AF49" s="51">
        <v>196</v>
      </c>
      <c r="AG49" s="51">
        <v>15</v>
      </c>
      <c r="AH49" s="51">
        <v>9</v>
      </c>
      <c r="AI49" s="51">
        <v>69</v>
      </c>
    </row>
    <row customHeight="true" hidden="true" ht="16.071428571428573" r="50">
      <c r="A50" s="58">
        <v>46302</v>
      </c>
      <c r="B50" s="59" t="s">
        <v>87</v>
      </c>
      <c r="C50" s="60"/>
      <c r="D50" s="60">
        <f>SUM(D44:D49)</f>
      </c>
      <c r="E50" s="60">
        <f>SUM(E44:E49)</f>
      </c>
      <c r="F50" s="60">
        <f>SUM(F44:F49)</f>
      </c>
      <c r="G50" s="60">
        <f>SUM(G44:G49)</f>
      </c>
      <c r="H50" s="60">
        <f>SUM(H44:H49)</f>
      </c>
      <c r="I50" s="61">
        <f t="shared" si="156"/>
      </c>
      <c r="J50" s="61">
        <f t="shared" si="136"/>
      </c>
      <c r="K50" s="61">
        <f t="shared" si="20"/>
      </c>
      <c r="L50" s="61">
        <f t="shared" si="0"/>
      </c>
      <c r="M50" s="60"/>
      <c r="N50" s="62">
        <f>SUM(N44:N49)</f>
      </c>
      <c r="O50" s="62"/>
      <c r="P50" s="60"/>
      <c r="Q50" s="60"/>
      <c r="R50" s="60"/>
      <c r="S50" s="63">
        <f>AVERAGE(S44:S49)</f>
      </c>
      <c r="T50" s="64">
        <f>AVERAGE(T44:T49)</f>
      </c>
      <c r="U50" s="64">
        <f>AVERAGE(U44:U49)</f>
      </c>
      <c r="V50" s="64">
        <f>AVERAGE(V44:V49)</f>
      </c>
      <c r="W50" s="64">
        <f>AVERAGE(W44:W49)</f>
      </c>
      <c r="X50" s="65">
        <f>SUM(X44:X49)</f>
      </c>
      <c r="Y50" s="64">
        <f>AVERAGE(Y44:Y49)</f>
      </c>
      <c r="Z50" s="65"/>
      <c r="AA50" s="66">
        <f>AVERAGE(AA44:AA49)</f>
      </c>
      <c r="AB50" s="65">
        <f>SUM(AB44:AB49)</f>
      </c>
      <c r="AC50" s="65">
        <f>SUM(AC44:AC49)</f>
      </c>
      <c r="AD50" s="65">
        <f>SUM(AD44:AD49)</f>
      </c>
      <c r="AE50" s="65">
        <f>SUM(AE44:AE49)</f>
      </c>
      <c r="AF50" s="65">
        <f>SUM(AF44:AF49)</f>
      </c>
      <c r="AG50" s="65">
        <f>SUM(AG44:AG49)</f>
      </c>
      <c r="AH50" s="65">
        <f>SUM(AH44:AH49)</f>
      </c>
      <c r="AI50" s="65">
        <f>SUM(AI44:AI49)</f>
      </c>
    </row>
    <row customHeight="true" hidden="true" ht="16.071428571428573" r="51">
      <c r="A51" s="34">
        <v>46303</v>
      </c>
      <c r="B51" s="35" t="s">
        <v>73</v>
      </c>
      <c r="C51" s="36" t="s">
        <v>88</v>
      </c>
      <c r="D51" s="37">
        <v>2</v>
      </c>
      <c r="E51" s="43">
        <v>8</v>
      </c>
      <c r="F51" s="43">
        <v>8</v>
      </c>
      <c r="G51" s="55">
        <v>18725.86</v>
      </c>
      <c r="H51" s="57">
        <v>5043.74</v>
      </c>
      <c r="I51" s="40">
        <f t="shared" si="156"/>
      </c>
      <c r="J51" s="41">
        <f t="shared" si="136"/>
      </c>
      <c r="K51" s="41">
        <f t="shared" si="20"/>
      </c>
      <c r="L51" s="42">
        <f t="shared" si="0"/>
      </c>
      <c r="M51" s="43" t="s">
        <v>92</v>
      </c>
      <c r="N51" s="56">
        <v>2</v>
      </c>
      <c r="O51" s="56"/>
      <c r="P51" s="45"/>
      <c r="Q51" s="46"/>
      <c r="R51" s="47"/>
      <c r="S51" s="38">
        <f t="shared" ref="S51:S56" si="47">H51/AC51</f>
      </c>
      <c r="T51" s="48">
        <f t="shared" ref="T51:T56" si="28">X51/AB51*1</f>
      </c>
      <c r="U51" s="49">
        <f t="shared" ref="U51:U56" si="105">AC51/AB51</f>
      </c>
      <c r="V51" s="49">
        <f t="shared" ref="V51:V56" si="67">AD51/AB51</f>
      </c>
      <c r="W51" s="49">
        <f t="shared" ref="W51:W56" si="124">AF51/AD51</f>
      </c>
      <c r="X51" s="50">
        <f t="shared" ref="X51:X56" si="86">AE51/Y51</f>
      </c>
      <c r="Y51" s="49">
        <f t="shared" ref="Y51:Y56" si="8">AE51/AD51</f>
      </c>
      <c r="Z51" s="51">
        <v>59.5</v>
      </c>
      <c r="AA51" s="52">
        <f t="shared" ref="AA51:AA56" si="144">(H51/AB51)*1000</f>
      </c>
      <c r="AB51" s="50">
        <v>58651</v>
      </c>
      <c r="AC51" s="50">
        <v>1368</v>
      </c>
      <c r="AD51" s="50">
        <v>1473</v>
      </c>
      <c r="AE51" s="50">
        <v>181</v>
      </c>
      <c r="AF51" s="51">
        <v>115</v>
      </c>
      <c r="AG51" s="51">
        <v>8</v>
      </c>
      <c r="AH51" s="51">
        <v>0</v>
      </c>
      <c r="AI51" s="51">
        <v>34</v>
      </c>
    </row>
    <row customHeight="true" hidden="true" ht="16.071428571428573" r="52">
      <c r="A52" s="34">
        <v>46303</v>
      </c>
      <c r="B52" s="35" t="s">
        <v>78</v>
      </c>
      <c r="C52" s="36" t="s">
        <v>77</v>
      </c>
      <c r="D52" s="37">
        <v>4</v>
      </c>
      <c r="E52" s="35">
        <v>11</v>
      </c>
      <c r="F52" s="35">
        <v>13</v>
      </c>
      <c r="G52" s="38">
        <v>29253.53</v>
      </c>
      <c r="H52" s="53">
        <v>14709.95</v>
      </c>
      <c r="I52" s="40">
        <f t="shared" si="156"/>
      </c>
      <c r="J52" s="41">
        <f t="shared" si="136"/>
      </c>
      <c r="K52" s="41">
        <f t="shared" si="20"/>
      </c>
      <c r="L52" s="42">
        <f t="shared" si="0"/>
      </c>
      <c r="M52" s="54"/>
      <c r="N52" s="44"/>
      <c r="O52" s="44"/>
      <c r="P52" s="45"/>
      <c r="Q52" s="46"/>
      <c r="R52" s="47"/>
      <c r="S52" s="38">
        <f t="shared" si="47"/>
      </c>
      <c r="T52" s="48">
        <f t="shared" si="28"/>
      </c>
      <c r="U52" s="49">
        <f t="shared" si="105"/>
      </c>
      <c r="V52" s="49">
        <f t="shared" si="67"/>
      </c>
      <c r="W52" s="49">
        <f t="shared" si="124"/>
      </c>
      <c r="X52" s="50">
        <f t="shared" si="86"/>
      </c>
      <c r="Y52" s="49">
        <f t="shared" si="8"/>
      </c>
      <c r="Z52" s="51">
        <v>44</v>
      </c>
      <c r="AA52" s="52">
        <f t="shared" si="144"/>
      </c>
      <c r="AB52" s="51">
        <v>131107</v>
      </c>
      <c r="AC52" s="50">
        <v>3227</v>
      </c>
      <c r="AD52" s="50">
        <v>3353</v>
      </c>
      <c r="AE52" s="50">
        <v>514</v>
      </c>
      <c r="AF52" s="51">
        <v>21</v>
      </c>
      <c r="AG52" s="51">
        <v>9</v>
      </c>
      <c r="AH52" s="50">
        <v>97</v>
      </c>
      <c r="AI52" s="50">
        <v>97</v>
      </c>
    </row>
    <row customHeight="true" hidden="true" ht="16.071428571428573" r="53">
      <c r="A53" s="34">
        <v>46303</v>
      </c>
      <c r="B53" s="35" t="s">
        <v>89</v>
      </c>
      <c r="C53" s="36" t="s">
        <v>79</v>
      </c>
      <c r="D53" s="37">
        <v>4</v>
      </c>
      <c r="E53" s="35">
        <v>16</v>
      </c>
      <c r="F53" s="35">
        <v>19</v>
      </c>
      <c r="G53" s="55">
        <v>43248.31</v>
      </c>
      <c r="H53" s="39">
        <v>16189.68</v>
      </c>
      <c r="I53" s="40">
        <f t="shared" si="156"/>
      </c>
      <c r="J53" s="41">
        <f t="shared" si="136"/>
      </c>
      <c r="K53" s="41">
        <f t="shared" si="20"/>
      </c>
      <c r="L53" s="42">
        <f t="shared" si="0"/>
      </c>
      <c r="M53" s="43" t="s">
        <v>93</v>
      </c>
      <c r="N53" s="44">
        <v>10</v>
      </c>
      <c r="O53" s="44"/>
      <c r="P53" s="45"/>
      <c r="Q53" s="46"/>
      <c r="R53" s="47"/>
      <c r="S53" s="38">
        <f t="shared" si="47"/>
      </c>
      <c r="T53" s="48">
        <f t="shared" si="28"/>
      </c>
      <c r="U53" s="49">
        <f t="shared" si="105"/>
      </c>
      <c r="V53" s="49">
        <f t="shared" si="67"/>
      </c>
      <c r="W53" s="49">
        <f t="shared" si="124"/>
      </c>
      <c r="X53" s="50">
        <f t="shared" si="86"/>
      </c>
      <c r="Y53" s="49">
        <f t="shared" si="8"/>
      </c>
      <c r="Z53" s="51">
        <v>44</v>
      </c>
      <c r="AA53" s="52">
        <f t="shared" si="144"/>
      </c>
      <c r="AB53" s="50">
        <v>88871</v>
      </c>
      <c r="AC53" s="50">
        <v>2652</v>
      </c>
      <c r="AD53" s="50">
        <v>2760</v>
      </c>
      <c r="AE53" s="50">
        <v>356</v>
      </c>
      <c r="AF53" s="51">
        <v>11</v>
      </c>
      <c r="AG53" s="51">
        <v>3</v>
      </c>
      <c r="AH53" s="50">
        <v>36</v>
      </c>
      <c r="AI53" s="50">
        <v>36</v>
      </c>
    </row>
    <row customHeight="true" hidden="true" ht="16.071428571428573" r="54">
      <c r="A54" s="34">
        <v>46303</v>
      </c>
      <c r="B54" s="35" t="s">
        <v>76</v>
      </c>
      <c r="C54" s="36" t="s">
        <v>82</v>
      </c>
      <c r="D54" s="37">
        <v>4</v>
      </c>
      <c r="E54" s="35">
        <v>20</v>
      </c>
      <c r="F54" s="43">
        <v>24</v>
      </c>
      <c r="G54" s="55">
        <v>56908.55</v>
      </c>
      <c r="H54" s="53">
        <v>17624.4</v>
      </c>
      <c r="I54" s="40">
        <f t="shared" si="156"/>
      </c>
      <c r="J54" s="41">
        <f t="shared" si="136"/>
      </c>
      <c r="K54" s="41">
        <f t="shared" si="20"/>
      </c>
      <c r="L54" s="42">
        <f t="shared" si="0"/>
      </c>
      <c r="M54" s="43"/>
      <c r="N54" s="56"/>
      <c r="O54" s="56"/>
      <c r="P54" s="45"/>
      <c r="Q54" s="46"/>
      <c r="R54" s="47"/>
      <c r="S54" s="38">
        <f t="shared" si="47"/>
      </c>
      <c r="T54" s="48">
        <f t="shared" si="28"/>
      </c>
      <c r="U54" s="49">
        <f t="shared" si="105"/>
      </c>
      <c r="V54" s="49">
        <f t="shared" si="67"/>
      </c>
      <c r="W54" s="49">
        <f t="shared" si="124"/>
      </c>
      <c r="X54" s="50">
        <f t="shared" si="86"/>
      </c>
      <c r="Y54" s="49">
        <f t="shared" si="8"/>
      </c>
      <c r="Z54" s="51">
        <v>50.25</v>
      </c>
      <c r="AA54" s="52">
        <f t="shared" si="144"/>
      </c>
      <c r="AB54" s="51">
        <v>113720</v>
      </c>
      <c r="AC54" s="50">
        <v>2198</v>
      </c>
      <c r="AD54" s="50">
        <v>2330</v>
      </c>
      <c r="AE54" s="50">
        <v>380</v>
      </c>
      <c r="AF54" s="51">
        <v>313</v>
      </c>
      <c r="AG54" s="50">
        <v>27</v>
      </c>
      <c r="AH54" s="50">
        <v>5</v>
      </c>
      <c r="AI54" s="50">
        <v>48</v>
      </c>
    </row>
    <row customHeight="true" hidden="true" ht="16.071428571428573" r="55">
      <c r="A55" s="34">
        <v>46303</v>
      </c>
      <c r="B55" s="35" t="s">
        <v>83</v>
      </c>
      <c r="C55" s="36" t="s">
        <v>84</v>
      </c>
      <c r="D55" s="37">
        <v>4</v>
      </c>
      <c r="E55" s="43">
        <v>16</v>
      </c>
      <c r="F55" s="43">
        <v>18</v>
      </c>
      <c r="G55" s="55">
        <v>47842.13999999999</v>
      </c>
      <c r="H55" s="57">
        <v>18488.84</v>
      </c>
      <c r="I55" s="40">
        <f t="shared" si="156"/>
      </c>
      <c r="J55" s="41">
        <f t="shared" si="136"/>
      </c>
      <c r="K55" s="41">
        <f t="shared" si="20"/>
      </c>
      <c r="L55" s="42">
        <f t="shared" si="0"/>
      </c>
      <c r="M55" s="43"/>
      <c r="N55" s="56"/>
      <c r="O55" s="56"/>
      <c r="P55" s="45"/>
      <c r="Q55" s="46"/>
      <c r="R55" s="47"/>
      <c r="S55" s="38">
        <f t="shared" si="47"/>
      </c>
      <c r="T55" s="48">
        <f t="shared" si="28"/>
      </c>
      <c r="U55" s="49">
        <f t="shared" si="105"/>
      </c>
      <c r="V55" s="49">
        <f t="shared" si="67"/>
      </c>
      <c r="W55" s="49">
        <f t="shared" si="124"/>
      </c>
      <c r="X55" s="50">
        <f t="shared" si="86"/>
      </c>
      <c r="Y55" s="49">
        <f t="shared" si="8"/>
      </c>
      <c r="Z55" s="51">
        <v>51.75</v>
      </c>
      <c r="AA55" s="52">
        <f t="shared" si="144"/>
      </c>
      <c r="AB55" s="50">
        <v>128892</v>
      </c>
      <c r="AC55" s="50">
        <v>2923</v>
      </c>
      <c r="AD55" s="50">
        <v>3043</v>
      </c>
      <c r="AE55" s="50">
        <v>422</v>
      </c>
      <c r="AF55" s="51">
        <v>312</v>
      </c>
      <c r="AG55" s="51">
        <v>32</v>
      </c>
      <c r="AH55" s="51">
        <v>10</v>
      </c>
      <c r="AI55" s="51">
        <v>72</v>
      </c>
    </row>
    <row customHeight="true" hidden="true" ht="16.071428571428573" r="56">
      <c r="A56" s="34">
        <v>46303</v>
      </c>
      <c r="B56" s="35" t="s">
        <v>73</v>
      </c>
      <c r="C56" s="36" t="s">
        <v>85</v>
      </c>
      <c r="D56" s="37">
        <v>2</v>
      </c>
      <c r="E56" s="43">
        <v>6</v>
      </c>
      <c r="F56" s="43">
        <v>9</v>
      </c>
      <c r="G56" s="55">
        <v>22393.809999999998</v>
      </c>
      <c r="H56" s="57">
        <v>8043.49</v>
      </c>
      <c r="I56" s="40">
        <f t="shared" si="156"/>
      </c>
      <c r="J56" s="41">
        <f t="shared" si="136"/>
      </c>
      <c r="K56" s="41">
        <f t="shared" si="20"/>
      </c>
      <c r="L56" s="42">
        <f t="shared" si="0"/>
      </c>
      <c r="M56" s="43" t="s">
        <v>91</v>
      </c>
      <c r="N56" s="56">
        <v>8</v>
      </c>
      <c r="O56" s="56"/>
      <c r="P56" s="45"/>
      <c r="Q56" s="46"/>
      <c r="R56" s="47"/>
      <c r="S56" s="38">
        <f t="shared" si="47"/>
      </c>
      <c r="T56" s="48">
        <f t="shared" si="28"/>
      </c>
      <c r="U56" s="49">
        <f t="shared" si="105"/>
      </c>
      <c r="V56" s="49">
        <f t="shared" si="67"/>
      </c>
      <c r="W56" s="49">
        <f t="shared" si="124"/>
      </c>
      <c r="X56" s="50">
        <f t="shared" si="86"/>
      </c>
      <c r="Y56" s="49">
        <f t="shared" si="8"/>
      </c>
      <c r="Z56" s="51">
        <v>53</v>
      </c>
      <c r="AA56" s="52">
        <f t="shared" si="144"/>
      </c>
      <c r="AB56" s="50">
        <v>55901</v>
      </c>
      <c r="AC56" s="50">
        <v>1459</v>
      </c>
      <c r="AD56" s="50">
        <v>1577</v>
      </c>
      <c r="AE56" s="50">
        <v>169</v>
      </c>
      <c r="AF56" s="51">
        <v>134</v>
      </c>
      <c r="AG56" s="51">
        <v>9</v>
      </c>
      <c r="AH56" s="51">
        <v>7</v>
      </c>
      <c r="AI56" s="51">
        <v>26</v>
      </c>
    </row>
    <row customHeight="true" hidden="true" ht="16.071428571428573" r="57">
      <c r="A57" s="58">
        <v>46303</v>
      </c>
      <c r="B57" s="59" t="s">
        <v>87</v>
      </c>
      <c r="C57" s="60"/>
      <c r="D57" s="60">
        <f>SUM(D51:D56)</f>
      </c>
      <c r="E57" s="60">
        <f>SUM(E51:E56)</f>
      </c>
      <c r="F57" s="60">
        <f>SUM(F51:F56)</f>
      </c>
      <c r="G57" s="60">
        <f>SUM(G51:G56)</f>
      </c>
      <c r="H57" s="60">
        <f>SUM(H51:H56)</f>
      </c>
      <c r="I57" s="61">
        <f t="shared" si="156"/>
      </c>
      <c r="J57" s="61">
        <f t="shared" si="136"/>
      </c>
      <c r="K57" s="61">
        <f t="shared" si="20"/>
      </c>
      <c r="L57" s="61">
        <f t="shared" si="0"/>
      </c>
      <c r="M57" s="60"/>
      <c r="N57" s="62">
        <f>SUM(N51:N56)</f>
      </c>
      <c r="O57" s="62"/>
      <c r="P57" s="60"/>
      <c r="Q57" s="60"/>
      <c r="R57" s="60"/>
      <c r="S57" s="63">
        <f>AVERAGE(S51:S56)</f>
      </c>
      <c r="T57" s="64">
        <f>AVERAGE(T51:T56)</f>
      </c>
      <c r="U57" s="64">
        <f>AVERAGE(U51:U56)</f>
      </c>
      <c r="V57" s="64">
        <f>AVERAGE(V51:V56)</f>
      </c>
      <c r="W57" s="64">
        <f>AVERAGE(W51:W56)</f>
      </c>
      <c r="X57" s="65">
        <f>SUM(X51:X56)</f>
      </c>
      <c r="Y57" s="64">
        <f>AVERAGE(Y51:Y56)</f>
      </c>
      <c r="Z57" s="65"/>
      <c r="AA57" s="66">
        <f>AVERAGE(AA51:AA56)</f>
      </c>
      <c r="AB57" s="65">
        <f>SUM(AB51:AB56)</f>
      </c>
      <c r="AC57" s="65">
        <f>SUM(AC51:AC56)</f>
      </c>
      <c r="AD57" s="65">
        <f>SUM(AD51:AD56)</f>
      </c>
      <c r="AE57" s="65">
        <f>SUM(AE51:AE56)</f>
      </c>
      <c r="AF57" s="65">
        <f>SUM(AF51:AF56)</f>
      </c>
      <c r="AG57" s="65">
        <f>SUM(AG51:AG56)</f>
      </c>
      <c r="AH57" s="65">
        <f>SUM(AH51:AH56)</f>
      </c>
      <c r="AI57" s="65">
        <f>SUM(AI51:AI56)</f>
      </c>
    </row>
    <row customHeight="true" hidden="true" ht="16.071428571428573" r="58">
      <c r="A58" s="34">
        <v>46304</v>
      </c>
      <c r="B58" s="35" t="s">
        <v>73</v>
      </c>
      <c r="C58" s="36" t="s">
        <v>88</v>
      </c>
      <c r="D58" s="37">
        <v>2</v>
      </c>
      <c r="E58" s="43">
        <v>3</v>
      </c>
      <c r="F58" s="43">
        <v>4</v>
      </c>
      <c r="G58" s="55">
        <v>7419.56</v>
      </c>
      <c r="H58" s="57">
        <v>3285.7</v>
      </c>
      <c r="I58" s="40">
        <f t="shared" si="156"/>
      </c>
      <c r="J58" s="41">
        <f t="shared" si="136"/>
      </c>
      <c r="K58" s="41">
        <f t="shared" si="20"/>
      </c>
      <c r="L58" s="42">
        <f t="shared" si="0"/>
      </c>
      <c r="M58" s="43" t="s">
        <v>92</v>
      </c>
      <c r="N58" s="56">
        <v>2</v>
      </c>
      <c r="O58" s="56"/>
      <c r="P58" s="45"/>
      <c r="Q58" s="46"/>
      <c r="R58" s="47"/>
      <c r="S58" s="38">
        <f t="shared" ref="S58:S63" si="48">H58/AC58</f>
      </c>
      <c r="T58" s="48">
        <f t="shared" ref="T58:T63" si="29">X58/AB58*1</f>
      </c>
      <c r="U58" s="49">
        <f t="shared" ref="U58:U63" si="106">AC58/AB58</f>
      </c>
      <c r="V58" s="49">
        <f t="shared" ref="V58:V63" si="68">AD58/AB58</f>
      </c>
      <c r="W58" s="49">
        <f t="shared" ref="W58:W63" si="125">AF58/AD58</f>
      </c>
      <c r="X58" s="50">
        <f t="shared" ref="X58:X63" si="87">AE58/Y58</f>
      </c>
      <c r="Y58" s="49">
        <f t="shared" ref="Y58:Y63" si="9">AE58/AD58</f>
      </c>
      <c r="Z58" s="51">
        <v>56</v>
      </c>
      <c r="AA58" s="52">
        <f t="shared" ref="AA58:AA63" si="145">(H58/AB58)*1000</f>
      </c>
      <c r="AB58" s="50">
        <v>28900</v>
      </c>
      <c r="AC58" s="50">
        <v>958</v>
      </c>
      <c r="AD58" s="50">
        <v>1038</v>
      </c>
      <c r="AE58" s="50">
        <v>137</v>
      </c>
      <c r="AF58" s="51">
        <v>73</v>
      </c>
      <c r="AG58" s="51">
        <v>4</v>
      </c>
      <c r="AH58" s="51">
        <v>2</v>
      </c>
      <c r="AI58" s="51">
        <v>31</v>
      </c>
    </row>
    <row customHeight="true" hidden="true" ht="16.071428571428573" r="59">
      <c r="A59" s="34">
        <v>46304</v>
      </c>
      <c r="B59" s="35" t="s">
        <v>81</v>
      </c>
      <c r="C59" s="36" t="s">
        <v>77</v>
      </c>
      <c r="D59" s="37">
        <v>4</v>
      </c>
      <c r="E59" s="35">
        <v>21</v>
      </c>
      <c r="F59" s="35">
        <v>23</v>
      </c>
      <c r="G59" s="38">
        <v>58970.4</v>
      </c>
      <c r="H59" s="53">
        <v>12714.32</v>
      </c>
      <c r="I59" s="40">
        <f t="shared" si="156"/>
      </c>
      <c r="J59" s="41">
        <f t="shared" si="136"/>
      </c>
      <c r="K59" s="41">
        <f t="shared" si="20"/>
      </c>
      <c r="L59" s="42">
        <f t="shared" si="0"/>
      </c>
      <c r="M59" s="54"/>
      <c r="N59" s="44"/>
      <c r="O59" s="44"/>
      <c r="P59" s="45"/>
      <c r="Q59" s="46"/>
      <c r="R59" s="47"/>
      <c r="S59" s="38">
        <f t="shared" si="48"/>
      </c>
      <c r="T59" s="48">
        <f t="shared" si="29"/>
      </c>
      <c r="U59" s="49">
        <f t="shared" si="106"/>
      </c>
      <c r="V59" s="49">
        <f t="shared" si="68"/>
      </c>
      <c r="W59" s="49">
        <f t="shared" si="125"/>
      </c>
      <c r="X59" s="50">
        <f t="shared" si="87"/>
      </c>
      <c r="Y59" s="49">
        <f t="shared" si="9"/>
      </c>
      <c r="Z59" s="51">
        <v>58</v>
      </c>
      <c r="AA59" s="52">
        <f t="shared" si="145"/>
      </c>
      <c r="AB59" s="51">
        <v>111331</v>
      </c>
      <c r="AC59" s="50">
        <v>2090</v>
      </c>
      <c r="AD59" s="50">
        <v>2119</v>
      </c>
      <c r="AE59" s="50">
        <v>515</v>
      </c>
      <c r="AF59" s="51">
        <v>280</v>
      </c>
      <c r="AG59" s="51">
        <v>23</v>
      </c>
      <c r="AH59" s="50">
        <v>4</v>
      </c>
      <c r="AI59" s="50">
        <v>99</v>
      </c>
    </row>
    <row customHeight="true" hidden="true" ht="16.071428571428573" r="60">
      <c r="A60" s="34">
        <v>46304</v>
      </c>
      <c r="B60" s="35" t="s">
        <v>78</v>
      </c>
      <c r="C60" s="36" t="s">
        <v>79</v>
      </c>
      <c r="D60" s="37">
        <v>4</v>
      </c>
      <c r="E60" s="35">
        <v>17</v>
      </c>
      <c r="F60" s="35">
        <v>21</v>
      </c>
      <c r="G60" s="55">
        <v>48577.91</v>
      </c>
      <c r="H60" s="39">
        <v>13907.14</v>
      </c>
      <c r="I60" s="40">
        <f t="shared" si="156"/>
      </c>
      <c r="J60" s="41">
        <f t="shared" si="136"/>
      </c>
      <c r="K60" s="41">
        <f t="shared" si="20"/>
      </c>
      <c r="L60" s="42">
        <f t="shared" si="0"/>
      </c>
      <c r="M60" s="43" t="s">
        <v>93</v>
      </c>
      <c r="N60" s="44">
        <v>10</v>
      </c>
      <c r="O60" s="44"/>
      <c r="P60" s="45"/>
      <c r="Q60" s="46"/>
      <c r="R60" s="47"/>
      <c r="S60" s="38">
        <f t="shared" si="48"/>
      </c>
      <c r="T60" s="48">
        <f t="shared" si="29"/>
      </c>
      <c r="U60" s="49">
        <f t="shared" si="106"/>
      </c>
      <c r="V60" s="49">
        <f t="shared" si="68"/>
      </c>
      <c r="W60" s="49">
        <f t="shared" si="125"/>
      </c>
      <c r="X60" s="50">
        <f t="shared" si="87"/>
      </c>
      <c r="Y60" s="49">
        <f t="shared" si="9"/>
      </c>
      <c r="Z60" s="51">
        <v>65</v>
      </c>
      <c r="AA60" s="52">
        <f t="shared" si="145"/>
      </c>
      <c r="AB60" s="50">
        <v>121061</v>
      </c>
      <c r="AC60" s="50">
        <v>1433</v>
      </c>
      <c r="AD60" s="50">
        <v>1391</v>
      </c>
      <c r="AE60" s="50">
        <v>565</v>
      </c>
      <c r="AF60" s="51">
        <v>242</v>
      </c>
      <c r="AG60" s="51">
        <v>23</v>
      </c>
      <c r="AH60" s="50">
        <v>5</v>
      </c>
      <c r="AI60" s="50">
        <v>125</v>
      </c>
    </row>
    <row customHeight="true" hidden="true" ht="16.071428571428573" r="61">
      <c r="A61" s="34">
        <v>46304</v>
      </c>
      <c r="B61" s="35" t="s">
        <v>73</v>
      </c>
      <c r="C61" s="36" t="s">
        <v>82</v>
      </c>
      <c r="D61" s="37">
        <v>4</v>
      </c>
      <c r="E61" s="35">
        <v>17</v>
      </c>
      <c r="F61" s="43">
        <v>20</v>
      </c>
      <c r="G61" s="55">
        <v>47702.76000000001</v>
      </c>
      <c r="H61" s="53">
        <v>19966.629999999997</v>
      </c>
      <c r="I61" s="40">
        <f t="shared" si="156"/>
      </c>
      <c r="J61" s="41">
        <f t="shared" si="136"/>
      </c>
      <c r="K61" s="41">
        <f t="shared" si="20"/>
      </c>
      <c r="L61" s="42">
        <f t="shared" si="0"/>
      </c>
      <c r="M61" s="43"/>
      <c r="N61" s="56"/>
      <c r="O61" s="56"/>
      <c r="P61" s="45"/>
      <c r="Q61" s="46"/>
      <c r="R61" s="47"/>
      <c r="S61" s="38">
        <f t="shared" si="48"/>
      </c>
      <c r="T61" s="48">
        <f t="shared" si="29"/>
      </c>
      <c r="U61" s="49">
        <f t="shared" si="106"/>
      </c>
      <c r="V61" s="49">
        <f t="shared" si="68"/>
      </c>
      <c r="W61" s="49">
        <f t="shared" si="125"/>
      </c>
      <c r="X61" s="50">
        <f t="shared" si="87"/>
      </c>
      <c r="Y61" s="49">
        <f t="shared" si="9"/>
      </c>
      <c r="Z61" s="51">
        <v>64</v>
      </c>
      <c r="AA61" s="52">
        <f t="shared" si="145"/>
      </c>
      <c r="AB61" s="51">
        <v>162113</v>
      </c>
      <c r="AC61" s="50">
        <v>2360</v>
      </c>
      <c r="AD61" s="50">
        <v>2372</v>
      </c>
      <c r="AE61" s="50">
        <v>615</v>
      </c>
      <c r="AF61" s="51">
        <v>313</v>
      </c>
      <c r="AG61" s="50">
        <v>27</v>
      </c>
      <c r="AH61" s="50">
        <v>4</v>
      </c>
      <c r="AI61" s="50">
        <v>115</v>
      </c>
    </row>
    <row customHeight="true" hidden="true" ht="16.071428571428573" r="62">
      <c r="A62" s="34">
        <v>46304</v>
      </c>
      <c r="B62" s="35" t="s">
        <v>89</v>
      </c>
      <c r="C62" s="36" t="s">
        <v>84</v>
      </c>
      <c r="D62" s="37">
        <v>4</v>
      </c>
      <c r="E62" s="43">
        <v>18</v>
      </c>
      <c r="F62" s="43">
        <v>21</v>
      </c>
      <c r="G62" s="55">
        <v>49980.45000000001</v>
      </c>
      <c r="H62" s="57">
        <v>20182.11</v>
      </c>
      <c r="I62" s="40">
        <f t="shared" si="156"/>
      </c>
      <c r="J62" s="41">
        <f t="shared" si="136"/>
      </c>
      <c r="K62" s="41">
        <f t="shared" si="20"/>
      </c>
      <c r="L62" s="42">
        <f t="shared" si="0"/>
      </c>
      <c r="M62" s="43"/>
      <c r="N62" s="56"/>
      <c r="O62" s="56"/>
      <c r="P62" s="45"/>
      <c r="Q62" s="46"/>
      <c r="R62" s="47"/>
      <c r="S62" s="38">
        <f t="shared" si="48"/>
      </c>
      <c r="T62" s="48">
        <f t="shared" si="29"/>
      </c>
      <c r="U62" s="49">
        <f t="shared" si="106"/>
      </c>
      <c r="V62" s="49">
        <f t="shared" si="68"/>
      </c>
      <c r="W62" s="49">
        <f t="shared" si="125"/>
      </c>
      <c r="X62" s="50">
        <f t="shared" si="87"/>
      </c>
      <c r="Y62" s="49">
        <f t="shared" si="9"/>
      </c>
      <c r="Z62" s="51">
        <v>61</v>
      </c>
      <c r="AA62" s="52">
        <f t="shared" si="145"/>
      </c>
      <c r="AB62" s="50">
        <v>148654</v>
      </c>
      <c r="AC62" s="50">
        <v>2723</v>
      </c>
      <c r="AD62" s="50">
        <v>2832</v>
      </c>
      <c r="AE62" s="50">
        <v>589</v>
      </c>
      <c r="AF62" s="51">
        <v>299</v>
      </c>
      <c r="AG62" s="51">
        <v>27</v>
      </c>
      <c r="AH62" s="51">
        <v>14</v>
      </c>
      <c r="AI62" s="51">
        <v>119</v>
      </c>
    </row>
    <row customHeight="true" hidden="true" ht="16.071428571428573" r="63">
      <c r="A63" s="34">
        <v>46304</v>
      </c>
      <c r="B63" s="35" t="s">
        <v>83</v>
      </c>
      <c r="C63" s="36" t="s">
        <v>85</v>
      </c>
      <c r="D63" s="37">
        <v>2</v>
      </c>
      <c r="E63" s="43">
        <v>5</v>
      </c>
      <c r="F63" s="43">
        <v>5</v>
      </c>
      <c r="G63" s="55">
        <v>11956.01000000001</v>
      </c>
      <c r="H63" s="57">
        <v>8753.470000000001</v>
      </c>
      <c r="I63" s="40">
        <f t="shared" si="156"/>
      </c>
      <c r="J63" s="41">
        <f t="shared" si="136"/>
      </c>
      <c r="K63" s="41">
        <f t="shared" si="20"/>
      </c>
      <c r="L63" s="42">
        <f t="shared" si="0"/>
      </c>
      <c r="M63" s="43" t="s">
        <v>91</v>
      </c>
      <c r="N63" s="56">
        <v>8</v>
      </c>
      <c r="O63" s="56"/>
      <c r="P63" s="45"/>
      <c r="Q63" s="46"/>
      <c r="R63" s="47"/>
      <c r="S63" s="38">
        <f t="shared" si="48"/>
      </c>
      <c r="T63" s="48">
        <f t="shared" si="29"/>
      </c>
      <c r="U63" s="49">
        <f t="shared" si="106"/>
      </c>
      <c r="V63" s="49">
        <f t="shared" si="68"/>
      </c>
      <c r="W63" s="49">
        <f t="shared" si="125"/>
      </c>
      <c r="X63" s="50">
        <f t="shared" si="87"/>
      </c>
      <c r="Y63" s="49">
        <f t="shared" si="9"/>
      </c>
      <c r="Z63" s="51">
        <v>52</v>
      </c>
      <c r="AA63" s="52">
        <f t="shared" si="145"/>
      </c>
      <c r="AB63" s="50">
        <v>71937</v>
      </c>
      <c r="AC63" s="50">
        <v>1815</v>
      </c>
      <c r="AD63" s="50">
        <v>1897</v>
      </c>
      <c r="AE63" s="50">
        <v>235</v>
      </c>
      <c r="AF63" s="51">
        <v>154</v>
      </c>
      <c r="AG63" s="51">
        <v>12</v>
      </c>
      <c r="AH63" s="51">
        <v>4</v>
      </c>
      <c r="AI63" s="51">
        <v>34</v>
      </c>
    </row>
    <row customHeight="true" hidden="true" ht="16.071428571428573" r="64">
      <c r="A64" s="58">
        <v>46304</v>
      </c>
      <c r="B64" s="59" t="s">
        <v>87</v>
      </c>
      <c r="C64" s="60"/>
      <c r="D64" s="60">
        <f>SUM(D58:D63)</f>
      </c>
      <c r="E64" s="60">
        <f>SUM(E58:E63)</f>
      </c>
      <c r="F64" s="60">
        <f>SUM(F58:F63)</f>
      </c>
      <c r="G64" s="60">
        <f>SUM(G58:G63)</f>
      </c>
      <c r="H64" s="60">
        <f>SUM(H58:H63)</f>
      </c>
      <c r="I64" s="61">
        <f t="shared" si="156"/>
      </c>
      <c r="J64" s="61">
        <f t="shared" si="136"/>
      </c>
      <c r="K64" s="61">
        <f t="shared" si="20"/>
      </c>
      <c r="L64" s="61">
        <f t="shared" si="0"/>
      </c>
      <c r="M64" s="60"/>
      <c r="N64" s="62">
        <f>SUM(N58:N63)</f>
      </c>
      <c r="O64" s="62"/>
      <c r="P64" s="60"/>
      <c r="Q64" s="60"/>
      <c r="R64" s="60"/>
      <c r="S64" s="63">
        <f>AVERAGE(S58:S63)</f>
      </c>
      <c r="T64" s="64">
        <f>AVERAGE(T58:T63)</f>
      </c>
      <c r="U64" s="64">
        <f>AVERAGE(U58:U63)</f>
      </c>
      <c r="V64" s="64">
        <f>AVERAGE(V58:V63)</f>
      </c>
      <c r="W64" s="64">
        <f>AVERAGE(W58:W63)</f>
      </c>
      <c r="X64" s="65">
        <f>SUM(X58:X63)</f>
      </c>
      <c r="Y64" s="64">
        <f>AVERAGE(Y58:Y63)</f>
      </c>
      <c r="Z64" s="65"/>
      <c r="AA64" s="66">
        <f>AVERAGE(AA58:AA63)</f>
      </c>
      <c r="AB64" s="65">
        <f>SUM(AB58:AB63)</f>
      </c>
      <c r="AC64" s="65">
        <f>SUM(AC58:AC63)</f>
      </c>
      <c r="AD64" s="65">
        <f>SUM(AD58:AD63)</f>
      </c>
      <c r="AE64" s="65">
        <f>SUM(AE58:AE63)</f>
      </c>
      <c r="AF64" s="65">
        <f>SUM(AF58:AF63)</f>
      </c>
      <c r="AG64" s="65">
        <f>SUM(AG58:AG63)</f>
      </c>
      <c r="AH64" s="65">
        <f>SUM(AH58:AH63)</f>
      </c>
      <c r="AI64" s="65">
        <f>SUM(AI58:AI63)</f>
      </c>
    </row>
    <row customHeight="true" hidden="true" ht="16.071428571428573" r="65">
      <c r="A65" s="34">
        <v>46305</v>
      </c>
      <c r="B65" s="35" t="s">
        <v>83</v>
      </c>
      <c r="C65" s="36" t="s">
        <v>88</v>
      </c>
      <c r="D65" s="37">
        <v>2</v>
      </c>
      <c r="E65" s="43">
        <v>3</v>
      </c>
      <c r="F65" s="43">
        <v>3</v>
      </c>
      <c r="G65" s="55">
        <v>6537.96</v>
      </c>
      <c r="H65" s="57">
        <v>3363.81</v>
      </c>
      <c r="I65" s="40">
        <f t="shared" si="156"/>
      </c>
      <c r="J65" s="41">
        <f t="shared" si="136"/>
      </c>
      <c r="K65" s="41">
        <f t="shared" si="20"/>
      </c>
      <c r="L65" s="42">
        <f t="shared" si="0"/>
      </c>
      <c r="M65" s="43" t="s">
        <v>92</v>
      </c>
      <c r="N65" s="56">
        <v>2</v>
      </c>
      <c r="O65" s="56"/>
      <c r="P65" s="45"/>
      <c r="Q65" s="46"/>
      <c r="R65" s="47"/>
      <c r="S65" s="38">
        <f t="shared" ref="S65:S70" si="49">H65/AC65</f>
      </c>
      <c r="T65" s="48">
        <f t="shared" ref="T65:T70" si="30">X65/AB65*1</f>
      </c>
      <c r="U65" s="49">
        <f t="shared" ref="U65:U70" si="107">AC65/AB65</f>
      </c>
      <c r="V65" s="49">
        <f t="shared" ref="V65:V70" si="69">AD65/AB65</f>
      </c>
      <c r="W65" s="49">
        <f t="shared" ref="W65:W70" si="126">AF65/AD65</f>
      </c>
      <c r="X65" s="50">
        <f t="shared" ref="X65:X70" si="88">AE65/Y65</f>
      </c>
      <c r="Y65" s="49">
        <f t="shared" ref="Y65:Y70" si="10">AE65/AD65</f>
      </c>
      <c r="Z65" s="51">
        <v>64</v>
      </c>
      <c r="AA65" s="52">
        <f t="shared" ref="AA65:AA70" si="146">(H65/AB65)*1000</f>
      </c>
      <c r="AB65" s="50">
        <v>38571</v>
      </c>
      <c r="AC65" s="50">
        <v>878</v>
      </c>
      <c r="AD65" s="50">
        <v>936</v>
      </c>
      <c r="AE65" s="50">
        <v>154</v>
      </c>
      <c r="AF65" s="51">
        <v>122</v>
      </c>
      <c r="AG65" s="51">
        <v>13</v>
      </c>
      <c r="AH65" s="51">
        <v>0</v>
      </c>
      <c r="AI65" s="51">
        <v>27</v>
      </c>
    </row>
    <row customHeight="true" hidden="true" ht="16.071428571428573" r="66">
      <c r="A66" s="34">
        <v>46305</v>
      </c>
      <c r="B66" s="35" t="s">
        <v>81</v>
      </c>
      <c r="C66" s="36" t="s">
        <v>77</v>
      </c>
      <c r="D66" s="37">
        <v>4</v>
      </c>
      <c r="E66" s="35">
        <v>18</v>
      </c>
      <c r="F66" s="35">
        <v>23</v>
      </c>
      <c r="G66" s="38">
        <v>55120.87</v>
      </c>
      <c r="H66" s="53">
        <v>14372.5</v>
      </c>
      <c r="I66" s="40">
        <f t="shared" si="156"/>
      </c>
      <c r="J66" s="41">
        <f t="shared" si="136"/>
      </c>
      <c r="K66" s="41">
        <f t="shared" si="20"/>
      </c>
      <c r="L66" s="42">
        <f t="shared" si="0"/>
      </c>
      <c r="M66" s="54"/>
      <c r="N66" s="44"/>
      <c r="O66" s="44"/>
      <c r="P66" s="45"/>
      <c r="Q66" s="46"/>
      <c r="R66" s="47"/>
      <c r="S66" s="38">
        <f t="shared" si="49"/>
      </c>
      <c r="T66" s="48">
        <f t="shared" si="30"/>
      </c>
      <c r="U66" s="49">
        <f t="shared" si="107"/>
      </c>
      <c r="V66" s="49">
        <f t="shared" si="69"/>
      </c>
      <c r="W66" s="49">
        <f t="shared" si="126"/>
      </c>
      <c r="X66" s="50">
        <f t="shared" si="88"/>
      </c>
      <c r="Y66" s="49">
        <f t="shared" si="10"/>
      </c>
      <c r="Z66" s="51">
        <v>58</v>
      </c>
      <c r="AA66" s="52">
        <f t="shared" si="146"/>
      </c>
      <c r="AB66" s="51">
        <v>129341</v>
      </c>
      <c r="AC66" s="50">
        <v>2637</v>
      </c>
      <c r="AD66" s="50">
        <v>2674</v>
      </c>
      <c r="AE66" s="50">
        <v>698</v>
      </c>
      <c r="AF66" s="51">
        <v>321</v>
      </c>
      <c r="AG66" s="51">
        <v>39</v>
      </c>
      <c r="AH66" s="50">
        <v>9</v>
      </c>
      <c r="AI66" s="50">
        <v>137</v>
      </c>
    </row>
    <row customHeight="true" hidden="true" ht="16.071428571428573" r="67">
      <c r="A67" s="34">
        <v>46305</v>
      </c>
      <c r="B67" s="35" t="s">
        <v>73</v>
      </c>
      <c r="C67" s="36" t="s">
        <v>79</v>
      </c>
      <c r="D67" s="37">
        <v>4</v>
      </c>
      <c r="E67" s="35">
        <v>13</v>
      </c>
      <c r="F67" s="35">
        <v>15</v>
      </c>
      <c r="G67" s="55">
        <v>37334</v>
      </c>
      <c r="H67" s="39">
        <v>13611.4</v>
      </c>
      <c r="I67" s="40">
        <f t="shared" si="156"/>
      </c>
      <c r="J67" s="41">
        <f t="shared" si="136"/>
      </c>
      <c r="K67" s="41">
        <f t="shared" si="20"/>
      </c>
      <c r="L67" s="42">
        <f t="shared" si="0"/>
      </c>
      <c r="M67" s="43" t="s">
        <v>93</v>
      </c>
      <c r="N67" s="44">
        <v>10</v>
      </c>
      <c r="O67" s="44"/>
      <c r="P67" s="45"/>
      <c r="Q67" s="46"/>
      <c r="R67" s="47"/>
      <c r="S67" s="38">
        <f t="shared" si="49"/>
      </c>
      <c r="T67" s="48">
        <f t="shared" si="30"/>
      </c>
      <c r="U67" s="49">
        <f t="shared" si="107"/>
      </c>
      <c r="V67" s="49">
        <f t="shared" si="69"/>
      </c>
      <c r="W67" s="49">
        <f t="shared" si="126"/>
      </c>
      <c r="X67" s="50">
        <f t="shared" si="88"/>
      </c>
      <c r="Y67" s="49">
        <f t="shared" si="10"/>
      </c>
      <c r="Z67" s="51">
        <v>67</v>
      </c>
      <c r="AA67" s="52">
        <f t="shared" si="146"/>
      </c>
      <c r="AB67" s="50">
        <v>92406</v>
      </c>
      <c r="AC67" s="50">
        <v>1429</v>
      </c>
      <c r="AD67" s="50">
        <v>1463</v>
      </c>
      <c r="AE67" s="50">
        <v>531</v>
      </c>
      <c r="AF67" s="51">
        <v>284</v>
      </c>
      <c r="AG67" s="51">
        <v>27</v>
      </c>
      <c r="AH67" s="50">
        <v>6</v>
      </c>
      <c r="AI67" s="50">
        <v>85</v>
      </c>
    </row>
    <row customHeight="true" hidden="true" ht="16.071428571428573" r="68">
      <c r="A68" s="34">
        <v>46305</v>
      </c>
      <c r="B68" s="35" t="s">
        <v>76</v>
      </c>
      <c r="C68" s="36" t="s">
        <v>82</v>
      </c>
      <c r="D68" s="37">
        <v>4</v>
      </c>
      <c r="E68" s="35">
        <v>14</v>
      </c>
      <c r="F68" s="43">
        <v>14</v>
      </c>
      <c r="G68" s="55">
        <v>36862.98000000001</v>
      </c>
      <c r="H68" s="53">
        <v>15161.59</v>
      </c>
      <c r="I68" s="40">
        <f t="shared" si="156"/>
      </c>
      <c r="J68" s="41">
        <f t="shared" si="136"/>
      </c>
      <c r="K68" s="41">
        <f t="shared" si="20"/>
      </c>
      <c r="L68" s="42">
        <f t="shared" si="0"/>
      </c>
      <c r="M68" s="43"/>
      <c r="N68" s="56"/>
      <c r="O68" s="56"/>
      <c r="P68" s="45"/>
      <c r="Q68" s="46"/>
      <c r="R68" s="47"/>
      <c r="S68" s="38">
        <f t="shared" si="49"/>
      </c>
      <c r="T68" s="48">
        <f t="shared" si="30"/>
      </c>
      <c r="U68" s="49">
        <f t="shared" si="107"/>
      </c>
      <c r="V68" s="49">
        <f t="shared" si="69"/>
      </c>
      <c r="W68" s="49">
        <f t="shared" si="126"/>
      </c>
      <c r="X68" s="50">
        <f t="shared" si="88"/>
      </c>
      <c r="Y68" s="49">
        <f t="shared" si="10"/>
      </c>
      <c r="Z68" s="51">
        <v>58.75</v>
      </c>
      <c r="AA68" s="52">
        <f t="shared" si="146"/>
      </c>
      <c r="AB68" s="51">
        <v>96831</v>
      </c>
      <c r="AC68" s="50">
        <v>1995</v>
      </c>
      <c r="AD68" s="50">
        <v>2039</v>
      </c>
      <c r="AE68" s="50">
        <v>459</v>
      </c>
      <c r="AF68" s="51">
        <v>286</v>
      </c>
      <c r="AG68" s="50">
        <v>23</v>
      </c>
      <c r="AH68" s="50">
        <v>4</v>
      </c>
      <c r="AI68" s="50">
        <v>71</v>
      </c>
    </row>
    <row customHeight="true" hidden="true" ht="16.071428571428573" r="69">
      <c r="A69" s="34">
        <v>46305</v>
      </c>
      <c r="B69" s="35" t="s">
        <v>89</v>
      </c>
      <c r="C69" s="36" t="s">
        <v>84</v>
      </c>
      <c r="D69" s="37">
        <v>4</v>
      </c>
      <c r="E69" s="43">
        <v>11</v>
      </c>
      <c r="F69" s="43">
        <v>17</v>
      </c>
      <c r="G69" s="55">
        <v>39837.77000000003</v>
      </c>
      <c r="H69" s="57">
        <v>18072.07</v>
      </c>
      <c r="I69" s="40">
        <f t="shared" si="156"/>
      </c>
      <c r="J69" s="41">
        <f t="shared" si="136"/>
      </c>
      <c r="K69" s="41">
        <f t="shared" si="20"/>
      </c>
      <c r="L69" s="42">
        <f t="shared" si="0"/>
      </c>
      <c r="M69" s="43"/>
      <c r="N69" s="44"/>
      <c r="O69" s="56"/>
      <c r="P69" s="45"/>
      <c r="Q69" s="46"/>
      <c r="R69" s="47"/>
      <c r="S69" s="38">
        <f t="shared" si="49"/>
      </c>
      <c r="T69" s="48">
        <f t="shared" si="30"/>
      </c>
      <c r="U69" s="49">
        <f t="shared" si="107"/>
      </c>
      <c r="V69" s="49">
        <f t="shared" si="69"/>
      </c>
      <c r="W69" s="49">
        <f t="shared" si="126"/>
      </c>
      <c r="X69" s="50">
        <f t="shared" si="88"/>
      </c>
      <c r="Y69" s="49">
        <f t="shared" si="10"/>
      </c>
      <c r="Z69" s="51">
        <v>52.25</v>
      </c>
      <c r="AA69" s="52">
        <f t="shared" si="146"/>
      </c>
      <c r="AB69" s="50">
        <v>114688</v>
      </c>
      <c r="AC69" s="50">
        <v>2242</v>
      </c>
      <c r="AD69" s="50">
        <v>2327</v>
      </c>
      <c r="AE69" s="50">
        <v>563</v>
      </c>
      <c r="AF69" s="51">
        <v>246</v>
      </c>
      <c r="AG69" s="51">
        <v>19</v>
      </c>
      <c r="AH69" s="51">
        <v>10</v>
      </c>
      <c r="AI69" s="51">
        <v>89</v>
      </c>
    </row>
    <row customHeight="true" hidden="true" ht="16.071428571428573" r="70">
      <c r="A70" s="34">
        <v>46305</v>
      </c>
      <c r="B70" s="35" t="s">
        <v>83</v>
      </c>
      <c r="C70" s="36" t="s">
        <v>85</v>
      </c>
      <c r="D70" s="37">
        <v>2</v>
      </c>
      <c r="E70" s="43">
        <v>10</v>
      </c>
      <c r="F70" s="43">
        <v>12</v>
      </c>
      <c r="G70" s="55">
        <v>35167.369999999966</v>
      </c>
      <c r="H70" s="57">
        <v>9197.59</v>
      </c>
      <c r="I70" s="40">
        <f t="shared" si="156"/>
      </c>
      <c r="J70" s="41">
        <f t="shared" si="136"/>
      </c>
      <c r="K70" s="41">
        <f t="shared" si="20"/>
      </c>
      <c r="L70" s="42">
        <f t="shared" si="0"/>
      </c>
      <c r="M70" s="43" t="s">
        <v>94</v>
      </c>
      <c r="N70" s="44">
        <v>8</v>
      </c>
      <c r="O70" s="56"/>
      <c r="P70" s="45"/>
      <c r="Q70" s="46"/>
      <c r="R70" s="47"/>
      <c r="S70" s="38">
        <f t="shared" si="49"/>
      </c>
      <c r="T70" s="48">
        <f t="shared" si="30"/>
      </c>
      <c r="U70" s="49">
        <f t="shared" si="107"/>
      </c>
      <c r="V70" s="49">
        <f t="shared" si="69"/>
      </c>
      <c r="W70" s="49">
        <f t="shared" si="126"/>
      </c>
      <c r="X70" s="50">
        <f t="shared" si="88"/>
      </c>
      <c r="Y70" s="49">
        <f t="shared" si="10"/>
      </c>
      <c r="Z70" s="51">
        <v>59.5</v>
      </c>
      <c r="AA70" s="52">
        <f t="shared" si="146"/>
      </c>
      <c r="AB70" s="50">
        <v>70862</v>
      </c>
      <c r="AC70" s="50">
        <v>1272</v>
      </c>
      <c r="AD70" s="50">
        <v>1341</v>
      </c>
      <c r="AE70" s="50">
        <v>318</v>
      </c>
      <c r="AF70" s="51">
        <v>222</v>
      </c>
      <c r="AG70" s="51">
        <v>17</v>
      </c>
      <c r="AH70" s="51">
        <v>7</v>
      </c>
      <c r="AI70" s="51">
        <v>54</v>
      </c>
    </row>
    <row customHeight="true" hidden="true" ht="16.071428571428573" r="71">
      <c r="A71" s="58">
        <v>46305</v>
      </c>
      <c r="B71" s="59" t="s">
        <v>87</v>
      </c>
      <c r="C71" s="60"/>
      <c r="D71" s="60">
        <f>SUM(D65:D70)</f>
      </c>
      <c r="E71" s="60">
        <f>SUM(E65:E70)</f>
      </c>
      <c r="F71" s="60">
        <f>SUM(F65:F70)</f>
      </c>
      <c r="G71" s="60">
        <f>SUM(G65:G70)</f>
      </c>
      <c r="H71" s="60">
        <f>SUM(H65:H70)</f>
      </c>
      <c r="I71" s="61">
        <f t="shared" si="156"/>
      </c>
      <c r="J71" s="61">
        <f t="shared" si="136"/>
      </c>
      <c r="K71" s="61">
        <f t="shared" si="20"/>
      </c>
      <c r="L71" s="61">
        <f t="shared" si="0"/>
      </c>
      <c r="M71" s="60"/>
      <c r="N71" s="62">
        <f>SUM(N65:N70)</f>
      </c>
      <c r="O71" s="62"/>
      <c r="P71" s="60"/>
      <c r="Q71" s="60"/>
      <c r="R71" s="60"/>
      <c r="S71" s="63">
        <f>AVERAGE(S65:S70)</f>
      </c>
      <c r="T71" s="64">
        <f>AVERAGE(T65:T70)</f>
      </c>
      <c r="U71" s="64">
        <f>AVERAGE(U65:U70)</f>
      </c>
      <c r="V71" s="64">
        <f>AVERAGE(V65:V70)</f>
      </c>
      <c r="W71" s="64">
        <f>AVERAGE(W65:W70)</f>
      </c>
      <c r="X71" s="65">
        <f>SUM(X65:X70)</f>
      </c>
      <c r="Y71" s="64">
        <f>AVERAGE(Y65:Y70)</f>
      </c>
      <c r="Z71" s="65"/>
      <c r="AA71" s="66">
        <f>AVERAGE(AA65:AA70)</f>
      </c>
      <c r="AB71" s="65">
        <f>SUM(AB65:AB70)</f>
      </c>
      <c r="AC71" s="65">
        <f>SUM(AC65:AC70)</f>
      </c>
      <c r="AD71" s="65">
        <f>SUM(AD65:AD70)</f>
      </c>
      <c r="AE71" s="65">
        <f>SUM(AE65:AE70)</f>
      </c>
      <c r="AF71" s="65">
        <f>SUM(AF65:AF70)</f>
      </c>
      <c r="AG71" s="65">
        <f>SUM(AG65:AG70)</f>
      </c>
      <c r="AH71" s="65">
        <f>SUM(AH65:AH70)</f>
      </c>
      <c r="AI71" s="65">
        <f>SUM(AI65:AI70)</f>
      </c>
    </row>
    <row customHeight="true" hidden="true" ht="16.071428571428573" r="72">
      <c r="A72" s="34">
        <v>46306</v>
      </c>
      <c r="B72" s="35" t="s">
        <v>83</v>
      </c>
      <c r="C72" s="36" t="s">
        <v>88</v>
      </c>
      <c r="D72" s="37">
        <v>2</v>
      </c>
      <c r="E72" s="43">
        <v>3</v>
      </c>
      <c r="F72" s="43">
        <v>5</v>
      </c>
      <c r="G72" s="55">
        <v>12194.330000000002</v>
      </c>
      <c r="H72" s="57">
        <v>3742.17</v>
      </c>
      <c r="I72" s="40">
        <f t="shared" si="156"/>
      </c>
      <c r="J72" s="41">
        <f t="shared" si="136"/>
      </c>
      <c r="K72" s="41">
        <f t="shared" si="20"/>
      </c>
      <c r="L72" s="42">
        <f t="shared" si="0"/>
      </c>
      <c r="M72" s="43"/>
      <c r="N72" s="56"/>
      <c r="O72" s="56"/>
      <c r="P72" s="45"/>
      <c r="Q72" s="46"/>
      <c r="R72" s="47"/>
      <c r="S72" s="38">
        <f t="shared" ref="S72:S77" si="50">H72/AC72</f>
      </c>
      <c r="T72" s="48">
        <f t="shared" ref="T72:T77" si="31">X72/AB72*1</f>
      </c>
      <c r="U72" s="49">
        <f t="shared" ref="U72:U77" si="108">AC72/AB72</f>
      </c>
      <c r="V72" s="49">
        <f t="shared" ref="V72:V77" si="70">AD72/AB72</f>
      </c>
      <c r="W72" s="49">
        <f t="shared" ref="W72:W77" si="127">AF72/AD72</f>
      </c>
      <c r="X72" s="50">
        <f t="shared" ref="X72:X77" si="89">AE72/Y72</f>
      </c>
      <c r="Y72" s="49">
        <f t="shared" ref="Y72:Y77" si="11">AE72/AD72</f>
      </c>
      <c r="Z72" s="51">
        <v>64.5</v>
      </c>
      <c r="AA72" s="52">
        <f t="shared" ref="AA72:AA77" si="147">(H72/AB72)*1000</f>
      </c>
      <c r="AB72" s="50">
        <v>49054</v>
      </c>
      <c r="AC72" s="50">
        <v>1042</v>
      </c>
      <c r="AD72" s="50">
        <v>1124</v>
      </c>
      <c r="AE72" s="50">
        <v>169</v>
      </c>
      <c r="AF72" s="51">
        <v>102</v>
      </c>
      <c r="AG72" s="51">
        <v>8</v>
      </c>
      <c r="AH72" s="51">
        <v>6</v>
      </c>
      <c r="AI72" s="51">
        <v>47</v>
      </c>
    </row>
    <row customHeight="true" hidden="true" ht="16.071428571428573" r="73">
      <c r="A73" s="34">
        <v>46306</v>
      </c>
      <c r="B73" s="35" t="s">
        <v>81</v>
      </c>
      <c r="C73" s="36" t="s">
        <v>95</v>
      </c>
      <c r="D73" s="37">
        <v>5</v>
      </c>
      <c r="E73" s="35">
        <v>24</v>
      </c>
      <c r="F73" s="35">
        <v>27</v>
      </c>
      <c r="G73" s="38">
        <v>65088.5</v>
      </c>
      <c r="H73" s="53">
        <v>21466.76</v>
      </c>
      <c r="I73" s="40">
        <f t="shared" si="156"/>
      </c>
      <c r="J73" s="41">
        <f t="shared" si="136"/>
      </c>
      <c r="K73" s="41">
        <f t="shared" si="20"/>
      </c>
      <c r="L73" s="42">
        <f t="shared" si="0"/>
      </c>
      <c r="M73" s="54"/>
      <c r="N73" s="44"/>
      <c r="O73" s="44"/>
      <c r="P73" s="45"/>
      <c r="Q73" s="46"/>
      <c r="R73" s="47"/>
      <c r="S73" s="38">
        <f t="shared" si="50"/>
      </c>
      <c r="T73" s="48">
        <f t="shared" si="31"/>
      </c>
      <c r="U73" s="49">
        <f t="shared" si="108"/>
      </c>
      <c r="V73" s="49">
        <f t="shared" si="70"/>
      </c>
      <c r="W73" s="49">
        <f t="shared" si="127"/>
      </c>
      <c r="X73" s="50">
        <f t="shared" si="89"/>
      </c>
      <c r="Y73" s="49">
        <f t="shared" si="11"/>
      </c>
      <c r="Z73" s="51">
        <v>53</v>
      </c>
      <c r="AA73" s="52">
        <f t="shared" si="147"/>
      </c>
      <c r="AB73" s="51">
        <v>145327</v>
      </c>
      <c r="AC73" s="50">
        <v>3901</v>
      </c>
      <c r="AD73" s="50">
        <v>4051</v>
      </c>
      <c r="AE73" s="50">
        <v>695</v>
      </c>
      <c r="AF73" s="51">
        <v>381</v>
      </c>
      <c r="AG73" s="51">
        <v>37</v>
      </c>
      <c r="AH73" s="50">
        <v>7</v>
      </c>
      <c r="AI73" s="50">
        <v>88</v>
      </c>
    </row>
    <row customHeight="true" hidden="true" ht="16.071428571428573" r="74">
      <c r="A74" s="34">
        <v>46306</v>
      </c>
      <c r="B74" s="35" t="s">
        <v>78</v>
      </c>
      <c r="C74" s="36" t="s">
        <v>96</v>
      </c>
      <c r="D74" s="37">
        <v>5</v>
      </c>
      <c r="E74" s="35">
        <v>24</v>
      </c>
      <c r="F74" s="35">
        <v>27</v>
      </c>
      <c r="G74" s="55">
        <v>69721.81</v>
      </c>
      <c r="H74" s="39">
        <v>19324.87</v>
      </c>
      <c r="I74" s="40">
        <f t="shared" si="156"/>
      </c>
      <c r="J74" s="41">
        <f t="shared" si="136"/>
      </c>
      <c r="K74" s="41">
        <f t="shared" si="20"/>
      </c>
      <c r="L74" s="42">
        <f t="shared" si="0"/>
      </c>
      <c r="M74" s="43" t="s">
        <v>93</v>
      </c>
      <c r="N74" s="44">
        <v>10</v>
      </c>
      <c r="O74" s="44"/>
      <c r="P74" s="45"/>
      <c r="Q74" s="46"/>
      <c r="R74" s="47"/>
      <c r="S74" s="38">
        <f t="shared" si="50"/>
      </c>
      <c r="T74" s="48">
        <f t="shared" si="31"/>
      </c>
      <c r="U74" s="49">
        <f t="shared" si="108"/>
      </c>
      <c r="V74" s="49">
        <f t="shared" si="70"/>
      </c>
      <c r="W74" s="49">
        <f t="shared" si="127"/>
      </c>
      <c r="X74" s="50">
        <f t="shared" si="89"/>
      </c>
      <c r="Y74" s="49">
        <f t="shared" si="11"/>
      </c>
      <c r="Z74" s="51">
        <v>54.8</v>
      </c>
      <c r="AA74" s="52">
        <f t="shared" si="147"/>
      </c>
      <c r="AB74" s="50">
        <v>136988</v>
      </c>
      <c r="AC74" s="50">
        <v>2962</v>
      </c>
      <c r="AD74" s="50">
        <v>3121</v>
      </c>
      <c r="AE74" s="50">
        <v>427</v>
      </c>
      <c r="AF74" s="51">
        <v>303</v>
      </c>
      <c r="AG74" s="51">
        <v>24</v>
      </c>
      <c r="AH74" s="50">
        <v>7</v>
      </c>
      <c r="AI74" s="50">
        <v>89</v>
      </c>
    </row>
    <row customHeight="true" hidden="true" ht="16.071428571428573" r="75">
      <c r="A75" s="34">
        <v>46306</v>
      </c>
      <c r="B75" s="35" t="s">
        <v>97</v>
      </c>
      <c r="C75" s="36" t="s">
        <v>98</v>
      </c>
      <c r="D75" s="37">
        <v>2</v>
      </c>
      <c r="E75" s="35">
        <v>9</v>
      </c>
      <c r="F75" s="43">
        <v>13</v>
      </c>
      <c r="G75" s="55">
        <v>34498.20999999999</v>
      </c>
      <c r="H75" s="53">
        <v>9964.98</v>
      </c>
      <c r="I75" s="40">
        <f t="shared" si="156"/>
      </c>
      <c r="J75" s="41">
        <f t="shared" si="136"/>
      </c>
      <c r="K75" s="41">
        <f t="shared" si="20"/>
      </c>
      <c r="L75" s="42">
        <f t="shared" si="0"/>
      </c>
      <c r="M75" s="43"/>
      <c r="N75" s="56"/>
      <c r="O75" s="56"/>
      <c r="P75" s="45"/>
      <c r="Q75" s="46"/>
      <c r="R75" s="47"/>
      <c r="S75" s="38">
        <f t="shared" si="50"/>
      </c>
      <c r="T75" s="48">
        <f t="shared" si="31"/>
      </c>
      <c r="U75" s="49">
        <f t="shared" si="108"/>
      </c>
      <c r="V75" s="49">
        <f t="shared" si="70"/>
      </c>
      <c r="W75" s="49">
        <f t="shared" si="127"/>
      </c>
      <c r="X75" s="50">
        <f t="shared" si="89"/>
      </c>
      <c r="Y75" s="49">
        <f t="shared" si="11"/>
      </c>
      <c r="Z75" s="51">
        <v>55.5</v>
      </c>
      <c r="AA75" s="52">
        <f t="shared" si="147"/>
      </c>
      <c r="AB75" s="51">
        <v>59620</v>
      </c>
      <c r="AC75" s="50">
        <v>987</v>
      </c>
      <c r="AD75" s="50">
        <v>1047</v>
      </c>
      <c r="AE75" s="50">
        <v>191</v>
      </c>
      <c r="AF75" s="51">
        <v>133</v>
      </c>
      <c r="AG75" s="50">
        <v>2</v>
      </c>
      <c r="AH75" s="50">
        <v>1</v>
      </c>
      <c r="AI75" s="50">
        <v>43</v>
      </c>
    </row>
    <row customHeight="true" hidden="true" ht="16.071428571428573" r="76">
      <c r="A76" s="34">
        <v>46306</v>
      </c>
      <c r="B76" s="35" t="s">
        <v>76</v>
      </c>
      <c r="C76" s="36" t="s">
        <v>84</v>
      </c>
      <c r="D76" s="37">
        <v>4</v>
      </c>
      <c r="E76" s="43">
        <v>25</v>
      </c>
      <c r="F76" s="43">
        <v>25</v>
      </c>
      <c r="G76" s="55">
        <v>65307.500000000015</v>
      </c>
      <c r="H76" s="57">
        <v>18515.25</v>
      </c>
      <c r="I76" s="40">
        <f t="shared" si="156"/>
      </c>
      <c r="J76" s="41">
        <f t="shared" si="136"/>
      </c>
      <c r="K76" s="41">
        <f t="shared" si="20"/>
      </c>
      <c r="L76" s="42">
        <f t="shared" si="0"/>
      </c>
      <c r="M76" s="43"/>
      <c r="N76" s="44"/>
      <c r="O76" s="56"/>
      <c r="P76" s="45"/>
      <c r="Q76" s="46"/>
      <c r="R76" s="47"/>
      <c r="S76" s="38">
        <f t="shared" si="50"/>
      </c>
      <c r="T76" s="48">
        <f t="shared" si="31"/>
      </c>
      <c r="U76" s="49">
        <f t="shared" si="108"/>
      </c>
      <c r="V76" s="49">
        <f t="shared" si="70"/>
      </c>
      <c r="W76" s="49">
        <f t="shared" si="127"/>
      </c>
      <c r="X76" s="50">
        <f t="shared" si="89"/>
      </c>
      <c r="Y76" s="49">
        <f t="shared" si="11"/>
      </c>
      <c r="Z76" s="51">
        <v>55.75</v>
      </c>
      <c r="AA76" s="52">
        <f t="shared" si="147"/>
      </c>
      <c r="AB76" s="50">
        <v>111434</v>
      </c>
      <c r="AC76" s="50">
        <v>2818</v>
      </c>
      <c r="AD76" s="50">
        <v>2969</v>
      </c>
      <c r="AE76" s="50">
        <v>393</v>
      </c>
      <c r="AF76" s="51">
        <v>446</v>
      </c>
      <c r="AG76" s="51">
        <v>21</v>
      </c>
      <c r="AH76" s="51">
        <v>6</v>
      </c>
      <c r="AI76" s="51">
        <v>54</v>
      </c>
    </row>
    <row customHeight="true" hidden="true" ht="16.071428571428573" r="77">
      <c r="A77" s="34">
        <v>46306</v>
      </c>
      <c r="B77" s="35" t="s">
        <v>83</v>
      </c>
      <c r="C77" s="36" t="s">
        <v>85</v>
      </c>
      <c r="D77" s="37">
        <v>2</v>
      </c>
      <c r="E77" s="43">
        <v>14</v>
      </c>
      <c r="F77" s="43">
        <v>15</v>
      </c>
      <c r="G77" s="55">
        <v>37129.97000000003</v>
      </c>
      <c r="H77" s="57">
        <v>13888.480000000001</v>
      </c>
      <c r="I77" s="40">
        <f t="shared" si="156"/>
      </c>
      <c r="J77" s="41">
        <f t="shared" si="136"/>
      </c>
      <c r="K77" s="41">
        <f t="shared" si="20"/>
      </c>
      <c r="L77" s="42">
        <f t="shared" si="0"/>
      </c>
      <c r="M77" s="43" t="s">
        <v>99</v>
      </c>
      <c r="N77" s="44">
        <v>10</v>
      </c>
      <c r="O77" s="56"/>
      <c r="P77" s="45"/>
      <c r="Q77" s="46"/>
      <c r="R77" s="47"/>
      <c r="S77" s="38">
        <f t="shared" si="50"/>
      </c>
      <c r="T77" s="48">
        <f t="shared" si="31"/>
      </c>
      <c r="U77" s="49">
        <f t="shared" si="108"/>
      </c>
      <c r="V77" s="49">
        <f t="shared" si="70"/>
      </c>
      <c r="W77" s="49">
        <f t="shared" si="127"/>
      </c>
      <c r="X77" s="50">
        <f t="shared" si="89"/>
      </c>
      <c r="Y77" s="49">
        <f t="shared" si="11"/>
      </c>
      <c r="Z77" s="51">
        <v>55</v>
      </c>
      <c r="AA77" s="52">
        <f t="shared" si="147"/>
      </c>
      <c r="AB77" s="50">
        <v>105880</v>
      </c>
      <c r="AC77" s="50">
        <v>3093</v>
      </c>
      <c r="AD77" s="50">
        <v>3297</v>
      </c>
      <c r="AE77" s="50">
        <v>319</v>
      </c>
      <c r="AF77" s="51">
        <v>240</v>
      </c>
      <c r="AG77" s="51">
        <v>22</v>
      </c>
      <c r="AH77" s="51">
        <v>3</v>
      </c>
      <c r="AI77" s="51">
        <v>51</v>
      </c>
    </row>
    <row customHeight="true" hidden="true" ht="16.071428571428573" r="78">
      <c r="A78" s="58">
        <v>46306</v>
      </c>
      <c r="B78" s="59" t="s">
        <v>87</v>
      </c>
      <c r="C78" s="60"/>
      <c r="D78" s="60">
        <f>SUM(D72:D77)</f>
      </c>
      <c r="E78" s="60">
        <f>SUM(E72:E77)</f>
      </c>
      <c r="F78" s="60">
        <f>SUM(F72:F77)</f>
      </c>
      <c r="G78" s="60">
        <f>SUM(G72:G77)</f>
      </c>
      <c r="H78" s="60">
        <f>SUM(H72:H77)</f>
      </c>
      <c r="I78" s="61">
        <f t="shared" si="156"/>
      </c>
      <c r="J78" s="61">
        <f t="shared" si="136"/>
      </c>
      <c r="K78" s="61">
        <f t="shared" si="20"/>
      </c>
      <c r="L78" s="61">
        <f t="shared" si="0"/>
      </c>
      <c r="M78" s="60"/>
      <c r="N78" s="62">
        <f>SUM(N72:N77)</f>
      </c>
      <c r="O78" s="62"/>
      <c r="P78" s="60"/>
      <c r="Q78" s="60"/>
      <c r="R78" s="60"/>
      <c r="S78" s="63">
        <f>AVERAGE(S72:S77)</f>
      </c>
      <c r="T78" s="64">
        <f>AVERAGE(T72:T77)</f>
      </c>
      <c r="U78" s="64">
        <f>AVERAGE(U72:U77)</f>
      </c>
      <c r="V78" s="64">
        <f>AVERAGE(V72:V77)</f>
      </c>
      <c r="W78" s="64">
        <f>AVERAGE(W72:W77)</f>
      </c>
      <c r="X78" s="65">
        <f>SUM(X72:X77)</f>
      </c>
      <c r="Y78" s="64">
        <f>AVERAGE(Y72:Y77)</f>
      </c>
      <c r="Z78" s="65"/>
      <c r="AA78" s="66">
        <f>AVERAGE(AA72:AA77)</f>
      </c>
      <c r="AB78" s="65">
        <f>SUM(AB72:AB77)</f>
      </c>
      <c r="AC78" s="65">
        <f>SUM(AC72:AC77)</f>
      </c>
      <c r="AD78" s="65">
        <f>SUM(AD72:AD77)</f>
      </c>
      <c r="AE78" s="65">
        <f>SUM(AE72:AE77)</f>
      </c>
      <c r="AF78" s="65">
        <f>SUM(AF72:AF77)</f>
      </c>
      <c r="AG78" s="65">
        <f>SUM(AG72:AG77)</f>
      </c>
      <c r="AH78" s="65">
        <f>SUM(AH72:AH77)</f>
      </c>
      <c r="AI78" s="65">
        <f>SUM(AI72:AI77)</f>
      </c>
    </row>
    <row customHeight="true" hidden="true" ht="16.071428571428573" r="79">
      <c r="A79" s="34">
        <v>46307</v>
      </c>
      <c r="B79" s="35" t="s">
        <v>83</v>
      </c>
      <c r="C79" s="36" t="s">
        <v>88</v>
      </c>
      <c r="D79" s="37">
        <v>2</v>
      </c>
      <c r="E79" s="43">
        <v>2</v>
      </c>
      <c r="F79" s="43">
        <v>4</v>
      </c>
      <c r="G79" s="55">
        <v>9363.23</v>
      </c>
      <c r="H79" s="57">
        <v>4534.41</v>
      </c>
      <c r="I79" s="40">
        <f t="shared" si="156"/>
      </c>
      <c r="J79" s="41">
        <f t="shared" si="136"/>
      </c>
      <c r="K79" s="41">
        <f t="shared" si="20"/>
      </c>
      <c r="L79" s="42">
        <f t="shared" si="0"/>
      </c>
      <c r="M79" s="43"/>
      <c r="N79" s="56"/>
      <c r="O79" s="56"/>
      <c r="P79" s="45"/>
      <c r="Q79" s="46"/>
      <c r="R79" s="47"/>
      <c r="S79" s="38">
        <f t="shared" ref="S79:S84" si="51">H79/AC79</f>
      </c>
      <c r="T79" s="48">
        <f t="shared" ref="T79:T84" si="32">X79/AB79*1</f>
      </c>
      <c r="U79" s="49">
        <f t="shared" ref="U79:U84" si="109">AC79/AB79</f>
      </c>
      <c r="V79" s="49">
        <f t="shared" ref="V79:V84" si="71">AD79/AB79</f>
      </c>
      <c r="W79" s="49">
        <f t="shared" ref="W79:W84" si="128">AF79/AD79</f>
      </c>
      <c r="X79" s="50">
        <f t="shared" ref="X79:X84" si="90">AE79/Y79</f>
      </c>
      <c r="Y79" s="49">
        <f t="shared" ref="Y79:Y84" si="12">AE79/AD79</f>
      </c>
      <c r="Z79" s="51">
        <v>56</v>
      </c>
      <c r="AA79" s="52">
        <f t="shared" ref="AA79:AA84" si="148">(H79/AB79)*1000</f>
      </c>
      <c r="AB79" s="50">
        <v>48589</v>
      </c>
      <c r="AC79" s="50">
        <v>1082</v>
      </c>
      <c r="AD79" s="50">
        <v>1170</v>
      </c>
      <c r="AE79" s="50">
        <v>176</v>
      </c>
      <c r="AF79" s="51">
        <v>79</v>
      </c>
      <c r="AG79" s="51">
        <v>9</v>
      </c>
      <c r="AH79" s="51">
        <v>2</v>
      </c>
      <c r="AI79" s="51">
        <v>43</v>
      </c>
    </row>
    <row customHeight="true" hidden="true" ht="16.071428571428573" r="80">
      <c r="A80" s="34">
        <v>46307</v>
      </c>
      <c r="B80" s="35" t="s">
        <v>78</v>
      </c>
      <c r="C80" s="36" t="s">
        <v>95</v>
      </c>
      <c r="D80" s="37">
        <v>5</v>
      </c>
      <c r="E80" s="35">
        <v>17</v>
      </c>
      <c r="F80" s="35">
        <v>19</v>
      </c>
      <c r="G80" s="38">
        <v>42329.45</v>
      </c>
      <c r="H80" s="53">
        <v>19832.07</v>
      </c>
      <c r="I80" s="40">
        <f t="shared" si="156"/>
      </c>
      <c r="J80" s="41">
        <f t="shared" si="136"/>
      </c>
      <c r="K80" s="41">
        <f t="shared" si="20"/>
      </c>
      <c r="L80" s="42">
        <f t="shared" si="0"/>
      </c>
      <c r="M80" s="54"/>
      <c r="N80" s="44"/>
      <c r="O80" s="44"/>
      <c r="P80" s="45"/>
      <c r="Q80" s="46"/>
      <c r="R80" s="47"/>
      <c r="S80" s="38">
        <f t="shared" si="51"/>
      </c>
      <c r="T80" s="48">
        <f t="shared" si="32"/>
      </c>
      <c r="U80" s="49">
        <f t="shared" si="109"/>
      </c>
      <c r="V80" s="49">
        <f t="shared" si="71"/>
      </c>
      <c r="W80" s="49">
        <f t="shared" si="128"/>
      </c>
      <c r="X80" s="50">
        <f t="shared" si="90"/>
      </c>
      <c r="Y80" s="49">
        <f t="shared" si="12"/>
      </c>
      <c r="Z80" s="51">
        <v>53</v>
      </c>
      <c r="AA80" s="52">
        <f t="shared" si="148"/>
      </c>
      <c r="AB80" s="51">
        <v>165437</v>
      </c>
      <c r="AC80" s="50">
        <v>3888</v>
      </c>
      <c r="AD80" s="51">
        <v>4022</v>
      </c>
      <c r="AE80" s="50">
        <v>776</v>
      </c>
      <c r="AF80" s="51">
        <v>154</v>
      </c>
      <c r="AG80" s="51">
        <v>39</v>
      </c>
      <c r="AH80" s="50">
        <v>8</v>
      </c>
      <c r="AI80" s="50">
        <v>130</v>
      </c>
    </row>
    <row customHeight="true" hidden="true" ht="16.071428571428573" r="81">
      <c r="A81" s="34">
        <v>46307</v>
      </c>
      <c r="B81" s="35" t="s">
        <v>81</v>
      </c>
      <c r="C81" s="36" t="s">
        <v>96</v>
      </c>
      <c r="D81" s="37">
        <v>5</v>
      </c>
      <c r="E81" s="35">
        <v>33</v>
      </c>
      <c r="F81" s="35">
        <v>34</v>
      </c>
      <c r="G81" s="55">
        <v>82125.43000000002</v>
      </c>
      <c r="H81" s="39">
        <v>22833.81</v>
      </c>
      <c r="I81" s="40">
        <f t="shared" si="156"/>
      </c>
      <c r="J81" s="41">
        <f t="shared" si="136"/>
      </c>
      <c r="K81" s="41">
        <f t="shared" si="20"/>
      </c>
      <c r="L81" s="42">
        <f t="shared" si="0"/>
      </c>
      <c r="M81" s="43" t="s">
        <v>100</v>
      </c>
      <c r="N81" s="44">
        <v>10</v>
      </c>
      <c r="O81" s="44"/>
      <c r="P81" s="45"/>
      <c r="Q81" s="46"/>
      <c r="R81" s="47"/>
      <c r="S81" s="38">
        <f t="shared" si="51"/>
      </c>
      <c r="T81" s="48">
        <f t="shared" si="32"/>
      </c>
      <c r="U81" s="49">
        <f t="shared" si="109"/>
      </c>
      <c r="V81" s="49">
        <f t="shared" si="71"/>
      </c>
      <c r="W81" s="49">
        <f t="shared" si="128"/>
      </c>
      <c r="X81" s="50">
        <f t="shared" si="90"/>
      </c>
      <c r="Y81" s="49">
        <f t="shared" si="12"/>
      </c>
      <c r="Z81" s="51">
        <v>61.6</v>
      </c>
      <c r="AA81" s="52">
        <f t="shared" si="148"/>
      </c>
      <c r="AB81" s="50">
        <v>153660</v>
      </c>
      <c r="AC81" s="50">
        <v>3131</v>
      </c>
      <c r="AD81" s="50">
        <v>3252</v>
      </c>
      <c r="AE81" s="50">
        <v>675</v>
      </c>
      <c r="AF81" s="51">
        <v>471</v>
      </c>
      <c r="AG81" s="51">
        <v>21</v>
      </c>
      <c r="AH81" s="50">
        <v>7</v>
      </c>
      <c r="AI81" s="50">
        <v>105</v>
      </c>
    </row>
    <row customHeight="true" hidden="true" ht="16.071428571428573" r="82">
      <c r="A82" s="34">
        <v>46307</v>
      </c>
      <c r="B82" s="35" t="s">
        <v>73</v>
      </c>
      <c r="C82" s="36" t="s">
        <v>101</v>
      </c>
      <c r="D82" s="37">
        <v>4</v>
      </c>
      <c r="E82" s="35">
        <v>12</v>
      </c>
      <c r="F82" s="43">
        <v>14</v>
      </c>
      <c r="G82" s="55">
        <v>31258.01</v>
      </c>
      <c r="H82" s="53">
        <v>17350.260000000002</v>
      </c>
      <c r="I82" s="40">
        <f t="shared" si="156"/>
      </c>
      <c r="J82" s="41">
        <f t="shared" si="136"/>
      </c>
      <c r="K82" s="41">
        <f t="shared" si="20"/>
      </c>
      <c r="L82" s="42">
        <f t="shared" si="0"/>
      </c>
      <c r="M82" s="43"/>
      <c r="N82" s="56"/>
      <c r="O82" s="56"/>
      <c r="P82" s="45"/>
      <c r="Q82" s="46"/>
      <c r="R82" s="47"/>
      <c r="S82" s="38">
        <f t="shared" si="51"/>
      </c>
      <c r="T82" s="48">
        <f t="shared" si="32"/>
      </c>
      <c r="U82" s="49">
        <f t="shared" si="109"/>
      </c>
      <c r="V82" s="49">
        <f t="shared" si="71"/>
      </c>
      <c r="W82" s="49">
        <f t="shared" si="128"/>
      </c>
      <c r="X82" s="50">
        <f t="shared" si="90"/>
      </c>
      <c r="Y82" s="49">
        <f t="shared" si="12"/>
      </c>
      <c r="Z82" s="51">
        <v>57.75</v>
      </c>
      <c r="AA82" s="52">
        <f t="shared" si="148"/>
      </c>
      <c r="AB82" s="51">
        <v>119710</v>
      </c>
      <c r="AC82" s="50">
        <v>3440</v>
      </c>
      <c r="AD82" s="50">
        <v>3689</v>
      </c>
      <c r="AE82" s="50">
        <v>382</v>
      </c>
      <c r="AF82" s="51">
        <v>255</v>
      </c>
      <c r="AG82" s="50">
        <v>19</v>
      </c>
      <c r="AH82" s="50">
        <v>5</v>
      </c>
      <c r="AI82" s="50">
        <v>37</v>
      </c>
    </row>
    <row customHeight="true" hidden="true" ht="16.071428571428573" r="83">
      <c r="A83" s="34">
        <v>46307</v>
      </c>
      <c r="B83" s="35" t="s">
        <v>97</v>
      </c>
      <c r="C83" s="36" t="s">
        <v>102</v>
      </c>
      <c r="D83" s="37">
        <v>2</v>
      </c>
      <c r="E83" s="43">
        <v>4</v>
      </c>
      <c r="F83" s="43">
        <v>7</v>
      </c>
      <c r="G83" s="55">
        <v>18172.449999999993</v>
      </c>
      <c r="H83" s="57">
        <v>9332.27</v>
      </c>
      <c r="I83" s="40">
        <f t="shared" si="156"/>
      </c>
      <c r="J83" s="41">
        <f t="shared" si="136"/>
      </c>
      <c r="K83" s="41">
        <f t="shared" si="20"/>
      </c>
      <c r="L83" s="42">
        <f t="shared" si="0"/>
      </c>
      <c r="M83" s="43"/>
      <c r="N83" s="44"/>
      <c r="O83" s="56"/>
      <c r="P83" s="45"/>
      <c r="Q83" s="46"/>
      <c r="R83" s="47"/>
      <c r="S83" s="38">
        <f t="shared" si="51"/>
      </c>
      <c r="T83" s="48">
        <f t="shared" si="32"/>
      </c>
      <c r="U83" s="49">
        <f t="shared" si="109"/>
      </c>
      <c r="V83" s="49">
        <f t="shared" si="71"/>
      </c>
      <c r="W83" s="49">
        <f t="shared" si="128"/>
      </c>
      <c r="X83" s="50">
        <f t="shared" si="90"/>
      </c>
      <c r="Y83" s="49">
        <f t="shared" si="12"/>
      </c>
      <c r="Z83" s="51">
        <v>53</v>
      </c>
      <c r="AA83" s="52">
        <f t="shared" si="148"/>
      </c>
      <c r="AB83" s="50">
        <v>61152</v>
      </c>
      <c r="AC83" s="50">
        <v>2395</v>
      </c>
      <c r="AD83" s="50">
        <v>2538</v>
      </c>
      <c r="AE83" s="50">
        <v>174</v>
      </c>
      <c r="AF83" s="51">
        <v>161</v>
      </c>
      <c r="AG83" s="51">
        <v>7</v>
      </c>
      <c r="AH83" s="51">
        <v>5</v>
      </c>
      <c r="AI83" s="51">
        <v>11</v>
      </c>
    </row>
    <row customHeight="true" ht="16.071428571428573" r="84">
      <c r="A84" s="34">
        <v>46307</v>
      </c>
      <c r="B84" s="35" t="s">
        <v>76</v>
      </c>
      <c r="C84" s="36" t="s">
        <v>85</v>
      </c>
      <c r="D84" s="37">
        <v>2</v>
      </c>
      <c r="E84" s="43">
        <v>6</v>
      </c>
      <c r="F84" s="43">
        <v>8</v>
      </c>
      <c r="G84" s="55">
        <v>16505.77999999997</v>
      </c>
      <c r="H84" s="57">
        <v>7976.03</v>
      </c>
      <c r="I84" s="40">
        <f t="shared" si="156"/>
      </c>
      <c r="J84" s="41">
        <f t="shared" si="136"/>
      </c>
      <c r="K84" s="41">
        <f t="shared" si="20"/>
      </c>
      <c r="L84" s="42">
        <f t="shared" si="0"/>
      </c>
      <c r="M84" s="43" t="s">
        <v>99</v>
      </c>
      <c r="N84" s="44">
        <v>10</v>
      </c>
      <c r="O84" s="56"/>
      <c r="P84" s="45"/>
      <c r="Q84" s="46"/>
      <c r="R84" s="47"/>
      <c r="S84" s="38">
        <f t="shared" si="51"/>
      </c>
      <c r="T84" s="48">
        <f t="shared" si="32"/>
      </c>
      <c r="U84" s="49">
        <f t="shared" si="109"/>
      </c>
      <c r="V84" s="49">
        <f t="shared" si="71"/>
      </c>
      <c r="W84" s="49">
        <f t="shared" si="128"/>
      </c>
      <c r="X84" s="50">
        <f t="shared" si="90"/>
      </c>
      <c r="Y84" s="49">
        <f t="shared" si="12"/>
      </c>
      <c r="Z84" s="51">
        <v>53</v>
      </c>
      <c r="AA84" s="52">
        <f t="shared" si="148"/>
      </c>
      <c r="AB84" s="50">
        <v>66024</v>
      </c>
      <c r="AC84" s="50">
        <v>2139</v>
      </c>
      <c r="AD84" s="50">
        <v>2220</v>
      </c>
      <c r="AE84" s="50">
        <v>219</v>
      </c>
      <c r="AF84" s="51">
        <v>225</v>
      </c>
      <c r="AG84" s="51">
        <v>15</v>
      </c>
      <c r="AH84" s="51">
        <v>2</v>
      </c>
      <c r="AI84" s="51">
        <v>28</v>
      </c>
    </row>
    <row customHeight="true" hidden="true" ht="16.071428571428573" r="85">
      <c r="A85" s="58">
        <v>46307</v>
      </c>
      <c r="B85" s="59" t="s">
        <v>87</v>
      </c>
      <c r="C85" s="60"/>
      <c r="D85" s="60">
        <f>SUM(D79:D84)</f>
      </c>
      <c r="E85" s="60">
        <f>SUM(E79:E84)</f>
      </c>
      <c r="F85" s="60">
        <f>SUM(F79:F84)</f>
      </c>
      <c r="G85" s="60">
        <f>SUM(G79:G84)</f>
      </c>
      <c r="H85" s="60">
        <f>SUM(H79:H84)</f>
      </c>
      <c r="I85" s="61">
        <f t="shared" si="156"/>
      </c>
      <c r="J85" s="61">
        <f t="shared" si="136"/>
      </c>
      <c r="K85" s="61">
        <f t="shared" si="20"/>
      </c>
      <c r="L85" s="61">
        <f t="shared" si="0"/>
      </c>
      <c r="M85" s="60"/>
      <c r="N85" s="62">
        <f>SUM(N79:N84)</f>
      </c>
      <c r="O85" s="62"/>
      <c r="P85" s="60"/>
      <c r="Q85" s="60"/>
      <c r="R85" s="60"/>
      <c r="S85" s="63">
        <f>AVERAGE(S79:S84)</f>
      </c>
      <c r="T85" s="64">
        <f>AVERAGE(T79:T84)</f>
      </c>
      <c r="U85" s="64">
        <f>AVERAGE(U79:U84)</f>
      </c>
      <c r="V85" s="64">
        <f>AVERAGE(V79:V84)</f>
      </c>
      <c r="W85" s="64">
        <f>AVERAGE(W79:W84)</f>
      </c>
      <c r="X85" s="65">
        <f>SUM(X79:X84)</f>
      </c>
      <c r="Y85" s="64">
        <f>AVERAGE(Y79:Y84)</f>
      </c>
      <c r="Z85" s="65"/>
      <c r="AA85" s="66">
        <f>AVERAGE(AA79:AA84)</f>
      </c>
      <c r="AB85" s="65">
        <f>SUM(AB79:AB84)</f>
      </c>
      <c r="AC85" s="65">
        <f>SUM(AC79:AC84)</f>
      </c>
      <c r="AD85" s="65">
        <f>SUM(AD79:AD84)</f>
      </c>
      <c r="AE85" s="65">
        <f>SUM(AE79:AE84)</f>
      </c>
      <c r="AF85" s="65">
        <f>SUM(AF79:AF84)</f>
      </c>
      <c r="AG85" s="65">
        <f>SUM(AG79:AG84)</f>
      </c>
      <c r="AH85" s="65">
        <f>SUM(AH79:AH84)</f>
      </c>
      <c r="AI85" s="65">
        <f>SUM(AI79:AI84)</f>
      </c>
    </row>
    <row hidden="true" r="86">
      <c r="A86" s="34">
        <v>46308</v>
      </c>
      <c r="B86" s="35" t="s">
        <v>76</v>
      </c>
      <c r="C86" s="36" t="s">
        <v>88</v>
      </c>
      <c r="D86" s="37">
        <v>2</v>
      </c>
      <c r="E86" s="43">
        <v>6</v>
      </c>
      <c r="F86" s="43">
        <v>8</v>
      </c>
      <c r="G86" s="55">
        <v>23339.77</v>
      </c>
      <c r="H86" s="57">
        <v>3281.1</v>
      </c>
      <c r="I86" s="40">
        <f t="shared" si="156"/>
      </c>
      <c r="J86" s="41">
        <f t="shared" si="136"/>
      </c>
      <c r="K86" s="41">
        <f t="shared" si="20"/>
      </c>
      <c r="L86" s="42">
        <f t="shared" si="0"/>
      </c>
      <c r="M86" s="43"/>
      <c r="N86" s="56"/>
      <c r="O86" s="56"/>
      <c r="P86" s="45"/>
      <c r="Q86" s="46"/>
      <c r="R86" s="47"/>
      <c r="S86" s="38">
        <f t="shared" ref="S86:S91" si="52">H86/AC86</f>
      </c>
      <c r="T86" s="48">
        <f t="shared" ref="T86:T91" si="33">X86/AB86*1</f>
      </c>
      <c r="U86" s="49">
        <f t="shared" ref="U86:U91" si="110">AC86/AB86</f>
      </c>
      <c r="V86" s="49">
        <f t="shared" ref="V86:V91" si="72">AD86/AB86</f>
      </c>
      <c r="W86" s="49">
        <f t="shared" ref="W86:W91" si="129">AF86/AD86</f>
      </c>
      <c r="X86" s="50">
        <f t="shared" ref="X86:X91" si="91">AE86/Y86</f>
      </c>
      <c r="Y86" s="49">
        <f t="shared" ref="Y86:Y91" si="13">AE86/AD86</f>
      </c>
      <c r="Z86" s="51">
        <v>54</v>
      </c>
      <c r="AA86" s="52">
        <f t="shared" ref="AA86:AA91" si="149">(H86/AB86)*1000</f>
      </c>
      <c r="AB86" s="50">
        <v>38453</v>
      </c>
      <c r="AC86" s="50">
        <v>876</v>
      </c>
      <c r="AD86" s="50">
        <v>946</v>
      </c>
      <c r="AE86" s="50">
        <v>157</v>
      </c>
      <c r="AF86" s="51">
        <v>148</v>
      </c>
      <c r="AG86" s="51">
        <v>9</v>
      </c>
      <c r="AH86" s="51">
        <v>1</v>
      </c>
      <c r="AI86" s="51">
        <v>22</v>
      </c>
    </row>
    <row hidden="true" r="87">
      <c r="A87" s="34">
        <v>46308</v>
      </c>
      <c r="B87" s="35" t="s">
        <v>78</v>
      </c>
      <c r="C87" s="36" t="s">
        <v>95</v>
      </c>
      <c r="D87" s="37">
        <v>5</v>
      </c>
      <c r="E87" s="35">
        <v>19</v>
      </c>
      <c r="F87" s="35">
        <v>20</v>
      </c>
      <c r="G87" s="38">
        <v>50527.66</v>
      </c>
      <c r="H87" s="53">
        <v>19197.89</v>
      </c>
      <c r="I87" s="40">
        <f t="shared" si="156"/>
      </c>
      <c r="J87" s="41">
        <f t="shared" si="136"/>
      </c>
      <c r="K87" s="41">
        <f t="shared" si="20"/>
      </c>
      <c r="L87" s="42">
        <f t="shared" si="0"/>
      </c>
      <c r="M87" s="54"/>
      <c r="N87" s="44"/>
      <c r="O87" s="44"/>
      <c r="P87" s="45"/>
      <c r="Q87" s="46"/>
      <c r="R87" s="47"/>
      <c r="S87" s="38">
        <f t="shared" si="52"/>
      </c>
      <c r="T87" s="48">
        <f t="shared" si="33"/>
      </c>
      <c r="U87" s="49">
        <f t="shared" si="110"/>
      </c>
      <c r="V87" s="49">
        <f t="shared" si="72"/>
      </c>
      <c r="W87" s="49">
        <f t="shared" si="129"/>
      </c>
      <c r="X87" s="50">
        <f t="shared" si="91"/>
      </c>
      <c r="Y87" s="49">
        <f t="shared" si="13"/>
      </c>
      <c r="Z87" s="51">
        <v>48</v>
      </c>
      <c r="AA87" s="52">
        <f t="shared" si="149"/>
      </c>
      <c r="AB87" s="51">
        <v>183851</v>
      </c>
      <c r="AC87" s="50">
        <v>4169</v>
      </c>
      <c r="AD87" s="51">
        <v>4308</v>
      </c>
      <c r="AE87" s="50">
        <v>777</v>
      </c>
      <c r="AF87" s="51">
        <v>415</v>
      </c>
      <c r="AG87" s="51">
        <v>31</v>
      </c>
      <c r="AH87" s="50">
        <v>5</v>
      </c>
      <c r="AI87" s="50">
        <v>109</v>
      </c>
    </row>
    <row customHeight="true" hidden="true" ht="16.071428571428573" r="88">
      <c r="A88" s="34">
        <v>46308</v>
      </c>
      <c r="B88" s="35" t="s">
        <v>89</v>
      </c>
      <c r="C88" s="36" t="s">
        <v>96</v>
      </c>
      <c r="D88" s="37">
        <v>5</v>
      </c>
      <c r="E88" s="35">
        <v>17</v>
      </c>
      <c r="F88" s="35">
        <v>23</v>
      </c>
      <c r="G88" s="55">
        <v>54431.87999999999</v>
      </c>
      <c r="H88" s="39">
        <v>17445.9</v>
      </c>
      <c r="I88" s="40">
        <f t="shared" si="156"/>
      </c>
      <c r="J88" s="41">
        <f t="shared" si="136"/>
      </c>
      <c r="K88" s="41">
        <f t="shared" si="20"/>
      </c>
      <c r="L88" s="42">
        <f t="shared" si="0"/>
      </c>
      <c r="M88" s="43" t="s">
        <v>103</v>
      </c>
      <c r="N88" s="44">
        <v>10</v>
      </c>
      <c r="O88" s="44"/>
      <c r="P88" s="45"/>
      <c r="Q88" s="46"/>
      <c r="R88" s="47"/>
      <c r="S88" s="38">
        <f t="shared" si="52"/>
      </c>
      <c r="T88" s="48">
        <f t="shared" si="33"/>
      </c>
      <c r="U88" s="49">
        <f t="shared" si="110"/>
      </c>
      <c r="V88" s="49">
        <f t="shared" si="72"/>
      </c>
      <c r="W88" s="49">
        <f t="shared" si="129"/>
      </c>
      <c r="X88" s="50">
        <f t="shared" si="91"/>
      </c>
      <c r="Y88" s="49">
        <f t="shared" si="13"/>
      </c>
      <c r="Z88" s="51">
        <v>52</v>
      </c>
      <c r="AA88" s="52">
        <f t="shared" si="149"/>
      </c>
      <c r="AB88" s="50">
        <v>112749</v>
      </c>
      <c r="AC88" s="50">
        <v>2309</v>
      </c>
      <c r="AD88" s="50">
        <v>2398</v>
      </c>
      <c r="AE88" s="50">
        <v>475</v>
      </c>
      <c r="AF88" s="51">
        <v>259</v>
      </c>
      <c r="AG88" s="51">
        <v>22</v>
      </c>
      <c r="AH88" s="50">
        <v>0</v>
      </c>
      <c r="AI88" s="50">
        <v>59</v>
      </c>
    </row>
    <row customHeight="true" hidden="true" ht="16.071428571428573" r="89">
      <c r="A89" s="34">
        <v>46308</v>
      </c>
      <c r="B89" s="35" t="s">
        <v>81</v>
      </c>
      <c r="C89" s="36" t="s">
        <v>101</v>
      </c>
      <c r="D89" s="37">
        <v>4</v>
      </c>
      <c r="E89" s="35">
        <v>11</v>
      </c>
      <c r="F89" s="43">
        <v>16</v>
      </c>
      <c r="G89" s="55">
        <v>39684.66</v>
      </c>
      <c r="H89" s="53">
        <v>14840.95</v>
      </c>
      <c r="I89" s="40">
        <f t="shared" si="156"/>
      </c>
      <c r="J89" s="41">
        <f t="shared" si="136"/>
      </c>
      <c r="K89" s="41">
        <f t="shared" si="20"/>
      </c>
      <c r="L89" s="42">
        <f t="shared" si="0"/>
      </c>
      <c r="M89" s="43"/>
      <c r="N89" s="56"/>
      <c r="O89" s="56"/>
      <c r="P89" s="45"/>
      <c r="Q89" s="46"/>
      <c r="R89" s="47"/>
      <c r="S89" s="38">
        <f t="shared" si="52"/>
      </c>
      <c r="T89" s="48">
        <f t="shared" si="33"/>
      </c>
      <c r="U89" s="49">
        <f t="shared" si="110"/>
      </c>
      <c r="V89" s="49">
        <f t="shared" si="72"/>
      </c>
      <c r="W89" s="49">
        <f t="shared" si="129"/>
      </c>
      <c r="X89" s="50">
        <f t="shared" si="91"/>
      </c>
      <c r="Y89" s="49">
        <f t="shared" si="13"/>
      </c>
      <c r="Z89" s="51">
        <v>58</v>
      </c>
      <c r="AA89" s="52">
        <f t="shared" si="149"/>
      </c>
      <c r="AB89" s="51">
        <v>80060</v>
      </c>
      <c r="AC89" s="50">
        <v>1832</v>
      </c>
      <c r="AD89" s="50">
        <v>1956</v>
      </c>
      <c r="AE89" s="50">
        <v>387</v>
      </c>
      <c r="AF89" s="51">
        <v>298</v>
      </c>
      <c r="AG89" s="50">
        <v>15</v>
      </c>
      <c r="AH89" s="50">
        <v>7</v>
      </c>
      <c r="AI89" s="50">
        <v>40</v>
      </c>
    </row>
    <row customHeight="true" hidden="true" ht="16.071428571428573" r="90">
      <c r="A90" s="34">
        <v>46308</v>
      </c>
      <c r="B90" s="35" t="s">
        <v>97</v>
      </c>
      <c r="C90" s="36" t="s">
        <v>102</v>
      </c>
      <c r="D90" s="37">
        <v>2</v>
      </c>
      <c r="E90" s="43">
        <v>8</v>
      </c>
      <c r="F90" s="43">
        <v>8</v>
      </c>
      <c r="G90" s="55">
        <v>20116.119999999995</v>
      </c>
      <c r="H90" s="57">
        <v>6638.3099999999995</v>
      </c>
      <c r="I90" s="40">
        <f t="shared" si="156"/>
      </c>
      <c r="J90" s="41">
        <f t="shared" si="136"/>
      </c>
      <c r="K90" s="41">
        <f t="shared" si="20"/>
      </c>
      <c r="L90" s="42">
        <f t="shared" si="0"/>
      </c>
      <c r="M90" s="43"/>
      <c r="N90" s="44"/>
      <c r="O90" s="56"/>
      <c r="P90" s="45"/>
      <c r="Q90" s="46"/>
      <c r="R90" s="47"/>
      <c r="S90" s="38">
        <f t="shared" si="52"/>
      </c>
      <c r="T90" s="48">
        <f t="shared" si="33"/>
      </c>
      <c r="U90" s="49">
        <f t="shared" si="110"/>
      </c>
      <c r="V90" s="49">
        <f t="shared" si="72"/>
      </c>
      <c r="W90" s="49">
        <f t="shared" si="129"/>
      </c>
      <c r="X90" s="50">
        <f t="shared" si="91"/>
      </c>
      <c r="Y90" s="49">
        <f t="shared" si="13"/>
      </c>
      <c r="Z90" s="51">
        <v>56</v>
      </c>
      <c r="AA90" s="52">
        <f t="shared" si="149"/>
      </c>
      <c r="AB90" s="50">
        <v>45794</v>
      </c>
      <c r="AC90" s="50">
        <v>1194</v>
      </c>
      <c r="AD90" s="50">
        <v>1255</v>
      </c>
      <c r="AE90" s="50">
        <v>192</v>
      </c>
      <c r="AF90" s="51">
        <v>158</v>
      </c>
      <c r="AG90" s="51">
        <v>11</v>
      </c>
      <c r="AH90" s="51">
        <v>4</v>
      </c>
      <c r="AI90" s="51">
        <v>22</v>
      </c>
    </row>
    <row customHeight="true" ht="16.071428571428573" r="91">
      <c r="A91" s="34">
        <v>46308</v>
      </c>
      <c r="B91" s="35" t="s">
        <v>76</v>
      </c>
      <c r="C91" s="36" t="s">
        <v>85</v>
      </c>
      <c r="D91" s="37">
        <v>2</v>
      </c>
      <c r="E91" s="43">
        <v>7</v>
      </c>
      <c r="F91" s="43">
        <v>8</v>
      </c>
      <c r="G91" s="55">
        <v>20000</v>
      </c>
      <c r="H91" s="57">
        <v>6522.880000000001</v>
      </c>
      <c r="I91" s="40">
        <f t="shared" si="156"/>
      </c>
      <c r="J91" s="41">
        <f t="shared" si="136"/>
      </c>
      <c r="K91" s="41">
        <f t="shared" si="20"/>
      </c>
      <c r="L91" s="42">
        <f t="shared" si="0"/>
      </c>
      <c r="M91" s="43" t="s">
        <v>99</v>
      </c>
      <c r="N91" s="44">
        <v>10</v>
      </c>
      <c r="O91" s="56"/>
      <c r="P91" s="45"/>
      <c r="Q91" s="46"/>
      <c r="R91" s="47"/>
      <c r="S91" s="38">
        <f t="shared" si="52"/>
      </c>
      <c r="T91" s="48">
        <f t="shared" si="33"/>
      </c>
      <c r="U91" s="49">
        <f t="shared" si="110"/>
      </c>
      <c r="V91" s="49">
        <f t="shared" si="72"/>
      </c>
      <c r="W91" s="49">
        <f t="shared" si="129"/>
      </c>
      <c r="X91" s="50">
        <f t="shared" si="91"/>
      </c>
      <c r="Y91" s="49">
        <f t="shared" si="13"/>
      </c>
      <c r="Z91" s="51">
        <v>53</v>
      </c>
      <c r="AA91" s="52">
        <f t="shared" si="149"/>
      </c>
      <c r="AB91" s="50">
        <v>76879</v>
      </c>
      <c r="AC91" s="50">
        <v>2092</v>
      </c>
      <c r="AD91" s="50">
        <v>2200</v>
      </c>
      <c r="AE91" s="50">
        <v>283</v>
      </c>
      <c r="AF91" s="51">
        <v>178</v>
      </c>
      <c r="AG91" s="51">
        <v>14</v>
      </c>
      <c r="AH91" s="51">
        <v>5</v>
      </c>
      <c r="AI91" s="51">
        <v>32</v>
      </c>
    </row>
    <row customHeight="true" hidden="true" ht="16.071428571428573" r="92">
      <c r="A92" s="58">
        <v>46308</v>
      </c>
      <c r="B92" s="59" t="s">
        <v>87</v>
      </c>
      <c r="C92" s="60"/>
      <c r="D92" s="60">
        <f>SUM(D86:D91)</f>
      </c>
      <c r="E92" s="60">
        <f>SUM(E86:E91)</f>
      </c>
      <c r="F92" s="60">
        <f>SUM(F86:F91)</f>
      </c>
      <c r="G92" s="60">
        <f>SUM(G86:G91)</f>
      </c>
      <c r="H92" s="60">
        <f>SUM(H86:H91)</f>
      </c>
      <c r="I92" s="61">
        <f t="shared" si="156"/>
      </c>
      <c r="J92" s="61">
        <f t="shared" si="136"/>
      </c>
      <c r="K92" s="61">
        <f t="shared" si="20"/>
      </c>
      <c r="L92" s="61">
        <f t="shared" si="0"/>
      </c>
      <c r="M92" s="60"/>
      <c r="N92" s="62">
        <f>SUM(N86:N91)</f>
      </c>
      <c r="O92" s="62"/>
      <c r="P92" s="60"/>
      <c r="Q92" s="60"/>
      <c r="R92" s="60"/>
      <c r="S92" s="63">
        <f>AVERAGE(S86:S91)</f>
      </c>
      <c r="T92" s="64">
        <f>AVERAGE(T86:T91)</f>
      </c>
      <c r="U92" s="64">
        <f>AVERAGE(U86:U91)</f>
      </c>
      <c r="V92" s="64">
        <f>AVERAGE(V86:V91)</f>
      </c>
      <c r="W92" s="64">
        <f>AVERAGE(W86:W91)</f>
      </c>
      <c r="X92" s="65">
        <f>SUM(X86:X91)</f>
      </c>
      <c r="Y92" s="64">
        <f>AVERAGE(Y86:Y91)</f>
      </c>
      <c r="Z92" s="65"/>
      <c r="AA92" s="66">
        <f>AVERAGE(AA86:AA91)</f>
      </c>
      <c r="AB92" s="65">
        <f>SUM(AB86:AB91)</f>
      </c>
      <c r="AC92" s="65">
        <f>SUM(AC86:AC91)</f>
      </c>
      <c r="AD92" s="65">
        <f>SUM(AD86:AD91)</f>
      </c>
      <c r="AE92" s="65">
        <f>SUM(AE86:AE91)</f>
      </c>
      <c r="AF92" s="65">
        <f>SUM(AF86:AF91)</f>
      </c>
      <c r="AG92" s="65">
        <f>SUM(AG86:AG91)</f>
      </c>
      <c r="AH92" s="65">
        <f>SUM(AH86:AH91)</f>
      </c>
      <c r="AI92" s="65">
        <f>SUM(AI86:AI91)</f>
      </c>
    </row>
    <row customHeight="true" hidden="true" ht="16.071428571428573" r="93">
      <c r="A93" s="34">
        <v>46309</v>
      </c>
      <c r="B93" s="35" t="s">
        <v>76</v>
      </c>
      <c r="C93" s="36" t="s">
        <v>88</v>
      </c>
      <c r="D93" s="37">
        <v>2</v>
      </c>
      <c r="E93" s="43">
        <v>6</v>
      </c>
      <c r="F93" s="43">
        <v>7</v>
      </c>
      <c r="G93" s="55">
        <v>14510.939999999999</v>
      </c>
      <c r="H93" s="57">
        <v>3861.03</v>
      </c>
      <c r="I93" s="40">
        <f t="shared" si="156"/>
      </c>
      <c r="J93" s="41">
        <f t="shared" si="136"/>
      </c>
      <c r="K93" s="41">
        <f t="shared" si="20"/>
      </c>
      <c r="L93" s="42">
        <f t="shared" si="0"/>
      </c>
      <c r="M93" s="43"/>
      <c r="N93" s="56"/>
      <c r="O93" s="56"/>
      <c r="P93" s="45"/>
      <c r="Q93" s="46"/>
      <c r="R93" s="47"/>
      <c r="S93" s="38">
        <f t="shared" ref="S93:S98" si="53">H93/AC93</f>
      </c>
      <c r="T93" s="48">
        <f t="shared" ref="T93:T98" si="34">X93/AB93*1</f>
      </c>
      <c r="U93" s="49">
        <f t="shared" ref="U93:U98" si="111">AC93/AB93</f>
      </c>
      <c r="V93" s="49">
        <f t="shared" ref="V93:V98" si="73">AD93/AB93</f>
      </c>
      <c r="W93" s="49">
        <f t="shared" ref="W93:W98" si="130">AF93/AD93</f>
      </c>
      <c r="X93" s="50">
        <f t="shared" ref="X93:X98" si="92">AE93/Y93</f>
      </c>
      <c r="Y93" s="49">
        <f t="shared" ref="Y93:Y98" si="14">AE93/AD93</f>
      </c>
      <c r="Z93" s="51">
        <v>57</v>
      </c>
      <c r="AA93" s="52">
        <f t="shared" ref="AA93:AA98" si="150">(H93/AB93)*1000</f>
      </c>
      <c r="AB93" s="50">
        <v>48086</v>
      </c>
      <c r="AC93" s="50">
        <v>1078</v>
      </c>
      <c r="AD93" s="50">
        <v>1135</v>
      </c>
      <c r="AE93" s="50">
        <v>164</v>
      </c>
      <c r="AF93" s="51">
        <v>98</v>
      </c>
      <c r="AG93" s="51">
        <v>2</v>
      </c>
      <c r="AH93" s="51">
        <v>1</v>
      </c>
      <c r="AI93" s="51">
        <v>30</v>
      </c>
    </row>
    <row hidden="true" r="94">
      <c r="A94" s="34">
        <v>46309</v>
      </c>
      <c r="B94" s="35" t="s">
        <v>78</v>
      </c>
      <c r="C94" s="36" t="s">
        <v>77</v>
      </c>
      <c r="D94" s="37">
        <v>4</v>
      </c>
      <c r="E94" s="35">
        <v>10</v>
      </c>
      <c r="F94" s="35">
        <v>10</v>
      </c>
      <c r="G94" s="38">
        <v>24395.100000000002</v>
      </c>
      <c r="H94" s="53">
        <v>14620.04</v>
      </c>
      <c r="I94" s="40">
        <f t="shared" si="156"/>
      </c>
      <c r="J94" s="41">
        <f t="shared" si="136"/>
      </c>
      <c r="K94" s="41">
        <f t="shared" si="20"/>
      </c>
      <c r="L94" s="42">
        <f t="shared" si="0"/>
      </c>
      <c r="M94" s="54"/>
      <c r="N94" s="44"/>
      <c r="O94" s="44"/>
      <c r="P94" s="45"/>
      <c r="Q94" s="46"/>
      <c r="R94" s="47"/>
      <c r="S94" s="38">
        <f t="shared" si="53"/>
      </c>
      <c r="T94" s="48">
        <f t="shared" si="34"/>
      </c>
      <c r="U94" s="49">
        <f t="shared" si="111"/>
      </c>
      <c r="V94" s="49">
        <f t="shared" si="73"/>
      </c>
      <c r="W94" s="49">
        <f t="shared" si="130"/>
      </c>
      <c r="X94" s="50">
        <f t="shared" si="92"/>
      </c>
      <c r="Y94" s="49">
        <f t="shared" si="14"/>
      </c>
      <c r="Z94" s="51">
        <v>46</v>
      </c>
      <c r="AA94" s="52">
        <f t="shared" si="150"/>
      </c>
      <c r="AB94" s="51">
        <v>141353</v>
      </c>
      <c r="AC94" s="50">
        <v>3634</v>
      </c>
      <c r="AD94" s="51">
        <v>3827</v>
      </c>
      <c r="AE94" s="50">
        <v>565</v>
      </c>
      <c r="AF94" s="51">
        <v>201</v>
      </c>
      <c r="AG94" s="51">
        <v>25</v>
      </c>
      <c r="AH94" s="50">
        <v>8</v>
      </c>
      <c r="AI94" s="50">
        <v>100</v>
      </c>
    </row>
    <row customHeight="true" hidden="true" ht="16.071428571428573" r="95">
      <c r="A95" s="34">
        <v>46309</v>
      </c>
      <c r="B95" s="35" t="s">
        <v>89</v>
      </c>
      <c r="C95" s="36" t="s">
        <v>79</v>
      </c>
      <c r="D95" s="37">
        <v>4</v>
      </c>
      <c r="E95" s="35">
        <v>15</v>
      </c>
      <c r="F95" s="35">
        <v>20</v>
      </c>
      <c r="G95" s="55">
        <v>42463.25000000001</v>
      </c>
      <c r="H95" s="39">
        <v>14592.53</v>
      </c>
      <c r="I95" s="40">
        <f t="shared" si="156"/>
      </c>
      <c r="J95" s="41">
        <f t="shared" si="136"/>
      </c>
      <c r="K95" s="41">
        <f t="shared" si="20"/>
      </c>
      <c r="L95" s="42">
        <f t="shared" si="0"/>
      </c>
      <c r="M95" s="43" t="s">
        <v>104</v>
      </c>
      <c r="N95" s="44">
        <v>10</v>
      </c>
      <c r="O95" s="44"/>
      <c r="P95" s="45"/>
      <c r="Q95" s="46"/>
      <c r="R95" s="47"/>
      <c r="S95" s="38">
        <f t="shared" si="53"/>
      </c>
      <c r="T95" s="48">
        <f t="shared" si="34"/>
      </c>
      <c r="U95" s="49">
        <f t="shared" si="111"/>
      </c>
      <c r="V95" s="49">
        <f t="shared" si="73"/>
      </c>
      <c r="W95" s="49">
        <f t="shared" si="130"/>
      </c>
      <c r="X95" s="50">
        <f t="shared" si="92"/>
      </c>
      <c r="Y95" s="49">
        <f t="shared" si="14"/>
      </c>
      <c r="Z95" s="51">
        <v>48</v>
      </c>
      <c r="AA95" s="52">
        <f t="shared" si="150"/>
      </c>
      <c r="AB95" s="50">
        <v>110564</v>
      </c>
      <c r="AC95" s="50">
        <v>3000</v>
      </c>
      <c r="AD95" s="50">
        <v>3145</v>
      </c>
      <c r="AE95" s="50">
        <v>440</v>
      </c>
      <c r="AF95" s="51">
        <v>315</v>
      </c>
      <c r="AG95" s="51">
        <v>17</v>
      </c>
      <c r="AH95" s="50">
        <v>5</v>
      </c>
      <c r="AI95" s="50">
        <v>49</v>
      </c>
      <c r="AM95" s="67"/>
    </row>
    <row customHeight="true" hidden="true" ht="16.071428571428573" r="96">
      <c r="A96" s="34">
        <v>46309</v>
      </c>
      <c r="B96" s="35" t="s">
        <v>76</v>
      </c>
      <c r="C96" s="36" t="s">
        <v>82</v>
      </c>
      <c r="D96" s="37">
        <v>4</v>
      </c>
      <c r="E96" s="35">
        <v>11</v>
      </c>
      <c r="F96" s="43">
        <v>13</v>
      </c>
      <c r="G96" s="55">
        <v>37149.33</v>
      </c>
      <c r="H96" s="53">
        <v>13307.12</v>
      </c>
      <c r="I96" s="40">
        <f t="shared" si="156"/>
      </c>
      <c r="J96" s="41">
        <f t="shared" si="136"/>
      </c>
      <c r="K96" s="41">
        <f t="shared" si="20"/>
      </c>
      <c r="L96" s="42">
        <f t="shared" si="0"/>
      </c>
      <c r="M96" s="43"/>
      <c r="N96" s="56"/>
      <c r="O96" s="56"/>
      <c r="P96" s="45"/>
      <c r="Q96" s="46"/>
      <c r="R96" s="47"/>
      <c r="S96" s="38">
        <f t="shared" si="53"/>
      </c>
      <c r="T96" s="48">
        <f t="shared" si="34"/>
      </c>
      <c r="U96" s="49">
        <f t="shared" si="111"/>
      </c>
      <c r="V96" s="49">
        <f t="shared" si="73"/>
      </c>
      <c r="W96" s="49">
        <f t="shared" si="130"/>
      </c>
      <c r="X96" s="50">
        <f t="shared" si="92"/>
      </c>
      <c r="Y96" s="49">
        <f t="shared" si="14"/>
      </c>
      <c r="Z96" s="51">
        <v>42</v>
      </c>
      <c r="AA96" s="52">
        <f t="shared" si="150"/>
      </c>
      <c r="AB96" s="51">
        <v>92810</v>
      </c>
      <c r="AC96" s="50">
        <v>2765</v>
      </c>
      <c r="AD96" s="50">
        <v>2946</v>
      </c>
      <c r="AE96" s="50">
        <v>305</v>
      </c>
      <c r="AF96" s="51">
        <v>275</v>
      </c>
      <c r="AG96" s="51">
        <v>19</v>
      </c>
      <c r="AH96" s="50">
        <v>3</v>
      </c>
      <c r="AI96" s="50">
        <v>33</v>
      </c>
    </row>
    <row customHeight="true" hidden="true" ht="16.071428571428573" r="97">
      <c r="A97" s="34">
        <v>46309</v>
      </c>
      <c r="B97" s="35" t="s">
        <v>97</v>
      </c>
      <c r="C97" s="36" t="s">
        <v>84</v>
      </c>
      <c r="D97" s="37">
        <v>4</v>
      </c>
      <c r="E97" s="43">
        <v>10</v>
      </c>
      <c r="F97" s="43">
        <v>14</v>
      </c>
      <c r="G97" s="55">
        <v>38333.07</v>
      </c>
      <c r="H97" s="57">
        <v>14387.42</v>
      </c>
      <c r="I97" s="40">
        <f t="shared" si="156"/>
      </c>
      <c r="J97" s="41">
        <f t="shared" si="136"/>
      </c>
      <c r="K97" s="41">
        <f t="shared" si="20"/>
      </c>
      <c r="L97" s="42">
        <f t="shared" si="0"/>
      </c>
      <c r="M97" s="43"/>
      <c r="N97" s="44"/>
      <c r="O97" s="56"/>
      <c r="P97" s="45"/>
      <c r="Q97" s="46"/>
      <c r="R97" s="47"/>
      <c r="S97" s="38">
        <f t="shared" si="53"/>
      </c>
      <c r="T97" s="48">
        <f t="shared" si="34"/>
      </c>
      <c r="U97" s="49">
        <f t="shared" si="111"/>
      </c>
      <c r="V97" s="49">
        <f t="shared" si="73"/>
      </c>
      <c r="W97" s="49">
        <f t="shared" si="130"/>
      </c>
      <c r="X97" s="50">
        <f t="shared" si="92"/>
      </c>
      <c r="Y97" s="49">
        <f t="shared" si="14"/>
      </c>
      <c r="Z97" s="51">
        <v>41</v>
      </c>
      <c r="AA97" s="52">
        <f t="shared" si="150"/>
      </c>
      <c r="AB97" s="50">
        <v>106501</v>
      </c>
      <c r="AC97" s="50">
        <v>3823</v>
      </c>
      <c r="AD97" s="50">
        <v>4071</v>
      </c>
      <c r="AE97" s="50">
        <v>369</v>
      </c>
      <c r="AF97" s="51">
        <v>275</v>
      </c>
      <c r="AG97" s="51">
        <v>34</v>
      </c>
      <c r="AH97" s="51">
        <v>6</v>
      </c>
      <c r="AI97" s="51">
        <v>30</v>
      </c>
    </row>
    <row customHeight="true" ht="16.071428571428573" r="98">
      <c r="A98" s="34">
        <v>46309</v>
      </c>
      <c r="B98" s="35" t="s">
        <v>83</v>
      </c>
      <c r="C98" s="36" t="s">
        <v>85</v>
      </c>
      <c r="D98" s="37">
        <v>2</v>
      </c>
      <c r="E98" s="43">
        <v>5</v>
      </c>
      <c r="F98" s="43">
        <v>6</v>
      </c>
      <c r="G98" s="55">
        <v>16696.71</v>
      </c>
      <c r="H98" s="57">
        <v>7653.6</v>
      </c>
      <c r="I98" s="40">
        <f t="shared" si="156"/>
      </c>
      <c r="J98" s="41">
        <f t="shared" si="136"/>
      </c>
      <c r="K98" s="41">
        <f t="shared" si="20"/>
      </c>
      <c r="L98" s="42">
        <f t="shared" si="0"/>
      </c>
      <c r="M98" s="43" t="s">
        <v>105</v>
      </c>
      <c r="N98" s="44">
        <v>10</v>
      </c>
      <c r="O98" s="56"/>
      <c r="P98" s="45"/>
      <c r="Q98" s="46"/>
      <c r="R98" s="47"/>
      <c r="S98" s="38">
        <f t="shared" si="53"/>
      </c>
      <c r="T98" s="48">
        <f t="shared" si="34"/>
      </c>
      <c r="U98" s="49">
        <f t="shared" si="111"/>
      </c>
      <c r="V98" s="49">
        <f t="shared" si="73"/>
      </c>
      <c r="W98" s="49">
        <f t="shared" si="130"/>
      </c>
      <c r="X98" s="50">
        <f t="shared" si="92"/>
      </c>
      <c r="Y98" s="49">
        <f t="shared" si="14"/>
      </c>
      <c r="Z98" s="51">
        <v>41</v>
      </c>
      <c r="AA98" s="52">
        <f t="shared" si="150"/>
      </c>
      <c r="AB98" s="50">
        <v>63435</v>
      </c>
      <c r="AC98" s="50">
        <v>2298</v>
      </c>
      <c r="AD98" s="50">
        <v>2516</v>
      </c>
      <c r="AE98" s="50">
        <v>200</v>
      </c>
      <c r="AF98" s="51">
        <v>91</v>
      </c>
      <c r="AG98" s="51">
        <v>12</v>
      </c>
      <c r="AH98" s="51">
        <v>8</v>
      </c>
      <c r="AI98" s="51">
        <v>16</v>
      </c>
    </row>
    <row customHeight="true" hidden="true" ht="16.071428571428573" r="99">
      <c r="A99" s="58">
        <v>46309</v>
      </c>
      <c r="B99" s="59" t="s">
        <v>87</v>
      </c>
      <c r="C99" s="60"/>
      <c r="D99" s="60">
        <f>SUM(D93:D98)</f>
      </c>
      <c r="E99" s="60">
        <f>SUM(E93:E98)</f>
      </c>
      <c r="F99" s="60">
        <f>SUM(F93:F98)</f>
      </c>
      <c r="G99" s="60">
        <f>SUM(G93:G98)</f>
      </c>
      <c r="H99" s="60">
        <f>SUM(H93:H98)</f>
      </c>
      <c r="I99" s="61">
        <f t="shared" si="156"/>
      </c>
      <c r="J99" s="61">
        <f t="shared" si="136"/>
      </c>
      <c r="K99" s="61">
        <f t="shared" si="20"/>
      </c>
      <c r="L99" s="61">
        <f t="shared" si="0"/>
      </c>
      <c r="M99" s="60"/>
      <c r="N99" s="62">
        <f>SUM(N93:N98)</f>
      </c>
      <c r="O99" s="62"/>
      <c r="P99" s="60"/>
      <c r="Q99" s="60"/>
      <c r="R99" s="60"/>
      <c r="S99" s="63">
        <f>AVERAGE(S93:S98)</f>
      </c>
      <c r="T99" s="64">
        <f>AVERAGE(T93:T98)</f>
      </c>
      <c r="U99" s="64">
        <f>AVERAGE(U93:U98)</f>
      </c>
      <c r="V99" s="64">
        <f>AVERAGE(V93:V98)</f>
      </c>
      <c r="W99" s="64">
        <f>AVERAGE(W93:W98)</f>
      </c>
      <c r="X99" s="65">
        <f>SUM(X93:X98)</f>
      </c>
      <c r="Y99" s="64">
        <f>AVERAGE(Y93:Y98)</f>
      </c>
      <c r="Z99" s="65"/>
      <c r="AA99" s="66">
        <f>AVERAGE(AA93:AA98)</f>
      </c>
      <c r="AB99" s="65">
        <f>SUM(AB93:AB98)</f>
      </c>
      <c r="AC99" s="65">
        <f>SUM(AC93:AC98)</f>
      </c>
      <c r="AD99" s="65">
        <f>SUM(AD93:AD98)</f>
      </c>
      <c r="AE99" s="65">
        <f>SUM(AE93:AE98)</f>
      </c>
      <c r="AF99" s="65">
        <f>SUM(AF93:AF98)</f>
      </c>
      <c r="AG99" s="65">
        <f>SUM(AG93:AG98)</f>
      </c>
      <c r="AH99" s="65">
        <f>SUM(AH93:AH98)</f>
      </c>
      <c r="AI99" s="65">
        <f>SUM(AI93:AI98)</f>
      </c>
    </row>
    <row customHeight="true" hidden="true" ht="16.071428571428573" r="100">
      <c r="A100" s="34">
        <v>46310</v>
      </c>
      <c r="B100" s="35" t="s">
        <v>83</v>
      </c>
      <c r="C100" s="36" t="s">
        <v>88</v>
      </c>
      <c r="D100" s="37">
        <v>2</v>
      </c>
      <c r="E100" s="43">
        <v>6</v>
      </c>
      <c r="F100" s="43">
        <v>6</v>
      </c>
      <c r="G100" s="55">
        <v>14742.6</v>
      </c>
      <c r="H100" s="57">
        <v>3337.1099999999997</v>
      </c>
      <c r="I100" s="40">
        <f t="shared" si="156"/>
      </c>
      <c r="J100" s="41">
        <f t="shared" si="136"/>
      </c>
      <c r="K100" s="41">
        <f t="shared" si="20"/>
      </c>
      <c r="L100" s="42">
        <f t="shared" si="0"/>
      </c>
      <c r="M100" s="43"/>
      <c r="N100" s="56"/>
      <c r="O100" s="56"/>
      <c r="P100" s="45"/>
      <c r="Q100" s="46"/>
      <c r="R100" s="47"/>
      <c r="S100" s="38">
        <f t="shared" ref="S100:S105" si="54">H100/AC100</f>
      </c>
      <c r="T100" s="48">
        <f t="shared" ref="T100:T105" si="35">X100/AB100*1</f>
      </c>
      <c r="U100" s="49">
        <f t="shared" ref="U100:U105" si="112">AC100/AB100</f>
      </c>
      <c r="V100" s="49">
        <f t="shared" ref="V100:V105" si="74">AD100/AB100</f>
      </c>
      <c r="W100" s="49">
        <f t="shared" ref="W100:W105" si="131">AF100/AD100</f>
      </c>
      <c r="X100" s="50">
        <f t="shared" ref="X100:X105" si="93">AE100/Y100</f>
      </c>
      <c r="Y100" s="49">
        <f t="shared" ref="Y100:Y105" si="15">AE100/AD100</f>
      </c>
      <c r="Z100" s="51">
        <v>46</v>
      </c>
      <c r="AA100" s="52">
        <f t="shared" ref="AA100:AA105" si="151">(H100/AB100)*1000</f>
      </c>
      <c r="AB100" s="50">
        <v>34624</v>
      </c>
      <c r="AC100" s="50">
        <v>952</v>
      </c>
      <c r="AD100" s="50">
        <v>1051</v>
      </c>
      <c r="AE100" s="50">
        <v>119</v>
      </c>
      <c r="AF100" s="51">
        <v>79</v>
      </c>
      <c r="AG100" s="51">
        <v>16</v>
      </c>
      <c r="AH100" s="51">
        <v>1</v>
      </c>
      <c r="AI100" s="51">
        <v>33</v>
      </c>
    </row>
    <row customHeight="true" hidden="true" ht="16.071428571428573" r="101">
      <c r="A101" s="34">
        <v>46310</v>
      </c>
      <c r="B101" s="35" t="s">
        <v>81</v>
      </c>
      <c r="C101" s="36" t="s">
        <v>77</v>
      </c>
      <c r="D101" s="37">
        <v>4</v>
      </c>
      <c r="E101" s="35">
        <v>19</v>
      </c>
      <c r="F101" s="35">
        <v>22</v>
      </c>
      <c r="G101" s="38">
        <v>56163.12000000001</v>
      </c>
      <c r="H101" s="53">
        <v>14623.529999999999</v>
      </c>
      <c r="I101" s="40">
        <f t="shared" si="156"/>
      </c>
      <c r="J101" s="41">
        <f t="shared" si="136"/>
      </c>
      <c r="K101" s="41">
        <f t="shared" si="20"/>
      </c>
      <c r="L101" s="42">
        <f t="shared" si="0"/>
      </c>
      <c r="M101" s="54"/>
      <c r="N101" s="44"/>
      <c r="O101" s="44"/>
      <c r="P101" s="45"/>
      <c r="Q101" s="46"/>
      <c r="R101" s="47"/>
      <c r="S101" s="38">
        <f t="shared" si="54"/>
      </c>
      <c r="T101" s="48">
        <f t="shared" si="35"/>
      </c>
      <c r="U101" s="49">
        <f t="shared" si="112"/>
      </c>
      <c r="V101" s="49">
        <f t="shared" si="74"/>
      </c>
      <c r="W101" s="49">
        <f t="shared" si="131"/>
      </c>
      <c r="X101" s="50">
        <f t="shared" si="93"/>
      </c>
      <c r="Y101" s="49">
        <f t="shared" si="15"/>
      </c>
      <c r="Z101" s="51">
        <v>44</v>
      </c>
      <c r="AA101" s="52">
        <f t="shared" si="151"/>
      </c>
      <c r="AB101" s="51">
        <v>130328</v>
      </c>
      <c r="AC101" s="50">
        <v>3044</v>
      </c>
      <c r="AD101" s="51">
        <v>3221</v>
      </c>
      <c r="AE101" s="50">
        <v>589</v>
      </c>
      <c r="AF101" s="51">
        <v>366</v>
      </c>
      <c r="AG101" s="51">
        <v>36</v>
      </c>
      <c r="AH101" s="50">
        <v>3</v>
      </c>
      <c r="AI101" s="50">
        <v>113</v>
      </c>
    </row>
    <row customHeight="true" hidden="true" ht="16.071428571428573" r="102">
      <c r="A102" s="34">
        <v>46310</v>
      </c>
      <c r="B102" s="35" t="s">
        <v>78</v>
      </c>
      <c r="C102" s="36" t="s">
        <v>79</v>
      </c>
      <c r="D102" s="37">
        <v>4</v>
      </c>
      <c r="E102" s="35">
        <v>16</v>
      </c>
      <c r="F102" s="35">
        <v>18</v>
      </c>
      <c r="G102" s="55">
        <v>39405.85</v>
      </c>
      <c r="H102" s="39">
        <v>16202.24</v>
      </c>
      <c r="I102" s="40">
        <f t="shared" si="156"/>
      </c>
      <c r="J102" s="41">
        <f t="shared" si="136"/>
      </c>
      <c r="K102" s="41">
        <f t="shared" si="20"/>
      </c>
      <c r="L102" s="42">
        <f t="shared" si="0"/>
      </c>
      <c r="M102" s="43" t="s">
        <v>106</v>
      </c>
      <c r="N102" s="44">
        <v>10</v>
      </c>
      <c r="O102" s="44"/>
      <c r="P102" s="45"/>
      <c r="Q102" s="46"/>
      <c r="R102" s="47"/>
      <c r="S102" s="38">
        <f t="shared" si="54"/>
      </c>
      <c r="T102" s="48">
        <f t="shared" si="35"/>
      </c>
      <c r="U102" s="49">
        <f t="shared" si="112"/>
      </c>
      <c r="V102" s="49">
        <f t="shared" si="74"/>
      </c>
      <c r="W102" s="49">
        <f t="shared" si="131"/>
      </c>
      <c r="X102" s="50">
        <f t="shared" si="93"/>
      </c>
      <c r="Y102" s="49">
        <f t="shared" si="15"/>
      </c>
      <c r="Z102" s="51">
        <v>54</v>
      </c>
      <c r="AA102" s="52">
        <f t="shared" si="151"/>
      </c>
      <c r="AB102" s="50">
        <v>112465</v>
      </c>
      <c r="AC102" s="50">
        <v>1940</v>
      </c>
      <c r="AD102" s="50">
        <v>2015</v>
      </c>
      <c r="AE102" s="50">
        <v>524</v>
      </c>
      <c r="AF102" s="51">
        <v>341</v>
      </c>
      <c r="AG102" s="51">
        <v>19</v>
      </c>
      <c r="AH102" s="50">
        <v>9</v>
      </c>
      <c r="AI102" s="50">
        <v>92</v>
      </c>
    </row>
    <row customHeight="true" hidden="true" ht="16.071428571428573" r="103">
      <c r="A103" s="34">
        <v>46310</v>
      </c>
      <c r="B103" s="35" t="s">
        <v>76</v>
      </c>
      <c r="C103" s="36" t="s">
        <v>82</v>
      </c>
      <c r="D103" s="37">
        <v>4</v>
      </c>
      <c r="E103" s="35">
        <v>13</v>
      </c>
      <c r="F103" s="43">
        <v>16</v>
      </c>
      <c r="G103" s="55">
        <v>37604.58</v>
      </c>
      <c r="H103" s="53">
        <v>15358.4</v>
      </c>
      <c r="I103" s="40">
        <f t="shared" si="156"/>
      </c>
      <c r="J103" s="41">
        <f t="shared" si="136"/>
      </c>
      <c r="K103" s="41">
        <f t="shared" si="20"/>
      </c>
      <c r="L103" s="42">
        <f t="shared" si="0"/>
      </c>
      <c r="M103" s="43"/>
      <c r="N103" s="56"/>
      <c r="O103" s="56"/>
      <c r="P103" s="45"/>
      <c r="Q103" s="46"/>
      <c r="R103" s="47"/>
      <c r="S103" s="38">
        <f t="shared" si="54"/>
      </c>
      <c r="T103" s="48">
        <f t="shared" si="35"/>
      </c>
      <c r="U103" s="49">
        <f t="shared" si="112"/>
      </c>
      <c r="V103" s="49">
        <f t="shared" si="74"/>
      </c>
      <c r="W103" s="49">
        <f t="shared" si="131"/>
      </c>
      <c r="X103" s="50">
        <f t="shared" si="93"/>
      </c>
      <c r="Y103" s="49">
        <f t="shared" si="15"/>
      </c>
      <c r="Z103" s="51">
        <v>58</v>
      </c>
      <c r="AA103" s="52">
        <f t="shared" si="151"/>
      </c>
      <c r="AB103" s="51">
        <v>101491</v>
      </c>
      <c r="AC103" s="50">
        <v>2313</v>
      </c>
      <c r="AD103" s="50">
        <v>2457</v>
      </c>
      <c r="AE103" s="50">
        <v>514</v>
      </c>
      <c r="AF103" s="51">
        <v>348</v>
      </c>
      <c r="AG103" s="51">
        <v>15</v>
      </c>
      <c r="AH103" s="50">
        <v>5</v>
      </c>
      <c r="AI103" s="50">
        <v>69</v>
      </c>
    </row>
    <row customHeight="true" hidden="true" ht="16.071428571428573" r="104">
      <c r="A104" s="34">
        <v>46310</v>
      </c>
      <c r="B104" s="35" t="s">
        <v>73</v>
      </c>
      <c r="C104" s="36" t="s">
        <v>84</v>
      </c>
      <c r="D104" s="37">
        <v>4</v>
      </c>
      <c r="E104" s="43">
        <v>11</v>
      </c>
      <c r="F104" s="43">
        <v>14</v>
      </c>
      <c r="G104" s="55">
        <v>38017.99</v>
      </c>
      <c r="H104" s="57">
        <v>13882.18</v>
      </c>
      <c r="I104" s="40">
        <f t="shared" si="156"/>
      </c>
      <c r="J104" s="41">
        <f t="shared" si="136"/>
      </c>
      <c r="K104" s="41">
        <f t="shared" si="20"/>
      </c>
      <c r="L104" s="42">
        <f t="shared" si="0"/>
      </c>
      <c r="M104" s="43"/>
      <c r="N104" s="44"/>
      <c r="O104" s="56"/>
      <c r="P104" s="45"/>
      <c r="Q104" s="46"/>
      <c r="R104" s="47"/>
      <c r="S104" s="38">
        <f t="shared" si="54"/>
      </c>
      <c r="T104" s="48">
        <f t="shared" si="35"/>
      </c>
      <c r="U104" s="49">
        <f t="shared" si="112"/>
      </c>
      <c r="V104" s="49">
        <f t="shared" si="74"/>
      </c>
      <c r="W104" s="49">
        <f t="shared" si="131"/>
      </c>
      <c r="X104" s="50">
        <f t="shared" si="93"/>
      </c>
      <c r="Y104" s="49">
        <f t="shared" si="15"/>
      </c>
      <c r="Z104" s="51">
        <v>58</v>
      </c>
      <c r="AA104" s="52">
        <f t="shared" si="151"/>
      </c>
      <c r="AB104" s="50">
        <v>92422</v>
      </c>
      <c r="AC104" s="50">
        <v>2002</v>
      </c>
      <c r="AD104" s="50">
        <v>2107</v>
      </c>
      <c r="AE104" s="50">
        <v>397</v>
      </c>
      <c r="AF104" s="51">
        <v>233</v>
      </c>
      <c r="AG104" s="51">
        <v>19</v>
      </c>
      <c r="AH104" s="51">
        <v>8</v>
      </c>
      <c r="AI104" s="51">
        <v>73</v>
      </c>
    </row>
    <row customHeight="true" ht="16.071428571428573" r="105">
      <c r="A105" s="34">
        <v>46310</v>
      </c>
      <c r="B105" s="35" t="s">
        <v>83</v>
      </c>
      <c r="C105" s="36" t="s">
        <v>85</v>
      </c>
      <c r="D105" s="37">
        <v>2</v>
      </c>
      <c r="E105" s="43">
        <v>8</v>
      </c>
      <c r="F105" s="43">
        <v>8</v>
      </c>
      <c r="G105" s="55">
        <v>18449.46</v>
      </c>
      <c r="H105" s="57">
        <v>8407.53</v>
      </c>
      <c r="I105" s="40">
        <f t="shared" si="156"/>
      </c>
      <c r="J105" s="41">
        <f t="shared" si="136"/>
      </c>
      <c r="K105" s="41">
        <f t="shared" si="20"/>
      </c>
      <c r="L105" s="42">
        <f t="shared" si="0"/>
      </c>
      <c r="M105" s="43" t="s">
        <v>105</v>
      </c>
      <c r="N105" s="44">
        <v>10</v>
      </c>
      <c r="O105" s="56"/>
      <c r="P105" s="45"/>
      <c r="Q105" s="46"/>
      <c r="R105" s="47"/>
      <c r="S105" s="38">
        <f t="shared" si="54"/>
      </c>
      <c r="T105" s="48">
        <f t="shared" si="35"/>
      </c>
      <c r="U105" s="49">
        <f t="shared" si="112"/>
      </c>
      <c r="V105" s="49">
        <f t="shared" si="74"/>
      </c>
      <c r="W105" s="49">
        <f t="shared" si="131"/>
      </c>
      <c r="X105" s="50">
        <f t="shared" si="93"/>
      </c>
      <c r="Y105" s="49">
        <f t="shared" si="15"/>
      </c>
      <c r="Z105" s="51">
        <v>58</v>
      </c>
      <c r="AA105" s="52">
        <f t="shared" si="151"/>
      </c>
      <c r="AB105" s="50">
        <v>62987</v>
      </c>
      <c r="AC105" s="50">
        <v>1875</v>
      </c>
      <c r="AD105" s="50">
        <v>1960</v>
      </c>
      <c r="AE105" s="50">
        <v>238</v>
      </c>
      <c r="AF105" s="51">
        <v>167</v>
      </c>
      <c r="AG105" s="51">
        <v>7</v>
      </c>
      <c r="AH105" s="51">
        <v>8</v>
      </c>
      <c r="AI105" s="51">
        <v>26</v>
      </c>
    </row>
    <row customHeight="true" hidden="true" ht="16.071428571428573" r="106">
      <c r="A106" s="58">
        <v>46310</v>
      </c>
      <c r="B106" s="59" t="s">
        <v>87</v>
      </c>
      <c r="C106" s="60"/>
      <c r="D106" s="60">
        <f>SUM(D100:D105)</f>
      </c>
      <c r="E106" s="60">
        <f>SUM(E100:E105)</f>
      </c>
      <c r="F106" s="60">
        <f>SUM(F100:F105)</f>
      </c>
      <c r="G106" s="60">
        <f>SUM(G100:G105)</f>
      </c>
      <c r="H106" s="60">
        <f>SUM(H100:H105)</f>
      </c>
      <c r="I106" s="61">
        <f t="shared" si="156"/>
      </c>
      <c r="J106" s="61">
        <f t="shared" si="136"/>
      </c>
      <c r="K106" s="61">
        <f t="shared" si="20"/>
      </c>
      <c r="L106" s="61">
        <f t="shared" si="0"/>
      </c>
      <c r="M106" s="60"/>
      <c r="N106" s="62">
        <f>SUM(N100:N105)</f>
      </c>
      <c r="O106" s="62"/>
      <c r="P106" s="60"/>
      <c r="Q106" s="60"/>
      <c r="R106" s="60"/>
      <c r="S106" s="63">
        <f>AVERAGE(S100:S105)</f>
      </c>
      <c r="T106" s="64">
        <f>AVERAGE(T100:T105)</f>
      </c>
      <c r="U106" s="64">
        <f>AVERAGE(U100:U105)</f>
      </c>
      <c r="V106" s="64">
        <f>AVERAGE(V100:V105)</f>
      </c>
      <c r="W106" s="64">
        <f>AVERAGE(W100:W105)</f>
      </c>
      <c r="X106" s="65">
        <f>SUM(X100:X105)</f>
      </c>
      <c r="Y106" s="64">
        <f>AVERAGE(Y100:Y105)</f>
      </c>
      <c r="Z106" s="65"/>
      <c r="AA106" s="66">
        <f>AVERAGE(AA100:AA105)</f>
      </c>
      <c r="AB106" s="65">
        <f>SUM(AB100:AB105)</f>
      </c>
      <c r="AC106" s="65">
        <f>SUM(AC100:AC105)</f>
      </c>
      <c r="AD106" s="65">
        <f>SUM(AD100:AD105)</f>
      </c>
      <c r="AE106" s="65">
        <f>SUM(AE100:AE105)</f>
      </c>
      <c r="AF106" s="65">
        <f>SUM(AF100:AF105)</f>
      </c>
      <c r="AG106" s="65">
        <f>SUM(AG100:AG105)</f>
      </c>
      <c r="AH106" s="65">
        <f>SUM(AH100:AH105)</f>
      </c>
      <c r="AI106" s="65">
        <f>SUM(AI100:AI105)</f>
      </c>
    </row>
    <row customHeight="true" hidden="true" ht="16.071428571428573" r="107">
      <c r="A107" s="34">
        <v>46311</v>
      </c>
      <c r="B107" s="35" t="s">
        <v>83</v>
      </c>
      <c r="C107" s="36" t="s">
        <v>88</v>
      </c>
      <c r="D107" s="37">
        <v>2</v>
      </c>
      <c r="E107" s="43">
        <v>1</v>
      </c>
      <c r="F107" s="43">
        <v>3</v>
      </c>
      <c r="G107" s="55">
        <v>6537.960000000001</v>
      </c>
      <c r="H107" s="57">
        <v>3150.57</v>
      </c>
      <c r="I107" s="40">
        <f t="shared" si="156"/>
      </c>
      <c r="J107" s="41">
        <f t="shared" si="136"/>
      </c>
      <c r="K107" s="41">
        <f t="shared" si="20"/>
      </c>
      <c r="L107" s="42">
        <f t="shared" si="0"/>
      </c>
      <c r="M107" s="43"/>
      <c r="N107" s="56"/>
      <c r="O107" s="56"/>
      <c r="P107" s="45"/>
      <c r="Q107" s="46"/>
      <c r="R107" s="47"/>
      <c r="S107" s="38">
        <f t="shared" ref="S107:S112" si="55">H107/AC107</f>
      </c>
      <c r="T107" s="48">
        <f t="shared" ref="T107:T112" si="36">X107/AB107*1</f>
      </c>
      <c r="U107" s="49">
        <f t="shared" ref="U107:U112" si="113">AC107/AB107</f>
      </c>
      <c r="V107" s="49">
        <f t="shared" ref="V107:V112" si="75">AD107/AB107</f>
      </c>
      <c r="W107" s="49">
        <f t="shared" ref="W107:W112" si="132">AF107/AD107</f>
      </c>
      <c r="X107" s="50">
        <f t="shared" ref="X107:X112" si="94">AE107/Y107</f>
      </c>
      <c r="Y107" s="49">
        <f t="shared" ref="Y107:Y112" si="16">AE107/AD107</f>
      </c>
      <c r="Z107" s="51">
        <v>59</v>
      </c>
      <c r="AA107" s="52">
        <f t="shared" ref="AA107:AA112" si="152">(H107/AB107)*1000</f>
      </c>
      <c r="AB107" s="50">
        <v>31725</v>
      </c>
      <c r="AC107" s="50">
        <v>987</v>
      </c>
      <c r="AD107" s="50">
        <v>1075</v>
      </c>
      <c r="AE107" s="50">
        <v>122</v>
      </c>
      <c r="AF107" s="51">
        <v>123</v>
      </c>
      <c r="AG107" s="51">
        <v>11</v>
      </c>
      <c r="AH107" s="51">
        <v>3</v>
      </c>
      <c r="AI107" s="51">
        <v>16</v>
      </c>
    </row>
    <row customHeight="true" hidden="true" ht="16.071428571428573" r="108">
      <c r="A108" s="34">
        <v>46311</v>
      </c>
      <c r="B108" s="35" t="s">
        <v>81</v>
      </c>
      <c r="C108" s="36" t="s">
        <v>95</v>
      </c>
      <c r="D108" s="37">
        <v>5</v>
      </c>
      <c r="E108" s="35">
        <v>30</v>
      </c>
      <c r="F108" s="35">
        <v>34</v>
      </c>
      <c r="G108" s="38">
        <v>78814.59</v>
      </c>
      <c r="H108" s="53">
        <v>19863.440000000002</v>
      </c>
      <c r="I108" s="40">
        <f t="shared" si="156"/>
      </c>
      <c r="J108" s="41">
        <f t="shared" si="136"/>
      </c>
      <c r="K108" s="41">
        <f t="shared" si="20"/>
      </c>
      <c r="L108" s="42">
        <f t="shared" si="0"/>
      </c>
      <c r="M108" s="54"/>
      <c r="N108" s="44"/>
      <c r="O108" s="44"/>
      <c r="P108" s="45"/>
      <c r="Q108" s="46"/>
      <c r="R108" s="47"/>
      <c r="S108" s="38">
        <f t="shared" si="55"/>
      </c>
      <c r="T108" s="48">
        <f t="shared" si="36"/>
      </c>
      <c r="U108" s="49">
        <f t="shared" si="113"/>
      </c>
      <c r="V108" s="49">
        <f t="shared" si="75"/>
      </c>
      <c r="W108" s="49">
        <f t="shared" si="132"/>
      </c>
      <c r="X108" s="50">
        <f t="shared" si="94"/>
      </c>
      <c r="Y108" s="49">
        <f t="shared" si="16"/>
      </c>
      <c r="Z108" s="51">
        <v>55</v>
      </c>
      <c r="AA108" s="52">
        <f t="shared" si="152"/>
      </c>
      <c r="AB108" s="51">
        <v>151832</v>
      </c>
      <c r="AC108" s="50">
        <v>3258</v>
      </c>
      <c r="AD108" s="51">
        <v>3355</v>
      </c>
      <c r="AE108" s="50">
        <v>748</v>
      </c>
      <c r="AF108" s="51">
        <v>435</v>
      </c>
      <c r="AG108" s="51">
        <v>32</v>
      </c>
      <c r="AH108" s="50">
        <v>4</v>
      </c>
      <c r="AI108" s="50">
        <v>125</v>
      </c>
    </row>
    <row customHeight="true" hidden="true" ht="16.071428571428573" r="109">
      <c r="A109" s="34">
        <v>46311</v>
      </c>
      <c r="B109" s="35" t="s">
        <v>89</v>
      </c>
      <c r="C109" s="36" t="s">
        <v>107</v>
      </c>
      <c r="D109" s="37">
        <v>4</v>
      </c>
      <c r="E109" s="35">
        <v>20</v>
      </c>
      <c r="F109" s="35">
        <v>24</v>
      </c>
      <c r="G109" s="55">
        <v>62926.330000000016</v>
      </c>
      <c r="H109" s="39">
        <v>19077.13</v>
      </c>
      <c r="I109" s="40">
        <f t="shared" si="156"/>
      </c>
      <c r="J109" s="41">
        <f t="shared" si="136"/>
      </c>
      <c r="K109" s="41">
        <f t="shared" si="20"/>
      </c>
      <c r="L109" s="42">
        <f t="shared" si="0"/>
      </c>
      <c r="M109" s="43" t="s">
        <v>108</v>
      </c>
      <c r="N109" s="44">
        <v>10</v>
      </c>
      <c r="O109" s="44"/>
      <c r="P109" s="45"/>
      <c r="Q109" s="46"/>
      <c r="R109" s="47"/>
      <c r="S109" s="38">
        <f t="shared" si="55"/>
      </c>
      <c r="T109" s="48">
        <f t="shared" si="36"/>
      </c>
      <c r="U109" s="49">
        <f t="shared" si="113"/>
      </c>
      <c r="V109" s="49">
        <f t="shared" si="75"/>
      </c>
      <c r="W109" s="49">
        <f t="shared" si="132"/>
      </c>
      <c r="X109" s="50">
        <f t="shared" si="94"/>
      </c>
      <c r="Y109" s="49">
        <f t="shared" si="16"/>
      </c>
      <c r="Z109" s="51">
        <v>63</v>
      </c>
      <c r="AA109" s="52">
        <f t="shared" si="152"/>
      </c>
      <c r="AB109" s="50">
        <v>129018</v>
      </c>
      <c r="AC109" s="50">
        <v>2221</v>
      </c>
      <c r="AD109" s="50">
        <v>2279</v>
      </c>
      <c r="AE109" s="50">
        <v>496</v>
      </c>
      <c r="AF109" s="51">
        <v>316</v>
      </c>
      <c r="AG109" s="51">
        <v>22</v>
      </c>
      <c r="AH109" s="50">
        <v>7</v>
      </c>
      <c r="AI109" s="50">
        <v>97</v>
      </c>
    </row>
    <row customHeight="true" hidden="true" ht="16.071428571428573" r="110">
      <c r="A110" s="34">
        <v>46311</v>
      </c>
      <c r="B110" s="35" t="s">
        <v>76</v>
      </c>
      <c r="C110" s="36" t="s">
        <v>109</v>
      </c>
      <c r="D110" s="37">
        <v>4</v>
      </c>
      <c r="E110" s="35">
        <v>14</v>
      </c>
      <c r="F110" s="43">
        <v>15</v>
      </c>
      <c r="G110" s="55">
        <v>40244.5</v>
      </c>
      <c r="H110" s="53">
        <v>14663.78</v>
      </c>
      <c r="I110" s="40">
        <f t="shared" si="156"/>
      </c>
      <c r="J110" s="41">
        <f t="shared" si="136"/>
      </c>
      <c r="K110" s="41">
        <f t="shared" si="20"/>
      </c>
      <c r="L110" s="42">
        <f t="shared" si="0"/>
      </c>
      <c r="M110" s="43"/>
      <c r="N110" s="56"/>
      <c r="O110" s="56"/>
      <c r="P110" s="45"/>
      <c r="Q110" s="46"/>
      <c r="R110" s="47"/>
      <c r="S110" s="38">
        <f t="shared" si="55"/>
      </c>
      <c r="T110" s="48">
        <f t="shared" si="36"/>
      </c>
      <c r="U110" s="49">
        <f t="shared" si="113"/>
      </c>
      <c r="V110" s="49">
        <f t="shared" si="75"/>
      </c>
      <c r="W110" s="49">
        <f t="shared" si="132"/>
      </c>
      <c r="X110" s="50">
        <f t="shared" si="94"/>
      </c>
      <c r="Y110" s="49">
        <f t="shared" si="16"/>
      </c>
      <c r="Z110" s="51">
        <v>63</v>
      </c>
      <c r="AA110" s="52">
        <f t="shared" si="152"/>
      </c>
      <c r="AB110" s="51">
        <v>97287</v>
      </c>
      <c r="AC110" s="50">
        <v>1828</v>
      </c>
      <c r="AD110" s="50">
        <v>1885</v>
      </c>
      <c r="AE110" s="50">
        <v>387</v>
      </c>
      <c r="AF110" s="51">
        <v>256</v>
      </c>
      <c r="AG110" s="51">
        <v>16</v>
      </c>
      <c r="AH110" s="50">
        <v>8</v>
      </c>
      <c r="AI110" s="50">
        <v>46</v>
      </c>
    </row>
    <row customHeight="true" hidden="true" ht="16.071428571428573" r="111">
      <c r="A111" s="34">
        <v>46311</v>
      </c>
      <c r="B111" s="35" t="s">
        <v>97</v>
      </c>
      <c r="C111" s="36" t="s">
        <v>110</v>
      </c>
      <c r="D111" s="37">
        <v>3</v>
      </c>
      <c r="E111" s="43">
        <v>23</v>
      </c>
      <c r="F111" s="43">
        <v>28</v>
      </c>
      <c r="G111" s="55">
        <v>63773.27</v>
      </c>
      <c r="H111" s="57">
        <v>15671.69</v>
      </c>
      <c r="I111" s="40">
        <f t="shared" si="156"/>
      </c>
      <c r="J111" s="41">
        <f t="shared" si="136"/>
      </c>
      <c r="K111" s="41">
        <f t="shared" si="20"/>
      </c>
      <c r="L111" s="42">
        <f t="shared" si="0"/>
      </c>
      <c r="M111" s="43"/>
      <c r="N111" s="44"/>
      <c r="O111" s="56"/>
      <c r="P111" s="45"/>
      <c r="Q111" s="46"/>
      <c r="R111" s="47"/>
      <c r="S111" s="38">
        <f t="shared" si="55"/>
      </c>
      <c r="T111" s="48">
        <f t="shared" si="36"/>
      </c>
      <c r="U111" s="49">
        <f t="shared" si="113"/>
      </c>
      <c r="V111" s="49">
        <f t="shared" si="75"/>
      </c>
      <c r="W111" s="49">
        <f t="shared" si="132"/>
      </c>
      <c r="X111" s="50">
        <f t="shared" si="94"/>
      </c>
      <c r="Y111" s="49">
        <f t="shared" si="16"/>
      </c>
      <c r="Z111" s="51">
        <v>63</v>
      </c>
      <c r="AA111" s="52">
        <f t="shared" si="152"/>
      </c>
      <c r="AB111" s="50">
        <v>102615</v>
      </c>
      <c r="AC111" s="50">
        <v>2095</v>
      </c>
      <c r="AD111" s="50">
        <v>2233</v>
      </c>
      <c r="AE111" s="50">
        <v>396</v>
      </c>
      <c r="AF111" s="51">
        <v>243</v>
      </c>
      <c r="AG111" s="51">
        <v>23</v>
      </c>
      <c r="AH111" s="51">
        <v>8</v>
      </c>
      <c r="AI111" s="51">
        <v>70</v>
      </c>
    </row>
    <row customHeight="true" ht="16.071428571428573" r="112">
      <c r="A112" s="34">
        <v>46311</v>
      </c>
      <c r="B112" s="35" t="s">
        <v>73</v>
      </c>
      <c r="C112" s="36" t="s">
        <v>85</v>
      </c>
      <c r="D112" s="37">
        <v>2</v>
      </c>
      <c r="E112" s="43">
        <v>10</v>
      </c>
      <c r="F112" s="43">
        <v>14</v>
      </c>
      <c r="G112" s="55">
        <v>29400.18</v>
      </c>
      <c r="H112" s="57">
        <v>9278.6</v>
      </c>
      <c r="I112" s="40">
        <f t="shared" si="156"/>
      </c>
      <c r="J112" s="41">
        <f t="shared" si="136"/>
      </c>
      <c r="K112" s="41">
        <f t="shared" si="20"/>
      </c>
      <c r="L112" s="42">
        <f t="shared" si="0"/>
      </c>
      <c r="M112" s="43" t="s">
        <v>105</v>
      </c>
      <c r="N112" s="44">
        <v>10</v>
      </c>
      <c r="O112" s="56"/>
      <c r="P112" s="45"/>
      <c r="Q112" s="46"/>
      <c r="R112" s="47"/>
      <c r="S112" s="38">
        <f t="shared" si="55"/>
      </c>
      <c r="T112" s="48">
        <f t="shared" si="36"/>
      </c>
      <c r="U112" s="49">
        <f t="shared" si="113"/>
      </c>
      <c r="V112" s="49">
        <f t="shared" si="75"/>
      </c>
      <c r="W112" s="49">
        <f t="shared" si="132"/>
      </c>
      <c r="X112" s="50">
        <f t="shared" si="94"/>
      </c>
      <c r="Y112" s="49">
        <f t="shared" si="16"/>
      </c>
      <c r="Z112" s="51">
        <v>63</v>
      </c>
      <c r="AA112" s="52">
        <f t="shared" si="152"/>
      </c>
      <c r="AB112" s="50">
        <v>85408</v>
      </c>
      <c r="AC112" s="50">
        <v>1863</v>
      </c>
      <c r="AD112" s="50">
        <v>2011</v>
      </c>
      <c r="AE112" s="50">
        <v>322</v>
      </c>
      <c r="AF112" s="51">
        <v>193</v>
      </c>
      <c r="AG112" s="51">
        <v>16</v>
      </c>
      <c r="AH112" s="51">
        <v>4</v>
      </c>
      <c r="AI112" s="51">
        <v>55</v>
      </c>
    </row>
    <row customHeight="true" hidden="true" ht="16.071428571428573" r="113">
      <c r="A113" s="58">
        <v>46311</v>
      </c>
      <c r="B113" s="59" t="s">
        <v>87</v>
      </c>
      <c r="C113" s="60"/>
      <c r="D113" s="60">
        <f>SUM(D107:D112)</f>
      </c>
      <c r="E113" s="60">
        <f>SUM(E107:E112)</f>
      </c>
      <c r="F113" s="60">
        <f>SUM(F107:F112)</f>
      </c>
      <c r="G113" s="60">
        <f>SUM(G107:G112)</f>
      </c>
      <c r="H113" s="60">
        <f>SUM(H107:H112)</f>
      </c>
      <c r="I113" s="61">
        <f t="shared" si="156"/>
      </c>
      <c r="J113" s="61">
        <f t="shared" si="136"/>
      </c>
      <c r="K113" s="61">
        <f t="shared" si="20"/>
      </c>
      <c r="L113" s="61">
        <f t="shared" si="0"/>
      </c>
      <c r="M113" s="60"/>
      <c r="N113" s="62">
        <f>SUM(N107:N112)</f>
      </c>
      <c r="O113" s="62"/>
      <c r="P113" s="60"/>
      <c r="Q113" s="60"/>
      <c r="R113" s="60"/>
      <c r="S113" s="63">
        <f>AVERAGE(S107:S112)</f>
      </c>
      <c r="T113" s="64">
        <f>AVERAGE(T107:T112)</f>
      </c>
      <c r="U113" s="64">
        <f>AVERAGE(U107:U112)</f>
      </c>
      <c r="V113" s="64">
        <f>AVERAGE(V107:V112)</f>
      </c>
      <c r="W113" s="64">
        <f>AVERAGE(W107:W112)</f>
      </c>
      <c r="X113" s="65">
        <f>SUM(X107:X112)</f>
      </c>
      <c r="Y113" s="64">
        <f>AVERAGE(Y107:Y112)</f>
      </c>
      <c r="Z113" s="65"/>
      <c r="AA113" s="66">
        <f>AVERAGE(AA107:AA112)</f>
      </c>
      <c r="AB113" s="65">
        <f>SUM(AB107:AB112)</f>
      </c>
      <c r="AC113" s="65">
        <f>SUM(AC107:AC112)</f>
      </c>
      <c r="AD113" s="65">
        <f>SUM(AD107:AD112)</f>
      </c>
      <c r="AE113" s="65">
        <f>SUM(AE107:AE112)</f>
      </c>
      <c r="AF113" s="65">
        <f>SUM(AF107:AF112)</f>
      </c>
      <c r="AG113" s="65">
        <f>SUM(AG107:AG112)</f>
      </c>
      <c r="AH113" s="65">
        <f>SUM(AH107:AH112)</f>
      </c>
      <c r="AI113" s="65">
        <f>SUM(AI107:AI112)</f>
      </c>
    </row>
    <row hidden="true" r="114">
      <c r="A114" s="34">
        <v>46312</v>
      </c>
      <c r="B114" s="35" t="s">
        <v>73</v>
      </c>
      <c r="C114" s="36" t="s">
        <v>88</v>
      </c>
      <c r="D114" s="37">
        <v>2</v>
      </c>
      <c r="E114" s="43">
        <v>6</v>
      </c>
      <c r="F114" s="43">
        <v>5</v>
      </c>
      <c r="G114" s="55">
        <v>13505.19</v>
      </c>
      <c r="H114" s="57">
        <v>4027.53</v>
      </c>
      <c r="I114" s="40">
        <f t="shared" si="156"/>
      </c>
      <c r="J114" s="41">
        <f t="shared" si="136"/>
      </c>
      <c r="K114" s="41">
        <f t="shared" si="20"/>
      </c>
      <c r="L114" s="42">
        <f t="shared" si="0"/>
      </c>
      <c r="M114" s="43"/>
      <c r="N114" s="56"/>
      <c r="O114" s="56"/>
      <c r="P114" s="45"/>
      <c r="Q114" s="46"/>
      <c r="R114" s="47"/>
      <c r="S114" s="38">
        <f t="shared" ref="S114:S119" si="56">H114/AC114</f>
      </c>
      <c r="T114" s="48">
        <f t="shared" ref="T114:T119" si="37">X114/AB114*1</f>
      </c>
      <c r="U114" s="49">
        <f t="shared" ref="U114:U119" si="114">AC114/AB114</f>
      </c>
      <c r="V114" s="49">
        <f t="shared" ref="V114:V119" si="76">AD114/AB114</f>
      </c>
      <c r="W114" s="49">
        <f t="shared" ref="W114:W119" si="133">AF114/AD114</f>
      </c>
      <c r="X114" s="50">
        <f t="shared" ref="X114:X119" si="95">AE114/Y114</f>
      </c>
      <c r="Y114" s="49">
        <f t="shared" ref="Y114:Y119" si="17">AE114/AD114</f>
      </c>
      <c r="Z114" s="51">
        <v>64</v>
      </c>
      <c r="AA114" s="52">
        <f t="shared" ref="AA114:AA119" si="153">(H114/AB114)*1000</f>
      </c>
      <c r="AB114" s="50">
        <v>47522</v>
      </c>
      <c r="AC114" s="50">
        <v>1046</v>
      </c>
      <c r="AD114" s="50">
        <v>1118</v>
      </c>
      <c r="AE114" s="50">
        <v>156</v>
      </c>
      <c r="AF114" s="51">
        <v>79</v>
      </c>
      <c r="AG114" s="51">
        <v>7</v>
      </c>
      <c r="AH114" s="51">
        <v>1</v>
      </c>
      <c r="AI114" s="51">
        <v>25</v>
      </c>
    </row>
    <row hidden="true" r="115">
      <c r="A115" s="68">
        <v>46312</v>
      </c>
      <c r="B115" s="35" t="s">
        <v>81</v>
      </c>
      <c r="C115" s="36" t="s">
        <v>95</v>
      </c>
      <c r="D115" s="37">
        <v>5</v>
      </c>
      <c r="E115" s="35">
        <v>15</v>
      </c>
      <c r="F115" s="35">
        <v>18</v>
      </c>
      <c r="G115" s="38">
        <v>43925.1</v>
      </c>
      <c r="H115" s="53">
        <v>18769.3</v>
      </c>
      <c r="I115" s="40">
        <f t="shared" si="156"/>
      </c>
      <c r="J115" s="41">
        <f t="shared" si="136"/>
      </c>
      <c r="K115" s="41">
        <f t="shared" si="20"/>
      </c>
      <c r="L115" s="42">
        <f t="shared" si="0"/>
      </c>
      <c r="M115" s="54"/>
      <c r="N115" s="44"/>
      <c r="O115" s="44"/>
      <c r="P115" s="45"/>
      <c r="Q115" s="46"/>
      <c r="R115" s="47"/>
      <c r="S115" s="38">
        <f t="shared" si="56"/>
      </c>
      <c r="T115" s="48">
        <f t="shared" si="37"/>
      </c>
      <c r="U115" s="49">
        <f t="shared" si="114"/>
      </c>
      <c r="V115" s="49">
        <f t="shared" si="76"/>
      </c>
      <c r="W115" s="49">
        <f t="shared" si="133"/>
      </c>
      <c r="X115" s="50">
        <f t="shared" si="95"/>
      </c>
      <c r="Y115" s="49">
        <f t="shared" si="17"/>
      </c>
      <c r="Z115" s="51">
        <v>53</v>
      </c>
      <c r="AA115" s="52">
        <f t="shared" si="153"/>
      </c>
      <c r="AB115" s="51">
        <v>145165</v>
      </c>
      <c r="AC115" s="50">
        <v>3487</v>
      </c>
      <c r="AD115" s="51">
        <v>3631</v>
      </c>
      <c r="AE115" s="50">
        <v>637</v>
      </c>
      <c r="AF115" s="51">
        <v>343</v>
      </c>
      <c r="AG115" s="51">
        <v>22</v>
      </c>
      <c r="AH115" s="50">
        <v>13</v>
      </c>
      <c r="AI115" s="50">
        <v>92</v>
      </c>
    </row>
    <row hidden="true" r="116">
      <c r="A116" s="68">
        <v>46312</v>
      </c>
      <c r="B116" s="35" t="s">
        <v>78</v>
      </c>
      <c r="C116" s="36" t="s">
        <v>107</v>
      </c>
      <c r="D116" s="37">
        <v>4</v>
      </c>
      <c r="E116" s="35">
        <v>13</v>
      </c>
      <c r="F116" s="35">
        <v>17</v>
      </c>
      <c r="G116" s="55">
        <v>43350.81</v>
      </c>
      <c r="H116" s="39">
        <v>13965.94</v>
      </c>
      <c r="I116" s="40">
        <f t="shared" si="156"/>
      </c>
      <c r="J116" s="41">
        <f t="shared" si="136"/>
      </c>
      <c r="K116" s="41">
        <f t="shared" si="20"/>
      </c>
      <c r="L116" s="42">
        <f t="shared" si="0"/>
      </c>
      <c r="M116" s="43" t="s">
        <v>108</v>
      </c>
      <c r="N116" s="44">
        <v>10</v>
      </c>
      <c r="O116" s="44"/>
      <c r="P116" s="45"/>
      <c r="Q116" s="46"/>
      <c r="R116" s="47"/>
      <c r="S116" s="38">
        <f t="shared" si="56"/>
      </c>
      <c r="T116" s="48">
        <f t="shared" si="37"/>
      </c>
      <c r="U116" s="49">
        <f t="shared" si="114"/>
      </c>
      <c r="V116" s="49">
        <f t="shared" si="76"/>
      </c>
      <c r="W116" s="49">
        <f t="shared" si="133"/>
      </c>
      <c r="X116" s="50">
        <f t="shared" si="95"/>
      </c>
      <c r="Y116" s="49">
        <f t="shared" si="17"/>
      </c>
      <c r="Z116" s="51">
        <v>51</v>
      </c>
      <c r="AA116" s="52">
        <f t="shared" si="153"/>
      </c>
      <c r="AB116" s="50">
        <v>87500</v>
      </c>
      <c r="AC116" s="50">
        <v>2304</v>
      </c>
      <c r="AD116" s="50">
        <v>2471</v>
      </c>
      <c r="AE116" s="50">
        <v>373</v>
      </c>
      <c r="AF116" s="51">
        <v>245</v>
      </c>
      <c r="AG116" s="51">
        <v>17</v>
      </c>
      <c r="AH116" s="50">
        <v>5</v>
      </c>
      <c r="AI116" s="50">
        <v>71</v>
      </c>
    </row>
    <row hidden="true" r="117">
      <c r="A117" s="68">
        <v>46312</v>
      </c>
      <c r="B117" s="35" t="s">
        <v>76</v>
      </c>
      <c r="C117" s="36" t="s">
        <v>109</v>
      </c>
      <c r="D117" s="37">
        <v>4</v>
      </c>
      <c r="E117" s="35">
        <v>12</v>
      </c>
      <c r="F117" s="43">
        <v>15</v>
      </c>
      <c r="G117" s="55">
        <v>43350.58</v>
      </c>
      <c r="H117" s="53">
        <v>13167.85</v>
      </c>
      <c r="I117" s="40">
        <f t="shared" si="156"/>
      </c>
      <c r="J117" s="41">
        <f t="shared" si="136"/>
      </c>
      <c r="K117" s="41">
        <f t="shared" si="20"/>
      </c>
      <c r="L117" s="42">
        <f t="shared" si="0"/>
      </c>
      <c r="M117" s="43"/>
      <c r="N117" s="56"/>
      <c r="O117" s="56"/>
      <c r="P117" s="45"/>
      <c r="Q117" s="46"/>
      <c r="R117" s="47"/>
      <c r="S117" s="38">
        <f t="shared" si="56"/>
      </c>
      <c r="T117" s="48">
        <f t="shared" si="37"/>
      </c>
      <c r="U117" s="49">
        <f t="shared" si="114"/>
      </c>
      <c r="V117" s="49">
        <f t="shared" si="76"/>
      </c>
      <c r="W117" s="49">
        <f t="shared" si="133"/>
      </c>
      <c r="X117" s="50">
        <f t="shared" si="95"/>
      </c>
      <c r="Y117" s="49">
        <f t="shared" si="17"/>
      </c>
      <c r="Z117" s="51">
        <v>53</v>
      </c>
      <c r="AA117" s="52">
        <f t="shared" si="153"/>
      </c>
      <c r="AB117" s="51">
        <v>69553</v>
      </c>
      <c r="AC117" s="50">
        <v>2110</v>
      </c>
      <c r="AD117" s="50">
        <v>2279</v>
      </c>
      <c r="AE117" s="50">
        <v>253</v>
      </c>
      <c r="AF117" s="51">
        <v>263</v>
      </c>
      <c r="AG117" s="51">
        <v>16</v>
      </c>
      <c r="AH117" s="50">
        <v>2</v>
      </c>
      <c r="AI117" s="50">
        <v>36</v>
      </c>
    </row>
    <row hidden="true" r="118">
      <c r="A118" s="68">
        <v>46312</v>
      </c>
      <c r="B118" s="35" t="s">
        <v>97</v>
      </c>
      <c r="C118" s="36" t="s">
        <v>110</v>
      </c>
      <c r="D118" s="37">
        <v>3</v>
      </c>
      <c r="E118" s="43">
        <v>7</v>
      </c>
      <c r="F118" s="43">
        <v>9</v>
      </c>
      <c r="G118" s="55">
        <v>20036.71</v>
      </c>
      <c r="H118" s="57">
        <v>10086.83</v>
      </c>
      <c r="I118" s="40">
        <f t="shared" si="156"/>
      </c>
      <c r="J118" s="41">
        <f t="shared" si="136"/>
      </c>
      <c r="K118" s="41">
        <f t="shared" si="20"/>
      </c>
      <c r="L118" s="42">
        <f t="shared" si="0"/>
      </c>
      <c r="M118" s="43"/>
      <c r="N118" s="44"/>
      <c r="O118" s="56"/>
      <c r="P118" s="45"/>
      <c r="Q118" s="46"/>
      <c r="R118" s="47"/>
      <c r="S118" s="38">
        <f t="shared" si="56"/>
      </c>
      <c r="T118" s="48">
        <f t="shared" si="37"/>
      </c>
      <c r="U118" s="49">
        <f t="shared" si="114"/>
      </c>
      <c r="V118" s="49">
        <f t="shared" si="76"/>
      </c>
      <c r="W118" s="49">
        <f t="shared" si="133"/>
      </c>
      <c r="X118" s="50">
        <f t="shared" si="95"/>
      </c>
      <c r="Y118" s="49">
        <f t="shared" si="17"/>
      </c>
      <c r="Z118" s="51">
        <v>41</v>
      </c>
      <c r="AA118" s="52">
        <f t="shared" si="153"/>
      </c>
      <c r="AB118" s="50">
        <v>60693</v>
      </c>
      <c r="AC118" s="50">
        <v>1716</v>
      </c>
      <c r="AD118" s="50">
        <v>1885</v>
      </c>
      <c r="AE118" s="50">
        <v>203</v>
      </c>
      <c r="AF118" s="51">
        <v>136</v>
      </c>
      <c r="AG118" s="51">
        <v>11</v>
      </c>
      <c r="AH118" s="51">
        <v>6</v>
      </c>
      <c r="AI118" s="51">
        <v>16</v>
      </c>
    </row>
    <row r="119">
      <c r="A119" s="68">
        <v>46312</v>
      </c>
      <c r="B119" s="35" t="s">
        <v>83</v>
      </c>
      <c r="C119" s="36" t="s">
        <v>85</v>
      </c>
      <c r="D119" s="37">
        <v>2</v>
      </c>
      <c r="E119" s="43">
        <v>8</v>
      </c>
      <c r="F119" s="43">
        <v>9</v>
      </c>
      <c r="G119" s="55">
        <v>20160.87</v>
      </c>
      <c r="H119" s="57">
        <v>6659.72</v>
      </c>
      <c r="I119" s="40">
        <f t="shared" si="156"/>
      </c>
      <c r="J119" s="41">
        <f t="shared" si="136"/>
      </c>
      <c r="K119" s="41">
        <f t="shared" si="20"/>
      </c>
      <c r="L119" s="42">
        <f t="shared" si="0"/>
      </c>
      <c r="M119" s="43" t="s">
        <v>105</v>
      </c>
      <c r="N119" s="44">
        <v>10</v>
      </c>
      <c r="O119" s="56"/>
      <c r="P119" s="45"/>
      <c r="Q119" s="46"/>
      <c r="R119" s="47"/>
      <c r="S119" s="38">
        <f t="shared" si="56"/>
      </c>
      <c r="T119" s="48">
        <f t="shared" si="37"/>
      </c>
      <c r="U119" s="49">
        <f t="shared" si="114"/>
      </c>
      <c r="V119" s="49">
        <f t="shared" si="76"/>
      </c>
      <c r="W119" s="49">
        <f t="shared" si="133"/>
      </c>
      <c r="X119" s="50">
        <f t="shared" si="95"/>
      </c>
      <c r="Y119" s="49">
        <f t="shared" si="17"/>
      </c>
      <c r="Z119" s="51">
        <v>47</v>
      </c>
      <c r="AA119" s="52">
        <f t="shared" si="153"/>
      </c>
      <c r="AB119" s="50">
        <v>47386</v>
      </c>
      <c r="AC119" s="50">
        <v>1304</v>
      </c>
      <c r="AD119" s="50">
        <v>1443</v>
      </c>
      <c r="AE119" s="50">
        <v>158</v>
      </c>
      <c r="AF119" s="51">
        <v>105</v>
      </c>
      <c r="AG119" s="51">
        <v>5</v>
      </c>
      <c r="AH119" s="51">
        <v>1</v>
      </c>
      <c r="AI119" s="51">
        <v>16</v>
      </c>
    </row>
    <row hidden="true" r="120">
      <c r="A120" s="58">
        <v>46312</v>
      </c>
      <c r="B120" s="59" t="s">
        <v>87</v>
      </c>
      <c r="C120" s="60"/>
      <c r="D120" s="60">
        <f>SUM(D114:D119)</f>
      </c>
      <c r="E120" s="60">
        <f>SUM(E114:E119)</f>
      </c>
      <c r="F120" s="60">
        <f>SUM(F114:F119)</f>
      </c>
      <c r="G120" s="60">
        <f>SUM(G114:G119)</f>
      </c>
      <c r="H120" s="60">
        <f>SUM(H114:H119)</f>
      </c>
      <c r="I120" s="61">
        <f t="shared" si="156"/>
      </c>
      <c r="J120" s="61">
        <f t="shared" si="136"/>
      </c>
      <c r="K120" s="61">
        <f t="shared" si="20"/>
      </c>
      <c r="L120" s="61">
        <f t="shared" si="0"/>
      </c>
      <c r="M120" s="60"/>
      <c r="N120" s="62">
        <f>SUM(N114:N119)</f>
      </c>
      <c r="O120" s="62"/>
      <c r="P120" s="60"/>
      <c r="Q120" s="60"/>
      <c r="R120" s="60"/>
      <c r="S120" s="63">
        <f>AVERAGE(S114:S119)</f>
      </c>
      <c r="T120" s="64">
        <f>AVERAGE(T114:T119)</f>
      </c>
      <c r="U120" s="64">
        <f>AVERAGE(U114:U119)</f>
      </c>
      <c r="V120" s="64">
        <f>AVERAGE(V114:V119)</f>
      </c>
      <c r="W120" s="64">
        <f>AVERAGE(W114:W119)</f>
      </c>
      <c r="X120" s="65">
        <f>SUM(X114:X119)</f>
      </c>
      <c r="Y120" s="64">
        <f>AVERAGE(Y114:Y119)</f>
      </c>
      <c r="Z120" s="65"/>
      <c r="AA120" s="66">
        <f>AVERAGE(AA114:AA119)</f>
      </c>
      <c r="AB120" s="65">
        <f>SUM(AB114:AB119)</f>
      </c>
      <c r="AC120" s="65">
        <f>SUM(AC114:AC119)</f>
      </c>
      <c r="AD120" s="65">
        <f>SUM(AD114:AD119)</f>
      </c>
      <c r="AE120" s="65">
        <f>SUM(AE114:AE119)</f>
      </c>
      <c r="AF120" s="65">
        <f>SUM(AF114:AF119)</f>
      </c>
      <c r="AG120" s="65">
        <f>SUM(AG114:AG119)</f>
      </c>
      <c r="AH120" s="65">
        <f>SUM(AH114:AH119)</f>
      </c>
      <c r="AI120" s="65">
        <f>SUM(AI114:AI119)</f>
      </c>
    </row>
    <row hidden="true" r="121">
      <c r="A121" s="34">
        <v>46313</v>
      </c>
      <c r="B121" s="35" t="s">
        <v>83</v>
      </c>
      <c r="C121" s="36" t="s">
        <v>88</v>
      </c>
      <c r="D121" s="37">
        <v>2</v>
      </c>
      <c r="E121" s="43">
        <v>5</v>
      </c>
      <c r="F121" s="43">
        <v>7</v>
      </c>
      <c r="G121" s="55">
        <v>15392.54</v>
      </c>
      <c r="H121" s="57">
        <v>3165.69</v>
      </c>
      <c r="I121" s="40">
        <f t="shared" si="156"/>
      </c>
      <c r="J121" s="41">
        <f t="shared" si="136"/>
      </c>
      <c r="K121" s="41">
        <f t="shared" si="20"/>
      </c>
      <c r="L121" s="42">
        <f t="shared" si="0"/>
      </c>
      <c r="M121" s="43"/>
      <c r="N121" s="56"/>
      <c r="O121" s="56"/>
      <c r="P121" s="45"/>
      <c r="Q121" s="46"/>
      <c r="R121" s="47"/>
      <c r="S121" s="38">
        <f t="shared" ref="S121:S126" si="57">H121/AC121</f>
      </c>
      <c r="T121" s="48">
        <f t="shared" ref="T121:T126" si="38">X121/AB121*1</f>
      </c>
      <c r="U121" s="49">
        <f t="shared" ref="U121:U126" si="115">AC121/AB121</f>
      </c>
      <c r="V121" s="49">
        <f t="shared" ref="V121:V126" si="77">AD121/AB121</f>
      </c>
      <c r="W121" s="49">
        <f t="shared" ref="W121:W126" si="134">AF121/AD121</f>
      </c>
      <c r="X121" s="50">
        <f t="shared" ref="X121:X126" si="96">AE121/Y121</f>
      </c>
      <c r="Y121" s="49">
        <f t="shared" ref="Y121:Y126" si="18">AE121/AD121</f>
      </c>
      <c r="Z121" s="51">
        <v>53</v>
      </c>
      <c r="AA121" s="52">
        <f t="shared" ref="AA121:AA126" si="154">(H121/AB121)*1000</f>
      </c>
      <c r="AB121" s="50">
        <v>36624</v>
      </c>
      <c r="AC121" s="50">
        <v>882</v>
      </c>
      <c r="AD121" s="50">
        <v>946</v>
      </c>
      <c r="AE121" s="50">
        <v>143</v>
      </c>
      <c r="AF121" s="51">
        <v>103</v>
      </c>
      <c r="AG121" s="51">
        <v>10</v>
      </c>
      <c r="AH121" s="51">
        <v>2</v>
      </c>
      <c r="AI121" s="51">
        <v>30</v>
      </c>
    </row>
    <row hidden="true" r="122">
      <c r="A122" s="34">
        <v>46313</v>
      </c>
      <c r="B122" s="35" t="s">
        <v>81</v>
      </c>
      <c r="C122" s="36" t="s">
        <v>77</v>
      </c>
      <c r="D122" s="37">
        <v>4</v>
      </c>
      <c r="E122" s="35">
        <v>21</v>
      </c>
      <c r="F122" s="35">
        <v>21</v>
      </c>
      <c r="G122" s="38">
        <v>49016.8</v>
      </c>
      <c r="H122" s="53">
        <v>14733.03</v>
      </c>
      <c r="I122" s="40">
        <f t="shared" si="156"/>
      </c>
      <c r="J122" s="41">
        <f t="shared" si="136"/>
      </c>
      <c r="K122" s="41">
        <f t="shared" si="20"/>
      </c>
      <c r="L122" s="42">
        <f t="shared" si="0"/>
      </c>
      <c r="M122" s="54"/>
      <c r="N122" s="44"/>
      <c r="O122" s="44"/>
      <c r="P122" s="45"/>
      <c r="Q122" s="46"/>
      <c r="R122" s="47"/>
      <c r="S122" s="38">
        <f t="shared" si="57"/>
      </c>
      <c r="T122" s="48">
        <f t="shared" si="38"/>
      </c>
      <c r="U122" s="49">
        <f t="shared" si="115"/>
      </c>
      <c r="V122" s="49">
        <f t="shared" si="77"/>
      </c>
      <c r="W122" s="49">
        <f t="shared" si="134"/>
      </c>
      <c r="X122" s="50">
        <f t="shared" si="96"/>
      </c>
      <c r="Y122" s="49">
        <f t="shared" si="18"/>
      </c>
      <c r="Z122" s="51">
        <v>54</v>
      </c>
      <c r="AA122" s="52">
        <f t="shared" si="154"/>
      </c>
      <c r="AB122" s="51">
        <v>117451</v>
      </c>
      <c r="AC122" s="50">
        <v>2666</v>
      </c>
      <c r="AD122" s="51">
        <v>2786</v>
      </c>
      <c r="AE122" s="50">
        <v>588</v>
      </c>
      <c r="AF122" s="51">
        <v>305</v>
      </c>
      <c r="AG122" s="51">
        <v>21</v>
      </c>
      <c r="AH122" s="50">
        <v>5</v>
      </c>
      <c r="AI122" s="50">
        <v>148</v>
      </c>
    </row>
    <row customHeight="true" hidden="true" ht="16.071428571428573" r="123">
      <c r="A123" s="34">
        <v>46313</v>
      </c>
      <c r="B123" s="35" t="s">
        <v>78</v>
      </c>
      <c r="C123" s="36" t="s">
        <v>79</v>
      </c>
      <c r="D123" s="37">
        <v>4</v>
      </c>
      <c r="E123" s="35">
        <v>26</v>
      </c>
      <c r="F123" s="35">
        <v>26</v>
      </c>
      <c r="G123" s="55">
        <v>64787.63</v>
      </c>
      <c r="H123" s="39">
        <v>19639.03</v>
      </c>
      <c r="I123" s="40">
        <f t="shared" si="156"/>
      </c>
      <c r="J123" s="41">
        <f t="shared" si="136"/>
      </c>
      <c r="K123" s="41">
        <f t="shared" si="20"/>
      </c>
      <c r="L123" s="42">
        <f t="shared" si="0"/>
      </c>
      <c r="M123" s="43" t="s">
        <v>108</v>
      </c>
      <c r="N123" s="44">
        <v>10</v>
      </c>
      <c r="O123" s="44"/>
      <c r="P123" s="45"/>
      <c r="Q123" s="46"/>
      <c r="R123" s="47"/>
      <c r="S123" s="38">
        <f t="shared" si="57"/>
      </c>
      <c r="T123" s="48">
        <f t="shared" si="38"/>
      </c>
      <c r="U123" s="49">
        <f t="shared" si="115"/>
      </c>
      <c r="V123" s="49">
        <f t="shared" si="77"/>
      </c>
      <c r="W123" s="49">
        <f t="shared" si="134"/>
      </c>
      <c r="X123" s="50">
        <f t="shared" si="96"/>
      </c>
      <c r="Y123" s="49">
        <f t="shared" si="18"/>
      </c>
      <c r="Z123" s="51">
        <v>60</v>
      </c>
      <c r="AA123" s="52">
        <f t="shared" si="154"/>
      </c>
      <c r="AB123" s="50">
        <v>124219</v>
      </c>
      <c r="AC123" s="50">
        <v>3260</v>
      </c>
      <c r="AD123" s="50">
        <v>3446</v>
      </c>
      <c r="AE123" s="50">
        <v>563</v>
      </c>
      <c r="AF123" s="51">
        <v>431</v>
      </c>
      <c r="AG123" s="51">
        <v>46</v>
      </c>
      <c r="AH123" s="50">
        <v>5</v>
      </c>
      <c r="AI123" s="50">
        <v>88</v>
      </c>
    </row>
    <row customHeight="true" hidden="true" ht="16.071428571428573" r="124">
      <c r="A124" s="34">
        <v>46313</v>
      </c>
      <c r="B124" s="35" t="s">
        <v>83</v>
      </c>
      <c r="C124" s="36" t="s">
        <v>82</v>
      </c>
      <c r="D124" s="37">
        <v>4</v>
      </c>
      <c r="E124" s="35">
        <v>16</v>
      </c>
      <c r="F124" s="43">
        <v>19</v>
      </c>
      <c r="G124" s="55">
        <v>47650.98</v>
      </c>
      <c r="H124" s="53">
        <v>19747.06</v>
      </c>
      <c r="I124" s="40">
        <f t="shared" si="156"/>
      </c>
      <c r="J124" s="41">
        <f t="shared" si="136"/>
      </c>
      <c r="K124" s="41">
        <f t="shared" si="20"/>
      </c>
      <c r="L124" s="42">
        <f t="shared" si="0"/>
      </c>
      <c r="M124" s="43"/>
      <c r="N124" s="56"/>
      <c r="O124" s="56"/>
      <c r="P124" s="45"/>
      <c r="Q124" s="46"/>
      <c r="R124" s="47"/>
      <c r="S124" s="38">
        <f t="shared" si="57"/>
      </c>
      <c r="T124" s="48">
        <f t="shared" si="38"/>
      </c>
      <c r="U124" s="49">
        <f t="shared" si="115"/>
      </c>
      <c r="V124" s="49">
        <f t="shared" si="77"/>
      </c>
      <c r="W124" s="49">
        <f t="shared" si="134"/>
      </c>
      <c r="X124" s="50">
        <f t="shared" si="96"/>
      </c>
      <c r="Y124" s="49">
        <f t="shared" si="18"/>
      </c>
      <c r="Z124" s="51">
        <v>60</v>
      </c>
      <c r="AA124" s="52">
        <f t="shared" si="154"/>
      </c>
      <c r="AB124" s="51">
        <v>126889</v>
      </c>
      <c r="AC124" s="50">
        <v>3068</v>
      </c>
      <c r="AD124" s="50">
        <v>3205</v>
      </c>
      <c r="AE124" s="50">
        <v>601</v>
      </c>
      <c r="AF124" s="51">
        <v>329</v>
      </c>
      <c r="AG124" s="51">
        <v>26</v>
      </c>
      <c r="AH124" s="50">
        <v>3</v>
      </c>
      <c r="AI124" s="50">
        <v>108</v>
      </c>
    </row>
    <row customHeight="true" hidden="true" ht="16.071428571428573" r="125">
      <c r="A125" s="34">
        <v>46313</v>
      </c>
      <c r="B125" s="35" t="s">
        <v>89</v>
      </c>
      <c r="C125" s="36" t="s">
        <v>84</v>
      </c>
      <c r="D125" s="37">
        <v>4</v>
      </c>
      <c r="E125" s="43">
        <v>21</v>
      </c>
      <c r="F125" s="43">
        <v>23</v>
      </c>
      <c r="G125" s="55">
        <v>61608.25</v>
      </c>
      <c r="H125" s="57">
        <v>18347.06</v>
      </c>
      <c r="I125" s="40">
        <f t="shared" si="156"/>
      </c>
      <c r="J125" s="41">
        <f t="shared" si="136"/>
      </c>
      <c r="K125" s="41">
        <f t="shared" si="20"/>
      </c>
      <c r="L125" s="42">
        <f t="shared" si="0"/>
      </c>
      <c r="M125" s="43"/>
      <c r="N125" s="44"/>
      <c r="O125" s="56"/>
      <c r="P125" s="45"/>
      <c r="Q125" s="46"/>
      <c r="R125" s="47"/>
      <c r="S125" s="38">
        <f t="shared" si="57"/>
      </c>
      <c r="T125" s="48">
        <f t="shared" si="38"/>
      </c>
      <c r="U125" s="49">
        <f t="shared" si="115"/>
      </c>
      <c r="V125" s="49">
        <f t="shared" si="77"/>
      </c>
      <c r="W125" s="49">
        <f t="shared" si="134"/>
      </c>
      <c r="X125" s="50">
        <f t="shared" si="96"/>
      </c>
      <c r="Y125" s="49">
        <f t="shared" si="18"/>
      </c>
      <c r="Z125" s="51">
        <v>57</v>
      </c>
      <c r="AA125" s="52">
        <f t="shared" si="154"/>
      </c>
      <c r="AB125" s="50">
        <v>107780</v>
      </c>
      <c r="AC125" s="50">
        <v>3397</v>
      </c>
      <c r="AD125" s="50">
        <v>3640</v>
      </c>
      <c r="AE125" s="50">
        <v>439</v>
      </c>
      <c r="AF125" s="51">
        <v>312</v>
      </c>
      <c r="AG125" s="51">
        <v>32</v>
      </c>
      <c r="AH125" s="51">
        <v>5</v>
      </c>
      <c r="AI125" s="51">
        <v>51</v>
      </c>
    </row>
    <row customHeight="true" ht="16.071428571428573" r="126">
      <c r="A126" s="34">
        <v>46313</v>
      </c>
      <c r="B126" s="35" t="s">
        <v>73</v>
      </c>
      <c r="C126" s="36" t="s">
        <v>85</v>
      </c>
      <c r="D126" s="37">
        <v>2</v>
      </c>
      <c r="E126" s="43">
        <v>9</v>
      </c>
      <c r="F126" s="43">
        <v>11</v>
      </c>
      <c r="G126" s="55">
        <v>27776.97</v>
      </c>
      <c r="H126" s="57">
        <v>9400.64</v>
      </c>
      <c r="I126" s="40">
        <f t="shared" si="156"/>
      </c>
      <c r="J126" s="41">
        <f t="shared" si="136"/>
      </c>
      <c r="K126" s="41">
        <f t="shared" si="20"/>
      </c>
      <c r="L126" s="42">
        <f t="shared" si="0"/>
      </c>
      <c r="M126" s="43" t="s">
        <v>105</v>
      </c>
      <c r="N126" s="44">
        <v>10</v>
      </c>
      <c r="O126" s="56"/>
      <c r="P126" s="45"/>
      <c r="Q126" s="46"/>
      <c r="R126" s="47"/>
      <c r="S126" s="38">
        <f t="shared" si="57"/>
      </c>
      <c r="T126" s="48">
        <f t="shared" si="38"/>
      </c>
      <c r="U126" s="49">
        <f t="shared" si="115"/>
      </c>
      <c r="V126" s="49">
        <f t="shared" si="77"/>
      </c>
      <c r="W126" s="49">
        <f t="shared" si="134"/>
      </c>
      <c r="X126" s="50">
        <f t="shared" si="96"/>
      </c>
      <c r="Y126" s="49">
        <f t="shared" si="18"/>
      </c>
      <c r="Z126" s="51">
        <v>55</v>
      </c>
      <c r="AA126" s="52">
        <f t="shared" si="154"/>
      </c>
      <c r="AB126" s="50">
        <v>72194</v>
      </c>
      <c r="AC126" s="50">
        <v>2708</v>
      </c>
      <c r="AD126" s="50">
        <v>2897</v>
      </c>
      <c r="AE126" s="50">
        <v>218</v>
      </c>
      <c r="AF126" s="51">
        <v>176</v>
      </c>
      <c r="AG126" s="51">
        <v>6</v>
      </c>
      <c r="AH126" s="51">
        <v>6</v>
      </c>
      <c r="AI126" s="51">
        <v>27</v>
      </c>
    </row>
    <row customHeight="true" hidden="true" ht="16.071428571428573" r="127">
      <c r="A127" s="58">
        <v>46313</v>
      </c>
      <c r="B127" s="59" t="s">
        <v>87</v>
      </c>
      <c r="C127" s="60"/>
      <c r="D127" s="60">
        <f>SUM(D121:D126)</f>
      </c>
      <c r="E127" s="60">
        <f>SUM(E121:E126)</f>
      </c>
      <c r="F127" s="60">
        <f>SUM(F121:F126)</f>
      </c>
      <c r="G127" s="60">
        <f>SUM(G121:G126)</f>
      </c>
      <c r="H127" s="60">
        <f>SUM(H121:H126)</f>
      </c>
      <c r="I127" s="61">
        <f t="shared" si="156"/>
      </c>
      <c r="J127" s="61">
        <f t="shared" si="136"/>
      </c>
      <c r="K127" s="61">
        <f t="shared" si="20"/>
      </c>
      <c r="L127" s="61">
        <f t="shared" si="0"/>
      </c>
      <c r="M127" s="60"/>
      <c r="N127" s="62">
        <f>SUM(N121:N126)</f>
      </c>
      <c r="O127" s="62"/>
      <c r="P127" s="60"/>
      <c r="Q127" s="60"/>
      <c r="R127" s="60"/>
      <c r="S127" s="63">
        <f>AVERAGE(S121:S126)</f>
      </c>
      <c r="T127" s="64">
        <f>AVERAGE(T121:T126)</f>
      </c>
      <c r="U127" s="64">
        <f>AVERAGE(U121:U126)</f>
      </c>
      <c r="V127" s="64">
        <f>AVERAGE(V121:V126)</f>
      </c>
      <c r="W127" s="64">
        <f>AVERAGE(W121:W126)</f>
      </c>
      <c r="X127" s="65">
        <f>SUM(X121:X126)</f>
      </c>
      <c r="Y127" s="64">
        <f>AVERAGE(Y121:Y126)</f>
      </c>
      <c r="Z127" s="65"/>
      <c r="AA127" s="66">
        <f>AVERAGE(AA121:AA126)</f>
      </c>
      <c r="AB127" s="65">
        <f>SUM(AB121:AB126)</f>
      </c>
      <c r="AC127" s="65">
        <f>SUM(AC121:AC126)</f>
      </c>
      <c r="AD127" s="65">
        <f>SUM(AD121:AD126)</f>
      </c>
      <c r="AE127" s="65">
        <f>SUM(AE121:AE126)</f>
      </c>
      <c r="AF127" s="65">
        <f>SUM(AF121:AF126)</f>
      </c>
      <c r="AG127" s="65">
        <f>SUM(AG121:AG126)</f>
      </c>
      <c r="AH127" s="65">
        <f>SUM(AH121:AH126)</f>
      </c>
      <c r="AI127" s="65">
        <f>SUM(AI121:AI126)</f>
      </c>
    </row>
    <row customHeight="true" hidden="true" ht="16.071428571428573" r="128">
      <c r="A128" s="34">
        <v>46314</v>
      </c>
      <c r="B128" s="35" t="s">
        <v>73</v>
      </c>
      <c r="C128" s="36" t="s">
        <v>88</v>
      </c>
      <c r="D128" s="37"/>
      <c r="E128" s="43"/>
      <c r="F128" s="43"/>
      <c r="G128" s="55"/>
      <c r="H128" s="57"/>
      <c r="I128" s="40">
        <f t="shared" si="156"/>
      </c>
      <c r="J128" s="41">
        <f t="shared" si="136"/>
      </c>
      <c r="K128" s="41">
        <f t="shared" si="20"/>
      </c>
      <c r="L128" s="42">
        <f t="shared" si="0"/>
      </c>
      <c r="M128" s="43"/>
      <c r="N128" s="56"/>
      <c r="O128" s="56"/>
      <c r="P128" s="45"/>
      <c r="Q128" s="46"/>
      <c r="R128" s="47"/>
      <c r="S128" s="38">
        <f t="shared" ref="S128:S133" si="58">H128/AC128</f>
      </c>
      <c r="T128" s="48">
        <f t="shared" ref="T128:T133" si="39">X128/AB128*1</f>
      </c>
      <c r="U128" s="49">
        <f t="shared" ref="U128:U133" si="116">AC128/AB128</f>
      </c>
      <c r="V128" s="49">
        <f t="shared" ref="V128:V133" si="78">AD128/AB128</f>
      </c>
      <c r="W128" s="49">
        <f t="shared" ref="W128:W133" si="135">AF128/AD128</f>
      </c>
      <c r="X128" s="50">
        <f t="shared" ref="X128:X133" si="97">AE128/Y128</f>
      </c>
      <c r="Y128" s="49">
        <f t="shared" ref="Y128:Y133" si="19">AE128/AD128</f>
      </c>
      <c r="Z128" s="51"/>
      <c r="AA128" s="52">
        <f t="shared" ref="AA128:AA133" si="155">(H128/AB128)*1000</f>
      </c>
      <c r="AB128" s="50"/>
      <c r="AC128" s="50"/>
      <c r="AD128" s="50"/>
      <c r="AE128" s="50"/>
      <c r="AF128" s="51"/>
      <c r="AG128" s="51"/>
      <c r="AH128" s="51"/>
      <c r="AI128" s="51"/>
    </row>
    <row customHeight="true" hidden="true" ht="16.071428571428573" r="129">
      <c r="A129" s="34">
        <v>46314</v>
      </c>
      <c r="B129" s="35" t="s">
        <v>78</v>
      </c>
      <c r="C129" s="36" t="s">
        <v>77</v>
      </c>
      <c r="D129" s="37"/>
      <c r="E129" s="35"/>
      <c r="F129" s="35"/>
      <c r="G129" s="38"/>
      <c r="H129" s="53"/>
      <c r="I129" s="40">
        <f t="shared" si="156"/>
      </c>
      <c r="J129" s="41">
        <f t="shared" si="136"/>
      </c>
      <c r="K129" s="41">
        <f t="shared" si="20"/>
      </c>
      <c r="L129" s="42">
        <f t="shared" si="0"/>
      </c>
      <c r="M129" s="54"/>
      <c r="N129" s="44"/>
      <c r="O129" s="44"/>
      <c r="P129" s="45"/>
      <c r="Q129" s="46"/>
      <c r="R129" s="47"/>
      <c r="S129" s="38">
        <f t="shared" si="58"/>
      </c>
      <c r="T129" s="48">
        <f t="shared" si="39"/>
      </c>
      <c r="U129" s="49">
        <f t="shared" si="116"/>
      </c>
      <c r="V129" s="49">
        <f t="shared" si="78"/>
      </c>
      <c r="W129" s="49">
        <f t="shared" si="135"/>
      </c>
      <c r="X129" s="50">
        <f t="shared" si="97"/>
      </c>
      <c r="Y129" s="49">
        <f t="shared" si="19"/>
      </c>
      <c r="Z129" s="51"/>
      <c r="AA129" s="52">
        <f t="shared" si="155"/>
      </c>
      <c r="AB129" s="51"/>
      <c r="AC129" s="50"/>
      <c r="AD129" s="51"/>
      <c r="AE129" s="50"/>
      <c r="AF129" s="51"/>
      <c r="AG129" s="51"/>
      <c r="AH129" s="50"/>
      <c r="AI129" s="50"/>
    </row>
    <row customHeight="true" hidden="true" ht="16.071428571428573" r="130">
      <c r="A130" s="34">
        <v>46314</v>
      </c>
      <c r="B130" s="35" t="s">
        <v>97</v>
      </c>
      <c r="C130" s="36" t="s">
        <v>79</v>
      </c>
      <c r="D130" s="37"/>
      <c r="E130" s="35"/>
      <c r="F130" s="35"/>
      <c r="G130" s="55"/>
      <c r="H130" s="39"/>
      <c r="I130" s="40">
        <f t="shared" si="156"/>
      </c>
      <c r="J130" s="41">
        <f t="shared" si="136"/>
      </c>
      <c r="K130" s="41">
        <f t="shared" si="20"/>
      </c>
      <c r="L130" s="42">
        <f t="shared" si="0"/>
      </c>
      <c r="M130" s="43" t="s">
        <v>108</v>
      </c>
      <c r="N130" s="44">
        <v>10</v>
      </c>
      <c r="O130" s="44"/>
      <c r="P130" s="45"/>
      <c r="Q130" s="46"/>
      <c r="R130" s="47"/>
      <c r="S130" s="38">
        <f t="shared" si="58"/>
      </c>
      <c r="T130" s="48">
        <f t="shared" si="39"/>
      </c>
      <c r="U130" s="49">
        <f t="shared" si="116"/>
      </c>
      <c r="V130" s="49">
        <f t="shared" si="78"/>
      </c>
      <c r="W130" s="49">
        <f t="shared" si="135"/>
      </c>
      <c r="X130" s="50">
        <f t="shared" si="97"/>
      </c>
      <c r="Y130" s="49">
        <f t="shared" si="19"/>
      </c>
      <c r="Z130" s="51"/>
      <c r="AA130" s="52">
        <f t="shared" si="155"/>
      </c>
      <c r="AB130" s="50"/>
      <c r="AC130" s="50"/>
      <c r="AD130" s="50"/>
      <c r="AE130" s="50"/>
      <c r="AF130" s="51"/>
      <c r="AG130" s="51"/>
      <c r="AH130" s="50"/>
      <c r="AI130" s="50"/>
    </row>
    <row customHeight="true" hidden="true" ht="16.071428571428573" r="131">
      <c r="A131" s="34">
        <v>46314</v>
      </c>
      <c r="B131" s="35" t="s">
        <v>83</v>
      </c>
      <c r="C131" s="36" t="s">
        <v>82</v>
      </c>
      <c r="D131" s="37"/>
      <c r="E131" s="35"/>
      <c r="F131" s="43"/>
      <c r="G131" s="55"/>
      <c r="H131" s="53"/>
      <c r="I131" s="40">
        <f t="shared" si="156"/>
      </c>
      <c r="J131" s="41">
        <f t="shared" si="136"/>
      </c>
      <c r="K131" s="41">
        <f t="shared" si="20"/>
      </c>
      <c r="L131" s="42">
        <f t="shared" si="0"/>
      </c>
      <c r="M131" s="43"/>
      <c r="N131" s="56"/>
      <c r="O131" s="56"/>
      <c r="P131" s="45"/>
      <c r="Q131" s="46"/>
      <c r="R131" s="47"/>
      <c r="S131" s="38">
        <f t="shared" si="58"/>
      </c>
      <c r="T131" s="48">
        <f t="shared" si="39"/>
      </c>
      <c r="U131" s="49">
        <f t="shared" si="116"/>
      </c>
      <c r="V131" s="49">
        <f t="shared" si="78"/>
      </c>
      <c r="W131" s="49">
        <f t="shared" si="135"/>
      </c>
      <c r="X131" s="50">
        <f t="shared" si="97"/>
      </c>
      <c r="Y131" s="49">
        <f t="shared" si="19"/>
      </c>
      <c r="Z131" s="51"/>
      <c r="AA131" s="52">
        <f t="shared" si="155"/>
      </c>
      <c r="AB131" s="51"/>
      <c r="AC131" s="50"/>
      <c r="AD131" s="50"/>
      <c r="AE131" s="50"/>
      <c r="AF131" s="51"/>
      <c r="AG131" s="51"/>
      <c r="AH131" s="50"/>
      <c r="AI131" s="50"/>
    </row>
    <row customHeight="true" hidden="true" ht="16.071428571428573" r="132">
      <c r="A132" s="34">
        <v>46314</v>
      </c>
      <c r="B132" s="35" t="s">
        <v>89</v>
      </c>
      <c r="C132" s="36" t="s">
        <v>84</v>
      </c>
      <c r="D132" s="37"/>
      <c r="E132" s="43"/>
      <c r="F132" s="43"/>
      <c r="G132" s="55"/>
      <c r="H132" s="57"/>
      <c r="I132" s="40">
        <f t="shared" si="156"/>
      </c>
      <c r="J132" s="41">
        <f t="shared" si="136"/>
      </c>
      <c r="K132" s="41">
        <f t="shared" si="20"/>
      </c>
      <c r="L132" s="42">
        <f t="shared" si="0"/>
      </c>
      <c r="M132" s="43"/>
      <c r="N132" s="44"/>
      <c r="O132" s="56"/>
      <c r="P132" s="45"/>
      <c r="Q132" s="46"/>
      <c r="R132" s="47"/>
      <c r="S132" s="38">
        <f t="shared" si="58"/>
      </c>
      <c r="T132" s="48">
        <f t="shared" si="39"/>
      </c>
      <c r="U132" s="49">
        <f t="shared" si="116"/>
      </c>
      <c r="V132" s="49">
        <f t="shared" si="78"/>
      </c>
      <c r="W132" s="49">
        <f t="shared" si="135"/>
      </c>
      <c r="X132" s="50">
        <f t="shared" si="97"/>
      </c>
      <c r="Y132" s="49">
        <f t="shared" si="19"/>
      </c>
      <c r="Z132" s="51"/>
      <c r="AA132" s="52">
        <f t="shared" si="155"/>
      </c>
      <c r="AB132" s="50"/>
      <c r="AC132" s="50"/>
      <c r="AD132" s="50"/>
      <c r="AE132" s="50"/>
      <c r="AF132" s="51"/>
      <c r="AG132" s="51"/>
      <c r="AH132" s="51"/>
      <c r="AI132" s="51"/>
    </row>
    <row customHeight="true" hidden="true" ht="16.071428571428573" r="133">
      <c r="A133" s="34">
        <v>46314</v>
      </c>
      <c r="B133" s="35" t="s">
        <v>73</v>
      </c>
      <c r="C133" s="36" t="s">
        <v>85</v>
      </c>
      <c r="D133" s="37"/>
      <c r="E133" s="43"/>
      <c r="F133" s="43"/>
      <c r="G133" s="55"/>
      <c r="H133" s="57"/>
      <c r="I133" s="40">
        <f t="shared" si="156"/>
      </c>
      <c r="J133" s="41">
        <f t="shared" si="136"/>
      </c>
      <c r="K133" s="41">
        <f t="shared" si="20"/>
      </c>
      <c r="L133" s="42">
        <f t="shared" si="0"/>
      </c>
      <c r="M133" s="43" t="s">
        <v>105</v>
      </c>
      <c r="N133" s="44">
        <v>10</v>
      </c>
      <c r="O133" s="56"/>
      <c r="P133" s="45"/>
      <c r="Q133" s="46"/>
      <c r="R133" s="47"/>
      <c r="S133" s="38">
        <f t="shared" si="58"/>
      </c>
      <c r="T133" s="48">
        <f t="shared" si="39"/>
      </c>
      <c r="U133" s="49">
        <f t="shared" si="116"/>
      </c>
      <c r="V133" s="49">
        <f t="shared" si="78"/>
      </c>
      <c r="W133" s="49">
        <f t="shared" si="135"/>
      </c>
      <c r="X133" s="50">
        <f t="shared" si="97"/>
      </c>
      <c r="Y133" s="49">
        <f t="shared" si="19"/>
      </c>
      <c r="Z133" s="51"/>
      <c r="AA133" s="52">
        <f t="shared" si="155"/>
      </c>
      <c r="AB133" s="50"/>
      <c r="AC133" s="50"/>
      <c r="AD133" s="50"/>
      <c r="AE133" s="50"/>
      <c r="AF133" s="51"/>
      <c r="AG133" s="51"/>
      <c r="AH133" s="51"/>
      <c r="AI133" s="51"/>
    </row>
    <row customHeight="true" hidden="true" ht="16.071428571428573" r="134">
      <c r="A134" s="58">
        <v>46314</v>
      </c>
      <c r="B134" s="59" t="s">
        <v>87</v>
      </c>
      <c r="C134" s="60"/>
      <c r="D134" s="60">
        <f>SUM(D128:D133)</f>
      </c>
      <c r="E134" s="60">
        <f>SUM(E128:E133)</f>
      </c>
      <c r="F134" s="60">
        <f>SUM(F128:F133)</f>
      </c>
      <c r="G134" s="60">
        <f>SUM(G128:G133)</f>
      </c>
      <c r="H134" s="60">
        <f>SUM(H128:H133)</f>
      </c>
      <c r="I134" s="61">
        <f t="shared" si="156"/>
      </c>
      <c r="J134" s="61">
        <f t="shared" si="136"/>
      </c>
      <c r="K134" s="61">
        <f t="shared" si="20"/>
      </c>
      <c r="L134" s="61">
        <f t="shared" si="0"/>
      </c>
      <c r="M134" s="60"/>
      <c r="N134" s="62">
        <f>SUM(N128:N133)</f>
      </c>
      <c r="O134" s="62"/>
      <c r="P134" s="60"/>
      <c r="Q134" s="60"/>
      <c r="R134" s="60"/>
      <c r="S134" s="63">
        <f>AVERAGE(S128:S133)</f>
      </c>
      <c r="T134" s="64">
        <f>AVERAGE(T128:T133)</f>
      </c>
      <c r="U134" s="64">
        <f>AVERAGE(U128:U133)</f>
      </c>
      <c r="V134" s="64">
        <f>AVERAGE(V128:V133)</f>
      </c>
      <c r="W134" s="64">
        <f>AVERAGE(W128:W133)</f>
      </c>
      <c r="X134" s="65">
        <f>SUM(X128:X133)</f>
      </c>
      <c r="Y134" s="64">
        <f>AVERAGE(Y128:Y133)</f>
      </c>
      <c r="Z134" s="65"/>
      <c r="AA134" s="66">
        <f>AVERAGE(AA128:AA133)</f>
      </c>
      <c r="AB134" s="65">
        <f>SUM(AB128:AB133)</f>
      </c>
      <c r="AC134" s="65">
        <f>SUM(AC128:AC133)</f>
      </c>
      <c r="AD134" s="65">
        <f>SUM(AD128:AD133)</f>
      </c>
      <c r="AE134" s="65">
        <f>SUM(AE128:AE133)</f>
      </c>
      <c r="AF134" s="65">
        <f>SUM(AF128:AF133)</f>
      </c>
      <c r="AG134" s="65">
        <f>SUM(AG128:AG133)</f>
      </c>
      <c r="AH134" s="65">
        <f>SUM(AH128:AH133)</f>
      </c>
      <c r="AI134" s="65">
        <f>SUM(AI128:AI133)</f>
      </c>
    </row>
    <row customHeight="true" hidden="true" ht="16.071428571428573" r="135"/>
    <row customHeight="true" hidden="true" ht="16.071428571428573" r="136"/>
    <row customHeight="true" hidden="true" ht="16.071428571428573" r="137"/>
    <row customHeight="true" hidden="true" ht="16.071428571428573" r="138"/>
    <row hidden="true" r="139"/>
    <row customHeight="true" hidden="true" ht="16.071428571428573" r="140"/>
    <row customHeight="true" hidden="true" ht="16.071428571428573" r="141"/>
    <row customHeight="true" hidden="true" ht="16.071428571428573" r="142"/>
    <row customHeight="true" hidden="true" ht="16.071428571428573" r="143"/>
    <row customHeight="true" hidden="true" ht="16.071428571428573" r="144"/>
    <row customHeight="true" hidden="true" ht="16.071428571428573" r="145"/>
    <row customHeight="true" hidden="true" ht="16.071428571428573" r="146"/>
    <row customHeight="true" hidden="true" ht="16.071428571428573" r="147"/>
    <row customHeight="true" hidden="true" ht="16.071428571428573" r="148"/>
    <row customHeight="true" hidden="true" ht="16.071428571428573" r="149"/>
    <row customHeight="true" hidden="true" ht="16.071428571428573" r="150"/>
    <row customHeight="true" hidden="true" ht="16.071428571428573" r="151"/>
    <row customHeight="true" hidden="true" ht="16.071428571428573" r="152"/>
    <row customHeight="true" hidden="true" ht="16.071428571428573" r="153"/>
    <row customHeight="true" hidden="true" ht="16.071428571428573" r="154"/>
    <row customHeight="true" hidden="true" ht="16.071428571428573" r="155"/>
    <row customHeight="true" hidden="true" ht="16.071428571428573" r="156"/>
    <row customHeight="true" hidden="true" ht="16.071428571428573" r="157"/>
    <row customHeight="true" hidden="true" ht="16.071428571428573" r="158"/>
    <row customHeight="true" hidden="true" ht="16.071428571428573" r="159"/>
    <row customHeight="true" hidden="true" ht="16.071428571428573" r="160"/>
    <row customHeight="true" hidden="true" ht="16.071428571428573" r="161"/>
    <row customHeight="true" hidden="true" ht="16.071428571428573" r="162"/>
    <row customHeight="true" hidden="true" ht="16.071428571428573" r="163"/>
    <row customHeight="true" hidden="true" ht="16.071428571428573" r="164"/>
    <row customHeight="true" hidden="true" ht="16.071428571428573" r="165"/>
    <row customHeight="true" hidden="true" ht="16.071428571428573" r="166"/>
    <row customHeight="true" hidden="true" ht="16.071428571428573" r="167"/>
    <row customHeight="true" hidden="true" ht="16.071428571428573" r="168"/>
    <row customHeight="true" hidden="true" ht="16.071428571428573" r="169"/>
    <row customHeight="true" hidden="true" ht="16.071428571428573" r="170"/>
    <row customHeight="true" hidden="true" ht="16.071428571428573" r="171"/>
    <row customHeight="true" hidden="true" ht="16.071428571428573" r="172"/>
    <row customHeight="true" hidden="true" ht="16.071428571428573" r="173"/>
    <row customHeight="true" hidden="true" ht="16.071428571428573" r="174"/>
    <row customHeight="true" hidden="true" ht="16.071428571428573" r="175"/>
    <row customHeight="true" hidden="true" ht="16.071428571428573" r="176"/>
    <row customHeight="true" hidden="true" ht="16.071428571428573" r="177"/>
    <row customHeight="true" hidden="true" ht="16.071428571428573" r="178"/>
    <row customHeight="true" hidden="true" ht="16.071428571428573" r="179"/>
    <row customHeight="true" hidden="true" ht="16.071428571428573" r="180"/>
    <row customHeight="true" hidden="true" ht="16.071428571428573" r="181"/>
    <row customHeight="true" hidden="true" ht="16.071428571428573" r="182"/>
    <row customHeight="true" hidden="true" ht="16.071428571428573" r="183"/>
    <row customHeight="true" hidden="true" ht="16.071428571428573" r="184"/>
    <row customHeight="true" hidden="true" ht="16.071428571428573" r="185"/>
    <row customHeight="true" hidden="true" ht="16.071428571428573" r="186"/>
    <row customHeight="true" hidden="true" ht="16.071428571428573" r="187"/>
    <row customHeight="true" hidden="true" ht="16.071428571428573" r="188"/>
    <row customHeight="true" hidden="true" ht="16.071428571428573" r="189"/>
    <row hidden="true" r="190"/>
    <row hidden="true" r="191"/>
    <row customHeight="true" ht="16.071428571428573" r="192"/>
    <row customHeight="true" ht="16.071428571428573" r="193">
      <c r="A193" s="69" t="s">
        <v>111</v>
      </c>
      <c r="B193" s="69" t="s">
        <v>112</v>
      </c>
      <c r="C193" s="69" t="s">
        <v>113</v>
      </c>
      <c r="D193" s="69" t="s">
        <v>45</v>
      </c>
      <c r="E193" s="69" t="s">
        <v>114</v>
      </c>
    </row>
    <row customHeight="true" ht="16.071428571428573" r="194">
      <c r="A194" t="s">
        <v>88</v>
      </c>
      <c r="B194">
        <f>D79+D86+D93+D100+D107+D114+D121</f>
      </c>
      <c r="C194">
        <f>F79+F86+F93+F100+F107+F114+F121</f>
      </c>
      <c r="D194">
        <f>G79+G86+G93+G100+G107+G114+G121</f>
      </c>
      <c r="E194">
        <f>H79+H86+H93+H100+H107+H114+H121</f>
      </c>
    </row>
    <row customHeight="true" ht="16.071428571428573" r="195">
      <c r="A195" t="s">
        <v>77</v>
      </c>
      <c r="B195">
        <f>D94+D101+D122</f>
      </c>
      <c r="C195">
        <f>F94+F101+F122</f>
      </c>
      <c r="D195">
        <f>G94+G101+G122</f>
      </c>
      <c r="E195">
        <f>H94+H101+H122</f>
      </c>
    </row>
    <row customHeight="true" ht="16.071428571428573" r="196">
      <c r="A196" t="s">
        <v>95</v>
      </c>
      <c r="B196">
        <f>D80+D87+D108+D115</f>
      </c>
      <c r="C196">
        <f>F80+F87+F108+F115</f>
      </c>
      <c r="D196">
        <f>G80+G87+G108+G115</f>
      </c>
      <c r="E196">
        <f>H80+H87+H108+H115</f>
      </c>
      <c r="S196" s="70" t="s">
        <v>115</v>
      </c>
      <c r="T196" s="70" t="s">
        <v>50</v>
      </c>
    </row>
    <row r="197">
      <c r="A197" s="71" t="s">
        <v>79</v>
      </c>
      <c r="B197">
        <f>D95+D102+D123</f>
      </c>
      <c r="C197">
        <f>F95+F102+F123</f>
      </c>
      <c r="D197">
        <f>G95+G102+G123</f>
      </c>
      <c r="E197">
        <f>H95+H102+H123</f>
      </c>
      <c r="S197">
        <f t="shared" ref="S197:S204" si="157">Q197/R197</f>
      </c>
      <c r="T197">
        <f t="shared" ref="T197:T204" si="59">R197/O197</f>
      </c>
    </row>
    <row r="198">
      <c r="A198" t="s">
        <v>107</v>
      </c>
      <c r="B198">
        <f>D109+D116</f>
      </c>
      <c r="C198">
        <f>F109+F116</f>
      </c>
      <c r="D198">
        <f>G109+G116</f>
      </c>
      <c r="E198">
        <f>H109+H116</f>
      </c>
      <c r="S198">
        <f t="shared" si="157"/>
      </c>
      <c r="T198">
        <f t="shared" si="59"/>
      </c>
    </row>
    <row r="199">
      <c r="A199" s="71" t="s">
        <v>96</v>
      </c>
      <c r="B199">
        <f>D81+D88</f>
      </c>
      <c r="C199">
        <f>F81+F88</f>
      </c>
      <c r="D199">
        <f>G81+G88</f>
      </c>
      <c r="E199">
        <f>H81+H88</f>
      </c>
      <c r="S199">
        <f t="shared" si="157"/>
      </c>
      <c r="T199">
        <f t="shared" si="59"/>
      </c>
    </row>
    <row r="200">
      <c r="A200" s="71" t="s">
        <v>82</v>
      </c>
      <c r="B200">
        <f>D96+D103+D124</f>
      </c>
      <c r="C200">
        <f>F96+F103+F124</f>
      </c>
      <c r="D200">
        <f>G96+G103+G124</f>
      </c>
      <c r="E200">
        <f>H96+H103+H124</f>
      </c>
      <c r="S200">
        <f t="shared" si="157"/>
      </c>
      <c r="T200">
        <f t="shared" si="59"/>
      </c>
    </row>
    <row r="201">
      <c r="A201" s="71" t="s">
        <v>109</v>
      </c>
      <c r="B201">
        <f>D117+D110</f>
      </c>
      <c r="C201">
        <f>F117+F110</f>
      </c>
      <c r="D201">
        <f>G117+G110</f>
      </c>
      <c r="E201">
        <f>H117+H110</f>
      </c>
      <c r="S201">
        <f t="shared" si="157"/>
      </c>
      <c r="T201">
        <f t="shared" si="59"/>
      </c>
    </row>
    <row r="202">
      <c r="A202" s="71" t="s">
        <v>101</v>
      </c>
      <c r="B202">
        <f>D82+D89</f>
      </c>
      <c r="C202">
        <f>F82+F89</f>
      </c>
      <c r="D202">
        <f>G82+G89</f>
      </c>
      <c r="E202">
        <f>H82+H89</f>
      </c>
      <c r="S202">
        <f t="shared" si="157"/>
      </c>
      <c r="T202">
        <f t="shared" si="59"/>
      </c>
    </row>
    <row r="203">
      <c r="A203" s="71" t="s">
        <v>84</v>
      </c>
      <c r="B203">
        <f>D97+D104+D125</f>
      </c>
      <c r="C203">
        <f>F97+F104+F125</f>
      </c>
      <c r="D203">
        <f>G97+G104+G125</f>
      </c>
      <c r="E203">
        <f>H97+H104+H125</f>
      </c>
      <c r="S203">
        <f t="shared" si="157"/>
      </c>
      <c r="T203">
        <f t="shared" si="59"/>
      </c>
    </row>
    <row r="204">
      <c r="A204" s="71" t="s">
        <v>110</v>
      </c>
      <c r="B204">
        <f>D111+D118</f>
      </c>
      <c r="C204">
        <f>F111+F118</f>
      </c>
      <c r="D204">
        <f>G111+G118</f>
      </c>
      <c r="E204">
        <f>H111+H118</f>
      </c>
      <c r="S204">
        <f t="shared" si="157"/>
      </c>
      <c r="T204">
        <f t="shared" si="59"/>
      </c>
    </row>
    <row r="205">
      <c r="A205" s="71" t="s">
        <v>102</v>
      </c>
      <c r="B205">
        <f>D83+D90</f>
      </c>
      <c r="C205">
        <f>F83+F90</f>
      </c>
      <c r="D205">
        <f>G83+G90</f>
      </c>
      <c r="E205">
        <f>H83+H90</f>
      </c>
    </row>
    <row r="206">
      <c r="A206" s="71" t="s">
        <v>85</v>
      </c>
      <c r="B206">
        <f>D84+D91+D98+D105+D112+D119+D126</f>
      </c>
      <c r="C206">
        <f>F84+F91+F98+F105+F112+F119+F126</f>
      </c>
      <c r="D206">
        <f>G84+G91+G98+G105+G112+G119+G126</f>
      </c>
      <c r="E206">
        <f>H84+H91+H98+H105+H112+H119+H126</f>
      </c>
      <c r="G206" s="72"/>
      <c r="H206" s="72"/>
      <c r="I206" s="72"/>
      <c r="J206" s="72"/>
    </row>
    <row r="207">
      <c r="E207" s="72"/>
      <c r="F207" s="72"/>
      <c r="G207" s="72"/>
      <c r="H207" s="72"/>
      <c r="I207" s="73"/>
      <c r="J207" s="73"/>
    </row>
  </sheetData>
  <autoFilter ref="A1:AN191">
    <filterColumn colId="0">
      <filters>
        <filter val="直播时长"/>
        <dateGroupItem dateTimeGrouping="day" day="12" month="10" year="2026"/>
        <dateGroupItem dateTimeGrouping="day" day="13" month="10" year="2026"/>
        <dateGroupItem dateTimeGrouping="day" day="14" month="10" year="2026"/>
        <dateGroupItem dateTimeGrouping="day" day="15" month="10" year="2026"/>
        <dateGroupItem dateTimeGrouping="day" day="16" month="10" year="2026"/>
        <dateGroupItem dateTimeGrouping="day" day="17" month="10" year="2026"/>
        <dateGroupItem dateTimeGrouping="day" day="18" month="10" year="2026"/>
      </filters>
    </filterColumn>
    <filterColumn colId="2">
      <filters>
        <filter val="22:00-24:00"/>
      </filters>
    </filterColumn>
  </autoFilter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</cols>
  <sheetData>
    <row r="1">
      <c r="A1" s="74" t="s">
        <v>116</v>
      </c>
      <c r="B1" s="75" t="s">
        <v>117</v>
      </c>
      <c r="C1" s="75" t="s">
        <v>118</v>
      </c>
      <c r="D1" s="75" t="s">
        <v>119</v>
      </c>
      <c r="E1" s="74" t="s">
        <v>120</v>
      </c>
      <c r="F1" s="75" t="s">
        <v>121</v>
      </c>
      <c r="G1" s="75" t="s">
        <v>122</v>
      </c>
      <c r="H1" s="75" t="s">
        <v>123</v>
      </c>
      <c r="I1" s="76" t="s">
        <v>124</v>
      </c>
      <c r="J1" s="77" t="s">
        <v>125</v>
      </c>
    </row>
    <row r="2">
      <c r="A2" s="78" t="s">
        <v>126</v>
      </c>
      <c r="B2" s="78" t="s">
        <v>127</v>
      </c>
      <c r="D2" s="79">
        <v>22</v>
      </c>
      <c r="E2" s="80">
        <v>41</v>
      </c>
      <c r="F2" s="79">
        <v>47</v>
      </c>
      <c r="G2" s="79">
        <v>119779.84</v>
      </c>
      <c r="H2" s="79">
        <v>46631.81</v>
      </c>
      <c r="I2" s="81">
        <v>2.568629439860902</v>
      </c>
      <c r="J2" s="82">
        <f t="shared" ref="J2:J38" si="6">H2/D2</f>
      </c>
    </row>
    <row r="3">
      <c r="A3" s="78" t="s">
        <v>128</v>
      </c>
      <c r="B3" t="s">
        <v>127</v>
      </c>
      <c r="D3" s="79">
        <v>22</v>
      </c>
      <c r="E3" s="83">
        <v>81</v>
      </c>
      <c r="F3" s="79">
        <v>92</v>
      </c>
      <c r="G3" s="83">
        <v>230699.66</v>
      </c>
      <c r="H3" s="83">
        <v>79048.04000000001</v>
      </c>
      <c r="I3" s="81">
        <f t="shared" ref="I3:I4" si="0">G3/H3</f>
      </c>
      <c r="J3" s="82">
        <f t="shared" si="6"/>
      </c>
    </row>
    <row r="4">
      <c r="A4" s="78" t="s">
        <v>129</v>
      </c>
      <c r="B4" s="78" t="s">
        <v>127</v>
      </c>
      <c r="D4" s="79">
        <v>22</v>
      </c>
      <c r="E4" s="79">
        <v>58</v>
      </c>
      <c r="F4" s="79">
        <v>72</v>
      </c>
      <c r="G4" s="79">
        <v>175763.33</v>
      </c>
      <c r="H4" s="79">
        <v>62600.19</v>
      </c>
      <c r="I4" s="81">
        <f t="shared" si="0"/>
      </c>
      <c r="J4" s="82">
        <f t="shared" si="6"/>
      </c>
    </row>
    <row r="5">
      <c r="A5" s="78" t="s">
        <v>130</v>
      </c>
      <c r="B5" t="s">
        <v>127</v>
      </c>
      <c r="D5" s="83">
        <v>22</v>
      </c>
      <c r="E5" s="83">
        <v>69</v>
      </c>
      <c r="F5" s="83">
        <v>73</v>
      </c>
      <c r="G5" s="83">
        <v>178671.97999999998</v>
      </c>
      <c r="H5" s="83">
        <v>64044.829999999994</v>
      </c>
      <c r="I5" s="81">
        <v>2.7897955229173066</v>
      </c>
      <c r="J5" s="82">
        <f t="shared" si="6"/>
      </c>
    </row>
    <row r="6">
      <c r="A6" s="78" t="s">
        <v>131</v>
      </c>
      <c r="B6" t="s">
        <v>127</v>
      </c>
      <c r="D6" s="83">
        <v>22</v>
      </c>
      <c r="E6" s="83">
        <v>69</v>
      </c>
      <c r="F6" s="83">
        <v>77</v>
      </c>
      <c r="G6" s="83">
        <v>210848.92000000004</v>
      </c>
      <c r="H6" s="83">
        <v>64129.43</v>
      </c>
      <c r="I6" s="81">
        <f t="shared" ref="I6:I7" si="1">G6/H6</f>
      </c>
      <c r="J6" s="82">
        <f t="shared" si="6"/>
      </c>
    </row>
    <row r="7">
      <c r="A7" s="78" t="s">
        <v>132</v>
      </c>
      <c r="B7" t="s">
        <v>127</v>
      </c>
      <c r="D7" s="79">
        <v>22</v>
      </c>
      <c r="E7" s="83">
        <v>52</v>
      </c>
      <c r="F7" s="83">
        <v>61</v>
      </c>
      <c r="G7" s="83">
        <v>164749.61999999997</v>
      </c>
      <c r="H7" s="83">
        <v>58759.86</v>
      </c>
      <c r="I7" s="81">
        <f t="shared" si="1"/>
      </c>
      <c r="J7" s="82">
        <f t="shared" si="6"/>
      </c>
    </row>
    <row r="8">
      <c r="A8" s="78" t="s">
        <v>133</v>
      </c>
      <c r="B8" t="s">
        <v>127</v>
      </c>
      <c r="C8" s="84"/>
      <c r="D8" s="85">
        <v>22</v>
      </c>
      <c r="E8" s="85">
        <v>46</v>
      </c>
      <c r="F8" s="85">
        <v>54</v>
      </c>
      <c r="G8" s="85">
        <v>142205.57</v>
      </c>
      <c r="H8" s="85">
        <v>52026.14</v>
      </c>
      <c r="I8" s="81">
        <v>2.7333484667515218</v>
      </c>
      <c r="J8" s="82">
        <f t="shared" si="6"/>
      </c>
    </row>
    <row r="9">
      <c r="A9" s="78" t="s">
        <v>134</v>
      </c>
      <c r="B9" s="86" t="s">
        <v>127</v>
      </c>
      <c r="D9" s="79">
        <v>22</v>
      </c>
      <c r="E9" s="83">
        <v>48</v>
      </c>
      <c r="F9" s="83">
        <v>65</v>
      </c>
      <c r="G9" s="83">
        <v>152033.91</v>
      </c>
      <c r="H9" s="83">
        <v>54097.12</v>
      </c>
      <c r="I9" s="81">
        <f>G9/H9</f>
      </c>
      <c r="J9" s="82">
        <f t="shared" si="6"/>
      </c>
    </row>
    <row r="10">
      <c r="A10" s="78" t="s">
        <v>135</v>
      </c>
      <c r="B10" t="s">
        <v>127</v>
      </c>
      <c r="D10" s="83">
        <v>22</v>
      </c>
      <c r="E10" s="83">
        <v>64</v>
      </c>
      <c r="F10" s="83">
        <v>78</v>
      </c>
      <c r="G10" s="83">
        <v>214399.43000000005</v>
      </c>
      <c r="H10" s="83">
        <v>67328.52</v>
      </c>
      <c r="I10" s="81">
        <v>3.184377586199727</v>
      </c>
      <c r="J10" s="82">
        <f t="shared" si="6"/>
      </c>
    </row>
    <row r="11">
      <c r="A11" s="78" t="s">
        <v>136</v>
      </c>
      <c r="B11" t="s">
        <v>127</v>
      </c>
      <c r="D11" s="83">
        <v>22</v>
      </c>
      <c r="E11" s="83">
        <v>84</v>
      </c>
      <c r="F11" s="83">
        <v>95</v>
      </c>
      <c r="G11" s="83">
        <v>244324.2</v>
      </c>
      <c r="H11" s="83">
        <v>78586.11</v>
      </c>
      <c r="I11" s="81">
        <f t="shared" ref="I11:I13" si="2">G11/H11</f>
      </c>
      <c r="J11" s="82">
        <f t="shared" si="6"/>
      </c>
    </row>
    <row r="12">
      <c r="A12" s="78" t="s">
        <v>137</v>
      </c>
      <c r="B12" t="s">
        <v>127</v>
      </c>
      <c r="D12" s="83">
        <v>22</v>
      </c>
      <c r="E12" s="83">
        <v>86</v>
      </c>
      <c r="F12" s="83">
        <v>96</v>
      </c>
      <c r="G12" s="83">
        <v>234763.82000000004</v>
      </c>
      <c r="H12" s="83">
        <v>81687.85</v>
      </c>
      <c r="I12" s="81">
        <f t="shared" si="2"/>
      </c>
      <c r="J12" s="82">
        <f t="shared" si="6"/>
      </c>
    </row>
    <row r="13">
      <c r="A13" s="87" t="s">
        <v>138</v>
      </c>
      <c r="B13" s="84" t="s">
        <v>127</v>
      </c>
      <c r="C13" s="84"/>
      <c r="D13" s="88">
        <v>22</v>
      </c>
      <c r="E13" s="88">
        <v>69</v>
      </c>
      <c r="F13" s="88">
        <v>78</v>
      </c>
      <c r="G13" s="88">
        <v>188486.07</v>
      </c>
      <c r="H13" s="88">
        <v>71842.65000000001</v>
      </c>
      <c r="I13" s="89">
        <f t="shared" si="2"/>
      </c>
      <c r="J13" s="90">
        <f t="shared" si="6"/>
      </c>
      <c r="K13" s="84"/>
      <c r="L13" s="84"/>
      <c r="M13" s="84"/>
      <c r="N13" s="84"/>
      <c r="O13" s="84"/>
      <c r="P13" s="84"/>
      <c r="Q13" s="84"/>
      <c r="R13" s="84"/>
      <c r="S13" s="84"/>
      <c r="T13" s="84"/>
    </row>
    <row r="14">
      <c r="A14" s="78" t="s">
        <v>139</v>
      </c>
      <c r="B14" t="s">
        <v>127</v>
      </c>
      <c r="D14" s="79">
        <v>20</v>
      </c>
      <c r="E14" s="79">
        <v>58</v>
      </c>
      <c r="F14" s="79">
        <v>69</v>
      </c>
      <c r="G14" s="83">
        <v>181877.14</v>
      </c>
      <c r="H14" s="83">
        <v>71065.09999999999</v>
      </c>
      <c r="I14" s="81">
        <v>2.559303230418307</v>
      </c>
      <c r="J14" s="82">
        <f t="shared" si="6"/>
      </c>
    </row>
    <row customHeight="true" ht="16.071428571428573" r="15">
      <c r="A15" s="78" t="s">
        <v>140</v>
      </c>
      <c r="B15" t="s">
        <v>127</v>
      </c>
      <c r="D15" s="83">
        <v>20</v>
      </c>
      <c r="E15" s="83">
        <v>62</v>
      </c>
      <c r="F15" s="83">
        <v>70</v>
      </c>
      <c r="G15" s="83">
        <v>183274.5</v>
      </c>
      <c r="H15" s="83">
        <v>71569.78</v>
      </c>
      <c r="I15" s="81">
        <f>G15/H15</f>
      </c>
      <c r="J15" s="82">
        <f t="shared" si="6"/>
      </c>
    </row>
    <row customHeight="true" ht="16.071428571428573" r="16">
      <c r="A16" s="78" t="s">
        <v>141</v>
      </c>
      <c r="B16" s="78" t="s">
        <v>127</v>
      </c>
      <c r="D16" s="79">
        <v>20</v>
      </c>
      <c r="E16" s="79">
        <v>58</v>
      </c>
      <c r="F16" s="83">
        <v>73</v>
      </c>
      <c r="G16" s="83">
        <v>178512.5</v>
      </c>
      <c r="H16" s="83">
        <v>64174.54</v>
      </c>
      <c r="I16" s="81">
        <v>2.7816716722862367</v>
      </c>
      <c r="J16" s="82">
        <f t="shared" si="6"/>
      </c>
    </row>
    <row customHeight="true" ht="16.071428571428573" r="17">
      <c r="A17" s="78" t="s">
        <v>142</v>
      </c>
      <c r="B17" s="78" t="s">
        <v>127</v>
      </c>
      <c r="D17" s="79">
        <v>20</v>
      </c>
      <c r="E17" s="83">
        <v>60</v>
      </c>
      <c r="F17" s="83">
        <v>77</v>
      </c>
      <c r="G17" s="83">
        <v>188079.44000000003</v>
      </c>
      <c r="H17" s="83">
        <v>59588.52</v>
      </c>
      <c r="I17" s="81">
        <v>3.1563032610979436</v>
      </c>
      <c r="J17" s="82">
        <f t="shared" si="6"/>
      </c>
    </row>
    <row customHeight="true" ht="16.071428571428573" r="18">
      <c r="A18" s="78" t="s">
        <v>143</v>
      </c>
      <c r="B18" s="78" t="s">
        <v>127</v>
      </c>
      <c r="D18" s="79">
        <v>20</v>
      </c>
      <c r="E18" s="83">
        <v>71</v>
      </c>
      <c r="F18" s="83">
        <v>83</v>
      </c>
      <c r="G18" s="83">
        <v>210956.58000000002</v>
      </c>
      <c r="H18" s="83">
        <v>69789.57</v>
      </c>
      <c r="I18" s="81">
        <v>3.0227522536677043</v>
      </c>
      <c r="J18" s="82">
        <f t="shared" si="6"/>
      </c>
    </row>
    <row customHeight="true" ht="16.071428571428573" r="19">
      <c r="A19" s="78" t="s">
        <v>144</v>
      </c>
      <c r="B19" s="78" t="s">
        <v>127</v>
      </c>
      <c r="D19" s="79">
        <v>20</v>
      </c>
      <c r="E19" s="83">
        <v>94</v>
      </c>
      <c r="F19" s="83">
        <v>103</v>
      </c>
      <c r="G19" s="83">
        <v>269982.88</v>
      </c>
      <c r="H19" s="83">
        <v>90808.16</v>
      </c>
      <c r="I19" s="81">
        <v>2.97311254847582</v>
      </c>
      <c r="J19" s="82">
        <f t="shared" si="6"/>
      </c>
    </row>
    <row customHeight="true" ht="16.071428571428573" r="20">
      <c r="A20" s="78" t="s">
        <v>145</v>
      </c>
      <c r="B20" s="78" t="s">
        <v>127</v>
      </c>
      <c r="D20" s="91">
        <v>2</v>
      </c>
      <c r="E20" s="79">
        <v>8</v>
      </c>
      <c r="F20" s="79">
        <v>8</v>
      </c>
      <c r="G20" s="83">
        <v>18725.86</v>
      </c>
      <c r="H20" s="83">
        <v>5043.74</v>
      </c>
      <c r="I20" s="81">
        <v>3.712693358499844</v>
      </c>
      <c r="J20" s="82">
        <f t="shared" si="6"/>
      </c>
    </row>
    <row customHeight="true" ht="16.071428571428573" r="21">
      <c r="A21" s="78" t="s">
        <v>146</v>
      </c>
      <c r="B21" s="78" t="s">
        <v>127</v>
      </c>
      <c r="D21" s="79"/>
      <c r="E21" s="83"/>
      <c r="F21" s="83"/>
      <c r="G21" s="83"/>
      <c r="H21" s="83"/>
      <c r="I21" s="81">
        <f t="shared" ref="I21:I23" si="3">G21/H21</f>
      </c>
      <c r="J21" s="82">
        <f t="shared" si="6"/>
      </c>
    </row>
    <row customHeight="true" ht="16.071428571428573" r="22">
      <c r="A22" s="78" t="s">
        <v>147</v>
      </c>
      <c r="B22" s="78" t="s">
        <v>127</v>
      </c>
      <c r="D22" s="79"/>
      <c r="E22" s="83"/>
      <c r="F22" s="83"/>
      <c r="G22" s="83"/>
      <c r="H22" s="83"/>
      <c r="I22" s="81">
        <f t="shared" si="3"/>
      </c>
      <c r="J22" s="82">
        <f t="shared" si="6"/>
      </c>
    </row>
    <row customHeight="true" ht="16.071428571428573" r="23">
      <c r="A23" s="78" t="s">
        <v>148</v>
      </c>
      <c r="B23" s="78" t="s">
        <v>127</v>
      </c>
      <c r="D23" s="79"/>
      <c r="E23" s="83"/>
      <c r="F23" s="83"/>
      <c r="G23" s="83"/>
      <c r="H23" s="83"/>
      <c r="I23" s="81">
        <f t="shared" si="3"/>
      </c>
      <c r="J23" s="82">
        <f t="shared" si="6"/>
      </c>
    </row>
    <row customHeight="true" ht="16.071428571428573" r="24">
      <c r="A24" s="78" t="s">
        <v>149</v>
      </c>
      <c r="B24" s="78" t="s">
        <v>127</v>
      </c>
      <c r="D24" s="79"/>
      <c r="E24" s="83"/>
      <c r="F24" s="83"/>
      <c r="G24" s="83"/>
      <c r="H24" s="83"/>
      <c r="I24" s="81"/>
      <c r="J24" s="82">
        <f t="shared" si="6"/>
      </c>
    </row>
    <row customHeight="true" ht="16.071428571428573" r="25">
      <c r="A25" s="78" t="s">
        <v>150</v>
      </c>
      <c r="B25" s="78" t="s">
        <v>127</v>
      </c>
      <c r="D25" s="79"/>
      <c r="E25" s="83"/>
      <c r="F25" s="83"/>
      <c r="G25" s="83"/>
      <c r="H25" s="83"/>
      <c r="I25" s="81"/>
      <c r="J25" s="82">
        <f t="shared" si="6"/>
      </c>
    </row>
    <row customHeight="true" ht="16.071428571428573" r="26">
      <c r="A26" s="78" t="s">
        <v>151</v>
      </c>
      <c r="B26" s="78" t="s">
        <v>127</v>
      </c>
      <c r="D26" s="79"/>
      <c r="E26" s="83"/>
      <c r="F26" s="83"/>
      <c r="G26" s="83"/>
      <c r="H26" s="83"/>
      <c r="I26" s="81"/>
      <c r="J26" s="82">
        <f t="shared" si="6"/>
      </c>
    </row>
    <row customHeight="true" ht="16.071428571428573" r="27">
      <c r="A27" s="78" t="s">
        <v>152</v>
      </c>
      <c r="B27" s="78" t="s">
        <v>127</v>
      </c>
      <c r="D27" s="79"/>
      <c r="E27" s="83"/>
      <c r="F27" s="83"/>
      <c r="G27" s="83"/>
      <c r="H27" s="83"/>
      <c r="I27" s="81"/>
      <c r="J27" s="82">
        <f t="shared" si="6"/>
      </c>
    </row>
    <row customHeight="true" ht="16.071428571428573" r="28">
      <c r="A28" s="78" t="s">
        <v>153</v>
      </c>
      <c r="B28" s="78" t="s">
        <v>127</v>
      </c>
      <c r="D28" s="83"/>
      <c r="E28" s="83"/>
      <c r="F28" s="83"/>
      <c r="G28" s="83"/>
      <c r="H28" s="83"/>
      <c r="I28" s="81"/>
      <c r="J28" s="82">
        <f t="shared" si="6"/>
      </c>
    </row>
    <row customHeight="true" ht="16.071428571428573" r="29">
      <c r="A29" s="78" t="s">
        <v>154</v>
      </c>
      <c r="B29" s="78" t="s">
        <v>127</v>
      </c>
      <c r="D29" s="83"/>
      <c r="E29" s="79"/>
      <c r="F29" s="83"/>
      <c r="G29" s="83"/>
      <c r="H29" s="83"/>
      <c r="I29" s="81"/>
      <c r="J29" s="82">
        <f t="shared" si="6"/>
      </c>
    </row>
    <row r="30">
      <c r="A30" s="78" t="s">
        <v>155</v>
      </c>
      <c r="B30" s="78" t="s">
        <v>127</v>
      </c>
      <c r="D30" s="83"/>
      <c r="E30" s="83"/>
      <c r="F30" s="79"/>
      <c r="G30" s="83"/>
      <c r="H30" s="83"/>
      <c r="I30" s="81"/>
      <c r="J30" s="82">
        <f t="shared" si="6"/>
      </c>
    </row>
    <row r="31">
      <c r="A31" s="78" t="s">
        <v>156</v>
      </c>
      <c r="B31" s="78" t="s">
        <v>127</v>
      </c>
      <c r="D31" s="83"/>
      <c r="E31" s="83"/>
      <c r="F31" s="79"/>
      <c r="G31" s="83"/>
      <c r="H31" s="83"/>
      <c r="I31" s="81"/>
      <c r="J31" s="82">
        <f t="shared" si="6"/>
      </c>
    </row>
    <row r="32">
      <c r="A32" s="78" t="s">
        <v>157</v>
      </c>
      <c r="B32" s="78" t="s">
        <v>127</v>
      </c>
      <c r="D32" s="83"/>
      <c r="E32" s="83"/>
      <c r="F32" s="79"/>
      <c r="G32" s="83"/>
      <c r="H32" s="83"/>
      <c r="I32" s="81"/>
      <c r="J32" s="82">
        <f t="shared" si="6"/>
      </c>
    </row>
    <row r="33">
      <c r="A33" s="78" t="s">
        <v>158</v>
      </c>
      <c r="B33" s="78" t="s">
        <v>127</v>
      </c>
      <c r="D33" s="83"/>
      <c r="E33" s="83"/>
      <c r="F33" s="79"/>
      <c r="G33" s="83"/>
      <c r="H33" s="83"/>
      <c r="I33" s="81"/>
      <c r="J33" s="82">
        <f t="shared" si="6"/>
      </c>
    </row>
    <row r="34">
      <c r="A34" s="78" t="s">
        <v>159</v>
      </c>
      <c r="B34" s="78" t="s">
        <v>127</v>
      </c>
      <c r="D34" s="83"/>
      <c r="E34" s="83"/>
      <c r="F34" s="79"/>
      <c r="G34" s="83"/>
      <c r="H34" s="83"/>
      <c r="I34" s="81"/>
      <c r="J34" s="82">
        <f t="shared" si="6"/>
      </c>
    </row>
    <row r="35">
      <c r="A35" s="78" t="s">
        <v>160</v>
      </c>
      <c r="B35" s="78" t="s">
        <v>127</v>
      </c>
      <c r="D35" s="83"/>
      <c r="E35" s="83"/>
      <c r="F35" s="83"/>
      <c r="G35" s="83"/>
      <c r="H35" s="83"/>
      <c r="I35" s="81"/>
      <c r="J35" s="82">
        <f t="shared" si="6"/>
      </c>
    </row>
    <row r="36">
      <c r="A36" s="78" t="s">
        <v>161</v>
      </c>
      <c r="B36" s="78" t="s">
        <v>127</v>
      </c>
      <c r="D36" s="83"/>
      <c r="E36" s="83"/>
      <c r="F36" s="83"/>
      <c r="G36" s="83"/>
      <c r="H36" s="83"/>
      <c r="I36" s="81"/>
      <c r="J36" s="82">
        <f t="shared" si="6"/>
      </c>
    </row>
    <row r="37">
      <c r="A37" s="78" t="s">
        <v>162</v>
      </c>
      <c r="B37" s="78" t="s">
        <v>127</v>
      </c>
      <c r="D37" s="83"/>
      <c r="E37" s="83"/>
      <c r="F37" s="83"/>
      <c r="G37" s="83"/>
      <c r="H37" s="83"/>
      <c r="I37" s="81"/>
      <c r="J37" s="82">
        <f t="shared" si="6"/>
      </c>
    </row>
    <row r="38">
      <c r="A38" s="78" t="s">
        <v>163</v>
      </c>
      <c r="B38" s="78" t="s">
        <v>127</v>
      </c>
      <c r="D38" s="83"/>
      <c r="E38" s="83"/>
      <c r="F38" s="79"/>
      <c r="G38" s="83"/>
      <c r="H38" s="83"/>
      <c r="I38" s="81"/>
      <c r="J38" s="82">
        <f t="shared" si="6"/>
      </c>
    </row>
    <row customHeight="true" ht="16.071428571428573" r="39">
      <c r="A39" s="78"/>
      <c r="B39" s="78"/>
      <c r="D39" s="83"/>
      <c r="E39" s="83"/>
      <c r="F39" s="79"/>
      <c r="G39" s="83"/>
      <c r="H39" s="83"/>
      <c r="I39" s="81"/>
      <c r="J39" s="82"/>
    </row>
    <row customHeight="true" ht="16.071428571428573" r="40">
      <c r="A40" s="78"/>
      <c r="B40" s="78"/>
      <c r="D40" s="83"/>
      <c r="E40" s="83"/>
      <c r="F40" s="79"/>
      <c r="G40" s="83"/>
      <c r="H40" s="83"/>
      <c r="I40" s="81"/>
      <c r="J40" s="82"/>
    </row>
    <row customHeight="true" ht="16.071428571428573" r="41">
      <c r="A41" s="78"/>
      <c r="B41" s="78"/>
      <c r="D41" s="83"/>
      <c r="E41" s="83"/>
      <c r="F41" s="79"/>
      <c r="G41" s="83"/>
      <c r="H41" s="83"/>
      <c r="I41" s="81"/>
      <c r="J41" s="82"/>
    </row>
    <row customHeight="true" ht="16.071428571428573" r="42">
      <c r="A42" s="78"/>
      <c r="B42" s="78"/>
      <c r="D42" s="83"/>
      <c r="E42" s="83"/>
      <c r="F42" s="79"/>
      <c r="G42" s="83"/>
      <c r="H42" s="83"/>
      <c r="I42" s="81"/>
      <c r="J42" s="82"/>
    </row>
    <row customHeight="true" ht="16.071428571428573" r="43">
      <c r="A43" s="78"/>
      <c r="B43" s="78"/>
      <c r="D43" s="83"/>
      <c r="E43" s="83"/>
      <c r="F43" s="79"/>
      <c r="G43" s="83"/>
      <c r="H43" s="83"/>
      <c r="I43" s="81"/>
      <c r="J43" s="82"/>
    </row>
    <row r="44">
      <c r="D44" s="78">
        <f>SUM(D3:D9)</f>
      </c>
      <c r="F44" s="78" t="s">
        <v>164</v>
      </c>
      <c r="G44" s="78">
        <f>SUM(G3:G9)</f>
      </c>
      <c r="H44" s="78">
        <f>SUM(H3:H9)</f>
      </c>
      <c r="I44" s="92">
        <f t="shared" ref="I44:I46" si="4">G44/H44</f>
      </c>
      <c r="J44" s="93">
        <f t="shared" ref="J44:J46" si="5">G44/(H44+D44*500)</f>
      </c>
      <c r="K44" s="94">
        <f>H44/D44</f>
      </c>
    </row>
    <row r="45">
      <c r="D45">
        <f>SUM(D2:D12)</f>
      </c>
      <c r="F45" s="78" t="s">
        <v>165</v>
      </c>
      <c r="G45">
        <f>SUM(G2:G12)</f>
      </c>
      <c r="H45">
        <f>SUM(H2:H12)</f>
      </c>
      <c r="I45" s="92">
        <f t="shared" si="4"/>
      </c>
      <c r="J45" s="93">
        <f t="shared" si="5"/>
      </c>
    </row>
    <row r="46">
      <c r="D46">
        <f>SUM(D2:D35)</f>
      </c>
      <c r="F46" s="78" t="s">
        <v>166</v>
      </c>
      <c r="G46">
        <f>SUM(G2:G35)</f>
      </c>
      <c r="H46">
        <f>SUM(H2:H35)</f>
      </c>
      <c r="I46" s="92">
        <f t="shared" si="4"/>
      </c>
      <c r="J46" s="93">
        <f t="shared" si="5"/>
      </c>
    </row>
    <row r="47">
      <c r="F47" s="78"/>
      <c r="I47" s="92"/>
      <c r="J47" s="93"/>
    </row>
  </sheetData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15" min="15" style="0" width="11.211267605633802"/>
    <col collapsed="false" customWidth="true" hidden="false" max="1" min="1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12" min="12" style="0" width="11.211267605633802"/>
    <col collapsed="false" customWidth="true" hidden="false" max="35" min="35" style="0" width="11.211267605633802"/>
    <col collapsed="false" customWidth="true" hidden="false" max="2" min="2" style="0" width="11.211267605633802"/>
  </cols>
  <sheetData>
    <row r="1">
      <c r="A1" s="95" t="s">
        <v>167</v>
      </c>
      <c r="B1" s="96" t="s">
        <v>168</v>
      </c>
      <c r="C1" s="96" t="s">
        <v>169</v>
      </c>
      <c r="D1" s="96" t="s">
        <v>170</v>
      </c>
      <c r="E1" s="95" t="s">
        <v>171</v>
      </c>
      <c r="F1" s="96" t="s">
        <v>172</v>
      </c>
      <c r="G1" s="96" t="s">
        <v>173</v>
      </c>
      <c r="H1" s="96" t="s">
        <v>174</v>
      </c>
      <c r="I1" s="97" t="s">
        <v>175</v>
      </c>
      <c r="J1" s="97" t="s">
        <v>176</v>
      </c>
      <c r="K1" s="97" t="s">
        <v>177</v>
      </c>
      <c r="L1" s="98" t="s">
        <v>178</v>
      </c>
      <c r="M1" s="96" t="s">
        <v>179</v>
      </c>
      <c r="N1" s="99" t="s">
        <v>180</v>
      </c>
      <c r="O1" s="100" t="s">
        <v>181</v>
      </c>
      <c r="P1" s="96" t="s">
        <v>182</v>
      </c>
      <c r="Q1" s="96" t="s">
        <v>183</v>
      </c>
      <c r="R1" s="96"/>
      <c r="S1" s="96" t="s">
        <v>184</v>
      </c>
      <c r="T1" s="101" t="s">
        <v>185</v>
      </c>
      <c r="U1" s="101" t="s">
        <v>186</v>
      </c>
      <c r="V1" s="101" t="s">
        <v>187</v>
      </c>
      <c r="W1" s="101" t="s">
        <v>188</v>
      </c>
      <c r="X1" s="102" t="s">
        <v>189</v>
      </c>
      <c r="Y1" s="101" t="s">
        <v>190</v>
      </c>
      <c r="Z1" s="102" t="s">
        <v>191</v>
      </c>
      <c r="AA1" s="103" t="s">
        <v>192</v>
      </c>
      <c r="AB1" s="104" t="s">
        <v>193</v>
      </c>
      <c r="AC1" s="102" t="s">
        <v>194</v>
      </c>
      <c r="AD1" s="102" t="s">
        <v>195</v>
      </c>
      <c r="AE1" s="102" t="s">
        <v>196</v>
      </c>
      <c r="AF1" s="102" t="s">
        <v>197</v>
      </c>
      <c r="AG1" s="102" t="s">
        <v>198</v>
      </c>
      <c r="AH1" s="102" t="s">
        <v>199</v>
      </c>
      <c r="AI1" s="102" t="s">
        <v>200</v>
      </c>
    </row>
    <row r="2">
      <c r="A2" s="105">
        <v>46266</v>
      </c>
      <c r="B2" s="106" t="s">
        <v>201</v>
      </c>
      <c r="C2" s="107" t="s">
        <v>202</v>
      </c>
      <c r="D2" s="108">
        <v>4</v>
      </c>
      <c r="E2" s="109">
        <v>17</v>
      </c>
      <c r="F2" s="109">
        <v>24</v>
      </c>
      <c r="G2" s="110">
        <v>60357.64</v>
      </c>
      <c r="H2" s="111">
        <v>16364.37</v>
      </c>
      <c r="I2" s="112">
        <f t="shared" ref="I2:I188" si="62">G2/H2</f>
      </c>
      <c r="J2" s="113">
        <f t="shared" ref="J2:J188" si="0">G2/F2</f>
      </c>
      <c r="K2" s="114">
        <f t="shared" ref="K2:K188" si="198">H2/F2</f>
      </c>
      <c r="L2" s="114">
        <f t="shared" ref="L2:L6" si="123">H2/D2</f>
      </c>
      <c r="M2" s="115" t="s">
        <v>203</v>
      </c>
      <c r="N2" s="116">
        <v>10</v>
      </c>
      <c r="O2" s="116"/>
      <c r="P2" s="117"/>
      <c r="Q2" s="118"/>
      <c r="R2" s="119"/>
      <c r="S2" s="120">
        <f t="shared" ref="S2:S6" si="63">H2/AC2</f>
      </c>
      <c r="T2" s="121">
        <f t="shared" ref="T2:T6" si="1">X2/AB2*1</f>
      </c>
      <c r="U2" s="122">
        <f t="shared" ref="U2:U6" si="199">AC2/AB2</f>
      </c>
      <c r="V2" s="122">
        <f t="shared" ref="V2:V6" si="138">AD2/AB2</f>
      </c>
      <c r="W2" s="122">
        <f t="shared" ref="W2:W6" si="93">AF2/AD2</f>
      </c>
      <c r="X2" s="123">
        <f t="shared" ref="X2:X6" si="31">AE2/Y2</f>
      </c>
      <c r="Y2" s="122">
        <f t="shared" ref="Y2:Y6" si="229">AE2/AD2</f>
      </c>
      <c r="Z2" s="124">
        <v>44</v>
      </c>
      <c r="AA2" s="125">
        <f t="shared" ref="AA2:AA6" si="168">(H2/AB2)*1000</f>
      </c>
      <c r="AB2" s="123">
        <v>143465</v>
      </c>
      <c r="AC2" s="123">
        <v>2941</v>
      </c>
      <c r="AD2" s="123">
        <v>3151</v>
      </c>
      <c r="AE2" s="123">
        <v>533</v>
      </c>
      <c r="AF2" s="124">
        <v>260</v>
      </c>
      <c r="AG2" s="123">
        <v>31</v>
      </c>
      <c r="AH2" s="123">
        <v>10</v>
      </c>
      <c r="AI2" s="123">
        <v>145</v>
      </c>
    </row>
    <row r="3">
      <c r="A3" s="105">
        <v>46266</v>
      </c>
      <c r="B3" s="106" t="s">
        <v>204</v>
      </c>
      <c r="C3" s="107" t="s">
        <v>205</v>
      </c>
      <c r="D3" s="126">
        <v>4</v>
      </c>
      <c r="E3" s="108">
        <v>19</v>
      </c>
      <c r="F3" s="108">
        <v>22</v>
      </c>
      <c r="G3" s="120">
        <v>58833.96</v>
      </c>
      <c r="H3" s="127">
        <v>18308.87</v>
      </c>
      <c r="I3" s="112">
        <f t="shared" si="62"/>
      </c>
      <c r="J3" s="113">
        <f t="shared" si="0"/>
      </c>
      <c r="K3" s="113">
        <f t="shared" si="198"/>
      </c>
      <c r="L3" s="114">
        <f t="shared" si="123"/>
      </c>
      <c r="M3" s="128"/>
      <c r="N3" s="129"/>
      <c r="O3" s="129"/>
      <c r="P3" s="117"/>
      <c r="Q3" s="118"/>
      <c r="R3" s="119"/>
      <c r="S3" s="120">
        <f t="shared" si="63"/>
      </c>
      <c r="T3" s="121">
        <f t="shared" si="1"/>
      </c>
      <c r="U3" s="122">
        <f t="shared" si="199"/>
      </c>
      <c r="V3" s="122">
        <f t="shared" si="138"/>
      </c>
      <c r="W3" s="122">
        <f t="shared" si="93"/>
      </c>
      <c r="X3" s="123">
        <f t="shared" si="31"/>
      </c>
      <c r="Y3" s="122">
        <f t="shared" si="229"/>
      </c>
      <c r="Z3" s="124">
        <v>55</v>
      </c>
      <c r="AA3" s="125">
        <f t="shared" si="168"/>
      </c>
      <c r="AB3" s="123">
        <v>127902</v>
      </c>
      <c r="AC3" s="123">
        <v>2332</v>
      </c>
      <c r="AD3" s="123">
        <v>2457</v>
      </c>
      <c r="AE3" s="123">
        <v>471</v>
      </c>
      <c r="AF3" s="124">
        <v>373</v>
      </c>
      <c r="AG3" s="123">
        <v>27</v>
      </c>
      <c r="AH3" s="123">
        <v>8</v>
      </c>
      <c r="AI3" s="123">
        <v>118</v>
      </c>
    </row>
    <row r="4">
      <c r="A4" s="105">
        <v>46266</v>
      </c>
      <c r="B4" s="108" t="s">
        <v>206</v>
      </c>
      <c r="C4" s="107" t="s">
        <v>207</v>
      </c>
      <c r="D4" s="126">
        <v>4</v>
      </c>
      <c r="E4" s="108">
        <v>17</v>
      </c>
      <c r="F4" s="108">
        <v>18</v>
      </c>
      <c r="G4" s="130">
        <v>47174.77</v>
      </c>
      <c r="H4" s="131">
        <v>15877.1</v>
      </c>
      <c r="I4" s="112">
        <f t="shared" si="62"/>
      </c>
      <c r="J4" s="113">
        <f t="shared" si="0"/>
      </c>
      <c r="K4" s="113">
        <f t="shared" si="198"/>
      </c>
      <c r="L4" s="114">
        <f t="shared" si="123"/>
      </c>
      <c r="M4" s="128"/>
      <c r="N4" s="129"/>
      <c r="O4" s="129"/>
      <c r="P4" s="117"/>
      <c r="Q4" s="118"/>
      <c r="R4" s="119"/>
      <c r="S4" s="120">
        <f t="shared" si="63"/>
      </c>
      <c r="T4" s="121">
        <f t="shared" si="1"/>
      </c>
      <c r="U4" s="122">
        <f t="shared" si="199"/>
      </c>
      <c r="V4" s="122">
        <f t="shared" si="138"/>
      </c>
      <c r="W4" s="122">
        <f t="shared" si="93"/>
      </c>
      <c r="X4" s="123">
        <f t="shared" si="31"/>
      </c>
      <c r="Y4" s="122">
        <f t="shared" si="229"/>
      </c>
      <c r="Z4" s="124">
        <v>54</v>
      </c>
      <c r="AA4" s="125">
        <f t="shared" si="168"/>
      </c>
      <c r="AB4" s="123">
        <v>100051</v>
      </c>
      <c r="AC4" s="123">
        <v>2185</v>
      </c>
      <c r="AD4" s="123">
        <v>2359</v>
      </c>
      <c r="AE4" s="123">
        <v>407</v>
      </c>
      <c r="AF4" s="124">
        <v>273</v>
      </c>
      <c r="AG4" s="123">
        <v>15</v>
      </c>
      <c r="AH4" s="123">
        <v>3</v>
      </c>
      <c r="AI4" s="123">
        <v>53</v>
      </c>
    </row>
    <row r="5">
      <c r="A5" s="105">
        <v>46266</v>
      </c>
      <c r="B5" s="108" t="s">
        <v>208</v>
      </c>
      <c r="C5" s="107" t="s">
        <v>209</v>
      </c>
      <c r="D5" s="126">
        <v>5</v>
      </c>
      <c r="E5" s="115">
        <v>23</v>
      </c>
      <c r="F5" s="115">
        <v>26</v>
      </c>
      <c r="G5" s="132">
        <v>68976.8</v>
      </c>
      <c r="H5" s="132">
        <v>21981.04</v>
      </c>
      <c r="I5" s="112">
        <f t="shared" si="62"/>
      </c>
      <c r="J5" s="113">
        <f t="shared" si="0"/>
      </c>
      <c r="K5" s="113">
        <f t="shared" si="198"/>
      </c>
      <c r="L5" s="114">
        <f t="shared" si="123"/>
      </c>
      <c r="M5" s="108" t="s">
        <v>210</v>
      </c>
      <c r="N5" s="108">
        <v>10</v>
      </c>
      <c r="O5" s="108"/>
      <c r="P5" s="117"/>
      <c r="Q5" s="118"/>
      <c r="R5" s="119"/>
      <c r="S5" s="120">
        <f t="shared" si="63"/>
      </c>
      <c r="T5" s="121">
        <f t="shared" si="1"/>
      </c>
      <c r="U5" s="122">
        <f t="shared" si="199"/>
      </c>
      <c r="V5" s="122">
        <f t="shared" si="138"/>
      </c>
      <c r="W5" s="122">
        <f t="shared" si="93"/>
      </c>
      <c r="X5" s="123">
        <f t="shared" si="31"/>
      </c>
      <c r="Y5" s="122">
        <f t="shared" si="229"/>
      </c>
      <c r="Z5" s="124">
        <v>43</v>
      </c>
      <c r="AA5" s="125">
        <f t="shared" si="168"/>
      </c>
      <c r="AB5" s="123">
        <v>128789</v>
      </c>
      <c r="AC5" s="123">
        <v>2964</v>
      </c>
      <c r="AD5" s="123">
        <v>4181</v>
      </c>
      <c r="AE5" s="123">
        <v>486</v>
      </c>
      <c r="AF5" s="123">
        <v>402</v>
      </c>
      <c r="AG5" s="123">
        <v>24</v>
      </c>
      <c r="AH5" s="123">
        <v>5</v>
      </c>
      <c r="AI5" s="123">
        <v>83</v>
      </c>
    </row>
    <row r="6">
      <c r="A6" s="105">
        <v>46266</v>
      </c>
      <c r="B6" s="106" t="s">
        <v>211</v>
      </c>
      <c r="C6" s="107" t="s">
        <v>212</v>
      </c>
      <c r="D6" s="126">
        <v>5</v>
      </c>
      <c r="E6" s="115">
        <v>7</v>
      </c>
      <c r="F6" s="115">
        <v>8</v>
      </c>
      <c r="G6" s="133">
        <v>18172.440000000002</v>
      </c>
      <c r="H6" s="134">
        <v>8705.96</v>
      </c>
      <c r="I6" s="113">
        <f t="shared" si="62"/>
      </c>
      <c r="J6" s="113">
        <f t="shared" si="0"/>
      </c>
      <c r="K6" s="114">
        <f t="shared" si="198"/>
      </c>
      <c r="L6" s="114">
        <f t="shared" si="123"/>
      </c>
      <c r="M6" s="118" t="s">
        <v>213</v>
      </c>
      <c r="N6" s="108">
        <v>2</v>
      </c>
      <c r="O6" s="108"/>
      <c r="P6" s="117"/>
      <c r="Q6" s="118"/>
      <c r="R6" s="119"/>
      <c r="S6" s="120">
        <f t="shared" si="63"/>
      </c>
      <c r="T6" s="121">
        <f t="shared" si="1"/>
      </c>
      <c r="U6" s="122">
        <f t="shared" si="199"/>
      </c>
      <c r="V6" s="122">
        <f t="shared" si="138"/>
      </c>
      <c r="W6" s="122">
        <f t="shared" si="93"/>
      </c>
      <c r="X6" s="123">
        <f t="shared" si="31"/>
      </c>
      <c r="Y6" s="122">
        <f t="shared" si="229"/>
      </c>
      <c r="Z6" s="124">
        <v>55</v>
      </c>
      <c r="AA6" s="125">
        <f t="shared" si="168"/>
      </c>
      <c r="AB6" s="123">
        <v>108043</v>
      </c>
      <c r="AC6" s="123">
        <v>2470</v>
      </c>
      <c r="AD6" s="123">
        <v>2697</v>
      </c>
      <c r="AE6" s="123">
        <v>309</v>
      </c>
      <c r="AF6" s="123">
        <v>230</v>
      </c>
      <c r="AG6" s="123">
        <v>17</v>
      </c>
      <c r="AH6" s="123">
        <v>3</v>
      </c>
      <c r="AI6" s="123">
        <v>67</v>
      </c>
    </row>
    <row r="7">
      <c r="A7" s="135">
        <v>46266</v>
      </c>
      <c r="B7" s="136" t="s">
        <v>214</v>
      </c>
      <c r="C7" s="137"/>
      <c r="D7" s="137">
        <f>SUM(D2:D6)</f>
      </c>
      <c r="E7" s="137">
        <f>SUM(E2:E6)</f>
      </c>
      <c r="F7" s="137">
        <f>SUM(F2:F6)</f>
      </c>
      <c r="G7" s="138">
        <f>SUM(G2:G6)</f>
      </c>
      <c r="H7" s="138">
        <f>SUM(H2:H6)</f>
      </c>
      <c r="I7" s="139">
        <f t="shared" si="62"/>
      </c>
      <c r="J7" s="139">
        <f t="shared" si="0"/>
      </c>
      <c r="K7" s="139">
        <f t="shared" si="198"/>
      </c>
      <c r="L7" s="139"/>
      <c r="M7" s="137"/>
      <c r="N7" s="140">
        <f>SUM(N2:N6)</f>
      </c>
      <c r="O7" s="140"/>
      <c r="P7" s="137"/>
      <c r="Q7" s="137"/>
      <c r="R7" s="137"/>
      <c r="S7" s="141">
        <f>AVERAGE(S2:S6)</f>
      </c>
      <c r="T7" s="142">
        <f>AVERAGE(T2:T6)</f>
      </c>
      <c r="U7" s="142">
        <f>AVERAGE(U2:U6)</f>
      </c>
      <c r="V7" s="142">
        <f>AVERAGE(V2:V6)</f>
      </c>
      <c r="W7" s="142">
        <f>AVERAGE(W2:W6)</f>
      </c>
      <c r="X7" s="143">
        <f>SUM(X2:X6)</f>
      </c>
      <c r="Y7" s="142">
        <f>AVERAGE(Y2:Y6)</f>
      </c>
      <c r="Z7" s="143"/>
      <c r="AA7" s="144">
        <f>AVERAGE(AA2:AA6)</f>
      </c>
      <c r="AB7" s="143">
        <f>SUM(AB2:AB6)</f>
      </c>
      <c r="AC7" s="143">
        <f>SUM(AC2:AC6)</f>
      </c>
      <c r="AD7" s="143">
        <f>SUM(AD2:AD6)</f>
      </c>
      <c r="AE7" s="143">
        <f>SUM(AE2:AE6)</f>
      </c>
      <c r="AF7" s="143">
        <f>SUM(AF2:AF6)</f>
      </c>
      <c r="AG7" s="143">
        <f>SUM(AG2:AG6)</f>
      </c>
      <c r="AH7" s="143">
        <f>SUM(AH2:AH6)</f>
      </c>
      <c r="AI7" s="143">
        <f>SUM(AI2:AI6)</f>
      </c>
    </row>
    <row r="8">
      <c r="A8" s="105">
        <v>46267</v>
      </c>
      <c r="B8" s="106" t="s">
        <v>201</v>
      </c>
      <c r="C8" s="107" t="s">
        <v>202</v>
      </c>
      <c r="D8" s="108">
        <v>4</v>
      </c>
      <c r="E8" s="109">
        <v>13</v>
      </c>
      <c r="F8" s="109">
        <v>16</v>
      </c>
      <c r="G8" s="110">
        <v>43724.50000000001</v>
      </c>
      <c r="H8" s="111">
        <v>14699.73</v>
      </c>
      <c r="I8" s="112">
        <f t="shared" si="62"/>
      </c>
      <c r="J8" s="113">
        <f t="shared" si="0"/>
      </c>
      <c r="K8" s="114">
        <f t="shared" si="198"/>
      </c>
      <c r="L8" s="114">
        <f t="shared" ref="L8:L12" si="124">H8/D8</f>
      </c>
      <c r="M8" s="115" t="s">
        <v>203</v>
      </c>
      <c r="N8" s="116">
        <v>10</v>
      </c>
      <c r="O8" s="116"/>
      <c r="P8" s="117"/>
      <c r="Q8" s="118"/>
      <c r="R8" s="119"/>
      <c r="S8" s="120">
        <f t="shared" ref="S8:S12" si="64">H8/AC8</f>
      </c>
      <c r="T8" s="121">
        <f t="shared" ref="T8:T12" si="2">X8/AB8*1</f>
      </c>
      <c r="U8" s="122">
        <f t="shared" ref="U8:U12" si="200">AC8/AB8</f>
      </c>
      <c r="V8" s="122">
        <f t="shared" ref="V8:V12" si="139">AD8/AB8</f>
      </c>
      <c r="W8" s="122">
        <f t="shared" ref="W8:W12" si="94">AF8/AD8</f>
      </c>
      <c r="X8" s="123">
        <f t="shared" ref="X8:X12" si="32">AE8/Y8</f>
      </c>
      <c r="Y8" s="122">
        <f t="shared" ref="Y8:Y12" si="230">AE8/AD8</f>
      </c>
      <c r="Z8" s="124">
        <v>53.5</v>
      </c>
      <c r="AA8" s="125">
        <f t="shared" ref="AA8:AA12" si="169">(H8/AB8)*1000</f>
      </c>
      <c r="AB8" s="123">
        <v>137533</v>
      </c>
      <c r="AC8" s="123">
        <v>2818</v>
      </c>
      <c r="AD8" s="123">
        <v>2932</v>
      </c>
      <c r="AE8" s="123">
        <v>594</v>
      </c>
      <c r="AF8" s="124">
        <v>259</v>
      </c>
      <c r="AG8" s="123">
        <v>30</v>
      </c>
      <c r="AH8" s="123">
        <v>9</v>
      </c>
      <c r="AI8" s="123">
        <v>117</v>
      </c>
    </row>
    <row r="9">
      <c r="A9" s="105">
        <v>46267</v>
      </c>
      <c r="B9" s="106" t="s">
        <v>206</v>
      </c>
      <c r="C9" s="107" t="s">
        <v>205</v>
      </c>
      <c r="D9" s="126">
        <v>4</v>
      </c>
      <c r="E9" s="108">
        <v>13</v>
      </c>
      <c r="F9" s="108">
        <v>17</v>
      </c>
      <c r="G9" s="120">
        <v>37774.5</v>
      </c>
      <c r="H9" s="127">
        <v>15366.600000000002</v>
      </c>
      <c r="I9" s="112">
        <f t="shared" si="62"/>
      </c>
      <c r="J9" s="113">
        <f t="shared" si="0"/>
      </c>
      <c r="K9" s="113">
        <f t="shared" si="198"/>
      </c>
      <c r="L9" s="114">
        <f t="shared" si="124"/>
      </c>
      <c r="M9" s="128"/>
      <c r="N9" s="129"/>
      <c r="O9" s="129"/>
      <c r="P9" s="117"/>
      <c r="Q9" s="118"/>
      <c r="R9" s="119"/>
      <c r="S9" s="120">
        <f t="shared" si="64"/>
      </c>
      <c r="T9" s="121">
        <f t="shared" si="2"/>
      </c>
      <c r="U9" s="122">
        <f t="shared" si="200"/>
      </c>
      <c r="V9" s="122">
        <f t="shared" si="139"/>
      </c>
      <c r="W9" s="122">
        <f t="shared" si="94"/>
      </c>
      <c r="X9" s="123">
        <f t="shared" si="32"/>
      </c>
      <c r="Y9" s="122">
        <f t="shared" si="230"/>
      </c>
      <c r="Z9" s="124">
        <v>60.5</v>
      </c>
      <c r="AA9" s="125">
        <f t="shared" si="169"/>
      </c>
      <c r="AB9" s="123">
        <v>92816</v>
      </c>
      <c r="AC9" s="123">
        <v>2141</v>
      </c>
      <c r="AD9" s="123">
        <v>2287</v>
      </c>
      <c r="AE9" s="123">
        <v>321</v>
      </c>
      <c r="AF9" s="124">
        <v>265</v>
      </c>
      <c r="AG9" s="123">
        <v>15</v>
      </c>
      <c r="AH9" s="123">
        <v>4</v>
      </c>
      <c r="AI9" s="123">
        <v>46</v>
      </c>
    </row>
    <row r="10">
      <c r="A10" s="105">
        <v>46267</v>
      </c>
      <c r="B10" s="108" t="s">
        <v>208</v>
      </c>
      <c r="C10" s="107" t="s">
        <v>207</v>
      </c>
      <c r="D10" s="126">
        <v>4</v>
      </c>
      <c r="E10" s="108">
        <v>11</v>
      </c>
      <c r="F10" s="108">
        <v>16</v>
      </c>
      <c r="G10" s="130">
        <v>38762.57</v>
      </c>
      <c r="H10" s="131">
        <v>16579.23</v>
      </c>
      <c r="I10" s="112">
        <f t="shared" si="62"/>
      </c>
      <c r="J10" s="113">
        <f t="shared" si="0"/>
      </c>
      <c r="K10" s="113">
        <f t="shared" si="198"/>
      </c>
      <c r="L10" s="114">
        <f t="shared" si="124"/>
      </c>
      <c r="M10" s="128"/>
      <c r="N10" s="129"/>
      <c r="O10" s="129"/>
      <c r="P10" s="117"/>
      <c r="Q10" s="118"/>
      <c r="R10" s="119"/>
      <c r="S10" s="120">
        <f t="shared" si="64"/>
      </c>
      <c r="T10" s="121">
        <f t="shared" si="2"/>
      </c>
      <c r="U10" s="122">
        <f t="shared" si="200"/>
      </c>
      <c r="V10" s="122">
        <f t="shared" si="139"/>
      </c>
      <c r="W10" s="122">
        <f t="shared" si="94"/>
      </c>
      <c r="X10" s="123">
        <f t="shared" si="32"/>
      </c>
      <c r="Y10" s="122">
        <f t="shared" si="230"/>
      </c>
      <c r="Z10" s="124">
        <v>60</v>
      </c>
      <c r="AA10" s="125">
        <f t="shared" si="169"/>
      </c>
      <c r="AB10" s="123">
        <v>103214</v>
      </c>
      <c r="AC10" s="123">
        <v>1873</v>
      </c>
      <c r="AD10" s="123">
        <v>2009</v>
      </c>
      <c r="AE10" s="123">
        <v>272</v>
      </c>
      <c r="AF10" s="124">
        <v>298</v>
      </c>
      <c r="AG10" s="123">
        <v>15</v>
      </c>
      <c r="AH10" s="123">
        <v>2</v>
      </c>
      <c r="AI10" s="123">
        <v>50</v>
      </c>
    </row>
    <row r="11">
      <c r="A11" s="105">
        <v>46267</v>
      </c>
      <c r="B11" s="108" t="s">
        <v>211</v>
      </c>
      <c r="C11" s="107" t="s">
        <v>209</v>
      </c>
      <c r="D11" s="126">
        <v>5</v>
      </c>
      <c r="E11" s="115">
        <v>19</v>
      </c>
      <c r="F11" s="115">
        <v>24</v>
      </c>
      <c r="G11" s="132">
        <v>53487.28999999999</v>
      </c>
      <c r="H11" s="132">
        <v>19609.879999999997</v>
      </c>
      <c r="I11" s="112">
        <f t="shared" si="62"/>
      </c>
      <c r="J11" s="113">
        <f t="shared" si="0"/>
      </c>
      <c r="K11" s="113">
        <f t="shared" si="198"/>
      </c>
      <c r="L11" s="114">
        <f t="shared" si="124"/>
      </c>
      <c r="M11" s="108" t="s">
        <v>215</v>
      </c>
      <c r="N11" s="108">
        <v>10</v>
      </c>
      <c r="O11" s="108"/>
      <c r="P11" s="117"/>
      <c r="Q11" s="118"/>
      <c r="R11" s="119"/>
      <c r="S11" s="120">
        <f t="shared" si="64"/>
      </c>
      <c r="T11" s="121">
        <f t="shared" si="2"/>
      </c>
      <c r="U11" s="122">
        <f t="shared" si="200"/>
      </c>
      <c r="V11" s="122">
        <f t="shared" si="139"/>
      </c>
      <c r="W11" s="122">
        <f t="shared" si="94"/>
      </c>
      <c r="X11" s="123">
        <f t="shared" si="32"/>
      </c>
      <c r="Y11" s="122">
        <f t="shared" si="230"/>
      </c>
      <c r="Z11" s="124">
        <v>57</v>
      </c>
      <c r="AA11" s="125">
        <f t="shared" si="169"/>
      </c>
      <c r="AB11" s="123">
        <v>3363</v>
      </c>
      <c r="AC11" s="123">
        <v>3634</v>
      </c>
      <c r="AD11" s="123">
        <v>418</v>
      </c>
      <c r="AE11" s="123">
        <v>107</v>
      </c>
      <c r="AF11" s="123">
        <v>433</v>
      </c>
      <c r="AG11" s="123">
        <v>31</v>
      </c>
      <c r="AH11" s="123">
        <v>10</v>
      </c>
      <c r="AI11" s="123">
        <v>84</v>
      </c>
    </row>
    <row r="12">
      <c r="A12" s="105">
        <v>46267</v>
      </c>
      <c r="B12" s="106" t="s">
        <v>204</v>
      </c>
      <c r="C12" s="107" t="s">
        <v>212</v>
      </c>
      <c r="D12" s="126">
        <v>5</v>
      </c>
      <c r="E12" s="115">
        <v>9</v>
      </c>
      <c r="F12" s="115">
        <v>13</v>
      </c>
      <c r="G12" s="133">
        <v>31311.379999999997</v>
      </c>
      <c r="H12" s="134">
        <v>6519.14</v>
      </c>
      <c r="I12" s="113">
        <f t="shared" si="62"/>
      </c>
      <c r="J12" s="113">
        <f t="shared" si="0"/>
      </c>
      <c r="K12" s="114">
        <f t="shared" si="198"/>
      </c>
      <c r="L12" s="114">
        <f t="shared" si="124"/>
      </c>
      <c r="M12" s="118" t="s">
        <v>213</v>
      </c>
      <c r="N12" s="108">
        <v>2</v>
      </c>
      <c r="O12" s="108"/>
      <c r="P12" s="117"/>
      <c r="Q12" s="118"/>
      <c r="R12" s="119"/>
      <c r="S12" s="120">
        <f t="shared" si="64"/>
      </c>
      <c r="T12" s="121">
        <f t="shared" si="2"/>
      </c>
      <c r="U12" s="122">
        <f t="shared" si="200"/>
      </c>
      <c r="V12" s="122">
        <f t="shared" si="139"/>
      </c>
      <c r="W12" s="122">
        <f t="shared" si="94"/>
      </c>
      <c r="X12" s="123">
        <f t="shared" si="32"/>
      </c>
      <c r="Y12" s="122">
        <f t="shared" si="230"/>
      </c>
      <c r="Z12" s="124">
        <v>57</v>
      </c>
      <c r="AA12" s="125">
        <f t="shared" si="169"/>
      </c>
      <c r="AB12" s="123">
        <v>87674</v>
      </c>
      <c r="AC12" s="123">
        <v>1979</v>
      </c>
      <c r="AD12" s="123">
        <v>2225</v>
      </c>
      <c r="AE12" s="123">
        <v>228</v>
      </c>
      <c r="AF12" s="123">
        <v>218</v>
      </c>
      <c r="AG12" s="123">
        <v>16</v>
      </c>
      <c r="AH12" s="123">
        <v>2</v>
      </c>
      <c r="AI12" s="123">
        <v>41</v>
      </c>
    </row>
    <row r="13">
      <c r="A13" s="135">
        <v>46267</v>
      </c>
      <c r="B13" s="136" t="s">
        <v>214</v>
      </c>
      <c r="C13" s="137"/>
      <c r="D13" s="137">
        <f>SUM(D8:D12)</f>
      </c>
      <c r="E13" s="137">
        <f>SUM(E8:E12)</f>
      </c>
      <c r="F13" s="137">
        <f>SUM(F8:F12)</f>
      </c>
      <c r="G13" s="138">
        <f>SUM(G8:G12)</f>
      </c>
      <c r="H13" s="138">
        <f>SUM(H8:H12)</f>
      </c>
      <c r="I13" s="139">
        <f t="shared" si="62"/>
      </c>
      <c r="J13" s="139">
        <f t="shared" si="0"/>
      </c>
      <c r="K13" s="139">
        <f t="shared" si="198"/>
      </c>
      <c r="L13" s="139"/>
      <c r="M13" s="137"/>
      <c r="N13" s="140">
        <f>SUM(N8:N12)</f>
      </c>
      <c r="O13" s="140"/>
      <c r="P13" s="137"/>
      <c r="Q13" s="137"/>
      <c r="R13" s="137"/>
      <c r="S13" s="141">
        <f>AVERAGE(S8:S12)</f>
      </c>
      <c r="T13" s="142">
        <f>AVERAGE(T8:T12)</f>
      </c>
      <c r="U13" s="142">
        <f>AVERAGE(U8:U12)</f>
      </c>
      <c r="V13" s="142">
        <f>AVERAGE(V8:V12)</f>
      </c>
      <c r="W13" s="142">
        <f>AVERAGE(W8:W12)</f>
      </c>
      <c r="X13" s="143">
        <f>SUM(X8:X12)</f>
      </c>
      <c r="Y13" s="142">
        <f>AVERAGE(Y8:Y12)</f>
      </c>
      <c r="Z13" s="143"/>
      <c r="AA13" s="144">
        <f>AVERAGE(AA8:AA12)</f>
      </c>
      <c r="AB13" s="143">
        <f>SUM(AB8:AB12)</f>
      </c>
      <c r="AC13" s="143">
        <f>SUM(AC8:AC12)</f>
      </c>
      <c r="AD13" s="143">
        <f>SUM(AD8:AD12)</f>
      </c>
      <c r="AE13" s="143">
        <f>SUM(AE8:AE12)</f>
      </c>
      <c r="AF13" s="143">
        <f>SUM(AF8:AF12)</f>
      </c>
      <c r="AG13" s="143">
        <f>SUM(AG8:AG12)</f>
      </c>
      <c r="AH13" s="143">
        <f>SUM(AH8:AH12)</f>
      </c>
      <c r="AI13" s="143">
        <f>SUM(AI8:AI12)</f>
      </c>
    </row>
    <row r="14">
      <c r="A14" s="105">
        <v>46268</v>
      </c>
      <c r="B14" s="106" t="s">
        <v>208</v>
      </c>
      <c r="C14" s="107" t="s">
        <v>202</v>
      </c>
      <c r="D14" s="108">
        <v>4</v>
      </c>
      <c r="E14" s="109">
        <v>12</v>
      </c>
      <c r="F14" s="109">
        <v>17</v>
      </c>
      <c r="G14" s="110">
        <v>39682.86</v>
      </c>
      <c r="H14" s="111">
        <v>12570.75</v>
      </c>
      <c r="I14" s="112">
        <f t="shared" si="62"/>
      </c>
      <c r="J14" s="113">
        <f t="shared" si="0"/>
      </c>
      <c r="K14" s="114">
        <f t="shared" si="198"/>
      </c>
      <c r="L14" s="114">
        <f t="shared" ref="L14:L18" si="125">H14/D14</f>
      </c>
      <c r="M14" s="115" t="s">
        <v>203</v>
      </c>
      <c r="N14" s="116">
        <v>10</v>
      </c>
      <c r="O14" s="116"/>
      <c r="P14" s="117"/>
      <c r="Q14" s="118"/>
      <c r="R14" s="119"/>
      <c r="S14" s="120">
        <f t="shared" ref="S14:S18" si="65">H14/AC14</f>
      </c>
      <c r="T14" s="121">
        <f t="shared" ref="T14:T18" si="3">X14/AB14*1</f>
      </c>
      <c r="U14" s="122">
        <f t="shared" ref="U14:U18" si="201">AC14/AB14</f>
      </c>
      <c r="V14" s="122">
        <f t="shared" ref="V14:V18" si="140">AD14/AB14</f>
      </c>
      <c r="W14" s="122">
        <f t="shared" ref="W14:W18" si="95">AF14/AD14</f>
      </c>
      <c r="X14" s="123">
        <f t="shared" ref="X14:X18" si="33">AE14/Y14</f>
      </c>
      <c r="Y14" s="122">
        <f t="shared" ref="Y14:Y18" si="231">AE14/AD14</f>
      </c>
      <c r="Z14" s="124">
        <v>42.25</v>
      </c>
      <c r="AA14" s="125">
        <f t="shared" ref="AA14:AA18" si="170">(H14/AB14)*1000</f>
      </c>
      <c r="AB14" s="123">
        <v>132201</v>
      </c>
      <c r="AC14" s="123">
        <v>2988</v>
      </c>
      <c r="AD14" s="123">
        <v>3202</v>
      </c>
      <c r="AE14" s="123">
        <v>504</v>
      </c>
      <c r="AF14" s="124">
        <v>242</v>
      </c>
      <c r="AG14" s="123">
        <v>25</v>
      </c>
      <c r="AH14" s="123">
        <v>9</v>
      </c>
      <c r="AI14" s="123">
        <v>104</v>
      </c>
    </row>
    <row r="15">
      <c r="A15" s="105">
        <v>46268</v>
      </c>
      <c r="B15" s="106" t="s">
        <v>206</v>
      </c>
      <c r="C15" s="107" t="s">
        <v>205</v>
      </c>
      <c r="D15" s="126">
        <v>4</v>
      </c>
      <c r="E15" s="108">
        <v>15</v>
      </c>
      <c r="F15" s="108">
        <v>19</v>
      </c>
      <c r="G15" s="120">
        <v>43612.99</v>
      </c>
      <c r="H15" s="127">
        <v>14529.77</v>
      </c>
      <c r="I15" s="112">
        <f t="shared" si="62"/>
      </c>
      <c r="J15" s="113">
        <f t="shared" si="0"/>
      </c>
      <c r="K15" s="113">
        <f t="shared" si="198"/>
      </c>
      <c r="L15" s="114">
        <f t="shared" si="125"/>
      </c>
      <c r="M15" s="128"/>
      <c r="N15" s="129"/>
      <c r="O15" s="129"/>
      <c r="P15" s="117"/>
      <c r="Q15" s="118"/>
      <c r="R15" s="119"/>
      <c r="S15" s="120">
        <f t="shared" si="65"/>
      </c>
      <c r="T15" s="121">
        <f t="shared" si="3"/>
      </c>
      <c r="U15" s="122">
        <f t="shared" si="201"/>
      </c>
      <c r="V15" s="122">
        <f t="shared" si="140"/>
      </c>
      <c r="W15" s="122">
        <f t="shared" si="95"/>
      </c>
      <c r="X15" s="123">
        <f t="shared" si="33"/>
      </c>
      <c r="Y15" s="122">
        <f t="shared" si="231"/>
      </c>
      <c r="Z15" s="124">
        <v>49</v>
      </c>
      <c r="AA15" s="125">
        <f t="shared" si="170"/>
      </c>
      <c r="AB15" s="123">
        <v>87466</v>
      </c>
      <c r="AC15" s="123">
        <v>1789</v>
      </c>
      <c r="AD15" s="123">
        <v>1911</v>
      </c>
      <c r="AE15" s="123">
        <v>345</v>
      </c>
      <c r="AF15" s="124">
        <v>237</v>
      </c>
      <c r="AG15" s="124">
        <v>19</v>
      </c>
      <c r="AH15" s="123">
        <v>5</v>
      </c>
      <c r="AI15" s="123">
        <v>35</v>
      </c>
    </row>
    <row r="16">
      <c r="A16" s="105">
        <v>46268</v>
      </c>
      <c r="B16" s="108" t="s">
        <v>204</v>
      </c>
      <c r="C16" s="107" t="s">
        <v>207</v>
      </c>
      <c r="D16" s="126">
        <v>4</v>
      </c>
      <c r="E16" s="108">
        <v>12</v>
      </c>
      <c r="F16" s="108">
        <v>21</v>
      </c>
      <c r="G16" s="130">
        <v>49913.990000000005</v>
      </c>
      <c r="H16" s="131">
        <v>14093.27</v>
      </c>
      <c r="I16" s="112">
        <f t="shared" si="62"/>
      </c>
      <c r="J16" s="113">
        <f t="shared" si="0"/>
      </c>
      <c r="K16" s="113">
        <f t="shared" si="198"/>
      </c>
      <c r="L16" s="114">
        <f t="shared" si="125"/>
      </c>
      <c r="M16" s="128"/>
      <c r="N16" s="129"/>
      <c r="O16" s="129"/>
      <c r="P16" s="117"/>
      <c r="Q16" s="118"/>
      <c r="R16" s="119"/>
      <c r="S16" s="120">
        <f t="shared" si="65"/>
      </c>
      <c r="T16" s="121">
        <f t="shared" si="3"/>
      </c>
      <c r="U16" s="122">
        <f t="shared" si="201"/>
      </c>
      <c r="V16" s="122">
        <f t="shared" si="140"/>
      </c>
      <c r="W16" s="122">
        <f t="shared" si="95"/>
      </c>
      <c r="X16" s="123">
        <f t="shared" si="33"/>
      </c>
      <c r="Y16" s="122">
        <f t="shared" si="231"/>
      </c>
      <c r="Z16" s="124">
        <v>52</v>
      </c>
      <c r="AA16" s="125">
        <f t="shared" si="170"/>
      </c>
      <c r="AB16" s="123">
        <v>97858</v>
      </c>
      <c r="AC16" s="123">
        <v>1603</v>
      </c>
      <c r="AD16" s="123">
        <v>1692</v>
      </c>
      <c r="AE16" s="123">
        <v>365</v>
      </c>
      <c r="AF16" s="124">
        <v>292</v>
      </c>
      <c r="AG16" s="123">
        <v>17</v>
      </c>
      <c r="AH16" s="123">
        <v>4</v>
      </c>
      <c r="AI16" s="123">
        <v>63</v>
      </c>
    </row>
    <row r="17">
      <c r="A17" s="105">
        <v>46268</v>
      </c>
      <c r="B17" s="108" t="s">
        <v>201</v>
      </c>
      <c r="C17" s="107" t="s">
        <v>209</v>
      </c>
      <c r="D17" s="126">
        <v>5</v>
      </c>
      <c r="E17" s="115">
        <v>24</v>
      </c>
      <c r="F17" s="115">
        <v>25</v>
      </c>
      <c r="G17" s="132">
        <v>65158.15999999999</v>
      </c>
      <c r="H17" s="132">
        <v>18564.65</v>
      </c>
      <c r="I17" s="112">
        <f t="shared" si="62"/>
      </c>
      <c r="J17" s="113">
        <f t="shared" si="0"/>
      </c>
      <c r="K17" s="113">
        <f t="shared" si="198"/>
      </c>
      <c r="L17" s="114">
        <f t="shared" si="125"/>
      </c>
      <c r="M17" s="108" t="s">
        <v>215</v>
      </c>
      <c r="N17" s="108">
        <v>10</v>
      </c>
      <c r="O17" s="108"/>
      <c r="P17" s="117"/>
      <c r="Q17" s="118"/>
      <c r="R17" s="119"/>
      <c r="S17" s="120">
        <f t="shared" si="65"/>
      </c>
      <c r="T17" s="121">
        <f t="shared" si="3"/>
      </c>
      <c r="U17" s="122">
        <f t="shared" si="201"/>
      </c>
      <c r="V17" s="122">
        <f t="shared" si="140"/>
      </c>
      <c r="W17" s="122">
        <f t="shared" si="95"/>
      </c>
      <c r="X17" s="123">
        <f t="shared" si="33"/>
      </c>
      <c r="Y17" s="122">
        <f t="shared" si="231"/>
      </c>
      <c r="Z17" s="124">
        <v>50</v>
      </c>
      <c r="AA17" s="125">
        <f t="shared" si="170"/>
      </c>
      <c r="AB17" s="123">
        <v>153971</v>
      </c>
      <c r="AC17" s="123">
        <v>3563</v>
      </c>
      <c r="AD17" s="123">
        <v>3799</v>
      </c>
      <c r="AE17" s="123">
        <v>460</v>
      </c>
      <c r="AF17" s="123">
        <v>274</v>
      </c>
      <c r="AG17" s="123">
        <v>28</v>
      </c>
      <c r="AH17" s="123">
        <v>6</v>
      </c>
      <c r="AI17" s="123">
        <v>67</v>
      </c>
    </row>
    <row r="18">
      <c r="A18" s="105">
        <v>46268</v>
      </c>
      <c r="B18" s="106" t="s">
        <v>211</v>
      </c>
      <c r="C18" s="107" t="s">
        <v>212</v>
      </c>
      <c r="D18" s="126">
        <v>5</v>
      </c>
      <c r="E18" s="115">
        <v>14</v>
      </c>
      <c r="F18" s="115">
        <v>13</v>
      </c>
      <c r="G18" s="133">
        <v>29259.969999999998</v>
      </c>
      <c r="H18" s="134">
        <v>7940.24</v>
      </c>
      <c r="I18" s="113">
        <f t="shared" si="62"/>
      </c>
      <c r="J18" s="113">
        <f t="shared" si="0"/>
      </c>
      <c r="K18" s="114">
        <f t="shared" si="198"/>
      </c>
      <c r="L18" s="114">
        <f t="shared" si="125"/>
      </c>
      <c r="M18" s="118" t="s">
        <v>213</v>
      </c>
      <c r="N18" s="108">
        <v>2</v>
      </c>
      <c r="O18" s="108"/>
      <c r="P18" s="117"/>
      <c r="Q18" s="118"/>
      <c r="R18" s="119"/>
      <c r="S18" s="120">
        <f t="shared" si="65"/>
      </c>
      <c r="T18" s="121">
        <f t="shared" si="3"/>
      </c>
      <c r="U18" s="122">
        <f t="shared" si="201"/>
      </c>
      <c r="V18" s="122">
        <f t="shared" si="140"/>
      </c>
      <c r="W18" s="122">
        <f t="shared" si="95"/>
      </c>
      <c r="X18" s="123">
        <f t="shared" si="33"/>
      </c>
      <c r="Y18" s="122">
        <f t="shared" si="231"/>
      </c>
      <c r="Z18" s="124">
        <v>55</v>
      </c>
      <c r="AA18" s="125">
        <f t="shared" si="170"/>
      </c>
      <c r="AB18" s="123">
        <v>91774</v>
      </c>
      <c r="AC18" s="123">
        <v>2363</v>
      </c>
      <c r="AD18" s="123">
        <v>2615</v>
      </c>
      <c r="AE18" s="123">
        <v>286</v>
      </c>
      <c r="AF18" s="123">
        <v>214</v>
      </c>
      <c r="AG18" s="123">
        <v>37</v>
      </c>
      <c r="AH18" s="123">
        <v>6</v>
      </c>
      <c r="AI18" s="123">
        <v>75</v>
      </c>
    </row>
    <row r="19">
      <c r="A19" s="135">
        <v>46268</v>
      </c>
      <c r="B19" s="136" t="s">
        <v>214</v>
      </c>
      <c r="C19" s="137"/>
      <c r="D19" s="137">
        <f>SUM(D14:D18)</f>
      </c>
      <c r="E19" s="137">
        <f>SUM(E14:E18)</f>
      </c>
      <c r="F19" s="137">
        <f>SUM(F14:F18)</f>
      </c>
      <c r="G19" s="138">
        <f>SUM(G14:G18)</f>
      </c>
      <c r="H19" s="138">
        <f>SUM(H14:H18)</f>
      </c>
      <c r="I19" s="139">
        <f t="shared" si="62"/>
      </c>
      <c r="J19" s="139">
        <f t="shared" si="0"/>
      </c>
      <c r="K19" s="139">
        <f t="shared" si="198"/>
      </c>
      <c r="L19" s="139"/>
      <c r="M19" s="137"/>
      <c r="N19" s="140">
        <f>SUM(N14:N18)</f>
      </c>
      <c r="O19" s="140"/>
      <c r="P19" s="137"/>
      <c r="Q19" s="137"/>
      <c r="R19" s="137"/>
      <c r="S19" s="141">
        <f>AVERAGE(S14:S18)</f>
      </c>
      <c r="T19" s="142">
        <f>AVERAGE(T14:T18)</f>
      </c>
      <c r="U19" s="142">
        <f>AVERAGE(U14:U18)</f>
      </c>
      <c r="V19" s="142">
        <f>AVERAGE(V14:V18)</f>
      </c>
      <c r="W19" s="142">
        <f>AVERAGE(W14:W18)</f>
      </c>
      <c r="X19" s="143">
        <f>SUM(X14:X18)</f>
      </c>
      <c r="Y19" s="142">
        <f>AVERAGE(Y14:Y18)</f>
      </c>
      <c r="Z19" s="143"/>
      <c r="AA19" s="144">
        <f>AVERAGE(AA14:AA18)</f>
      </c>
      <c r="AB19" s="143">
        <f>SUM(AB14:AB18)</f>
      </c>
      <c r="AC19" s="143">
        <f>SUM(AC14:AC18)</f>
      </c>
      <c r="AD19" s="143">
        <f>SUM(AD14:AD18)</f>
      </c>
      <c r="AE19" s="143">
        <f>SUM(AE14:AE18)</f>
      </c>
      <c r="AF19" s="143">
        <f>SUM(AF14:AF18)</f>
      </c>
      <c r="AG19" s="143">
        <f>SUM(AG14:AG18)</f>
      </c>
      <c r="AH19" s="143">
        <f>SUM(AH14:AH18)</f>
      </c>
      <c r="AI19" s="143">
        <f>SUM(AI14:AI18)</f>
      </c>
    </row>
    <row r="20">
      <c r="A20" s="105">
        <v>46269</v>
      </c>
      <c r="B20" s="106" t="s">
        <v>208</v>
      </c>
      <c r="C20" s="107" t="s">
        <v>202</v>
      </c>
      <c r="D20" s="108">
        <v>4</v>
      </c>
      <c r="E20" s="109">
        <v>13</v>
      </c>
      <c r="F20" s="109">
        <v>16</v>
      </c>
      <c r="G20" s="110">
        <v>38584.28</v>
      </c>
      <c r="H20" s="111">
        <v>20398.18</v>
      </c>
      <c r="I20" s="112">
        <f t="shared" si="62"/>
      </c>
      <c r="J20" s="113">
        <f t="shared" si="0"/>
      </c>
      <c r="K20" s="114">
        <f t="shared" si="198"/>
      </c>
      <c r="L20" s="114">
        <f t="shared" ref="L20:L24" si="126">H20/D20</f>
      </c>
      <c r="M20" s="115" t="s">
        <v>203</v>
      </c>
      <c r="N20" s="116">
        <v>10</v>
      </c>
      <c r="O20" s="116"/>
      <c r="P20" s="117"/>
      <c r="Q20" s="118"/>
      <c r="R20" s="119"/>
      <c r="S20" s="120">
        <f t="shared" ref="S20:S24" si="66">H20/AC20</f>
      </c>
      <c r="T20" s="121">
        <f t="shared" ref="T20:T24" si="4">X20/AB20*1</f>
      </c>
      <c r="U20" s="122">
        <f t="shared" ref="U20:U24" si="202">AC20/AB20</f>
      </c>
      <c r="V20" s="122">
        <f t="shared" ref="V20:V24" si="141">AD20/AB20</f>
      </c>
      <c r="W20" s="122">
        <f t="shared" ref="W20:W24" si="96">AF20/AD20</f>
      </c>
      <c r="X20" s="123">
        <f t="shared" ref="X20:X24" si="34">AE20/Y20</f>
      </c>
      <c r="Y20" s="122">
        <f t="shared" ref="Y20:Y24" si="232">AE20/AD20</f>
      </c>
      <c r="Z20" s="124">
        <v>44.5</v>
      </c>
      <c r="AA20" s="125">
        <f t="shared" ref="AA20:AA24" si="171">(H20/AB20)*1000</f>
      </c>
      <c r="AB20" s="123">
        <v>183716</v>
      </c>
      <c r="AC20" s="123">
        <v>4167</v>
      </c>
      <c r="AD20" s="123">
        <v>4388</v>
      </c>
      <c r="AE20" s="123">
        <v>806</v>
      </c>
      <c r="AF20" s="124">
        <v>365</v>
      </c>
      <c r="AG20" s="123">
        <v>44</v>
      </c>
      <c r="AH20" s="123">
        <v>9</v>
      </c>
      <c r="AI20" s="123">
        <v>176</v>
      </c>
    </row>
    <row r="21">
      <c r="A21" s="105">
        <v>46269</v>
      </c>
      <c r="B21" s="106" t="s">
        <v>204</v>
      </c>
      <c r="C21" s="107" t="s">
        <v>205</v>
      </c>
      <c r="D21" s="126">
        <v>4</v>
      </c>
      <c r="E21" s="108">
        <v>16</v>
      </c>
      <c r="F21" s="108">
        <v>21</v>
      </c>
      <c r="G21" s="120">
        <v>51156.46999999999</v>
      </c>
      <c r="H21" s="127">
        <v>16894.27</v>
      </c>
      <c r="I21" s="112">
        <f t="shared" si="62"/>
      </c>
      <c r="J21" s="113">
        <f t="shared" si="0"/>
      </c>
      <c r="K21" s="113">
        <f t="shared" si="198"/>
      </c>
      <c r="L21" s="114">
        <f t="shared" si="126"/>
      </c>
      <c r="M21" s="128"/>
      <c r="N21" s="129"/>
      <c r="O21" s="129"/>
      <c r="P21" s="117"/>
      <c r="Q21" s="118"/>
      <c r="R21" s="119"/>
      <c r="S21" s="120">
        <f t="shared" si="66"/>
      </c>
      <c r="T21" s="121">
        <f t="shared" si="4"/>
      </c>
      <c r="U21" s="122">
        <f t="shared" si="202"/>
      </c>
      <c r="V21" s="122">
        <f t="shared" si="141"/>
      </c>
      <c r="W21" s="122">
        <f t="shared" si="96"/>
      </c>
      <c r="X21" s="123">
        <f t="shared" si="34"/>
      </c>
      <c r="Y21" s="122">
        <f t="shared" si="232"/>
      </c>
      <c r="Z21" s="124">
        <v>53</v>
      </c>
      <c r="AA21" s="125">
        <f t="shared" si="171"/>
      </c>
      <c r="AB21" s="123">
        <v>117944</v>
      </c>
      <c r="AC21" s="123">
        <v>2733</v>
      </c>
      <c r="AD21" s="123">
        <v>2850</v>
      </c>
      <c r="AE21" s="123">
        <v>520</v>
      </c>
      <c r="AF21" s="124">
        <v>280</v>
      </c>
      <c r="AG21" s="124">
        <v>28</v>
      </c>
      <c r="AH21" s="123">
        <v>3</v>
      </c>
      <c r="AI21" s="123">
        <v>83</v>
      </c>
    </row>
    <row r="22">
      <c r="A22" s="105">
        <v>46269</v>
      </c>
      <c r="B22" s="108" t="s">
        <v>201</v>
      </c>
      <c r="C22" s="107" t="s">
        <v>207</v>
      </c>
      <c r="D22" s="126">
        <v>4</v>
      </c>
      <c r="E22" s="108">
        <v>7</v>
      </c>
      <c r="F22" s="108">
        <v>10</v>
      </c>
      <c r="G22" s="130">
        <v>35212.34</v>
      </c>
      <c r="H22" s="131">
        <v>12124.690000000002</v>
      </c>
      <c r="I22" s="112">
        <f t="shared" si="62"/>
      </c>
      <c r="J22" s="113">
        <f t="shared" si="0"/>
      </c>
      <c r="K22" s="113">
        <f t="shared" si="198"/>
      </c>
      <c r="L22" s="114">
        <f t="shared" si="126"/>
      </c>
      <c r="M22" s="128"/>
      <c r="N22" s="129"/>
      <c r="O22" s="129"/>
      <c r="P22" s="117"/>
      <c r="Q22" s="118"/>
      <c r="R22" s="119"/>
      <c r="S22" s="120">
        <f t="shared" si="66"/>
      </c>
      <c r="T22" s="121">
        <f t="shared" si="4"/>
      </c>
      <c r="U22" s="122">
        <f t="shared" si="202"/>
      </c>
      <c r="V22" s="122">
        <f t="shared" si="141"/>
      </c>
      <c r="W22" s="122">
        <f t="shared" si="96"/>
      </c>
      <c r="X22" s="123">
        <f t="shared" si="34"/>
      </c>
      <c r="Y22" s="122">
        <f t="shared" si="232"/>
      </c>
      <c r="Z22" s="124">
        <v>52.25</v>
      </c>
      <c r="AA22" s="125">
        <f t="shared" si="171"/>
      </c>
      <c r="AB22" s="123">
        <v>83985</v>
      </c>
      <c r="AC22" s="123">
        <v>1985</v>
      </c>
      <c r="AD22" s="123">
        <v>2134</v>
      </c>
      <c r="AE22" s="123">
        <v>421</v>
      </c>
      <c r="AF22" s="124">
        <v>261</v>
      </c>
      <c r="AG22" s="123">
        <v>22</v>
      </c>
      <c r="AH22" s="123">
        <v>3</v>
      </c>
      <c r="AI22" s="123">
        <v>66</v>
      </c>
    </row>
    <row r="23">
      <c r="A23" s="105">
        <v>46269</v>
      </c>
      <c r="B23" s="108" t="s">
        <v>211</v>
      </c>
      <c r="C23" s="107" t="s">
        <v>209</v>
      </c>
      <c r="D23" s="126">
        <v>5</v>
      </c>
      <c r="E23" s="115">
        <v>24</v>
      </c>
      <c r="F23" s="115">
        <v>27</v>
      </c>
      <c r="G23" s="132">
        <v>63623.259999999995</v>
      </c>
      <c r="H23" s="132">
        <v>19593.54</v>
      </c>
      <c r="I23" s="112">
        <f t="shared" si="62"/>
      </c>
      <c r="J23" s="113">
        <f t="shared" si="0"/>
      </c>
      <c r="K23" s="113">
        <f t="shared" si="198"/>
      </c>
      <c r="L23" s="114">
        <f t="shared" si="126"/>
      </c>
      <c r="M23" s="108" t="s">
        <v>215</v>
      </c>
      <c r="N23" s="108">
        <v>10</v>
      </c>
      <c r="O23" s="108"/>
      <c r="P23" s="117"/>
      <c r="Q23" s="118"/>
      <c r="R23" s="119"/>
      <c r="S23" s="120">
        <f t="shared" si="66"/>
      </c>
      <c r="T23" s="121">
        <f t="shared" si="4"/>
      </c>
      <c r="U23" s="122">
        <f t="shared" si="202"/>
      </c>
      <c r="V23" s="122">
        <f t="shared" si="141"/>
      </c>
      <c r="W23" s="122">
        <f t="shared" si="96"/>
      </c>
      <c r="X23" s="123">
        <f t="shared" si="34"/>
      </c>
      <c r="Y23" s="122">
        <f t="shared" si="232"/>
      </c>
      <c r="Z23" s="124">
        <v>53.2</v>
      </c>
      <c r="AA23" s="125">
        <f t="shared" si="171"/>
      </c>
      <c r="AB23" s="123">
        <v>154652</v>
      </c>
      <c r="AC23" s="123">
        <v>2669</v>
      </c>
      <c r="AD23" s="123">
        <v>2866</v>
      </c>
      <c r="AE23" s="123">
        <v>583</v>
      </c>
      <c r="AF23" s="123">
        <v>405</v>
      </c>
      <c r="AG23" s="123">
        <v>25</v>
      </c>
      <c r="AH23" s="123">
        <v>6</v>
      </c>
      <c r="AI23" s="123">
        <v>120</v>
      </c>
    </row>
    <row r="24">
      <c r="A24" s="105">
        <v>46269</v>
      </c>
      <c r="B24" s="106" t="s">
        <v>206</v>
      </c>
      <c r="C24" s="107" t="s">
        <v>212</v>
      </c>
      <c r="D24" s="126">
        <v>5</v>
      </c>
      <c r="E24" s="115">
        <v>17</v>
      </c>
      <c r="F24" s="115">
        <v>17</v>
      </c>
      <c r="G24" s="133">
        <v>37779.91</v>
      </c>
      <c r="H24" s="134">
        <v>10080.25</v>
      </c>
      <c r="I24" s="113">
        <f t="shared" si="62"/>
      </c>
      <c r="J24" s="113">
        <f t="shared" si="0"/>
      </c>
      <c r="K24" s="114">
        <f t="shared" si="198"/>
      </c>
      <c r="L24" s="114">
        <f t="shared" si="126"/>
      </c>
      <c r="M24" s="108" t="s">
        <v>216</v>
      </c>
      <c r="N24" s="108">
        <v>2</v>
      </c>
      <c r="O24" s="108"/>
      <c r="P24" s="117"/>
      <c r="Q24" s="118"/>
      <c r="R24" s="119"/>
      <c r="S24" s="120">
        <f t="shared" si="66"/>
      </c>
      <c r="T24" s="121">
        <f t="shared" si="4"/>
      </c>
      <c r="U24" s="122">
        <f t="shared" si="202"/>
      </c>
      <c r="V24" s="122">
        <f t="shared" si="141"/>
      </c>
      <c r="W24" s="122">
        <f t="shared" si="96"/>
      </c>
      <c r="X24" s="123">
        <f t="shared" si="34"/>
      </c>
      <c r="Y24" s="122">
        <f t="shared" si="232"/>
      </c>
      <c r="Z24" s="124">
        <v>57</v>
      </c>
      <c r="AA24" s="125">
        <f t="shared" si="171"/>
      </c>
      <c r="AB24" s="123">
        <v>126196</v>
      </c>
      <c r="AC24" s="123">
        <v>2705</v>
      </c>
      <c r="AD24" s="123">
        <v>3047</v>
      </c>
      <c r="AE24" s="123">
        <v>441</v>
      </c>
      <c r="AF24" s="123">
        <v>339</v>
      </c>
      <c r="AG24" s="123">
        <v>27</v>
      </c>
      <c r="AH24" s="123">
        <v>6</v>
      </c>
      <c r="AI24" s="123">
        <v>114</v>
      </c>
    </row>
    <row r="25">
      <c r="A25" s="135">
        <v>46269</v>
      </c>
      <c r="B25" s="136" t="s">
        <v>214</v>
      </c>
      <c r="C25" s="137"/>
      <c r="D25" s="137">
        <f>SUM(D20:D24)</f>
      </c>
      <c r="E25" s="137">
        <f>SUM(E20:E24)</f>
      </c>
      <c r="F25" s="137">
        <f>SUM(F20:F24)</f>
      </c>
      <c r="G25" s="138">
        <f>SUM(G20:G24)</f>
      </c>
      <c r="H25" s="138">
        <f>SUM(H20:H24)</f>
      </c>
      <c r="I25" s="139">
        <f t="shared" si="62"/>
      </c>
      <c r="J25" s="139">
        <f t="shared" si="0"/>
      </c>
      <c r="K25" s="139">
        <f t="shared" si="198"/>
      </c>
      <c r="L25" s="139"/>
      <c r="M25" s="137"/>
      <c r="N25" s="140">
        <f>SUM(N20:N24)</f>
      </c>
      <c r="O25" s="140"/>
      <c r="P25" s="137"/>
      <c r="Q25" s="137"/>
      <c r="R25" s="137"/>
      <c r="S25" s="141">
        <f>AVERAGE(S20:S24)</f>
      </c>
      <c r="T25" s="142">
        <f>AVERAGE(T20:T24)</f>
      </c>
      <c r="U25" s="142">
        <f>AVERAGE(U20:U24)</f>
      </c>
      <c r="V25" s="142">
        <f>AVERAGE(V20:V24)</f>
      </c>
      <c r="W25" s="142">
        <f>AVERAGE(W20:W24)</f>
      </c>
      <c r="X25" s="143">
        <f>SUM(X20:X24)</f>
      </c>
      <c r="Y25" s="142">
        <f>AVERAGE(Y20:Y24)</f>
      </c>
      <c r="Z25" s="143"/>
      <c r="AA25" s="144">
        <f>AVERAGE(AA20:AA24)</f>
      </c>
      <c r="AB25" s="143">
        <f>SUM(AB20:AB24)</f>
      </c>
      <c r="AC25" s="143">
        <f>SUM(AC20:AC24)</f>
      </c>
      <c r="AD25" s="143">
        <f>SUM(AD20:AD24)</f>
      </c>
      <c r="AE25" s="143">
        <f>SUM(AE20:AE24)</f>
      </c>
      <c r="AF25" s="143">
        <f>SUM(AF20:AF24)</f>
      </c>
      <c r="AG25" s="143">
        <f>SUM(AG20:AG24)</f>
      </c>
      <c r="AH25" s="143">
        <f>SUM(AH20:AH24)</f>
      </c>
      <c r="AI25" s="143">
        <f>SUM(AI20:AI24)</f>
      </c>
    </row>
    <row r="26">
      <c r="A26" s="105">
        <v>46270</v>
      </c>
      <c r="B26" s="106" t="s">
        <v>208</v>
      </c>
      <c r="C26" s="107" t="s">
        <v>202</v>
      </c>
      <c r="D26" s="108">
        <v>4</v>
      </c>
      <c r="E26" s="109">
        <v>18</v>
      </c>
      <c r="F26" s="109">
        <v>24</v>
      </c>
      <c r="G26" s="110">
        <v>60217.420000000006</v>
      </c>
      <c r="H26" s="111">
        <v>19240.33</v>
      </c>
      <c r="I26" s="112">
        <f t="shared" si="62"/>
      </c>
      <c r="J26" s="113">
        <f t="shared" si="0"/>
      </c>
      <c r="K26" s="114">
        <f t="shared" si="198"/>
      </c>
      <c r="L26" s="114">
        <f t="shared" ref="L26:L30" si="127">H26/D26</f>
      </c>
      <c r="M26" s="115" t="s">
        <v>217</v>
      </c>
      <c r="N26" s="116">
        <v>10</v>
      </c>
      <c r="O26" s="116"/>
      <c r="P26" s="117"/>
      <c r="Q26" s="118"/>
      <c r="R26" s="119"/>
      <c r="S26" s="120">
        <f t="shared" ref="S26:S30" si="67">H26/AC26</f>
      </c>
      <c r="T26" s="121">
        <f t="shared" ref="T26:T30" si="5">X26/AB26*1</f>
      </c>
      <c r="U26" s="122">
        <f t="shared" ref="U26:U30" si="203">AC26/AB26</f>
      </c>
      <c r="V26" s="122">
        <f t="shared" ref="V26:V30" si="142">AD26/AB26</f>
      </c>
      <c r="W26" s="122">
        <f t="shared" ref="W26:W30" si="97">AF26/AD26</f>
      </c>
      <c r="X26" s="123">
        <f t="shared" ref="X26:X30" si="35">AE26/Y26</f>
      </c>
      <c r="Y26" s="122">
        <f t="shared" ref="Y26:Y30" si="233">AE26/AD26</f>
      </c>
      <c r="Z26" s="124">
        <v>49.5</v>
      </c>
      <c r="AA26" s="125">
        <f t="shared" ref="AA26:AA30" si="172">(H26/AB26)*1000</f>
      </c>
      <c r="AB26" s="123">
        <v>188709</v>
      </c>
      <c r="AC26" s="123">
        <v>3987</v>
      </c>
      <c r="AD26" s="123">
        <v>4245</v>
      </c>
      <c r="AE26" s="123">
        <v>896</v>
      </c>
      <c r="AF26" s="124">
        <v>393</v>
      </c>
      <c r="AG26" s="123">
        <v>34</v>
      </c>
      <c r="AH26" s="123">
        <v>4</v>
      </c>
      <c r="AI26" s="123">
        <v>231</v>
      </c>
    </row>
    <row r="27">
      <c r="A27" s="105">
        <v>46270</v>
      </c>
      <c r="B27" s="106" t="s">
        <v>201</v>
      </c>
      <c r="C27" s="107" t="s">
        <v>205</v>
      </c>
      <c r="D27" s="126">
        <v>4</v>
      </c>
      <c r="E27" s="108">
        <v>10</v>
      </c>
      <c r="F27" s="108">
        <v>12</v>
      </c>
      <c r="G27" s="120">
        <v>28938.219999999987</v>
      </c>
      <c r="H27" s="127">
        <v>12784.16</v>
      </c>
      <c r="I27" s="112">
        <f t="shared" si="62"/>
      </c>
      <c r="J27" s="113">
        <f t="shared" si="0"/>
      </c>
      <c r="K27" s="113">
        <f t="shared" si="198"/>
      </c>
      <c r="L27" s="114">
        <f t="shared" si="127"/>
      </c>
      <c r="M27" s="128"/>
      <c r="N27" s="129"/>
      <c r="O27" s="129"/>
      <c r="P27" s="117"/>
      <c r="Q27" s="118"/>
      <c r="R27" s="119"/>
      <c r="S27" s="120">
        <f t="shared" si="67"/>
      </c>
      <c r="T27" s="121">
        <f t="shared" si="5"/>
      </c>
      <c r="U27" s="122">
        <f t="shared" si="203"/>
      </c>
      <c r="V27" s="122">
        <f t="shared" si="142"/>
      </c>
      <c r="W27" s="122">
        <f t="shared" si="97"/>
      </c>
      <c r="X27" s="123">
        <f t="shared" si="35"/>
      </c>
      <c r="Y27" s="122">
        <f t="shared" si="233"/>
      </c>
      <c r="Z27" s="124">
        <v>55.75</v>
      </c>
      <c r="AA27" s="125">
        <f t="shared" si="172"/>
      </c>
      <c r="AB27" s="123">
        <v>77439</v>
      </c>
      <c r="AC27" s="123">
        <v>1601</v>
      </c>
      <c r="AD27" s="123">
        <v>1781</v>
      </c>
      <c r="AE27" s="123">
        <v>328</v>
      </c>
      <c r="AF27" s="124">
        <v>191</v>
      </c>
      <c r="AG27" s="124">
        <v>11</v>
      </c>
      <c r="AH27" s="123">
        <v>3</v>
      </c>
      <c r="AI27" s="123">
        <v>48</v>
      </c>
    </row>
    <row r="28">
      <c r="A28" s="105">
        <v>46270</v>
      </c>
      <c r="B28" s="106" t="s">
        <v>204</v>
      </c>
      <c r="C28" s="107" t="s">
        <v>207</v>
      </c>
      <c r="D28" s="126">
        <v>4</v>
      </c>
      <c r="E28" s="108">
        <v>12</v>
      </c>
      <c r="F28" s="108">
        <v>13</v>
      </c>
      <c r="G28" s="130">
        <v>39734.79000000001</v>
      </c>
      <c r="H28" s="131">
        <v>12016.2</v>
      </c>
      <c r="I28" s="112">
        <f t="shared" si="62"/>
      </c>
      <c r="J28" s="113">
        <f t="shared" si="0"/>
      </c>
      <c r="K28" s="113">
        <f t="shared" si="198"/>
      </c>
      <c r="L28" s="114">
        <f t="shared" si="127"/>
      </c>
      <c r="M28" s="128"/>
      <c r="N28" s="129"/>
      <c r="O28" s="129"/>
      <c r="P28" s="117"/>
      <c r="Q28" s="118"/>
      <c r="R28" s="119"/>
      <c r="S28" s="120">
        <f t="shared" si="67"/>
      </c>
      <c r="T28" s="121">
        <f t="shared" si="5"/>
      </c>
      <c r="U28" s="122">
        <f t="shared" si="203"/>
      </c>
      <c r="V28" s="122">
        <f t="shared" si="142"/>
      </c>
      <c r="W28" s="122">
        <f t="shared" si="97"/>
      </c>
      <c r="X28" s="123">
        <f t="shared" si="35"/>
      </c>
      <c r="Y28" s="122">
        <f t="shared" si="233"/>
      </c>
      <c r="Z28" s="124">
        <v>48</v>
      </c>
      <c r="AA28" s="125">
        <f t="shared" si="172"/>
      </c>
      <c r="AB28" s="123">
        <v>81833</v>
      </c>
      <c r="AC28" s="123">
        <v>1916</v>
      </c>
      <c r="AD28" s="123">
        <v>2121</v>
      </c>
      <c r="AE28" s="123">
        <v>283</v>
      </c>
      <c r="AF28" s="124">
        <v>347</v>
      </c>
      <c r="AG28" s="123">
        <v>19</v>
      </c>
      <c r="AH28" s="123">
        <v>2</v>
      </c>
      <c r="AI28" s="123">
        <v>44</v>
      </c>
    </row>
    <row r="29">
      <c r="A29" s="105">
        <v>46270</v>
      </c>
      <c r="B29" s="108" t="s">
        <v>211</v>
      </c>
      <c r="C29" s="107" t="s">
        <v>209</v>
      </c>
      <c r="D29" s="126">
        <v>5</v>
      </c>
      <c r="E29" s="115">
        <v>27</v>
      </c>
      <c r="F29" s="115">
        <v>30</v>
      </c>
      <c r="G29" s="132">
        <v>69324.62</v>
      </c>
      <c r="H29" s="132">
        <v>17539.78</v>
      </c>
      <c r="I29" s="112">
        <f t="shared" si="62"/>
      </c>
      <c r="J29" s="113">
        <f t="shared" si="0"/>
      </c>
      <c r="K29" s="113">
        <f t="shared" si="198"/>
      </c>
      <c r="L29" s="114">
        <f t="shared" si="127"/>
      </c>
      <c r="M29" s="108" t="s">
        <v>215</v>
      </c>
      <c r="N29" s="108">
        <v>10</v>
      </c>
      <c r="O29" s="108"/>
      <c r="P29" s="117"/>
      <c r="Q29" s="118"/>
      <c r="R29" s="119"/>
      <c r="S29" s="120">
        <f t="shared" si="67"/>
      </c>
      <c r="T29" s="121">
        <f t="shared" si="5"/>
      </c>
      <c r="U29" s="122">
        <f t="shared" si="203"/>
      </c>
      <c r="V29" s="122">
        <f t="shared" si="142"/>
      </c>
      <c r="W29" s="122">
        <f t="shared" si="97"/>
      </c>
      <c r="X29" s="123">
        <f t="shared" si="35"/>
      </c>
      <c r="Y29" s="122">
        <f t="shared" si="233"/>
      </c>
      <c r="Z29" s="124">
        <v>42</v>
      </c>
      <c r="AA29" s="125">
        <f t="shared" si="172"/>
      </c>
      <c r="AB29" s="123">
        <v>136870</v>
      </c>
      <c r="AC29" s="123">
        <v>3383</v>
      </c>
      <c r="AD29" s="123">
        <v>3664</v>
      </c>
      <c r="AE29" s="123">
        <v>454</v>
      </c>
      <c r="AF29" s="123">
        <v>434</v>
      </c>
      <c r="AG29" s="123">
        <v>21</v>
      </c>
      <c r="AH29" s="123">
        <v>10</v>
      </c>
      <c r="AI29" s="123">
        <v>58</v>
      </c>
    </row>
    <row r="30">
      <c r="A30" s="105">
        <v>46270</v>
      </c>
      <c r="B30" s="106" t="s">
        <v>206</v>
      </c>
      <c r="C30" s="107" t="s">
        <v>212</v>
      </c>
      <c r="D30" s="126">
        <v>5</v>
      </c>
      <c r="E30" s="115">
        <v>9</v>
      </c>
      <c r="F30" s="115">
        <v>11</v>
      </c>
      <c r="G30" s="133">
        <v>22995.78</v>
      </c>
      <c r="H30" s="134">
        <v>8168.65</v>
      </c>
      <c r="I30" s="113">
        <f t="shared" si="62"/>
      </c>
      <c r="J30" s="113">
        <f t="shared" si="0"/>
      </c>
      <c r="K30" s="114">
        <f t="shared" si="198"/>
      </c>
      <c r="L30" s="114">
        <f t="shared" si="127"/>
      </c>
      <c r="M30" s="108" t="s">
        <v>216</v>
      </c>
      <c r="N30" s="108">
        <v>2</v>
      </c>
      <c r="O30" s="108"/>
      <c r="P30" s="117"/>
      <c r="Q30" s="118"/>
      <c r="R30" s="119"/>
      <c r="S30" s="120">
        <f t="shared" si="67"/>
      </c>
      <c r="T30" s="121">
        <f t="shared" si="5"/>
      </c>
      <c r="U30" s="122">
        <f t="shared" si="203"/>
      </c>
      <c r="V30" s="122">
        <f t="shared" si="142"/>
      </c>
      <c r="W30" s="122">
        <f t="shared" si="97"/>
      </c>
      <c r="X30" s="123">
        <f t="shared" si="35"/>
      </c>
      <c r="Y30" s="122">
        <f t="shared" si="233"/>
      </c>
      <c r="Z30" s="124">
        <v>48</v>
      </c>
      <c r="AA30" s="125">
        <f t="shared" si="172"/>
      </c>
      <c r="AB30" s="123">
        <v>105488</v>
      </c>
      <c r="AC30" s="123">
        <v>2519</v>
      </c>
      <c r="AD30" s="123">
        <v>2873</v>
      </c>
      <c r="AE30" s="123">
        <v>278</v>
      </c>
      <c r="AF30" s="123">
        <v>254</v>
      </c>
      <c r="AG30" s="123">
        <v>19</v>
      </c>
      <c r="AH30" s="123">
        <v>3</v>
      </c>
      <c r="AI30" s="123">
        <v>52</v>
      </c>
    </row>
    <row r="31">
      <c r="A31" s="135">
        <v>46270</v>
      </c>
      <c r="B31" s="136" t="s">
        <v>214</v>
      </c>
      <c r="C31" s="137"/>
      <c r="D31" s="137">
        <f>SUM(D26:D30)</f>
      </c>
      <c r="E31" s="137">
        <f>SUM(E26:E30)</f>
      </c>
      <c r="F31" s="137">
        <f>SUM(F26:F30)</f>
      </c>
      <c r="G31" s="138">
        <f>SUM(G26:G30)</f>
      </c>
      <c r="H31" s="138">
        <f>SUM(H26:H30)</f>
      </c>
      <c r="I31" s="139">
        <f t="shared" si="62"/>
      </c>
      <c r="J31" s="139">
        <f t="shared" si="0"/>
      </c>
      <c r="K31" s="139">
        <f t="shared" si="198"/>
      </c>
      <c r="L31" s="139"/>
      <c r="M31" s="137"/>
      <c r="N31" s="140">
        <f>SUM(N26:N30)</f>
      </c>
      <c r="O31" s="140"/>
      <c r="P31" s="137"/>
      <c r="Q31" s="137"/>
      <c r="R31" s="137"/>
      <c r="S31" s="141">
        <f>AVERAGE(S26:S30)</f>
      </c>
      <c r="T31" s="142">
        <f>AVERAGE(T26:T30)</f>
      </c>
      <c r="U31" s="142">
        <f>AVERAGE(U26:U30)</f>
      </c>
      <c r="V31" s="142">
        <f>AVERAGE(V26:V30)</f>
      </c>
      <c r="W31" s="142">
        <f>AVERAGE(W26:W30)</f>
      </c>
      <c r="X31" s="143">
        <f>SUM(X26:X30)</f>
      </c>
      <c r="Y31" s="142">
        <f>AVERAGE(Y26:Y30)</f>
      </c>
      <c r="Z31" s="143"/>
      <c r="AA31" s="144">
        <f>AVERAGE(AA26:AA30)</f>
      </c>
      <c r="AB31" s="143">
        <f>SUM(AB26:AB30)</f>
      </c>
      <c r="AC31" s="143">
        <f>SUM(AC26:AC30)</f>
      </c>
      <c r="AD31" s="143">
        <f>SUM(AD26:AD30)</f>
      </c>
      <c r="AE31" s="143">
        <f>SUM(AE26:AE30)</f>
      </c>
      <c r="AF31" s="143">
        <f>SUM(AF26:AF30)</f>
      </c>
      <c r="AG31" s="143">
        <f>SUM(AG26:AG30)</f>
      </c>
      <c r="AH31" s="143">
        <f>SUM(AH26:AH30)</f>
      </c>
      <c r="AI31" s="143">
        <f>SUM(AI26:AI30)</f>
      </c>
    </row>
    <row r="32">
      <c r="A32" s="105">
        <v>46271</v>
      </c>
      <c r="B32" s="106" t="s">
        <v>204</v>
      </c>
      <c r="C32" s="107" t="s">
        <v>202</v>
      </c>
      <c r="D32" s="108">
        <v>4</v>
      </c>
      <c r="E32" s="109">
        <v>11</v>
      </c>
      <c r="F32" s="109">
        <v>13</v>
      </c>
      <c r="G32" s="110">
        <v>30926.619999999995</v>
      </c>
      <c r="H32" s="111">
        <v>15936.240000000002</v>
      </c>
      <c r="I32" s="112">
        <f t="shared" si="62"/>
      </c>
      <c r="J32" s="113">
        <f t="shared" si="0"/>
      </c>
      <c r="K32" s="114">
        <f t="shared" si="198"/>
      </c>
      <c r="L32" s="114">
        <f t="shared" ref="L32:L36" si="128">H32/D32</f>
      </c>
      <c r="M32" s="115" t="s">
        <v>217</v>
      </c>
      <c r="N32" s="116">
        <v>10</v>
      </c>
      <c r="O32" s="116"/>
      <c r="P32" s="117"/>
      <c r="Q32" s="118"/>
      <c r="R32" s="119"/>
      <c r="S32" s="120">
        <f t="shared" ref="S32:S36" si="68">H32/AC32</f>
      </c>
      <c r="T32" s="121">
        <f t="shared" ref="T32:T36" si="6">X32/AB32*1</f>
      </c>
      <c r="U32" s="122">
        <f t="shared" ref="U32:U36" si="204">AC32/AB32</f>
      </c>
      <c r="V32" s="122">
        <f t="shared" ref="V32:V36" si="143">AD32/AB32</f>
      </c>
      <c r="W32" s="122">
        <f t="shared" ref="W32:W36" si="98">AF32/AD32</f>
      </c>
      <c r="X32" s="123">
        <f t="shared" ref="X32:X36" si="36">AE32/Y32</f>
      </c>
      <c r="Y32" s="122">
        <f t="shared" ref="Y32:Y36" si="234">AE32/AD32</f>
      </c>
      <c r="Z32" s="124">
        <v>43</v>
      </c>
      <c r="AA32" s="125">
        <f t="shared" ref="AA32:AA36" si="173">(H32/AB32)*1000</f>
      </c>
      <c r="AB32" s="123">
        <v>129421</v>
      </c>
      <c r="AC32" s="123">
        <v>3102</v>
      </c>
      <c r="AD32" s="123">
        <v>3402</v>
      </c>
      <c r="AE32" s="123">
        <v>533</v>
      </c>
      <c r="AF32" s="124">
        <v>259</v>
      </c>
      <c r="AG32" s="123">
        <v>25</v>
      </c>
      <c r="AH32" s="123">
        <v>5</v>
      </c>
      <c r="AI32" s="123">
        <v>83</v>
      </c>
    </row>
    <row r="33">
      <c r="A33" s="105">
        <v>46271</v>
      </c>
      <c r="B33" s="106" t="s">
        <v>218</v>
      </c>
      <c r="C33" s="107" t="s">
        <v>205</v>
      </c>
      <c r="D33" s="126">
        <v>4</v>
      </c>
      <c r="E33" s="108">
        <v>13</v>
      </c>
      <c r="F33" s="108">
        <v>17</v>
      </c>
      <c r="G33" s="120">
        <v>39536.44000000001</v>
      </c>
      <c r="H33" s="127">
        <v>12821.48</v>
      </c>
      <c r="I33" s="112">
        <f t="shared" si="62"/>
      </c>
      <c r="J33" s="113">
        <f t="shared" si="0"/>
      </c>
      <c r="K33" s="113">
        <f t="shared" si="198"/>
      </c>
      <c r="L33" s="114">
        <f t="shared" si="128"/>
      </c>
      <c r="M33" s="128"/>
      <c r="N33" s="129"/>
      <c r="O33" s="129"/>
      <c r="P33" s="117"/>
      <c r="Q33" s="118"/>
      <c r="R33" s="119"/>
      <c r="S33" s="120">
        <f t="shared" si="68"/>
      </c>
      <c r="T33" s="121">
        <f t="shared" si="6"/>
      </c>
      <c r="U33" s="122">
        <f t="shared" si="204"/>
      </c>
      <c r="V33" s="122">
        <f t="shared" si="143"/>
      </c>
      <c r="W33" s="122">
        <f t="shared" si="98"/>
      </c>
      <c r="X33" s="123">
        <f t="shared" si="36"/>
      </c>
      <c r="Y33" s="122">
        <f t="shared" si="234"/>
      </c>
      <c r="Z33" s="124">
        <v>50</v>
      </c>
      <c r="AA33" s="125">
        <f t="shared" si="173"/>
      </c>
      <c r="AB33" s="123">
        <v>93057</v>
      </c>
      <c r="AC33" s="123">
        <v>2355</v>
      </c>
      <c r="AD33" s="123">
        <v>2609</v>
      </c>
      <c r="AE33" s="123">
        <v>313</v>
      </c>
      <c r="AF33" s="124">
        <v>338</v>
      </c>
      <c r="AG33" s="124">
        <v>13</v>
      </c>
      <c r="AH33" s="123">
        <v>2</v>
      </c>
      <c r="AI33" s="123">
        <v>39</v>
      </c>
    </row>
    <row r="34">
      <c r="A34" s="105">
        <v>46271</v>
      </c>
      <c r="B34" s="106" t="s">
        <v>208</v>
      </c>
      <c r="C34" s="107" t="s">
        <v>207</v>
      </c>
      <c r="D34" s="126">
        <v>4</v>
      </c>
      <c r="E34" s="108">
        <v>9</v>
      </c>
      <c r="F34" s="115">
        <v>10</v>
      </c>
      <c r="G34" s="130">
        <v>30994.180000000004</v>
      </c>
      <c r="H34" s="131">
        <v>12427.57</v>
      </c>
      <c r="I34" s="112">
        <f t="shared" si="62"/>
      </c>
      <c r="J34" s="113">
        <f t="shared" si="0"/>
      </c>
      <c r="K34" s="113">
        <f t="shared" si="198"/>
      </c>
      <c r="L34" s="114">
        <f t="shared" si="128"/>
      </c>
      <c r="M34" s="128"/>
      <c r="N34" s="129"/>
      <c r="O34" s="129"/>
      <c r="P34" s="117"/>
      <c r="Q34" s="118"/>
      <c r="R34" s="119"/>
      <c r="S34" s="120">
        <f t="shared" si="68"/>
      </c>
      <c r="T34" s="121">
        <f t="shared" si="6"/>
      </c>
      <c r="U34" s="122">
        <f t="shared" si="204"/>
      </c>
      <c r="V34" s="122">
        <f t="shared" si="143"/>
      </c>
      <c r="W34" s="122">
        <f t="shared" si="98"/>
      </c>
      <c r="X34" s="123">
        <f t="shared" si="36"/>
      </c>
      <c r="Y34" s="122">
        <f t="shared" si="234"/>
      </c>
      <c r="Z34" s="124">
        <v>40</v>
      </c>
      <c r="AA34" s="125">
        <f t="shared" si="173"/>
      </c>
      <c r="AB34" s="123">
        <v>98752</v>
      </c>
      <c r="AC34" s="123">
        <v>2396</v>
      </c>
      <c r="AD34" s="123">
        <v>2722</v>
      </c>
      <c r="AE34" s="123">
        <v>331</v>
      </c>
      <c r="AF34" s="124">
        <v>194</v>
      </c>
      <c r="AG34" s="123">
        <v>19</v>
      </c>
      <c r="AH34" s="123">
        <v>5</v>
      </c>
      <c r="AI34" s="123">
        <v>54</v>
      </c>
    </row>
    <row r="35">
      <c r="A35" s="105">
        <v>46271</v>
      </c>
      <c r="B35" s="108" t="s">
        <v>201</v>
      </c>
      <c r="C35" s="107" t="s">
        <v>209</v>
      </c>
      <c r="D35" s="126">
        <v>5</v>
      </c>
      <c r="E35" s="115">
        <v>19</v>
      </c>
      <c r="F35" s="115">
        <v>27</v>
      </c>
      <c r="G35" s="130">
        <v>63804.52</v>
      </c>
      <c r="H35" s="132">
        <v>19430.98</v>
      </c>
      <c r="I35" s="112">
        <f t="shared" si="62"/>
      </c>
      <c r="J35" s="113">
        <f t="shared" si="0"/>
      </c>
      <c r="K35" s="113">
        <f t="shared" si="198"/>
      </c>
      <c r="L35" s="114">
        <f t="shared" si="128"/>
      </c>
      <c r="M35" s="108" t="s">
        <v>215</v>
      </c>
      <c r="N35" s="108">
        <v>10</v>
      </c>
      <c r="O35" s="108"/>
      <c r="P35" s="117"/>
      <c r="Q35" s="118"/>
      <c r="R35" s="119"/>
      <c r="S35" s="120">
        <f t="shared" si="68"/>
      </c>
      <c r="T35" s="121">
        <f t="shared" si="6"/>
      </c>
      <c r="U35" s="122">
        <f t="shared" si="204"/>
      </c>
      <c r="V35" s="122">
        <f t="shared" si="143"/>
      </c>
      <c r="W35" s="122">
        <f t="shared" si="98"/>
      </c>
      <c r="X35" s="123">
        <f t="shared" si="36"/>
      </c>
      <c r="Y35" s="122">
        <f t="shared" si="234"/>
      </c>
      <c r="Z35" s="124">
        <v>43</v>
      </c>
      <c r="AA35" s="125">
        <f t="shared" si="173"/>
      </c>
      <c r="AB35" s="123">
        <v>148126</v>
      </c>
      <c r="AC35" s="123">
        <v>4110</v>
      </c>
      <c r="AD35" s="123">
        <v>4500</v>
      </c>
      <c r="AE35" s="123">
        <v>577</v>
      </c>
      <c r="AF35" s="124">
        <v>316</v>
      </c>
      <c r="AG35" s="123">
        <v>28</v>
      </c>
      <c r="AH35" s="123">
        <v>17</v>
      </c>
      <c r="AI35" s="123">
        <v>91</v>
      </c>
    </row>
    <row r="36">
      <c r="A36" s="105">
        <v>46271</v>
      </c>
      <c r="B36" s="106" t="s">
        <v>211</v>
      </c>
      <c r="C36" s="107" t="s">
        <v>212</v>
      </c>
      <c r="D36" s="126">
        <v>5</v>
      </c>
      <c r="E36" s="115">
        <v>16</v>
      </c>
      <c r="F36" s="115">
        <v>19</v>
      </c>
      <c r="G36" s="133">
        <v>43989.68000000001</v>
      </c>
      <c r="H36" s="134">
        <v>8500.4</v>
      </c>
      <c r="I36" s="113">
        <f t="shared" si="62"/>
      </c>
      <c r="J36" s="113">
        <f t="shared" si="0"/>
      </c>
      <c r="K36" s="114">
        <f t="shared" si="198"/>
      </c>
      <c r="L36" s="114">
        <f t="shared" si="128"/>
      </c>
      <c r="M36" s="108" t="s">
        <v>216</v>
      </c>
      <c r="N36" s="108">
        <v>2</v>
      </c>
      <c r="O36" s="108"/>
      <c r="P36" s="117"/>
      <c r="Q36" s="118"/>
      <c r="R36" s="119"/>
      <c r="S36" s="120">
        <f t="shared" si="68"/>
      </c>
      <c r="T36" s="121">
        <f t="shared" si="6"/>
      </c>
      <c r="U36" s="122">
        <f t="shared" si="204"/>
      </c>
      <c r="V36" s="122">
        <f t="shared" si="143"/>
      </c>
      <c r="W36" s="122">
        <f t="shared" si="98"/>
      </c>
      <c r="X36" s="123">
        <f t="shared" si="36"/>
      </c>
      <c r="Y36" s="122">
        <f t="shared" si="234"/>
      </c>
      <c r="Z36" s="124">
        <v>49</v>
      </c>
      <c r="AA36" s="125">
        <f t="shared" si="173"/>
      </c>
      <c r="AB36" s="123">
        <v>120113</v>
      </c>
      <c r="AC36" s="123">
        <v>2730</v>
      </c>
      <c r="AD36" s="123">
        <v>3044</v>
      </c>
      <c r="AE36" s="123">
        <v>369</v>
      </c>
      <c r="AF36" s="123">
        <v>239</v>
      </c>
      <c r="AG36" s="123">
        <v>33</v>
      </c>
      <c r="AH36" s="123">
        <v>3</v>
      </c>
      <c r="AI36" s="123">
        <v>109</v>
      </c>
    </row>
    <row r="37">
      <c r="A37" s="135">
        <v>46271</v>
      </c>
      <c r="B37" s="136" t="s">
        <v>214</v>
      </c>
      <c r="C37" s="137"/>
      <c r="D37" s="137">
        <f>SUM(D32:D36)</f>
      </c>
      <c r="E37" s="137">
        <f>SUM(E32:E36)</f>
      </c>
      <c r="F37" s="137">
        <f>SUM(F32:F36)</f>
      </c>
      <c r="G37" s="138">
        <f>SUM(G32:G36)</f>
      </c>
      <c r="H37" s="138">
        <f>SUM(H32:H36)</f>
      </c>
      <c r="I37" s="139">
        <f t="shared" si="62"/>
      </c>
      <c r="J37" s="139">
        <f t="shared" si="0"/>
      </c>
      <c r="K37" s="139">
        <f t="shared" si="198"/>
      </c>
      <c r="L37" s="139"/>
      <c r="M37" s="137"/>
      <c r="N37" s="140">
        <f>SUM(N32:N36)</f>
      </c>
      <c r="O37" s="140"/>
      <c r="P37" s="137"/>
      <c r="Q37" s="137"/>
      <c r="R37" s="137"/>
      <c r="S37" s="141">
        <f>AVERAGE(S32:S36)</f>
      </c>
      <c r="T37" s="142">
        <f>AVERAGE(T32:T36)</f>
      </c>
      <c r="U37" s="142">
        <f>AVERAGE(U32:U36)</f>
      </c>
      <c r="V37" s="142">
        <f>AVERAGE(V32:V36)</f>
      </c>
      <c r="W37" s="142">
        <f>AVERAGE(W32:W36)</f>
      </c>
      <c r="X37" s="143">
        <f>SUM(X32:X36)</f>
      </c>
      <c r="Y37" s="142">
        <f>AVERAGE(Y32:Y36)</f>
      </c>
      <c r="Z37" s="143"/>
      <c r="AA37" s="144">
        <f>AVERAGE(AA32:AA36)</f>
      </c>
      <c r="AB37" s="143">
        <f>SUM(AB32:AB36)</f>
      </c>
      <c r="AC37" s="143">
        <f>SUM(AC32:AC36)</f>
      </c>
      <c r="AD37" s="143">
        <f>SUM(AD32:AD36)</f>
      </c>
      <c r="AE37" s="143">
        <f>SUM(AE32:AE36)</f>
      </c>
      <c r="AF37" s="143">
        <f>SUM(AF32:AF36)</f>
      </c>
      <c r="AG37" s="143">
        <f>SUM(AG32:AG36)</f>
      </c>
      <c r="AH37" s="143">
        <f>SUM(AH32:AH36)</f>
      </c>
      <c r="AI37" s="143">
        <f>SUM(AI32:AI36)</f>
      </c>
    </row>
    <row r="38">
      <c r="A38" s="105">
        <v>46272</v>
      </c>
      <c r="B38" s="106" t="s">
        <v>218</v>
      </c>
      <c r="C38" s="107" t="s">
        <v>202</v>
      </c>
      <c r="D38" s="108">
        <v>4</v>
      </c>
      <c r="E38" s="109">
        <v>12</v>
      </c>
      <c r="F38" s="109">
        <v>15</v>
      </c>
      <c r="G38" s="110">
        <v>38178.869999999995</v>
      </c>
      <c r="H38" s="111">
        <v>14957.73</v>
      </c>
      <c r="I38" s="112">
        <f t="shared" si="62"/>
      </c>
      <c r="J38" s="113">
        <f t="shared" si="0"/>
      </c>
      <c r="K38" s="114">
        <f t="shared" si="198"/>
      </c>
      <c r="L38" s="114">
        <f t="shared" ref="L38:L42" si="129">H38/D38</f>
      </c>
      <c r="M38" s="115" t="s">
        <v>217</v>
      </c>
      <c r="N38" s="116">
        <v>10</v>
      </c>
      <c r="O38" s="116"/>
      <c r="P38" s="117"/>
      <c r="Q38" s="118"/>
      <c r="R38" s="119"/>
      <c r="S38" s="120">
        <f t="shared" ref="S38:S42" si="69">H38/AC38</f>
      </c>
      <c r="T38" s="121">
        <f t="shared" ref="T38:T42" si="7">X38/AB38*1</f>
      </c>
      <c r="U38" s="122">
        <f t="shared" ref="U38:U42" si="205">AC38/AB38</f>
      </c>
      <c r="V38" s="122">
        <f t="shared" ref="V38:V42" si="144">AD38/AB38</f>
      </c>
      <c r="W38" s="122">
        <f t="shared" ref="W38:W42" si="99">AF38/AD38</f>
      </c>
      <c r="X38" s="123">
        <f t="shared" ref="X38:X42" si="37">AE38/Y38</f>
      </c>
      <c r="Y38" s="122">
        <f t="shared" ref="Y38:Y42" si="235">AE38/AD38</f>
      </c>
      <c r="Z38" s="124">
        <v>43</v>
      </c>
      <c r="AA38" s="125">
        <f t="shared" ref="AA38:AA42" si="174">(H38/AB38)*1000</f>
      </c>
      <c r="AB38" s="123">
        <v>133252</v>
      </c>
      <c r="AC38" s="123">
        <v>2757</v>
      </c>
      <c r="AD38" s="123">
        <v>3037</v>
      </c>
      <c r="AE38" s="123">
        <v>443</v>
      </c>
      <c r="AF38" s="124">
        <v>233</v>
      </c>
      <c r="AG38" s="123">
        <v>22</v>
      </c>
      <c r="AH38" s="123">
        <v>8</v>
      </c>
      <c r="AI38" s="123">
        <v>131</v>
      </c>
    </row>
    <row r="39">
      <c r="A39" s="105">
        <v>46272</v>
      </c>
      <c r="B39" s="106" t="s">
        <v>204</v>
      </c>
      <c r="C39" s="107" t="s">
        <v>205</v>
      </c>
      <c r="D39" s="126">
        <v>4</v>
      </c>
      <c r="E39" s="108">
        <v>15</v>
      </c>
      <c r="F39" s="108">
        <v>18</v>
      </c>
      <c r="G39" s="120">
        <v>43248.310000000005</v>
      </c>
      <c r="H39" s="127">
        <v>17534.66</v>
      </c>
      <c r="I39" s="112">
        <f t="shared" si="62"/>
      </c>
      <c r="J39" s="113">
        <f t="shared" si="0"/>
      </c>
      <c r="K39" s="113">
        <f t="shared" si="198"/>
      </c>
      <c r="L39" s="114">
        <f t="shared" si="129"/>
      </c>
      <c r="M39" s="128"/>
      <c r="N39" s="129"/>
      <c r="O39" s="129"/>
      <c r="P39" s="117"/>
      <c r="Q39" s="118"/>
      <c r="R39" s="119"/>
      <c r="S39" s="120">
        <f t="shared" si="69"/>
      </c>
      <c r="T39" s="121">
        <f t="shared" si="7"/>
      </c>
      <c r="U39" s="122">
        <f t="shared" si="205"/>
      </c>
      <c r="V39" s="122">
        <f t="shared" si="144"/>
      </c>
      <c r="W39" s="122">
        <f t="shared" si="99"/>
      </c>
      <c r="X39" s="123">
        <f t="shared" si="37"/>
      </c>
      <c r="Y39" s="122">
        <f t="shared" si="235"/>
      </c>
      <c r="Z39" s="124">
        <v>53</v>
      </c>
      <c r="AA39" s="125">
        <f t="shared" si="174"/>
      </c>
      <c r="AB39" s="123">
        <v>122577</v>
      </c>
      <c r="AC39" s="123">
        <v>2542</v>
      </c>
      <c r="AD39" s="123">
        <v>2800</v>
      </c>
      <c r="AE39" s="123">
        <v>463</v>
      </c>
      <c r="AF39" s="124">
        <v>359</v>
      </c>
      <c r="AG39" s="124">
        <v>21</v>
      </c>
      <c r="AH39" s="123">
        <v>7</v>
      </c>
      <c r="AI39" s="123">
        <v>99</v>
      </c>
    </row>
    <row r="40">
      <c r="A40" s="105">
        <v>46272</v>
      </c>
      <c r="B40" s="108" t="s">
        <v>201</v>
      </c>
      <c r="C40" s="107" t="s">
        <v>207</v>
      </c>
      <c r="D40" s="126">
        <v>4</v>
      </c>
      <c r="E40" s="108">
        <v>16</v>
      </c>
      <c r="F40" s="115">
        <v>17</v>
      </c>
      <c r="G40" s="130">
        <v>40154.44</v>
      </c>
      <c r="H40" s="131">
        <v>19113.010000000002</v>
      </c>
      <c r="I40" s="112">
        <f t="shared" si="62"/>
      </c>
      <c r="J40" s="113">
        <f t="shared" si="0"/>
      </c>
      <c r="K40" s="113">
        <f t="shared" si="198"/>
      </c>
      <c r="L40" s="114">
        <f t="shared" si="129"/>
      </c>
      <c r="M40" s="128"/>
      <c r="N40" s="129"/>
      <c r="O40" s="129"/>
      <c r="P40" s="117"/>
      <c r="Q40" s="118"/>
      <c r="R40" s="119"/>
      <c r="S40" s="120">
        <f t="shared" si="69"/>
      </c>
      <c r="T40" s="121">
        <f t="shared" si="7"/>
      </c>
      <c r="U40" s="122">
        <f t="shared" si="205"/>
      </c>
      <c r="V40" s="122">
        <f t="shared" si="144"/>
      </c>
      <c r="W40" s="122">
        <f t="shared" si="99"/>
      </c>
      <c r="X40" s="123">
        <f t="shared" si="37"/>
      </c>
      <c r="Y40" s="122">
        <f t="shared" si="235"/>
      </c>
      <c r="Z40" s="124">
        <v>49</v>
      </c>
      <c r="AA40" s="125">
        <f t="shared" si="174"/>
      </c>
      <c r="AB40" s="123">
        <v>139490</v>
      </c>
      <c r="AC40" s="123">
        <v>2805</v>
      </c>
      <c r="AD40" s="123">
        <v>3106</v>
      </c>
      <c r="AE40" s="123">
        <v>542</v>
      </c>
      <c r="AF40" s="124">
        <v>365</v>
      </c>
      <c r="AG40" s="123">
        <v>26</v>
      </c>
      <c r="AH40" s="123">
        <v>6</v>
      </c>
      <c r="AI40" s="123">
        <v>93</v>
      </c>
    </row>
    <row r="41">
      <c r="A41" s="105">
        <v>46272</v>
      </c>
      <c r="B41" s="108" t="s">
        <v>206</v>
      </c>
      <c r="C41" s="107" t="s">
        <v>209</v>
      </c>
      <c r="D41" s="126">
        <v>5</v>
      </c>
      <c r="E41" s="115">
        <v>12</v>
      </c>
      <c r="F41" s="115">
        <v>18</v>
      </c>
      <c r="G41" s="130">
        <v>38525.09</v>
      </c>
      <c r="H41" s="132">
        <v>16530.91</v>
      </c>
      <c r="I41" s="112">
        <f t="shared" si="62"/>
      </c>
      <c r="J41" s="113">
        <f t="shared" si="0"/>
      </c>
      <c r="K41" s="113">
        <f t="shared" si="198"/>
      </c>
      <c r="L41" s="114">
        <f t="shared" si="129"/>
      </c>
      <c r="M41" s="108" t="s">
        <v>215</v>
      </c>
      <c r="N41" s="108">
        <v>10</v>
      </c>
      <c r="O41" s="108"/>
      <c r="P41" s="117"/>
      <c r="Q41" s="118"/>
      <c r="R41" s="119"/>
      <c r="S41" s="120">
        <f t="shared" si="69"/>
      </c>
      <c r="T41" s="121">
        <f t="shared" si="7"/>
      </c>
      <c r="U41" s="122">
        <f t="shared" si="205"/>
      </c>
      <c r="V41" s="122">
        <f t="shared" si="144"/>
      </c>
      <c r="W41" s="122">
        <f t="shared" si="99"/>
      </c>
      <c r="X41" s="123">
        <f t="shared" si="37"/>
      </c>
      <c r="Y41" s="122">
        <f t="shared" si="235"/>
      </c>
      <c r="Z41" s="124">
        <v>51</v>
      </c>
      <c r="AA41" s="125">
        <f t="shared" si="174"/>
      </c>
      <c r="AB41" s="123">
        <v>114320</v>
      </c>
      <c r="AC41" s="123">
        <v>2081</v>
      </c>
      <c r="AD41" s="123">
        <v>2332</v>
      </c>
      <c r="AE41" s="123">
        <v>462</v>
      </c>
      <c r="AF41" s="124">
        <v>334</v>
      </c>
      <c r="AG41" s="123">
        <v>15</v>
      </c>
      <c r="AH41" s="123">
        <v>11</v>
      </c>
      <c r="AI41" s="123">
        <v>77</v>
      </c>
    </row>
    <row r="42">
      <c r="A42" s="105">
        <v>46272</v>
      </c>
      <c r="B42" s="106" t="s">
        <v>211</v>
      </c>
      <c r="C42" s="107" t="s">
        <v>212</v>
      </c>
      <c r="D42" s="126">
        <v>5</v>
      </c>
      <c r="E42" s="115">
        <v>14</v>
      </c>
      <c r="F42" s="115">
        <v>19</v>
      </c>
      <c r="G42" s="133">
        <v>29340.409999999993</v>
      </c>
      <c r="H42" s="134">
        <v>8509.55</v>
      </c>
      <c r="I42" s="113">
        <f t="shared" si="62"/>
      </c>
      <c r="J42" s="113">
        <f t="shared" si="0"/>
      </c>
      <c r="K42" s="114">
        <f t="shared" si="198"/>
      </c>
      <c r="L42" s="114">
        <f t="shared" si="129"/>
      </c>
      <c r="M42" s="108" t="s">
        <v>216</v>
      </c>
      <c r="N42" s="108">
        <v>2</v>
      </c>
      <c r="O42" s="108"/>
      <c r="P42" s="117"/>
      <c r="Q42" s="118"/>
      <c r="R42" s="119"/>
      <c r="S42" s="120">
        <f t="shared" si="69"/>
      </c>
      <c r="T42" s="121">
        <f t="shared" si="7"/>
      </c>
      <c r="U42" s="122">
        <f t="shared" si="205"/>
      </c>
      <c r="V42" s="122">
        <f t="shared" si="144"/>
      </c>
      <c r="W42" s="122">
        <f t="shared" si="99"/>
      </c>
      <c r="X42" s="123">
        <f t="shared" si="37"/>
      </c>
      <c r="Y42" s="122">
        <f t="shared" si="235"/>
      </c>
      <c r="Z42" s="124">
        <v>55</v>
      </c>
      <c r="AA42" s="125">
        <f t="shared" si="174"/>
      </c>
      <c r="AB42" s="123">
        <v>89768</v>
      </c>
      <c r="AC42" s="123">
        <v>1765</v>
      </c>
      <c r="AD42" s="123">
        <v>1956</v>
      </c>
      <c r="AE42" s="123">
        <v>366</v>
      </c>
      <c r="AF42" s="123">
        <v>227</v>
      </c>
      <c r="AG42" s="123">
        <v>21</v>
      </c>
      <c r="AH42" s="123">
        <v>3</v>
      </c>
      <c r="AI42" s="123">
        <v>101</v>
      </c>
    </row>
    <row r="43">
      <c r="A43" s="135">
        <v>46272</v>
      </c>
      <c r="B43" s="136" t="s">
        <v>214</v>
      </c>
      <c r="C43" s="137"/>
      <c r="D43" s="137">
        <f>SUM(D38:D42)</f>
      </c>
      <c r="E43" s="137">
        <f>SUM(E38:E42)</f>
      </c>
      <c r="F43" s="137">
        <f>SUM(F38:F42)</f>
      </c>
      <c r="G43" s="138">
        <f>SUM(G38:G42)</f>
      </c>
      <c r="H43" s="138">
        <f>SUM(H38:H42)</f>
      </c>
      <c r="I43" s="139">
        <f t="shared" si="62"/>
      </c>
      <c r="J43" s="139">
        <f t="shared" si="0"/>
      </c>
      <c r="K43" s="139">
        <f t="shared" si="198"/>
      </c>
      <c r="L43" s="139"/>
      <c r="M43" s="137"/>
      <c r="N43" s="140">
        <f>SUM(N38:N42)</f>
      </c>
      <c r="O43" s="140"/>
      <c r="P43" s="137"/>
      <c r="Q43" s="137"/>
      <c r="R43" s="137"/>
      <c r="S43" s="141">
        <f>AVERAGE(S38:S42)</f>
      </c>
      <c r="T43" s="142">
        <f>AVERAGE(T38:T42)</f>
      </c>
      <c r="U43" s="142">
        <f>AVERAGE(U38:U42)</f>
      </c>
      <c r="V43" s="142">
        <f>AVERAGE(V38:V42)</f>
      </c>
      <c r="W43" s="142">
        <f>AVERAGE(W38:W42)</f>
      </c>
      <c r="X43" s="143">
        <f>SUM(X38:X42)</f>
      </c>
      <c r="Y43" s="142">
        <f>AVERAGE(Y38:Y42)</f>
      </c>
      <c r="Z43" s="143"/>
      <c r="AA43" s="144">
        <f>AVERAGE(AA38:AA42)</f>
      </c>
      <c r="AB43" s="143">
        <f>SUM(AB38:AB42)</f>
      </c>
      <c r="AC43" s="143">
        <f>SUM(AC38:AC42)</f>
      </c>
      <c r="AD43" s="143">
        <f>SUM(AD38:AD42)</f>
      </c>
      <c r="AE43" s="143">
        <f>SUM(AE38:AE42)</f>
      </c>
      <c r="AF43" s="143">
        <f>SUM(AF38:AF42)</f>
      </c>
      <c r="AG43" s="143">
        <f>SUM(AG38:AG42)</f>
      </c>
      <c r="AH43" s="143">
        <f>SUM(AH38:AH42)</f>
      </c>
      <c r="AI43" s="143">
        <f>SUM(AI38:AI42)</f>
      </c>
    </row>
    <row r="44">
      <c r="A44" s="105">
        <v>46273</v>
      </c>
      <c r="B44" s="106" t="s">
        <v>218</v>
      </c>
      <c r="C44" s="107" t="s">
        <v>202</v>
      </c>
      <c r="D44" s="108">
        <v>4</v>
      </c>
      <c r="E44" s="109">
        <v>0</v>
      </c>
      <c r="F44" s="109">
        <v>19</v>
      </c>
      <c r="G44" s="110">
        <v>43300.09999999999</v>
      </c>
      <c r="H44" s="111">
        <v>12528.77</v>
      </c>
      <c r="I44" s="112">
        <f t="shared" si="62"/>
      </c>
      <c r="J44" s="113">
        <f t="shared" si="0"/>
      </c>
      <c r="K44" s="114">
        <f t="shared" si="198"/>
      </c>
      <c r="L44" s="114">
        <f t="shared" ref="L44:L47" si="130">H44/D44</f>
      </c>
      <c r="M44" s="115" t="s">
        <v>217</v>
      </c>
      <c r="N44" s="116">
        <v>10</v>
      </c>
      <c r="O44" s="116"/>
      <c r="P44" s="117"/>
      <c r="Q44" s="118"/>
      <c r="R44" s="119"/>
      <c r="S44" s="120">
        <f t="shared" ref="S44:S47" si="70">H44/AC44</f>
      </c>
      <c r="T44" s="121">
        <f t="shared" ref="T44:T47" si="8">X44/AB44*1</f>
      </c>
      <c r="U44" s="122">
        <f t="shared" ref="U44:U47" si="206">AC44/AB44</f>
      </c>
      <c r="V44" s="122">
        <f t="shared" ref="V44:V47" si="145">AD44/AB44</f>
      </c>
      <c r="W44" s="122">
        <f t="shared" ref="W44:W47" si="100">AF44/AD44</f>
      </c>
      <c r="X44" s="123">
        <f t="shared" ref="X44:X47" si="38">AE44/Y44</f>
      </c>
      <c r="Y44" s="122">
        <f t="shared" ref="Y44:Y47" si="236">AE44/AD44</f>
      </c>
      <c r="Z44" s="124">
        <v>49</v>
      </c>
      <c r="AA44" s="125">
        <f t="shared" ref="AA44:AA47" si="175">(H44/AB44)*1000</f>
      </c>
      <c r="AB44" s="123">
        <v>214941</v>
      </c>
      <c r="AC44" s="123">
        <v>2501</v>
      </c>
      <c r="AD44" s="123">
        <v>2782</v>
      </c>
      <c r="AE44" s="123">
        <v>513</v>
      </c>
      <c r="AF44" s="124">
        <v>251</v>
      </c>
      <c r="AG44" s="123">
        <v>21</v>
      </c>
      <c r="AH44" s="123">
        <v>8</v>
      </c>
      <c r="AI44" s="123">
        <v>114</v>
      </c>
    </row>
    <row r="45">
      <c r="A45" s="105">
        <v>46273</v>
      </c>
      <c r="B45" s="108" t="s">
        <v>201</v>
      </c>
      <c r="C45" s="107" t="s">
        <v>219</v>
      </c>
      <c r="D45" s="126">
        <v>5</v>
      </c>
      <c r="E45" s="108">
        <v>0</v>
      </c>
      <c r="F45" s="108">
        <v>20</v>
      </c>
      <c r="G45" s="120">
        <v>50304.58</v>
      </c>
      <c r="H45" s="127">
        <v>11167.339999999998</v>
      </c>
      <c r="I45" s="112">
        <f t="shared" si="62"/>
      </c>
      <c r="J45" s="113">
        <f t="shared" si="0"/>
      </c>
      <c r="K45" s="113">
        <f t="shared" si="198"/>
      </c>
      <c r="L45" s="114">
        <f t="shared" si="130"/>
      </c>
      <c r="M45" s="128"/>
      <c r="N45" s="129"/>
      <c r="O45" s="129"/>
      <c r="P45" s="117"/>
      <c r="Q45" s="118"/>
      <c r="R45" s="119"/>
      <c r="S45" s="120">
        <f t="shared" si="70"/>
      </c>
      <c r="T45" s="121">
        <f t="shared" si="8"/>
      </c>
      <c r="U45" s="122">
        <f t="shared" si="206"/>
      </c>
      <c r="V45" s="122">
        <f t="shared" si="145"/>
      </c>
      <c r="W45" s="122">
        <f t="shared" si="100"/>
      </c>
      <c r="X45" s="123">
        <f t="shared" si="38"/>
      </c>
      <c r="Y45" s="122">
        <f t="shared" si="236"/>
      </c>
      <c r="Z45" s="124">
        <v>66</v>
      </c>
      <c r="AA45" s="125">
        <f t="shared" si="175"/>
      </c>
      <c r="AB45" s="123">
        <v>77366</v>
      </c>
      <c r="AC45" s="123">
        <v>1550</v>
      </c>
      <c r="AD45" s="123">
        <v>1696</v>
      </c>
      <c r="AE45" s="123">
        <v>375</v>
      </c>
      <c r="AF45" s="124">
        <v>316</v>
      </c>
      <c r="AG45" s="124">
        <v>17</v>
      </c>
      <c r="AH45" s="123">
        <v>6</v>
      </c>
      <c r="AI45" s="123">
        <v>61</v>
      </c>
    </row>
    <row r="46">
      <c r="A46" s="105">
        <v>46273</v>
      </c>
      <c r="B46" s="108" t="s">
        <v>204</v>
      </c>
      <c r="C46" s="107" t="s">
        <v>220</v>
      </c>
      <c r="D46" s="126">
        <v>5</v>
      </c>
      <c r="E46" s="108">
        <v>0</v>
      </c>
      <c r="F46" s="115">
        <v>7</v>
      </c>
      <c r="G46" s="130">
        <v>20874.920000000006</v>
      </c>
      <c r="H46" s="131">
        <v>6701.169999999999</v>
      </c>
      <c r="I46" s="112">
        <f t="shared" si="62"/>
      </c>
      <c r="J46" s="113">
        <f t="shared" si="0"/>
      </c>
      <c r="K46" s="113">
        <f t="shared" si="198"/>
      </c>
      <c r="L46" s="114">
        <f t="shared" si="130"/>
      </c>
      <c r="M46" s="128" t="s">
        <v>221</v>
      </c>
      <c r="N46" s="129">
        <v>8</v>
      </c>
      <c r="O46" s="129"/>
      <c r="P46" s="117"/>
      <c r="Q46" s="118"/>
      <c r="R46" s="119"/>
      <c r="S46" s="120">
        <f t="shared" si="70"/>
      </c>
      <c r="T46" s="121">
        <f t="shared" si="8"/>
      </c>
      <c r="U46" s="122">
        <f t="shared" si="206"/>
      </c>
      <c r="V46" s="122">
        <f t="shared" si="145"/>
      </c>
      <c r="W46" s="122">
        <f t="shared" si="100"/>
      </c>
      <c r="X46" s="123">
        <f t="shared" si="38"/>
      </c>
      <c r="Y46" s="122">
        <f t="shared" si="236"/>
      </c>
      <c r="Z46" s="124">
        <v>58</v>
      </c>
      <c r="AA46" s="125">
        <f t="shared" si="175"/>
      </c>
      <c r="AB46" s="123">
        <v>46761</v>
      </c>
      <c r="AC46" s="123">
        <v>985</v>
      </c>
      <c r="AD46" s="123">
        <v>1075</v>
      </c>
      <c r="AE46" s="123">
        <v>198</v>
      </c>
      <c r="AF46" s="124">
        <v>253</v>
      </c>
      <c r="AG46" s="123">
        <v>17</v>
      </c>
      <c r="AH46" s="123">
        <v>4</v>
      </c>
      <c r="AI46" s="123">
        <v>15</v>
      </c>
    </row>
    <row r="47">
      <c r="A47" s="105">
        <v>46273</v>
      </c>
      <c r="B47" s="108" t="s">
        <v>206</v>
      </c>
      <c r="C47" s="107" t="s">
        <v>222</v>
      </c>
      <c r="D47" s="126">
        <v>4</v>
      </c>
      <c r="E47" s="115">
        <v>7</v>
      </c>
      <c r="F47" s="115">
        <v>11</v>
      </c>
      <c r="G47" s="130">
        <v>24579.829999999994</v>
      </c>
      <c r="H47" s="132">
        <v>6432.789999999999</v>
      </c>
      <c r="I47" s="112">
        <f t="shared" si="62"/>
      </c>
      <c r="J47" s="113">
        <f t="shared" si="0"/>
      </c>
      <c r="K47" s="113">
        <f t="shared" si="198"/>
      </c>
      <c r="L47" s="114">
        <f t="shared" si="130"/>
      </c>
      <c r="M47" s="108"/>
      <c r="N47" s="108"/>
      <c r="O47" s="108"/>
      <c r="P47" s="117"/>
      <c r="Q47" s="118"/>
      <c r="R47" s="119"/>
      <c r="S47" s="120">
        <f t="shared" si="70"/>
      </c>
      <c r="T47" s="121">
        <f t="shared" si="8"/>
      </c>
      <c r="U47" s="122">
        <f t="shared" si="206"/>
      </c>
      <c r="V47" s="122">
        <f t="shared" si="145"/>
      </c>
      <c r="W47" s="122">
        <f t="shared" si="100"/>
      </c>
      <c r="X47" s="123">
        <f t="shared" si="38"/>
      </c>
      <c r="Y47" s="122">
        <f t="shared" si="236"/>
      </c>
      <c r="Z47" s="124">
        <v>40</v>
      </c>
      <c r="AA47" s="125">
        <f t="shared" si="175"/>
      </c>
      <c r="AB47" s="123">
        <v>45021</v>
      </c>
      <c r="AC47" s="123">
        <v>1054</v>
      </c>
      <c r="AD47" s="123">
        <v>1158</v>
      </c>
      <c r="AE47" s="123">
        <v>194</v>
      </c>
      <c r="AF47" s="124">
        <v>195</v>
      </c>
      <c r="AG47" s="123">
        <v>10</v>
      </c>
      <c r="AH47" s="123">
        <v>4</v>
      </c>
      <c r="AI47" s="123">
        <v>22</v>
      </c>
    </row>
    <row r="48">
      <c r="A48" s="135">
        <v>46273</v>
      </c>
      <c r="B48" s="136" t="s">
        <v>214</v>
      </c>
      <c r="C48" s="137"/>
      <c r="D48" s="137">
        <f>SUM(D44:D47)</f>
      </c>
      <c r="E48" s="137">
        <f>SUM(E44:E47)</f>
      </c>
      <c r="F48" s="137">
        <f>SUM(F44:F47)</f>
      </c>
      <c r="G48" s="137">
        <f>SUM(G44:G47)</f>
      </c>
      <c r="H48" s="137">
        <f>SUM(H44:H47)</f>
      </c>
      <c r="I48" s="139">
        <f t="shared" si="62"/>
      </c>
      <c r="J48" s="139">
        <f t="shared" si="0"/>
      </c>
      <c r="K48" s="139">
        <f t="shared" si="198"/>
      </c>
      <c r="L48" s="139"/>
      <c r="M48" s="137"/>
      <c r="N48" s="140">
        <f>SUM(N44:N47)</f>
      </c>
      <c r="O48" s="140"/>
      <c r="P48" s="137"/>
      <c r="Q48" s="137"/>
      <c r="R48" s="137"/>
      <c r="S48" s="141">
        <f>AVERAGE(S44:S47)</f>
      </c>
      <c r="T48" s="142">
        <f>AVERAGE(T44:T47)</f>
      </c>
      <c r="U48" s="142">
        <f>AVERAGE(U44:U47)</f>
      </c>
      <c r="V48" s="142">
        <f>AVERAGE(V44:V47)</f>
      </c>
      <c r="W48" s="142">
        <f>AVERAGE(W44:W47)</f>
      </c>
      <c r="X48" s="143">
        <f>SUM(X44:X47)</f>
      </c>
      <c r="Y48" s="142">
        <f>AVERAGE(Y44:Y47)</f>
      </c>
      <c r="Z48" s="143"/>
      <c r="AA48" s="144">
        <f>AVERAGE(AA44:AA47)</f>
      </c>
      <c r="AB48" s="143">
        <f>SUM(AB44:AB47)</f>
      </c>
      <c r="AC48" s="143">
        <f>SUM(AC44:AC47)</f>
      </c>
      <c r="AD48" s="143">
        <f>SUM(AD44:AD47)</f>
      </c>
      <c r="AE48" s="143">
        <f>SUM(AE44:AE47)</f>
      </c>
      <c r="AF48" s="143">
        <f>SUM(AF44:AF47)</f>
      </c>
      <c r="AG48" s="143">
        <f>SUM(AG44:AG47)</f>
      </c>
      <c r="AH48" s="143">
        <f>SUM(AH44:AH47)</f>
      </c>
      <c r="AI48" s="143">
        <f>SUM(AI44:AI47)</f>
      </c>
    </row>
    <row r="49">
      <c r="A49" s="105">
        <v>46274</v>
      </c>
      <c r="B49" s="108" t="s">
        <v>206</v>
      </c>
      <c r="C49" s="107" t="s">
        <v>223</v>
      </c>
      <c r="D49" s="108">
        <v>1</v>
      </c>
      <c r="E49" s="109">
        <v>4</v>
      </c>
      <c r="F49" s="109">
        <v>4</v>
      </c>
      <c r="G49" s="110">
        <v>14420.85</v>
      </c>
      <c r="H49" s="111">
        <v>1609.49</v>
      </c>
      <c r="I49" s="112">
        <f t="shared" si="62"/>
      </c>
      <c r="J49" s="113">
        <f t="shared" si="0"/>
      </c>
      <c r="K49" s="114">
        <f t="shared" si="198"/>
      </c>
      <c r="L49" s="114">
        <f t="shared" ref="L49:L54" si="131">H49/D49</f>
      </c>
      <c r="M49" s="115" t="s">
        <v>216</v>
      </c>
      <c r="N49" s="116">
        <v>6</v>
      </c>
      <c r="O49" s="116"/>
      <c r="P49" s="117"/>
      <c r="Q49" s="118"/>
      <c r="R49" s="119"/>
      <c r="S49" s="120">
        <f t="shared" ref="S49:S54" si="71">H49/AC49</f>
      </c>
      <c r="T49" s="121">
        <f t="shared" ref="T49:T54" si="9">X49/AB49*1</f>
      </c>
      <c r="U49" s="122">
        <f t="shared" ref="U49:U54" si="207">AC49/AB49</f>
      </c>
      <c r="V49" s="122">
        <f t="shared" ref="V49:V54" si="146">AD49/AB49</f>
      </c>
      <c r="W49" s="122">
        <f t="shared" ref="W49:W54" si="101">AF49/AD49</f>
      </c>
      <c r="X49" s="123">
        <f t="shared" ref="X49:X54" si="39">AE49/Y49</f>
      </c>
      <c r="Y49" s="122">
        <f t="shared" ref="Y49:Y54" si="237">AE49/AD49</f>
      </c>
      <c r="Z49" s="124">
        <v>47</v>
      </c>
      <c r="AA49" s="125">
        <f t="shared" ref="AA49:AA54" si="176">(H49/AB49)*1000</f>
      </c>
      <c r="AB49" s="123">
        <v>17803</v>
      </c>
      <c r="AC49" s="123">
        <v>460</v>
      </c>
      <c r="AD49" s="123">
        <v>484</v>
      </c>
      <c r="AE49" s="123">
        <v>61</v>
      </c>
      <c r="AF49" s="124">
        <v>53</v>
      </c>
      <c r="AG49" s="123">
        <v>4</v>
      </c>
      <c r="AH49" s="123">
        <v>0</v>
      </c>
      <c r="AI49" s="123">
        <v>19</v>
      </c>
    </row>
    <row r="50">
      <c r="A50" s="105">
        <v>46274</v>
      </c>
      <c r="B50" s="108" t="s">
        <v>211</v>
      </c>
      <c r="C50" s="107" t="s">
        <v>224</v>
      </c>
      <c r="D50" s="126">
        <v>5</v>
      </c>
      <c r="E50" s="108">
        <v>3</v>
      </c>
      <c r="F50" s="108">
        <v>3</v>
      </c>
      <c r="G50" s="120">
        <v>6677.949999999999</v>
      </c>
      <c r="H50" s="127">
        <v>4089.6899999999996</v>
      </c>
      <c r="I50" s="112">
        <f t="shared" si="62"/>
      </c>
      <c r="J50" s="113">
        <f t="shared" si="0"/>
      </c>
      <c r="K50" s="113">
        <f t="shared" si="198"/>
      </c>
      <c r="L50" s="114">
        <f t="shared" si="131"/>
      </c>
      <c r="M50" s="128"/>
      <c r="N50" s="129"/>
      <c r="O50" s="129"/>
      <c r="P50" s="117"/>
      <c r="Q50" s="118"/>
      <c r="R50" s="119"/>
      <c r="S50" s="120">
        <f t="shared" si="71"/>
      </c>
      <c r="T50" s="121">
        <f t="shared" si="9"/>
      </c>
      <c r="U50" s="122">
        <f t="shared" si="207"/>
      </c>
      <c r="V50" s="122">
        <f t="shared" si="146"/>
      </c>
      <c r="W50" s="122">
        <f t="shared" si="101"/>
      </c>
      <c r="X50" s="123">
        <f t="shared" si="39"/>
      </c>
      <c r="Y50" s="122">
        <f t="shared" si="237"/>
      </c>
      <c r="Z50" s="124">
        <v>63.8</v>
      </c>
      <c r="AA50" s="125">
        <f t="shared" si="176"/>
      </c>
      <c r="AB50" s="123">
        <v>52881</v>
      </c>
      <c r="AC50" s="123">
        <v>1733</v>
      </c>
      <c r="AD50" s="123">
        <v>1924</v>
      </c>
      <c r="AE50" s="123">
        <v>180</v>
      </c>
      <c r="AF50" s="124">
        <v>131</v>
      </c>
      <c r="AG50" s="124">
        <v>20</v>
      </c>
      <c r="AH50" s="123">
        <v>4</v>
      </c>
      <c r="AI50" s="123">
        <v>50</v>
      </c>
    </row>
    <row r="51">
      <c r="A51" s="105">
        <v>46274</v>
      </c>
      <c r="B51" s="108" t="s">
        <v>218</v>
      </c>
      <c r="C51" s="107" t="s">
        <v>202</v>
      </c>
      <c r="D51" s="126">
        <v>4</v>
      </c>
      <c r="E51" s="108">
        <v>13</v>
      </c>
      <c r="F51" s="108">
        <v>16</v>
      </c>
      <c r="G51" s="120">
        <v>47007.700000000004</v>
      </c>
      <c r="H51" s="127">
        <v>7963.13</v>
      </c>
      <c r="I51" s="112">
        <f t="shared" si="62"/>
      </c>
      <c r="J51" s="113">
        <f t="shared" si="0"/>
      </c>
      <c r="K51" s="113">
        <f t="shared" si="198"/>
      </c>
      <c r="L51" s="114">
        <f t="shared" si="131"/>
      </c>
      <c r="M51" s="115" t="s">
        <v>217</v>
      </c>
      <c r="N51" s="116">
        <v>10</v>
      </c>
      <c r="O51" s="116"/>
      <c r="P51" s="117"/>
      <c r="Q51" s="118"/>
      <c r="R51" s="119"/>
      <c r="S51" s="120">
        <f t="shared" si="71"/>
      </c>
      <c r="T51" s="121">
        <f t="shared" si="9"/>
      </c>
      <c r="U51" s="122">
        <f t="shared" si="207"/>
      </c>
      <c r="V51" s="122">
        <f t="shared" si="146"/>
      </c>
      <c r="W51" s="122">
        <f t="shared" si="101"/>
      </c>
      <c r="X51" s="123">
        <f t="shared" si="39"/>
      </c>
      <c r="Y51" s="122">
        <f t="shared" si="237"/>
      </c>
      <c r="Z51" s="124">
        <v>67.25</v>
      </c>
      <c r="AA51" s="125">
        <f t="shared" si="176"/>
      </c>
      <c r="AB51" s="123">
        <v>62371</v>
      </c>
      <c r="AC51" s="123">
        <v>2161</v>
      </c>
      <c r="AD51" s="123">
        <v>2343</v>
      </c>
      <c r="AE51" s="123">
        <v>345</v>
      </c>
      <c r="AF51" s="124">
        <v>208</v>
      </c>
      <c r="AG51" s="124">
        <v>22</v>
      </c>
      <c r="AH51" s="123">
        <v>7</v>
      </c>
      <c r="AI51" s="123">
        <v>54</v>
      </c>
    </row>
    <row r="52">
      <c r="A52" s="105">
        <v>46274</v>
      </c>
      <c r="B52" s="108" t="s">
        <v>208</v>
      </c>
      <c r="C52" s="107" t="s">
        <v>219</v>
      </c>
      <c r="D52" s="126">
        <v>5</v>
      </c>
      <c r="E52" s="108">
        <v>12</v>
      </c>
      <c r="F52" s="108">
        <v>17</v>
      </c>
      <c r="G52" s="130">
        <v>45160.92999999999</v>
      </c>
      <c r="H52" s="127">
        <v>13803.21</v>
      </c>
      <c r="I52" s="112">
        <f t="shared" si="62"/>
      </c>
      <c r="J52" s="113">
        <f t="shared" si="0"/>
      </c>
      <c r="K52" s="113">
        <f t="shared" si="198"/>
      </c>
      <c r="L52" s="114">
        <f t="shared" si="131"/>
      </c>
      <c r="M52" s="128"/>
      <c r="N52" s="129"/>
      <c r="O52" s="129"/>
      <c r="P52" s="117"/>
      <c r="Q52" s="118"/>
      <c r="R52" s="119"/>
      <c r="S52" s="120">
        <f t="shared" si="71"/>
      </c>
      <c r="T52" s="121">
        <f t="shared" si="9"/>
      </c>
      <c r="U52" s="122">
        <f t="shared" si="207"/>
      </c>
      <c r="V52" s="122">
        <f t="shared" si="146"/>
      </c>
      <c r="W52" s="122">
        <f t="shared" si="101"/>
      </c>
      <c r="X52" s="123">
        <f t="shared" si="39"/>
      </c>
      <c r="Y52" s="122">
        <f t="shared" si="237"/>
      </c>
      <c r="Z52" s="124">
        <v>57.2</v>
      </c>
      <c r="AA52" s="125">
        <f t="shared" si="176"/>
      </c>
      <c r="AB52" s="123">
        <v>75772</v>
      </c>
      <c r="AC52" s="123">
        <v>1919</v>
      </c>
      <c r="AD52" s="123">
        <v>2039</v>
      </c>
      <c r="AE52" s="123">
        <v>406</v>
      </c>
      <c r="AF52" s="124">
        <v>279</v>
      </c>
      <c r="AG52" s="124">
        <v>21</v>
      </c>
      <c r="AH52" s="123">
        <v>3</v>
      </c>
      <c r="AI52" s="123">
        <v>40</v>
      </c>
    </row>
    <row r="53">
      <c r="A53" s="105">
        <v>46274</v>
      </c>
      <c r="B53" s="108" t="s">
        <v>204</v>
      </c>
      <c r="C53" s="107" t="s">
        <v>220</v>
      </c>
      <c r="D53" s="126">
        <v>5</v>
      </c>
      <c r="E53" s="108">
        <v>16</v>
      </c>
      <c r="F53" s="115">
        <v>17</v>
      </c>
      <c r="G53" s="130">
        <v>45720.70000000001</v>
      </c>
      <c r="H53" s="131">
        <v>12788.130000000001</v>
      </c>
      <c r="I53" s="112">
        <f t="shared" si="62"/>
      </c>
      <c r="J53" s="113">
        <f t="shared" si="0"/>
      </c>
      <c r="K53" s="113">
        <f t="shared" si="198"/>
      </c>
      <c r="L53" s="114">
        <f t="shared" si="131"/>
      </c>
      <c r="M53" s="128" t="s">
        <v>221</v>
      </c>
      <c r="N53" s="129">
        <v>8</v>
      </c>
      <c r="O53" s="129"/>
      <c r="P53" s="117"/>
      <c r="Q53" s="118"/>
      <c r="R53" s="119"/>
      <c r="S53" s="120">
        <f t="shared" si="71"/>
      </c>
      <c r="T53" s="121">
        <f t="shared" si="9"/>
      </c>
      <c r="U53" s="122">
        <f t="shared" si="207"/>
      </c>
      <c r="V53" s="122">
        <f t="shared" si="146"/>
      </c>
      <c r="W53" s="122">
        <f t="shared" si="101"/>
      </c>
      <c r="X53" s="123">
        <f t="shared" si="39"/>
      </c>
      <c r="Y53" s="122">
        <f t="shared" si="237"/>
      </c>
      <c r="Z53" s="124">
        <v>45</v>
      </c>
      <c r="AA53" s="125">
        <f t="shared" si="176"/>
      </c>
      <c r="AB53" s="123">
        <v>86389</v>
      </c>
      <c r="AC53" s="123">
        <v>1690</v>
      </c>
      <c r="AD53" s="123">
        <v>1868</v>
      </c>
      <c r="AE53" s="123">
        <v>391</v>
      </c>
      <c r="AF53" s="124">
        <v>295</v>
      </c>
      <c r="AG53" s="123">
        <v>21</v>
      </c>
      <c r="AH53" s="123">
        <v>3</v>
      </c>
      <c r="AI53" s="123">
        <v>54</v>
      </c>
    </row>
    <row r="54">
      <c r="A54" s="105">
        <v>46274</v>
      </c>
      <c r="B54" s="108" t="s">
        <v>211</v>
      </c>
      <c r="C54" s="107" t="s">
        <v>222</v>
      </c>
      <c r="D54" s="126">
        <v>4</v>
      </c>
      <c r="E54" s="115">
        <v>13</v>
      </c>
      <c r="F54" s="115">
        <v>14</v>
      </c>
      <c r="G54" s="130">
        <v>43457.73</v>
      </c>
      <c r="H54" s="132">
        <v>16265.44</v>
      </c>
      <c r="I54" s="112">
        <f t="shared" si="62"/>
      </c>
      <c r="J54" s="113">
        <f t="shared" si="0"/>
      </c>
      <c r="K54" s="113">
        <f t="shared" si="198"/>
      </c>
      <c r="L54" s="114">
        <f t="shared" si="131"/>
      </c>
      <c r="M54" s="108"/>
      <c r="N54" s="108"/>
      <c r="O54" s="108"/>
      <c r="P54" s="117"/>
      <c r="Q54" s="118"/>
      <c r="R54" s="119"/>
      <c r="S54" s="120">
        <f t="shared" si="71"/>
      </c>
      <c r="T54" s="121">
        <f t="shared" si="9"/>
      </c>
      <c r="U54" s="122">
        <f t="shared" si="207"/>
      </c>
      <c r="V54" s="122">
        <f t="shared" si="146"/>
      </c>
      <c r="W54" s="122">
        <f t="shared" si="101"/>
      </c>
      <c r="X54" s="123">
        <f t="shared" si="39"/>
      </c>
      <c r="Y54" s="122">
        <f t="shared" si="237"/>
      </c>
      <c r="Z54" s="124">
        <v>50</v>
      </c>
      <c r="AA54" s="125">
        <f t="shared" si="176"/>
      </c>
      <c r="AB54" s="123">
        <v>123505</v>
      </c>
      <c r="AC54" s="123">
        <v>2186</v>
      </c>
      <c r="AD54" s="123">
        <v>2304</v>
      </c>
      <c r="AE54" s="123">
        <v>378</v>
      </c>
      <c r="AF54" s="124">
        <v>321</v>
      </c>
      <c r="AG54" s="123">
        <v>21</v>
      </c>
      <c r="AH54" s="123">
        <v>7</v>
      </c>
      <c r="AI54" s="123">
        <v>84</v>
      </c>
    </row>
    <row r="55">
      <c r="A55" s="135">
        <v>46274</v>
      </c>
      <c r="B55" s="136" t="s">
        <v>214</v>
      </c>
      <c r="C55" s="137"/>
      <c r="D55" s="137">
        <f>SUM(D49:D54)</f>
      </c>
      <c r="E55" s="137">
        <f>SUM(E49:E54)</f>
      </c>
      <c r="F55" s="137">
        <f>SUM(F49:F54)</f>
      </c>
      <c r="G55" s="137">
        <f>SUM(G49:G54)</f>
      </c>
      <c r="H55" s="137">
        <f>SUM(H49:H54)</f>
      </c>
      <c r="I55" s="139">
        <f t="shared" si="62"/>
      </c>
      <c r="J55" s="139">
        <f t="shared" si="0"/>
      </c>
      <c r="K55" s="139">
        <f t="shared" si="198"/>
      </c>
      <c r="L55" s="139"/>
      <c r="M55" s="137"/>
      <c r="N55" s="140">
        <f>SUM(N49:N54)</f>
      </c>
      <c r="O55" s="140"/>
      <c r="P55" s="137"/>
      <c r="Q55" s="137"/>
      <c r="R55" s="137"/>
      <c r="S55" s="141">
        <f>AVERAGE(S49:S54)</f>
      </c>
      <c r="T55" s="142">
        <f>AVERAGE(T49:T54)</f>
      </c>
      <c r="U55" s="142">
        <f>AVERAGE(U49:U54)</f>
      </c>
      <c r="V55" s="142">
        <f>AVERAGE(V49:V54)</f>
      </c>
      <c r="W55" s="142">
        <f>AVERAGE(W49:W54)</f>
      </c>
      <c r="X55" s="143">
        <f>SUM(X49:X54)</f>
      </c>
      <c r="Y55" s="142">
        <f>AVERAGE(Y49:Y54)</f>
      </c>
      <c r="Z55" s="143"/>
      <c r="AA55" s="144">
        <f>AVERAGE(AA49:AA54)</f>
      </c>
      <c r="AB55" s="143">
        <f>SUM(AB49:AB54)</f>
      </c>
      <c r="AC55" s="143">
        <f>SUM(AC49:AC54)</f>
      </c>
      <c r="AD55" s="143">
        <f>SUM(AD49:AD54)</f>
      </c>
      <c r="AE55" s="143">
        <f>SUM(AE49:AE54)</f>
      </c>
      <c r="AF55" s="143">
        <f>SUM(AF49:AF54)</f>
      </c>
      <c r="AG55" s="143">
        <f>SUM(AG49:AG54)</f>
      </c>
      <c r="AH55" s="143">
        <f>SUM(AH49:AH54)</f>
      </c>
      <c r="AI55" s="143">
        <f>SUM(AI49:AI54)</f>
      </c>
    </row>
    <row r="56">
      <c r="A56" s="105">
        <v>46275</v>
      </c>
      <c r="B56" s="108" t="s">
        <v>211</v>
      </c>
      <c r="C56" s="107" t="s">
        <v>223</v>
      </c>
      <c r="D56" s="108">
        <v>1</v>
      </c>
      <c r="E56" s="109">
        <v>0</v>
      </c>
      <c r="F56" s="109">
        <v>1</v>
      </c>
      <c r="G56" s="110">
        <v>2548.26</v>
      </c>
      <c r="H56" s="111">
        <v>1570.55</v>
      </c>
      <c r="I56" s="112">
        <f t="shared" si="62"/>
      </c>
      <c r="J56" s="113">
        <f t="shared" si="0"/>
      </c>
      <c r="K56" s="114">
        <f t="shared" si="198"/>
      </c>
      <c r="L56" s="114">
        <f t="shared" ref="L56:L61" si="132">H56/D56</f>
      </c>
      <c r="M56" s="115" t="s">
        <v>216</v>
      </c>
      <c r="N56" s="116">
        <v>7</v>
      </c>
      <c r="O56" s="116"/>
      <c r="P56" s="117"/>
      <c r="Q56" s="118"/>
      <c r="R56" s="119"/>
      <c r="S56" s="120">
        <f t="shared" ref="S56:S61" si="72">H56/AC56</f>
      </c>
      <c r="T56" s="121">
        <f t="shared" ref="T56:T61" si="10">X56/AB56*1</f>
      </c>
      <c r="U56" s="122">
        <f t="shared" ref="U56:U61" si="208">AC56/AB56</f>
      </c>
      <c r="V56" s="122">
        <f t="shared" ref="V56:V61" si="147">AD56/AB56</f>
      </c>
      <c r="W56" s="122">
        <f t="shared" ref="W56:W61" si="102">AF56/AD56</f>
      </c>
      <c r="X56" s="123">
        <f t="shared" ref="X56:X61" si="40">AE56/Y56</f>
      </c>
      <c r="Y56" s="122">
        <f t="shared" ref="Y56:Y61" si="238">AE56/AD56</f>
      </c>
      <c r="Z56" s="124">
        <v>51</v>
      </c>
      <c r="AA56" s="125">
        <f t="shared" ref="AA56:AA61" si="177">(H56/AB56)*1000</f>
      </c>
      <c r="AB56" s="123">
        <v>545</v>
      </c>
      <c r="AC56" s="123">
        <v>602</v>
      </c>
      <c r="AD56" s="123">
        <v>70</v>
      </c>
      <c r="AE56" s="123">
        <v>19</v>
      </c>
      <c r="AF56" s="124">
        <v>48</v>
      </c>
      <c r="AG56" s="123">
        <v>1</v>
      </c>
      <c r="AH56" s="123">
        <v>1</v>
      </c>
      <c r="AI56" s="123">
        <v>14</v>
      </c>
    </row>
    <row r="57">
      <c r="A57" s="105">
        <v>46275</v>
      </c>
      <c r="B57" s="108" t="s">
        <v>206</v>
      </c>
      <c r="C57" s="107" t="s">
        <v>224</v>
      </c>
      <c r="D57" s="126">
        <v>5</v>
      </c>
      <c r="E57" s="108">
        <v>5</v>
      </c>
      <c r="F57" s="108">
        <v>5</v>
      </c>
      <c r="G57" s="120">
        <v>17528.95</v>
      </c>
      <c r="H57" s="127">
        <v>3418.06</v>
      </c>
      <c r="I57" s="112">
        <f t="shared" si="62"/>
      </c>
      <c r="J57" s="113">
        <f t="shared" si="0"/>
      </c>
      <c r="K57" s="113">
        <f t="shared" si="198"/>
      </c>
      <c r="L57" s="114">
        <f t="shared" si="132"/>
      </c>
      <c r="M57" s="128"/>
      <c r="N57" s="129"/>
      <c r="O57" s="129"/>
      <c r="P57" s="117"/>
      <c r="Q57" s="118"/>
      <c r="R57" s="119"/>
      <c r="S57" s="120">
        <f t="shared" si="72"/>
      </c>
      <c r="T57" s="121">
        <f t="shared" si="10"/>
      </c>
      <c r="U57" s="122">
        <f t="shared" si="208"/>
      </c>
      <c r="V57" s="122">
        <f t="shared" si="147"/>
      </c>
      <c r="W57" s="122">
        <f t="shared" si="102"/>
      </c>
      <c r="X57" s="123">
        <f t="shared" si="40"/>
      </c>
      <c r="Y57" s="122">
        <f t="shared" si="238"/>
      </c>
      <c r="Z57" s="124">
        <v>61</v>
      </c>
      <c r="AA57" s="125">
        <f t="shared" si="177"/>
      </c>
      <c r="AB57" s="123">
        <v>1320</v>
      </c>
      <c r="AC57" s="123">
        <v>1504</v>
      </c>
      <c r="AD57" s="123">
        <v>148</v>
      </c>
      <c r="AE57" s="123">
        <v>40</v>
      </c>
      <c r="AF57" s="124">
        <v>139</v>
      </c>
      <c r="AG57" s="124">
        <v>10</v>
      </c>
      <c r="AH57" s="123">
        <v>1</v>
      </c>
      <c r="AI57" s="123">
        <v>36</v>
      </c>
    </row>
    <row r="58">
      <c r="A58" s="105">
        <v>46275</v>
      </c>
      <c r="B58" s="108" t="s">
        <v>201</v>
      </c>
      <c r="C58" s="107" t="s">
        <v>225</v>
      </c>
      <c r="D58" s="126">
        <v>5</v>
      </c>
      <c r="E58" s="108">
        <v>16</v>
      </c>
      <c r="F58" s="108">
        <v>19</v>
      </c>
      <c r="G58" s="120">
        <v>47973.94</v>
      </c>
      <c r="H58" s="127">
        <v>13845.740000000002</v>
      </c>
      <c r="I58" s="112">
        <f t="shared" si="62"/>
      </c>
      <c r="J58" s="113">
        <f t="shared" si="0"/>
      </c>
      <c r="K58" s="113">
        <f t="shared" si="198"/>
      </c>
      <c r="L58" s="114">
        <f t="shared" si="132"/>
      </c>
      <c r="M58" s="115" t="s">
        <v>226</v>
      </c>
      <c r="N58" s="116">
        <v>9</v>
      </c>
      <c r="O58" s="116"/>
      <c r="P58" s="117"/>
      <c r="Q58" s="118"/>
      <c r="R58" s="119"/>
      <c r="S58" s="120">
        <f t="shared" si="72"/>
      </c>
      <c r="T58" s="121">
        <f t="shared" si="10"/>
      </c>
      <c r="U58" s="122">
        <f t="shared" si="208"/>
      </c>
      <c r="V58" s="122">
        <f t="shared" si="147"/>
      </c>
      <c r="W58" s="122">
        <f t="shared" si="102"/>
      </c>
      <c r="X58" s="123">
        <f t="shared" si="40"/>
      </c>
      <c r="Y58" s="122">
        <f t="shared" si="238"/>
      </c>
      <c r="Z58" s="124">
        <v>69.8</v>
      </c>
      <c r="AA58" s="125">
        <f t="shared" si="177"/>
      </c>
      <c r="AB58" s="123">
        <v>91137</v>
      </c>
      <c r="AC58" s="123">
        <v>2576</v>
      </c>
      <c r="AD58" s="123">
        <v>2818</v>
      </c>
      <c r="AE58" s="123">
        <v>505</v>
      </c>
      <c r="AF58" s="124">
        <v>374</v>
      </c>
      <c r="AG58" s="124">
        <v>31</v>
      </c>
      <c r="AH58" s="123">
        <v>7</v>
      </c>
      <c r="AI58" s="123">
        <v>88</v>
      </c>
    </row>
    <row r="59">
      <c r="A59" s="105">
        <v>46275</v>
      </c>
      <c r="B59" s="108" t="s">
        <v>208</v>
      </c>
      <c r="C59" s="107" t="s">
        <v>227</v>
      </c>
      <c r="D59" s="126">
        <v>5</v>
      </c>
      <c r="E59" s="108">
        <v>13</v>
      </c>
      <c r="F59" s="108">
        <v>20</v>
      </c>
      <c r="G59" s="130">
        <v>45309.179999999986</v>
      </c>
      <c r="H59" s="127">
        <v>14340.589999999998</v>
      </c>
      <c r="I59" s="112">
        <f t="shared" si="62"/>
      </c>
      <c r="J59" s="113">
        <f t="shared" si="0"/>
      </c>
      <c r="K59" s="113">
        <f t="shared" si="198"/>
      </c>
      <c r="L59" s="114">
        <f t="shared" si="132"/>
      </c>
      <c r="M59" s="128"/>
      <c r="N59" s="129"/>
      <c r="O59" s="129"/>
      <c r="P59" s="117"/>
      <c r="Q59" s="118"/>
      <c r="R59" s="119"/>
      <c r="S59" s="120">
        <f t="shared" si="72"/>
      </c>
      <c r="T59" s="121">
        <f t="shared" si="10"/>
      </c>
      <c r="U59" s="122">
        <f t="shared" si="208"/>
      </c>
      <c r="V59" s="122">
        <f t="shared" si="147"/>
      </c>
      <c r="W59" s="122">
        <f t="shared" si="102"/>
      </c>
      <c r="X59" s="123">
        <f t="shared" si="40"/>
      </c>
      <c r="Y59" s="122">
        <f t="shared" si="238"/>
      </c>
      <c r="Z59" s="124">
        <v>73</v>
      </c>
      <c r="AA59" s="125">
        <f t="shared" si="177"/>
      </c>
      <c r="AB59" s="123">
        <v>73149</v>
      </c>
      <c r="AC59" s="123">
        <v>1858</v>
      </c>
      <c r="AD59" s="123">
        <v>2046</v>
      </c>
      <c r="AE59" s="123">
        <v>338</v>
      </c>
      <c r="AF59" s="124">
        <v>280</v>
      </c>
      <c r="AG59" s="124">
        <v>23</v>
      </c>
      <c r="AH59" s="123">
        <v>3</v>
      </c>
      <c r="AI59" s="123">
        <v>57</v>
      </c>
    </row>
    <row customHeight="true" ht="16.071428571428573" r="60">
      <c r="A60" s="105">
        <v>46275</v>
      </c>
      <c r="B60" s="108" t="s">
        <v>218</v>
      </c>
      <c r="C60" s="107" t="s">
        <v>228</v>
      </c>
      <c r="D60" s="126">
        <v>4</v>
      </c>
      <c r="E60" s="108">
        <v>15</v>
      </c>
      <c r="F60" s="115">
        <v>16</v>
      </c>
      <c r="G60" s="130">
        <v>38011.55000000001</v>
      </c>
      <c r="H60" s="131">
        <v>11024.97</v>
      </c>
      <c r="I60" s="112">
        <f t="shared" si="62"/>
      </c>
      <c r="J60" s="113">
        <f t="shared" si="0"/>
      </c>
      <c r="K60" s="113">
        <f t="shared" si="198"/>
      </c>
      <c r="L60" s="114">
        <f t="shared" si="132"/>
      </c>
      <c r="M60" s="128" t="s">
        <v>221</v>
      </c>
      <c r="N60" s="129">
        <v>8</v>
      </c>
      <c r="O60" s="129"/>
      <c r="P60" s="117"/>
      <c r="Q60" s="118"/>
      <c r="R60" s="119"/>
      <c r="S60" s="120">
        <f t="shared" si="72"/>
      </c>
      <c r="T60" s="121">
        <f t="shared" si="10"/>
      </c>
      <c r="U60" s="122">
        <f t="shared" si="208"/>
      </c>
      <c r="V60" s="122">
        <f t="shared" si="147"/>
      </c>
      <c r="W60" s="122">
        <f t="shared" si="102"/>
      </c>
      <c r="X60" s="123">
        <f t="shared" si="40"/>
      </c>
      <c r="Y60" s="122">
        <f t="shared" si="238"/>
      </c>
      <c r="Z60" s="124">
        <v>61</v>
      </c>
      <c r="AA60" s="125">
        <f t="shared" si="177"/>
      </c>
      <c r="AB60" s="123">
        <v>71520</v>
      </c>
      <c r="AC60" s="123">
        <v>1503</v>
      </c>
      <c r="AD60" s="123">
        <v>1652</v>
      </c>
      <c r="AE60" s="123">
        <v>275</v>
      </c>
      <c r="AF60" s="124">
        <v>274</v>
      </c>
      <c r="AG60" s="123">
        <v>12</v>
      </c>
      <c r="AH60" s="123">
        <v>2</v>
      </c>
      <c r="AI60" s="123">
        <v>34</v>
      </c>
    </row>
    <row customHeight="true" ht="16.071428571428573" r="61">
      <c r="A61" s="105">
        <v>46275</v>
      </c>
      <c r="B61" s="108" t="s">
        <v>204</v>
      </c>
      <c r="C61" s="107" t="s">
        <v>222</v>
      </c>
      <c r="D61" s="126">
        <v>4</v>
      </c>
      <c r="E61" s="115">
        <v>20</v>
      </c>
      <c r="F61" s="115">
        <v>26</v>
      </c>
      <c r="G61" s="130">
        <v>72572.39000000001</v>
      </c>
      <c r="H61" s="132">
        <v>17555.39</v>
      </c>
      <c r="I61" s="112">
        <f t="shared" si="62"/>
      </c>
      <c r="J61" s="113">
        <f t="shared" si="0"/>
      </c>
      <c r="K61" s="113">
        <f t="shared" si="198"/>
      </c>
      <c r="L61" s="114">
        <f t="shared" si="132"/>
      </c>
      <c r="M61" s="108"/>
      <c r="N61" s="108"/>
      <c r="O61" s="108"/>
      <c r="P61" s="117"/>
      <c r="Q61" s="118"/>
      <c r="R61" s="119"/>
      <c r="S61" s="120">
        <f t="shared" si="72"/>
      </c>
      <c r="T61" s="121">
        <f t="shared" si="10"/>
      </c>
      <c r="U61" s="122">
        <f t="shared" si="208"/>
      </c>
      <c r="V61" s="122">
        <f t="shared" si="147"/>
      </c>
      <c r="W61" s="122">
        <f t="shared" si="102"/>
      </c>
      <c r="X61" s="123">
        <f t="shared" si="40"/>
      </c>
      <c r="Y61" s="122">
        <f t="shared" si="238"/>
      </c>
      <c r="Z61" s="124">
        <v>43</v>
      </c>
      <c r="AA61" s="125">
        <f t="shared" si="177"/>
      </c>
      <c r="AB61" s="123">
        <v>131644</v>
      </c>
      <c r="AC61" s="123">
        <v>3626</v>
      </c>
      <c r="AD61" s="123">
        <v>3921</v>
      </c>
      <c r="AE61" s="123">
        <v>515</v>
      </c>
      <c r="AF61" s="123">
        <v>500</v>
      </c>
      <c r="AG61" s="123">
        <v>32</v>
      </c>
      <c r="AH61" s="123">
        <v>8</v>
      </c>
      <c r="AI61" s="123">
        <v>80</v>
      </c>
    </row>
    <row customHeight="true" ht="16.071428571428573" r="62">
      <c r="A62" s="135">
        <v>46275</v>
      </c>
      <c r="B62" s="136" t="s">
        <v>214</v>
      </c>
      <c r="C62" s="137"/>
      <c r="D62" s="137">
        <f>SUM(D56:D61)</f>
      </c>
      <c r="E62" s="137">
        <f>SUM(E56:E61)</f>
      </c>
      <c r="F62" s="137">
        <f>SUM(F56:F61)</f>
      </c>
      <c r="G62" s="137">
        <f>SUM(G56:G61)</f>
      </c>
      <c r="H62" s="137">
        <f>SUM(H56:H61)</f>
      </c>
      <c r="I62" s="139">
        <f t="shared" si="62"/>
      </c>
      <c r="J62" s="139">
        <f t="shared" si="0"/>
      </c>
      <c r="K62" s="139">
        <f t="shared" si="198"/>
      </c>
      <c r="L62" s="139"/>
      <c r="M62" s="137"/>
      <c r="N62" s="140">
        <f>SUM(N56:N61)</f>
      </c>
      <c r="O62" s="140"/>
      <c r="P62" s="137"/>
      <c r="Q62" s="137"/>
      <c r="R62" s="137"/>
      <c r="S62" s="141">
        <f>AVERAGE(S56:S61)</f>
      </c>
      <c r="T62" s="142">
        <f>AVERAGE(T56:T61)</f>
      </c>
      <c r="U62" s="142">
        <f>AVERAGE(U56:U61)</f>
      </c>
      <c r="V62" s="142">
        <f>AVERAGE(V56:V61)</f>
      </c>
      <c r="W62" s="142">
        <f>AVERAGE(W56:W61)</f>
      </c>
      <c r="X62" s="143">
        <f>SUM(X56:X61)</f>
      </c>
      <c r="Y62" s="142">
        <f>AVERAGE(Y56:Y61)</f>
      </c>
      <c r="Z62" s="143"/>
      <c r="AA62" s="144">
        <f>AVERAGE(AA56:AA61)</f>
      </c>
      <c r="AB62" s="143">
        <f>SUM(AB56:AB61)</f>
      </c>
      <c r="AC62" s="143">
        <f>SUM(AC56:AC61)</f>
      </c>
      <c r="AD62" s="143">
        <f>SUM(AD56:AD61)</f>
      </c>
      <c r="AE62" s="143">
        <f>SUM(AE56:AE61)</f>
      </c>
      <c r="AF62" s="143">
        <f>SUM(AF56:AF61)</f>
      </c>
      <c r="AG62" s="143">
        <f>SUM(AG56:AG61)</f>
      </c>
      <c r="AH62" s="143">
        <f>SUM(AH56:AH61)</f>
      </c>
      <c r="AI62" s="143">
        <f>SUM(AI56:AI61)</f>
      </c>
    </row>
    <row customHeight="true" ht="16.071428571428573" r="63">
      <c r="A63" s="105">
        <v>46276</v>
      </c>
      <c r="B63" s="108" t="s">
        <v>204</v>
      </c>
      <c r="C63" s="107" t="s">
        <v>223</v>
      </c>
      <c r="D63" s="108">
        <v>1</v>
      </c>
      <c r="E63" s="109">
        <v>4</v>
      </c>
      <c r="F63" s="109">
        <v>4</v>
      </c>
      <c r="G63" s="110">
        <v>10759.33</v>
      </c>
      <c r="H63" s="111">
        <v>1865.96</v>
      </c>
      <c r="I63" s="112">
        <f t="shared" si="62"/>
      </c>
      <c r="J63" s="113">
        <f t="shared" si="0"/>
      </c>
      <c r="K63" s="114">
        <f t="shared" si="198"/>
      </c>
      <c r="L63" s="114">
        <f t="shared" ref="L63:L68" si="133">H63/D63</f>
      </c>
      <c r="M63" s="115" t="s">
        <v>216</v>
      </c>
      <c r="N63" s="116">
        <v>7</v>
      </c>
      <c r="O63" s="116"/>
      <c r="P63" s="117"/>
      <c r="Q63" s="118"/>
      <c r="R63" s="119"/>
      <c r="S63" s="120">
        <f t="shared" ref="S63:S68" si="73">H63/AC63</f>
      </c>
      <c r="T63" s="121">
        <f t="shared" ref="T63:T68" si="11">X63/AB63*1</f>
      </c>
      <c r="U63" s="122">
        <f t="shared" ref="U63:U68" si="209">AC63/AB63</f>
      </c>
      <c r="V63" s="122">
        <f t="shared" ref="V63:V68" si="148">AD63/AB63</f>
      </c>
      <c r="W63" s="122">
        <f t="shared" ref="W63:W68" si="103">AF63/AD63</f>
      </c>
      <c r="X63" s="123">
        <f t="shared" ref="X63:X68" si="41">AE63/Y63</f>
      </c>
      <c r="Y63" s="122">
        <f t="shared" ref="Y63:Y68" si="239">AE63/AD63</f>
      </c>
      <c r="Z63" s="124">
        <v>52</v>
      </c>
      <c r="AA63" s="125">
        <f t="shared" ref="AA63:AA68" si="178">(H63/AB63)*1000</f>
      </c>
      <c r="AB63" s="123">
        <v>17784</v>
      </c>
      <c r="AC63" s="123">
        <v>462</v>
      </c>
      <c r="AD63" s="123">
        <v>528</v>
      </c>
      <c r="AE63" s="123">
        <v>58</v>
      </c>
      <c r="AF63" s="124">
        <v>63</v>
      </c>
      <c r="AG63" s="123">
        <v>5</v>
      </c>
      <c r="AH63" s="123">
        <v>0</v>
      </c>
      <c r="AI63" s="123">
        <v>9</v>
      </c>
    </row>
    <row customHeight="true" ht="16.071428571428573" r="64">
      <c r="A64" s="105">
        <v>46276</v>
      </c>
      <c r="B64" s="108" t="s">
        <v>206</v>
      </c>
      <c r="C64" s="107" t="s">
        <v>224</v>
      </c>
      <c r="D64" s="126">
        <v>5</v>
      </c>
      <c r="E64" s="108">
        <v>3</v>
      </c>
      <c r="F64" s="108">
        <v>5</v>
      </c>
      <c r="G64" s="120">
        <v>11640.92</v>
      </c>
      <c r="H64" s="127">
        <v>3715.9</v>
      </c>
      <c r="I64" s="112">
        <f t="shared" si="62"/>
      </c>
      <c r="J64" s="113">
        <f t="shared" si="0"/>
      </c>
      <c r="K64" s="113">
        <f t="shared" si="198"/>
      </c>
      <c r="L64" s="114">
        <f t="shared" si="133"/>
      </c>
      <c r="M64" s="128"/>
      <c r="N64" s="129"/>
      <c r="O64" s="129"/>
      <c r="P64" s="117"/>
      <c r="Q64" s="118"/>
      <c r="R64" s="119"/>
      <c r="S64" s="120">
        <f t="shared" si="73"/>
      </c>
      <c r="T64" s="121">
        <f t="shared" si="11"/>
      </c>
      <c r="U64" s="122">
        <f t="shared" si="209"/>
      </c>
      <c r="V64" s="122">
        <f t="shared" si="148"/>
      </c>
      <c r="W64" s="122">
        <f t="shared" si="103"/>
      </c>
      <c r="X64" s="123">
        <f t="shared" si="41"/>
      </c>
      <c r="Y64" s="122">
        <f t="shared" si="239"/>
      </c>
      <c r="Z64" s="124">
        <v>61</v>
      </c>
      <c r="AA64" s="125">
        <f t="shared" si="178"/>
      </c>
      <c r="AB64" s="123">
        <v>58600</v>
      </c>
      <c r="AC64" s="123">
        <v>1702</v>
      </c>
      <c r="AD64" s="123">
        <v>1925</v>
      </c>
      <c r="AE64" s="123">
        <v>187</v>
      </c>
      <c r="AF64" s="124">
        <v>170</v>
      </c>
      <c r="AG64" s="124">
        <v>16</v>
      </c>
      <c r="AH64" s="123">
        <v>3</v>
      </c>
      <c r="AI64" s="123">
        <v>51</v>
      </c>
    </row>
    <row customHeight="true" ht="16.071428571428573" r="65">
      <c r="A65" s="105">
        <v>46276</v>
      </c>
      <c r="B65" s="108" t="s">
        <v>201</v>
      </c>
      <c r="C65" s="107" t="s">
        <v>225</v>
      </c>
      <c r="D65" s="126">
        <v>5</v>
      </c>
      <c r="E65" s="108">
        <v>9</v>
      </c>
      <c r="F65" s="108">
        <v>11</v>
      </c>
      <c r="G65" s="120">
        <v>28904.69</v>
      </c>
      <c r="H65" s="127">
        <v>12343.869999999999</v>
      </c>
      <c r="I65" s="112">
        <f t="shared" si="62"/>
      </c>
      <c r="J65" s="113">
        <f t="shared" si="0"/>
      </c>
      <c r="K65" s="113">
        <f t="shared" si="198"/>
      </c>
      <c r="L65" s="114">
        <f t="shared" si="133"/>
      </c>
      <c r="M65" s="115" t="s">
        <v>226</v>
      </c>
      <c r="N65" s="116">
        <v>9</v>
      </c>
      <c r="O65" s="116"/>
      <c r="P65" s="117"/>
      <c r="Q65" s="118"/>
      <c r="R65" s="119"/>
      <c r="S65" s="120">
        <f t="shared" si="73"/>
      </c>
      <c r="T65" s="121">
        <f t="shared" si="11"/>
      </c>
      <c r="U65" s="122">
        <f t="shared" si="209"/>
      </c>
      <c r="V65" s="122">
        <f t="shared" si="148"/>
      </c>
      <c r="W65" s="122">
        <f t="shared" si="103"/>
      </c>
      <c r="X65" s="123">
        <f t="shared" si="41"/>
      </c>
      <c r="Y65" s="122">
        <f t="shared" si="239"/>
      </c>
      <c r="Z65" s="124">
        <v>44.4</v>
      </c>
      <c r="AA65" s="125">
        <f t="shared" si="178"/>
      </c>
      <c r="AB65" s="123">
        <v>88279</v>
      </c>
      <c r="AC65" s="123">
        <v>2499</v>
      </c>
      <c r="AD65" s="123">
        <v>2771</v>
      </c>
      <c r="AE65" s="123">
        <v>388</v>
      </c>
      <c r="AF65" s="124">
        <v>267</v>
      </c>
      <c r="AG65" s="124">
        <v>20</v>
      </c>
      <c r="AH65" s="123">
        <v>6</v>
      </c>
      <c r="AI65" s="123">
        <v>180</v>
      </c>
    </row>
    <row customHeight="true" ht="16.071428571428573" r="66">
      <c r="A66" s="105">
        <v>46276</v>
      </c>
      <c r="B66" s="108" t="s">
        <v>208</v>
      </c>
      <c r="C66" s="107" t="s">
        <v>227</v>
      </c>
      <c r="D66" s="126">
        <v>5</v>
      </c>
      <c r="E66" s="108">
        <v>20</v>
      </c>
      <c r="F66" s="108">
        <v>22</v>
      </c>
      <c r="G66" s="130">
        <v>50442.17999999999</v>
      </c>
      <c r="H66" s="127">
        <v>18475.59</v>
      </c>
      <c r="I66" s="112">
        <f t="shared" si="62"/>
      </c>
      <c r="J66" s="113">
        <f t="shared" si="0"/>
      </c>
      <c r="K66" s="113">
        <f t="shared" si="198"/>
      </c>
      <c r="L66" s="114">
        <f t="shared" si="133"/>
      </c>
      <c r="M66" s="128"/>
      <c r="N66" s="129"/>
      <c r="O66" s="129"/>
      <c r="P66" s="117"/>
      <c r="Q66" s="118"/>
      <c r="R66" s="119"/>
      <c r="S66" s="120">
        <f t="shared" si="73"/>
      </c>
      <c r="T66" s="121">
        <f t="shared" si="11"/>
      </c>
      <c r="U66" s="122">
        <f t="shared" si="209"/>
      </c>
      <c r="V66" s="122">
        <f t="shared" si="148"/>
      </c>
      <c r="W66" s="122">
        <f t="shared" si="103"/>
      </c>
      <c r="X66" s="123">
        <f t="shared" si="41"/>
      </c>
      <c r="Y66" s="122">
        <f t="shared" si="239"/>
      </c>
      <c r="Z66" s="124">
        <v>55</v>
      </c>
      <c r="AA66" s="125">
        <f t="shared" si="178"/>
      </c>
      <c r="AB66" s="123">
        <v>125760</v>
      </c>
      <c r="AC66" s="123">
        <v>1967</v>
      </c>
      <c r="AD66" s="123">
        <v>2130</v>
      </c>
      <c r="AE66" s="123">
        <v>512</v>
      </c>
      <c r="AF66" s="124">
        <v>277</v>
      </c>
      <c r="AG66" s="124">
        <v>16</v>
      </c>
      <c r="AH66" s="123">
        <v>8</v>
      </c>
      <c r="AI66" s="123">
        <v>86</v>
      </c>
    </row>
    <row customHeight="true" ht="16.071428571428573" r="67">
      <c r="A67" s="105">
        <v>46276</v>
      </c>
      <c r="B67" s="108" t="s">
        <v>218</v>
      </c>
      <c r="C67" s="107" t="s">
        <v>228</v>
      </c>
      <c r="D67" s="126">
        <v>4</v>
      </c>
      <c r="E67" s="108">
        <v>8</v>
      </c>
      <c r="F67" s="115">
        <v>10</v>
      </c>
      <c r="G67" s="130">
        <v>23590.490000000005</v>
      </c>
      <c r="H67" s="131">
        <v>8824.35</v>
      </c>
      <c r="I67" s="112">
        <f t="shared" si="62"/>
      </c>
      <c r="J67" s="113">
        <f t="shared" si="0"/>
      </c>
      <c r="K67" s="113">
        <f t="shared" si="198"/>
      </c>
      <c r="L67" s="114">
        <f t="shared" si="133"/>
      </c>
      <c r="M67" s="128" t="s">
        <v>221</v>
      </c>
      <c r="N67" s="129">
        <v>8</v>
      </c>
      <c r="O67" s="129"/>
      <c r="P67" s="117"/>
      <c r="Q67" s="118"/>
      <c r="R67" s="119"/>
      <c r="S67" s="120">
        <f t="shared" si="73"/>
      </c>
      <c r="T67" s="121">
        <f t="shared" si="11"/>
      </c>
      <c r="U67" s="122">
        <f t="shared" si="209"/>
      </c>
      <c r="V67" s="122">
        <f t="shared" si="148"/>
      </c>
      <c r="W67" s="122">
        <f t="shared" si="103"/>
      </c>
      <c r="X67" s="123">
        <f t="shared" si="41"/>
      </c>
      <c r="Y67" s="122">
        <f t="shared" si="239"/>
      </c>
      <c r="Z67" s="124">
        <v>44.25</v>
      </c>
      <c r="AA67" s="125">
        <f t="shared" si="178"/>
      </c>
      <c r="AB67" s="123">
        <v>60287</v>
      </c>
      <c r="AC67" s="123">
        <v>1283</v>
      </c>
      <c r="AD67" s="123">
        <v>1404</v>
      </c>
      <c r="AE67" s="123">
        <v>230</v>
      </c>
      <c r="AF67" s="124">
        <v>228</v>
      </c>
      <c r="AG67" s="123">
        <v>13</v>
      </c>
      <c r="AH67" s="123">
        <v>1</v>
      </c>
      <c r="AI67" s="123">
        <v>35</v>
      </c>
    </row>
    <row customHeight="true" ht="16.071428571428573" r="68">
      <c r="A68" s="105">
        <v>46276</v>
      </c>
      <c r="B68" s="108" t="s">
        <v>206</v>
      </c>
      <c r="C68" s="107" t="s">
        <v>222</v>
      </c>
      <c r="D68" s="126">
        <v>4</v>
      </c>
      <c r="E68" s="115">
        <v>6</v>
      </c>
      <c r="F68" s="115">
        <v>10</v>
      </c>
      <c r="G68" s="130">
        <v>26061.78</v>
      </c>
      <c r="H68" s="132">
        <v>9786.68</v>
      </c>
      <c r="I68" s="112">
        <f t="shared" si="62"/>
      </c>
      <c r="J68" s="113">
        <f t="shared" si="0"/>
      </c>
      <c r="K68" s="113">
        <f t="shared" si="198"/>
      </c>
      <c r="L68" s="114">
        <f t="shared" si="133"/>
      </c>
      <c r="M68" s="108"/>
      <c r="N68" s="108"/>
      <c r="O68" s="108"/>
      <c r="P68" s="117"/>
      <c r="Q68" s="118"/>
      <c r="R68" s="119"/>
      <c r="S68" s="120">
        <f t="shared" si="73"/>
      </c>
      <c r="T68" s="121">
        <f t="shared" si="11"/>
      </c>
      <c r="U68" s="122">
        <f t="shared" si="209"/>
      </c>
      <c r="V68" s="122">
        <f t="shared" si="148"/>
      </c>
      <c r="W68" s="122">
        <f t="shared" si="103"/>
      </c>
      <c r="X68" s="123">
        <f t="shared" si="41"/>
      </c>
      <c r="Y68" s="122">
        <f t="shared" si="239"/>
      </c>
      <c r="Z68" s="124">
        <v>35.5</v>
      </c>
      <c r="AA68" s="125">
        <f t="shared" si="178"/>
      </c>
      <c r="AB68" s="123">
        <v>74945</v>
      </c>
      <c r="AC68" s="123">
        <v>1953</v>
      </c>
      <c r="AD68" s="123">
        <v>2172</v>
      </c>
      <c r="AE68" s="123">
        <v>218</v>
      </c>
      <c r="AF68" s="123">
        <v>255</v>
      </c>
      <c r="AG68" s="123">
        <v>16</v>
      </c>
      <c r="AH68" s="123">
        <v>3</v>
      </c>
      <c r="AI68" s="123">
        <v>22</v>
      </c>
    </row>
    <row customHeight="true" ht="16.071428571428573" r="69">
      <c r="A69" s="135">
        <v>46276</v>
      </c>
      <c r="B69" s="136" t="s">
        <v>214</v>
      </c>
      <c r="C69" s="137"/>
      <c r="D69" s="137">
        <f>SUM(D63:D68)</f>
      </c>
      <c r="E69" s="137">
        <f>SUM(E63:E68)</f>
      </c>
      <c r="F69" s="137">
        <f>SUM(F63:F68)</f>
      </c>
      <c r="G69" s="137">
        <f>SUM(G63:G68)</f>
      </c>
      <c r="H69" s="137">
        <f>SUM(H63:H68)</f>
      </c>
      <c r="I69" s="139">
        <f t="shared" si="62"/>
      </c>
      <c r="J69" s="139">
        <f t="shared" si="0"/>
      </c>
      <c r="K69" s="139">
        <f t="shared" si="198"/>
      </c>
      <c r="L69" s="139"/>
      <c r="M69" s="137"/>
      <c r="N69" s="140">
        <f>SUM(N63:N68)</f>
      </c>
      <c r="O69" s="140"/>
      <c r="P69" s="137"/>
      <c r="Q69" s="137"/>
      <c r="R69" s="137"/>
      <c r="S69" s="141">
        <f>AVERAGE(S63:S68)</f>
      </c>
      <c r="T69" s="142">
        <f>AVERAGE(T63:T68)</f>
      </c>
      <c r="U69" s="142">
        <f>AVERAGE(U63:U68)</f>
      </c>
      <c r="V69" s="142">
        <f>AVERAGE(V63:V68)</f>
      </c>
      <c r="W69" s="142">
        <f>AVERAGE(W63:W68)</f>
      </c>
      <c r="X69" s="143">
        <f>SUM(X63:X68)</f>
      </c>
      <c r="Y69" s="142">
        <f>AVERAGE(Y63:Y68)</f>
      </c>
      <c r="Z69" s="143"/>
      <c r="AA69" s="144">
        <f>AVERAGE(AA63:AA68)</f>
      </c>
      <c r="AB69" s="143">
        <f>SUM(AB63:AB68)</f>
      </c>
      <c r="AC69" s="143">
        <f>SUM(AC63:AC68)</f>
      </c>
      <c r="AD69" s="143">
        <f>SUM(AD63:AD68)</f>
      </c>
      <c r="AE69" s="143">
        <f>SUM(AE63:AE68)</f>
      </c>
      <c r="AF69" s="143">
        <f>SUM(AF63:AF68)</f>
      </c>
      <c r="AG69" s="143">
        <f>SUM(AG63:AG68)</f>
      </c>
      <c r="AH69" s="143">
        <f>SUM(AH63:AH68)</f>
      </c>
      <c r="AI69" s="143">
        <f>SUM(AI63:AI68)</f>
      </c>
    </row>
    <row r="70">
      <c r="A70" s="105">
        <v>46277</v>
      </c>
      <c r="B70" s="108" t="s">
        <v>206</v>
      </c>
      <c r="C70" s="107" t="s">
        <v>223</v>
      </c>
      <c r="D70" s="108">
        <v>1</v>
      </c>
      <c r="E70" s="109">
        <v>2</v>
      </c>
      <c r="F70" s="109">
        <v>4</v>
      </c>
      <c r="G70" s="110">
        <v>9086.220000000001</v>
      </c>
      <c r="H70" s="111">
        <v>1465.1100000000001</v>
      </c>
      <c r="I70" s="112">
        <f t="shared" si="62"/>
      </c>
      <c r="J70" s="113">
        <f t="shared" si="0"/>
      </c>
      <c r="K70" s="114">
        <f t="shared" si="198"/>
      </c>
      <c r="L70" s="114">
        <f t="shared" ref="L70:L75" si="134">H70/D70</f>
      </c>
      <c r="M70" s="115" t="s">
        <v>216</v>
      </c>
      <c r="N70" s="116">
        <v>7</v>
      </c>
      <c r="O70" s="116"/>
      <c r="P70" s="117"/>
      <c r="Q70" s="118"/>
      <c r="R70" s="119"/>
      <c r="S70" s="120">
        <f t="shared" ref="S70:S75" si="74">H70/AC70</f>
      </c>
      <c r="T70" s="121">
        <f t="shared" ref="T70:T75" si="12">X70/AB70*1</f>
      </c>
      <c r="U70" s="122">
        <f t="shared" ref="U70:U75" si="210">AC70/AB70</f>
      </c>
      <c r="V70" s="122">
        <f t="shared" ref="V70:V75" si="149">AD70/AB70</f>
      </c>
      <c r="W70" s="122">
        <f t="shared" ref="W70:W75" si="104">AF70/AD70</f>
      </c>
      <c r="X70" s="123">
        <f t="shared" ref="X70:X75" si="42">AE70/Y70</f>
      </c>
      <c r="Y70" s="122">
        <f t="shared" ref="Y70:Y75" si="240">AE70/AD70</f>
      </c>
      <c r="Z70" s="124">
        <v>43</v>
      </c>
      <c r="AA70" s="125">
        <f t="shared" ref="AA70:AA75" si="179">(H70/AB70)*1000</f>
      </c>
      <c r="AB70" s="123">
        <v>13819</v>
      </c>
      <c r="AC70" s="123">
        <v>406</v>
      </c>
      <c r="AD70" s="123">
        <v>460</v>
      </c>
      <c r="AE70" s="123">
        <v>49</v>
      </c>
      <c r="AF70" s="124">
        <v>36</v>
      </c>
      <c r="AG70" s="123">
        <v>1</v>
      </c>
      <c r="AH70" s="123">
        <v>1</v>
      </c>
      <c r="AI70" s="123">
        <v>3</v>
      </c>
    </row>
    <row r="71">
      <c r="A71" s="105">
        <v>46277</v>
      </c>
      <c r="B71" s="108" t="s">
        <v>211</v>
      </c>
      <c r="C71" s="107" t="s">
        <v>224</v>
      </c>
      <c r="D71" s="126">
        <v>5</v>
      </c>
      <c r="E71" s="108">
        <v>3</v>
      </c>
      <c r="F71" s="108">
        <v>5</v>
      </c>
      <c r="G71" s="120">
        <v>10675.68</v>
      </c>
      <c r="H71" s="127">
        <v>4128.75</v>
      </c>
      <c r="I71" s="112">
        <f t="shared" si="62"/>
      </c>
      <c r="J71" s="113">
        <f t="shared" si="0"/>
      </c>
      <c r="K71" s="113">
        <f t="shared" si="198"/>
      </c>
      <c r="L71" s="114">
        <f t="shared" si="134"/>
      </c>
      <c r="M71" s="128"/>
      <c r="N71" s="129"/>
      <c r="O71" s="129"/>
      <c r="P71" s="117"/>
      <c r="Q71" s="118"/>
      <c r="R71" s="119"/>
      <c r="S71" s="120">
        <f t="shared" si="74"/>
      </c>
      <c r="T71" s="121">
        <f t="shared" si="12"/>
      </c>
      <c r="U71" s="122">
        <f t="shared" si="210"/>
      </c>
      <c r="V71" s="122">
        <f t="shared" si="149"/>
      </c>
      <c r="W71" s="122">
        <f t="shared" si="104"/>
      </c>
      <c r="X71" s="123">
        <f t="shared" si="42"/>
      </c>
      <c r="Y71" s="122">
        <f t="shared" si="240"/>
      </c>
      <c r="Z71" s="124">
        <v>58.8</v>
      </c>
      <c r="AA71" s="125">
        <f t="shared" si="179"/>
      </c>
      <c r="AB71" s="123">
        <v>50235</v>
      </c>
      <c r="AC71" s="123">
        <v>1398</v>
      </c>
      <c r="AD71" s="123">
        <v>1728</v>
      </c>
      <c r="AE71" s="123">
        <v>185</v>
      </c>
      <c r="AF71" s="124">
        <v>202</v>
      </c>
      <c r="AG71" s="124">
        <v>14</v>
      </c>
      <c r="AH71" s="123">
        <v>3</v>
      </c>
      <c r="AI71" s="123">
        <v>50</v>
      </c>
    </row>
    <row r="72">
      <c r="A72" s="105">
        <v>46277</v>
      </c>
      <c r="B72" s="108" t="s">
        <v>201</v>
      </c>
      <c r="C72" s="107" t="s">
        <v>225</v>
      </c>
      <c r="D72" s="126">
        <v>5</v>
      </c>
      <c r="E72" s="108">
        <v>19</v>
      </c>
      <c r="F72" s="108">
        <v>23</v>
      </c>
      <c r="G72" s="120">
        <v>61081.30000000002</v>
      </c>
      <c r="H72" s="127">
        <v>16060.2</v>
      </c>
      <c r="I72" s="112">
        <f t="shared" si="62"/>
      </c>
      <c r="J72" s="113">
        <f t="shared" si="0"/>
      </c>
      <c r="K72" s="113">
        <f t="shared" si="198"/>
      </c>
      <c r="L72" s="114">
        <f t="shared" si="134"/>
      </c>
      <c r="M72" s="115" t="s">
        <v>226</v>
      </c>
      <c r="N72" s="116">
        <v>9</v>
      </c>
      <c r="O72" s="116"/>
      <c r="P72" s="117"/>
      <c r="Q72" s="118"/>
      <c r="R72" s="119"/>
      <c r="S72" s="120">
        <f t="shared" si="74"/>
      </c>
      <c r="T72" s="121">
        <f t="shared" si="12"/>
      </c>
      <c r="U72" s="122">
        <f t="shared" si="210"/>
      </c>
      <c r="V72" s="122">
        <f t="shared" si="149"/>
      </c>
      <c r="W72" s="122">
        <f t="shared" si="104"/>
      </c>
      <c r="X72" s="123">
        <f t="shared" si="42"/>
      </c>
      <c r="Y72" s="122">
        <f t="shared" si="240"/>
      </c>
      <c r="Z72" s="124">
        <v>51</v>
      </c>
      <c r="AA72" s="125">
        <f t="shared" si="179"/>
      </c>
      <c r="AB72" s="123">
        <v>146688</v>
      </c>
      <c r="AC72" s="123">
        <v>3096</v>
      </c>
      <c r="AD72" s="123">
        <v>3312</v>
      </c>
      <c r="AE72" s="123">
        <v>721</v>
      </c>
      <c r="AF72" s="124">
        <v>267</v>
      </c>
      <c r="AG72" s="124">
        <v>28</v>
      </c>
      <c r="AH72" s="123">
        <v>8</v>
      </c>
      <c r="AI72" s="123">
        <v>199</v>
      </c>
    </row>
    <row customHeight="true" ht="16.071428571428573" r="73">
      <c r="A73" s="105">
        <v>46277</v>
      </c>
      <c r="B73" s="108" t="s">
        <v>208</v>
      </c>
      <c r="C73" s="107" t="s">
        <v>227</v>
      </c>
      <c r="D73" s="126">
        <v>5</v>
      </c>
      <c r="E73" s="108">
        <v>13</v>
      </c>
      <c r="F73" s="108">
        <v>13</v>
      </c>
      <c r="G73" s="130">
        <v>28687.25</v>
      </c>
      <c r="H73" s="127">
        <v>14001.42</v>
      </c>
      <c r="I73" s="112">
        <f t="shared" si="62"/>
      </c>
      <c r="J73" s="113">
        <f t="shared" si="0"/>
      </c>
      <c r="K73" s="113">
        <f t="shared" si="198"/>
      </c>
      <c r="L73" s="114">
        <f t="shared" si="134"/>
      </c>
      <c r="M73" s="128"/>
      <c r="N73" s="129"/>
      <c r="O73" s="129"/>
      <c r="P73" s="117"/>
      <c r="Q73" s="118"/>
      <c r="R73" s="119"/>
      <c r="S73" s="120">
        <f t="shared" si="74"/>
      </c>
      <c r="T73" s="121">
        <f t="shared" si="12"/>
      </c>
      <c r="U73" s="122">
        <f t="shared" si="210"/>
      </c>
      <c r="V73" s="122">
        <f t="shared" si="149"/>
      </c>
      <c r="W73" s="122">
        <f t="shared" si="104"/>
      </c>
      <c r="X73" s="123">
        <f t="shared" si="42"/>
      </c>
      <c r="Y73" s="122">
        <f t="shared" si="240"/>
      </c>
      <c r="Z73" s="124">
        <v>65</v>
      </c>
      <c r="AA73" s="125">
        <f t="shared" si="179"/>
      </c>
      <c r="AB73" s="123">
        <v>108301</v>
      </c>
      <c r="AC73" s="123">
        <v>2019</v>
      </c>
      <c r="AD73" s="123">
        <v>2151</v>
      </c>
      <c r="AE73" s="123">
        <v>474</v>
      </c>
      <c r="AF73" s="124">
        <v>331</v>
      </c>
      <c r="AG73" s="124">
        <v>14</v>
      </c>
      <c r="AH73" s="123">
        <v>9</v>
      </c>
      <c r="AI73" s="123">
        <v>93</v>
      </c>
    </row>
    <row customHeight="true" ht="16.071428571428573" r="74">
      <c r="A74" s="105">
        <v>46277</v>
      </c>
      <c r="B74" s="108" t="s">
        <v>211</v>
      </c>
      <c r="C74" s="107" t="s">
        <v>229</v>
      </c>
      <c r="D74" s="126">
        <v>5</v>
      </c>
      <c r="E74" s="108">
        <v>21</v>
      </c>
      <c r="F74" s="115">
        <v>22</v>
      </c>
      <c r="G74" s="130">
        <v>49748.770000000004</v>
      </c>
      <c r="H74" s="131">
        <v>12889.130000000001</v>
      </c>
      <c r="I74" s="112">
        <f t="shared" si="62"/>
      </c>
      <c r="J74" s="113">
        <f t="shared" si="0"/>
      </c>
      <c r="K74" s="113">
        <f t="shared" si="198"/>
      </c>
      <c r="L74" s="114">
        <f t="shared" si="134"/>
      </c>
      <c r="M74" s="128" t="s">
        <v>221</v>
      </c>
      <c r="N74" s="129">
        <v>8</v>
      </c>
      <c r="O74" s="129"/>
      <c r="P74" s="117"/>
      <c r="Q74" s="118"/>
      <c r="R74" s="119"/>
      <c r="S74" s="120">
        <f t="shared" si="74"/>
      </c>
      <c r="T74" s="121">
        <f t="shared" si="12"/>
      </c>
      <c r="U74" s="122">
        <f t="shared" si="210"/>
      </c>
      <c r="V74" s="122">
        <f t="shared" si="149"/>
      </c>
      <c r="W74" s="122">
        <f t="shared" si="104"/>
      </c>
      <c r="X74" s="123">
        <f t="shared" si="42"/>
      </c>
      <c r="Y74" s="122">
        <f t="shared" si="240"/>
      </c>
      <c r="Z74" s="124">
        <v>64</v>
      </c>
      <c r="AA74" s="125">
        <f t="shared" si="179"/>
      </c>
      <c r="AB74" s="123">
        <v>86978</v>
      </c>
      <c r="AC74" s="123">
        <v>1716</v>
      </c>
      <c r="AD74" s="123">
        <v>1870</v>
      </c>
      <c r="AE74" s="123">
        <v>324</v>
      </c>
      <c r="AF74" s="124">
        <v>277</v>
      </c>
      <c r="AG74" s="123">
        <v>31</v>
      </c>
      <c r="AH74" s="123">
        <v>4</v>
      </c>
      <c r="AI74" s="123">
        <v>59</v>
      </c>
    </row>
    <row customHeight="true" ht="16.071428571428573" r="75">
      <c r="A75" s="105">
        <v>46277</v>
      </c>
      <c r="B75" s="108" t="s">
        <v>206</v>
      </c>
      <c r="C75" s="107" t="s">
        <v>230</v>
      </c>
      <c r="D75" s="126">
        <v>3</v>
      </c>
      <c r="E75" s="115">
        <v>12</v>
      </c>
      <c r="F75" s="115">
        <v>14</v>
      </c>
      <c r="G75" s="130">
        <v>34865.16</v>
      </c>
      <c r="H75" s="132">
        <v>11881.279999999999</v>
      </c>
      <c r="I75" s="112">
        <f t="shared" si="62"/>
      </c>
      <c r="J75" s="113">
        <f t="shared" si="0"/>
      </c>
      <c r="K75" s="113">
        <f t="shared" si="198"/>
      </c>
      <c r="L75" s="114">
        <f t="shared" si="134"/>
      </c>
      <c r="M75" s="108"/>
      <c r="N75" s="108"/>
      <c r="O75" s="108"/>
      <c r="P75" s="117"/>
      <c r="Q75" s="118"/>
      <c r="R75" s="119"/>
      <c r="S75" s="120">
        <f t="shared" si="74"/>
      </c>
      <c r="T75" s="121">
        <f t="shared" si="12"/>
      </c>
      <c r="U75" s="122">
        <f t="shared" si="210"/>
      </c>
      <c r="V75" s="122">
        <f t="shared" si="149"/>
      </c>
      <c r="W75" s="122">
        <f t="shared" si="104"/>
      </c>
      <c r="X75" s="123">
        <f t="shared" si="42"/>
      </c>
      <c r="Y75" s="122">
        <f t="shared" si="240"/>
      </c>
      <c r="Z75" s="124">
        <v>63</v>
      </c>
      <c r="AA75" s="125">
        <f t="shared" si="179"/>
      </c>
      <c r="AB75" s="123">
        <v>101598</v>
      </c>
      <c r="AC75" s="123">
        <v>2275</v>
      </c>
      <c r="AD75" s="123">
        <v>2524</v>
      </c>
      <c r="AE75" s="123">
        <v>340</v>
      </c>
      <c r="AF75" s="123">
        <v>295</v>
      </c>
      <c r="AG75" s="123">
        <v>21</v>
      </c>
      <c r="AH75" s="123">
        <v>3</v>
      </c>
      <c r="AI75" s="123">
        <v>83</v>
      </c>
    </row>
    <row customHeight="true" ht="16.071428571428573" r="76">
      <c r="A76" s="135">
        <v>46277</v>
      </c>
      <c r="B76" s="136" t="s">
        <v>214</v>
      </c>
      <c r="C76" s="137"/>
      <c r="D76" s="137">
        <f>SUM(D70:D75)</f>
      </c>
      <c r="E76" s="137">
        <f>SUM(E70:E75)</f>
      </c>
      <c r="F76" s="137">
        <f>SUM(F70:F75)</f>
      </c>
      <c r="G76" s="137">
        <f>SUM(G70:G75)</f>
      </c>
      <c r="H76" s="137">
        <f>SUM(H70:H75)</f>
      </c>
      <c r="I76" s="139">
        <f t="shared" si="62"/>
      </c>
      <c r="J76" s="139">
        <f t="shared" si="0"/>
      </c>
      <c r="K76" s="139">
        <f t="shared" si="198"/>
      </c>
      <c r="L76" s="139"/>
      <c r="M76" s="137"/>
      <c r="N76" s="140">
        <f>SUM(N70:N75)</f>
      </c>
      <c r="O76" s="140"/>
      <c r="P76" s="137"/>
      <c r="Q76" s="137"/>
      <c r="R76" s="137"/>
      <c r="S76" s="141">
        <f>AVERAGE(S70:S75)</f>
      </c>
      <c r="T76" s="142">
        <f>AVERAGE(T70:T75)</f>
      </c>
      <c r="U76" s="142">
        <f>AVERAGE(U70:U75)</f>
      </c>
      <c r="V76" s="142">
        <f>AVERAGE(V70:V75)</f>
      </c>
      <c r="W76" s="142">
        <f>AVERAGE(W70:W75)</f>
      </c>
      <c r="X76" s="143">
        <f>SUM(X70:X75)</f>
      </c>
      <c r="Y76" s="142">
        <f>AVERAGE(Y70:Y75)</f>
      </c>
      <c r="Z76" s="143"/>
      <c r="AA76" s="144">
        <f>AVERAGE(AA70:AA75)</f>
      </c>
      <c r="AB76" s="143">
        <f>SUM(AB70:AB75)</f>
      </c>
      <c r="AC76" s="143">
        <f>SUM(AC70:AC75)</f>
      </c>
      <c r="AD76" s="143">
        <f>SUM(AD70:AD75)</f>
      </c>
      <c r="AE76" s="143">
        <f>SUM(AE70:AE75)</f>
      </c>
      <c r="AF76" s="143">
        <f>SUM(AF70:AF75)</f>
      </c>
      <c r="AG76" s="143">
        <f>SUM(AG70:AG75)</f>
      </c>
      <c r="AH76" s="143">
        <f>SUM(AH70:AH75)</f>
      </c>
      <c r="AI76" s="143">
        <f>SUM(AI70:AI75)</f>
      </c>
    </row>
    <row customHeight="true" ht="16.071428571428573" r="77">
      <c r="A77" s="105">
        <v>46278</v>
      </c>
      <c r="B77" s="108" t="s">
        <v>206</v>
      </c>
      <c r="C77" s="107" t="s">
        <v>223</v>
      </c>
      <c r="D77" s="108">
        <v>1</v>
      </c>
      <c r="E77" s="109">
        <v>3</v>
      </c>
      <c r="F77" s="109">
        <v>3</v>
      </c>
      <c r="G77" s="110">
        <v>6531.530000000001</v>
      </c>
      <c r="H77" s="111">
        <v>2706.3</v>
      </c>
      <c r="I77" s="112">
        <f t="shared" si="62"/>
      </c>
      <c r="J77" s="113">
        <f t="shared" si="0"/>
      </c>
      <c r="K77" s="114">
        <f t="shared" si="198"/>
      </c>
      <c r="L77" s="114">
        <f t="shared" ref="L77:L82" si="135">H77/D77</f>
      </c>
      <c r="M77" s="115" t="s">
        <v>216</v>
      </c>
      <c r="N77" s="116">
        <v>7</v>
      </c>
      <c r="O77" s="116"/>
      <c r="P77" s="117"/>
      <c r="Q77" s="118"/>
      <c r="R77" s="119"/>
      <c r="S77" s="120">
        <f t="shared" ref="S77:S82" si="75">H77/AC77</f>
      </c>
      <c r="T77" s="121">
        <f t="shared" ref="T77:T82" si="13">X77/AB77*1</f>
      </c>
      <c r="U77" s="122">
        <f t="shared" ref="U77:U82" si="211">AC77/AB77</f>
      </c>
      <c r="V77" s="122">
        <f t="shared" ref="V77:V82" si="150">AD77/AB77</f>
      </c>
      <c r="W77" s="122">
        <f t="shared" ref="W77:W82" si="105">AF77/AD77</f>
      </c>
      <c r="X77" s="123">
        <f t="shared" ref="X77:X82" si="43">AE77/Y77</f>
      </c>
      <c r="Y77" s="122">
        <f t="shared" ref="Y77:Y82" si="241">AE77/AD77</f>
      </c>
      <c r="Z77" s="124">
        <v>61</v>
      </c>
      <c r="AA77" s="125">
        <f t="shared" ref="AA77:AA82" si="180">(H77/AB77)*1000</f>
      </c>
      <c r="AB77" s="123">
        <v>28360</v>
      </c>
      <c r="AC77" s="123">
        <v>655</v>
      </c>
      <c r="AD77" s="123">
        <v>769</v>
      </c>
      <c r="AE77" s="123">
        <v>95</v>
      </c>
      <c r="AF77" s="124">
        <v>51</v>
      </c>
      <c r="AG77" s="123">
        <v>10</v>
      </c>
      <c r="AH77" s="123">
        <v>0</v>
      </c>
      <c r="AI77" s="123">
        <v>35</v>
      </c>
    </row>
    <row customHeight="true" ht="16.071428571428573" r="78">
      <c r="A78" s="105">
        <v>46278</v>
      </c>
      <c r="B78" s="108" t="s">
        <v>204</v>
      </c>
      <c r="C78" s="107" t="s">
        <v>224</v>
      </c>
      <c r="D78" s="126">
        <v>5</v>
      </c>
      <c r="E78" s="108">
        <v>11</v>
      </c>
      <c r="F78" s="108">
        <v>11</v>
      </c>
      <c r="G78" s="120">
        <v>27089.789999999997</v>
      </c>
      <c r="H78" s="127">
        <v>5296.719999999999</v>
      </c>
      <c r="I78" s="112">
        <f t="shared" si="62"/>
      </c>
      <c r="J78" s="113">
        <f t="shared" si="0"/>
      </c>
      <c r="K78" s="113">
        <f t="shared" si="198"/>
      </c>
      <c r="L78" s="114">
        <f t="shared" si="135"/>
      </c>
      <c r="M78" s="128"/>
      <c r="N78" s="129"/>
      <c r="O78" s="129"/>
      <c r="P78" s="117"/>
      <c r="Q78" s="118"/>
      <c r="R78" s="119"/>
      <c r="S78" s="120">
        <f t="shared" si="75"/>
      </c>
      <c r="T78" s="121">
        <f t="shared" si="13"/>
      </c>
      <c r="U78" s="122">
        <f t="shared" si="211"/>
      </c>
      <c r="V78" s="122">
        <f t="shared" si="150"/>
      </c>
      <c r="W78" s="122">
        <f t="shared" si="105"/>
      </c>
      <c r="X78" s="123">
        <f t="shared" si="43"/>
      </c>
      <c r="Y78" s="122">
        <f t="shared" si="241"/>
      </c>
      <c r="Z78" s="124">
        <v>69</v>
      </c>
      <c r="AA78" s="125">
        <f t="shared" si="180"/>
      </c>
      <c r="AB78" s="123">
        <v>75653</v>
      </c>
      <c r="AC78" s="123">
        <v>2132</v>
      </c>
      <c r="AD78" s="123">
        <v>2445</v>
      </c>
      <c r="AE78" s="123">
        <v>264</v>
      </c>
      <c r="AF78" s="124">
        <v>168</v>
      </c>
      <c r="AG78" s="124">
        <v>22</v>
      </c>
      <c r="AH78" s="123">
        <v>4</v>
      </c>
      <c r="AI78" s="123">
        <v>96</v>
      </c>
    </row>
    <row customHeight="true" ht="16.071428571428573" r="79">
      <c r="A79" s="105">
        <v>46278</v>
      </c>
      <c r="B79" s="108" t="s">
        <v>208</v>
      </c>
      <c r="C79" s="107" t="s">
        <v>225</v>
      </c>
      <c r="D79" s="126">
        <v>5</v>
      </c>
      <c r="E79" s="108">
        <v>12</v>
      </c>
      <c r="F79" s="108">
        <v>17</v>
      </c>
      <c r="G79" s="120">
        <v>45764.46000000001</v>
      </c>
      <c r="H79" s="127">
        <v>19736.66</v>
      </c>
      <c r="I79" s="112">
        <f t="shared" si="62"/>
      </c>
      <c r="J79" s="113">
        <f t="shared" si="0"/>
      </c>
      <c r="K79" s="113">
        <f t="shared" si="198"/>
      </c>
      <c r="L79" s="114">
        <f t="shared" si="135"/>
      </c>
      <c r="M79" s="115" t="s">
        <v>226</v>
      </c>
      <c r="N79" s="116">
        <v>9</v>
      </c>
      <c r="O79" s="116"/>
      <c r="P79" s="117"/>
      <c r="Q79" s="118"/>
      <c r="R79" s="119"/>
      <c r="S79" s="120">
        <f t="shared" si="75"/>
      </c>
      <c r="T79" s="121">
        <f t="shared" si="13"/>
      </c>
      <c r="U79" s="122">
        <f t="shared" si="211"/>
      </c>
      <c r="V79" s="122">
        <f t="shared" si="150"/>
      </c>
      <c r="W79" s="122">
        <f t="shared" si="105"/>
      </c>
      <c r="X79" s="123">
        <f t="shared" si="43"/>
      </c>
      <c r="Y79" s="122">
        <f t="shared" si="241"/>
      </c>
      <c r="Z79" s="124">
        <v>74</v>
      </c>
      <c r="AA79" s="125">
        <f t="shared" si="180"/>
      </c>
      <c r="AB79" s="123">
        <v>156777</v>
      </c>
      <c r="AC79" s="123">
        <v>3942</v>
      </c>
      <c r="AD79" s="123">
        <v>4389</v>
      </c>
      <c r="AE79" s="123">
        <v>675</v>
      </c>
      <c r="AF79" s="124">
        <v>329</v>
      </c>
      <c r="AG79" s="124">
        <v>37</v>
      </c>
      <c r="AH79" s="123">
        <v>5</v>
      </c>
      <c r="AI79" s="123">
        <v>188</v>
      </c>
    </row>
    <row customHeight="true" ht="16.071428571428573" r="80">
      <c r="A80" s="105">
        <v>46278</v>
      </c>
      <c r="B80" s="108" t="s">
        <v>201</v>
      </c>
      <c r="C80" s="107" t="s">
        <v>227</v>
      </c>
      <c r="D80" s="126">
        <v>5</v>
      </c>
      <c r="E80" s="108">
        <v>11</v>
      </c>
      <c r="F80" s="108">
        <v>14</v>
      </c>
      <c r="G80" s="130">
        <v>33344.31</v>
      </c>
      <c r="H80" s="127">
        <v>14669.240000000002</v>
      </c>
      <c r="I80" s="112">
        <f t="shared" si="62"/>
      </c>
      <c r="J80" s="113">
        <f t="shared" si="0"/>
      </c>
      <c r="K80" s="113">
        <f t="shared" si="198"/>
      </c>
      <c r="L80" s="114">
        <f t="shared" si="135"/>
      </c>
      <c r="M80" s="128"/>
      <c r="N80" s="129"/>
      <c r="O80" s="129"/>
      <c r="P80" s="117"/>
      <c r="Q80" s="118"/>
      <c r="R80" s="119"/>
      <c r="S80" s="120">
        <f t="shared" si="75"/>
      </c>
      <c r="T80" s="121">
        <f t="shared" si="13"/>
      </c>
      <c r="U80" s="122">
        <f t="shared" si="211"/>
      </c>
      <c r="V80" s="122">
        <f t="shared" si="150"/>
      </c>
      <c r="W80" s="122">
        <f t="shared" si="105"/>
      </c>
      <c r="X80" s="123">
        <f t="shared" si="43"/>
      </c>
      <c r="Y80" s="122">
        <f t="shared" si="241"/>
      </c>
      <c r="Z80" s="124">
        <v>74</v>
      </c>
      <c r="AA80" s="125">
        <f t="shared" si="180"/>
      </c>
      <c r="AB80" s="123">
        <v>83304</v>
      </c>
      <c r="AC80" s="123">
        <v>2292</v>
      </c>
      <c r="AD80" s="123">
        <v>2583</v>
      </c>
      <c r="AE80" s="123">
        <v>340</v>
      </c>
      <c r="AF80" s="124">
        <v>180</v>
      </c>
      <c r="AG80" s="124">
        <v>21</v>
      </c>
      <c r="AH80" s="123">
        <v>10</v>
      </c>
      <c r="AI80" s="123">
        <v>57</v>
      </c>
    </row>
    <row customHeight="true" ht="16.071428571428573" r="81">
      <c r="A81" s="105">
        <v>46278</v>
      </c>
      <c r="B81" s="108" t="s">
        <v>206</v>
      </c>
      <c r="C81" s="107" t="s">
        <v>229</v>
      </c>
      <c r="D81" s="126">
        <v>4</v>
      </c>
      <c r="E81" s="108">
        <v>7</v>
      </c>
      <c r="F81" s="115">
        <v>11</v>
      </c>
      <c r="G81" s="130">
        <v>29181.469999999958</v>
      </c>
      <c r="H81" s="131">
        <v>9343.02</v>
      </c>
      <c r="I81" s="112">
        <f t="shared" si="62"/>
      </c>
      <c r="J81" s="113">
        <f t="shared" si="0"/>
      </c>
      <c r="K81" s="113">
        <f t="shared" si="198"/>
      </c>
      <c r="L81" s="114">
        <f t="shared" si="135"/>
      </c>
      <c r="M81" s="128" t="s">
        <v>221</v>
      </c>
      <c r="N81" s="129">
        <v>8</v>
      </c>
      <c r="O81" s="129"/>
      <c r="P81" s="117"/>
      <c r="Q81" s="118"/>
      <c r="R81" s="119"/>
      <c r="S81" s="120">
        <f t="shared" si="75"/>
      </c>
      <c r="T81" s="121">
        <f t="shared" si="13"/>
      </c>
      <c r="U81" s="122">
        <f t="shared" si="211"/>
      </c>
      <c r="V81" s="122">
        <f t="shared" si="150"/>
      </c>
      <c r="W81" s="122">
        <f t="shared" si="105"/>
      </c>
      <c r="X81" s="123">
        <f t="shared" si="43"/>
      </c>
      <c r="Y81" s="122">
        <f t="shared" si="241"/>
      </c>
      <c r="Z81" s="124">
        <v>75</v>
      </c>
      <c r="AA81" s="125">
        <f t="shared" si="180"/>
      </c>
      <c r="AB81" s="123">
        <v>49816</v>
      </c>
      <c r="AC81" s="123">
        <v>1081</v>
      </c>
      <c r="AD81" s="123">
        <v>1212</v>
      </c>
      <c r="AE81" s="123">
        <v>225</v>
      </c>
      <c r="AF81" s="124">
        <v>161</v>
      </c>
      <c r="AG81" s="123">
        <v>14</v>
      </c>
      <c r="AH81" s="123">
        <v>3</v>
      </c>
      <c r="AI81" s="123">
        <v>26</v>
      </c>
    </row>
    <row customHeight="true" ht="16.071428571428573" r="82">
      <c r="A82" s="105">
        <v>46278</v>
      </c>
      <c r="B82" s="108" t="s">
        <v>218</v>
      </c>
      <c r="C82" s="107" t="s">
        <v>230</v>
      </c>
      <c r="D82" s="126">
        <v>4</v>
      </c>
      <c r="E82" s="115">
        <v>14</v>
      </c>
      <c r="F82" s="115">
        <v>19</v>
      </c>
      <c r="G82" s="130">
        <v>43000.82999999999</v>
      </c>
      <c r="H82" s="132">
        <v>11128.01</v>
      </c>
      <c r="I82" s="112">
        <f t="shared" si="62"/>
      </c>
      <c r="J82" s="113">
        <f t="shared" si="0"/>
      </c>
      <c r="K82" s="113">
        <f t="shared" si="198"/>
      </c>
      <c r="L82" s="114">
        <f t="shared" si="135"/>
      </c>
      <c r="M82" s="108"/>
      <c r="N82" s="108"/>
      <c r="O82" s="108"/>
      <c r="P82" s="117"/>
      <c r="Q82" s="118"/>
      <c r="R82" s="119"/>
      <c r="S82" s="120">
        <f t="shared" si="75"/>
      </c>
      <c r="T82" s="121">
        <f t="shared" si="13"/>
      </c>
      <c r="U82" s="122">
        <f t="shared" si="211"/>
      </c>
      <c r="V82" s="122">
        <f t="shared" si="150"/>
      </c>
      <c r="W82" s="122">
        <f t="shared" si="105"/>
      </c>
      <c r="X82" s="123">
        <f t="shared" si="43"/>
      </c>
      <c r="Y82" s="122">
        <f t="shared" si="241"/>
      </c>
      <c r="Z82" s="124">
        <v>75.25</v>
      </c>
      <c r="AA82" s="125">
        <f t="shared" si="180"/>
      </c>
      <c r="AB82" s="123">
        <v>69635</v>
      </c>
      <c r="AC82" s="123">
        <v>1845</v>
      </c>
      <c r="AD82" s="123">
        <v>2007</v>
      </c>
      <c r="AE82" s="123">
        <v>259</v>
      </c>
      <c r="AF82" s="123">
        <v>214</v>
      </c>
      <c r="AG82" s="123">
        <v>21</v>
      </c>
      <c r="AH82" s="123">
        <v>4</v>
      </c>
      <c r="AI82" s="123">
        <v>26</v>
      </c>
    </row>
    <row r="83">
      <c r="A83" s="135">
        <v>46278</v>
      </c>
      <c r="B83" s="136" t="s">
        <v>214</v>
      </c>
      <c r="C83" s="137"/>
      <c r="D83" s="137">
        <f>SUM(D77:D82)</f>
      </c>
      <c r="E83" s="137">
        <f>SUM(E77:E82)</f>
      </c>
      <c r="F83" s="137">
        <f>SUM(F77:F82)</f>
      </c>
      <c r="G83" s="137">
        <f>SUM(G77:G82)</f>
      </c>
      <c r="H83" s="137">
        <f>SUM(H77:H82)</f>
      </c>
      <c r="I83" s="139">
        <f t="shared" si="62"/>
      </c>
      <c r="J83" s="139">
        <f t="shared" si="0"/>
      </c>
      <c r="K83" s="139">
        <f t="shared" si="198"/>
      </c>
      <c r="L83" s="139"/>
      <c r="M83" s="137"/>
      <c r="N83" s="140">
        <f>SUM(N77:N82)</f>
      </c>
      <c r="O83" s="140"/>
      <c r="P83" s="137"/>
      <c r="Q83" s="137"/>
      <c r="R83" s="137"/>
      <c r="S83" s="141">
        <f>AVERAGE(S77:S82)</f>
      </c>
      <c r="T83" s="142">
        <f>AVERAGE(T77:T82)</f>
      </c>
      <c r="U83" s="142">
        <f>AVERAGE(U77:U82)</f>
      </c>
      <c r="V83" s="142">
        <f>AVERAGE(V77:V82)</f>
      </c>
      <c r="W83" s="142">
        <f>AVERAGE(W77:W82)</f>
      </c>
      <c r="X83" s="143">
        <f>SUM(X77:X82)</f>
      </c>
      <c r="Y83" s="142">
        <f>AVERAGE(Y77:Y82)</f>
      </c>
      <c r="Z83" s="143"/>
      <c r="AA83" s="144">
        <f>AVERAGE(AA77:AA82)</f>
      </c>
      <c r="AB83" s="143">
        <f>SUM(AB77:AB82)</f>
      </c>
      <c r="AC83" s="143">
        <f>SUM(AC77:AC82)</f>
      </c>
      <c r="AD83" s="143">
        <f>SUM(AD77:AD82)</f>
      </c>
      <c r="AE83" s="143">
        <f>SUM(AE77:AE82)</f>
      </c>
      <c r="AF83" s="143">
        <f>SUM(AF77:AF82)</f>
      </c>
      <c r="AG83" s="143">
        <f>SUM(AG77:AG82)</f>
      </c>
      <c r="AH83" s="143">
        <f>SUM(AH77:AH82)</f>
      </c>
      <c r="AI83" s="143">
        <f>SUM(AI77:AI82)</f>
      </c>
    </row>
    <row r="84">
      <c r="A84" s="105">
        <v>46279</v>
      </c>
      <c r="B84" s="108" t="s">
        <v>218</v>
      </c>
      <c r="C84" s="107" t="s">
        <v>223</v>
      </c>
      <c r="D84" s="108">
        <v>1</v>
      </c>
      <c r="E84" s="109">
        <v>1</v>
      </c>
      <c r="F84" s="109">
        <v>1</v>
      </c>
      <c r="G84" s="110">
        <v>1994.85</v>
      </c>
      <c r="H84" s="111">
        <v>1964.94</v>
      </c>
      <c r="I84" s="112">
        <f t="shared" si="62"/>
      </c>
      <c r="J84" s="113">
        <f t="shared" si="0"/>
      </c>
      <c r="K84" s="114">
        <f t="shared" si="198"/>
      </c>
      <c r="L84" s="114">
        <f t="shared" ref="L84:L89" si="136">H84/D84</f>
      </c>
      <c r="M84" s="115" t="s">
        <v>216</v>
      </c>
      <c r="N84" s="116">
        <v>7</v>
      </c>
      <c r="O84" s="116"/>
      <c r="P84" s="117"/>
      <c r="Q84" s="118"/>
      <c r="R84" s="119"/>
      <c r="S84" s="120">
        <f t="shared" ref="S84:S89" si="76">H84/AC84</f>
      </c>
      <c r="T84" s="121">
        <f t="shared" ref="T84:T89" si="14">X84/AB84*1</f>
      </c>
      <c r="U84" s="122">
        <f t="shared" ref="U84:U89" si="212">AC84/AB84</f>
      </c>
      <c r="V84" s="122">
        <f t="shared" ref="V84:V89" si="151">AD84/AB84</f>
      </c>
      <c r="W84" s="122">
        <f t="shared" ref="W84:W89" si="106">AF84/AD84</f>
      </c>
      <c r="X84" s="123">
        <f t="shared" ref="X84:X89" si="44">AE84/Y84</f>
      </c>
      <c r="Y84" s="122">
        <f t="shared" ref="Y84:Y89" si="242">AE84/AD84</f>
      </c>
      <c r="Z84" s="124">
        <v>75</v>
      </c>
      <c r="AA84" s="125">
        <f t="shared" ref="AA84:AA89" si="181">(H84/AB84)*1000</f>
      </c>
      <c r="AB84" s="123">
        <v>19886</v>
      </c>
      <c r="AC84" s="123">
        <v>522</v>
      </c>
      <c r="AD84" s="123">
        <v>581</v>
      </c>
      <c r="AE84" s="123">
        <v>57</v>
      </c>
      <c r="AF84" s="124">
        <v>35</v>
      </c>
      <c r="AG84" s="123">
        <v>3</v>
      </c>
      <c r="AH84" s="123">
        <v>0</v>
      </c>
      <c r="AI84" s="123">
        <v>18</v>
      </c>
    </row>
    <row customHeight="true" ht="16.071428571428573" r="85">
      <c r="A85" s="105">
        <v>46279</v>
      </c>
      <c r="B85" s="108" t="s">
        <v>211</v>
      </c>
      <c r="C85" s="107" t="s">
        <v>224</v>
      </c>
      <c r="D85" s="126">
        <v>5</v>
      </c>
      <c r="E85" s="108">
        <v>4</v>
      </c>
      <c r="F85" s="108">
        <v>5</v>
      </c>
      <c r="G85" s="120">
        <v>14736.75</v>
      </c>
      <c r="H85" s="127">
        <v>3612.49</v>
      </c>
      <c r="I85" s="112">
        <f t="shared" si="62"/>
      </c>
      <c r="J85" s="113">
        <f t="shared" si="0"/>
      </c>
      <c r="K85" s="113">
        <f t="shared" si="198"/>
      </c>
      <c r="L85" s="114">
        <f t="shared" si="136"/>
      </c>
      <c r="M85" s="128"/>
      <c r="N85" s="129"/>
      <c r="O85" s="129"/>
      <c r="P85" s="117"/>
      <c r="Q85" s="118"/>
      <c r="R85" s="119"/>
      <c r="S85" s="120">
        <f t="shared" si="76"/>
      </c>
      <c r="T85" s="121">
        <f t="shared" si="14"/>
      </c>
      <c r="U85" s="122">
        <f t="shared" si="212"/>
      </c>
      <c r="V85" s="122">
        <f t="shared" si="151"/>
      </c>
      <c r="W85" s="122">
        <f t="shared" si="106"/>
      </c>
      <c r="X85" s="123">
        <f t="shared" si="44"/>
      </c>
      <c r="Y85" s="122">
        <f t="shared" si="242"/>
      </c>
      <c r="Z85" s="124">
        <v>77.4</v>
      </c>
      <c r="AA85" s="125">
        <f t="shared" si="181"/>
      </c>
      <c r="AB85" s="123">
        <v>47567</v>
      </c>
      <c r="AC85" s="123">
        <v>1506</v>
      </c>
      <c r="AD85" s="123">
        <v>1746</v>
      </c>
      <c r="AE85" s="123">
        <v>158</v>
      </c>
      <c r="AF85" s="124">
        <v>105</v>
      </c>
      <c r="AG85" s="124">
        <v>13</v>
      </c>
      <c r="AH85" s="123">
        <v>1</v>
      </c>
      <c r="AI85" s="123">
        <v>51</v>
      </c>
    </row>
    <row customHeight="true" ht="16.071428571428573" r="86">
      <c r="A86" s="105">
        <v>46279</v>
      </c>
      <c r="B86" s="108" t="s">
        <v>208</v>
      </c>
      <c r="C86" s="107" t="s">
        <v>225</v>
      </c>
      <c r="D86" s="126">
        <v>5</v>
      </c>
      <c r="E86" s="108">
        <v>17</v>
      </c>
      <c r="F86" s="108">
        <v>21</v>
      </c>
      <c r="G86" s="120">
        <v>54787.68999999999</v>
      </c>
      <c r="H86" s="127">
        <v>16886.97</v>
      </c>
      <c r="I86" s="112">
        <f t="shared" si="62"/>
      </c>
      <c r="J86" s="113">
        <f t="shared" si="0"/>
      </c>
      <c r="K86" s="113">
        <f t="shared" si="198"/>
      </c>
      <c r="L86" s="114">
        <f t="shared" si="136"/>
      </c>
      <c r="M86" s="115" t="s">
        <v>226</v>
      </c>
      <c r="N86" s="116">
        <v>9</v>
      </c>
      <c r="O86" s="116"/>
      <c r="P86" s="117"/>
      <c r="Q86" s="118"/>
      <c r="R86" s="119"/>
      <c r="S86" s="120">
        <f t="shared" si="76"/>
      </c>
      <c r="T86" s="121">
        <f t="shared" si="14"/>
      </c>
      <c r="U86" s="122">
        <f t="shared" si="212"/>
      </c>
      <c r="V86" s="122">
        <f t="shared" si="151"/>
      </c>
      <c r="W86" s="122">
        <f t="shared" si="106"/>
      </c>
      <c r="X86" s="123">
        <f t="shared" si="44"/>
      </c>
      <c r="Y86" s="122">
        <f t="shared" si="242"/>
      </c>
      <c r="Z86" s="124">
        <v>42.2</v>
      </c>
      <c r="AA86" s="125">
        <f t="shared" si="181"/>
      </c>
      <c r="AB86" s="123">
        <v>114755</v>
      </c>
      <c r="AC86" s="123">
        <v>2868</v>
      </c>
      <c r="AD86" s="123">
        <v>3116</v>
      </c>
      <c r="AE86" s="123">
        <v>566</v>
      </c>
      <c r="AF86" s="124">
        <v>271</v>
      </c>
      <c r="AG86" s="124">
        <v>28</v>
      </c>
      <c r="AH86" s="123">
        <v>4</v>
      </c>
      <c r="AI86" s="123">
        <v>122</v>
      </c>
    </row>
    <row customHeight="true" ht="16.071428571428573" r="87">
      <c r="A87" s="105">
        <v>46279</v>
      </c>
      <c r="B87" s="108" t="s">
        <v>201</v>
      </c>
      <c r="C87" s="107" t="s">
        <v>227</v>
      </c>
      <c r="D87" s="126">
        <v>5</v>
      </c>
      <c r="E87" s="108">
        <v>13</v>
      </c>
      <c r="F87" s="108">
        <v>14</v>
      </c>
      <c r="G87" s="130">
        <v>37857.13</v>
      </c>
      <c r="H87" s="127">
        <v>19203.129999999997</v>
      </c>
      <c r="I87" s="112">
        <f t="shared" si="62"/>
      </c>
      <c r="J87" s="113">
        <f t="shared" si="0"/>
      </c>
      <c r="K87" s="113">
        <f t="shared" si="198"/>
      </c>
      <c r="L87" s="114">
        <f t="shared" si="136"/>
      </c>
      <c r="M87" s="128"/>
      <c r="N87" s="129"/>
      <c r="O87" s="129"/>
      <c r="P87" s="117"/>
      <c r="Q87" s="118"/>
      <c r="R87" s="119"/>
      <c r="S87" s="120">
        <f t="shared" si="76"/>
      </c>
      <c r="T87" s="121">
        <f t="shared" si="14"/>
      </c>
      <c r="U87" s="122">
        <f t="shared" si="212"/>
      </c>
      <c r="V87" s="122">
        <f t="shared" si="151"/>
      </c>
      <c r="W87" s="122">
        <f t="shared" si="106"/>
      </c>
      <c r="X87" s="123">
        <f t="shared" si="44"/>
      </c>
      <c r="Y87" s="122">
        <f t="shared" si="242"/>
      </c>
      <c r="Z87" s="124">
        <v>54.4</v>
      </c>
      <c r="AA87" s="125">
        <f t="shared" si="181"/>
      </c>
      <c r="AB87" s="123">
        <v>146993</v>
      </c>
      <c r="AC87" s="123">
        <v>2600</v>
      </c>
      <c r="AD87" s="123">
        <v>2756</v>
      </c>
      <c r="AE87" s="123">
        <v>671</v>
      </c>
      <c r="AF87" s="124">
        <v>358</v>
      </c>
      <c r="AG87" s="124">
        <v>23</v>
      </c>
      <c r="AH87" s="123">
        <v>11</v>
      </c>
      <c r="AI87" s="123">
        <v>164</v>
      </c>
    </row>
    <row customHeight="true" ht="16.071428571428573" r="88">
      <c r="A88" s="105">
        <v>46279</v>
      </c>
      <c r="B88" s="108" t="s">
        <v>204</v>
      </c>
      <c r="C88" s="107" t="s">
        <v>229</v>
      </c>
      <c r="D88" s="126">
        <v>5</v>
      </c>
      <c r="E88" s="108">
        <v>12</v>
      </c>
      <c r="F88" s="115">
        <v>16</v>
      </c>
      <c r="G88" s="130">
        <v>38501.43999999999</v>
      </c>
      <c r="H88" s="131">
        <v>12392.07</v>
      </c>
      <c r="I88" s="112">
        <f t="shared" si="62"/>
      </c>
      <c r="J88" s="113">
        <f t="shared" si="0"/>
      </c>
      <c r="K88" s="113">
        <f t="shared" si="198"/>
      </c>
      <c r="L88" s="114">
        <f t="shared" si="136"/>
      </c>
      <c r="M88" s="128" t="s">
        <v>221</v>
      </c>
      <c r="N88" s="129">
        <v>8</v>
      </c>
      <c r="O88" s="129"/>
      <c r="P88" s="117"/>
      <c r="Q88" s="118"/>
      <c r="R88" s="119"/>
      <c r="S88" s="120">
        <f t="shared" si="76"/>
      </c>
      <c r="T88" s="121">
        <f t="shared" si="14"/>
      </c>
      <c r="U88" s="122">
        <f t="shared" si="212"/>
      </c>
      <c r="V88" s="122">
        <f t="shared" si="151"/>
      </c>
      <c r="W88" s="122">
        <f t="shared" si="106"/>
      </c>
      <c r="X88" s="123">
        <f t="shared" si="44"/>
      </c>
      <c r="Y88" s="122">
        <f t="shared" si="242"/>
      </c>
      <c r="Z88" s="124">
        <v>49</v>
      </c>
      <c r="AA88" s="125">
        <f t="shared" si="181"/>
      </c>
      <c r="AB88" s="123">
        <v>82383</v>
      </c>
      <c r="AC88" s="123">
        <v>1855</v>
      </c>
      <c r="AD88" s="123">
        <v>1989</v>
      </c>
      <c r="AE88" s="123">
        <v>347</v>
      </c>
      <c r="AF88" s="124">
        <v>287</v>
      </c>
      <c r="AG88" s="123">
        <v>16</v>
      </c>
      <c r="AH88" s="123">
        <v>6</v>
      </c>
      <c r="AI88" s="123">
        <v>73</v>
      </c>
    </row>
    <row customHeight="true" ht="16.071428571428573" r="89">
      <c r="A89" s="105">
        <v>46279</v>
      </c>
      <c r="B89" s="108" t="s">
        <v>218</v>
      </c>
      <c r="C89" s="107" t="s">
        <v>230</v>
      </c>
      <c r="D89" s="126">
        <v>3</v>
      </c>
      <c r="E89" s="115">
        <v>6</v>
      </c>
      <c r="F89" s="115">
        <v>8</v>
      </c>
      <c r="G89" s="130">
        <v>19613.670000000013</v>
      </c>
      <c r="H89" s="132">
        <v>8669.31</v>
      </c>
      <c r="I89" s="112">
        <f t="shared" si="62"/>
      </c>
      <c r="J89" s="113">
        <f t="shared" si="0"/>
      </c>
      <c r="K89" s="113">
        <f t="shared" si="198"/>
      </c>
      <c r="L89" s="114">
        <f t="shared" si="136"/>
      </c>
      <c r="M89" s="108"/>
      <c r="N89" s="108"/>
      <c r="O89" s="108"/>
      <c r="P89" s="117"/>
      <c r="Q89" s="118"/>
      <c r="R89" s="119"/>
      <c r="S89" s="120">
        <f t="shared" si="76"/>
      </c>
      <c r="T89" s="121">
        <f t="shared" si="14"/>
      </c>
      <c r="U89" s="122">
        <f t="shared" si="212"/>
      </c>
      <c r="V89" s="122">
        <f t="shared" si="151"/>
      </c>
      <c r="W89" s="122">
        <f t="shared" si="106"/>
      </c>
      <c r="X89" s="123">
        <f t="shared" si="44"/>
      </c>
      <c r="Y89" s="122">
        <f t="shared" si="242"/>
      </c>
      <c r="Z89" s="124">
        <v>43.666666666666664</v>
      </c>
      <c r="AA89" s="125">
        <f t="shared" si="181"/>
      </c>
      <c r="AB89" s="123">
        <v>72159</v>
      </c>
      <c r="AC89" s="123">
        <v>2008</v>
      </c>
      <c r="AD89" s="123">
        <v>2208</v>
      </c>
      <c r="AE89" s="123">
        <v>233</v>
      </c>
      <c r="AF89" s="123">
        <v>233</v>
      </c>
      <c r="AG89" s="123">
        <v>16</v>
      </c>
      <c r="AH89" s="123">
        <v>3</v>
      </c>
      <c r="AI89" s="123">
        <v>35</v>
      </c>
    </row>
    <row customHeight="true" ht="16.071428571428573" r="90">
      <c r="A90" s="135">
        <v>46279</v>
      </c>
      <c r="B90" s="136" t="s">
        <v>214</v>
      </c>
      <c r="C90" s="137"/>
      <c r="D90" s="137">
        <f>SUM(D84:D89)</f>
      </c>
      <c r="E90" s="137">
        <f>SUM(E84:E89)</f>
      </c>
      <c r="F90" s="137">
        <f>SUM(F84:F89)</f>
      </c>
      <c r="G90" s="137">
        <f>SUM(G84:G89)</f>
      </c>
      <c r="H90" s="137">
        <f>SUM(H84:H89)</f>
      </c>
      <c r="I90" s="139">
        <f t="shared" si="62"/>
      </c>
      <c r="J90" s="139">
        <f t="shared" si="0"/>
      </c>
      <c r="K90" s="139">
        <f t="shared" si="198"/>
      </c>
      <c r="L90" s="139"/>
      <c r="M90" s="137"/>
      <c r="N90" s="140">
        <f>SUM(N84:N89)</f>
      </c>
      <c r="O90" s="140"/>
      <c r="P90" s="137"/>
      <c r="Q90" s="137"/>
      <c r="R90" s="137"/>
      <c r="S90" s="141">
        <f>AVERAGE(S84:S89)</f>
      </c>
      <c r="T90" s="142">
        <f>AVERAGE(T84:T89)</f>
      </c>
      <c r="U90" s="142">
        <f>AVERAGE(U84:U89)</f>
      </c>
      <c r="V90" s="142">
        <f>AVERAGE(V84:V89)</f>
      </c>
      <c r="W90" s="142">
        <f>AVERAGE(W84:W89)</f>
      </c>
      <c r="X90" s="143">
        <f>SUM(X84:X89)</f>
      </c>
      <c r="Y90" s="142">
        <f>AVERAGE(Y84:Y89)</f>
      </c>
      <c r="Z90" s="143"/>
      <c r="AA90" s="144">
        <f>AVERAGE(AA84:AA89)</f>
      </c>
      <c r="AB90" s="143">
        <f>SUM(AB84:AB89)</f>
      </c>
      <c r="AC90" s="143">
        <f>SUM(AC84:AC89)</f>
      </c>
      <c r="AD90" s="143">
        <f>SUM(AD84:AD89)</f>
      </c>
      <c r="AE90" s="143">
        <f>SUM(AE84:AE89)</f>
      </c>
      <c r="AF90" s="143">
        <f>SUM(AF84:AF89)</f>
      </c>
      <c r="AG90" s="143">
        <f>SUM(AG84:AG89)</f>
      </c>
      <c r="AH90" s="143">
        <f>SUM(AH84:AH89)</f>
      </c>
      <c r="AI90" s="143">
        <f>SUM(AI84:AI89)</f>
      </c>
    </row>
    <row customHeight="true" ht="16.071428571428573" r="91">
      <c r="A91" s="105">
        <v>46280</v>
      </c>
      <c r="B91" s="108" t="s">
        <v>218</v>
      </c>
      <c r="C91" s="107" t="s">
        <v>223</v>
      </c>
      <c r="D91" s="108">
        <v>1</v>
      </c>
      <c r="E91" s="109">
        <v>3</v>
      </c>
      <c r="F91" s="109">
        <v>3</v>
      </c>
      <c r="G91" s="110">
        <v>8532.59</v>
      </c>
      <c r="H91" s="111">
        <v>1443</v>
      </c>
      <c r="I91" s="112">
        <f t="shared" si="62"/>
      </c>
      <c r="J91" s="113">
        <f t="shared" si="0"/>
      </c>
      <c r="K91" s="114">
        <f t="shared" si="198"/>
      </c>
      <c r="L91" s="114">
        <f t="shared" ref="L91:L188" si="137">H91/D91</f>
      </c>
      <c r="M91" s="115" t="s">
        <v>216</v>
      </c>
      <c r="N91" s="116">
        <v>6</v>
      </c>
      <c r="O91" s="116"/>
      <c r="P91" s="117"/>
      <c r="Q91" s="118"/>
      <c r="R91" s="119"/>
      <c r="S91" s="120">
        <f t="shared" ref="S91:S96" si="77">H91/AC91</f>
      </c>
      <c r="T91" s="121">
        <f t="shared" ref="T91:T96" si="15">X91/AB91*1</f>
      </c>
      <c r="U91" s="122">
        <f t="shared" ref="U91:U96" si="213">AC91/AB91</f>
      </c>
      <c r="V91" s="122">
        <f t="shared" ref="V91:V96" si="152">AD91/AB91</f>
      </c>
      <c r="W91" s="122">
        <f t="shared" ref="W91:W96" si="107">AF91/AD91</f>
      </c>
      <c r="X91" s="123">
        <f t="shared" ref="X91:X96" si="45">AE91/Y91</f>
      </c>
      <c r="Y91" s="122">
        <f t="shared" ref="Y91:Y96" si="243">AE91/AD91</f>
      </c>
      <c r="Z91" s="124">
        <v>44</v>
      </c>
      <c r="AA91" s="125">
        <f t="shared" ref="AA91:AA96" si="182">(H91/AB91)*1000</f>
      </c>
      <c r="AB91" s="123">
        <v>17700</v>
      </c>
      <c r="AC91" s="123">
        <v>459</v>
      </c>
      <c r="AD91" s="123">
        <v>515</v>
      </c>
      <c r="AE91" s="123">
        <v>49</v>
      </c>
      <c r="AF91" s="124">
        <v>72</v>
      </c>
      <c r="AG91" s="123">
        <v>5</v>
      </c>
      <c r="AH91" s="123">
        <v>1</v>
      </c>
      <c r="AI91" s="123">
        <v>14</v>
      </c>
    </row>
    <row customHeight="true" ht="16.071428571428573" r="92">
      <c r="A92" s="105">
        <v>46280</v>
      </c>
      <c r="B92" s="108" t="s">
        <v>211</v>
      </c>
      <c r="C92" s="107" t="s">
        <v>224</v>
      </c>
      <c r="D92" s="126">
        <v>5</v>
      </c>
      <c r="E92" s="108">
        <v>3</v>
      </c>
      <c r="F92" s="108">
        <v>3</v>
      </c>
      <c r="G92" s="120">
        <v>7091.370000000001</v>
      </c>
      <c r="H92" s="127">
        <v>3295.7300000000005</v>
      </c>
      <c r="I92" s="112">
        <f t="shared" si="62"/>
      </c>
      <c r="J92" s="113">
        <f t="shared" si="0"/>
      </c>
      <c r="K92" s="113">
        <f t="shared" si="198"/>
      </c>
      <c r="L92" s="114">
        <f t="shared" si="137"/>
      </c>
      <c r="M92" s="115" t="s">
        <v>231</v>
      </c>
      <c r="N92" s="116">
        <v>1</v>
      </c>
      <c r="O92" s="116"/>
      <c r="P92" s="117"/>
      <c r="Q92" s="118"/>
      <c r="R92" s="119"/>
      <c r="S92" s="120">
        <f t="shared" si="77"/>
      </c>
      <c r="T92" s="121">
        <f t="shared" si="15"/>
      </c>
      <c r="U92" s="122">
        <f t="shared" si="213"/>
      </c>
      <c r="V92" s="122">
        <f t="shared" si="152"/>
      </c>
      <c r="W92" s="122">
        <f t="shared" si="107"/>
      </c>
      <c r="X92" s="123">
        <f t="shared" si="45"/>
      </c>
      <c r="Y92" s="122">
        <f t="shared" si="243"/>
      </c>
      <c r="Z92" s="124">
        <v>51.8</v>
      </c>
      <c r="AA92" s="125">
        <f t="shared" si="182"/>
      </c>
      <c r="AB92" s="123">
        <v>48829</v>
      </c>
      <c r="AC92" s="123">
        <v>1786</v>
      </c>
      <c r="AD92" s="123">
        <v>2110</v>
      </c>
      <c r="AE92" s="123">
        <v>156</v>
      </c>
      <c r="AF92" s="124">
        <v>124</v>
      </c>
      <c r="AG92" s="124">
        <v>14</v>
      </c>
      <c r="AH92" s="123">
        <v>1</v>
      </c>
      <c r="AI92" s="123">
        <v>43</v>
      </c>
    </row>
    <row customHeight="true" ht="16.071428571428573" r="93">
      <c r="A93" s="105">
        <v>46280</v>
      </c>
      <c r="B93" s="108" t="s">
        <v>208</v>
      </c>
      <c r="C93" s="107" t="s">
        <v>225</v>
      </c>
      <c r="D93" s="126">
        <v>5</v>
      </c>
      <c r="E93" s="108">
        <v>17</v>
      </c>
      <c r="F93" s="108">
        <v>19</v>
      </c>
      <c r="G93" s="120">
        <v>49219.75</v>
      </c>
      <c r="H93" s="127">
        <v>15235.05</v>
      </c>
      <c r="I93" s="112">
        <f t="shared" si="62"/>
      </c>
      <c r="J93" s="113">
        <f t="shared" si="0"/>
      </c>
      <c r="K93" s="113">
        <f t="shared" si="198"/>
      </c>
      <c r="L93" s="114">
        <f t="shared" si="137"/>
      </c>
      <c r="M93" s="115" t="s">
        <v>226</v>
      </c>
      <c r="N93" s="116">
        <v>9</v>
      </c>
      <c r="O93" s="116"/>
      <c r="P93" s="117"/>
      <c r="Q93" s="118"/>
      <c r="R93" s="119"/>
      <c r="S93" s="120">
        <f t="shared" si="77"/>
      </c>
      <c r="T93" s="121">
        <f t="shared" si="15"/>
      </c>
      <c r="U93" s="122">
        <f t="shared" si="213"/>
      </c>
      <c r="V93" s="122">
        <f t="shared" si="152"/>
      </c>
      <c r="W93" s="122">
        <f t="shared" si="107"/>
      </c>
      <c r="X93" s="123">
        <f t="shared" si="45"/>
      </c>
      <c r="Y93" s="122">
        <f t="shared" si="243"/>
      </c>
      <c r="Z93" s="124">
        <v>47.8</v>
      </c>
      <c r="AA93" s="125">
        <f t="shared" si="182"/>
      </c>
      <c r="AB93" s="124">
        <v>132591</v>
      </c>
      <c r="AC93" s="123">
        <v>2877</v>
      </c>
      <c r="AD93" s="123">
        <v>3154</v>
      </c>
      <c r="AE93" s="123">
        <v>532</v>
      </c>
      <c r="AF93" s="124">
        <v>91</v>
      </c>
      <c r="AG93" s="124">
        <v>31</v>
      </c>
      <c r="AH93" s="123">
        <v>7</v>
      </c>
      <c r="AI93" s="123">
        <v>134</v>
      </c>
    </row>
    <row customHeight="true" ht="16.071428571428573" r="94">
      <c r="A94" s="105">
        <v>46280</v>
      </c>
      <c r="B94" s="108" t="s">
        <v>204</v>
      </c>
      <c r="C94" s="107" t="s">
        <v>227</v>
      </c>
      <c r="D94" s="126">
        <v>5</v>
      </c>
      <c r="E94" s="108">
        <v>21</v>
      </c>
      <c r="F94" s="108">
        <v>25</v>
      </c>
      <c r="G94" s="130">
        <v>65752.41</v>
      </c>
      <c r="H94" s="127">
        <v>19598.81</v>
      </c>
      <c r="I94" s="112">
        <f t="shared" si="62"/>
      </c>
      <c r="J94" s="113">
        <f t="shared" si="0"/>
      </c>
      <c r="K94" s="113">
        <f t="shared" si="198"/>
      </c>
      <c r="L94" s="114">
        <f t="shared" si="137"/>
      </c>
      <c r="M94" s="128"/>
      <c r="N94" s="129"/>
      <c r="O94" s="129"/>
      <c r="P94" s="117"/>
      <c r="Q94" s="118"/>
      <c r="R94" s="119"/>
      <c r="S94" s="120">
        <f t="shared" si="77"/>
      </c>
      <c r="T94" s="121">
        <f t="shared" si="15"/>
      </c>
      <c r="U94" s="122">
        <f t="shared" si="213"/>
      </c>
      <c r="V94" s="122">
        <f t="shared" si="152"/>
      </c>
      <c r="W94" s="122">
        <f t="shared" si="107"/>
      </c>
      <c r="X94" s="123">
        <f t="shared" si="45"/>
      </c>
      <c r="Y94" s="122">
        <f t="shared" si="243"/>
      </c>
      <c r="Z94" s="124">
        <v>62</v>
      </c>
      <c r="AA94" s="125">
        <f t="shared" si="182"/>
      </c>
      <c r="AB94" s="123">
        <v>132346</v>
      </c>
      <c r="AC94" s="123">
        <v>2274</v>
      </c>
      <c r="AD94" s="123">
        <v>2479</v>
      </c>
      <c r="AE94" s="123">
        <v>541</v>
      </c>
      <c r="AF94" s="124">
        <v>349</v>
      </c>
      <c r="AG94" s="124">
        <v>26</v>
      </c>
      <c r="AH94" s="123">
        <v>6</v>
      </c>
      <c r="AI94" s="123">
        <v>106</v>
      </c>
    </row>
    <row customHeight="true" ht="16.071428571428573" r="95">
      <c r="A95" s="105">
        <v>46280</v>
      </c>
      <c r="B95" s="108" t="s">
        <v>218</v>
      </c>
      <c r="C95" s="107" t="s">
        <v>228</v>
      </c>
      <c r="D95" s="126">
        <v>4</v>
      </c>
      <c r="E95" s="108">
        <v>12</v>
      </c>
      <c r="F95" s="115">
        <v>17</v>
      </c>
      <c r="G95" s="130">
        <v>39270.06000000002</v>
      </c>
      <c r="H95" s="131">
        <v>14144.960000000001</v>
      </c>
      <c r="I95" s="112">
        <f t="shared" si="62"/>
      </c>
      <c r="J95" s="113">
        <f t="shared" si="0"/>
      </c>
      <c r="K95" s="113">
        <f t="shared" si="198"/>
      </c>
      <c r="L95" s="114">
        <f t="shared" si="137"/>
      </c>
      <c r="M95" s="115" t="s">
        <v>232</v>
      </c>
      <c r="N95" s="129">
        <v>8</v>
      </c>
      <c r="O95" s="129"/>
      <c r="P95" s="117"/>
      <c r="Q95" s="118"/>
      <c r="R95" s="119"/>
      <c r="S95" s="120">
        <f t="shared" si="77"/>
      </c>
      <c r="T95" s="121">
        <f t="shared" si="15"/>
      </c>
      <c r="U95" s="122">
        <f t="shared" si="213"/>
      </c>
      <c r="V95" s="122">
        <f t="shared" si="152"/>
      </c>
      <c r="W95" s="122">
        <f t="shared" si="107"/>
      </c>
      <c r="X95" s="123">
        <f t="shared" si="45"/>
      </c>
      <c r="Y95" s="122">
        <f t="shared" si="243"/>
      </c>
      <c r="Z95" s="124">
        <v>62</v>
      </c>
      <c r="AA95" s="125">
        <f t="shared" si="182"/>
      </c>
      <c r="AB95" s="123">
        <v>96772</v>
      </c>
      <c r="AC95" s="123">
        <v>1689</v>
      </c>
      <c r="AD95" s="123">
        <v>1829</v>
      </c>
      <c r="AE95" s="123">
        <v>315</v>
      </c>
      <c r="AF95" s="124">
        <v>250</v>
      </c>
      <c r="AG95" s="123">
        <v>11</v>
      </c>
      <c r="AH95" s="123">
        <v>4</v>
      </c>
      <c r="AI95" s="123">
        <v>68</v>
      </c>
    </row>
    <row customHeight="true" ht="16.071428571428573" r="96">
      <c r="A96" s="105">
        <v>46280</v>
      </c>
      <c r="B96" s="108" t="s">
        <v>211</v>
      </c>
      <c r="C96" s="107" t="s">
        <v>222</v>
      </c>
      <c r="D96" s="126">
        <v>4</v>
      </c>
      <c r="E96" s="115">
        <v>18</v>
      </c>
      <c r="F96" s="115">
        <v>19</v>
      </c>
      <c r="G96" s="130">
        <v>46930.49000000002</v>
      </c>
      <c r="H96" s="132">
        <v>18464.65</v>
      </c>
      <c r="I96" s="112">
        <f t="shared" si="62"/>
      </c>
      <c r="J96" s="113">
        <f t="shared" si="0"/>
      </c>
      <c r="K96" s="113">
        <f t="shared" si="198"/>
      </c>
      <c r="L96" s="114">
        <f t="shared" si="137"/>
      </c>
      <c r="M96" s="108"/>
      <c r="N96" s="108"/>
      <c r="O96" s="108"/>
      <c r="P96" s="117"/>
      <c r="Q96" s="118"/>
      <c r="R96" s="119"/>
      <c r="S96" s="120">
        <f t="shared" si="77"/>
      </c>
      <c r="T96" s="121">
        <f t="shared" si="15"/>
      </c>
      <c r="U96" s="122">
        <f t="shared" si="213"/>
      </c>
      <c r="V96" s="122">
        <f t="shared" si="152"/>
      </c>
      <c r="W96" s="122">
        <f t="shared" si="107"/>
      </c>
      <c r="X96" s="123">
        <f t="shared" si="45"/>
      </c>
      <c r="Y96" s="122">
        <f t="shared" si="243"/>
      </c>
      <c r="Z96" s="124">
        <v>58</v>
      </c>
      <c r="AA96" s="125">
        <f t="shared" si="182"/>
      </c>
      <c r="AB96" s="123">
        <v>147594</v>
      </c>
      <c r="AC96" s="123">
        <v>3074</v>
      </c>
      <c r="AD96" s="123">
        <v>3318</v>
      </c>
      <c r="AE96" s="123">
        <v>405</v>
      </c>
      <c r="AF96" s="123">
        <v>365</v>
      </c>
      <c r="AG96" s="123">
        <v>28</v>
      </c>
      <c r="AH96" s="123">
        <v>5</v>
      </c>
      <c r="AI96" s="123">
        <v>83</v>
      </c>
    </row>
    <row customHeight="true" ht="16.071428571428573" r="97">
      <c r="A97" s="135">
        <v>46280</v>
      </c>
      <c r="B97" s="136" t="s">
        <v>214</v>
      </c>
      <c r="C97" s="137"/>
      <c r="D97" s="137">
        <f>SUM(D91:D96)</f>
      </c>
      <c r="E97" s="137">
        <f>SUM(E91:E96)</f>
      </c>
      <c r="F97" s="137">
        <f>SUM(F91:F96)</f>
      </c>
      <c r="G97" s="137">
        <f>SUM(G91:G96)</f>
      </c>
      <c r="H97" s="137">
        <f>SUM(H91:H96)</f>
      </c>
      <c r="I97" s="139">
        <f t="shared" si="62"/>
      </c>
      <c r="J97" s="139">
        <f t="shared" si="0"/>
      </c>
      <c r="K97" s="139">
        <f t="shared" si="198"/>
      </c>
      <c r="L97" s="139">
        <f t="shared" si="137"/>
      </c>
      <c r="M97" s="137"/>
      <c r="N97" s="140">
        <f>SUM(N91:N96)</f>
      </c>
      <c r="O97" s="140"/>
      <c r="P97" s="137"/>
      <c r="Q97" s="137"/>
      <c r="R97" s="137"/>
      <c r="S97" s="141">
        <f>AVERAGE(S91:S96)</f>
      </c>
      <c r="T97" s="142">
        <f>AVERAGE(T91:T96)</f>
      </c>
      <c r="U97" s="142">
        <f>AVERAGE(U91:U96)</f>
      </c>
      <c r="V97" s="142">
        <f>AVERAGE(V91:V96)</f>
      </c>
      <c r="W97" s="142">
        <f>AVERAGE(W91:W96)</f>
      </c>
      <c r="X97" s="143">
        <f>SUM(X91:X96)</f>
      </c>
      <c r="Y97" s="142">
        <f>AVERAGE(Y91:Y96)</f>
      </c>
      <c r="Z97" s="143"/>
      <c r="AA97" s="144">
        <f>AVERAGE(AA91:AA96)</f>
      </c>
      <c r="AB97" s="143">
        <f>SUM(AB91:AB96)</f>
      </c>
      <c r="AC97" s="143">
        <f>SUM(AC91:AC96)</f>
      </c>
      <c r="AD97" s="143">
        <f>SUM(AD91:AD96)</f>
      </c>
      <c r="AE97" s="143">
        <f>SUM(AE91:AE96)</f>
      </c>
      <c r="AF97" s="143">
        <f>SUM(AF91:AF96)</f>
      </c>
      <c r="AG97" s="143">
        <f>SUM(AG91:AG96)</f>
      </c>
      <c r="AH97" s="143">
        <f>SUM(AH91:AH96)</f>
      </c>
      <c r="AI97" s="143">
        <f>SUM(AI91:AI96)</f>
      </c>
    </row>
    <row customHeight="true" ht="16.071428571428573" r="98">
      <c r="A98" s="105">
        <v>46281</v>
      </c>
      <c r="B98" s="108" t="s">
        <v>211</v>
      </c>
      <c r="C98" s="107" t="s">
        <v>223</v>
      </c>
      <c r="D98" s="108">
        <v>1</v>
      </c>
      <c r="E98" s="109">
        <v>2</v>
      </c>
      <c r="F98" s="109">
        <v>3</v>
      </c>
      <c r="G98" s="110">
        <v>7651.220000000001</v>
      </c>
      <c r="H98" s="111">
        <v>1778.75</v>
      </c>
      <c r="I98" s="112">
        <f t="shared" si="62"/>
      </c>
      <c r="J98" s="113">
        <f t="shared" si="0"/>
      </c>
      <c r="K98" s="114">
        <f t="shared" si="198"/>
      </c>
      <c r="L98" s="114">
        <f t="shared" si="137"/>
      </c>
      <c r="M98" s="115" t="s">
        <v>216</v>
      </c>
      <c r="N98" s="116">
        <v>7</v>
      </c>
      <c r="O98" s="116"/>
      <c r="P98" s="117"/>
      <c r="Q98" s="118"/>
      <c r="R98" s="119"/>
      <c r="S98" s="120">
        <f t="shared" ref="S98:S103" si="78">H98/AC98</f>
      </c>
      <c r="T98" s="121">
        <f t="shared" ref="T98:T103" si="16">X98/AB98*1</f>
      </c>
      <c r="U98" s="122">
        <f t="shared" ref="U98:U103" si="214">AC98/AB98</f>
      </c>
      <c r="V98" s="122">
        <f t="shared" ref="V98:V103" si="153">AD98/AB98</f>
      </c>
      <c r="W98" s="122">
        <f t="shared" ref="W98:W103" si="108">AF98/AD98</f>
      </c>
      <c r="X98" s="123">
        <f t="shared" ref="X98:X103" si="46">AE98/Y98</f>
      </c>
      <c r="Y98" s="122">
        <f t="shared" ref="Y98:Y103" si="244">AE98/AD98</f>
      </c>
      <c r="Z98" s="124">
        <v>58</v>
      </c>
      <c r="AA98" s="125">
        <f t="shared" ref="AA98:AA103" si="183">(H98/AB98)*1000</f>
      </c>
      <c r="AB98" s="123">
        <v>16598</v>
      </c>
      <c r="AC98" s="123">
        <v>450</v>
      </c>
      <c r="AD98" s="123">
        <v>497</v>
      </c>
      <c r="AE98" s="123">
        <v>65</v>
      </c>
      <c r="AF98" s="124">
        <v>49</v>
      </c>
      <c r="AG98" s="123">
        <v>4</v>
      </c>
      <c r="AH98" s="123">
        <v>1</v>
      </c>
      <c r="AI98" s="123">
        <v>18</v>
      </c>
    </row>
    <row customHeight="true" ht="16.071428571428573" r="99">
      <c r="A99" s="105">
        <v>46281</v>
      </c>
      <c r="B99" s="108" t="s">
        <v>206</v>
      </c>
      <c r="C99" s="107" t="s">
        <v>224</v>
      </c>
      <c r="D99" s="126">
        <v>5</v>
      </c>
      <c r="E99" s="108">
        <v>3</v>
      </c>
      <c r="F99" s="108">
        <v>3</v>
      </c>
      <c r="G99" s="120">
        <v>6537.960000000001</v>
      </c>
      <c r="H99" s="127">
        <v>4351.97</v>
      </c>
      <c r="I99" s="112">
        <f t="shared" si="62"/>
      </c>
      <c r="J99" s="113">
        <f t="shared" si="0"/>
      </c>
      <c r="K99" s="113">
        <f t="shared" si="198"/>
      </c>
      <c r="L99" s="114">
        <f t="shared" si="137"/>
      </c>
      <c r="M99" s="115"/>
      <c r="N99" s="116"/>
      <c r="O99" s="116"/>
      <c r="P99" s="117"/>
      <c r="Q99" s="118"/>
      <c r="R99" s="119"/>
      <c r="S99" s="120">
        <f t="shared" si="78"/>
      </c>
      <c r="T99" s="121">
        <f t="shared" si="16"/>
      </c>
      <c r="U99" s="122">
        <f t="shared" si="214"/>
      </c>
      <c r="V99" s="122">
        <f t="shared" si="153"/>
      </c>
      <c r="W99" s="122">
        <f t="shared" si="108"/>
      </c>
      <c r="X99" s="123">
        <f t="shared" si="46"/>
      </c>
      <c r="Y99" s="122">
        <f t="shared" si="244"/>
      </c>
      <c r="Z99" s="124">
        <v>66.4</v>
      </c>
      <c r="AA99" s="125">
        <f t="shared" si="183"/>
      </c>
      <c r="AB99" s="123">
        <v>47886</v>
      </c>
      <c r="AC99" s="123">
        <v>1724</v>
      </c>
      <c r="AD99" s="123">
        <v>1910</v>
      </c>
      <c r="AE99" s="123">
        <v>162</v>
      </c>
      <c r="AF99" s="124">
        <v>144</v>
      </c>
      <c r="AG99" s="124">
        <v>13</v>
      </c>
      <c r="AH99" s="123">
        <v>0</v>
      </c>
      <c r="AI99" s="123">
        <v>50</v>
      </c>
    </row>
    <row customHeight="true" ht="16.071428571428573" r="100">
      <c r="A100" s="105">
        <v>46281</v>
      </c>
      <c r="B100" s="108" t="s">
        <v>204</v>
      </c>
      <c r="C100" s="107" t="s">
        <v>225</v>
      </c>
      <c r="D100" s="126">
        <v>5</v>
      </c>
      <c r="E100" s="108">
        <v>15</v>
      </c>
      <c r="F100" s="108">
        <v>15</v>
      </c>
      <c r="G100" s="120">
        <v>37386.92</v>
      </c>
      <c r="H100" s="131">
        <v>15710.220000000001</v>
      </c>
      <c r="I100" s="112">
        <f t="shared" si="62"/>
      </c>
      <c r="J100" s="113">
        <f t="shared" si="0"/>
      </c>
      <c r="K100" s="113">
        <f t="shared" si="198"/>
      </c>
      <c r="L100" s="114">
        <f t="shared" si="137"/>
      </c>
      <c r="M100" s="115" t="s">
        <v>226</v>
      </c>
      <c r="N100" s="116">
        <v>9</v>
      </c>
      <c r="O100" s="116"/>
      <c r="P100" s="117"/>
      <c r="Q100" s="118"/>
      <c r="R100" s="119"/>
      <c r="S100" s="120">
        <f t="shared" si="78"/>
      </c>
      <c r="T100" s="121">
        <f t="shared" si="16"/>
      </c>
      <c r="U100" s="122">
        <f t="shared" si="214"/>
      </c>
      <c r="V100" s="122">
        <f t="shared" si="153"/>
      </c>
      <c r="W100" s="122">
        <f t="shared" si="108"/>
      </c>
      <c r="X100" s="123">
        <f t="shared" si="46"/>
      </c>
      <c r="Y100" s="122">
        <f t="shared" si="244"/>
      </c>
      <c r="Z100" s="124">
        <v>46.6</v>
      </c>
      <c r="AA100" s="125">
        <f t="shared" si="183"/>
      </c>
      <c r="AB100" s="124">
        <v>117498</v>
      </c>
      <c r="AC100" s="123">
        <v>3036</v>
      </c>
      <c r="AD100" s="123">
        <v>3287</v>
      </c>
      <c r="AE100" s="123">
        <v>552</v>
      </c>
      <c r="AF100" s="124">
        <v>359</v>
      </c>
      <c r="AG100" s="124">
        <v>32</v>
      </c>
      <c r="AH100" s="123">
        <v>7</v>
      </c>
      <c r="AI100" s="123">
        <v>140</v>
      </c>
    </row>
    <row customHeight="true" ht="16.071428571428573" r="101">
      <c r="A101" s="105">
        <v>46281</v>
      </c>
      <c r="B101" s="108" t="s">
        <v>218</v>
      </c>
      <c r="C101" s="107" t="s">
        <v>233</v>
      </c>
      <c r="D101" s="126">
        <v>4</v>
      </c>
      <c r="E101" s="108">
        <v>1</v>
      </c>
      <c r="F101" s="108">
        <v>13</v>
      </c>
      <c r="G101" s="130">
        <v>28525.019999999997</v>
      </c>
      <c r="H101" s="127">
        <v>7472.91</v>
      </c>
      <c r="I101" s="112">
        <f t="shared" si="62"/>
      </c>
      <c r="J101" s="113">
        <f t="shared" si="0"/>
      </c>
      <c r="K101" s="113">
        <f t="shared" si="198"/>
      </c>
      <c r="L101" s="114">
        <f t="shared" si="137"/>
      </c>
      <c r="M101" s="128"/>
      <c r="N101" s="129"/>
      <c r="O101" s="129"/>
      <c r="P101" s="117"/>
      <c r="Q101" s="118"/>
      <c r="R101" s="119"/>
      <c r="S101" s="120">
        <f t="shared" si="78"/>
      </c>
      <c r="T101" s="121">
        <f t="shared" si="16"/>
      </c>
      <c r="U101" s="122">
        <f t="shared" si="214"/>
      </c>
      <c r="V101" s="122">
        <f t="shared" si="153"/>
      </c>
      <c r="W101" s="122">
        <f t="shared" si="108"/>
      </c>
      <c r="X101" s="123">
        <f t="shared" si="46"/>
      </c>
      <c r="Y101" s="122">
        <f t="shared" si="244"/>
      </c>
      <c r="Z101" s="124">
        <v>54.25</v>
      </c>
      <c r="AA101" s="125">
        <f t="shared" si="183"/>
      </c>
      <c r="AB101" s="123">
        <v>56066</v>
      </c>
      <c r="AC101" s="123">
        <v>1309</v>
      </c>
      <c r="AD101" s="123">
        <v>1425</v>
      </c>
      <c r="AE101" s="123">
        <v>257</v>
      </c>
      <c r="AF101" s="124">
        <v>165</v>
      </c>
      <c r="AG101" s="124">
        <v>7</v>
      </c>
      <c r="AH101" s="123">
        <v>2</v>
      </c>
      <c r="AI101" s="123">
        <v>30</v>
      </c>
    </row>
    <row customHeight="true" ht="16.071428571428573" r="102">
      <c r="A102" s="105">
        <v>46281</v>
      </c>
      <c r="B102" s="108" t="s">
        <v>208</v>
      </c>
      <c r="C102" s="107" t="s">
        <v>220</v>
      </c>
      <c r="D102" s="126">
        <v>5</v>
      </c>
      <c r="E102" s="108">
        <v>0</v>
      </c>
      <c r="F102" s="115">
        <v>11</v>
      </c>
      <c r="G102" s="130">
        <v>27799.219999999987</v>
      </c>
      <c r="H102" s="131">
        <v>8480.199999999999</v>
      </c>
      <c r="I102" s="112">
        <f t="shared" si="62"/>
      </c>
      <c r="J102" s="113">
        <f t="shared" si="0"/>
      </c>
      <c r="K102" s="113">
        <f t="shared" si="198"/>
      </c>
      <c r="L102" s="114">
        <f t="shared" si="137"/>
      </c>
      <c r="M102" s="115" t="s">
        <v>232</v>
      </c>
      <c r="N102" s="129">
        <v>8</v>
      </c>
      <c r="O102" s="129"/>
      <c r="P102" s="117"/>
      <c r="Q102" s="118"/>
      <c r="R102" s="119"/>
      <c r="S102" s="120">
        <f t="shared" si="78"/>
      </c>
      <c r="T102" s="121">
        <f t="shared" si="16"/>
      </c>
      <c r="U102" s="122">
        <f t="shared" si="214"/>
      </c>
      <c r="V102" s="122">
        <f t="shared" si="153"/>
      </c>
      <c r="W102" s="122">
        <f t="shared" si="108"/>
      </c>
      <c r="X102" s="123">
        <f t="shared" si="46"/>
      </c>
      <c r="Y102" s="122">
        <f t="shared" si="244"/>
      </c>
      <c r="Z102" s="124">
        <v>57</v>
      </c>
      <c r="AA102" s="125">
        <f t="shared" si="183"/>
      </c>
      <c r="AB102" s="124">
        <v>46528</v>
      </c>
      <c r="AC102" s="123">
        <v>1181</v>
      </c>
      <c r="AD102" s="123">
        <v>1347</v>
      </c>
      <c r="AE102" s="123">
        <v>235</v>
      </c>
      <c r="AF102" s="124">
        <v>237</v>
      </c>
      <c r="AG102" s="123">
        <v>13</v>
      </c>
      <c r="AH102" s="123">
        <v>1</v>
      </c>
      <c r="AI102" s="123">
        <v>22</v>
      </c>
    </row>
    <row customHeight="true" ht="16.071428571428573" r="103">
      <c r="A103" s="105">
        <v>46281</v>
      </c>
      <c r="B103" s="108" t="s">
        <v>206</v>
      </c>
      <c r="C103" s="107" t="s">
        <v>222</v>
      </c>
      <c r="D103" s="126">
        <v>4</v>
      </c>
      <c r="E103" s="115">
        <v>6</v>
      </c>
      <c r="F103" s="115">
        <v>7</v>
      </c>
      <c r="G103" s="130">
        <v>13397.679999999993</v>
      </c>
      <c r="H103" s="132">
        <v>6019.950000000001</v>
      </c>
      <c r="I103" s="112">
        <f t="shared" si="62"/>
      </c>
      <c r="J103" s="113">
        <f t="shared" si="0"/>
      </c>
      <c r="K103" s="113">
        <f t="shared" si="198"/>
      </c>
      <c r="L103" s="114">
        <f t="shared" si="137"/>
      </c>
      <c r="M103" s="108"/>
      <c r="N103" s="108"/>
      <c r="O103" s="108"/>
      <c r="P103" s="117"/>
      <c r="Q103" s="118"/>
      <c r="R103" s="119"/>
      <c r="S103" s="120">
        <f t="shared" si="78"/>
      </c>
      <c r="T103" s="121">
        <f t="shared" si="16"/>
      </c>
      <c r="U103" s="122">
        <f t="shared" si="214"/>
      </c>
      <c r="V103" s="122">
        <f t="shared" si="153"/>
      </c>
      <c r="W103" s="122">
        <f t="shared" si="108"/>
      </c>
      <c r="X103" s="123">
        <f t="shared" si="46"/>
      </c>
      <c r="Y103" s="122">
        <f t="shared" si="244"/>
      </c>
      <c r="Z103" s="124">
        <v>42</v>
      </c>
      <c r="AA103" s="125">
        <f t="shared" si="183"/>
      </c>
      <c r="AB103" s="123">
        <v>45269</v>
      </c>
      <c r="AC103" s="123">
        <v>1178</v>
      </c>
      <c r="AD103" s="123">
        <v>1299</v>
      </c>
      <c r="AE103" s="123">
        <v>203</v>
      </c>
      <c r="AF103" s="124">
        <v>140</v>
      </c>
      <c r="AG103" s="124">
        <v>11</v>
      </c>
      <c r="AH103" s="124">
        <v>2</v>
      </c>
      <c r="AI103" s="124">
        <v>24</v>
      </c>
    </row>
    <row customHeight="true" ht="16.071428571428573" r="104">
      <c r="A104" s="135">
        <v>46281</v>
      </c>
      <c r="B104" s="136" t="s">
        <v>214</v>
      </c>
      <c r="C104" s="137"/>
      <c r="D104" s="137">
        <f>SUM(D98:D103)</f>
      </c>
      <c r="E104" s="137">
        <f>SUM(E98:E103)</f>
      </c>
      <c r="F104" s="137">
        <f>SUM(F98:F103)</f>
      </c>
      <c r="G104" s="137">
        <f>SUM(G98:G103)</f>
      </c>
      <c r="H104" s="137">
        <f>SUM(H98:H103)</f>
      </c>
      <c r="I104" s="139">
        <f t="shared" si="62"/>
      </c>
      <c r="J104" s="139">
        <f t="shared" si="0"/>
      </c>
      <c r="K104" s="139">
        <f t="shared" si="198"/>
      </c>
      <c r="L104" s="139">
        <f t="shared" si="137"/>
      </c>
      <c r="M104" s="137"/>
      <c r="N104" s="140">
        <f>SUM(N98:N103)</f>
      </c>
      <c r="O104" s="140"/>
      <c r="P104" s="137"/>
      <c r="Q104" s="137"/>
      <c r="R104" s="137"/>
      <c r="S104" s="141">
        <f>AVERAGE(S98:S103)</f>
      </c>
      <c r="T104" s="142">
        <f>AVERAGE(T98:T103)</f>
      </c>
      <c r="U104" s="142">
        <f>AVERAGE(U98:U103)</f>
      </c>
      <c r="V104" s="142">
        <f>AVERAGE(V98:V103)</f>
      </c>
      <c r="W104" s="142">
        <f>AVERAGE(W98:W103)</f>
      </c>
      <c r="X104" s="143">
        <f>SUM(X98:X103)</f>
      </c>
      <c r="Y104" s="142">
        <f>AVERAGE(Y98:Y103)</f>
      </c>
      <c r="Z104" s="143"/>
      <c r="AA104" s="144">
        <f>AVERAGE(AA98:AA103)</f>
      </c>
      <c r="AB104" s="143">
        <f>SUM(AB98:AB103)</f>
      </c>
      <c r="AC104" s="143">
        <f>SUM(AC98:AC103)</f>
      </c>
      <c r="AD104" s="143">
        <f>SUM(AD98:AD103)</f>
      </c>
      <c r="AE104" s="143">
        <f>SUM(AE98:AE103)</f>
      </c>
      <c r="AF104" s="143">
        <f>SUM(AF98:AF103)</f>
      </c>
      <c r="AG104" s="143">
        <f>SUM(AG98:AG103)</f>
      </c>
      <c r="AH104" s="143">
        <f>SUM(AH98:AH103)</f>
      </c>
      <c r="AI104" s="143">
        <f>SUM(AI98:AI103)</f>
      </c>
    </row>
    <row customHeight="true" ht="16.071428571428573" r="105">
      <c r="A105" s="105">
        <v>46282</v>
      </c>
      <c r="B105" s="108" t="s">
        <v>201</v>
      </c>
      <c r="C105" s="107" t="s">
        <v>234</v>
      </c>
      <c r="D105" s="126">
        <v>4</v>
      </c>
      <c r="E105" s="108">
        <v>7</v>
      </c>
      <c r="F105" s="108">
        <v>7</v>
      </c>
      <c r="G105" s="120">
        <v>20231.670000000002</v>
      </c>
      <c r="H105" s="127">
        <v>3784.41</v>
      </c>
      <c r="I105" s="112">
        <f t="shared" si="62"/>
      </c>
      <c r="J105" s="113">
        <f t="shared" si="0"/>
      </c>
      <c r="K105" s="113">
        <f t="shared" si="198"/>
      </c>
      <c r="L105" s="114">
        <f t="shared" si="137"/>
      </c>
      <c r="M105" s="115" t="s">
        <v>216</v>
      </c>
      <c r="N105" s="116">
        <v>4</v>
      </c>
      <c r="O105" s="116"/>
      <c r="P105" s="117"/>
      <c r="Q105" s="118"/>
      <c r="R105" s="119"/>
      <c r="S105" s="120">
        <f t="shared" ref="S105:S109" si="79">H105/AC105</f>
      </c>
      <c r="T105" s="121">
        <f t="shared" ref="T105:T109" si="17">X105/AB105*1</f>
      </c>
      <c r="U105" s="122">
        <f t="shared" ref="U105:U109" si="215">AC105/AB105</f>
      </c>
      <c r="V105" s="122">
        <f t="shared" ref="V105:V109" si="154">AD105/AB105</f>
      </c>
      <c r="W105" s="122">
        <f t="shared" ref="W105:W109" si="109">AF105/AD105</f>
      </c>
      <c r="X105" s="123">
        <f t="shared" ref="X105:X109" si="47">AE105/Y105</f>
      </c>
      <c r="Y105" s="122">
        <f t="shared" ref="Y105:Y109" si="245">AE105/AD105</f>
      </c>
      <c r="Z105" s="124">
        <v>57</v>
      </c>
      <c r="AA105" s="125">
        <f t="shared" ref="AA105:AA109" si="184">(H105/AB105)*1000</f>
      </c>
      <c r="AB105" s="123">
        <v>41827</v>
      </c>
      <c r="AC105" s="123">
        <v>974</v>
      </c>
      <c r="AD105" s="123">
        <v>1121</v>
      </c>
      <c r="AE105" s="123">
        <v>143</v>
      </c>
      <c r="AF105" s="124">
        <v>126</v>
      </c>
      <c r="AG105" s="124">
        <v>10</v>
      </c>
      <c r="AH105" s="123">
        <v>3</v>
      </c>
      <c r="AI105" s="123">
        <v>43</v>
      </c>
    </row>
    <row customHeight="true" ht="16.071428571428573" r="106">
      <c r="A106" s="105">
        <v>46282</v>
      </c>
      <c r="B106" s="108" t="s">
        <v>204</v>
      </c>
      <c r="C106" s="107" t="s">
        <v>225</v>
      </c>
      <c r="D106" s="126">
        <v>5</v>
      </c>
      <c r="E106" s="108">
        <v>13</v>
      </c>
      <c r="F106" s="108">
        <v>15</v>
      </c>
      <c r="G106" s="120">
        <v>36779.79000000001</v>
      </c>
      <c r="H106" s="131">
        <v>13000.36</v>
      </c>
      <c r="I106" s="112">
        <f t="shared" si="62"/>
      </c>
      <c r="J106" s="113">
        <f t="shared" si="0"/>
      </c>
      <c r="K106" s="113">
        <f t="shared" si="198"/>
      </c>
      <c r="L106" s="114">
        <f t="shared" si="137"/>
      </c>
      <c r="M106" s="128"/>
      <c r="N106" s="116"/>
      <c r="O106" s="116"/>
      <c r="P106" s="117"/>
      <c r="Q106" s="118"/>
      <c r="R106" s="119"/>
      <c r="S106" s="120">
        <f t="shared" si="79"/>
      </c>
      <c r="T106" s="121">
        <f t="shared" si="17"/>
      </c>
      <c r="U106" s="122">
        <f t="shared" si="215"/>
      </c>
      <c r="V106" s="122">
        <f t="shared" si="154"/>
      </c>
      <c r="W106" s="122">
        <f t="shared" si="109"/>
      </c>
      <c r="X106" s="123">
        <f t="shared" si="47"/>
      </c>
      <c r="Y106" s="122">
        <f t="shared" si="245"/>
      </c>
      <c r="Z106" s="124">
        <v>42</v>
      </c>
      <c r="AA106" s="125">
        <f t="shared" si="184"/>
      </c>
      <c r="AB106" s="124">
        <v>88934</v>
      </c>
      <c r="AC106" s="123">
        <v>2899</v>
      </c>
      <c r="AD106" s="123">
        <v>3114</v>
      </c>
      <c r="AE106" s="123">
        <v>422</v>
      </c>
      <c r="AF106" s="124">
        <v>231</v>
      </c>
      <c r="AG106" s="124">
        <v>18</v>
      </c>
      <c r="AH106" s="123">
        <v>4</v>
      </c>
      <c r="AI106" s="123">
        <v>70</v>
      </c>
    </row>
    <row customHeight="true" ht="16.071428571428573" r="107">
      <c r="A107" s="105">
        <v>46282</v>
      </c>
      <c r="B107" s="108" t="s">
        <v>218</v>
      </c>
      <c r="C107" s="107" t="s">
        <v>233</v>
      </c>
      <c r="D107" s="126">
        <v>4</v>
      </c>
      <c r="E107" s="108">
        <v>9</v>
      </c>
      <c r="F107" s="108">
        <v>11</v>
      </c>
      <c r="G107" s="130">
        <v>31663.95999999999</v>
      </c>
      <c r="H107" s="127">
        <v>10106.33</v>
      </c>
      <c r="I107" s="112">
        <f t="shared" si="62"/>
      </c>
      <c r="J107" s="113">
        <f t="shared" si="0"/>
      </c>
      <c r="K107" s="113">
        <f t="shared" si="198"/>
      </c>
      <c r="L107" s="114">
        <f t="shared" si="137"/>
      </c>
      <c r="M107" s="115" t="s">
        <v>235</v>
      </c>
      <c r="N107" s="116">
        <v>10</v>
      </c>
      <c r="O107" s="116"/>
      <c r="P107" s="117"/>
      <c r="Q107" s="118"/>
      <c r="R107" s="119"/>
      <c r="S107" s="120">
        <f t="shared" si="79"/>
      </c>
      <c r="T107" s="121">
        <f t="shared" si="17"/>
      </c>
      <c r="U107" s="122">
        <f t="shared" si="215"/>
      </c>
      <c r="V107" s="122">
        <f t="shared" si="154"/>
      </c>
      <c r="W107" s="122">
        <f t="shared" si="109"/>
      </c>
      <c r="X107" s="123">
        <f t="shared" si="47"/>
      </c>
      <c r="Y107" s="122">
        <f t="shared" si="245"/>
      </c>
      <c r="Z107" s="124">
        <v>44</v>
      </c>
      <c r="AA107" s="125">
        <f t="shared" si="184"/>
      </c>
      <c r="AB107" s="123">
        <v>59078</v>
      </c>
      <c r="AC107" s="123">
        <v>2033</v>
      </c>
      <c r="AD107" s="123">
        <v>2160</v>
      </c>
      <c r="AE107" s="123">
        <v>264</v>
      </c>
      <c r="AF107" s="124">
        <v>184</v>
      </c>
      <c r="AG107" s="124">
        <v>14</v>
      </c>
      <c r="AH107" s="123">
        <v>4</v>
      </c>
      <c r="AI107" s="123">
        <v>33</v>
      </c>
    </row>
    <row customHeight="true" ht="16.071428571428573" r="108">
      <c r="A108" s="105">
        <v>46282</v>
      </c>
      <c r="B108" s="108" t="s">
        <v>211</v>
      </c>
      <c r="C108" s="107" t="s">
        <v>220</v>
      </c>
      <c r="D108" s="126">
        <v>5</v>
      </c>
      <c r="E108" s="108">
        <v>10</v>
      </c>
      <c r="F108" s="115">
        <v>15</v>
      </c>
      <c r="G108" s="130">
        <v>29721.939999999988</v>
      </c>
      <c r="H108" s="131">
        <v>12108.62</v>
      </c>
      <c r="I108" s="112">
        <f t="shared" si="62"/>
      </c>
      <c r="J108" s="113">
        <f t="shared" si="0"/>
      </c>
      <c r="K108" s="113">
        <f t="shared" si="198"/>
      </c>
      <c r="L108" s="114">
        <f t="shared" si="137"/>
      </c>
      <c r="M108" s="115"/>
      <c r="N108" s="129"/>
      <c r="O108" s="129"/>
      <c r="P108" s="117"/>
      <c r="Q108" s="118"/>
      <c r="R108" s="119"/>
      <c r="S108" s="120">
        <f t="shared" si="79"/>
      </c>
      <c r="T108" s="121">
        <f t="shared" si="17"/>
      </c>
      <c r="U108" s="122">
        <f t="shared" si="215"/>
      </c>
      <c r="V108" s="122">
        <f t="shared" si="154"/>
      </c>
      <c r="W108" s="122">
        <f t="shared" si="109"/>
      </c>
      <c r="X108" s="123">
        <f t="shared" si="47"/>
      </c>
      <c r="Y108" s="122">
        <f t="shared" si="245"/>
      </c>
      <c r="Z108" s="124">
        <v>42.2</v>
      </c>
      <c r="AA108" s="125">
        <f t="shared" si="184"/>
      </c>
      <c r="AB108" s="124">
        <v>73200</v>
      </c>
      <c r="AC108" s="123">
        <v>2042</v>
      </c>
      <c r="AD108" s="123">
        <v>2156</v>
      </c>
      <c r="AE108" s="123">
        <v>352</v>
      </c>
      <c r="AF108" s="124">
        <v>255</v>
      </c>
      <c r="AG108" s="123">
        <v>29</v>
      </c>
      <c r="AH108" s="123">
        <v>7</v>
      </c>
      <c r="AI108" s="123">
        <v>52</v>
      </c>
    </row>
    <row customHeight="true" ht="16.071428571428573" r="109">
      <c r="A109" s="105">
        <v>46282</v>
      </c>
      <c r="B109" s="108" t="s">
        <v>206</v>
      </c>
      <c r="C109" s="107" t="s">
        <v>222</v>
      </c>
      <c r="D109" s="126">
        <v>4</v>
      </c>
      <c r="E109" s="115">
        <v>14</v>
      </c>
      <c r="F109" s="115">
        <v>16</v>
      </c>
      <c r="G109" s="130">
        <v>39432.130000000005</v>
      </c>
      <c r="H109" s="132">
        <v>14237.08</v>
      </c>
      <c r="I109" s="112">
        <f t="shared" si="62"/>
      </c>
      <c r="J109" s="113">
        <f t="shared" si="0"/>
      </c>
      <c r="K109" s="113">
        <f t="shared" si="198"/>
      </c>
      <c r="L109" s="114">
        <f t="shared" si="137"/>
      </c>
      <c r="M109" s="115" t="s">
        <v>232</v>
      </c>
      <c r="N109" s="129">
        <v>8</v>
      </c>
      <c r="O109" s="129"/>
      <c r="P109" s="117"/>
      <c r="Q109" s="118"/>
      <c r="R109" s="119"/>
      <c r="S109" s="120">
        <f t="shared" si="79"/>
      </c>
      <c r="T109" s="121">
        <f t="shared" si="17"/>
      </c>
      <c r="U109" s="122">
        <f t="shared" si="215"/>
      </c>
      <c r="V109" s="122">
        <f t="shared" si="154"/>
      </c>
      <c r="W109" s="122">
        <f t="shared" si="109"/>
      </c>
      <c r="X109" s="123">
        <f t="shared" si="47"/>
      </c>
      <c r="Y109" s="122">
        <f t="shared" si="245"/>
      </c>
      <c r="Z109" s="124">
        <v>43</v>
      </c>
      <c r="AA109" s="125">
        <f t="shared" si="184"/>
      </c>
      <c r="AB109" s="123">
        <v>97579</v>
      </c>
      <c r="AC109" s="123">
        <v>2469</v>
      </c>
      <c r="AD109" s="123">
        <v>2646</v>
      </c>
      <c r="AE109" s="123">
        <v>383</v>
      </c>
      <c r="AF109" s="124">
        <v>216</v>
      </c>
      <c r="AG109" s="124">
        <v>18</v>
      </c>
      <c r="AH109" s="124">
        <v>6</v>
      </c>
      <c r="AI109" s="124">
        <v>59</v>
      </c>
    </row>
    <row customHeight="true" ht="16.071428571428573" r="110">
      <c r="A110" s="135">
        <v>46282</v>
      </c>
      <c r="B110" s="136" t="s">
        <v>214</v>
      </c>
      <c r="C110" s="137"/>
      <c r="D110" s="137">
        <f>SUM(D105:D109)</f>
      </c>
      <c r="E110" s="137">
        <f>SUM(E105:E109)</f>
      </c>
      <c r="F110" s="137">
        <f>SUM(F105:F109)</f>
      </c>
      <c r="G110" s="137">
        <f>SUM(G105:G109)</f>
      </c>
      <c r="H110" s="137">
        <f>SUM(H105:H109)</f>
      </c>
      <c r="I110" s="139">
        <f t="shared" si="62"/>
      </c>
      <c r="J110" s="139">
        <f t="shared" si="0"/>
      </c>
      <c r="K110" s="139">
        <f t="shared" si="198"/>
      </c>
      <c r="L110" s="139">
        <f t="shared" si="137"/>
      </c>
      <c r="M110" s="137"/>
      <c r="N110" s="140">
        <f>SUM(N105:N109)</f>
      </c>
      <c r="O110" s="140"/>
      <c r="P110" s="137"/>
      <c r="Q110" s="137"/>
      <c r="R110" s="137"/>
      <c r="S110" s="141">
        <f>AVERAGE(S105:S109)</f>
      </c>
      <c r="T110" s="142">
        <f>AVERAGE(T105:T109)</f>
      </c>
      <c r="U110" s="142">
        <f>AVERAGE(U105:U109)</f>
      </c>
      <c r="V110" s="142">
        <f>AVERAGE(V105:V109)</f>
      </c>
      <c r="W110" s="142">
        <f>AVERAGE(W105:W109)</f>
      </c>
      <c r="X110" s="143">
        <f>SUM(X105:X109)</f>
      </c>
      <c r="Y110" s="142">
        <f>AVERAGE(Y105:Y109)</f>
      </c>
      <c r="Z110" s="143"/>
      <c r="AA110" s="144">
        <f>AVERAGE(AA105:AA109)</f>
      </c>
      <c r="AB110" s="143">
        <f>SUM(AB105:AB109)</f>
      </c>
      <c r="AC110" s="143">
        <f>SUM(AC105:AC109)</f>
      </c>
      <c r="AD110" s="143">
        <f>SUM(AD105:AD109)</f>
      </c>
      <c r="AE110" s="143">
        <f>SUM(AE105:AE109)</f>
      </c>
      <c r="AF110" s="143">
        <f>SUM(AF105:AF109)</f>
      </c>
      <c r="AG110" s="143">
        <f>SUM(AG105:AG109)</f>
      </c>
      <c r="AH110" s="143">
        <f>SUM(AH105:AH109)</f>
      </c>
      <c r="AI110" s="143">
        <f>SUM(AI105:AI109)</f>
      </c>
    </row>
    <row customHeight="true" ht="16.071428571428573" r="111">
      <c r="A111" s="105">
        <v>46283</v>
      </c>
      <c r="B111" s="108" t="s">
        <v>201</v>
      </c>
      <c r="C111" s="107" t="s">
        <v>234</v>
      </c>
      <c r="D111" s="126">
        <v>4</v>
      </c>
      <c r="E111" s="108">
        <v>5</v>
      </c>
      <c r="F111" s="108">
        <v>5</v>
      </c>
      <c r="G111" s="120">
        <v>12747.74</v>
      </c>
      <c r="H111" s="127">
        <v>3396.6700000000005</v>
      </c>
      <c r="I111" s="112">
        <f t="shared" si="62"/>
      </c>
      <c r="J111" s="113">
        <f t="shared" si="0"/>
      </c>
      <c r="K111" s="113">
        <f t="shared" si="198"/>
      </c>
      <c r="L111" s="114">
        <f t="shared" si="137"/>
      </c>
      <c r="M111" s="115" t="s">
        <v>216</v>
      </c>
      <c r="N111" s="116">
        <v>4</v>
      </c>
      <c r="O111" s="116"/>
      <c r="P111" s="117"/>
      <c r="Q111" s="118"/>
      <c r="R111" s="119"/>
      <c r="S111" s="120">
        <f t="shared" ref="S111:S115" si="80">H111/AC111</f>
      </c>
      <c r="T111" s="121">
        <f t="shared" ref="T111:T115" si="18">X111/AB111*1</f>
      </c>
      <c r="U111" s="122">
        <f t="shared" ref="U111:U115" si="216">AC111/AB111</f>
      </c>
      <c r="V111" s="122">
        <f t="shared" ref="V111:V115" si="155">AD111/AB111</f>
      </c>
      <c r="W111" s="122">
        <f t="shared" ref="W111:W115" si="110">AF111/AD111</f>
      </c>
      <c r="X111" s="123">
        <f t="shared" ref="X111:X115" si="48">AE111/Y111</f>
      </c>
      <c r="Y111" s="122">
        <f t="shared" ref="Y111:Y115" si="246">AE111/AD111</f>
      </c>
      <c r="Z111" s="124">
        <v>51.75</v>
      </c>
      <c r="AA111" s="125">
        <f t="shared" ref="AA111:AA115" si="185">(H111/AB111)*1000</f>
      </c>
      <c r="AB111" s="123">
        <v>31461</v>
      </c>
      <c r="AC111" s="123">
        <v>894</v>
      </c>
      <c r="AD111" s="123">
        <v>1009</v>
      </c>
      <c r="AE111" s="123">
        <v>121</v>
      </c>
      <c r="AF111" s="124">
        <v>113</v>
      </c>
      <c r="AG111" s="124">
        <v>9</v>
      </c>
      <c r="AH111" s="123">
        <v>4</v>
      </c>
      <c r="AI111" s="123">
        <v>16</v>
      </c>
    </row>
    <row customHeight="true" ht="16.071428571428573" r="112">
      <c r="A112" s="105">
        <v>46283</v>
      </c>
      <c r="B112" s="108" t="s">
        <v>208</v>
      </c>
      <c r="C112" s="107" t="s">
        <v>225</v>
      </c>
      <c r="D112" s="126">
        <v>5</v>
      </c>
      <c r="E112" s="108">
        <v>11</v>
      </c>
      <c r="F112" s="108">
        <v>17</v>
      </c>
      <c r="G112" s="120">
        <v>40055.33</v>
      </c>
      <c r="H112" s="131">
        <v>12132.01</v>
      </c>
      <c r="I112" s="112">
        <f t="shared" si="62"/>
      </c>
      <c r="J112" s="113">
        <f t="shared" si="0"/>
      </c>
      <c r="K112" s="113">
        <f t="shared" si="198"/>
      </c>
      <c r="L112" s="114">
        <f t="shared" si="137"/>
      </c>
      <c r="M112" s="128"/>
      <c r="N112" s="116"/>
      <c r="O112" s="116"/>
      <c r="P112" s="117"/>
      <c r="Q112" s="118"/>
      <c r="R112" s="119"/>
      <c r="S112" s="120">
        <f t="shared" si="80"/>
      </c>
      <c r="T112" s="121">
        <f t="shared" si="18"/>
      </c>
      <c r="U112" s="122">
        <f t="shared" si="216"/>
      </c>
      <c r="V112" s="122">
        <f t="shared" si="155"/>
      </c>
      <c r="W112" s="122">
        <f t="shared" si="110"/>
      </c>
      <c r="X112" s="123">
        <f t="shared" si="48"/>
      </c>
      <c r="Y112" s="122">
        <f t="shared" si="246"/>
      </c>
      <c r="Z112" s="124">
        <v>50.4</v>
      </c>
      <c r="AA112" s="125">
        <f t="shared" si="185"/>
      </c>
      <c r="AB112" s="124">
        <v>74179</v>
      </c>
      <c r="AC112" s="123">
        <v>1952</v>
      </c>
      <c r="AD112" s="123">
        <v>2023</v>
      </c>
      <c r="AE112" s="123">
        <v>393</v>
      </c>
      <c r="AF112" s="124">
        <v>241</v>
      </c>
      <c r="AG112" s="124">
        <v>26</v>
      </c>
      <c r="AH112" s="123">
        <v>6</v>
      </c>
      <c r="AI112" s="123">
        <v>74</v>
      </c>
    </row>
    <row customHeight="true" ht="16.071428571428573" r="113">
      <c r="A113" s="105">
        <v>46283</v>
      </c>
      <c r="B113" s="108" t="s">
        <v>204</v>
      </c>
      <c r="C113" s="107" t="s">
        <v>233</v>
      </c>
      <c r="D113" s="126">
        <v>4</v>
      </c>
      <c r="E113" s="108">
        <v>9</v>
      </c>
      <c r="F113" s="108">
        <v>12</v>
      </c>
      <c r="G113" s="130">
        <v>26206.840000000004</v>
      </c>
      <c r="H113" s="127">
        <v>9641.3</v>
      </c>
      <c r="I113" s="112">
        <f t="shared" si="62"/>
      </c>
      <c r="J113" s="113">
        <f t="shared" si="0"/>
      </c>
      <c r="K113" s="113">
        <f t="shared" si="198"/>
      </c>
      <c r="L113" s="114">
        <f t="shared" si="137"/>
      </c>
      <c r="M113" s="115" t="s">
        <v>235</v>
      </c>
      <c r="N113" s="116">
        <v>10</v>
      </c>
      <c r="O113" s="116"/>
      <c r="P113" s="117"/>
      <c r="Q113" s="118"/>
      <c r="R113" s="119"/>
      <c r="S113" s="120">
        <f t="shared" si="80"/>
      </c>
      <c r="T113" s="121">
        <f t="shared" si="18"/>
      </c>
      <c r="U113" s="122">
        <f t="shared" si="216"/>
      </c>
      <c r="V113" s="122">
        <f t="shared" si="155"/>
      </c>
      <c r="W113" s="122">
        <f t="shared" si="110"/>
      </c>
      <c r="X113" s="123">
        <f t="shared" si="48"/>
      </c>
      <c r="Y113" s="122">
        <f t="shared" si="246"/>
      </c>
      <c r="Z113" s="124">
        <v>59</v>
      </c>
      <c r="AA113" s="125">
        <f t="shared" si="185"/>
      </c>
      <c r="AB113" s="123">
        <v>40581</v>
      </c>
      <c r="AC113" s="123">
        <v>1115</v>
      </c>
      <c r="AD113" s="123">
        <v>1189</v>
      </c>
      <c r="AE113" s="123">
        <v>237</v>
      </c>
      <c r="AF113" s="124">
        <v>124</v>
      </c>
      <c r="AG113" s="124">
        <v>11</v>
      </c>
      <c r="AH113" s="123">
        <v>1</v>
      </c>
      <c r="AI113" s="123">
        <v>31</v>
      </c>
    </row>
    <row customHeight="true" ht="16.071428571428573" r="114">
      <c r="A114" s="105">
        <v>46283</v>
      </c>
      <c r="B114" s="108" t="s">
        <v>211</v>
      </c>
      <c r="C114" s="107" t="s">
        <v>220</v>
      </c>
      <c r="D114" s="126">
        <v>5</v>
      </c>
      <c r="E114" s="108">
        <v>16</v>
      </c>
      <c r="F114" s="115">
        <v>17</v>
      </c>
      <c r="G114" s="130">
        <v>42102.95</v>
      </c>
      <c r="H114" s="131">
        <v>12307.87</v>
      </c>
      <c r="I114" s="112">
        <f t="shared" si="62"/>
      </c>
      <c r="J114" s="113">
        <f t="shared" si="0"/>
      </c>
      <c r="K114" s="113">
        <f t="shared" si="198"/>
      </c>
      <c r="L114" s="114">
        <f t="shared" si="137"/>
      </c>
      <c r="M114" s="115"/>
      <c r="N114" s="129"/>
      <c r="O114" s="129"/>
      <c r="P114" s="117"/>
      <c r="Q114" s="118"/>
      <c r="R114" s="119"/>
      <c r="S114" s="120">
        <f t="shared" si="80"/>
      </c>
      <c r="T114" s="121">
        <f t="shared" si="18"/>
      </c>
      <c r="U114" s="122">
        <f t="shared" si="216"/>
      </c>
      <c r="V114" s="122">
        <f t="shared" si="155"/>
      </c>
      <c r="W114" s="122">
        <f t="shared" si="110"/>
      </c>
      <c r="X114" s="123">
        <f t="shared" si="48"/>
      </c>
      <c r="Y114" s="122">
        <f t="shared" si="246"/>
      </c>
      <c r="Z114" s="124">
        <v>57</v>
      </c>
      <c r="AA114" s="125">
        <f t="shared" si="185"/>
      </c>
      <c r="AB114" s="124">
        <v>55536</v>
      </c>
      <c r="AC114" s="123">
        <v>1731</v>
      </c>
      <c r="AD114" s="123">
        <v>1849</v>
      </c>
      <c r="AE114" s="123">
        <v>296</v>
      </c>
      <c r="AF114" s="124">
        <v>256</v>
      </c>
      <c r="AG114" s="123">
        <v>18</v>
      </c>
      <c r="AH114" s="123">
        <v>4</v>
      </c>
      <c r="AI114" s="123">
        <v>23</v>
      </c>
    </row>
    <row customHeight="true" ht="16.071428571428573" r="115">
      <c r="A115" s="105">
        <v>46283</v>
      </c>
      <c r="B115" s="108" t="s">
        <v>218</v>
      </c>
      <c r="C115" s="107" t="s">
        <v>222</v>
      </c>
      <c r="D115" s="126">
        <v>4</v>
      </c>
      <c r="E115" s="115">
        <v>16</v>
      </c>
      <c r="F115" s="115">
        <v>16</v>
      </c>
      <c r="G115" s="130">
        <v>36672.84</v>
      </c>
      <c r="H115" s="132">
        <v>17742.28</v>
      </c>
      <c r="I115" s="112">
        <f t="shared" si="62"/>
      </c>
      <c r="J115" s="113">
        <f t="shared" si="0"/>
      </c>
      <c r="K115" s="113">
        <f t="shared" si="198"/>
      </c>
      <c r="L115" s="114">
        <f t="shared" si="137"/>
      </c>
      <c r="M115" s="115" t="s">
        <v>226</v>
      </c>
      <c r="N115" s="129">
        <v>8</v>
      </c>
      <c r="O115" s="129"/>
      <c r="P115" s="117"/>
      <c r="Q115" s="118"/>
      <c r="R115" s="119"/>
      <c r="S115" s="120">
        <f t="shared" si="80"/>
      </c>
      <c r="T115" s="121">
        <f t="shared" si="18"/>
      </c>
      <c r="U115" s="122">
        <f t="shared" si="216"/>
      </c>
      <c r="V115" s="122">
        <f t="shared" si="155"/>
      </c>
      <c r="W115" s="122">
        <f t="shared" si="110"/>
      </c>
      <c r="X115" s="123">
        <f t="shared" si="48"/>
      </c>
      <c r="Y115" s="122">
        <f t="shared" si="246"/>
      </c>
      <c r="Z115" s="124">
        <v>53.5</v>
      </c>
      <c r="AA115" s="125">
        <f t="shared" si="185"/>
      </c>
      <c r="AB115" s="123">
        <v>105225</v>
      </c>
      <c r="AC115" s="123">
        <v>3461</v>
      </c>
      <c r="AD115" s="123">
        <v>3734</v>
      </c>
      <c r="AE115" s="123">
        <v>405</v>
      </c>
      <c r="AF115">
        <v>252</v>
      </c>
      <c r="AG115" s="124">
        <v>24</v>
      </c>
      <c r="AH115" s="124">
        <v>3</v>
      </c>
      <c r="AI115" s="124">
        <v>29</v>
      </c>
    </row>
    <row customHeight="true" ht="16.071428571428573" r="116">
      <c r="A116" s="135">
        <v>46283</v>
      </c>
      <c r="B116" s="136" t="s">
        <v>214</v>
      </c>
      <c r="C116" s="137"/>
      <c r="D116" s="137">
        <f>SUM(D111:D115)</f>
      </c>
      <c r="E116" s="137">
        <f>SUM(E111:E115)</f>
      </c>
      <c r="F116" s="137">
        <f>SUM(F111:F115)</f>
      </c>
      <c r="G116" s="137">
        <f>SUM(G111:G115)</f>
      </c>
      <c r="H116" s="137">
        <f>SUM(H111:H115)</f>
      </c>
      <c r="I116" s="139">
        <f t="shared" si="62"/>
      </c>
      <c r="J116" s="139">
        <f t="shared" si="0"/>
      </c>
      <c r="K116" s="139">
        <f t="shared" si="198"/>
      </c>
      <c r="L116" s="139">
        <f t="shared" si="137"/>
      </c>
      <c r="M116" s="137"/>
      <c r="N116" s="140">
        <f>SUM(N111:N115)</f>
      </c>
      <c r="O116" s="140"/>
      <c r="P116" s="137"/>
      <c r="Q116" s="137"/>
      <c r="R116" s="137"/>
      <c r="S116" s="141">
        <f>AVERAGE(S111:S115)</f>
      </c>
      <c r="T116" s="142">
        <f>AVERAGE(T111:T115)</f>
      </c>
      <c r="U116" s="142">
        <f>AVERAGE(U111:U115)</f>
      </c>
      <c r="V116" s="142">
        <f>AVERAGE(V111:V115)</f>
      </c>
      <c r="W116" s="142">
        <f>AVERAGE(W111:W115)</f>
      </c>
      <c r="X116" s="143">
        <f>SUM(X111:X115)</f>
      </c>
      <c r="Y116" s="142">
        <f>AVERAGE(Y111:Y115)</f>
      </c>
      <c r="Z116" s="143"/>
      <c r="AA116" s="144">
        <f>AVERAGE(AA111:AA115)</f>
      </c>
      <c r="AB116" s="143">
        <f>SUM(AB111:AB115)</f>
      </c>
      <c r="AC116" s="143">
        <f>SUM(AC111:AC115)</f>
      </c>
      <c r="AD116" s="143">
        <f>SUM(AD111:AD115)</f>
      </c>
      <c r="AE116" s="143">
        <f>SUM(AE111:AE115)</f>
      </c>
      <c r="AF116" s="143">
        <f>SUM(AF111:AF115)</f>
      </c>
      <c r="AG116" s="143">
        <f>SUM(AG111:AG115)</f>
      </c>
      <c r="AH116" s="143">
        <f>SUM(AH111:AH115)</f>
      </c>
      <c r="AI116" s="143">
        <f>SUM(AI111:AI115)</f>
      </c>
    </row>
    <row customHeight="true" ht="16.071428571428573" r="117">
      <c r="A117" s="105">
        <v>46284</v>
      </c>
      <c r="B117" s="108" t="s">
        <v>206</v>
      </c>
      <c r="C117" s="107" t="s">
        <v>234</v>
      </c>
      <c r="D117" s="126">
        <v>4</v>
      </c>
      <c r="E117" s="108">
        <v>3</v>
      </c>
      <c r="F117" s="108">
        <v>3</v>
      </c>
      <c r="G117" s="120">
        <v>6960.790000000001</v>
      </c>
      <c r="H117" s="127">
        <v>3873.78</v>
      </c>
      <c r="I117" s="112">
        <f t="shared" si="62"/>
      </c>
      <c r="J117" s="113">
        <f t="shared" si="0"/>
      </c>
      <c r="K117" s="113">
        <f t="shared" si="198"/>
      </c>
      <c r="L117" s="114">
        <f t="shared" si="137"/>
      </c>
      <c r="M117" s="115" t="s">
        <v>216</v>
      </c>
      <c r="N117" s="116">
        <v>4</v>
      </c>
      <c r="O117" s="116"/>
      <c r="P117" s="117"/>
      <c r="Q117" s="118"/>
      <c r="R117" s="119"/>
      <c r="S117" s="120">
        <f t="shared" ref="S117:S121" si="81">H117/AC117</f>
      </c>
      <c r="T117" s="121">
        <f t="shared" ref="T117:T121" si="19">X117/AB117*1</f>
      </c>
      <c r="U117" s="122">
        <f t="shared" ref="U117:U121" si="217">AC117/AB117</f>
      </c>
      <c r="V117" s="122">
        <f t="shared" ref="V117:V121" si="156">AD117/AB117</f>
      </c>
      <c r="W117" s="122">
        <f t="shared" ref="W117:W121" si="111">AF117/AD117</f>
      </c>
      <c r="X117" s="123">
        <f t="shared" ref="X117:X121" si="49">AE117/Y117</f>
      </c>
      <c r="Y117" s="122">
        <f t="shared" ref="Y117:Y121" si="247">AE117/AD117</f>
      </c>
      <c r="Z117" s="124">
        <v>57.5</v>
      </c>
      <c r="AA117" s="125">
        <f t="shared" ref="AA117:AA121" si="186">(H117/AB117)*1000</f>
      </c>
      <c r="AB117" s="123">
        <v>34329</v>
      </c>
      <c r="AC117" s="123">
        <v>1112</v>
      </c>
      <c r="AD117" s="123">
        <v>1308</v>
      </c>
      <c r="AE117" s="123">
        <v>141</v>
      </c>
      <c r="AF117" s="124">
        <v>148</v>
      </c>
      <c r="AG117" s="124">
        <v>15</v>
      </c>
      <c r="AH117" s="123">
        <v>2</v>
      </c>
      <c r="AI117" s="123">
        <v>26</v>
      </c>
    </row>
    <row customHeight="true" ht="16.071428571428573" r="118">
      <c r="A118" s="105">
        <v>46284</v>
      </c>
      <c r="B118" s="108" t="s">
        <v>201</v>
      </c>
      <c r="C118" s="107" t="s">
        <v>225</v>
      </c>
      <c r="D118" s="126">
        <v>5</v>
      </c>
      <c r="E118" s="108">
        <v>15</v>
      </c>
      <c r="F118" s="108">
        <v>17</v>
      </c>
      <c r="G118" s="120">
        <v>40984.06999999999</v>
      </c>
      <c r="H118" s="131">
        <v>12721.000000000002</v>
      </c>
      <c r="I118" s="112">
        <f t="shared" si="62"/>
      </c>
      <c r="J118" s="113">
        <f t="shared" si="0"/>
      </c>
      <c r="K118" s="113">
        <f t="shared" si="198"/>
      </c>
      <c r="L118" s="114">
        <f t="shared" si="137"/>
      </c>
      <c r="M118" s="128"/>
      <c r="N118" s="116"/>
      <c r="O118" s="116"/>
      <c r="P118" s="117"/>
      <c r="Q118" s="118"/>
      <c r="R118" s="119"/>
      <c r="S118" s="120">
        <f t="shared" si="81"/>
      </c>
      <c r="T118" s="121">
        <f t="shared" si="19"/>
      </c>
      <c r="U118" s="122">
        <f t="shared" si="217"/>
      </c>
      <c r="V118" s="122">
        <f t="shared" si="156"/>
      </c>
      <c r="W118" s="122">
        <f t="shared" si="111"/>
      </c>
      <c r="X118" s="123">
        <f t="shared" si="49"/>
      </c>
      <c r="Y118" s="122">
        <f t="shared" si="247"/>
      </c>
      <c r="Z118" s="124">
        <v>59</v>
      </c>
      <c r="AA118" s="125">
        <f t="shared" si="186"/>
      </c>
      <c r="AB118" s="124">
        <v>79339</v>
      </c>
      <c r="AC118" s="123">
        <v>2118</v>
      </c>
      <c r="AD118" s="123">
        <v>2323</v>
      </c>
      <c r="AE118" s="123">
        <v>401</v>
      </c>
      <c r="AF118" s="124">
        <v>253</v>
      </c>
      <c r="AG118" s="124">
        <v>31</v>
      </c>
      <c r="AH118" s="123">
        <v>7</v>
      </c>
      <c r="AI118" s="123">
        <v>53</v>
      </c>
    </row>
    <row customHeight="true" ht="16.071428571428573" r="119">
      <c r="A119" s="105">
        <v>46284</v>
      </c>
      <c r="B119" s="108" t="s">
        <v>218</v>
      </c>
      <c r="C119" s="107" t="s">
        <v>233</v>
      </c>
      <c r="D119" s="126">
        <v>4</v>
      </c>
      <c r="E119" s="108">
        <v>15</v>
      </c>
      <c r="F119" s="108">
        <v>18</v>
      </c>
      <c r="G119" s="130">
        <v>41909.369999999995</v>
      </c>
      <c r="H119" s="127">
        <v>12216.55</v>
      </c>
      <c r="I119" s="112">
        <f t="shared" si="62"/>
      </c>
      <c r="J119" s="113">
        <f t="shared" si="0"/>
      </c>
      <c r="K119" s="113">
        <f t="shared" si="198"/>
      </c>
      <c r="L119" s="114">
        <f t="shared" si="137"/>
      </c>
      <c r="M119" s="115" t="s">
        <v>235</v>
      </c>
      <c r="N119" s="116">
        <v>10</v>
      </c>
      <c r="O119" s="116"/>
      <c r="P119" s="117"/>
      <c r="Q119" s="118"/>
      <c r="R119" s="119"/>
      <c r="S119" s="120">
        <f t="shared" si="81"/>
      </c>
      <c r="T119" s="121">
        <f t="shared" si="19"/>
      </c>
      <c r="U119" s="122">
        <f t="shared" si="217"/>
      </c>
      <c r="V119" s="122">
        <f t="shared" si="156"/>
      </c>
      <c r="W119" s="122">
        <f t="shared" si="111"/>
      </c>
      <c r="X119" s="123">
        <f t="shared" si="49"/>
      </c>
      <c r="Y119" s="122">
        <f t="shared" si="247"/>
      </c>
      <c r="Z119" s="124">
        <v>67</v>
      </c>
      <c r="AA119" s="125">
        <f t="shared" si="186"/>
      </c>
      <c r="AB119" s="123">
        <v>87527</v>
      </c>
      <c r="AC119" s="123">
        <v>1690</v>
      </c>
      <c r="AD119" s="123">
        <v>1784</v>
      </c>
      <c r="AE119" s="123">
        <v>405</v>
      </c>
      <c r="AF119" s="124">
        <v>285</v>
      </c>
      <c r="AG119" s="124">
        <v>24</v>
      </c>
      <c r="AH119" s="123">
        <v>4</v>
      </c>
      <c r="AI119" s="123">
        <v>69</v>
      </c>
    </row>
    <row customHeight="true" ht="16.071428571428573" r="120">
      <c r="A120" s="105">
        <v>46284</v>
      </c>
      <c r="B120" s="108" t="s">
        <v>211</v>
      </c>
      <c r="C120" s="107" t="s">
        <v>220</v>
      </c>
      <c r="D120" s="126">
        <v>5</v>
      </c>
      <c r="E120" s="108">
        <v>14</v>
      </c>
      <c r="F120" s="115">
        <v>15</v>
      </c>
      <c r="G120" s="130">
        <v>44015.40999999999</v>
      </c>
      <c r="H120" s="131">
        <v>12238.1</v>
      </c>
      <c r="I120" s="112">
        <f t="shared" si="62"/>
      </c>
      <c r="J120" s="113">
        <f t="shared" si="0"/>
      </c>
      <c r="K120" s="113">
        <f t="shared" si="198"/>
      </c>
      <c r="L120" s="114">
        <f t="shared" si="137"/>
      </c>
      <c r="M120" s="115"/>
      <c r="N120" s="129"/>
      <c r="O120" s="129"/>
      <c r="P120" s="117"/>
      <c r="Q120" s="118"/>
      <c r="R120" s="119"/>
      <c r="S120" s="120">
        <f t="shared" si="81"/>
      </c>
      <c r="T120" s="121">
        <f t="shared" si="19"/>
      </c>
      <c r="U120" s="122">
        <f t="shared" si="217"/>
      </c>
      <c r="V120" s="122">
        <f t="shared" si="156"/>
      </c>
      <c r="W120" s="122">
        <f t="shared" si="111"/>
      </c>
      <c r="X120" s="123">
        <f t="shared" si="49"/>
      </c>
      <c r="Y120" s="122">
        <f t="shared" si="247"/>
      </c>
      <c r="Z120" s="124">
        <v>66.8</v>
      </c>
      <c r="AA120" s="125">
        <f t="shared" si="186"/>
      </c>
      <c r="AB120" s="124">
        <v>90417</v>
      </c>
      <c r="AC120" s="123">
        <v>1891</v>
      </c>
      <c r="AD120" s="123">
        <v>1992</v>
      </c>
      <c r="AE120" s="123">
        <v>393</v>
      </c>
      <c r="AF120" s="124">
        <v>357</v>
      </c>
      <c r="AG120" s="123">
        <v>22</v>
      </c>
      <c r="AH120" s="123">
        <v>9</v>
      </c>
      <c r="AI120" s="123">
        <v>66</v>
      </c>
    </row>
    <row customHeight="true" ht="16.071428571428573" r="121">
      <c r="A121" s="105">
        <v>46284</v>
      </c>
      <c r="B121" s="108" t="s">
        <v>206</v>
      </c>
      <c r="C121" s="107" t="s">
        <v>222</v>
      </c>
      <c r="D121" s="126">
        <v>4</v>
      </c>
      <c r="E121" s="115">
        <v>11</v>
      </c>
      <c r="F121" s="115">
        <v>14</v>
      </c>
      <c r="G121" s="130">
        <v>36737.43</v>
      </c>
      <c r="H121" s="132">
        <v>13429.98</v>
      </c>
      <c r="I121" s="112">
        <f t="shared" si="62"/>
      </c>
      <c r="J121" s="113">
        <f t="shared" si="0"/>
      </c>
      <c r="K121" s="113">
        <f t="shared" si="198"/>
      </c>
      <c r="L121" s="114">
        <f t="shared" si="137"/>
      </c>
      <c r="M121" s="115" t="s">
        <v>226</v>
      </c>
      <c r="N121" s="129">
        <v>8</v>
      </c>
      <c r="O121" s="129"/>
      <c r="P121" s="117"/>
      <c r="Q121" s="118"/>
      <c r="R121" s="119"/>
      <c r="S121" s="120">
        <f t="shared" si="81"/>
      </c>
      <c r="T121" s="121">
        <f t="shared" si="19"/>
      </c>
      <c r="U121" s="122">
        <f t="shared" si="217"/>
      </c>
      <c r="V121" s="122">
        <f t="shared" si="156"/>
      </c>
      <c r="W121" s="122">
        <f t="shared" si="111"/>
      </c>
      <c r="X121" s="123">
        <f t="shared" si="49"/>
      </c>
      <c r="Y121" s="122">
        <f t="shared" si="247"/>
      </c>
      <c r="Z121" s="124">
        <v>60</v>
      </c>
      <c r="AA121" s="125">
        <f t="shared" si="186"/>
      </c>
      <c r="AB121" s="123">
        <v>105769</v>
      </c>
      <c r="AC121" s="123">
        <v>2888</v>
      </c>
      <c r="AD121" s="123">
        <v>3149</v>
      </c>
      <c r="AE121" s="123">
        <v>424</v>
      </c>
      <c r="AF121">
        <v>219</v>
      </c>
      <c r="AG121" s="124">
        <v>27</v>
      </c>
      <c r="AH121" s="124">
        <v>2</v>
      </c>
      <c r="AI121" s="124">
        <v>66</v>
      </c>
    </row>
    <row customHeight="true" ht="16.071428571428573" r="122">
      <c r="A122" s="135">
        <v>46284</v>
      </c>
      <c r="B122" s="136" t="s">
        <v>214</v>
      </c>
      <c r="C122" s="137"/>
      <c r="D122" s="137">
        <f>SUM(D117:D121)</f>
      </c>
      <c r="E122" s="137">
        <f>SUM(E117:E121)</f>
      </c>
      <c r="F122" s="137">
        <f>SUM(F117:F121)</f>
      </c>
      <c r="G122" s="137">
        <f>SUM(G117:G121)</f>
      </c>
      <c r="H122" s="137">
        <f>SUM(H117:H121)</f>
      </c>
      <c r="I122" s="139">
        <f t="shared" si="62"/>
      </c>
      <c r="J122" s="139">
        <f t="shared" si="0"/>
      </c>
      <c r="K122" s="139">
        <f t="shared" si="198"/>
      </c>
      <c r="L122" s="139">
        <f t="shared" si="137"/>
      </c>
      <c r="M122" s="137"/>
      <c r="N122" s="140">
        <f>SUM(N117:N121)</f>
      </c>
      <c r="O122" s="140"/>
      <c r="P122" s="137"/>
      <c r="Q122" s="137"/>
      <c r="R122" s="137"/>
      <c r="S122" s="141">
        <f>AVERAGE(S117:S121)</f>
      </c>
      <c r="T122" s="142">
        <f>AVERAGE(T117:T121)</f>
      </c>
      <c r="U122" s="142">
        <f>AVERAGE(U117:U121)</f>
      </c>
      <c r="V122" s="142">
        <f>AVERAGE(V117:V121)</f>
      </c>
      <c r="W122" s="142">
        <f>AVERAGE(W117:W121)</f>
      </c>
      <c r="X122" s="143">
        <f>SUM(X117:X121)</f>
      </c>
      <c r="Y122" s="142">
        <f>AVERAGE(Y117:Y121)</f>
      </c>
      <c r="Z122" s="143"/>
      <c r="AA122" s="144">
        <f>AVERAGE(AA117:AA121)</f>
      </c>
      <c r="AB122" s="143">
        <f>SUM(AB117:AB121)</f>
      </c>
      <c r="AC122" s="143">
        <f>SUM(AC117:AC121)</f>
      </c>
      <c r="AD122" s="143">
        <f>SUM(AD117:AD121)</f>
      </c>
      <c r="AE122" s="143">
        <f>SUM(AE117:AE121)</f>
      </c>
      <c r="AF122" s="143">
        <f>SUM(AF117:AF121)</f>
      </c>
      <c r="AG122" s="143">
        <f>SUM(AG117:AG121)</f>
      </c>
      <c r="AH122" s="143">
        <f>SUM(AH117:AH121)</f>
      </c>
      <c r="AI122" s="143">
        <f>SUM(AI117:AI121)</f>
      </c>
    </row>
    <row customHeight="true" ht="16.071428571428573" r="123">
      <c r="A123" s="105">
        <v>46285</v>
      </c>
      <c r="B123" s="108" t="s">
        <v>208</v>
      </c>
      <c r="C123" s="107" t="s">
        <v>234</v>
      </c>
      <c r="D123" s="126">
        <v>4</v>
      </c>
      <c r="E123" s="108">
        <v>5</v>
      </c>
      <c r="F123" s="108">
        <v>3</v>
      </c>
      <c r="G123" s="120">
        <v>8211.07</v>
      </c>
      <c r="H123" s="127">
        <v>2777.24</v>
      </c>
      <c r="I123" s="112">
        <f t="shared" si="62"/>
      </c>
      <c r="J123" s="113">
        <f t="shared" si="0"/>
      </c>
      <c r="K123" s="113">
        <f t="shared" si="198"/>
      </c>
      <c r="L123" s="114">
        <f t="shared" si="137"/>
      </c>
      <c r="M123" s="115" t="s">
        <v>213</v>
      </c>
      <c r="N123" s="116">
        <v>4</v>
      </c>
      <c r="O123" s="116"/>
      <c r="P123" s="117"/>
      <c r="Q123" s="118"/>
      <c r="R123" s="119"/>
      <c r="S123" s="120">
        <f t="shared" ref="S123:S127" si="82">H123/AC123</f>
      </c>
      <c r="T123" s="121">
        <f t="shared" ref="T123:T127" si="20">X123/AB123*1</f>
      </c>
      <c r="U123" s="122">
        <f t="shared" ref="U123:U127" si="218">AC123/AB123</f>
      </c>
      <c r="V123" s="122">
        <f t="shared" ref="V123:V127" si="157">AD123/AB123</f>
      </c>
      <c r="W123" s="122">
        <f t="shared" ref="W123:W127" si="112">AF123/AD123</f>
      </c>
      <c r="X123" s="123">
        <f t="shared" ref="X123:X127" si="50">AE123/Y123</f>
      </c>
      <c r="Y123" s="122">
        <f t="shared" ref="Y123:Y127" si="248">AE123/AD123</f>
      </c>
      <c r="Z123" s="124">
        <v>62</v>
      </c>
      <c r="AA123" s="125">
        <f t="shared" ref="AA123:AA127" si="187">(H123/AB123)*1000</f>
      </c>
      <c r="AB123" s="123">
        <v>28940</v>
      </c>
      <c r="AC123" s="123">
        <v>1039</v>
      </c>
      <c r="AD123" s="123">
        <v>1308</v>
      </c>
      <c r="AE123" s="123">
        <v>83</v>
      </c>
      <c r="AF123" s="124">
        <v>106</v>
      </c>
      <c r="AG123" s="124">
        <v>14</v>
      </c>
      <c r="AH123" s="123">
        <v>0</v>
      </c>
      <c r="AI123" s="123">
        <v>10</v>
      </c>
    </row>
    <row customHeight="true" ht="16.071428571428573" r="124">
      <c r="A124" s="105">
        <v>46285</v>
      </c>
      <c r="B124" s="108" t="s">
        <v>201</v>
      </c>
      <c r="C124" s="107" t="s">
        <v>225</v>
      </c>
      <c r="D124" s="126">
        <v>5</v>
      </c>
      <c r="E124" s="108">
        <v>11</v>
      </c>
      <c r="F124" s="108">
        <v>13</v>
      </c>
      <c r="G124" s="120">
        <v>30926.65</v>
      </c>
      <c r="H124" s="131">
        <v>12851.89</v>
      </c>
      <c r="I124" s="112">
        <f t="shared" si="62"/>
      </c>
      <c r="J124" s="113">
        <f t="shared" si="0"/>
      </c>
      <c r="K124" s="113">
        <f t="shared" si="198"/>
      </c>
      <c r="L124" s="114">
        <f t="shared" si="137"/>
      </c>
      <c r="M124" s="128"/>
      <c r="N124" s="116"/>
      <c r="O124" s="116"/>
      <c r="P124" s="117"/>
      <c r="Q124" s="118"/>
      <c r="R124" s="119"/>
      <c r="S124" s="120">
        <f t="shared" si="82"/>
      </c>
      <c r="T124" s="121">
        <f t="shared" si="20"/>
      </c>
      <c r="U124" s="122">
        <f t="shared" si="218"/>
      </c>
      <c r="V124" s="122">
        <f t="shared" si="157"/>
      </c>
      <c r="W124" s="122">
        <f t="shared" si="112"/>
      </c>
      <c r="X124" s="123">
        <f t="shared" si="50"/>
      </c>
      <c r="Y124" s="122">
        <f t="shared" si="248"/>
      </c>
      <c r="Z124" s="124">
        <v>41</v>
      </c>
      <c r="AA124" s="125">
        <f t="shared" si="187"/>
      </c>
      <c r="AB124" s="124">
        <v>73936</v>
      </c>
      <c r="AC124" s="123">
        <v>2130</v>
      </c>
      <c r="AD124" s="123">
        <v>2304</v>
      </c>
      <c r="AE124" s="123">
        <v>400</v>
      </c>
      <c r="AF124" s="124">
        <v>226</v>
      </c>
      <c r="AG124" s="124">
        <v>16</v>
      </c>
      <c r="AH124" s="123">
        <v>5</v>
      </c>
      <c r="AI124" s="123">
        <v>66</v>
      </c>
    </row>
    <row customHeight="true" ht="16.071428571428573" r="125">
      <c r="A125" s="105">
        <v>46285</v>
      </c>
      <c r="B125" s="108" t="s">
        <v>218</v>
      </c>
      <c r="C125" s="107" t="s">
        <v>233</v>
      </c>
      <c r="D125" s="126">
        <v>4</v>
      </c>
      <c r="E125" s="108">
        <v>9</v>
      </c>
      <c r="F125" s="108">
        <v>10</v>
      </c>
      <c r="G125" s="130">
        <v>31151.849999999995</v>
      </c>
      <c r="H125" s="127">
        <v>10727.46</v>
      </c>
      <c r="I125" s="112">
        <f t="shared" si="62"/>
      </c>
      <c r="J125" s="113">
        <f t="shared" si="0"/>
      </c>
      <c r="K125" s="113">
        <f t="shared" si="198"/>
      </c>
      <c r="L125" s="114">
        <f t="shared" si="137"/>
      </c>
      <c r="M125" s="115" t="s">
        <v>235</v>
      </c>
      <c r="N125" s="116">
        <v>10</v>
      </c>
      <c r="O125" s="116"/>
      <c r="P125" s="117"/>
      <c r="Q125" s="118"/>
      <c r="R125" s="119"/>
      <c r="S125" s="120">
        <f t="shared" si="82"/>
      </c>
      <c r="T125" s="121">
        <f t="shared" si="20"/>
      </c>
      <c r="U125" s="122">
        <f t="shared" si="218"/>
      </c>
      <c r="V125" s="122">
        <f t="shared" si="157"/>
      </c>
      <c r="W125" s="122">
        <f t="shared" si="112"/>
      </c>
      <c r="X125" s="123">
        <f t="shared" si="50"/>
      </c>
      <c r="Y125" s="122">
        <f t="shared" si="248"/>
      </c>
      <c r="Z125" s="124">
        <v>48</v>
      </c>
      <c r="AA125" s="125">
        <f t="shared" si="187"/>
      </c>
      <c r="AB125" s="123">
        <v>65787</v>
      </c>
      <c r="AC125" s="123">
        <v>2094</v>
      </c>
      <c r="AD125" s="123">
        <v>2248</v>
      </c>
      <c r="AE125" s="123">
        <v>267</v>
      </c>
      <c r="AF125" s="124">
        <v>265</v>
      </c>
      <c r="AG125" s="124">
        <v>20</v>
      </c>
      <c r="AH125" s="123">
        <v>4</v>
      </c>
      <c r="AI125" s="123">
        <v>21</v>
      </c>
    </row>
    <row customHeight="true" ht="16.071428571428573" r="126">
      <c r="A126" s="105">
        <v>46285</v>
      </c>
      <c r="B126" s="108" t="s">
        <v>211</v>
      </c>
      <c r="C126" s="107" t="s">
        <v>220</v>
      </c>
      <c r="D126" s="126">
        <v>5</v>
      </c>
      <c r="E126" s="108">
        <v>7</v>
      </c>
      <c r="F126" s="115">
        <v>11</v>
      </c>
      <c r="G126" s="130">
        <v>26768.270000000008</v>
      </c>
      <c r="H126" s="131">
        <v>10699.310000000001</v>
      </c>
      <c r="I126" s="112">
        <f t="shared" si="62"/>
      </c>
      <c r="J126" s="113">
        <f t="shared" si="0"/>
      </c>
      <c r="K126" s="113">
        <f t="shared" si="198"/>
      </c>
      <c r="L126" s="114">
        <f t="shared" si="137"/>
      </c>
      <c r="M126" s="115"/>
      <c r="N126" s="129"/>
      <c r="O126" s="129"/>
      <c r="P126" s="117"/>
      <c r="Q126" s="118"/>
      <c r="R126" s="119"/>
      <c r="S126" s="120">
        <f t="shared" si="82"/>
      </c>
      <c r="T126" s="121">
        <f t="shared" si="20"/>
      </c>
      <c r="U126" s="122">
        <f t="shared" si="218"/>
      </c>
      <c r="V126" s="122">
        <f t="shared" si="157"/>
      </c>
      <c r="W126" s="122">
        <f t="shared" si="112"/>
      </c>
      <c r="X126" s="123">
        <f t="shared" si="50"/>
      </c>
      <c r="Y126" s="122">
        <f t="shared" si="248"/>
      </c>
      <c r="Z126" s="124">
        <v>40</v>
      </c>
      <c r="AA126" s="125">
        <f t="shared" si="187"/>
      </c>
      <c r="AB126" s="124">
        <v>65335</v>
      </c>
      <c r="AC126" s="123">
        <v>2265</v>
      </c>
      <c r="AD126" s="123">
        <v>2472</v>
      </c>
      <c r="AE126" s="123">
        <v>230</v>
      </c>
      <c r="AF126" s="124">
        <v>212</v>
      </c>
      <c r="AG126" s="123">
        <v>11</v>
      </c>
      <c r="AH126" s="123">
        <v>2</v>
      </c>
      <c r="AI126" s="123">
        <v>7</v>
      </c>
    </row>
    <row customHeight="true" ht="16.071428571428573" r="127">
      <c r="A127" s="105">
        <v>46285</v>
      </c>
      <c r="B127" s="108" t="s">
        <v>206</v>
      </c>
      <c r="C127" s="107" t="s">
        <v>222</v>
      </c>
      <c r="D127" s="126">
        <v>4</v>
      </c>
      <c r="E127" s="115">
        <v>9</v>
      </c>
      <c r="F127" s="115">
        <v>10</v>
      </c>
      <c r="G127" s="130">
        <v>22721.999999999996</v>
      </c>
      <c r="H127" s="132">
        <v>9575.91</v>
      </c>
      <c r="I127" s="112">
        <f t="shared" si="62"/>
      </c>
      <c r="J127" s="113">
        <f t="shared" si="0"/>
      </c>
      <c r="K127" s="113">
        <f t="shared" si="198"/>
      </c>
      <c r="L127" s="114">
        <f t="shared" si="137"/>
      </c>
      <c r="M127" s="115" t="s">
        <v>226</v>
      </c>
      <c r="N127" s="129">
        <v>8</v>
      </c>
      <c r="O127" s="116" t="s">
        <v>236</v>
      </c>
      <c r="P127" s="117"/>
      <c r="Q127" s="118"/>
      <c r="R127" s="119"/>
      <c r="S127" s="120">
        <f t="shared" si="82"/>
      </c>
      <c r="T127" s="121">
        <f t="shared" si="20"/>
      </c>
      <c r="U127" s="122">
        <f t="shared" si="218"/>
      </c>
      <c r="V127" s="122">
        <f t="shared" si="157"/>
      </c>
      <c r="W127" s="122">
        <f t="shared" si="112"/>
      </c>
      <c r="X127" s="123">
        <f t="shared" si="50"/>
      </c>
      <c r="Y127" s="122">
        <f t="shared" si="248"/>
      </c>
      <c r="Z127" s="124">
        <v>39</v>
      </c>
      <c r="AA127" s="125">
        <f t="shared" si="187"/>
      </c>
      <c r="AB127" s="123">
        <v>74127</v>
      </c>
      <c r="AC127" s="123">
        <v>2264</v>
      </c>
      <c r="AD127" s="123">
        <v>2553</v>
      </c>
      <c r="AE127" s="123">
        <v>247</v>
      </c>
      <c r="AF127">
        <v>182</v>
      </c>
      <c r="AG127" s="124">
        <v>10</v>
      </c>
      <c r="AH127" s="124">
        <v>5</v>
      </c>
      <c r="AI127" s="124">
        <v>20</v>
      </c>
    </row>
    <row customHeight="true" ht="16.071428571428573" r="128">
      <c r="A128" s="135">
        <v>46285</v>
      </c>
      <c r="B128" s="136" t="s">
        <v>214</v>
      </c>
      <c r="C128" s="137"/>
      <c r="D128" s="137">
        <f>SUM(D123:D127)</f>
      </c>
      <c r="E128" s="137">
        <f>SUM(E123:E127)</f>
      </c>
      <c r="F128" s="137">
        <f>SUM(F123:F127)</f>
      </c>
      <c r="G128" s="137">
        <f>SUM(G123:G127)</f>
      </c>
      <c r="H128" s="137">
        <f>SUM(H123:H127)</f>
      </c>
      <c r="I128" s="139">
        <f t="shared" si="62"/>
      </c>
      <c r="J128" s="139">
        <f t="shared" si="0"/>
      </c>
      <c r="K128" s="139">
        <f t="shared" si="198"/>
      </c>
      <c r="L128" s="139">
        <f t="shared" si="137"/>
      </c>
      <c r="M128" s="137"/>
      <c r="N128" s="140">
        <f>SUM(N123:N127)</f>
      </c>
      <c r="O128" s="140"/>
      <c r="P128" s="137"/>
      <c r="Q128" s="137"/>
      <c r="R128" s="137"/>
      <c r="S128" s="141">
        <f>AVERAGE(S123:S127)</f>
      </c>
      <c r="T128" s="142">
        <f>AVERAGE(T123:T127)</f>
      </c>
      <c r="U128" s="142">
        <f>AVERAGE(U123:U127)</f>
      </c>
      <c r="V128" s="142">
        <f>AVERAGE(V123:V127)</f>
      </c>
      <c r="W128" s="142">
        <f>AVERAGE(W123:W127)</f>
      </c>
      <c r="X128" s="143">
        <f>SUM(X123:X127)</f>
      </c>
      <c r="Y128" s="142">
        <f>AVERAGE(Y123:Y127)</f>
      </c>
      <c r="Z128" s="143"/>
      <c r="AA128" s="144">
        <f>AVERAGE(AA123:AA127)</f>
      </c>
      <c r="AB128" s="143">
        <f>SUM(AB123:AB127)</f>
      </c>
      <c r="AC128" s="143">
        <f>SUM(AC123:AC127)</f>
      </c>
      <c r="AD128" s="143">
        <f>SUM(AD123:AD127)</f>
      </c>
      <c r="AE128" s="143">
        <f>SUM(AE123:AE127)</f>
      </c>
      <c r="AF128" s="143">
        <f>SUM(AF123:AF127)</f>
      </c>
      <c r="AG128" s="143">
        <f>SUM(AG123:AG127)</f>
      </c>
      <c r="AH128" s="143">
        <f>SUM(AH123:AH127)</f>
      </c>
      <c r="AI128" s="143">
        <f>SUM(AI123:AI127)</f>
      </c>
    </row>
    <row customHeight="true" ht="16.071428571428573" r="129">
      <c r="A129" s="105">
        <v>46286</v>
      </c>
      <c r="B129" s="108" t="s">
        <v>208</v>
      </c>
      <c r="C129" s="107" t="s">
        <v>234</v>
      </c>
      <c r="D129" s="126">
        <v>4</v>
      </c>
      <c r="E129" s="108">
        <v>6</v>
      </c>
      <c r="F129" s="108">
        <v>6</v>
      </c>
      <c r="G129" s="120">
        <v>12894.4</v>
      </c>
      <c r="H129" s="127">
        <v>4216.14</v>
      </c>
      <c r="I129" s="112">
        <f t="shared" si="62"/>
      </c>
      <c r="J129" s="113">
        <f t="shared" si="0"/>
      </c>
      <c r="K129" s="113">
        <f t="shared" si="198"/>
      </c>
      <c r="L129" s="114">
        <f t="shared" si="137"/>
      </c>
      <c r="M129" s="115" t="s">
        <v>213</v>
      </c>
      <c r="N129" s="116">
        <v>4</v>
      </c>
      <c r="O129" s="116"/>
      <c r="P129" s="117"/>
      <c r="Q129" s="118"/>
      <c r="R129" s="119"/>
      <c r="S129" s="120">
        <f t="shared" ref="S129:S133" si="83">H129/AC129</f>
      </c>
      <c r="T129" s="121">
        <f t="shared" ref="T129:T133" si="21">X129/AB129*1</f>
      </c>
      <c r="U129" s="122">
        <f t="shared" ref="U129:U133" si="219">AC129/AB129</f>
      </c>
      <c r="V129" s="122">
        <f t="shared" ref="V129:V133" si="158">AD129/AB129</f>
      </c>
      <c r="W129" s="122">
        <f t="shared" ref="W129:W133" si="113">AF129/AD129</f>
      </c>
      <c r="X129" s="123">
        <f t="shared" ref="X129:X133" si="51">AE129/Y129</f>
      </c>
      <c r="Y129" s="122">
        <f t="shared" ref="Y129:Y133" si="249">AE129/AD129</f>
      </c>
      <c r="Z129" s="124">
        <v>69</v>
      </c>
      <c r="AA129" s="125">
        <f t="shared" ref="AA129:AA133" si="188">(H129/AB129)*1000</f>
      </c>
      <c r="AB129" s="123">
        <v>43292</v>
      </c>
      <c r="AC129" s="123">
        <v>1345</v>
      </c>
      <c r="AD129" s="123">
        <v>1577</v>
      </c>
      <c r="AE129" s="123">
        <v>146</v>
      </c>
      <c r="AF129" s="124">
        <v>54</v>
      </c>
      <c r="AG129" s="124">
        <v>13</v>
      </c>
      <c r="AH129" s="123">
        <v>3</v>
      </c>
      <c r="AI129" s="123">
        <v>30</v>
      </c>
    </row>
    <row customHeight="true" ht="16.071428571428573" r="130">
      <c r="A130" s="105">
        <v>46286</v>
      </c>
      <c r="B130" s="108" t="s">
        <v>218</v>
      </c>
      <c r="C130" s="107" t="s">
        <v>225</v>
      </c>
      <c r="D130" s="126">
        <v>5</v>
      </c>
      <c r="E130" s="108">
        <v>16</v>
      </c>
      <c r="F130" s="108">
        <v>20</v>
      </c>
      <c r="G130" s="120">
        <v>50366.770000000004</v>
      </c>
      <c r="H130" s="131">
        <v>15964.300000000001</v>
      </c>
      <c r="I130" s="112">
        <f t="shared" si="62"/>
      </c>
      <c r="J130" s="113">
        <f t="shared" si="0"/>
      </c>
      <c r="K130" s="113">
        <f t="shared" si="198"/>
      </c>
      <c r="L130" s="114">
        <f t="shared" si="137"/>
      </c>
      <c r="M130" s="128"/>
      <c r="N130" s="116"/>
      <c r="O130" s="116"/>
      <c r="P130" s="117"/>
      <c r="Q130" s="118"/>
      <c r="R130" s="119"/>
      <c r="S130" s="120">
        <f t="shared" si="83"/>
      </c>
      <c r="T130" s="121">
        <f t="shared" si="21"/>
      </c>
      <c r="U130" s="122">
        <f t="shared" si="219"/>
      </c>
      <c r="V130" s="122">
        <f t="shared" si="158"/>
      </c>
      <c r="W130" s="122">
        <f t="shared" si="113"/>
      </c>
      <c r="X130" s="123">
        <f t="shared" si="51"/>
      </c>
      <c r="Y130" s="122">
        <f t="shared" si="249"/>
      </c>
      <c r="Z130" s="124">
        <v>45</v>
      </c>
      <c r="AA130" s="125">
        <f t="shared" si="188"/>
      </c>
      <c r="AB130" s="124">
        <v>120467</v>
      </c>
      <c r="AC130" s="123">
        <v>3314</v>
      </c>
      <c r="AD130" s="123">
        <v>3582</v>
      </c>
      <c r="AE130" s="123">
        <v>595</v>
      </c>
      <c r="AF130" s="124">
        <v>314</v>
      </c>
      <c r="AG130" s="124">
        <v>28</v>
      </c>
      <c r="AH130" s="123">
        <v>5</v>
      </c>
      <c r="AI130" s="123">
        <v>96</v>
      </c>
    </row>
    <row customHeight="true" ht="16.071428571428573" r="131">
      <c r="A131" s="105">
        <v>46286</v>
      </c>
      <c r="B131" s="108" t="s">
        <v>201</v>
      </c>
      <c r="C131" s="107" t="s">
        <v>233</v>
      </c>
      <c r="D131" s="126">
        <v>4</v>
      </c>
      <c r="E131" s="108">
        <v>19</v>
      </c>
      <c r="F131" s="108">
        <v>23</v>
      </c>
      <c r="G131" s="130">
        <v>66332.01000000001</v>
      </c>
      <c r="H131" s="127">
        <v>16939.88</v>
      </c>
      <c r="I131" s="112">
        <f t="shared" si="62"/>
      </c>
      <c r="J131" s="113">
        <f t="shared" si="0"/>
      </c>
      <c r="K131" s="113">
        <f t="shared" si="198"/>
      </c>
      <c r="L131" s="114">
        <f t="shared" si="137"/>
      </c>
      <c r="M131" s="115" t="s">
        <v>235</v>
      </c>
      <c r="N131" s="116">
        <v>10</v>
      </c>
      <c r="O131" s="116"/>
      <c r="P131" s="117"/>
      <c r="Q131" s="118"/>
      <c r="R131" s="119"/>
      <c r="S131" s="120">
        <f t="shared" si="83"/>
      </c>
      <c r="T131" s="121">
        <f t="shared" si="21"/>
      </c>
      <c r="U131" s="122">
        <f t="shared" si="219"/>
      </c>
      <c r="V131" s="122">
        <f t="shared" si="158"/>
      </c>
      <c r="W131" s="122">
        <f t="shared" si="113"/>
      </c>
      <c r="X131" s="123">
        <f t="shared" si="51"/>
      </c>
      <c r="Y131" s="122">
        <f t="shared" si="249"/>
      </c>
      <c r="Z131" s="124">
        <v>57</v>
      </c>
      <c r="AA131" s="125">
        <f t="shared" si="188"/>
      </c>
      <c r="AB131" s="123">
        <v>106780</v>
      </c>
      <c r="AC131" s="123">
        <v>2087</v>
      </c>
      <c r="AD131" s="123">
        <v>2270</v>
      </c>
      <c r="AE131" s="123">
        <v>469</v>
      </c>
      <c r="AF131" s="124">
        <v>389</v>
      </c>
      <c r="AG131" s="124">
        <v>31</v>
      </c>
      <c r="AH131" s="123">
        <v>5</v>
      </c>
      <c r="AI131" s="123">
        <v>58</v>
      </c>
    </row>
    <row customHeight="true" ht="16.071428571428573" r="132">
      <c r="A132" s="105">
        <v>46286</v>
      </c>
      <c r="B132" s="108" t="s">
        <v>211</v>
      </c>
      <c r="C132" s="107" t="s">
        <v>220</v>
      </c>
      <c r="D132" s="126">
        <v>5</v>
      </c>
      <c r="E132" s="108">
        <v>26</v>
      </c>
      <c r="F132" s="115">
        <v>27</v>
      </c>
      <c r="G132" s="130">
        <v>64367.99</v>
      </c>
      <c r="H132" s="131">
        <v>20666.95</v>
      </c>
      <c r="I132" s="112">
        <f t="shared" si="62"/>
      </c>
      <c r="J132" s="113">
        <f t="shared" si="0"/>
      </c>
      <c r="K132" s="113">
        <f t="shared" si="198"/>
      </c>
      <c r="L132" s="114">
        <f t="shared" si="137"/>
      </c>
      <c r="M132" s="115"/>
      <c r="N132" s="129"/>
      <c r="O132" s="129"/>
      <c r="P132" s="117"/>
      <c r="Q132" s="118"/>
      <c r="R132" s="119"/>
      <c r="S132" s="120">
        <f t="shared" si="83"/>
      </c>
      <c r="T132" s="121">
        <f t="shared" si="21"/>
      </c>
      <c r="U132" s="122">
        <f t="shared" si="219"/>
      </c>
      <c r="V132" s="122">
        <f t="shared" si="158"/>
      </c>
      <c r="W132" s="122">
        <f t="shared" si="113"/>
      </c>
      <c r="X132" s="123">
        <f t="shared" si="51"/>
      </c>
      <c r="Y132" s="122">
        <f t="shared" si="249"/>
      </c>
      <c r="Z132" s="124">
        <v>62</v>
      </c>
      <c r="AA132" s="125">
        <f t="shared" si="188"/>
      </c>
      <c r="AB132" s="124">
        <v>145581</v>
      </c>
      <c r="AC132" s="123">
        <v>2493</v>
      </c>
      <c r="AD132" s="123">
        <v>2725</v>
      </c>
      <c r="AE132" s="123">
        <v>636</v>
      </c>
      <c r="AF132" s="124">
        <v>478</v>
      </c>
      <c r="AG132" s="123">
        <v>43</v>
      </c>
      <c r="AH132" s="123">
        <v>13</v>
      </c>
      <c r="AI132" s="123">
        <v>94</v>
      </c>
    </row>
    <row customHeight="true" ht="16.071428571428573" r="133">
      <c r="A133" s="105">
        <v>46286</v>
      </c>
      <c r="B133" s="108" t="s">
        <v>204</v>
      </c>
      <c r="C133" s="107" t="s">
        <v>222</v>
      </c>
      <c r="D133" s="126">
        <v>4</v>
      </c>
      <c r="E133" s="115">
        <v>14</v>
      </c>
      <c r="F133" s="115">
        <v>16</v>
      </c>
      <c r="G133" s="130">
        <v>36738.48999999999</v>
      </c>
      <c r="H133" s="132">
        <v>21260.77</v>
      </c>
      <c r="I133" s="112">
        <f t="shared" si="62"/>
      </c>
      <c r="J133" s="113">
        <f t="shared" si="0"/>
      </c>
      <c r="K133" s="113">
        <f t="shared" si="198"/>
      </c>
      <c r="L133" s="114">
        <f t="shared" si="137"/>
      </c>
      <c r="M133" s="115" t="s">
        <v>226</v>
      </c>
      <c r="N133" s="129">
        <v>8</v>
      </c>
      <c r="O133" s="129"/>
      <c r="P133" s="117"/>
      <c r="Q133" s="118"/>
      <c r="R133" s="119"/>
      <c r="S133" s="120">
        <f t="shared" si="83"/>
      </c>
      <c r="T133" s="121">
        <f t="shared" si="21"/>
      </c>
      <c r="U133" s="122">
        <f t="shared" si="219"/>
      </c>
      <c r="V133" s="122">
        <f t="shared" si="158"/>
      </c>
      <c r="W133" s="122">
        <f t="shared" si="113"/>
      </c>
      <c r="X133" s="123">
        <f t="shared" si="51"/>
      </c>
      <c r="Y133" s="122">
        <f t="shared" si="249"/>
      </c>
      <c r="Z133" s="124">
        <v>62</v>
      </c>
      <c r="AA133" s="125">
        <f t="shared" si="188"/>
      </c>
      <c r="AB133" s="123">
        <v>187764</v>
      </c>
      <c r="AC133" s="123">
        <v>3205</v>
      </c>
      <c r="AD133" s="123">
        <v>3478</v>
      </c>
      <c r="AE133" s="123">
        <v>628</v>
      </c>
      <c r="AF133" s="145">
        <v>460</v>
      </c>
      <c r="AG133" s="124">
        <v>35</v>
      </c>
      <c r="AH133" s="124">
        <v>8</v>
      </c>
      <c r="AI133" s="124">
        <v>120</v>
      </c>
    </row>
    <row customHeight="true" ht="16.071428571428573" r="134">
      <c r="A134" s="135">
        <v>46286</v>
      </c>
      <c r="B134" s="136" t="s">
        <v>214</v>
      </c>
      <c r="C134" s="137"/>
      <c r="D134" s="137">
        <f>SUM(D129:D133)</f>
      </c>
      <c r="E134" s="137">
        <f>SUM(E129:E133)</f>
      </c>
      <c r="F134" s="137">
        <f>SUM(F129:F133)</f>
      </c>
      <c r="G134" s="137">
        <f>SUM(G129:G133)</f>
      </c>
      <c r="H134" s="137">
        <f>SUM(H129:H133)</f>
      </c>
      <c r="I134" s="139">
        <f t="shared" si="62"/>
      </c>
      <c r="J134" s="139">
        <f t="shared" si="0"/>
      </c>
      <c r="K134" s="139">
        <f t="shared" si="198"/>
      </c>
      <c r="L134" s="139">
        <f t="shared" si="137"/>
      </c>
      <c r="M134" s="137"/>
      <c r="N134" s="140">
        <f>SUM(N129:N133)</f>
      </c>
      <c r="O134" s="140"/>
      <c r="P134" s="137"/>
      <c r="Q134" s="137"/>
      <c r="R134" s="137"/>
      <c r="S134" s="141">
        <f>AVERAGE(S129:S133)</f>
      </c>
      <c r="T134" s="142">
        <f>AVERAGE(T129:T133)</f>
      </c>
      <c r="U134" s="142">
        <f>AVERAGE(U129:U133)</f>
      </c>
      <c r="V134" s="142">
        <f>AVERAGE(V129:V133)</f>
      </c>
      <c r="W134" s="142">
        <f>AVERAGE(W129:W133)</f>
      </c>
      <c r="X134" s="143">
        <f>SUM(X129:X133)</f>
      </c>
      <c r="Y134" s="142">
        <f>AVERAGE(Y129:Y133)</f>
      </c>
      <c r="Z134" s="143"/>
      <c r="AA134" s="144">
        <f>AVERAGE(AA129:AA133)</f>
      </c>
      <c r="AB134" s="143">
        <f>SUM(AB129:AB133)</f>
      </c>
      <c r="AC134" s="143">
        <f>SUM(AC129:AC133)</f>
      </c>
      <c r="AD134" s="143">
        <f>SUM(AD129:AD133)</f>
      </c>
      <c r="AE134" s="143">
        <f>SUM(AE129:AE133)</f>
      </c>
      <c r="AF134" s="143">
        <f>SUM(AF129:AF133)</f>
      </c>
      <c r="AG134" s="143">
        <f>SUM(AG129:AG133)</f>
      </c>
      <c r="AH134" s="143">
        <f>SUM(AH129:AH133)</f>
      </c>
      <c r="AI134" s="143">
        <f>SUM(AI129:AI133)</f>
      </c>
    </row>
    <row customHeight="true" ht="16.071428571428573" r="135">
      <c r="A135" s="105">
        <v>46287</v>
      </c>
      <c r="B135" s="108" t="s">
        <v>208</v>
      </c>
      <c r="C135" s="107" t="s">
        <v>234</v>
      </c>
      <c r="D135" s="126">
        <v>4</v>
      </c>
      <c r="E135" s="108">
        <v>9</v>
      </c>
      <c r="F135" s="108">
        <v>12</v>
      </c>
      <c r="G135" s="120">
        <v>27027.019999999997</v>
      </c>
      <c r="H135" s="127">
        <v>4807.49</v>
      </c>
      <c r="I135" s="112">
        <f t="shared" si="62"/>
      </c>
      <c r="J135" s="113">
        <f t="shared" si="0"/>
      </c>
      <c r="K135" s="113">
        <f t="shared" si="198"/>
      </c>
      <c r="L135" s="114">
        <f t="shared" si="137"/>
      </c>
      <c r="M135" s="115" t="s">
        <v>213</v>
      </c>
      <c r="N135" s="116">
        <v>4</v>
      </c>
      <c r="O135" s="116"/>
      <c r="P135" s="117"/>
      <c r="Q135" s="118"/>
      <c r="R135" s="119"/>
      <c r="S135" s="120">
        <f t="shared" ref="S135:S139" si="84">H135/AC135</f>
      </c>
      <c r="T135" s="121">
        <f t="shared" ref="T135:T139" si="22">X135/AB135*1</f>
      </c>
      <c r="U135" s="122">
        <f t="shared" ref="U135:U139" si="220">AC135/AB135</f>
      </c>
      <c r="V135" s="122">
        <f t="shared" ref="V135:V139" si="159">AD135/AB135</f>
      </c>
      <c r="W135" s="122">
        <f t="shared" ref="W135:W139" si="114">AF135/AD135</f>
      </c>
      <c r="X135" s="123">
        <f t="shared" ref="X135:X139" si="52">AE135/Y135</f>
      </c>
      <c r="Y135" s="122">
        <f t="shared" ref="Y135:Y139" si="250">AE135/AD135</f>
      </c>
      <c r="Z135" s="124">
        <v>65</v>
      </c>
      <c r="AA135" s="125">
        <f t="shared" ref="AA135:AA139" si="189">(H135/AB135)*1000</f>
      </c>
      <c r="AB135" s="123">
        <v>53911</v>
      </c>
      <c r="AC135" s="123">
        <v>1375</v>
      </c>
      <c r="AD135" s="123">
        <v>1576</v>
      </c>
      <c r="AE135" s="123">
        <v>208</v>
      </c>
      <c r="AF135" s="124">
        <v>220</v>
      </c>
      <c r="AG135" s="124">
        <v>10</v>
      </c>
      <c r="AH135" s="123">
        <v>1</v>
      </c>
      <c r="AI135" s="123">
        <v>50</v>
      </c>
    </row>
    <row customHeight="true" ht="16.071428571428573" r="136">
      <c r="A136" s="105">
        <v>46287</v>
      </c>
      <c r="B136" s="108" t="s">
        <v>218</v>
      </c>
      <c r="C136" s="107" t="s">
        <v>225</v>
      </c>
      <c r="D136" s="126">
        <v>5</v>
      </c>
      <c r="E136" s="108">
        <v>20</v>
      </c>
      <c r="F136" s="108">
        <v>22</v>
      </c>
      <c r="G136" s="120">
        <v>54533.970000000016</v>
      </c>
      <c r="H136" s="131">
        <v>19634.770000000004</v>
      </c>
      <c r="I136" s="112">
        <f t="shared" si="62"/>
      </c>
      <c r="J136" s="113">
        <f t="shared" si="0"/>
      </c>
      <c r="K136" s="113">
        <f t="shared" si="198"/>
      </c>
      <c r="L136" s="114">
        <f t="shared" si="137"/>
      </c>
      <c r="M136" s="128"/>
      <c r="N136" s="116"/>
      <c r="O136" s="116"/>
      <c r="P136" s="117"/>
      <c r="Q136" s="118"/>
      <c r="R136" s="119"/>
      <c r="S136" s="120">
        <f t="shared" si="84"/>
      </c>
      <c r="T136" s="121">
        <f t="shared" si="22"/>
      </c>
      <c r="U136" s="122">
        <f t="shared" si="220"/>
      </c>
      <c r="V136" s="122">
        <f t="shared" si="159"/>
      </c>
      <c r="W136" s="122">
        <f t="shared" si="114"/>
      </c>
      <c r="X136" s="123">
        <f t="shared" si="52"/>
      </c>
      <c r="Y136" s="122">
        <f t="shared" si="250"/>
      </c>
      <c r="Z136" s="124">
        <v>51</v>
      </c>
      <c r="AA136" s="125">
        <f t="shared" si="189"/>
      </c>
      <c r="AB136" s="124">
        <v>158480</v>
      </c>
      <c r="AC136" s="123">
        <v>3255</v>
      </c>
      <c r="AD136" s="123">
        <v>3399</v>
      </c>
      <c r="AE136" s="123">
        <v>682</v>
      </c>
      <c r="AF136" s="124">
        <v>376</v>
      </c>
      <c r="AG136" s="124">
        <v>32</v>
      </c>
      <c r="AH136" s="123">
        <v>10</v>
      </c>
      <c r="AI136" s="123">
        <v>145</v>
      </c>
    </row>
    <row customHeight="true" ht="16.071428571428573" r="137">
      <c r="A137" s="105">
        <v>46287</v>
      </c>
      <c r="B137" s="108" t="s">
        <v>201</v>
      </c>
      <c r="C137" s="107" t="s">
        <v>233</v>
      </c>
      <c r="D137" s="126">
        <v>4</v>
      </c>
      <c r="E137" s="108">
        <v>6</v>
      </c>
      <c r="F137" s="108">
        <v>8</v>
      </c>
      <c r="G137" s="130">
        <v>18640.39</v>
      </c>
      <c r="H137" s="127">
        <v>13351.380000000001</v>
      </c>
      <c r="I137" s="112">
        <f t="shared" si="62"/>
      </c>
      <c r="J137" s="113">
        <f t="shared" si="0"/>
      </c>
      <c r="K137" s="113">
        <f t="shared" si="198"/>
      </c>
      <c r="L137" s="114">
        <f t="shared" si="137"/>
      </c>
      <c r="M137" s="115" t="s">
        <v>235</v>
      </c>
      <c r="N137" s="116">
        <v>10</v>
      </c>
      <c r="O137" s="116"/>
      <c r="P137" s="117"/>
      <c r="Q137" s="118"/>
      <c r="R137" s="119"/>
      <c r="S137" s="120">
        <f t="shared" si="84"/>
      </c>
      <c r="T137" s="121">
        <f t="shared" si="22"/>
      </c>
      <c r="U137" s="122">
        <f t="shared" si="220"/>
      </c>
      <c r="V137" s="122">
        <f t="shared" si="159"/>
      </c>
      <c r="W137" s="122">
        <f t="shared" si="114"/>
      </c>
      <c r="X137" s="123">
        <f t="shared" si="52"/>
      </c>
      <c r="Y137" s="122">
        <f t="shared" si="250"/>
      </c>
      <c r="Z137" s="124">
        <v>49</v>
      </c>
      <c r="AA137" s="125">
        <f t="shared" si="189"/>
      </c>
      <c r="AB137" s="123">
        <v>98498</v>
      </c>
      <c r="AC137" s="123">
        <v>1680</v>
      </c>
      <c r="AD137" s="123">
        <v>1784</v>
      </c>
      <c r="AE137" s="123">
        <v>395</v>
      </c>
      <c r="AF137" s="124">
        <v>191</v>
      </c>
      <c r="AG137" s="124">
        <v>17</v>
      </c>
      <c r="AH137" s="123">
        <v>6</v>
      </c>
      <c r="AI137" s="123">
        <v>59</v>
      </c>
    </row>
    <row customHeight="true" ht="16.071428571428573" r="138">
      <c r="A138" s="105">
        <v>46287</v>
      </c>
      <c r="B138" s="108" t="s">
        <v>211</v>
      </c>
      <c r="C138" s="107" t="s">
        <v>220</v>
      </c>
      <c r="D138" s="126">
        <v>5</v>
      </c>
      <c r="E138" s="108">
        <v>9</v>
      </c>
      <c r="F138" s="115">
        <v>14</v>
      </c>
      <c r="G138" s="130">
        <v>37431.06</v>
      </c>
      <c r="H138" s="131">
        <v>11613.27</v>
      </c>
      <c r="I138" s="112">
        <f t="shared" si="62"/>
      </c>
      <c r="J138" s="113">
        <f t="shared" si="0"/>
      </c>
      <c r="K138" s="113">
        <f t="shared" si="198"/>
      </c>
      <c r="L138" s="114">
        <f t="shared" si="137"/>
      </c>
      <c r="M138" s="115"/>
      <c r="N138" s="129"/>
      <c r="O138" s="129"/>
      <c r="P138" s="117"/>
      <c r="Q138" s="118"/>
      <c r="R138" s="119"/>
      <c r="S138" s="120">
        <f t="shared" si="84"/>
      </c>
      <c r="T138" s="121">
        <f t="shared" si="22"/>
      </c>
      <c r="U138" s="122">
        <f t="shared" si="220"/>
      </c>
      <c r="V138" s="122">
        <f t="shared" si="159"/>
      </c>
      <c r="W138" s="122">
        <f t="shared" si="114"/>
      </c>
      <c r="X138" s="123">
        <f t="shared" si="52"/>
      </c>
      <c r="Y138" s="122">
        <f t="shared" si="250"/>
      </c>
      <c r="Z138" s="124">
        <v>50.8</v>
      </c>
      <c r="AA138" s="125">
        <f t="shared" si="189"/>
      </c>
      <c r="AB138" s="124">
        <v>72915</v>
      </c>
      <c r="AC138" s="123">
        <v>1503</v>
      </c>
      <c r="AD138" s="123">
        <v>1596</v>
      </c>
      <c r="AE138" s="123">
        <v>350</v>
      </c>
      <c r="AF138" s="124">
        <v>273</v>
      </c>
      <c r="AG138" s="123">
        <v>21</v>
      </c>
      <c r="AH138" s="123">
        <v>4</v>
      </c>
      <c r="AI138" s="123">
        <v>46</v>
      </c>
    </row>
    <row customHeight="true" ht="16.071428571428573" r="139">
      <c r="A139" s="105">
        <v>46287</v>
      </c>
      <c r="B139" s="108" t="s">
        <v>208</v>
      </c>
      <c r="C139" s="107" t="s">
        <v>222</v>
      </c>
      <c r="D139" s="126">
        <v>4</v>
      </c>
      <c r="E139" s="115">
        <v>14</v>
      </c>
      <c r="F139" s="115">
        <v>16</v>
      </c>
      <c r="G139" s="130">
        <v>38130.889999999985</v>
      </c>
      <c r="H139" s="132">
        <v>13193.279999999999</v>
      </c>
      <c r="I139" s="112">
        <f t="shared" si="62"/>
      </c>
      <c r="J139" s="113">
        <f t="shared" si="0"/>
      </c>
      <c r="K139" s="113">
        <f t="shared" si="198"/>
      </c>
      <c r="L139" s="114">
        <f t="shared" si="137"/>
      </c>
      <c r="M139" s="115" t="s">
        <v>237</v>
      </c>
      <c r="N139" s="129">
        <v>8</v>
      </c>
      <c r="O139" s="129"/>
      <c r="P139" s="117"/>
      <c r="Q139" s="118"/>
      <c r="R139" s="119"/>
      <c r="S139" s="120">
        <f t="shared" si="84"/>
      </c>
      <c r="T139" s="121">
        <f t="shared" si="22"/>
      </c>
      <c r="U139" s="122">
        <f t="shared" si="220"/>
      </c>
      <c r="V139" s="122">
        <f t="shared" si="159"/>
      </c>
      <c r="W139" s="122">
        <f t="shared" si="114"/>
      </c>
      <c r="X139" s="123">
        <f t="shared" si="52"/>
      </c>
      <c r="Y139" s="122">
        <f t="shared" si="250"/>
      </c>
      <c r="Z139" s="124">
        <v>48</v>
      </c>
      <c r="AA139" s="125">
        <f t="shared" si="189"/>
      </c>
      <c r="AB139" s="123">
        <v>80968</v>
      </c>
      <c r="AC139" s="123">
        <v>2350</v>
      </c>
      <c r="AD139" s="123">
        <v>2509</v>
      </c>
      <c r="AE139" s="124">
        <v>298</v>
      </c>
      <c r="AF139" s="124">
        <v>221</v>
      </c>
      <c r="AG139" s="124">
        <v>20</v>
      </c>
      <c r="AH139" s="124">
        <v>2</v>
      </c>
      <c r="AI139" s="124">
        <v>34</v>
      </c>
    </row>
    <row customHeight="true" ht="16.071428571428573" r="140">
      <c r="A140" s="135">
        <v>46287</v>
      </c>
      <c r="B140" s="136" t="s">
        <v>214</v>
      </c>
      <c r="C140" s="137"/>
      <c r="D140" s="137">
        <f>SUM(D135:D139)</f>
      </c>
      <c r="E140" s="137">
        <f>SUM(E135:E139)</f>
      </c>
      <c r="F140" s="137">
        <f>SUM(F135:F139)</f>
      </c>
      <c r="G140" s="137">
        <f>SUM(G135:G139)</f>
      </c>
      <c r="H140" s="137">
        <f>SUM(H135:H139)</f>
      </c>
      <c r="I140" s="139">
        <f t="shared" si="62"/>
      </c>
      <c r="J140" s="139">
        <f t="shared" si="0"/>
      </c>
      <c r="K140" s="139">
        <f t="shared" si="198"/>
      </c>
      <c r="L140" s="139">
        <f t="shared" si="137"/>
      </c>
      <c r="M140" s="137"/>
      <c r="N140" s="140">
        <f>SUM(N135:N139)</f>
      </c>
      <c r="O140" s="140"/>
      <c r="P140" s="137"/>
      <c r="Q140" s="137"/>
      <c r="R140" s="137"/>
      <c r="S140" s="141">
        <f>AVERAGE(S135:S139)</f>
      </c>
      <c r="T140" s="142">
        <f>AVERAGE(T135:T139)</f>
      </c>
      <c r="U140" s="142">
        <f>AVERAGE(U135:U139)</f>
      </c>
      <c r="V140" s="142">
        <f>AVERAGE(V135:V139)</f>
      </c>
      <c r="W140" s="142">
        <f>AVERAGE(W135:W139)</f>
      </c>
      <c r="X140" s="143">
        <f>SUM(X135:X139)</f>
      </c>
      <c r="Y140" s="142">
        <f>AVERAGE(Y135:Y139)</f>
      </c>
      <c r="Z140" s="143"/>
      <c r="AA140" s="144">
        <f>AVERAGE(AA135:AA139)</f>
      </c>
      <c r="AB140" s="143">
        <f>SUM(AB135:AB139)</f>
      </c>
      <c r="AC140" s="143">
        <f>SUM(AC135:AC139)</f>
      </c>
      <c r="AD140" s="143">
        <f>SUM(AD135:AD139)</f>
      </c>
      <c r="AE140" s="143">
        <f>SUM(AE135:AE139)</f>
      </c>
      <c r="AF140" s="143">
        <f>SUM(AF135:AF139)</f>
      </c>
      <c r="AG140" s="143">
        <f>SUM(AG135:AG139)</f>
      </c>
      <c r="AH140" s="143">
        <f>SUM(AH135:AH139)</f>
      </c>
      <c r="AI140" s="143">
        <f>SUM(AI135:AI139)</f>
      </c>
    </row>
    <row customHeight="true" ht="16.071428571428573" r="141">
      <c r="A141" s="105">
        <v>46288</v>
      </c>
      <c r="B141" s="108" t="s">
        <v>204</v>
      </c>
      <c r="C141" s="107" t="s">
        <v>234</v>
      </c>
      <c r="D141" s="126">
        <v>4</v>
      </c>
      <c r="E141" s="108">
        <v>5</v>
      </c>
      <c r="F141" s="108">
        <v>6</v>
      </c>
      <c r="G141" s="120">
        <v>14007.65</v>
      </c>
      <c r="H141" s="127">
        <v>3581.22</v>
      </c>
      <c r="I141" s="112">
        <f t="shared" si="62"/>
      </c>
      <c r="J141" s="113">
        <f t="shared" si="0"/>
      </c>
      <c r="K141" s="113">
        <f t="shared" si="198"/>
      </c>
      <c r="L141" s="114">
        <f t="shared" si="137"/>
      </c>
      <c r="M141" s="115" t="s">
        <v>213</v>
      </c>
      <c r="N141" s="116">
        <v>4</v>
      </c>
      <c r="O141" s="116"/>
      <c r="P141" s="117"/>
      <c r="Q141" s="118"/>
      <c r="R141" s="119"/>
      <c r="S141" s="120">
        <f t="shared" ref="S141:S145" si="85">H141/AC141</f>
      </c>
      <c r="T141" s="121">
        <f t="shared" ref="T141:T145" si="23">X141/AB141*1</f>
      </c>
      <c r="U141" s="122">
        <f t="shared" ref="U141:U145" si="221">AC141/AB141</f>
      </c>
      <c r="V141" s="122">
        <f t="shared" ref="V141:V145" si="160">AD141/AB141</f>
      </c>
      <c r="W141" s="122">
        <f t="shared" ref="W141:W145" si="115">AF141/AD141</f>
      </c>
      <c r="X141" s="123">
        <f t="shared" ref="X141:X145" si="53">AE141/Y141</f>
      </c>
      <c r="Y141" s="122">
        <f t="shared" ref="Y141:Y145" si="251">AE141/AD141</f>
      </c>
      <c r="Z141" s="124">
        <v>52</v>
      </c>
      <c r="AA141" s="125">
        <f t="shared" ref="AA141:AA145" si="190">(H141/AB141)*1000</f>
      </c>
      <c r="AB141" s="123">
        <v>50291</v>
      </c>
      <c r="AC141" s="123">
        <v>1662</v>
      </c>
      <c r="AD141" s="123">
        <v>1906</v>
      </c>
      <c r="AE141" s="123">
        <v>162</v>
      </c>
      <c r="AF141" s="124">
        <v>186</v>
      </c>
      <c r="AG141" s="124">
        <v>10</v>
      </c>
      <c r="AH141" s="123">
        <v>0</v>
      </c>
      <c r="AI141" s="123">
        <v>29</v>
      </c>
    </row>
    <row customHeight="true" ht="16.071428571428573" r="142">
      <c r="A142" s="105">
        <v>46288</v>
      </c>
      <c r="B142" s="108" t="s">
        <v>218</v>
      </c>
      <c r="C142" s="107" t="s">
        <v>225</v>
      </c>
      <c r="D142" s="126">
        <v>5</v>
      </c>
      <c r="E142" s="108">
        <v>23</v>
      </c>
      <c r="F142" s="108">
        <v>23</v>
      </c>
      <c r="G142" s="120">
        <v>59176.38</v>
      </c>
      <c r="H142" s="131">
        <v>17003.26</v>
      </c>
      <c r="I142" s="112">
        <f t="shared" si="62"/>
      </c>
      <c r="J142" s="113">
        <f t="shared" si="0"/>
      </c>
      <c r="K142" s="113">
        <f t="shared" si="198"/>
      </c>
      <c r="L142" s="114">
        <f t="shared" si="137"/>
      </c>
      <c r="M142" s="128"/>
      <c r="N142" s="116"/>
      <c r="O142" s="116"/>
      <c r="P142" s="117"/>
      <c r="Q142" s="118"/>
      <c r="R142" s="119"/>
      <c r="S142" s="120">
        <f t="shared" si="85"/>
      </c>
      <c r="T142" s="121">
        <f t="shared" si="23"/>
      </c>
      <c r="U142" s="122">
        <f t="shared" si="221"/>
      </c>
      <c r="V142" s="122">
        <f t="shared" si="160"/>
      </c>
      <c r="W142" s="122">
        <f t="shared" si="115"/>
      </c>
      <c r="X142" s="123">
        <f t="shared" si="53"/>
      </c>
      <c r="Y142" s="122">
        <f t="shared" si="251"/>
      </c>
      <c r="Z142" s="124">
        <v>46</v>
      </c>
      <c r="AA142" s="125">
        <f t="shared" si="190"/>
      </c>
      <c r="AB142" s="124">
        <v>110065</v>
      </c>
      <c r="AC142" s="123">
        <v>2799</v>
      </c>
      <c r="AD142" s="123">
        <v>3003</v>
      </c>
      <c r="AE142" s="123">
        <v>514</v>
      </c>
      <c r="AF142" s="124">
        <v>325</v>
      </c>
      <c r="AG142" s="124">
        <v>29</v>
      </c>
      <c r="AH142" s="123">
        <v>5</v>
      </c>
      <c r="AI142" s="123">
        <v>105</v>
      </c>
    </row>
    <row customHeight="true" ht="16.071428571428573" r="143">
      <c r="A143" s="105">
        <v>46288</v>
      </c>
      <c r="B143" s="108" t="s">
        <v>211</v>
      </c>
      <c r="C143" s="107" t="s">
        <v>233</v>
      </c>
      <c r="D143" s="126">
        <v>4</v>
      </c>
      <c r="E143" s="108">
        <v>12</v>
      </c>
      <c r="F143" s="108">
        <v>12</v>
      </c>
      <c r="G143" s="130">
        <v>25134.08</v>
      </c>
      <c r="H143" s="127">
        <v>11579.630000000001</v>
      </c>
      <c r="I143" s="112">
        <f t="shared" si="62"/>
      </c>
      <c r="J143" s="113">
        <f t="shared" si="0"/>
      </c>
      <c r="K143" s="113">
        <f t="shared" si="198"/>
      </c>
      <c r="L143" s="114">
        <f t="shared" si="137"/>
      </c>
      <c r="M143" s="115" t="s">
        <v>235</v>
      </c>
      <c r="N143" s="116">
        <v>10</v>
      </c>
      <c r="O143" s="116"/>
      <c r="P143" s="117"/>
      <c r="Q143" s="118"/>
      <c r="R143" s="119"/>
      <c r="S143" s="120">
        <f t="shared" si="85"/>
      </c>
      <c r="T143" s="121">
        <f t="shared" si="23"/>
      </c>
      <c r="U143" s="122">
        <f t="shared" si="221"/>
      </c>
      <c r="V143" s="122">
        <f t="shared" si="160"/>
      </c>
      <c r="W143" s="122">
        <f t="shared" si="115"/>
      </c>
      <c r="X143" s="123">
        <f t="shared" si="53"/>
      </c>
      <c r="Y143" s="122">
        <f t="shared" si="251"/>
      </c>
      <c r="Z143" s="124">
        <v>40</v>
      </c>
      <c r="AA143" s="125">
        <f t="shared" si="190"/>
      </c>
      <c r="AB143" s="123">
        <v>71666</v>
      </c>
      <c r="AC143" s="123">
        <v>2094</v>
      </c>
      <c r="AD143" s="123">
        <v>2226</v>
      </c>
      <c r="AE143" s="123">
        <v>298</v>
      </c>
      <c r="AF143" s="124">
        <v>172</v>
      </c>
      <c r="AG143" s="124">
        <v>15</v>
      </c>
      <c r="AH143" s="123">
        <v>2</v>
      </c>
      <c r="AI143" s="123">
        <v>33</v>
      </c>
    </row>
    <row customHeight="true" ht="16.071428571428573" r="144">
      <c r="A144" s="105">
        <v>46288</v>
      </c>
      <c r="B144" s="108" t="s">
        <v>208</v>
      </c>
      <c r="C144" s="107" t="s">
        <v>220</v>
      </c>
      <c r="D144" s="126">
        <v>5</v>
      </c>
      <c r="E144" s="108">
        <v>17</v>
      </c>
      <c r="F144" s="115">
        <v>18</v>
      </c>
      <c r="G144" s="130">
        <v>45437.54</v>
      </c>
      <c r="H144" s="131">
        <v>16323.35</v>
      </c>
      <c r="I144" s="112">
        <f t="shared" si="62"/>
      </c>
      <c r="J144" s="113">
        <f t="shared" si="0"/>
      </c>
      <c r="K144" s="113">
        <f t="shared" si="198"/>
      </c>
      <c r="L144" s="114">
        <f t="shared" si="137"/>
      </c>
      <c r="M144" s="115"/>
      <c r="N144" s="129"/>
      <c r="O144" s="129"/>
      <c r="P144" s="117"/>
      <c r="Q144" s="118"/>
      <c r="R144" s="119"/>
      <c r="S144" s="120">
        <f t="shared" si="85"/>
      </c>
      <c r="T144" s="121">
        <f t="shared" si="23"/>
      </c>
      <c r="U144" s="122">
        <f t="shared" si="221"/>
      </c>
      <c r="V144" s="122">
        <f t="shared" si="160"/>
      </c>
      <c r="W144" s="122">
        <f t="shared" si="115"/>
      </c>
      <c r="X144" s="123">
        <f t="shared" si="53"/>
      </c>
      <c r="Y144" s="122">
        <f t="shared" si="251"/>
      </c>
      <c r="Z144" s="124">
        <v>38</v>
      </c>
      <c r="AA144" s="125">
        <f t="shared" si="190"/>
      </c>
      <c r="AB144" s="124">
        <v>105214</v>
      </c>
      <c r="AC144" s="123">
        <v>3015</v>
      </c>
      <c r="AD144" s="123">
        <v>3243</v>
      </c>
      <c r="AE144" s="123">
        <v>428</v>
      </c>
      <c r="AF144" s="124">
        <v>272</v>
      </c>
      <c r="AG144" s="123">
        <v>28</v>
      </c>
      <c r="AH144" s="123">
        <v>6</v>
      </c>
      <c r="AI144" s="123">
        <v>44</v>
      </c>
    </row>
    <row customHeight="true" ht="16.071428571428573" r="145">
      <c r="A145" s="105">
        <v>46288</v>
      </c>
      <c r="B145" s="108" t="s">
        <v>201</v>
      </c>
      <c r="C145" s="107" t="s">
        <v>222</v>
      </c>
      <c r="D145" s="126">
        <v>4</v>
      </c>
      <c r="E145" s="115">
        <v>12</v>
      </c>
      <c r="F145" s="115">
        <v>14</v>
      </c>
      <c r="G145" s="130">
        <v>34916.329999999994</v>
      </c>
      <c r="H145" s="132">
        <v>15558.699999999999</v>
      </c>
      <c r="I145" s="112">
        <f t="shared" si="62"/>
      </c>
      <c r="J145" s="113">
        <f t="shared" si="0"/>
      </c>
      <c r="K145" s="113">
        <f t="shared" si="198"/>
      </c>
      <c r="L145" s="114">
        <f t="shared" si="137"/>
      </c>
      <c r="M145" s="115" t="s">
        <v>226</v>
      </c>
      <c r="N145" s="129">
        <v>8</v>
      </c>
      <c r="O145" s="129"/>
      <c r="P145" s="117"/>
      <c r="Q145" s="118"/>
      <c r="R145" s="119"/>
      <c r="S145" s="120">
        <f t="shared" si="85"/>
      </c>
      <c r="T145" s="121">
        <f t="shared" si="23"/>
      </c>
      <c r="U145" s="122">
        <f t="shared" si="221"/>
      </c>
      <c r="V145" s="122">
        <f t="shared" si="160"/>
      </c>
      <c r="W145" s="122">
        <f t="shared" si="115"/>
      </c>
      <c r="X145" s="123">
        <f t="shared" si="53"/>
      </c>
      <c r="Y145" s="122">
        <f t="shared" si="251"/>
      </c>
      <c r="Z145" s="124">
        <v>37</v>
      </c>
      <c r="AA145" s="125">
        <f t="shared" si="190"/>
      </c>
      <c r="AB145" s="123">
        <v>98914</v>
      </c>
      <c r="AC145" s="123">
        <v>3044</v>
      </c>
      <c r="AD145" s="123">
        <v>3309</v>
      </c>
      <c r="AE145" s="123">
        <v>268</v>
      </c>
      <c r="AF145" s="124">
        <v>309</v>
      </c>
      <c r="AG145" s="124">
        <v>13</v>
      </c>
      <c r="AH145" s="124">
        <v>8</v>
      </c>
      <c r="AI145" s="124">
        <v>58</v>
      </c>
    </row>
    <row customHeight="true" ht="16.071428571428573" r="146">
      <c r="A146" s="135">
        <v>46288</v>
      </c>
      <c r="B146" s="136" t="s">
        <v>214</v>
      </c>
      <c r="C146" s="137"/>
      <c r="D146" s="137">
        <f>SUM(D141:D145)</f>
      </c>
      <c r="E146" s="137">
        <f>SUM(E141:E145)</f>
      </c>
      <c r="F146" s="137">
        <f>SUM(F141:F145)</f>
      </c>
      <c r="G146" s="137">
        <f>SUM(G141:G145)</f>
      </c>
      <c r="H146" s="137">
        <f>SUM(H141:H145)</f>
      </c>
      <c r="I146" s="139">
        <f t="shared" si="62"/>
      </c>
      <c r="J146" s="139">
        <f t="shared" si="0"/>
      </c>
      <c r="K146" s="139">
        <f t="shared" si="198"/>
      </c>
      <c r="L146" s="139">
        <f t="shared" si="137"/>
      </c>
      <c r="M146" s="137"/>
      <c r="N146" s="140">
        <f>SUM(N141:N145)</f>
      </c>
      <c r="O146" s="140"/>
      <c r="P146" s="137"/>
      <c r="Q146" s="137"/>
      <c r="R146" s="137"/>
      <c r="S146" s="141">
        <f>AVERAGE(S141:S145)</f>
      </c>
      <c r="T146" s="142">
        <f>AVERAGE(T141:T145)</f>
      </c>
      <c r="U146" s="142">
        <f>AVERAGE(U141:U145)</f>
      </c>
      <c r="V146" s="142">
        <f>AVERAGE(V141:V145)</f>
      </c>
      <c r="W146" s="142">
        <f>AVERAGE(W141:W145)</f>
      </c>
      <c r="X146" s="143">
        <f>SUM(X141:X145)</f>
      </c>
      <c r="Y146" s="142">
        <f>AVERAGE(Y141:Y145)</f>
      </c>
      <c r="Z146" s="143"/>
      <c r="AA146" s="144">
        <f>AVERAGE(AA141:AA145)</f>
      </c>
      <c r="AB146" s="143">
        <f>SUM(AB141:AB145)</f>
      </c>
      <c r="AC146" s="143">
        <f>SUM(AC141:AC145)</f>
      </c>
      <c r="AD146" s="143">
        <f>SUM(AD141:AD145)</f>
      </c>
      <c r="AE146" s="143">
        <f>SUM(AE141:AE145)</f>
      </c>
      <c r="AF146" s="143">
        <f>SUM(AF141:AF145)</f>
      </c>
      <c r="AG146" s="143">
        <f>SUM(AG141:AG145)</f>
      </c>
      <c r="AH146" s="143">
        <f>SUM(AH141:AH145)</f>
      </c>
      <c r="AI146" s="143">
        <f>SUM(AI141:AI145)</f>
      </c>
    </row>
    <row customHeight="true" ht="16.071428571428573" r="147">
      <c r="A147" s="105">
        <v>46289</v>
      </c>
      <c r="B147" s="108" t="s">
        <v>204</v>
      </c>
      <c r="C147" s="107" t="s">
        <v>234</v>
      </c>
      <c r="D147" s="126">
        <v>4</v>
      </c>
      <c r="E147" s="108">
        <v>8</v>
      </c>
      <c r="F147" s="108">
        <v>8</v>
      </c>
      <c r="G147" s="120">
        <v>19607.22</v>
      </c>
      <c r="H147" s="127">
        <v>4191.19</v>
      </c>
      <c r="I147" s="112">
        <f t="shared" si="62"/>
      </c>
      <c r="J147" s="113">
        <f t="shared" si="0"/>
      </c>
      <c r="K147" s="113">
        <f t="shared" si="198"/>
      </c>
      <c r="L147" s="114">
        <f t="shared" si="137"/>
      </c>
      <c r="M147" s="115" t="s">
        <v>213</v>
      </c>
      <c r="N147" s="116">
        <v>4</v>
      </c>
      <c r="O147" s="116"/>
      <c r="P147" s="117"/>
      <c r="Q147" s="118"/>
      <c r="R147" s="119"/>
      <c r="S147" s="120">
        <f t="shared" ref="S147:S151" si="86">H147/AC147</f>
      </c>
      <c r="T147" s="121">
        <f t="shared" ref="T147:T151" si="24">X147/AB147*1</f>
      </c>
      <c r="U147" s="122">
        <f t="shared" ref="U147:U151" si="222">AC147/AB147</f>
      </c>
      <c r="V147" s="122">
        <f t="shared" ref="V147:V151" si="161">AD147/AB147</f>
      </c>
      <c r="W147" s="122">
        <f t="shared" ref="W147:W151" si="116">AF147/AD147</f>
      </c>
      <c r="X147" s="123">
        <f t="shared" ref="X147:X151" si="54">AE147/Y147</f>
      </c>
      <c r="Y147" s="122">
        <f t="shared" ref="Y147:Y151" si="252">AE147/AD147</f>
      </c>
      <c r="Z147" s="124">
        <v>48</v>
      </c>
      <c r="AA147" s="125">
        <f t="shared" ref="AA147:AA151" si="191">(H147/AB147)*1000</f>
      </c>
      <c r="AB147" s="123">
        <v>45901</v>
      </c>
      <c r="AC147" s="123">
        <v>1229</v>
      </c>
      <c r="AD147" s="123">
        <v>1414</v>
      </c>
      <c r="AE147" s="123">
        <v>239</v>
      </c>
      <c r="AF147" s="124">
        <v>145</v>
      </c>
      <c r="AG147" s="124">
        <v>11</v>
      </c>
      <c r="AH147" s="123">
        <v>3</v>
      </c>
      <c r="AI147" s="123">
        <v>27</v>
      </c>
    </row>
    <row customHeight="true" ht="16.071428571428573" r="148">
      <c r="A148" s="105">
        <v>46289</v>
      </c>
      <c r="B148" s="108" t="s">
        <v>211</v>
      </c>
      <c r="C148" s="107" t="s">
        <v>225</v>
      </c>
      <c r="D148" s="126">
        <v>5</v>
      </c>
      <c r="E148" s="108">
        <v>23</v>
      </c>
      <c r="F148" s="108">
        <v>25</v>
      </c>
      <c r="G148" s="120">
        <v>59446.600000000006</v>
      </c>
      <c r="H148" s="131">
        <v>16776.82</v>
      </c>
      <c r="I148" s="112">
        <f t="shared" si="62"/>
      </c>
      <c r="J148" s="113">
        <f t="shared" si="0"/>
      </c>
      <c r="K148" s="113">
        <f t="shared" si="198"/>
      </c>
      <c r="L148" s="114">
        <f t="shared" si="137"/>
      </c>
      <c r="M148" s="128"/>
      <c r="N148" s="116"/>
      <c r="O148" s="116"/>
      <c r="P148" s="117"/>
      <c r="Q148" s="118"/>
      <c r="R148" s="119"/>
      <c r="S148" s="120">
        <f t="shared" si="86"/>
      </c>
      <c r="T148" s="121">
        <f t="shared" si="24"/>
      </c>
      <c r="U148" s="122">
        <f t="shared" si="222"/>
      </c>
      <c r="V148" s="122">
        <f t="shared" si="161"/>
      </c>
      <c r="W148" s="122">
        <f t="shared" si="116"/>
      </c>
      <c r="X148" s="123">
        <f t="shared" si="54"/>
      </c>
      <c r="Y148" s="122">
        <f t="shared" si="252"/>
      </c>
      <c r="Z148" s="124">
        <v>49</v>
      </c>
      <c r="AA148" s="125">
        <f t="shared" si="191"/>
      </c>
      <c r="AB148" s="124">
        <v>104223</v>
      </c>
      <c r="AC148" s="123">
        <v>2769</v>
      </c>
      <c r="AD148" s="123">
        <v>3004</v>
      </c>
      <c r="AE148" s="123">
        <v>576</v>
      </c>
      <c r="AF148" s="124">
        <v>357</v>
      </c>
      <c r="AG148" s="124">
        <v>23</v>
      </c>
      <c r="AH148" s="123">
        <v>9</v>
      </c>
      <c r="AI148" s="123">
        <v>99</v>
      </c>
    </row>
    <row customHeight="true" ht="16.071428571428573" r="149">
      <c r="A149" s="105">
        <v>46289</v>
      </c>
      <c r="B149" s="108" t="s">
        <v>201</v>
      </c>
      <c r="C149" s="107" t="s">
        <v>233</v>
      </c>
      <c r="D149" s="126">
        <v>4</v>
      </c>
      <c r="E149" s="108">
        <v>13</v>
      </c>
      <c r="F149" s="108">
        <v>14</v>
      </c>
      <c r="G149" s="130">
        <v>33484.520000000004</v>
      </c>
      <c r="H149" s="127">
        <v>16571.440000000002</v>
      </c>
      <c r="I149" s="112">
        <f t="shared" si="62"/>
      </c>
      <c r="J149" s="113">
        <f t="shared" si="0"/>
      </c>
      <c r="K149" s="113">
        <f t="shared" si="198"/>
      </c>
      <c r="L149" s="114">
        <f t="shared" si="137"/>
      </c>
      <c r="M149" s="115" t="s">
        <v>235</v>
      </c>
      <c r="N149" s="116">
        <v>10</v>
      </c>
      <c r="O149" s="116"/>
      <c r="P149" s="117"/>
      <c r="Q149" s="118"/>
      <c r="R149" s="119"/>
      <c r="S149" s="120">
        <f t="shared" si="86"/>
      </c>
      <c r="T149" s="121">
        <f t="shared" si="24"/>
      </c>
      <c r="U149" s="122">
        <f t="shared" si="222"/>
      </c>
      <c r="V149" s="122">
        <f t="shared" si="161"/>
      </c>
      <c r="W149" s="122">
        <f t="shared" si="116"/>
      </c>
      <c r="X149" s="123">
        <f t="shared" si="54"/>
      </c>
      <c r="Y149" s="122">
        <f t="shared" si="252"/>
      </c>
      <c r="Z149" s="124">
        <v>60</v>
      </c>
      <c r="AA149" s="125">
        <f t="shared" si="191"/>
      </c>
      <c r="AB149" s="123">
        <v>111157</v>
      </c>
      <c r="AC149" s="123">
        <v>1606</v>
      </c>
      <c r="AD149" s="123">
        <v>1693</v>
      </c>
      <c r="AE149" s="123">
        <v>424</v>
      </c>
      <c r="AF149" s="124">
        <v>325</v>
      </c>
      <c r="AG149" s="124">
        <v>19</v>
      </c>
      <c r="AH149" s="123">
        <v>15</v>
      </c>
      <c r="AI149" s="123">
        <v>84</v>
      </c>
    </row>
    <row customHeight="true" ht="16.071428571428573" r="150">
      <c r="A150" s="105">
        <v>46289</v>
      </c>
      <c r="B150" s="108" t="s">
        <v>218</v>
      </c>
      <c r="C150" s="107" t="s">
        <v>220</v>
      </c>
      <c r="D150" s="126">
        <v>5</v>
      </c>
      <c r="E150" s="108">
        <v>16</v>
      </c>
      <c r="F150" s="115">
        <v>16</v>
      </c>
      <c r="G150" s="130">
        <v>44528.41000000001</v>
      </c>
      <c r="H150" s="131">
        <v>13298.83</v>
      </c>
      <c r="I150" s="112">
        <f t="shared" si="62"/>
      </c>
      <c r="J150" s="113">
        <f t="shared" si="0"/>
      </c>
      <c r="K150" s="113">
        <f t="shared" si="198"/>
      </c>
      <c r="L150" s="114">
        <f t="shared" si="137"/>
      </c>
      <c r="M150" s="115"/>
      <c r="N150" s="129"/>
      <c r="O150" s="129"/>
      <c r="P150" s="117"/>
      <c r="Q150" s="118"/>
      <c r="R150" s="119"/>
      <c r="S150" s="120">
        <f t="shared" si="86"/>
      </c>
      <c r="T150" s="121">
        <f t="shared" si="24"/>
      </c>
      <c r="U150" s="122">
        <f t="shared" si="222"/>
      </c>
      <c r="V150" s="122">
        <f t="shared" si="161"/>
      </c>
      <c r="W150" s="122">
        <f t="shared" si="116"/>
      </c>
      <c r="X150" s="123">
        <f t="shared" si="54"/>
      </c>
      <c r="Y150" s="122">
        <f t="shared" si="252"/>
      </c>
      <c r="Z150" s="124">
        <v>49</v>
      </c>
      <c r="AA150" s="125">
        <f t="shared" si="191"/>
      </c>
      <c r="AB150" s="124">
        <v>94954</v>
      </c>
      <c r="AC150" s="123">
        <v>1454</v>
      </c>
      <c r="AD150" s="123">
        <v>1533</v>
      </c>
      <c r="AE150" s="123">
        <v>319</v>
      </c>
      <c r="AF150" s="124">
        <v>227</v>
      </c>
      <c r="AG150" s="123">
        <v>12</v>
      </c>
      <c r="AH150" s="123">
        <v>2</v>
      </c>
      <c r="AI150" s="123">
        <v>72</v>
      </c>
    </row>
    <row customHeight="true" ht="16.071428571428573" r="151">
      <c r="A151" s="105">
        <v>46289</v>
      </c>
      <c r="B151" s="108" t="s">
        <v>204</v>
      </c>
      <c r="C151" s="107" t="s">
        <v>222</v>
      </c>
      <c r="D151" s="126">
        <v>4</v>
      </c>
      <c r="E151" s="115">
        <v>9</v>
      </c>
      <c r="F151" s="115">
        <v>14</v>
      </c>
      <c r="G151" s="130">
        <v>34174.94999999998</v>
      </c>
      <c r="H151" s="132">
        <v>13291.150000000001</v>
      </c>
      <c r="I151" s="112">
        <f t="shared" si="62"/>
      </c>
      <c r="J151" s="113">
        <f t="shared" si="0"/>
      </c>
      <c r="K151" s="113">
        <f t="shared" si="198"/>
      </c>
      <c r="L151" s="114">
        <f t="shared" si="137"/>
      </c>
      <c r="M151" s="115" t="s">
        <v>226</v>
      </c>
      <c r="N151" s="129">
        <v>8</v>
      </c>
      <c r="O151" s="129"/>
      <c r="P151" s="117"/>
      <c r="Q151" s="118"/>
      <c r="R151" s="119"/>
      <c r="S151" s="120">
        <f t="shared" si="86"/>
      </c>
      <c r="T151" s="121">
        <f t="shared" si="24"/>
      </c>
      <c r="U151" s="122">
        <f t="shared" si="222"/>
      </c>
      <c r="V151" s="122">
        <f t="shared" si="161"/>
      </c>
      <c r="W151" s="122">
        <f t="shared" si="116"/>
      </c>
      <c r="X151" s="123">
        <f t="shared" si="54"/>
      </c>
      <c r="Y151" s="122">
        <f t="shared" si="252"/>
      </c>
      <c r="Z151" s="124">
        <v>40</v>
      </c>
      <c r="AA151" s="125">
        <f t="shared" si="191"/>
      </c>
      <c r="AB151" s="123">
        <v>97446</v>
      </c>
      <c r="AC151" s="123">
        <v>2115</v>
      </c>
      <c r="AD151" s="123">
        <v>2310</v>
      </c>
      <c r="AE151" s="123">
        <v>278</v>
      </c>
      <c r="AF151" s="124">
        <v>182</v>
      </c>
      <c r="AG151" s="124">
        <v>11</v>
      </c>
      <c r="AH151" s="124">
        <v>1</v>
      </c>
      <c r="AI151" s="124">
        <v>55</v>
      </c>
    </row>
    <row customHeight="true" ht="16.071428571428573" r="152">
      <c r="A152" s="135">
        <v>46289</v>
      </c>
      <c r="B152" s="136" t="s">
        <v>214</v>
      </c>
      <c r="C152" s="137"/>
      <c r="D152" s="137">
        <f>SUM(D147:D151)</f>
      </c>
      <c r="E152" s="137">
        <f>SUM(E147:E151)</f>
      </c>
      <c r="F152" s="137">
        <f>SUM(F147:F151)</f>
      </c>
      <c r="G152" s="137">
        <f>SUM(G147:G151)</f>
      </c>
      <c r="H152" s="137">
        <f>SUM(H147:H151)</f>
      </c>
      <c r="I152" s="139">
        <f t="shared" si="62"/>
      </c>
      <c r="J152" s="139">
        <f t="shared" si="0"/>
      </c>
      <c r="K152" s="139">
        <f t="shared" si="198"/>
      </c>
      <c r="L152" s="139">
        <f t="shared" si="137"/>
      </c>
      <c r="M152" s="137"/>
      <c r="N152" s="140">
        <f>SUM(N147:N151)</f>
      </c>
      <c r="O152" s="140"/>
      <c r="P152" s="137"/>
      <c r="Q152" s="137"/>
      <c r="R152" s="137"/>
      <c r="S152" s="141">
        <f>AVERAGE(S147:S151)</f>
      </c>
      <c r="T152" s="142">
        <f>AVERAGE(T147:T151)</f>
      </c>
      <c r="U152" s="142">
        <f>AVERAGE(U147:U151)</f>
      </c>
      <c r="V152" s="142">
        <f>AVERAGE(V147:V151)</f>
      </c>
      <c r="W152" s="142">
        <f>AVERAGE(W147:W151)</f>
      </c>
      <c r="X152" s="143">
        <f>SUM(X147:X151)</f>
      </c>
      <c r="Y152" s="142">
        <f>AVERAGE(Y147:Y151)</f>
      </c>
      <c r="Z152" s="143"/>
      <c r="AA152" s="144">
        <f>AVERAGE(AA147:AA151)</f>
      </c>
      <c r="AB152" s="143">
        <f>SUM(AB147:AB151)</f>
      </c>
      <c r="AC152" s="143">
        <f>SUM(AC147:AC151)</f>
      </c>
      <c r="AD152" s="143">
        <f>SUM(AD147:AD151)</f>
      </c>
      <c r="AE152" s="143">
        <f>SUM(AE147:AE151)</f>
      </c>
      <c r="AF152" s="143">
        <f>SUM(AF147:AF151)</f>
      </c>
      <c r="AG152" s="143">
        <f>SUM(AG147:AG151)</f>
      </c>
      <c r="AH152" s="143">
        <f>SUM(AH147:AH151)</f>
      </c>
      <c r="AI152" s="143">
        <f>SUM(AI147:AI151)</f>
      </c>
    </row>
    <row customHeight="true" ht="16.071428571428573" r="153">
      <c r="A153" s="105">
        <v>46290</v>
      </c>
      <c r="B153" s="108" t="s">
        <v>208</v>
      </c>
      <c r="C153" s="107" t="s">
        <v>234</v>
      </c>
      <c r="D153" s="126">
        <v>4</v>
      </c>
      <c r="E153" s="108">
        <v>4</v>
      </c>
      <c r="F153" s="108">
        <v>4</v>
      </c>
      <c r="G153" s="120">
        <v>9646.070000000002</v>
      </c>
      <c r="H153" s="127">
        <v>4518.06</v>
      </c>
      <c r="I153" s="112">
        <f t="shared" si="62"/>
      </c>
      <c r="J153" s="113">
        <f t="shared" si="0"/>
      </c>
      <c r="K153" s="113">
        <f t="shared" si="198"/>
      </c>
      <c r="L153" s="114">
        <f t="shared" si="137"/>
      </c>
      <c r="M153" s="115" t="s">
        <v>213</v>
      </c>
      <c r="N153" s="116">
        <v>4</v>
      </c>
      <c r="O153" s="116"/>
      <c r="P153" s="117"/>
      <c r="Q153" s="118"/>
      <c r="R153" s="119"/>
      <c r="S153" s="120">
        <f t="shared" ref="S153:S157" si="87">H153/AC153</f>
      </c>
      <c r="T153" s="121">
        <f t="shared" ref="T153:T157" si="25">X153/AB153*1</f>
      </c>
      <c r="U153" s="122">
        <f t="shared" ref="U153:U157" si="223">AC153/AB153</f>
      </c>
      <c r="V153" s="122">
        <f t="shared" ref="V153:V157" si="162">AD153/AB153</f>
      </c>
      <c r="W153" s="122">
        <f t="shared" ref="W153:W157" si="117">AF153/AD153</f>
      </c>
      <c r="X153" s="123">
        <f t="shared" ref="X153:X157" si="55">AE153/Y153</f>
      </c>
      <c r="Y153" s="122">
        <f t="shared" ref="Y153:Y157" si="253">AE153/AD153</f>
      </c>
      <c r="Z153" s="124">
        <v>61</v>
      </c>
      <c r="AA153" s="125">
        <f t="shared" ref="AA153:AA157" si="192">(H153/AB153)*1000</f>
      </c>
      <c r="AB153" s="123">
        <v>57368</v>
      </c>
      <c r="AC153" s="123">
        <v>1822</v>
      </c>
      <c r="AD153" s="123">
        <v>2008</v>
      </c>
      <c r="AE153" s="123">
        <v>169</v>
      </c>
      <c r="AF153" s="124">
        <v>161</v>
      </c>
      <c r="AG153" s="124">
        <v>15</v>
      </c>
      <c r="AH153" s="123">
        <v>1</v>
      </c>
      <c r="AI153" s="123">
        <v>32</v>
      </c>
    </row>
    <row customHeight="true" ht="16.071428571428573" r="154">
      <c r="A154" s="105">
        <v>46290</v>
      </c>
      <c r="B154" s="108" t="s">
        <v>211</v>
      </c>
      <c r="C154" s="107" t="s">
        <v>225</v>
      </c>
      <c r="D154" s="126">
        <v>5</v>
      </c>
      <c r="E154" s="108">
        <v>14</v>
      </c>
      <c r="F154" s="108">
        <v>16</v>
      </c>
      <c r="G154" s="120">
        <v>40000.579999999994</v>
      </c>
      <c r="H154" s="131">
        <v>17990.89</v>
      </c>
      <c r="I154" s="112">
        <f t="shared" si="62"/>
      </c>
      <c r="J154" s="113">
        <f t="shared" si="0"/>
      </c>
      <c r="K154" s="113">
        <f t="shared" si="198"/>
      </c>
      <c r="L154" s="114">
        <f t="shared" si="137"/>
      </c>
      <c r="M154" s="128"/>
      <c r="N154" s="116"/>
      <c r="O154" s="116"/>
      <c r="P154" s="117"/>
      <c r="Q154" s="118"/>
      <c r="R154" s="119"/>
      <c r="S154" s="120">
        <f t="shared" si="87"/>
      </c>
      <c r="T154" s="121">
        <f t="shared" si="25"/>
      </c>
      <c r="U154" s="122">
        <f t="shared" si="223"/>
      </c>
      <c r="V154" s="122">
        <f t="shared" si="162"/>
      </c>
      <c r="W154" s="122">
        <f t="shared" si="117"/>
      </c>
      <c r="X154" s="123">
        <f t="shared" si="55"/>
      </c>
      <c r="Y154" s="122">
        <f t="shared" si="253"/>
      </c>
      <c r="Z154" s="124">
        <v>50</v>
      </c>
      <c r="AA154" s="125">
        <f t="shared" si="192"/>
      </c>
      <c r="AB154" s="124">
        <v>154100</v>
      </c>
      <c r="AC154" s="123">
        <v>3198</v>
      </c>
      <c r="AD154" s="123">
        <v>3397</v>
      </c>
      <c r="AE154" s="123">
        <v>768</v>
      </c>
      <c r="AF154" s="124">
        <v>371</v>
      </c>
      <c r="AG154" s="124">
        <v>45</v>
      </c>
      <c r="AH154" s="123">
        <v>4</v>
      </c>
      <c r="AI154" s="123">
        <v>121</v>
      </c>
    </row>
    <row customHeight="true" ht="16.071428571428573" r="155">
      <c r="A155" s="105">
        <v>46290</v>
      </c>
      <c r="B155" s="108" t="s">
        <v>218</v>
      </c>
      <c r="C155" s="107" t="s">
        <v>233</v>
      </c>
      <c r="D155" s="126">
        <v>4</v>
      </c>
      <c r="E155" s="108">
        <v>10</v>
      </c>
      <c r="F155" s="108">
        <v>11</v>
      </c>
      <c r="G155" s="130">
        <v>31866.139999999992</v>
      </c>
      <c r="H155" s="127">
        <v>11430.130000000001</v>
      </c>
      <c r="I155" s="112">
        <f t="shared" si="62"/>
      </c>
      <c r="J155" s="113">
        <f t="shared" si="0"/>
      </c>
      <c r="K155" s="113">
        <f t="shared" si="198"/>
      </c>
      <c r="L155" s="114">
        <f t="shared" si="137"/>
      </c>
      <c r="M155" s="115" t="s">
        <v>217</v>
      </c>
      <c r="N155" s="116">
        <v>10</v>
      </c>
      <c r="O155" s="116"/>
      <c r="P155" s="117"/>
      <c r="Q155" s="118"/>
      <c r="R155" s="119"/>
      <c r="S155" s="120">
        <f t="shared" si="87"/>
      </c>
      <c r="T155" s="121">
        <f t="shared" si="25"/>
      </c>
      <c r="U155" s="122">
        <f t="shared" si="223"/>
      </c>
      <c r="V155" s="122">
        <f t="shared" si="162"/>
      </c>
      <c r="W155" s="122">
        <f t="shared" si="117"/>
      </c>
      <c r="X155" s="123">
        <f t="shared" si="55"/>
      </c>
      <c r="Y155" s="122">
        <f t="shared" si="253"/>
      </c>
      <c r="Z155" s="124">
        <v>55</v>
      </c>
      <c r="AA155" s="125">
        <f t="shared" si="192"/>
      </c>
      <c r="AB155" s="123">
        <v>94368</v>
      </c>
      <c r="AC155" s="123">
        <v>1638</v>
      </c>
      <c r="AD155" s="123">
        <v>1782</v>
      </c>
      <c r="AE155" s="123">
        <v>342</v>
      </c>
      <c r="AF155" s="124">
        <v>238</v>
      </c>
      <c r="AG155" s="124">
        <v>17</v>
      </c>
      <c r="AH155" s="123">
        <v>8</v>
      </c>
      <c r="AI155" s="123">
        <v>68</v>
      </c>
    </row>
    <row customHeight="true" ht="16.071428571428573" r="156">
      <c r="A156" s="105">
        <v>46290</v>
      </c>
      <c r="B156" s="108" t="s">
        <v>204</v>
      </c>
      <c r="C156" s="107" t="s">
        <v>220</v>
      </c>
      <c r="D156" s="126">
        <v>5</v>
      </c>
      <c r="E156" s="108">
        <v>10</v>
      </c>
      <c r="F156" s="115">
        <v>13</v>
      </c>
      <c r="G156" s="130">
        <v>34356.24</v>
      </c>
      <c r="H156" s="131">
        <v>11783.06</v>
      </c>
      <c r="I156" s="112">
        <f t="shared" si="62"/>
      </c>
      <c r="J156" s="113">
        <f t="shared" si="0"/>
      </c>
      <c r="K156" s="113">
        <f t="shared" si="198"/>
      </c>
      <c r="L156" s="114">
        <f t="shared" si="137"/>
      </c>
      <c r="M156" s="115"/>
      <c r="N156" s="129"/>
      <c r="O156" s="129"/>
      <c r="P156" s="117"/>
      <c r="Q156" s="118"/>
      <c r="R156" s="119"/>
      <c r="S156" s="120">
        <f t="shared" si="87"/>
      </c>
      <c r="T156" s="121">
        <f t="shared" si="25"/>
      </c>
      <c r="U156" s="122">
        <f t="shared" si="223"/>
      </c>
      <c r="V156" s="122">
        <f t="shared" si="162"/>
      </c>
      <c r="W156" s="122">
        <f t="shared" si="117"/>
      </c>
      <c r="X156" s="123">
        <f t="shared" si="55"/>
      </c>
      <c r="Y156" s="122">
        <f t="shared" si="253"/>
      </c>
      <c r="Z156" s="124">
        <v>51</v>
      </c>
      <c r="AA156" s="125">
        <f t="shared" si="192"/>
      </c>
      <c r="AB156" s="124">
        <v>102538</v>
      </c>
      <c r="AC156" s="123">
        <v>2177</v>
      </c>
      <c r="AD156" s="123">
        <v>2306</v>
      </c>
      <c r="AE156" s="123">
        <v>373</v>
      </c>
      <c r="AF156" s="124">
        <v>231</v>
      </c>
      <c r="AG156" s="123">
        <v>12</v>
      </c>
      <c r="AH156" s="123">
        <v>7</v>
      </c>
      <c r="AI156" s="123">
        <v>58</v>
      </c>
    </row>
    <row customHeight="true" ht="16.071428571428573" r="157">
      <c r="A157" s="105">
        <v>46290</v>
      </c>
      <c r="B157" s="108" t="s">
        <v>201</v>
      </c>
      <c r="C157" s="107" t="s">
        <v>222</v>
      </c>
      <c r="D157" s="126">
        <v>4</v>
      </c>
      <c r="E157" s="115">
        <v>15</v>
      </c>
      <c r="F157" s="115">
        <v>17</v>
      </c>
      <c r="G157" s="130">
        <v>48880.590000000004</v>
      </c>
      <c r="H157" s="132">
        <v>13037.719999999998</v>
      </c>
      <c r="I157" s="112">
        <f t="shared" si="62"/>
      </c>
      <c r="J157" s="113">
        <f t="shared" si="0"/>
      </c>
      <c r="K157" s="113">
        <f t="shared" si="198"/>
      </c>
      <c r="L157" s="114">
        <f t="shared" si="137"/>
      </c>
      <c r="M157" s="115" t="s">
        <v>226</v>
      </c>
      <c r="N157" s="129">
        <v>8</v>
      </c>
      <c r="O157" s="129"/>
      <c r="P157" s="117"/>
      <c r="Q157" s="118"/>
      <c r="R157" s="119"/>
      <c r="S157" s="120">
        <f t="shared" si="87"/>
      </c>
      <c r="T157" s="121">
        <f t="shared" si="25"/>
      </c>
      <c r="U157" s="122">
        <f t="shared" si="223"/>
      </c>
      <c r="V157" s="122">
        <f t="shared" si="162"/>
      </c>
      <c r="W157" s="122">
        <f t="shared" si="117"/>
      </c>
      <c r="X157" s="123">
        <f t="shared" si="55"/>
      </c>
      <c r="Y157" s="122">
        <f t="shared" si="253"/>
      </c>
      <c r="Z157" s="124">
        <v>46</v>
      </c>
      <c r="AA157" s="125">
        <f t="shared" si="192"/>
      </c>
      <c r="AB157" s="123">
        <v>100839</v>
      </c>
      <c r="AC157" s="123">
        <v>2610</v>
      </c>
      <c r="AD157" s="123">
        <v>2765</v>
      </c>
      <c r="AE157" s="123">
        <v>355</v>
      </c>
      <c r="AF157" s="124">
        <v>221</v>
      </c>
      <c r="AG157" s="124">
        <v>17</v>
      </c>
      <c r="AH157" s="124">
        <v>5</v>
      </c>
      <c r="AI157" s="124">
        <v>53</v>
      </c>
    </row>
    <row customHeight="true" ht="16.071428571428573" r="158">
      <c r="A158" s="135">
        <v>46290</v>
      </c>
      <c r="B158" s="136" t="s">
        <v>214</v>
      </c>
      <c r="C158" s="137"/>
      <c r="D158" s="137">
        <f>SUM(D153:D157)</f>
      </c>
      <c r="E158" s="137">
        <f>SUM(E153:E157)</f>
      </c>
      <c r="F158" s="137">
        <f>SUM(F153:F157)</f>
      </c>
      <c r="G158" s="137">
        <f>SUM(G153:G157)</f>
      </c>
      <c r="H158" s="137">
        <f>SUM(H153:H157)</f>
      </c>
      <c r="I158" s="139">
        <f t="shared" si="62"/>
      </c>
      <c r="J158" s="139">
        <f t="shared" si="0"/>
      </c>
      <c r="K158" s="139">
        <f t="shared" si="198"/>
      </c>
      <c r="L158" s="139">
        <f t="shared" si="137"/>
      </c>
      <c r="M158" s="137"/>
      <c r="N158" s="140">
        <f>SUM(N153:N157)</f>
      </c>
      <c r="O158" s="140"/>
      <c r="P158" s="137"/>
      <c r="Q158" s="137"/>
      <c r="R158" s="137"/>
      <c r="S158" s="141">
        <f>AVERAGE(S153:S157)</f>
      </c>
      <c r="T158" s="142">
        <f>AVERAGE(T153:T157)</f>
      </c>
      <c r="U158" s="142">
        <f>AVERAGE(U153:U157)</f>
      </c>
      <c r="V158" s="142">
        <f>AVERAGE(V153:V157)</f>
      </c>
      <c r="W158" s="142">
        <f>AVERAGE(W153:W157)</f>
      </c>
      <c r="X158" s="143">
        <f>SUM(X153:X157)</f>
      </c>
      <c r="Y158" s="142">
        <f>AVERAGE(Y153:Y157)</f>
      </c>
      <c r="Z158" s="143"/>
      <c r="AA158" s="144">
        <f>AVERAGE(AA153:AA157)</f>
      </c>
      <c r="AB158" s="143">
        <f>SUM(AB153:AB157)</f>
      </c>
      <c r="AC158" s="143">
        <f>SUM(AC153:AC157)</f>
      </c>
      <c r="AD158" s="143">
        <f>SUM(AD153:AD157)</f>
      </c>
      <c r="AE158" s="143">
        <f>SUM(AE153:AE157)</f>
      </c>
      <c r="AF158" s="143">
        <f>SUM(AF153:AF157)</f>
      </c>
      <c r="AG158" s="143">
        <f>SUM(AG153:AG157)</f>
      </c>
      <c r="AH158" s="143">
        <f>SUM(AH153:AH157)</f>
      </c>
      <c r="AI158" s="143">
        <f>SUM(AI153:AI157)</f>
      </c>
    </row>
    <row customHeight="true" ht="16.071428571428573" r="159">
      <c r="A159" s="105">
        <v>46291</v>
      </c>
      <c r="B159" s="108" t="s">
        <v>208</v>
      </c>
      <c r="C159" s="107" t="s">
        <v>234</v>
      </c>
      <c r="D159" s="126">
        <v>4</v>
      </c>
      <c r="E159" s="108">
        <v>7</v>
      </c>
      <c r="F159" s="108">
        <v>7</v>
      </c>
      <c r="G159" s="120">
        <v>16177.590000000002</v>
      </c>
      <c r="H159" s="127">
        <v>4804.66</v>
      </c>
      <c r="I159" s="112">
        <f t="shared" si="62"/>
      </c>
      <c r="J159" s="113">
        <f t="shared" si="0"/>
      </c>
      <c r="K159" s="113">
        <f t="shared" si="198"/>
      </c>
      <c r="L159" s="114">
        <f t="shared" si="137"/>
      </c>
      <c r="M159" s="115" t="s">
        <v>213</v>
      </c>
      <c r="N159" s="116">
        <v>4</v>
      </c>
      <c r="O159" s="116"/>
      <c r="P159" s="117"/>
      <c r="Q159" s="118"/>
      <c r="R159" s="119"/>
      <c r="S159" s="120">
        <f t="shared" ref="S159:S163" si="88">H159/AC159</f>
      </c>
      <c r="T159" s="121">
        <f t="shared" ref="T159:T163" si="26">X159/AB159*1</f>
      </c>
      <c r="U159" s="122">
        <f t="shared" ref="U159:U163" si="224">AC159/AB159</f>
      </c>
      <c r="V159" s="122">
        <f t="shared" ref="V159:V163" si="163">AD159/AB159</f>
      </c>
      <c r="W159" s="122">
        <f t="shared" ref="W159:W163" si="118">AF159/AD159</f>
      </c>
      <c r="X159" s="123">
        <f t="shared" ref="X159:X163" si="56">AE159/Y159</f>
      </c>
      <c r="Y159" s="122">
        <f t="shared" ref="Y159:Y163" si="254">AE159/AD159</f>
      </c>
      <c r="Z159" s="124">
        <v>68</v>
      </c>
      <c r="AA159" s="125">
        <f t="shared" ref="AA159:AA163" si="193">(H159/AB159)*1000</f>
      </c>
      <c r="AB159" s="123">
        <v>56568</v>
      </c>
      <c r="AC159" s="123">
        <v>1887</v>
      </c>
      <c r="AD159" s="123">
        <v>2110</v>
      </c>
      <c r="AE159" s="123">
        <v>167</v>
      </c>
      <c r="AF159" s="124">
        <v>155</v>
      </c>
      <c r="AG159" s="124">
        <v>17</v>
      </c>
      <c r="AH159" s="123">
        <v>7</v>
      </c>
      <c r="AI159" s="123">
        <v>30</v>
      </c>
    </row>
    <row customHeight="true" ht="16.071428571428573" r="160">
      <c r="A160" s="105">
        <v>46291</v>
      </c>
      <c r="B160" s="108" t="s">
        <v>211</v>
      </c>
      <c r="C160" s="107" t="s">
        <v>225</v>
      </c>
      <c r="D160" s="126">
        <v>5</v>
      </c>
      <c r="E160" s="108">
        <v>8</v>
      </c>
      <c r="F160" s="108">
        <v>9</v>
      </c>
      <c r="G160" s="120">
        <v>19985.770000000004</v>
      </c>
      <c r="H160" s="131">
        <v>15303.94</v>
      </c>
      <c r="I160" s="112">
        <f t="shared" si="62"/>
      </c>
      <c r="J160" s="113">
        <f t="shared" si="0"/>
      </c>
      <c r="K160" s="113">
        <f t="shared" si="198"/>
      </c>
      <c r="L160" s="114">
        <f t="shared" si="137"/>
      </c>
      <c r="M160" s="128"/>
      <c r="N160" s="116"/>
      <c r="O160" s="116"/>
      <c r="P160" s="117"/>
      <c r="Q160" s="118"/>
      <c r="R160" s="119"/>
      <c r="S160" s="120">
        <f t="shared" si="88"/>
      </c>
      <c r="T160" s="121">
        <f t="shared" si="26"/>
      </c>
      <c r="U160" s="122">
        <f t="shared" si="224"/>
      </c>
      <c r="V160" s="122">
        <f t="shared" si="163"/>
      </c>
      <c r="W160" s="122">
        <f t="shared" si="118"/>
      </c>
      <c r="X160" s="123">
        <f t="shared" si="56"/>
      </c>
      <c r="Y160" s="122">
        <f t="shared" si="254"/>
      </c>
      <c r="Z160" s="124">
        <v>57</v>
      </c>
      <c r="AA160" s="125">
        <f t="shared" si="193"/>
      </c>
      <c r="AB160" s="124">
        <v>126261</v>
      </c>
      <c r="AC160" s="123">
        <v>2796</v>
      </c>
      <c r="AD160" s="123">
        <v>2899</v>
      </c>
      <c r="AE160" s="123">
        <v>615</v>
      </c>
      <c r="AF160" s="124">
        <v>279</v>
      </c>
      <c r="AG160" s="124">
        <v>35</v>
      </c>
      <c r="AH160" s="123">
        <v>10</v>
      </c>
      <c r="AI160" s="123">
        <v>123</v>
      </c>
    </row>
    <row customHeight="true" ht="16.071428571428573" r="161">
      <c r="A161" s="105">
        <v>46291</v>
      </c>
      <c r="B161" s="108" t="s">
        <v>204</v>
      </c>
      <c r="C161" s="107" t="s">
        <v>233</v>
      </c>
      <c r="D161" s="126">
        <v>4</v>
      </c>
      <c r="E161" s="108">
        <v>9</v>
      </c>
      <c r="F161" s="108">
        <v>11</v>
      </c>
      <c r="G161" s="130">
        <v>31235.269999999997</v>
      </c>
      <c r="H161" s="127">
        <v>10409.54</v>
      </c>
      <c r="I161" s="112">
        <f t="shared" si="62"/>
      </c>
      <c r="J161" s="113">
        <f t="shared" si="0"/>
      </c>
      <c r="K161" s="113">
        <f t="shared" si="198"/>
      </c>
      <c r="L161" s="114">
        <f t="shared" si="137"/>
      </c>
      <c r="M161" s="115" t="s">
        <v>238</v>
      </c>
      <c r="N161" s="116">
        <v>10</v>
      </c>
      <c r="O161" s="116"/>
      <c r="P161" s="117"/>
      <c r="Q161" s="118"/>
      <c r="R161" s="119"/>
      <c r="S161" s="120">
        <f t="shared" si="88"/>
      </c>
      <c r="T161" s="121">
        <f t="shared" si="26"/>
      </c>
      <c r="U161" s="122">
        <f t="shared" si="224"/>
      </c>
      <c r="V161" s="122">
        <f t="shared" si="163"/>
      </c>
      <c r="W161" s="122">
        <f t="shared" si="118"/>
      </c>
      <c r="X161" s="123">
        <f t="shared" si="56"/>
      </c>
      <c r="Y161" s="122">
        <f t="shared" si="254"/>
      </c>
      <c r="Z161" s="124">
        <v>57</v>
      </c>
      <c r="AA161" s="125">
        <f t="shared" si="193"/>
      </c>
      <c r="AB161" s="123">
        <v>73927</v>
      </c>
      <c r="AC161" s="123">
        <v>1866</v>
      </c>
      <c r="AD161" s="123">
        <v>1963</v>
      </c>
      <c r="AE161" s="123">
        <v>329</v>
      </c>
      <c r="AF161" s="124">
        <v>216</v>
      </c>
      <c r="AG161" s="124">
        <v>14</v>
      </c>
      <c r="AH161" s="123">
        <v>3</v>
      </c>
      <c r="AI161" s="123">
        <v>41</v>
      </c>
    </row>
    <row customHeight="true" ht="16.071428571428573" r="162">
      <c r="A162" s="105">
        <v>46291</v>
      </c>
      <c r="B162" s="108" t="s">
        <v>201</v>
      </c>
      <c r="C162" s="107" t="s">
        <v>220</v>
      </c>
      <c r="D162" s="126">
        <v>5</v>
      </c>
      <c r="E162" s="108">
        <v>8</v>
      </c>
      <c r="F162" s="115">
        <v>11</v>
      </c>
      <c r="G162" s="130">
        <v>29485.19</v>
      </c>
      <c r="H162" s="131">
        <v>10807.96</v>
      </c>
      <c r="I162" s="112">
        <f t="shared" si="62"/>
      </c>
      <c r="J162" s="113">
        <f t="shared" si="0"/>
      </c>
      <c r="K162" s="113">
        <f t="shared" si="198"/>
      </c>
      <c r="L162" s="114">
        <f t="shared" si="137"/>
      </c>
      <c r="M162" s="115"/>
      <c r="N162" s="129"/>
      <c r="O162" s="129"/>
      <c r="P162" s="117"/>
      <c r="Q162" s="118"/>
      <c r="R162" s="119"/>
      <c r="S162" s="120">
        <f t="shared" si="88"/>
      </c>
      <c r="T162" s="121">
        <f t="shared" si="26"/>
      </c>
      <c r="U162" s="122">
        <f t="shared" si="224"/>
      </c>
      <c r="V162" s="122">
        <f t="shared" si="163"/>
      </c>
      <c r="W162" s="122">
        <f t="shared" si="118"/>
      </c>
      <c r="X162" s="123">
        <f t="shared" si="56"/>
      </c>
      <c r="Y162" s="122">
        <f t="shared" si="254"/>
      </c>
      <c r="Z162" s="124">
        <v>49</v>
      </c>
      <c r="AA162" s="125">
        <f t="shared" si="193"/>
      </c>
      <c r="AB162" s="124">
        <v>68211</v>
      </c>
      <c r="AC162" s="123">
        <v>1637</v>
      </c>
      <c r="AD162" s="123">
        <v>1700</v>
      </c>
      <c r="AE162" s="123">
        <v>339</v>
      </c>
      <c r="AF162" s="124">
        <v>197</v>
      </c>
      <c r="AG162" s="123">
        <v>12</v>
      </c>
      <c r="AH162" s="123">
        <v>6</v>
      </c>
      <c r="AI162" s="123">
        <v>37</v>
      </c>
    </row>
    <row customHeight="true" ht="16.071428571428573" r="163">
      <c r="A163" s="105">
        <v>46291</v>
      </c>
      <c r="B163" s="108" t="s">
        <v>208</v>
      </c>
      <c r="C163" s="107" t="s">
        <v>222</v>
      </c>
      <c r="D163" s="126">
        <v>4</v>
      </c>
      <c r="E163" s="115">
        <v>14</v>
      </c>
      <c r="F163" s="115">
        <v>16</v>
      </c>
      <c r="G163" s="130">
        <v>45321.750000000015</v>
      </c>
      <c r="H163" s="132">
        <v>10700.04</v>
      </c>
      <c r="I163" s="112">
        <f t="shared" si="62"/>
      </c>
      <c r="J163" s="113">
        <f t="shared" si="0"/>
      </c>
      <c r="K163" s="113">
        <f t="shared" si="198"/>
      </c>
      <c r="L163" s="114">
        <f t="shared" si="137"/>
      </c>
      <c r="M163" s="115" t="s">
        <v>226</v>
      </c>
      <c r="N163" s="129">
        <v>8</v>
      </c>
      <c r="O163" s="129"/>
      <c r="P163" s="117"/>
      <c r="Q163" s="118"/>
      <c r="R163" s="119"/>
      <c r="S163" s="120">
        <f t="shared" si="88"/>
      </c>
      <c r="T163" s="121">
        <f t="shared" si="26"/>
      </c>
      <c r="U163" s="122">
        <f t="shared" si="224"/>
      </c>
      <c r="V163" s="122">
        <f t="shared" si="163"/>
      </c>
      <c r="W163" s="122">
        <f t="shared" si="118"/>
      </c>
      <c r="X163" s="123">
        <f t="shared" si="56"/>
      </c>
      <c r="Y163" s="122">
        <f t="shared" si="254"/>
      </c>
      <c r="Z163" s="124">
        <v>43</v>
      </c>
      <c r="AA163" s="125">
        <f t="shared" si="193"/>
      </c>
      <c r="AB163" s="123">
        <v>68800</v>
      </c>
      <c r="AC163" s="123">
        <v>1848</v>
      </c>
      <c r="AD163" s="123">
        <v>1964</v>
      </c>
      <c r="AE163" s="123">
        <v>284</v>
      </c>
      <c r="AF163" s="124">
        <v>252</v>
      </c>
      <c r="AG163" s="124">
        <v>21</v>
      </c>
      <c r="AH163" s="124">
        <v>3</v>
      </c>
      <c r="AI163" s="124">
        <v>28</v>
      </c>
    </row>
    <row customHeight="true" ht="16.071428571428573" r="164">
      <c r="A164" s="135">
        <v>46291</v>
      </c>
      <c r="B164" s="136" t="s">
        <v>214</v>
      </c>
      <c r="C164" s="137"/>
      <c r="D164" s="137">
        <f>SUM(D159:D163)</f>
      </c>
      <c r="E164" s="137">
        <f>SUM(E159:E163)</f>
      </c>
      <c r="F164" s="137">
        <f>SUM(F159:F163)</f>
      </c>
      <c r="G164" s="137">
        <f>SUM(G159:G163)</f>
      </c>
      <c r="H164" s="137">
        <f>SUM(H159:H163)</f>
      </c>
      <c r="I164" s="139">
        <f t="shared" si="62"/>
      </c>
      <c r="J164" s="139">
        <f t="shared" si="0"/>
      </c>
      <c r="K164" s="139">
        <f t="shared" si="198"/>
      </c>
      <c r="L164" s="139">
        <f t="shared" si="137"/>
      </c>
      <c r="M164" s="137"/>
      <c r="N164" s="140">
        <f>SUM(N159:N163)</f>
      </c>
      <c r="O164" s="140"/>
      <c r="P164" s="137"/>
      <c r="Q164" s="137"/>
      <c r="R164" s="137"/>
      <c r="S164" s="141">
        <f>AVERAGE(S159:S163)</f>
      </c>
      <c r="T164" s="142">
        <f>AVERAGE(T159:T163)</f>
      </c>
      <c r="U164" s="142">
        <f>AVERAGE(U159:U163)</f>
      </c>
      <c r="V164" s="142">
        <f>AVERAGE(V159:V163)</f>
      </c>
      <c r="W164" s="142">
        <f>AVERAGE(W159:W163)</f>
      </c>
      <c r="X164" s="143">
        <f>SUM(X159:X163)</f>
      </c>
      <c r="Y164" s="142">
        <f>AVERAGE(Y159:Y163)</f>
      </c>
      <c r="Z164" s="143"/>
      <c r="AA164" s="144">
        <f>AVERAGE(AA159:AA163)</f>
      </c>
      <c r="AB164" s="143">
        <f>SUM(AB159:AB163)</f>
      </c>
      <c r="AC164" s="143">
        <f>SUM(AC159:AC163)</f>
      </c>
      <c r="AD164" s="143">
        <f>SUM(AD159:AD163)</f>
      </c>
      <c r="AE164" s="143">
        <f>SUM(AE159:AE163)</f>
      </c>
      <c r="AF164" s="143">
        <f>SUM(AF159:AF163)</f>
      </c>
      <c r="AG164" s="143">
        <f>SUM(AG159:AG163)</f>
      </c>
      <c r="AH164" s="143">
        <f>SUM(AH159:AH163)</f>
      </c>
      <c r="AI164" s="143">
        <f>SUM(AI159:AI163)</f>
      </c>
    </row>
    <row customHeight="true" ht="16.071428571428573" r="165">
      <c r="A165" s="105">
        <v>46292</v>
      </c>
      <c r="B165" s="108" t="s">
        <v>218</v>
      </c>
      <c r="C165" s="107" t="s">
        <v>234</v>
      </c>
      <c r="D165" s="126">
        <v>4</v>
      </c>
      <c r="E165" s="108">
        <v>3</v>
      </c>
      <c r="F165" s="108">
        <v>3</v>
      </c>
      <c r="G165" s="120">
        <v>7799.2300000000005</v>
      </c>
      <c r="H165" s="127">
        <v>3767.99</v>
      </c>
      <c r="I165" s="112">
        <f t="shared" si="62"/>
      </c>
      <c r="J165" s="113">
        <f t="shared" si="0"/>
      </c>
      <c r="K165" s="113">
        <f t="shared" si="198"/>
      </c>
      <c r="L165" s="114">
        <f t="shared" si="137"/>
      </c>
      <c r="M165" s="115" t="s">
        <v>213</v>
      </c>
      <c r="N165" s="116">
        <v>4</v>
      </c>
      <c r="O165" s="116"/>
      <c r="P165" s="117"/>
      <c r="Q165" s="118"/>
      <c r="R165" s="119"/>
      <c r="S165" s="120">
        <f t="shared" ref="S165:S169" si="89">H165/AC165</f>
      </c>
      <c r="T165" s="121">
        <f t="shared" ref="T165:T169" si="27">X165/AB165*1</f>
      </c>
      <c r="U165" s="122">
        <f t="shared" ref="U165:U169" si="225">AC165/AB165</f>
      </c>
      <c r="V165" s="122">
        <f t="shared" ref="V165:V169" si="164">AD165/AB165</f>
      </c>
      <c r="W165" s="122">
        <f t="shared" ref="W165:W169" si="119">AF165/AD165</f>
      </c>
      <c r="X165" s="123">
        <f t="shared" ref="X165:X169" si="57">AE165/Y165</f>
      </c>
      <c r="Y165" s="122">
        <f t="shared" ref="Y165:Y169" si="255">AE165/AD165</f>
      </c>
      <c r="Z165" s="124">
        <v>47</v>
      </c>
      <c r="AA165" s="125">
        <f t="shared" ref="AA165:AA169" si="194">(H165/AB165)*1000</f>
      </c>
      <c r="AB165" s="123">
        <v>56624</v>
      </c>
      <c r="AC165" s="123">
        <v>1716</v>
      </c>
      <c r="AD165" s="123">
        <v>1901</v>
      </c>
      <c r="AE165" s="123">
        <v>184</v>
      </c>
      <c r="AF165" s="124">
        <v>100</v>
      </c>
      <c r="AG165" s="124">
        <v>10</v>
      </c>
      <c r="AH165" s="123">
        <v>1</v>
      </c>
      <c r="AI165" s="123">
        <v>50</v>
      </c>
    </row>
    <row customHeight="true" ht="16.071428571428573" r="166">
      <c r="A166" s="105">
        <v>46292</v>
      </c>
      <c r="B166" s="108" t="s">
        <v>204</v>
      </c>
      <c r="C166" s="107" t="s">
        <v>225</v>
      </c>
      <c r="D166" s="126">
        <v>5</v>
      </c>
      <c r="E166" s="108">
        <v>15</v>
      </c>
      <c r="F166" s="108">
        <v>19</v>
      </c>
      <c r="G166" s="120">
        <v>42889.3</v>
      </c>
      <c r="H166" s="131">
        <v>19401.72</v>
      </c>
      <c r="I166" s="112">
        <f t="shared" si="62"/>
      </c>
      <c r="J166" s="113">
        <f t="shared" si="0"/>
      </c>
      <c r="K166" s="113">
        <f t="shared" si="198"/>
      </c>
      <c r="L166" s="114">
        <f t="shared" si="137"/>
      </c>
      <c r="M166" s="128"/>
      <c r="N166" s="116"/>
      <c r="O166" s="116"/>
      <c r="P166" s="117"/>
      <c r="Q166" s="118"/>
      <c r="R166" s="119"/>
      <c r="S166" s="120">
        <f t="shared" si="89"/>
      </c>
      <c r="T166" s="121">
        <f t="shared" si="27"/>
      </c>
      <c r="U166" s="122">
        <f t="shared" si="225"/>
      </c>
      <c r="V166" s="122">
        <f t="shared" si="164"/>
      </c>
      <c r="W166" s="122">
        <f t="shared" si="119"/>
      </c>
      <c r="X166" s="123">
        <f t="shared" si="57"/>
      </c>
      <c r="Y166" s="122">
        <f t="shared" si="255"/>
      </c>
      <c r="Z166" s="124">
        <v>45</v>
      </c>
      <c r="AA166" s="125">
        <f t="shared" si="194"/>
      </c>
      <c r="AB166" s="124">
        <v>176963</v>
      </c>
      <c r="AC166" s="123">
        <v>4400</v>
      </c>
      <c r="AD166" s="123">
        <v>4664</v>
      </c>
      <c r="AE166" s="123">
        <v>850</v>
      </c>
      <c r="AF166" s="124">
        <v>391</v>
      </c>
      <c r="AG166" s="124">
        <v>33</v>
      </c>
      <c r="AH166" s="123">
        <v>9</v>
      </c>
      <c r="AI166" s="123">
        <v>161</v>
      </c>
    </row>
    <row customHeight="true" ht="16.071428571428573" r="167">
      <c r="A167" s="105">
        <v>46292</v>
      </c>
      <c r="B167" s="108" t="s">
        <v>211</v>
      </c>
      <c r="C167" s="107" t="s">
        <v>233</v>
      </c>
      <c r="D167" s="126">
        <v>4</v>
      </c>
      <c r="E167" s="108">
        <v>7</v>
      </c>
      <c r="F167" s="108">
        <v>13</v>
      </c>
      <c r="G167" s="130">
        <v>30061.109999999993</v>
      </c>
      <c r="H167" s="127">
        <v>9564.08</v>
      </c>
      <c r="I167" s="112">
        <f t="shared" si="62"/>
      </c>
      <c r="J167" s="113">
        <f t="shared" si="0"/>
      </c>
      <c r="K167" s="113">
        <f t="shared" si="198"/>
      </c>
      <c r="L167" s="114">
        <f t="shared" si="137"/>
      </c>
      <c r="M167" s="115" t="s">
        <v>235</v>
      </c>
      <c r="N167" s="116">
        <v>10</v>
      </c>
      <c r="O167" s="116"/>
      <c r="P167" s="117"/>
      <c r="Q167" s="118"/>
      <c r="R167" s="119"/>
      <c r="S167" s="120">
        <f t="shared" si="89"/>
      </c>
      <c r="T167" s="121">
        <f t="shared" si="27"/>
      </c>
      <c r="U167" s="122">
        <f t="shared" si="225"/>
      </c>
      <c r="V167" s="122">
        <f t="shared" si="164"/>
      </c>
      <c r="W167" s="122">
        <f t="shared" si="119"/>
      </c>
      <c r="X167" s="123">
        <f t="shared" si="57"/>
      </c>
      <c r="Y167" s="122">
        <f t="shared" si="255"/>
      </c>
      <c r="Z167" s="124">
        <v>55</v>
      </c>
      <c r="AA167" s="125">
        <f t="shared" si="194"/>
      </c>
      <c r="AB167" s="123">
        <v>51657</v>
      </c>
      <c r="AC167" s="123">
        <v>1286</v>
      </c>
      <c r="AD167" s="123">
        <v>1394</v>
      </c>
      <c r="AE167" s="123">
        <v>251</v>
      </c>
      <c r="AF167" s="124">
        <v>236</v>
      </c>
      <c r="AG167" s="124">
        <v>13</v>
      </c>
      <c r="AH167" s="123">
        <v>9</v>
      </c>
      <c r="AI167" s="123">
        <v>27</v>
      </c>
    </row>
    <row customHeight="true" ht="16.071428571428573" r="168">
      <c r="A168" s="105">
        <v>46292</v>
      </c>
      <c r="B168" s="108" t="s">
        <v>206</v>
      </c>
      <c r="C168" s="107" t="s">
        <v>220</v>
      </c>
      <c r="D168" s="126">
        <v>5</v>
      </c>
      <c r="E168" s="108">
        <v>8</v>
      </c>
      <c r="F168" s="115">
        <v>9</v>
      </c>
      <c r="G168" s="130">
        <v>24221.36</v>
      </c>
      <c r="H168" s="131">
        <v>10759.73</v>
      </c>
      <c r="I168" s="112">
        <f t="shared" si="62"/>
      </c>
      <c r="J168" s="113">
        <f t="shared" si="0"/>
      </c>
      <c r="K168" s="113">
        <f t="shared" si="198"/>
      </c>
      <c r="L168" s="114">
        <f t="shared" si="137"/>
      </c>
      <c r="M168" s="115"/>
      <c r="N168" s="129"/>
      <c r="O168" s="129"/>
      <c r="P168" s="117"/>
      <c r="Q168" s="118"/>
      <c r="R168" s="119"/>
      <c r="S168" s="120">
        <f t="shared" si="89"/>
      </c>
      <c r="T168" s="121">
        <f t="shared" si="27"/>
      </c>
      <c r="U168" s="122">
        <f t="shared" si="225"/>
      </c>
      <c r="V168" s="122">
        <f t="shared" si="164"/>
      </c>
      <c r="W168" s="122">
        <f t="shared" si="119"/>
      </c>
      <c r="X168" s="123">
        <f t="shared" si="57"/>
      </c>
      <c r="Y168" s="122">
        <f t="shared" si="255"/>
      </c>
      <c r="Z168" s="124">
        <v>44</v>
      </c>
      <c r="AA168" s="125">
        <f t="shared" si="194"/>
      </c>
      <c r="AB168" s="124">
        <v>62876</v>
      </c>
      <c r="AC168" s="123">
        <v>1976</v>
      </c>
      <c r="AD168" s="123">
        <v>2186</v>
      </c>
      <c r="AE168" s="123">
        <v>243</v>
      </c>
      <c r="AF168" s="124">
        <v>226</v>
      </c>
      <c r="AG168" s="123">
        <v>10</v>
      </c>
      <c r="AH168" s="123">
        <v>3</v>
      </c>
      <c r="AI168" s="123">
        <v>19</v>
      </c>
    </row>
    <row customHeight="true" ht="16.071428571428573" r="169">
      <c r="A169" s="105">
        <v>46292</v>
      </c>
      <c r="B169" s="108" t="s">
        <v>201</v>
      </c>
      <c r="C169" s="107" t="s">
        <v>222</v>
      </c>
      <c r="D169" s="126">
        <v>4</v>
      </c>
      <c r="E169" s="115">
        <v>15</v>
      </c>
      <c r="F169" s="115">
        <v>21</v>
      </c>
      <c r="G169" s="130">
        <v>47062.91</v>
      </c>
      <c r="H169" s="132">
        <v>10603.6</v>
      </c>
      <c r="I169" s="112">
        <f t="shared" si="62"/>
      </c>
      <c r="J169" s="113">
        <f t="shared" si="0"/>
      </c>
      <c r="K169" s="113">
        <f t="shared" si="198"/>
      </c>
      <c r="L169" s="114">
        <f t="shared" si="137"/>
      </c>
      <c r="M169" s="115" t="s">
        <v>226</v>
      </c>
      <c r="N169" s="129">
        <v>8</v>
      </c>
      <c r="O169" s="129"/>
      <c r="P169" s="117"/>
      <c r="Q169" s="118"/>
      <c r="R169" s="119"/>
      <c r="S169" s="120">
        <f t="shared" si="89"/>
      </c>
      <c r="T169" s="121">
        <f t="shared" si="27"/>
      </c>
      <c r="U169" s="122">
        <f t="shared" si="225"/>
      </c>
      <c r="V169" s="122">
        <f t="shared" si="164"/>
      </c>
      <c r="W169" s="122">
        <f t="shared" si="119"/>
      </c>
      <c r="X169" s="123">
        <f t="shared" si="57"/>
      </c>
      <c r="Y169" s="122">
        <f t="shared" si="255"/>
      </c>
      <c r="Z169" s="124">
        <v>33</v>
      </c>
      <c r="AA169" s="125">
        <f t="shared" si="194"/>
      </c>
      <c r="AB169" s="123">
        <v>118232</v>
      </c>
      <c r="AC169" s="123">
        <v>3500</v>
      </c>
      <c r="AD169" s="123">
        <v>3723</v>
      </c>
      <c r="AE169" s="123">
        <v>478</v>
      </c>
      <c r="AF169" s="124">
        <v>229</v>
      </c>
      <c r="AG169" s="124">
        <v>25</v>
      </c>
      <c r="AH169" s="124">
        <v>6</v>
      </c>
      <c r="AI169" s="124">
        <v>73</v>
      </c>
    </row>
    <row customHeight="true" ht="16.071428571428573" r="170">
      <c r="A170" s="135">
        <v>46292</v>
      </c>
      <c r="B170" s="136" t="s">
        <v>214</v>
      </c>
      <c r="C170" s="137"/>
      <c r="D170" s="137">
        <f>SUM(D165:D169)</f>
      </c>
      <c r="E170" s="137">
        <f>SUM(E165:E169)</f>
      </c>
      <c r="F170" s="137">
        <f>SUM(F165:F169)</f>
      </c>
      <c r="G170" s="137">
        <f>SUM(G165:G169)</f>
      </c>
      <c r="H170" s="137">
        <f>SUM(H165:H169)</f>
      </c>
      <c r="I170" s="139">
        <f t="shared" si="62"/>
      </c>
      <c r="J170" s="139">
        <f t="shared" si="0"/>
      </c>
      <c r="K170" s="139">
        <f t="shared" si="198"/>
      </c>
      <c r="L170" s="139">
        <f t="shared" si="137"/>
      </c>
      <c r="M170" s="137"/>
      <c r="N170" s="140">
        <f>SUM(N165:N169)</f>
      </c>
      <c r="O170" s="140"/>
      <c r="P170" s="137"/>
      <c r="Q170" s="137"/>
      <c r="R170" s="137"/>
      <c r="S170" s="141">
        <f>AVERAGE(S165:S169)</f>
      </c>
      <c r="T170" s="142">
        <f>AVERAGE(T165:T169)</f>
      </c>
      <c r="U170" s="142">
        <f>AVERAGE(U165:U169)</f>
      </c>
      <c r="V170" s="142">
        <f>AVERAGE(V165:V169)</f>
      </c>
      <c r="W170" s="142">
        <f>AVERAGE(W165:W169)</f>
      </c>
      <c r="X170" s="143">
        <f>SUM(X165:X169)</f>
      </c>
      <c r="Y170" s="142">
        <f>AVERAGE(Y165:Y169)</f>
      </c>
      <c r="Z170" s="143"/>
      <c r="AA170" s="144">
        <f>AVERAGE(AA165:AA169)</f>
      </c>
      <c r="AB170" s="143">
        <f>SUM(AB165:AB169)</f>
      </c>
      <c r="AC170" s="143">
        <f>SUM(AC165:AC169)</f>
      </c>
      <c r="AD170" s="143">
        <f>SUM(AD165:AD169)</f>
      </c>
      <c r="AE170" s="143">
        <f>SUM(AE165:AE169)</f>
      </c>
      <c r="AF170" s="143">
        <f>SUM(AF165:AF169)</f>
      </c>
      <c r="AG170" s="143">
        <f>SUM(AG165:AG169)</f>
      </c>
      <c r="AH170" s="143">
        <f>SUM(AH165:AH169)</f>
      </c>
      <c r="AI170" s="143">
        <f>SUM(AI165:AI169)</f>
      </c>
    </row>
    <row customHeight="true" ht="16.071428571428573" r="171">
      <c r="A171" s="105">
        <v>46293</v>
      </c>
      <c r="B171" s="108" t="s">
        <v>218</v>
      </c>
      <c r="C171" s="107" t="s">
        <v>234</v>
      </c>
      <c r="D171" s="126">
        <v>4</v>
      </c>
      <c r="E171" s="108">
        <v>4</v>
      </c>
      <c r="F171" s="108">
        <v>4</v>
      </c>
      <c r="G171" s="120">
        <v>8249.98</v>
      </c>
      <c r="H171" s="127">
        <v>3543.97</v>
      </c>
      <c r="I171" s="112">
        <f t="shared" si="62"/>
      </c>
      <c r="J171" s="113">
        <f t="shared" si="0"/>
      </c>
      <c r="K171" s="113">
        <f t="shared" si="198"/>
      </c>
      <c r="L171" s="114">
        <f t="shared" si="137"/>
      </c>
      <c r="M171" s="115" t="s">
        <v>213</v>
      </c>
      <c r="N171" s="116">
        <v>4</v>
      </c>
      <c r="O171" s="116"/>
      <c r="P171" s="117"/>
      <c r="Q171" s="118"/>
      <c r="R171" s="119"/>
      <c r="S171" s="120">
        <f t="shared" ref="S171:S175" si="90">H171/AC171</f>
      </c>
      <c r="T171" s="121">
        <f t="shared" ref="T171:T175" si="28">X171/AB171*1</f>
      </c>
      <c r="U171" s="122">
        <f t="shared" ref="U171:U175" si="226">AC171/AB171</f>
      </c>
      <c r="V171" s="122">
        <f t="shared" ref="V171:V175" si="165">AD171/AB171</f>
      </c>
      <c r="W171" s="122">
        <f t="shared" ref="W171:W175" si="120">AF171/AD171</f>
      </c>
      <c r="X171" s="123">
        <f t="shared" ref="X171:X175" si="58">AE171/Y171</f>
      </c>
      <c r="Y171" s="122">
        <f t="shared" ref="Y171:Y175" si="256">AE171/AD171</f>
      </c>
      <c r="Z171" s="124">
        <v>45</v>
      </c>
      <c r="AA171" s="125">
        <f t="shared" ref="AA171:AA175" si="195">(H171/AB171)*1000</f>
      </c>
      <c r="AB171" s="123">
        <v>44177</v>
      </c>
      <c r="AC171" s="123">
        <v>1409</v>
      </c>
      <c r="AD171" s="123">
        <v>1604</v>
      </c>
      <c r="AE171" s="123">
        <v>145</v>
      </c>
      <c r="AF171" s="124">
        <v>140</v>
      </c>
      <c r="AG171" s="124">
        <v>10</v>
      </c>
      <c r="AH171" s="123">
        <v>2</v>
      </c>
      <c r="AI171" s="123">
        <v>32</v>
      </c>
    </row>
    <row customHeight="true" ht="16.071428571428573" r="172">
      <c r="A172" s="105">
        <v>46293</v>
      </c>
      <c r="B172" s="108" t="s">
        <v>204</v>
      </c>
      <c r="C172" s="107" t="s">
        <v>225</v>
      </c>
      <c r="D172" s="126">
        <v>5</v>
      </c>
      <c r="E172" s="108">
        <v>21</v>
      </c>
      <c r="F172" s="108">
        <v>26</v>
      </c>
      <c r="G172" s="120">
        <v>71956.82</v>
      </c>
      <c r="H172" s="131">
        <v>18824.54</v>
      </c>
      <c r="I172" s="112">
        <f t="shared" si="62"/>
      </c>
      <c r="J172" s="113">
        <f t="shared" si="0"/>
      </c>
      <c r="K172" s="113">
        <f t="shared" si="198"/>
      </c>
      <c r="L172" s="114">
        <f t="shared" si="137"/>
      </c>
      <c r="M172" s="128"/>
      <c r="N172" s="116"/>
      <c r="O172" s="116"/>
      <c r="P172" s="117"/>
      <c r="Q172" s="118"/>
      <c r="R172" s="119"/>
      <c r="S172" s="120">
        <f t="shared" si="90"/>
      </c>
      <c r="T172" s="121">
        <f t="shared" si="28"/>
      </c>
      <c r="U172" s="122">
        <f t="shared" si="226"/>
      </c>
      <c r="V172" s="122">
        <f t="shared" si="165"/>
      </c>
      <c r="W172" s="122">
        <f t="shared" si="120"/>
      </c>
      <c r="X172" s="123">
        <f t="shared" si="58"/>
      </c>
      <c r="Y172" s="122">
        <f t="shared" si="256"/>
      </c>
      <c r="Z172" s="124">
        <v>50</v>
      </c>
      <c r="AA172" s="125">
        <f t="shared" si="195"/>
      </c>
      <c r="AB172" s="124">
        <v>160627</v>
      </c>
      <c r="AC172" s="123">
        <v>3523</v>
      </c>
      <c r="AD172" s="123">
        <v>3770</v>
      </c>
      <c r="AE172" s="123">
        <v>731</v>
      </c>
      <c r="AF172" s="124">
        <v>409</v>
      </c>
      <c r="AG172" s="124">
        <v>38</v>
      </c>
      <c r="AH172" s="123">
        <v>8</v>
      </c>
      <c r="AI172" s="123">
        <v>142</v>
      </c>
    </row>
    <row customHeight="true" ht="16.071428571428573" r="173">
      <c r="A173" s="105">
        <v>46293</v>
      </c>
      <c r="B173" s="108" t="s">
        <v>211</v>
      </c>
      <c r="C173" s="107" t="s">
        <v>233</v>
      </c>
      <c r="D173" s="126">
        <v>4</v>
      </c>
      <c r="E173" s="108">
        <v>14</v>
      </c>
      <c r="F173" s="108">
        <v>15</v>
      </c>
      <c r="G173" s="130">
        <v>43101.65</v>
      </c>
      <c r="H173" s="127">
        <v>17093.160000000003</v>
      </c>
      <c r="I173" s="112">
        <f t="shared" si="62"/>
      </c>
      <c r="J173" s="113">
        <f t="shared" si="0"/>
      </c>
      <c r="K173" s="113">
        <f t="shared" si="198"/>
      </c>
      <c r="L173" s="114">
        <f t="shared" si="137"/>
      </c>
      <c r="M173" s="115" t="s">
        <v>235</v>
      </c>
      <c r="N173" s="116">
        <v>10</v>
      </c>
      <c r="O173" s="116"/>
      <c r="P173" s="117"/>
      <c r="Q173" s="118"/>
      <c r="R173" s="119"/>
      <c r="S173" s="120">
        <f t="shared" si="90"/>
      </c>
      <c r="T173" s="121">
        <f t="shared" si="28"/>
      </c>
      <c r="U173" s="122">
        <f t="shared" si="226"/>
      </c>
      <c r="V173" s="122">
        <f t="shared" si="165"/>
      </c>
      <c r="W173" s="122">
        <f t="shared" si="120"/>
      </c>
      <c r="X173" s="123">
        <f t="shared" si="58"/>
      </c>
      <c r="Y173" s="122">
        <f t="shared" si="256"/>
      </c>
      <c r="Z173" s="124">
        <v>56</v>
      </c>
      <c r="AA173" s="125">
        <f t="shared" si="195"/>
      </c>
      <c r="AB173" s="123">
        <v>102949</v>
      </c>
      <c r="AC173" s="123">
        <v>2987</v>
      </c>
      <c r="AD173" s="123">
        <v>3270</v>
      </c>
      <c r="AE173" s="123">
        <v>459</v>
      </c>
      <c r="AF173" s="124">
        <v>312</v>
      </c>
      <c r="AG173" s="124">
        <v>25</v>
      </c>
      <c r="AH173" s="123">
        <v>8</v>
      </c>
      <c r="AI173" s="123">
        <v>47</v>
      </c>
    </row>
    <row customHeight="true" ht="16.071428571428573" r="174">
      <c r="A174" s="105">
        <v>46293</v>
      </c>
      <c r="B174" s="108" t="s">
        <v>206</v>
      </c>
      <c r="C174" s="107" t="s">
        <v>220</v>
      </c>
      <c r="D174" s="146">
        <f>5-0.75</f>
      </c>
      <c r="E174" s="108">
        <v>8</v>
      </c>
      <c r="F174" s="115">
        <v>10</v>
      </c>
      <c r="G174" s="130">
        <v>31151.85000000001</v>
      </c>
      <c r="H174" s="131">
        <v>11825.669999999998</v>
      </c>
      <c r="I174" s="112">
        <f t="shared" si="62"/>
      </c>
      <c r="J174" s="113">
        <f t="shared" si="0"/>
      </c>
      <c r="K174" s="113">
        <f t="shared" si="198"/>
      </c>
      <c r="L174" s="114">
        <f t="shared" si="137"/>
      </c>
      <c r="M174" s="115"/>
      <c r="N174" s="129"/>
      <c r="O174" s="129"/>
      <c r="P174" s="117"/>
      <c r="Q174" s="118"/>
      <c r="R174" s="119"/>
      <c r="S174" s="120">
        <f t="shared" si="90"/>
      </c>
      <c r="T174" s="121">
        <f t="shared" si="28"/>
      </c>
      <c r="U174" s="122">
        <f t="shared" si="226"/>
      </c>
      <c r="V174" s="122">
        <f t="shared" si="165"/>
      </c>
      <c r="W174" s="122">
        <f t="shared" si="120"/>
      </c>
      <c r="X174" s="123">
        <f t="shared" si="58"/>
      </c>
      <c r="Y174" s="122">
        <f t="shared" si="256"/>
      </c>
      <c r="Z174" s="124">
        <v>40</v>
      </c>
      <c r="AA174" s="125">
        <f t="shared" si="195"/>
      </c>
      <c r="AB174" s="124">
        <v>84125</v>
      </c>
      <c r="AC174" s="123">
        <v>2464</v>
      </c>
      <c r="AD174" s="123">
        <v>2738</v>
      </c>
      <c r="AE174" s="123">
        <v>310</v>
      </c>
      <c r="AF174" s="124">
        <v>294</v>
      </c>
      <c r="AG174" s="123">
        <v>13</v>
      </c>
      <c r="AH174" s="123">
        <v>5</v>
      </c>
      <c r="AI174" s="123">
        <v>25</v>
      </c>
    </row>
    <row customHeight="true" ht="16.071428571428573" r="175">
      <c r="A175" s="105">
        <v>46293</v>
      </c>
      <c r="B175" s="108" t="s">
        <v>208</v>
      </c>
      <c r="C175" s="107" t="s">
        <v>222</v>
      </c>
      <c r="D175" s="126">
        <v>4</v>
      </c>
      <c r="E175" s="115">
        <v>17</v>
      </c>
      <c r="F175" s="115">
        <v>23</v>
      </c>
      <c r="G175" s="130">
        <v>59939.13000000003</v>
      </c>
      <c r="H175" s="132">
        <v>16041.18</v>
      </c>
      <c r="I175" s="112">
        <f t="shared" si="62"/>
      </c>
      <c r="J175" s="113">
        <f t="shared" si="0"/>
      </c>
      <c r="K175" s="113">
        <f t="shared" si="198"/>
      </c>
      <c r="L175" s="114">
        <f t="shared" si="137"/>
      </c>
      <c r="M175" s="115" t="s">
        <v>226</v>
      </c>
      <c r="N175" s="129">
        <v>8</v>
      </c>
      <c r="O175" s="129"/>
      <c r="P175" s="117"/>
      <c r="Q175" s="118"/>
      <c r="R175" s="119"/>
      <c r="S175" s="120">
        <f t="shared" si="90"/>
      </c>
      <c r="T175" s="121">
        <f t="shared" si="28"/>
      </c>
      <c r="U175" s="122">
        <f t="shared" si="226"/>
      </c>
      <c r="V175" s="122">
        <f t="shared" si="165"/>
      </c>
      <c r="W175" s="122">
        <f t="shared" si="120"/>
      </c>
      <c r="X175" s="123">
        <f t="shared" si="58"/>
      </c>
      <c r="Y175" s="122">
        <f t="shared" si="256"/>
      </c>
      <c r="Z175" s="124">
        <v>40</v>
      </c>
      <c r="AA175" s="125">
        <f t="shared" si="195"/>
      </c>
      <c r="AB175" s="123">
        <v>121743</v>
      </c>
      <c r="AC175" s="123">
        <v>3458</v>
      </c>
      <c r="AD175" s="123">
        <v>3754</v>
      </c>
      <c r="AE175" s="123">
        <v>376</v>
      </c>
      <c r="AF175" s="124">
        <v>267</v>
      </c>
      <c r="AG175" s="124">
        <v>22</v>
      </c>
      <c r="AH175" s="124">
        <v>4</v>
      </c>
      <c r="AI175" s="124">
        <v>43</v>
      </c>
    </row>
    <row customHeight="true" ht="16.071428571428573" r="176">
      <c r="A176" s="135">
        <v>46293</v>
      </c>
      <c r="B176" s="136" t="s">
        <v>214</v>
      </c>
      <c r="C176" s="137"/>
      <c r="D176" s="137">
        <f>SUM(D171:D175)</f>
      </c>
      <c r="E176" s="137">
        <f>SUM(E171:E175)</f>
      </c>
      <c r="F176" s="137">
        <f>SUM(F171:F175)</f>
      </c>
      <c r="G176" s="137">
        <f>SUM(G171:G175)</f>
      </c>
      <c r="H176" s="137">
        <f>SUM(H171:H175)</f>
      </c>
      <c r="I176" s="139">
        <f t="shared" si="62"/>
      </c>
      <c r="J176" s="139">
        <f t="shared" si="0"/>
      </c>
      <c r="K176" s="139">
        <f t="shared" si="198"/>
      </c>
      <c r="L176" s="139">
        <f t="shared" si="137"/>
      </c>
      <c r="M176" s="137"/>
      <c r="N176" s="140">
        <f>SUM(N171:N175)</f>
      </c>
      <c r="O176" s="140"/>
      <c r="P176" s="137"/>
      <c r="Q176" s="137"/>
      <c r="R176" s="137"/>
      <c r="S176" s="141">
        <f>AVERAGE(S171:S175)</f>
      </c>
      <c r="T176" s="142">
        <f>AVERAGE(T171:T175)</f>
      </c>
      <c r="U176" s="142">
        <f>AVERAGE(U171:U175)</f>
      </c>
      <c r="V176" s="142">
        <f>AVERAGE(V171:V175)</f>
      </c>
      <c r="W176" s="142">
        <f>AVERAGE(W171:W175)</f>
      </c>
      <c r="X176" s="143">
        <f>SUM(X171:X175)</f>
      </c>
      <c r="Y176" s="142">
        <f>AVERAGE(Y171:Y175)</f>
      </c>
      <c r="Z176" s="143"/>
      <c r="AA176" s="144">
        <f>AVERAGE(AA171:AA175)</f>
      </c>
      <c r="AB176" s="143">
        <f>SUM(AB171:AB175)</f>
      </c>
      <c r="AC176" s="143">
        <f>SUM(AC171:AC175)</f>
      </c>
      <c r="AD176" s="143">
        <f>SUM(AD171:AD175)</f>
      </c>
      <c r="AE176" s="143">
        <f>SUM(AE171:AE175)</f>
      </c>
      <c r="AF176" s="143">
        <f>SUM(AF171:AF175)</f>
      </c>
      <c r="AG176" s="143">
        <f>SUM(AG171:AG175)</f>
      </c>
      <c r="AH176" s="143">
        <f>SUM(AH171:AH175)</f>
      </c>
      <c r="AI176" s="143">
        <f>SUM(AI171:AI175)</f>
      </c>
    </row>
    <row customHeight="true" ht="16.071428571428573" r="177">
      <c r="A177" s="105">
        <v>46294</v>
      </c>
      <c r="B177" s="108" t="s">
        <v>218</v>
      </c>
      <c r="C177" s="107" t="s">
        <v>234</v>
      </c>
      <c r="D177" s="126">
        <v>4</v>
      </c>
      <c r="E177" s="108">
        <v>9</v>
      </c>
      <c r="F177" s="108">
        <v>13</v>
      </c>
      <c r="G177" s="120">
        <v>27958.730000000003</v>
      </c>
      <c r="H177" s="127">
        <v>3746.6000000000004</v>
      </c>
      <c r="I177" s="112">
        <f t="shared" si="62"/>
      </c>
      <c r="J177" s="113">
        <f t="shared" si="0"/>
      </c>
      <c r="K177" s="113">
        <f t="shared" si="198"/>
      </c>
      <c r="L177" s="114">
        <f t="shared" si="137"/>
      </c>
      <c r="M177" s="115" t="s">
        <v>213</v>
      </c>
      <c r="N177" s="116">
        <v>4</v>
      </c>
      <c r="O177" s="116"/>
      <c r="P177" s="117"/>
      <c r="Q177" s="118"/>
      <c r="R177" s="119"/>
      <c r="S177" s="120">
        <f t="shared" ref="S177:S181" si="91">H177/AC177</f>
      </c>
      <c r="T177" s="121">
        <f t="shared" ref="T177:T181" si="29">X177/AB177*1</f>
      </c>
      <c r="U177" s="122">
        <f t="shared" ref="U177:U181" si="227">AC177/AB177</f>
      </c>
      <c r="V177" s="122">
        <f t="shared" ref="V177:V181" si="166">AD177/AB177</f>
      </c>
      <c r="W177" s="122">
        <f t="shared" ref="W177:W181" si="121">AF177/AD177</f>
      </c>
      <c r="X177" s="123">
        <f t="shared" ref="X177:X181" si="59">AE177/Y177</f>
      </c>
      <c r="Y177" s="122">
        <f t="shared" ref="Y177:Y181" si="257">AE177/AD177</f>
      </c>
      <c r="Z177" s="124">
        <v>49</v>
      </c>
      <c r="AA177" s="125">
        <f t="shared" ref="AA177:AA181" si="196">(H177/AB177)*1000</f>
      </c>
      <c r="AB177" s="123">
        <v>49971</v>
      </c>
      <c r="AC177" s="123">
        <v>1361</v>
      </c>
      <c r="AD177" s="123">
        <v>1614</v>
      </c>
      <c r="AE177" s="123">
        <v>143</v>
      </c>
      <c r="AF177" s="124">
        <v>167</v>
      </c>
      <c r="AG177" s="124">
        <v>7</v>
      </c>
      <c r="AH177" s="123">
        <v>2</v>
      </c>
      <c r="AI177" s="123">
        <v>20</v>
      </c>
    </row>
    <row customHeight="true" ht="16.071428571428573" r="178">
      <c r="A178" s="105">
        <v>46294</v>
      </c>
      <c r="B178" s="108" t="s">
        <v>204</v>
      </c>
      <c r="C178" s="107" t="s">
        <v>225</v>
      </c>
      <c r="D178" s="126">
        <v>5</v>
      </c>
      <c r="E178" s="108">
        <v>19</v>
      </c>
      <c r="F178" s="108">
        <v>20</v>
      </c>
      <c r="G178" s="120">
        <v>54818.75</v>
      </c>
      <c r="H178" s="131">
        <v>21556.57</v>
      </c>
      <c r="I178" s="112">
        <f t="shared" si="62"/>
      </c>
      <c r="J178" s="113">
        <f t="shared" si="0"/>
      </c>
      <c r="K178" s="113">
        <f t="shared" si="198"/>
      </c>
      <c r="L178" s="114">
        <f t="shared" si="137"/>
      </c>
      <c r="M178" s="128"/>
      <c r="N178" s="116"/>
      <c r="O178" s="116"/>
      <c r="P178" s="117"/>
      <c r="Q178" s="118"/>
      <c r="R178" s="119"/>
      <c r="S178" s="120">
        <f t="shared" si="91"/>
      </c>
      <c r="T178" s="121">
        <f t="shared" si="29"/>
      </c>
      <c r="U178" s="122">
        <f t="shared" si="227"/>
      </c>
      <c r="V178" s="122">
        <f t="shared" si="166"/>
      </c>
      <c r="W178" s="122">
        <f t="shared" si="121"/>
      </c>
      <c r="X178" s="123">
        <f t="shared" si="59"/>
      </c>
      <c r="Y178" s="122">
        <f t="shared" si="257"/>
      </c>
      <c r="Z178" s="124">
        <v>46</v>
      </c>
      <c r="AA178" s="125">
        <f t="shared" si="196"/>
      </c>
      <c r="AB178" s="124">
        <v>184351</v>
      </c>
      <c r="AC178" s="123">
        <v>5026</v>
      </c>
      <c r="AD178" s="123">
        <v>5408</v>
      </c>
      <c r="AE178" s="123">
        <v>800</v>
      </c>
      <c r="AF178" s="124">
        <v>439</v>
      </c>
      <c r="AG178" s="124">
        <v>38</v>
      </c>
      <c r="AH178" s="123">
        <v>10</v>
      </c>
      <c r="AI178" s="123">
        <v>120</v>
      </c>
    </row>
    <row customHeight="true" ht="16.071428571428573" r="179">
      <c r="A179" s="105">
        <v>46294</v>
      </c>
      <c r="B179" s="108" t="s">
        <v>208</v>
      </c>
      <c r="C179" s="107" t="s">
        <v>233</v>
      </c>
      <c r="D179" s="126">
        <v>4</v>
      </c>
      <c r="E179" s="108">
        <v>16</v>
      </c>
      <c r="F179" s="108">
        <v>20</v>
      </c>
      <c r="G179" s="130">
        <v>49618.96000000001</v>
      </c>
      <c r="H179" s="127">
        <v>15287.92</v>
      </c>
      <c r="I179" s="112">
        <f t="shared" si="62"/>
      </c>
      <c r="J179" s="113">
        <f t="shared" si="0"/>
      </c>
      <c r="K179" s="113">
        <f t="shared" si="198"/>
      </c>
      <c r="L179" s="114">
        <f t="shared" si="137"/>
      </c>
      <c r="M179" s="115" t="s">
        <v>235</v>
      </c>
      <c r="N179" s="116">
        <v>10</v>
      </c>
      <c r="O179" s="116"/>
      <c r="P179" s="117"/>
      <c r="Q179" s="118"/>
      <c r="R179" s="119"/>
      <c r="S179" s="120">
        <f t="shared" si="91"/>
      </c>
      <c r="T179" s="121">
        <f t="shared" si="29"/>
      </c>
      <c r="U179" s="122">
        <f t="shared" si="227"/>
      </c>
      <c r="V179" s="122">
        <f t="shared" si="166"/>
      </c>
      <c r="W179" s="122">
        <f t="shared" si="121"/>
      </c>
      <c r="X179" s="123">
        <f t="shared" si="59"/>
      </c>
      <c r="Y179" s="122">
        <f t="shared" si="257"/>
      </c>
      <c r="Z179" s="124">
        <v>50</v>
      </c>
      <c r="AA179" s="125">
        <f t="shared" si="196"/>
      </c>
      <c r="AB179" s="123">
        <v>111649</v>
      </c>
      <c r="AC179" s="123">
        <v>2177</v>
      </c>
      <c r="AD179" s="123">
        <v>2357</v>
      </c>
      <c r="AE179" s="123">
        <v>343</v>
      </c>
      <c r="AF179" s="124">
        <v>264</v>
      </c>
      <c r="AG179" s="124">
        <v>19</v>
      </c>
      <c r="AH179" s="123">
        <v>5</v>
      </c>
      <c r="AI179" s="123">
        <v>48</v>
      </c>
    </row>
    <row customHeight="true" ht="16.071428571428573" r="180">
      <c r="A180" s="105">
        <v>46294</v>
      </c>
      <c r="B180" s="108" t="s">
        <v>211</v>
      </c>
      <c r="C180" s="107" t="s">
        <v>220</v>
      </c>
      <c r="D180" s="126">
        <v>5</v>
      </c>
      <c r="E180" s="108">
        <v>20</v>
      </c>
      <c r="F180" s="115">
        <v>21</v>
      </c>
      <c r="G180" s="130">
        <v>54755.45999999999</v>
      </c>
      <c r="H180" s="131">
        <v>21665.29</v>
      </c>
      <c r="I180" s="112">
        <f t="shared" si="62"/>
      </c>
      <c r="J180" s="113">
        <f t="shared" si="0"/>
      </c>
      <c r="K180" s="113">
        <f t="shared" si="198"/>
      </c>
      <c r="L180" s="114">
        <f t="shared" si="137"/>
      </c>
      <c r="M180" s="115"/>
      <c r="N180" s="129"/>
      <c r="O180" s="129"/>
      <c r="P180" s="117"/>
      <c r="Q180" s="118"/>
      <c r="R180" s="119"/>
      <c r="S180" s="120">
        <f t="shared" si="91"/>
      </c>
      <c r="T180" s="121">
        <f t="shared" si="29"/>
      </c>
      <c r="U180" s="122">
        <f t="shared" si="227"/>
      </c>
      <c r="V180" s="122">
        <f t="shared" si="166"/>
      </c>
      <c r="W180" s="122">
        <f t="shared" si="121"/>
      </c>
      <c r="X180" s="123">
        <f t="shared" si="59"/>
      </c>
      <c r="Y180" s="122">
        <f t="shared" si="257"/>
      </c>
      <c r="Z180" s="124">
        <v>54</v>
      </c>
      <c r="AA180" s="125">
        <f t="shared" si="196"/>
      </c>
      <c r="AB180" s="124">
        <v>166473</v>
      </c>
      <c r="AC180" s="123">
        <v>2875</v>
      </c>
      <c r="AD180" s="123">
        <v>3095</v>
      </c>
      <c r="AE180" s="123">
        <v>541</v>
      </c>
      <c r="AF180" s="124">
        <v>447</v>
      </c>
      <c r="AG180" s="123">
        <v>31</v>
      </c>
      <c r="AH180" s="123">
        <v>6</v>
      </c>
      <c r="AI180" s="123">
        <v>72</v>
      </c>
    </row>
    <row customHeight="true" ht="16.071428571428573" r="181">
      <c r="A181" s="105">
        <v>46294</v>
      </c>
      <c r="B181" s="108" t="s">
        <v>201</v>
      </c>
      <c r="C181" s="107" t="s">
        <v>222</v>
      </c>
      <c r="D181" s="126">
        <v>4</v>
      </c>
      <c r="E181" s="115">
        <v>20</v>
      </c>
      <c r="F181" s="115">
        <v>21</v>
      </c>
      <c r="G181" s="130">
        <v>57172.3</v>
      </c>
      <c r="H181" s="132">
        <v>16329.73</v>
      </c>
      <c r="I181" s="112">
        <f t="shared" si="62"/>
      </c>
      <c r="J181" s="113">
        <f t="shared" si="0"/>
      </c>
      <c r="K181" s="113">
        <f t="shared" si="198"/>
      </c>
      <c r="L181" s="114">
        <f t="shared" si="137"/>
      </c>
      <c r="M181" s="115" t="s">
        <v>226</v>
      </c>
      <c r="N181" s="129">
        <v>8</v>
      </c>
      <c r="O181" s="129"/>
      <c r="P181" s="117"/>
      <c r="Q181" s="118"/>
      <c r="R181" s="119"/>
      <c r="S181" s="120">
        <f t="shared" si="91"/>
      </c>
      <c r="T181" s="121">
        <f t="shared" si="29"/>
      </c>
      <c r="U181" s="122">
        <f t="shared" si="227"/>
      </c>
      <c r="V181" s="122">
        <f t="shared" si="166"/>
      </c>
      <c r="W181" s="122">
        <f t="shared" si="121"/>
      </c>
      <c r="X181" s="123">
        <f t="shared" si="59"/>
      </c>
      <c r="Y181" s="122">
        <f t="shared" si="257"/>
      </c>
      <c r="Z181" s="124">
        <v>52</v>
      </c>
      <c r="AA181" s="125">
        <f t="shared" si="196"/>
      </c>
      <c r="AB181" s="123">
        <v>121388</v>
      </c>
      <c r="AC181" s="123">
        <v>3997</v>
      </c>
      <c r="AD181" s="123">
        <v>4323</v>
      </c>
      <c r="AE181" s="123">
        <v>340</v>
      </c>
      <c r="AF181" s="124">
        <v>221</v>
      </c>
      <c r="AG181" s="124">
        <v>11</v>
      </c>
      <c r="AH181" s="124">
        <v>6</v>
      </c>
      <c r="AI181" s="124">
        <v>31</v>
      </c>
    </row>
    <row customHeight="true" ht="16.071428571428573" r="182">
      <c r="A182" s="135">
        <v>46294</v>
      </c>
      <c r="B182" s="136" t="s">
        <v>214</v>
      </c>
      <c r="C182" s="137"/>
      <c r="D182" s="137">
        <f>SUM(D177:D181)</f>
      </c>
      <c r="E182" s="137">
        <f>SUM(E177:E181)</f>
      </c>
      <c r="F182" s="137">
        <f>SUM(F177:F181)</f>
      </c>
      <c r="G182" s="137">
        <f>SUM(G177:G181)</f>
      </c>
      <c r="H182" s="137">
        <f>SUM(H177:H181)</f>
      </c>
      <c r="I182" s="139">
        <f t="shared" si="62"/>
      </c>
      <c r="J182" s="139">
        <f t="shared" si="0"/>
      </c>
      <c r="K182" s="139">
        <f t="shared" si="198"/>
      </c>
      <c r="L182" s="139">
        <f t="shared" si="137"/>
      </c>
      <c r="M182" s="137"/>
      <c r="N182" s="140">
        <f>SUM(N177:N181)</f>
      </c>
      <c r="O182" s="140"/>
      <c r="P182" s="137"/>
      <c r="Q182" s="137"/>
      <c r="R182" s="137"/>
      <c r="S182" s="141">
        <f>AVERAGE(S177:S181)</f>
      </c>
      <c r="T182" s="142">
        <f>AVERAGE(T177:T181)</f>
      </c>
      <c r="U182" s="142">
        <f>AVERAGE(U177:U181)</f>
      </c>
      <c r="V182" s="142">
        <f>AVERAGE(V177:V181)</f>
      </c>
      <c r="W182" s="142">
        <f>AVERAGE(W177:W181)</f>
      </c>
      <c r="X182" s="143">
        <f>SUM(X177:X181)</f>
      </c>
      <c r="Y182" s="142">
        <f>AVERAGE(Y177:Y181)</f>
      </c>
      <c r="Z182" s="143"/>
      <c r="AA182" s="144">
        <f>AVERAGE(AA177:AA181)</f>
      </c>
      <c r="AB182" s="143">
        <f>SUM(AB177:AB181)</f>
      </c>
      <c r="AC182" s="143">
        <f>SUM(AC177:AC181)</f>
      </c>
      <c r="AD182" s="143">
        <f>SUM(AD177:AD181)</f>
      </c>
      <c r="AE182" s="143">
        <f>SUM(AE177:AE181)</f>
      </c>
      <c r="AF182" s="143">
        <f>SUM(AF177:AF181)</f>
      </c>
      <c r="AG182" s="143">
        <f>SUM(AG177:AG181)</f>
      </c>
      <c r="AH182" s="143">
        <f>SUM(AH177:AH181)</f>
      </c>
      <c r="AI182" s="143">
        <f>SUM(AI177:AI181)</f>
      </c>
    </row>
    <row customHeight="true" ht="16.071428571428573" r="183">
      <c r="A183" s="105">
        <v>46295</v>
      </c>
      <c r="B183" s="108" t="s">
        <v>218</v>
      </c>
      <c r="C183" s="107" t="s">
        <v>234</v>
      </c>
      <c r="D183" s="126">
        <v>4</v>
      </c>
      <c r="E183" s="108">
        <v>6</v>
      </c>
      <c r="F183" s="108">
        <v>6</v>
      </c>
      <c r="G183" s="120">
        <v>12516.080000000002</v>
      </c>
      <c r="H183" s="127">
        <v>6100.65</v>
      </c>
      <c r="I183" s="112">
        <f t="shared" si="62"/>
      </c>
      <c r="J183" s="113">
        <f t="shared" si="0"/>
      </c>
      <c r="K183" s="113">
        <f t="shared" si="198"/>
      </c>
      <c r="L183" s="114">
        <f t="shared" si="137"/>
      </c>
      <c r="M183" s="115" t="s">
        <v>213</v>
      </c>
      <c r="N183" s="116">
        <v>4</v>
      </c>
      <c r="O183" s="116"/>
      <c r="P183" s="117"/>
      <c r="Q183" s="118"/>
      <c r="R183" s="119"/>
      <c r="S183" s="120">
        <f t="shared" ref="S183:S187" si="92">H183/AC183</f>
      </c>
      <c r="T183" s="121">
        <f t="shared" ref="T183:T187" si="30">X183/AB183*1</f>
      </c>
      <c r="U183" s="122">
        <f t="shared" ref="U183:U187" si="228">AC183/AB183</f>
      </c>
      <c r="V183" s="122">
        <f t="shared" ref="V183:V187" si="167">AD183/AB183</f>
      </c>
      <c r="W183" s="122">
        <f t="shared" ref="W183:W187" si="122">AF183/AD183</f>
      </c>
      <c r="X183" s="123">
        <f t="shared" ref="X183:X187" si="60">AE183/Y183</f>
      </c>
      <c r="Y183" s="122">
        <f t="shared" ref="Y183:Y187" si="258">AE183/AD183</f>
      </c>
      <c r="Z183" s="124">
        <v>54</v>
      </c>
      <c r="AA183" s="125">
        <f t="shared" ref="AA183:AA187" si="197">(H183/AB183)*1000</f>
      </c>
      <c r="AB183" s="123">
        <v>65409</v>
      </c>
      <c r="AC183" s="123">
        <v>1862</v>
      </c>
      <c r="AD183" s="123">
        <v>2158</v>
      </c>
      <c r="AE183" s="123">
        <v>199</v>
      </c>
      <c r="AF183" s="124">
        <v>167</v>
      </c>
      <c r="AG183" s="124">
        <v>6</v>
      </c>
      <c r="AH183" s="123">
        <v>1</v>
      </c>
      <c r="AI183" s="123">
        <v>33</v>
      </c>
    </row>
    <row customHeight="true" ht="16.071428571428573" r="184">
      <c r="A184" s="105">
        <v>46295</v>
      </c>
      <c r="B184" s="108" t="s">
        <v>208</v>
      </c>
      <c r="C184" s="107" t="s">
        <v>225</v>
      </c>
      <c r="D184" s="146">
        <f>5-1.25</f>
      </c>
      <c r="E184" s="108">
        <v>23</v>
      </c>
      <c r="F184" s="108">
        <v>25</v>
      </c>
      <c r="G184" s="120">
        <v>61209.530000000006</v>
      </c>
      <c r="H184" s="131">
        <v>25226.050000000003</v>
      </c>
      <c r="I184" s="112">
        <f t="shared" si="62"/>
      </c>
      <c r="J184" s="113">
        <f t="shared" si="0"/>
      </c>
      <c r="K184" s="113">
        <f t="shared" si="198"/>
      </c>
      <c r="L184" s="114">
        <f t="shared" si="137"/>
      </c>
      <c r="M184" s="128"/>
      <c r="N184" s="116"/>
      <c r="O184" s="116"/>
      <c r="P184" s="117"/>
      <c r="Q184" s="118"/>
      <c r="R184" s="119"/>
      <c r="S184" s="120">
        <f t="shared" si="92"/>
      </c>
      <c r="T184" s="121">
        <f t="shared" si="30"/>
      </c>
      <c r="U184" s="122">
        <f t="shared" si="228"/>
      </c>
      <c r="V184" s="122">
        <f t="shared" si="167"/>
      </c>
      <c r="W184" s="122">
        <f t="shared" si="122"/>
      </c>
      <c r="X184" s="123">
        <f t="shared" si="60"/>
      </c>
      <c r="Y184" s="122">
        <f t="shared" si="258"/>
      </c>
      <c r="Z184" s="124">
        <v>49</v>
      </c>
      <c r="AA184" s="125">
        <f t="shared" si="197"/>
      </c>
      <c r="AB184" s="124">
        <v>209905</v>
      </c>
      <c r="AC184" s="123">
        <v>4663</v>
      </c>
      <c r="AD184" s="123">
        <v>4991</v>
      </c>
      <c r="AE184" s="123">
        <v>970</v>
      </c>
      <c r="AF184" s="124">
        <v>373</v>
      </c>
      <c r="AG184" s="124">
        <v>59</v>
      </c>
      <c r="AH184" s="123">
        <v>12</v>
      </c>
      <c r="AI184" s="123">
        <v>172</v>
      </c>
    </row>
    <row customHeight="true" ht="16.071428571428573" r="185">
      <c r="A185" s="105">
        <v>46295</v>
      </c>
      <c r="B185" s="108" t="s">
        <v>204</v>
      </c>
      <c r="C185" s="107" t="s">
        <v>233</v>
      </c>
      <c r="D185" s="146">
        <f>4-1.5</f>
      </c>
      <c r="E185" s="108">
        <v>20</v>
      </c>
      <c r="F185" s="108">
        <v>22</v>
      </c>
      <c r="G185" s="130">
        <v>55573</v>
      </c>
      <c r="H185" s="127">
        <v>15870.330000000002</v>
      </c>
      <c r="I185" s="112">
        <f t="shared" si="62"/>
      </c>
      <c r="J185" s="113">
        <f t="shared" si="0"/>
      </c>
      <c r="K185" s="113">
        <f t="shared" si="198"/>
      </c>
      <c r="L185" s="114">
        <f t="shared" si="137"/>
      </c>
      <c r="M185" s="115" t="s">
        <v>235</v>
      </c>
      <c r="N185" s="116">
        <v>10</v>
      </c>
      <c r="O185" s="116"/>
      <c r="P185" s="117"/>
      <c r="Q185" s="118"/>
      <c r="R185" s="119"/>
      <c r="S185" s="120">
        <f t="shared" si="92"/>
      </c>
      <c r="T185" s="121">
        <f t="shared" si="30"/>
      </c>
      <c r="U185" s="122">
        <f t="shared" si="228"/>
      </c>
      <c r="V185" s="122">
        <f t="shared" si="167"/>
      </c>
      <c r="W185" s="122">
        <f t="shared" si="122"/>
      </c>
      <c r="X185" s="123">
        <f t="shared" si="60"/>
      </c>
      <c r="Y185" s="122">
        <f t="shared" si="258"/>
      </c>
      <c r="Z185" s="124">
        <v>57</v>
      </c>
      <c r="AA185" s="125">
        <f t="shared" si="197"/>
      </c>
      <c r="AB185" s="123">
        <v>95299</v>
      </c>
      <c r="AC185" s="123">
        <v>1872</v>
      </c>
      <c r="AD185" s="123">
        <v>2059</v>
      </c>
      <c r="AE185" s="123">
        <v>405</v>
      </c>
      <c r="AF185" s="124">
        <v>279</v>
      </c>
      <c r="AG185" s="124">
        <v>22</v>
      </c>
      <c r="AH185" s="123">
        <v>6</v>
      </c>
      <c r="AI185" s="123">
        <v>59</v>
      </c>
    </row>
    <row customHeight="true" ht="16.071428571428573" r="186">
      <c r="A186" s="105">
        <v>46295</v>
      </c>
      <c r="B186" s="108" t="s">
        <v>201</v>
      </c>
      <c r="C186" s="107" t="s">
        <v>220</v>
      </c>
      <c r="D186" s="146">
        <f>5-0.75</f>
      </c>
      <c r="E186" s="108">
        <v>23</v>
      </c>
      <c r="F186" s="115">
        <v>26</v>
      </c>
      <c r="G186" s="130">
        <v>66012.19999999998</v>
      </c>
      <c r="H186" s="131">
        <v>17011.66</v>
      </c>
      <c r="I186" s="112">
        <f t="shared" si="62"/>
      </c>
      <c r="J186" s="113">
        <f t="shared" si="0"/>
      </c>
      <c r="K186" s="113">
        <f t="shared" si="198"/>
      </c>
      <c r="L186" s="114">
        <f t="shared" si="137"/>
      </c>
      <c r="M186" s="115"/>
      <c r="N186" s="129"/>
      <c r="O186" s="129"/>
      <c r="P186" s="117"/>
      <c r="Q186" s="118"/>
      <c r="R186" s="119"/>
      <c r="S186" s="120">
        <f t="shared" si="92"/>
      </c>
      <c r="T186" s="121">
        <f t="shared" si="30"/>
      </c>
      <c r="U186" s="122">
        <f t="shared" si="228"/>
      </c>
      <c r="V186" s="122">
        <f t="shared" si="167"/>
      </c>
      <c r="W186" s="122">
        <f t="shared" si="122"/>
      </c>
      <c r="X186" s="123">
        <f t="shared" si="60"/>
      </c>
      <c r="Y186" s="122">
        <f t="shared" si="258"/>
      </c>
      <c r="Z186" s="124">
        <v>58</v>
      </c>
      <c r="AA186" s="125">
        <f t="shared" si="197"/>
      </c>
      <c r="AB186" s="124">
        <v>122544</v>
      </c>
      <c r="AC186" s="123">
        <v>2627</v>
      </c>
      <c r="AD186" s="123">
        <v>2819</v>
      </c>
      <c r="AE186" s="123">
        <v>415</v>
      </c>
      <c r="AF186" s="124">
        <v>334</v>
      </c>
      <c r="AG186" s="123">
        <v>27</v>
      </c>
      <c r="AH186" s="123">
        <v>10</v>
      </c>
      <c r="AI186" s="123">
        <v>56</v>
      </c>
    </row>
    <row customHeight="true" ht="16.071428571428573" r="187">
      <c r="A187" s="105">
        <v>46295</v>
      </c>
      <c r="B187" s="108" t="s">
        <v>218</v>
      </c>
      <c r="C187" s="107" t="s">
        <v>222</v>
      </c>
      <c r="D187" s="146">
        <f>4-1.25</f>
      </c>
      <c r="E187" s="115">
        <v>14</v>
      </c>
      <c r="F187" s="115">
        <v>17</v>
      </c>
      <c r="G187" s="130">
        <v>39453.01000000004</v>
      </c>
      <c r="H187" s="132">
        <v>17479.16</v>
      </c>
      <c r="I187" s="112">
        <f t="shared" si="62"/>
      </c>
      <c r="J187" s="113">
        <f t="shared" si="0"/>
      </c>
      <c r="K187" s="113">
        <f t="shared" si="198"/>
      </c>
      <c r="L187" s="114">
        <f t="shared" si="137"/>
      </c>
      <c r="M187" s="115" t="s">
        <v>226</v>
      </c>
      <c r="N187" s="129">
        <v>8</v>
      </c>
      <c r="O187" s="129"/>
      <c r="P187" s="117"/>
      <c r="Q187" s="118"/>
      <c r="R187" s="119"/>
      <c r="S187" s="120">
        <f t="shared" si="92"/>
      </c>
      <c r="T187" s="121">
        <f t="shared" si="30"/>
      </c>
      <c r="U187" s="122">
        <f t="shared" si="228"/>
      </c>
      <c r="V187" s="122">
        <f t="shared" si="167"/>
      </c>
      <c r="W187" s="122">
        <f t="shared" si="122"/>
      </c>
      <c r="X187" s="123">
        <f t="shared" si="60"/>
      </c>
      <c r="Y187" s="122">
        <f t="shared" si="258"/>
      </c>
      <c r="Z187" s="124">
        <v>56</v>
      </c>
      <c r="AA187" s="125">
        <f t="shared" si="197"/>
      </c>
      <c r="AB187" s="123">
        <v>157062</v>
      </c>
      <c r="AC187" s="123">
        <v>3401</v>
      </c>
      <c r="AD187" s="123">
        <v>3652</v>
      </c>
      <c r="AE187" s="123">
        <v>442</v>
      </c>
      <c r="AF187" s="124">
        <v>362</v>
      </c>
      <c r="AG187" s="124">
        <v>30</v>
      </c>
      <c r="AH187" s="124">
        <v>18</v>
      </c>
      <c r="AI187" s="124">
        <v>65</v>
      </c>
    </row>
    <row customHeight="true" ht="16.071428571428573" r="188">
      <c r="A188" s="135">
        <v>46295</v>
      </c>
      <c r="B188" s="136" t="s">
        <v>214</v>
      </c>
      <c r="C188" s="137"/>
      <c r="D188" s="137">
        <f>SUM(D183:D187)</f>
      </c>
      <c r="E188" s="137">
        <f>SUM(E183:E187)</f>
      </c>
      <c r="F188" s="137">
        <f>SUM(F183:F187)</f>
      </c>
      <c r="G188" s="137">
        <f>SUM(G183:G187)</f>
      </c>
      <c r="H188" s="137">
        <f>SUM(H183:H187)</f>
      </c>
      <c r="I188" s="139">
        <f t="shared" si="62"/>
      </c>
      <c r="J188" s="139">
        <f t="shared" si="0"/>
      </c>
      <c r="K188" s="139">
        <f t="shared" si="198"/>
      </c>
      <c r="L188" s="139">
        <f t="shared" si="137"/>
      </c>
      <c r="M188" s="137"/>
      <c r="N188" s="140">
        <f>SUM(N183:N187)</f>
      </c>
      <c r="O188" s="140"/>
      <c r="P188" s="137"/>
      <c r="Q188" s="137"/>
      <c r="R188" s="137"/>
      <c r="S188" s="141">
        <f>AVERAGE(S183:S187)</f>
      </c>
      <c r="T188" s="142">
        <f>AVERAGE(T183:T187)</f>
      </c>
      <c r="U188" s="142">
        <f>AVERAGE(U183:U187)</f>
      </c>
      <c r="V188" s="142">
        <f>AVERAGE(V183:V187)</f>
      </c>
      <c r="W188" s="142">
        <f>AVERAGE(W183:W187)</f>
      </c>
      <c r="X188" s="143">
        <f>SUM(X183:X187)</f>
      </c>
      <c r="Y188" s="142">
        <f>AVERAGE(Y183:Y187)</f>
      </c>
      <c r="Z188" s="143"/>
      <c r="AA188" s="144">
        <f>AVERAGE(AA183:AA187)</f>
      </c>
      <c r="AB188" s="143">
        <f>SUM(AB183:AB187)</f>
      </c>
      <c r="AC188" s="143">
        <f>SUM(AC183:AC187)</f>
      </c>
      <c r="AD188" s="143">
        <f>SUM(AD183:AD187)</f>
      </c>
      <c r="AE188" s="143">
        <f>SUM(AE183:AE187)</f>
      </c>
      <c r="AF188" s="143">
        <f>SUM(AF183:AF187)</f>
      </c>
      <c r="AG188" s="143">
        <f>SUM(AG183:AG187)</f>
      </c>
      <c r="AH188" s="143">
        <f>SUM(AH183:AH187)</f>
      </c>
      <c r="AI188" s="143">
        <f>SUM(AI183:AI187)</f>
      </c>
    </row>
    <row customHeight="true" ht="16.071428571428573" r="189"/>
    <row customHeight="true" ht="16.071428571428573" r="190"/>
    <row customHeight="true" ht="16.071428571428573" r="191">
      <c r="E191" s="145"/>
      <c r="G191" s="145" t="s">
        <v>175</v>
      </c>
      <c r="H191" s="145" t="s">
        <v>178</v>
      </c>
      <c r="J191" s="145"/>
      <c r="K191" t="s">
        <v>179</v>
      </c>
      <c r="L191" t="s">
        <v>239</v>
      </c>
    </row>
    <row customHeight="true" ht="16.071428571428573" r="192">
      <c r="G192">
        <f t="shared" ref="G192:G197" si="61">E192/F192</f>
      </c>
      <c r="H192" s="145">
        <f>F192/D192</f>
      </c>
      <c r="I192" s="145"/>
      <c r="K192" t="s">
        <v>226</v>
      </c>
      <c r="L192">
        <v>159</v>
      </c>
    </row>
    <row customHeight="true" ht="16.071428571428573" r="193">
      <c r="G193">
        <f t="shared" si="61"/>
      </c>
      <c r="K193" t="s">
        <v>203</v>
      </c>
      <c r="L193">
        <v>40</v>
      </c>
      <c r="M193">
        <v>4</v>
      </c>
    </row>
    <row customHeight="true" ht="16.071428571428573" r="194">
      <c r="G194">
        <f t="shared" si="61"/>
      </c>
      <c r="K194" t="s">
        <v>237</v>
      </c>
      <c r="L194">
        <v>8</v>
      </c>
    </row>
    <row customHeight="true" ht="16.071428571428573" r="195">
      <c r="G195">
        <f t="shared" si="61"/>
      </c>
      <c r="K195" t="s">
        <v>213</v>
      </c>
      <c r="L195">
        <v>50</v>
      </c>
    </row>
    <row customHeight="true" ht="16.071428571428573" r="196">
      <c r="G196">
        <f t="shared" si="61"/>
      </c>
      <c r="K196" t="s">
        <v>221</v>
      </c>
      <c r="L196">
        <v>66</v>
      </c>
    </row>
    <row customHeight="true" ht="16.071428571428573" r="197">
      <c r="G197">
        <f t="shared" si="61"/>
      </c>
      <c r="K197" t="s">
        <v>215</v>
      </c>
      <c r="L197">
        <v>50</v>
      </c>
      <c r="M197">
        <v>5</v>
      </c>
    </row>
    <row customHeight="true" ht="16.071428571428573" r="198">
      <c r="K198" t="s">
        <v>235</v>
      </c>
      <c r="L198">
        <v>120</v>
      </c>
      <c r="M198">
        <v>12</v>
      </c>
    </row>
    <row customHeight="true" ht="16.071428571428573" r="199">
      <c r="K199" t="s">
        <v>232</v>
      </c>
      <c r="L199">
        <v>24</v>
      </c>
    </row>
    <row customHeight="true" ht="16.071428571428573" r="200">
      <c r="I200" s="145"/>
      <c r="K200" t="s">
        <v>217</v>
      </c>
      <c r="L200">
        <v>60</v>
      </c>
      <c r="M200">
        <v>6</v>
      </c>
    </row>
    <row customHeight="true" ht="16.071428571428573" r="201">
      <c r="I201" s="147"/>
      <c r="J201" s="148"/>
      <c r="K201" t="s">
        <v>238</v>
      </c>
      <c r="L201">
        <v>10</v>
      </c>
    </row>
    <row customHeight="true" ht="16.071428571428573" r="202">
      <c r="I202" s="147"/>
      <c r="J202" s="148"/>
      <c r="K202" t="s">
        <v>210</v>
      </c>
      <c r="L202">
        <v>10</v>
      </c>
    </row>
    <row customHeight="true" ht="16.071428571428573" r="203">
      <c r="J203" s="149"/>
      <c r="K203" t="s">
        <v>231</v>
      </c>
      <c r="L203">
        <v>1</v>
      </c>
    </row>
    <row r="204">
      <c r="K204" t="s">
        <v>216</v>
      </c>
      <c r="L204">
        <v>74</v>
      </c>
    </row>
    <row r="205">
      <c r="F205" s="150"/>
      <c r="G205" s="150"/>
      <c r="K205" t="s">
        <v>240</v>
      </c>
      <c r="L205">
        <v>672</v>
      </c>
    </row>
    <row r="206">
      <c r="F206" s="151"/>
      <c r="G206" s="148"/>
    </row>
    <row r="207">
      <c r="F207" s="151"/>
      <c r="G207" s="148"/>
    </row>
    <row r="208">
      <c r="F208" s="151"/>
      <c r="G208" s="148"/>
    </row>
    <row r="209">
      <c r="F209" s="151"/>
      <c r="G209" s="148"/>
    </row>
    <row r="210">
      <c r="F210" s="151"/>
      <c r="G210" s="148"/>
    </row>
    <row r="211">
      <c r="F211" s="151"/>
      <c r="G211" s="148"/>
    </row>
    <row r="212"/>
    <row r="213"/>
    <row r="214"/>
    <row r="215"/>
    <row r="216">
      <c r="H216" s="145"/>
    </row>
    <row r="217"/>
    <row r="218"/>
    <row r="219"/>
    <row r="220"/>
    <row r="221"/>
    <row r="222"/>
    <row r="223"/>
    <row r="224"/>
    <row r="225"/>
    <row r="226"/>
    <row r="227"/>
    <row r="228">
      <c r="C228" s="145"/>
    </row>
    <row r="229">
      <c r="C229" s="145"/>
    </row>
    <row r="230"/>
    <row r="231">
      <c r="E231" s="145"/>
      <c r="F231" s="148"/>
    </row>
    <row r="232">
      <c r="E232" s="145"/>
      <c r="F232" s="148"/>
    </row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>
      <c r="F344" s="145"/>
      <c r="G344" s="145"/>
      <c r="H344" s="145"/>
      <c r="I344" s="145"/>
      <c r="J344" s="145"/>
    </row>
    <row r="345">
      <c r="F345" s="145"/>
      <c r="I345" s="148"/>
      <c r="J345" s="148"/>
    </row>
    <row r="346"/>
    <row r="347"/>
    <row r="348"/>
    <row r="349"/>
    <row r="350"/>
    <row r="351">
      <c r="I351">
        <v>1052430.02</v>
      </c>
      <c r="J351" s="145"/>
      <c r="K351" s="145"/>
    </row>
    <row r="352">
      <c r="K352" s="145"/>
    </row>
    <row r="353">
      <c r="M353" s="145"/>
    </row>
  </sheetData>
  <autoFilter ref="A1:Q543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52" t="s">
        <v>241</v>
      </c>
      <c r="B1" s="153" t="s">
        <v>242</v>
      </c>
      <c r="C1" s="153" t="s">
        <v>243</v>
      </c>
      <c r="D1" s="153" t="s">
        <v>244</v>
      </c>
      <c r="E1" s="152" t="s">
        <v>245</v>
      </c>
      <c r="F1" s="153" t="s">
        <v>246</v>
      </c>
      <c r="G1" s="153" t="s">
        <v>247</v>
      </c>
      <c r="H1" s="153" t="s">
        <v>248</v>
      </c>
      <c r="I1" s="154" t="s">
        <v>249</v>
      </c>
      <c r="J1" s="155" t="s">
        <v>250</v>
      </c>
    </row>
    <row r="2">
      <c r="A2" s="156" t="s">
        <v>251</v>
      </c>
      <c r="B2" t="s">
        <v>252</v>
      </c>
      <c r="D2" s="157">
        <v>18</v>
      </c>
      <c r="E2" s="157">
        <v>7</v>
      </c>
      <c r="F2" s="157">
        <v>57</v>
      </c>
      <c r="G2" s="157">
        <v>139059.43</v>
      </c>
      <c r="H2" s="157">
        <v>36830.07</v>
      </c>
      <c r="I2" s="158">
        <v>3.7757036573647564</v>
      </c>
      <c r="J2" s="159">
        <f t="shared" ref="J2:J50" si="0">H2/D2</f>
      </c>
    </row>
    <row r="3">
      <c r="A3" s="156" t="s">
        <v>253</v>
      </c>
      <c r="B3" t="s">
        <v>252</v>
      </c>
      <c r="D3" s="157">
        <v>24</v>
      </c>
      <c r="E3" s="157">
        <v>61</v>
      </c>
      <c r="F3" s="157">
        <v>71</v>
      </c>
      <c r="G3" s="157">
        <v>202445.86000000002</v>
      </c>
      <c r="H3" s="157">
        <v>56519.09</v>
      </c>
      <c r="I3" s="158">
        <v>3.581902327160611</v>
      </c>
      <c r="J3" s="159">
        <f t="shared" si="0"/>
      </c>
    </row>
    <row r="4">
      <c r="A4" s="156" t="s">
        <v>254</v>
      </c>
      <c r="B4" t="s">
        <v>252</v>
      </c>
      <c r="D4" s="157">
        <v>24</v>
      </c>
      <c r="E4" s="157">
        <v>69</v>
      </c>
      <c r="F4" s="157">
        <v>87</v>
      </c>
      <c r="G4" s="157">
        <v>223944.27000000002</v>
      </c>
      <c r="H4" s="157">
        <v>61755.3</v>
      </c>
      <c r="I4" s="158">
        <v>3.6263166076433926</v>
      </c>
      <c r="J4" s="159">
        <f t="shared" si="0"/>
      </c>
    </row>
    <row r="5">
      <c r="A5" s="156" t="s">
        <v>255</v>
      </c>
      <c r="B5" t="s">
        <v>252</v>
      </c>
      <c r="D5" s="157">
        <v>24</v>
      </c>
      <c r="E5" s="157">
        <v>50</v>
      </c>
      <c r="F5" s="157">
        <v>62</v>
      </c>
      <c r="G5" s="157">
        <v>151399.39</v>
      </c>
      <c r="H5" s="157">
        <v>55012.35</v>
      </c>
      <c r="I5" s="158">
        <v>2.7520982106745127</v>
      </c>
      <c r="J5" s="159">
        <f t="shared" si="0"/>
      </c>
    </row>
    <row r="6">
      <c r="A6" s="156" t="s">
        <v>256</v>
      </c>
      <c r="B6" t="s">
        <v>252</v>
      </c>
      <c r="D6" s="157">
        <v>24</v>
      </c>
      <c r="E6" s="157">
        <v>70</v>
      </c>
      <c r="F6" s="157">
        <v>81</v>
      </c>
      <c r="G6" s="157">
        <v>194144.38000000003</v>
      </c>
      <c r="H6" s="157">
        <v>60425.89</v>
      </c>
      <c r="I6" s="158">
        <v>3.2129337275793546</v>
      </c>
      <c r="J6" s="159">
        <f t="shared" si="0"/>
      </c>
    </row>
    <row r="7">
      <c r="A7" s="156" t="s">
        <v>257</v>
      </c>
      <c r="B7" t="s">
        <v>252</v>
      </c>
      <c r="D7" s="157">
        <v>24</v>
      </c>
      <c r="E7" s="157">
        <v>58</v>
      </c>
      <c r="F7" s="157">
        <v>75</v>
      </c>
      <c r="G7" s="157">
        <v>184912.38999999993</v>
      </c>
      <c r="H7" s="157">
        <v>62879.950000000004</v>
      </c>
      <c r="I7" s="158">
        <v>2.94072100884304</v>
      </c>
      <c r="J7" s="159">
        <f t="shared" si="0"/>
      </c>
    </row>
    <row r="8">
      <c r="A8" s="156" t="s">
        <v>258</v>
      </c>
      <c r="B8" t="s">
        <v>252</v>
      </c>
      <c r="D8" s="157">
        <v>24</v>
      </c>
      <c r="E8" s="157">
        <v>53</v>
      </c>
      <c r="F8" s="157">
        <v>65</v>
      </c>
      <c r="G8" s="157">
        <v>167491.53</v>
      </c>
      <c r="H8" s="157">
        <v>62728.909999999996</v>
      </c>
      <c r="I8" s="158">
        <v>2.670085132995297</v>
      </c>
      <c r="J8" s="159">
        <f t="shared" si="0"/>
      </c>
    </row>
    <row r="9">
      <c r="A9" s="156" t="s">
        <v>259</v>
      </c>
      <c r="B9" t="s">
        <v>252</v>
      </c>
      <c r="D9" s="157">
        <v>24</v>
      </c>
      <c r="E9" s="160">
        <v>74</v>
      </c>
      <c r="F9" s="157">
        <v>84</v>
      </c>
      <c r="G9" s="157">
        <v>212814.83</v>
      </c>
      <c r="H9" s="157">
        <v>72182.2</v>
      </c>
      <c r="I9" s="158">
        <v>2.948300689089554</v>
      </c>
      <c r="J9" s="159">
        <f t="shared" si="0"/>
      </c>
    </row>
    <row r="10">
      <c r="A10" s="156" t="s">
        <v>260</v>
      </c>
      <c r="B10" t="s">
        <v>252</v>
      </c>
      <c r="D10" s="160">
        <v>24</v>
      </c>
      <c r="E10" s="157">
        <v>27</v>
      </c>
      <c r="F10" s="157">
        <v>52</v>
      </c>
      <c r="G10" s="157">
        <v>121298.01999999997</v>
      </c>
      <c r="H10" s="157">
        <v>43814</v>
      </c>
      <c r="I10" s="158">
        <v>2.7684762861185916</v>
      </c>
      <c r="J10" s="159">
        <f t="shared" si="0"/>
      </c>
    </row>
    <row r="11">
      <c r="A11" s="156" t="s">
        <v>261</v>
      </c>
      <c r="B11" t="s">
        <v>252</v>
      </c>
      <c r="D11" s="160">
        <v>22</v>
      </c>
      <c r="E11" s="157">
        <v>53</v>
      </c>
      <c r="F11" s="157">
        <v>64</v>
      </c>
      <c r="G11" s="157">
        <v>157829.49</v>
      </c>
      <c r="H11" s="157">
        <v>53236.8</v>
      </c>
      <c r="I11" s="158">
        <f t="shared" ref="I11:I21" si="1">G11/H11</f>
      </c>
      <c r="J11" s="159">
        <f t="shared" si="0"/>
      </c>
    </row>
    <row r="12">
      <c r="A12" s="156" t="s">
        <v>262</v>
      </c>
      <c r="B12" t="s">
        <v>252</v>
      </c>
      <c r="D12" s="157">
        <v>22</v>
      </c>
      <c r="E12" s="157">
        <v>57</v>
      </c>
      <c r="F12" s="157">
        <v>67</v>
      </c>
      <c r="G12" s="157">
        <v>157785.7</v>
      </c>
      <c r="H12" s="157">
        <v>55220.13</v>
      </c>
      <c r="I12" s="158">
        <f t="shared" si="1"/>
      </c>
      <c r="J12" s="159">
        <f t="shared" si="0"/>
      </c>
    </row>
    <row r="13">
      <c r="A13" s="156" t="s">
        <v>263</v>
      </c>
      <c r="B13" t="s">
        <v>252</v>
      </c>
      <c r="D13" s="157">
        <v>22</v>
      </c>
      <c r="E13" s="157">
        <v>58</v>
      </c>
      <c r="F13" s="160">
        <v>67</v>
      </c>
      <c r="G13" s="160">
        <v>170607.06999999995</v>
      </c>
      <c r="H13" s="160">
        <v>54479.39</v>
      </c>
      <c r="I13" s="158">
        <f t="shared" si="1"/>
      </c>
      <c r="J13" s="159">
        <f t="shared" si="0"/>
      </c>
    </row>
    <row r="14">
      <c r="A14" s="156" t="s">
        <v>264</v>
      </c>
      <c r="B14" s="156" t="s">
        <v>252</v>
      </c>
      <c r="D14" s="160">
        <v>4</v>
      </c>
      <c r="E14" s="161">
        <v>5</v>
      </c>
      <c r="F14" s="160">
        <v>3</v>
      </c>
      <c r="G14" s="160">
        <v>8211.07</v>
      </c>
      <c r="H14" s="160">
        <v>2970.48</v>
      </c>
      <c r="I14" s="158">
        <f t="shared" si="1"/>
      </c>
      <c r="J14" s="159">
        <f t="shared" si="0"/>
      </c>
    </row>
    <row r="15">
      <c r="A15" s="156" t="s">
        <v>265</v>
      </c>
      <c r="B15" t="s">
        <v>252</v>
      </c>
      <c r="D15" s="157"/>
      <c r="E15" s="157"/>
      <c r="F15" s="160"/>
      <c r="G15" s="157"/>
      <c r="H15" s="157"/>
      <c r="I15" s="158">
        <f t="shared" si="1"/>
      </c>
      <c r="J15" s="159">
        <f t="shared" si="0"/>
      </c>
    </row>
    <row r="16">
      <c r="A16" s="156" t="s">
        <v>266</v>
      </c>
      <c r="B16" s="156" t="s">
        <v>252</v>
      </c>
      <c r="D16" s="160"/>
      <c r="E16" s="160"/>
      <c r="F16" s="160"/>
      <c r="G16" s="157"/>
      <c r="H16" s="157"/>
      <c r="I16" s="158">
        <f t="shared" si="1"/>
      </c>
      <c r="J16" s="159">
        <f t="shared" si="0"/>
      </c>
    </row>
    <row r="17">
      <c r="A17" s="156" t="s">
        <v>267</v>
      </c>
      <c r="B17" t="s">
        <v>252</v>
      </c>
      <c r="D17" s="157"/>
      <c r="E17" s="157"/>
      <c r="F17" s="157"/>
      <c r="G17" s="157"/>
      <c r="H17" s="157"/>
      <c r="I17" s="158">
        <f t="shared" si="1"/>
      </c>
      <c r="J17" s="159">
        <f t="shared" si="0"/>
      </c>
    </row>
    <row r="18">
      <c r="A18" s="156" t="s">
        <v>268</v>
      </c>
      <c r="B18" t="s">
        <v>252</v>
      </c>
      <c r="D18" s="157"/>
      <c r="E18" s="157"/>
      <c r="F18" s="157"/>
      <c r="G18" s="157"/>
      <c r="H18" s="157"/>
      <c r="I18" s="158">
        <f t="shared" si="1"/>
      </c>
      <c r="J18" s="159">
        <f t="shared" si="0"/>
      </c>
    </row>
    <row r="19">
      <c r="A19" s="156" t="s">
        <v>269</v>
      </c>
      <c r="B19" t="s">
        <v>252</v>
      </c>
      <c r="D19" s="157"/>
      <c r="E19" s="157"/>
      <c r="F19" s="157"/>
      <c r="G19" s="157"/>
      <c r="H19" s="157"/>
      <c r="I19" s="158">
        <f t="shared" si="1"/>
      </c>
      <c r="J19" s="159">
        <f t="shared" si="0"/>
      </c>
    </row>
    <row r="20">
      <c r="A20" s="156" t="s">
        <v>270</v>
      </c>
      <c r="B20" t="s">
        <v>252</v>
      </c>
      <c r="C20" s="162"/>
      <c r="D20" s="163"/>
      <c r="E20" s="163"/>
      <c r="F20" s="163"/>
      <c r="G20" s="163"/>
      <c r="H20" s="163"/>
      <c r="I20" s="158">
        <f t="shared" si="1"/>
      </c>
      <c r="J20" s="159">
        <f t="shared" si="0"/>
      </c>
      <c r="K20" s="162"/>
    </row>
    <row r="21">
      <c r="A21" s="156" t="s">
        <v>271</v>
      </c>
      <c r="B21" s="164" t="s">
        <v>252</v>
      </c>
      <c r="D21" s="160"/>
      <c r="E21" s="157"/>
      <c r="F21" s="157"/>
      <c r="G21" s="157"/>
      <c r="H21" s="157"/>
      <c r="I21" s="158">
        <f t="shared" si="1"/>
      </c>
      <c r="J21" s="159">
        <f t="shared" si="0"/>
      </c>
    </row>
    <row r="22">
      <c r="A22" s="156" t="s">
        <v>272</v>
      </c>
      <c r="B22" t="s">
        <v>252</v>
      </c>
      <c r="D22" s="157"/>
      <c r="E22" s="157"/>
      <c r="F22" s="157"/>
      <c r="G22" s="157"/>
      <c r="H22" s="157"/>
      <c r="I22" s="158"/>
      <c r="J22" s="159">
        <f t="shared" si="0"/>
      </c>
    </row>
    <row r="23">
      <c r="A23" s="156" t="s">
        <v>273</v>
      </c>
      <c r="B23" t="s">
        <v>252</v>
      </c>
      <c r="D23" s="157"/>
      <c r="E23" s="157"/>
      <c r="F23" s="157"/>
      <c r="G23" s="157"/>
      <c r="H23" s="157"/>
      <c r="I23" s="158"/>
      <c r="J23" s="159">
        <f t="shared" si="0"/>
      </c>
    </row>
    <row r="24">
      <c r="A24" s="156" t="s">
        <v>274</v>
      </c>
      <c r="B24" t="s">
        <v>252</v>
      </c>
      <c r="D24" s="157"/>
      <c r="E24" s="157"/>
      <c r="F24" s="157"/>
      <c r="G24" s="157"/>
      <c r="H24" s="157"/>
      <c r="I24" s="158"/>
      <c r="J24" s="159">
        <f t="shared" si="0"/>
      </c>
    </row>
    <row r="25">
      <c r="A25" s="156" t="s">
        <v>275</v>
      </c>
      <c r="B25" t="s">
        <v>252</v>
      </c>
      <c r="D25" s="157"/>
      <c r="E25" s="157"/>
      <c r="F25" s="157"/>
      <c r="G25" s="157"/>
      <c r="H25" s="157"/>
      <c r="I25" s="161"/>
      <c r="J25" s="159">
        <f t="shared" si="0"/>
      </c>
    </row>
    <row r="26">
      <c r="A26" s="156" t="s">
        <v>276</v>
      </c>
      <c r="B26" t="s">
        <v>252</v>
      </c>
      <c r="D26" s="160"/>
      <c r="E26" s="160"/>
      <c r="F26" s="160"/>
      <c r="G26" s="157"/>
      <c r="H26" s="157"/>
      <c r="I26" s="158"/>
      <c r="J26" s="159">
        <f t="shared" si="0"/>
      </c>
    </row>
    <row r="27">
      <c r="A27" s="156" t="s">
        <v>277</v>
      </c>
      <c r="B27" t="s">
        <v>252</v>
      </c>
      <c r="D27" s="157"/>
      <c r="E27" s="157"/>
      <c r="F27" s="157"/>
      <c r="G27" s="157"/>
      <c r="H27" s="157"/>
      <c r="I27" s="158"/>
      <c r="J27" s="159">
        <f t="shared" si="0"/>
      </c>
    </row>
    <row r="28">
      <c r="A28" s="156" t="s">
        <v>278</v>
      </c>
      <c r="B28" s="156" t="s">
        <v>252</v>
      </c>
      <c r="D28" s="160"/>
      <c r="E28" s="160"/>
      <c r="F28" s="157"/>
      <c r="G28" s="157"/>
      <c r="H28" s="157"/>
      <c r="I28" s="158"/>
      <c r="J28" s="159">
        <f t="shared" si="0"/>
      </c>
    </row>
    <row r="29">
      <c r="A29" s="156" t="s">
        <v>279</v>
      </c>
      <c r="B29" s="156" t="s">
        <v>252</v>
      </c>
      <c r="D29" s="160"/>
      <c r="E29" s="157"/>
      <c r="F29" s="157"/>
      <c r="G29" s="157"/>
      <c r="H29" s="157"/>
      <c r="I29" s="158"/>
      <c r="J29" s="159">
        <f t="shared" si="0"/>
      </c>
    </row>
    <row r="30">
      <c r="A30" s="156" t="s">
        <v>280</v>
      </c>
      <c r="B30" s="156" t="s">
        <v>252</v>
      </c>
      <c r="D30" s="160"/>
      <c r="E30" s="157"/>
      <c r="F30" s="157"/>
      <c r="G30" s="157"/>
      <c r="H30" s="157"/>
      <c r="I30" s="158"/>
      <c r="J30" s="159">
        <f t="shared" si="0"/>
      </c>
    </row>
    <row r="31">
      <c r="A31" s="156" t="s">
        <v>281</v>
      </c>
      <c r="B31" s="156" t="s">
        <v>252</v>
      </c>
      <c r="D31" s="160"/>
      <c r="E31" s="157"/>
      <c r="F31" s="157"/>
      <c r="G31" s="157"/>
      <c r="H31" s="157"/>
      <c r="I31" s="158"/>
      <c r="J31" s="159">
        <f t="shared" si="0"/>
      </c>
    </row>
    <row r="32">
      <c r="A32" s="156" t="s">
        <v>282</v>
      </c>
      <c r="B32" s="156" t="s">
        <v>252</v>
      </c>
      <c r="D32" s="160"/>
      <c r="E32" s="160"/>
      <c r="F32" s="160"/>
      <c r="G32" s="157"/>
      <c r="H32" s="157"/>
      <c r="I32" s="158"/>
      <c r="J32" s="159">
        <f t="shared" si="0"/>
      </c>
    </row>
    <row r="33">
      <c r="A33" s="156" t="s">
        <v>283</v>
      </c>
      <c r="B33" s="156" t="s">
        <v>252</v>
      </c>
      <c r="D33" s="160"/>
      <c r="E33" s="157"/>
      <c r="F33" s="157"/>
      <c r="G33" s="157"/>
      <c r="H33" s="157"/>
      <c r="I33" s="158"/>
      <c r="J33" s="159">
        <f t="shared" si="0"/>
      </c>
    </row>
    <row r="34">
      <c r="A34" s="156" t="s">
        <v>284</v>
      </c>
      <c r="B34" s="156" t="s">
        <v>252</v>
      </c>
      <c r="D34" s="160"/>
      <c r="E34" s="157"/>
      <c r="F34" s="157"/>
      <c r="G34" s="157"/>
      <c r="H34" s="157"/>
      <c r="I34" s="158"/>
      <c r="J34" s="159">
        <f t="shared" si="0"/>
      </c>
    </row>
    <row r="35">
      <c r="A35" s="156" t="s">
        <v>285</v>
      </c>
      <c r="B35" s="156" t="s">
        <v>252</v>
      </c>
      <c r="D35" s="160"/>
      <c r="E35" s="157"/>
      <c r="F35" s="157"/>
      <c r="G35" s="157"/>
      <c r="H35" s="157"/>
      <c r="I35" s="158"/>
      <c r="J35" s="159">
        <f t="shared" si="0"/>
      </c>
    </row>
    <row r="36">
      <c r="A36" s="156" t="s">
        <v>286</v>
      </c>
      <c r="B36" s="156" t="s">
        <v>252</v>
      </c>
      <c r="D36" s="160"/>
      <c r="E36" s="157"/>
      <c r="F36" s="157"/>
      <c r="G36" s="157"/>
      <c r="H36" s="157"/>
      <c r="I36" s="158"/>
      <c r="J36" s="159">
        <f t="shared" si="0"/>
      </c>
    </row>
    <row r="37">
      <c r="A37" s="156" t="s">
        <v>287</v>
      </c>
      <c r="B37" s="156" t="s">
        <v>252</v>
      </c>
      <c r="D37" s="160"/>
      <c r="E37" s="157"/>
      <c r="F37" s="157"/>
      <c r="G37" s="157"/>
      <c r="H37" s="157"/>
      <c r="I37" s="158"/>
      <c r="J37" s="159">
        <f t="shared" si="0"/>
      </c>
    </row>
    <row r="38">
      <c r="A38" s="156" t="s">
        <v>288</v>
      </c>
      <c r="B38" s="156" t="s">
        <v>252</v>
      </c>
      <c r="D38" s="160"/>
      <c r="E38" s="157"/>
      <c r="F38" s="157"/>
      <c r="G38" s="157"/>
      <c r="H38" s="157"/>
      <c r="I38" s="158"/>
      <c r="J38" s="159">
        <f t="shared" si="0"/>
      </c>
    </row>
    <row r="39">
      <c r="A39" s="156" t="s">
        <v>289</v>
      </c>
      <c r="B39" s="156" t="s">
        <v>252</v>
      </c>
      <c r="D39" s="160"/>
      <c r="E39" s="157"/>
      <c r="F39" s="157"/>
      <c r="G39" s="157"/>
      <c r="H39" s="157"/>
      <c r="I39" s="158"/>
      <c r="J39" s="159">
        <f t="shared" si="0"/>
      </c>
    </row>
    <row r="40">
      <c r="A40" s="156" t="s">
        <v>290</v>
      </c>
      <c r="B40" s="156" t="s">
        <v>252</v>
      </c>
      <c r="D40" s="157"/>
      <c r="E40" s="157"/>
      <c r="F40" s="157"/>
      <c r="G40" s="157"/>
      <c r="H40" s="157"/>
      <c r="I40" s="158"/>
      <c r="J40" s="159">
        <f t="shared" si="0"/>
      </c>
    </row>
    <row r="41">
      <c r="A41" s="156" t="s">
        <v>291</v>
      </c>
      <c r="B41" s="156" t="s">
        <v>252</v>
      </c>
      <c r="D41" s="157"/>
      <c r="E41" s="160"/>
      <c r="F41" s="157"/>
      <c r="G41" s="157"/>
      <c r="H41" s="157"/>
      <c r="I41" s="158"/>
      <c r="J41" s="159">
        <f t="shared" si="0"/>
      </c>
    </row>
    <row r="42">
      <c r="A42" s="156" t="s">
        <v>292</v>
      </c>
      <c r="B42" s="156" t="s">
        <v>252</v>
      </c>
      <c r="D42" s="157"/>
      <c r="E42" s="157"/>
      <c r="F42" s="160"/>
      <c r="G42" s="157"/>
      <c r="H42" s="157"/>
      <c r="I42" s="158"/>
      <c r="J42" s="159">
        <f t="shared" si="0"/>
      </c>
    </row>
    <row r="43">
      <c r="A43" s="156" t="s">
        <v>293</v>
      </c>
      <c r="B43" s="156" t="s">
        <v>252</v>
      </c>
      <c r="D43" s="157"/>
      <c r="E43" s="157"/>
      <c r="F43" s="160"/>
      <c r="G43" s="157"/>
      <c r="H43" s="157"/>
      <c r="I43" s="158"/>
      <c r="J43" s="159">
        <f t="shared" si="0"/>
      </c>
    </row>
    <row r="44">
      <c r="A44" s="156" t="s">
        <v>294</v>
      </c>
      <c r="B44" s="156" t="s">
        <v>252</v>
      </c>
      <c r="D44" s="157"/>
      <c r="E44" s="157"/>
      <c r="F44" s="160"/>
      <c r="G44" s="157"/>
      <c r="H44" s="157"/>
      <c r="I44" s="158"/>
      <c r="J44" s="159">
        <f t="shared" si="0"/>
      </c>
    </row>
    <row r="45">
      <c r="A45" s="156" t="s">
        <v>295</v>
      </c>
      <c r="B45" s="156" t="s">
        <v>252</v>
      </c>
      <c r="D45" s="157"/>
      <c r="E45" s="157"/>
      <c r="F45" s="160"/>
      <c r="G45" s="157"/>
      <c r="H45" s="157"/>
      <c r="I45" s="158"/>
      <c r="J45" s="159">
        <f t="shared" si="0"/>
      </c>
    </row>
    <row r="46">
      <c r="A46" s="156" t="s">
        <v>296</v>
      </c>
      <c r="B46" s="156" t="s">
        <v>252</v>
      </c>
      <c r="D46" s="157"/>
      <c r="E46" s="157"/>
      <c r="F46" s="160"/>
      <c r="G46" s="157"/>
      <c r="H46" s="157"/>
      <c r="I46" s="158"/>
      <c r="J46" s="159">
        <f t="shared" si="0"/>
      </c>
    </row>
    <row r="47">
      <c r="A47" s="156" t="s">
        <v>297</v>
      </c>
      <c r="B47" s="156" t="s">
        <v>252</v>
      </c>
      <c r="D47" s="157"/>
      <c r="E47" s="157"/>
      <c r="F47" s="157"/>
      <c r="G47" s="157"/>
      <c r="H47" s="157"/>
      <c r="I47" s="158"/>
      <c r="J47" s="159">
        <f t="shared" si="0"/>
      </c>
    </row>
    <row r="48">
      <c r="A48" s="156" t="s">
        <v>298</v>
      </c>
      <c r="B48" s="156" t="s">
        <v>252</v>
      </c>
      <c r="D48" s="157"/>
      <c r="E48" s="157"/>
      <c r="F48" s="157"/>
      <c r="G48" s="157"/>
      <c r="H48" s="157"/>
      <c r="I48" s="158"/>
      <c r="J48" s="159">
        <f t="shared" si="0"/>
      </c>
    </row>
    <row r="49">
      <c r="A49" s="156" t="s">
        <v>299</v>
      </c>
      <c r="B49" s="156" t="s">
        <v>252</v>
      </c>
      <c r="D49" s="157"/>
      <c r="E49" s="157"/>
      <c r="F49" s="157"/>
      <c r="G49" s="157"/>
      <c r="H49" s="157"/>
      <c r="I49" s="158"/>
      <c r="J49" s="159">
        <f t="shared" si="0"/>
      </c>
    </row>
    <row r="50">
      <c r="A50" s="156" t="s">
        <v>300</v>
      </c>
      <c r="B50" s="156" t="s">
        <v>252</v>
      </c>
      <c r="D50" s="157"/>
      <c r="E50" s="157"/>
      <c r="F50" s="160"/>
      <c r="G50" s="157"/>
      <c r="H50" s="157"/>
      <c r="I50" s="158"/>
      <c r="J50" s="159">
        <f t="shared" si="0"/>
      </c>
    </row>
    <row r="51">
      <c r="A51" s="156"/>
      <c r="B51" s="156"/>
      <c r="D51" s="157"/>
      <c r="E51" s="157"/>
      <c r="F51" s="160"/>
      <c r="G51" s="157"/>
      <c r="H51" s="157"/>
      <c r="I51" s="158"/>
      <c r="J51" s="159"/>
    </row>
    <row r="52">
      <c r="A52" s="156"/>
      <c r="B52" s="156"/>
      <c r="F52" s="165"/>
      <c r="I52" s="166"/>
      <c r="J52" s="167"/>
    </row>
    <row r="53">
      <c r="D53" s="165">
        <f>SUM(D2:D7)</f>
      </c>
      <c r="F53" s="165" t="s">
        <v>301</v>
      </c>
      <c r="G53" s="165">
        <f>SUM(G2:G7)</f>
      </c>
      <c r="H53" s="165">
        <f>SUM(H2:H7)</f>
      </c>
      <c r="I53" s="168">
        <f t="shared" ref="I53:I55" si="2">G53/H53</f>
      </c>
      <c r="J53" s="167">
        <f t="shared" ref="J53:J55" si="3">G53/(H53+D53*500)</f>
      </c>
    </row>
    <row r="54">
      <c r="D54">
        <f>SUM(D2:D24)</f>
      </c>
      <c r="F54" s="165" t="s">
        <v>302</v>
      </c>
      <c r="G54">
        <f>SUM(G2:G24)</f>
      </c>
      <c r="H54">
        <f>SUM(H2:H24)</f>
      </c>
      <c r="I54" s="168">
        <f t="shared" si="2"/>
      </c>
      <c r="J54" s="167">
        <f t="shared" si="3"/>
      </c>
    </row>
    <row r="55">
      <c r="D55">
        <f>SUM(D2:D50)</f>
      </c>
      <c r="F55" s="165" t="s">
        <v>303</v>
      </c>
      <c r="G55">
        <f>SUM(G2:G50)</f>
      </c>
      <c r="H55">
        <f>SUM(H2:H50)</f>
      </c>
      <c r="I55" s="168">
        <f t="shared" si="2"/>
      </c>
      <c r="J55" s="167">
        <f t="shared" si="3"/>
      </c>
    </row>
    <row r="56">
      <c r="F56" s="165"/>
      <c r="I56" s="168"/>
      <c r="J56" s="167"/>
    </row>
    <row r="57"/>
    <row r="58"/>
    <row r="59"/>
    <row r="60"/>
    <row r="61"/>
    <row r="62">
      <c r="G62" s="156"/>
      <c r="H62" s="169"/>
    </row>
    <row r="63">
      <c r="G63" s="156"/>
      <c r="H63" s="169"/>
    </row>
  </sheetData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</cols>
  <sheetData>
    <row r="1">
      <c r="A1" s="170" t="s">
        <v>304</v>
      </c>
      <c r="B1" s="171" t="s">
        <v>305</v>
      </c>
      <c r="C1" s="171" t="s">
        <v>306</v>
      </c>
      <c r="D1" s="171" t="s">
        <v>307</v>
      </c>
      <c r="E1" s="170" t="s">
        <v>308</v>
      </c>
      <c r="F1" s="171" t="s">
        <v>309</v>
      </c>
      <c r="G1" s="171" t="s">
        <v>310</v>
      </c>
      <c r="H1" s="171" t="s">
        <v>311</v>
      </c>
      <c r="I1" s="172" t="s">
        <v>312</v>
      </c>
      <c r="J1" s="173" t="s">
        <v>313</v>
      </c>
    </row>
    <row r="2">
      <c r="A2" s="174" t="s">
        <v>314</v>
      </c>
      <c r="B2" s="174" t="s">
        <v>315</v>
      </c>
      <c r="C2" s="175"/>
      <c r="D2" s="176">
        <v>20</v>
      </c>
      <c r="E2" s="177">
        <v>52</v>
      </c>
      <c r="F2" s="177">
        <v>70</v>
      </c>
      <c r="G2" s="177">
        <v>174738.72</v>
      </c>
      <c r="H2" s="177">
        <v>56430.47</v>
      </c>
      <c r="I2" s="178">
        <v>3.096531359742352</v>
      </c>
      <c r="J2" s="179">
        <f t="shared" ref="J2:J63" si="1">H2/D2</f>
      </c>
      <c r="K2" s="175"/>
      <c r="L2" s="175"/>
      <c r="M2" s="175"/>
      <c r="N2" s="175"/>
      <c r="O2" s="175"/>
      <c r="P2" s="175"/>
      <c r="Q2" s="175"/>
      <c r="R2" s="175"/>
      <c r="S2" s="175"/>
      <c r="T2" s="175"/>
    </row>
    <row r="3">
      <c r="A3" s="180" t="s">
        <v>316</v>
      </c>
      <c r="B3" s="174" t="s">
        <v>315</v>
      </c>
      <c r="D3" s="176">
        <v>20</v>
      </c>
      <c r="E3" s="177">
        <v>68</v>
      </c>
      <c r="F3" s="177">
        <v>82</v>
      </c>
      <c r="G3" s="177">
        <v>210110.94999999998</v>
      </c>
      <c r="H3" s="177">
        <v>71792.01000000001</v>
      </c>
      <c r="I3" s="178">
        <v>2.926662033839141</v>
      </c>
      <c r="J3" s="179">
        <f t="shared" si="1"/>
      </c>
    </row>
    <row r="4">
      <c r="A4" s="180" t="s">
        <v>317</v>
      </c>
      <c r="B4" s="174" t="s">
        <v>315</v>
      </c>
      <c r="D4" s="176">
        <v>21</v>
      </c>
      <c r="E4" s="177">
        <v>82</v>
      </c>
      <c r="F4" s="177">
        <v>103</v>
      </c>
      <c r="G4" s="177">
        <v>256387.04</v>
      </c>
      <c r="H4" s="177">
        <v>77780.08</v>
      </c>
      <c r="I4" s="178">
        <v>3.2963072293060125</v>
      </c>
      <c r="J4" s="179">
        <f t="shared" si="1"/>
      </c>
    </row>
    <row r="5">
      <c r="A5" s="180" t="s">
        <v>318</v>
      </c>
      <c r="B5" t="s">
        <v>315</v>
      </c>
      <c r="D5" s="177">
        <v>21</v>
      </c>
      <c r="E5" s="177">
        <v>50</v>
      </c>
      <c r="F5" s="177">
        <v>61</v>
      </c>
      <c r="G5" s="177">
        <v>155579.62999999998</v>
      </c>
      <c r="H5" s="177">
        <v>64152.04</v>
      </c>
      <c r="I5" s="178">
        <v>2.4251704232632347</v>
      </c>
      <c r="J5" s="179">
        <f t="shared" si="1"/>
      </c>
    </row>
    <row r="6">
      <c r="A6" s="180" t="s">
        <v>319</v>
      </c>
      <c r="B6" t="s">
        <v>315</v>
      </c>
      <c r="D6" s="177">
        <v>22</v>
      </c>
      <c r="E6" s="177">
        <v>41</v>
      </c>
      <c r="F6" s="177">
        <v>50</v>
      </c>
      <c r="G6" s="177">
        <v>117491.09</v>
      </c>
      <c r="H6" s="177">
        <v>48518.28</v>
      </c>
      <c r="I6" s="178">
        <v>2.421583988550295</v>
      </c>
      <c r="J6" s="179">
        <f t="shared" si="1"/>
      </c>
    </row>
    <row r="7">
      <c r="A7" s="180" t="s">
        <v>320</v>
      </c>
      <c r="B7" t="s">
        <v>315</v>
      </c>
      <c r="D7" s="177">
        <v>22</v>
      </c>
      <c r="E7" s="177">
        <v>78</v>
      </c>
      <c r="F7" s="177">
        <v>93</v>
      </c>
      <c r="G7" s="177">
        <v>233367.82</v>
      </c>
      <c r="H7" s="177">
        <v>80014.2</v>
      </c>
      <c r="I7" s="178">
        <v>2.9165800570398757</v>
      </c>
      <c r="J7" s="179">
        <f t="shared" si="1"/>
      </c>
    </row>
    <row r="8">
      <c r="A8" s="181" t="s">
        <v>321</v>
      </c>
      <c r="B8" s="175" t="s">
        <v>315</v>
      </c>
      <c r="C8" s="175"/>
      <c r="D8" s="182">
        <v>22</v>
      </c>
      <c r="E8" s="182">
        <v>83</v>
      </c>
      <c r="F8" s="182">
        <v>98</v>
      </c>
      <c r="G8" s="182">
        <v>253515.61</v>
      </c>
      <c r="H8" s="182">
        <v>81237.34</v>
      </c>
      <c r="I8" s="183">
        <v>3.120678372777838</v>
      </c>
      <c r="J8" s="184">
        <f t="shared" si="1"/>
      </c>
      <c r="K8" s="175"/>
      <c r="L8" s="175"/>
      <c r="M8" s="175"/>
      <c r="N8" s="175"/>
      <c r="O8" s="175"/>
      <c r="P8" s="175"/>
      <c r="Q8" s="175"/>
      <c r="R8" s="175"/>
      <c r="S8" s="175"/>
      <c r="T8" s="175"/>
    </row>
    <row r="9">
      <c r="A9" s="174" t="s">
        <v>322</v>
      </c>
      <c r="B9" t="s">
        <v>315</v>
      </c>
      <c r="D9" s="177">
        <v>22</v>
      </c>
      <c r="E9" s="177">
        <v>65</v>
      </c>
      <c r="F9" s="177">
        <v>86</v>
      </c>
      <c r="G9" s="177">
        <v>205060.24</v>
      </c>
      <c r="H9" s="177">
        <v>72774.58</v>
      </c>
      <c r="I9" s="178">
        <v>2.8177454270433437</v>
      </c>
      <c r="J9" s="179">
        <f t="shared" si="1"/>
      </c>
    </row>
    <row r="10">
      <c r="A10" s="174" t="s">
        <v>323</v>
      </c>
      <c r="B10" t="s">
        <v>315</v>
      </c>
      <c r="D10" s="177">
        <v>22</v>
      </c>
      <c r="E10" s="177">
        <v>77</v>
      </c>
      <c r="F10" s="177">
        <v>95</v>
      </c>
      <c r="G10" s="177">
        <v>227627.97</v>
      </c>
      <c r="H10" s="177">
        <v>67698.68000000001</v>
      </c>
      <c r="I10" s="178">
        <v>3.3623693992261</v>
      </c>
      <c r="J10" s="179">
        <f t="shared" si="1"/>
      </c>
    </row>
    <row r="11">
      <c r="A11" s="174" t="s">
        <v>324</v>
      </c>
      <c r="B11" t="s">
        <v>315</v>
      </c>
      <c r="D11" s="176">
        <v>22</v>
      </c>
      <c r="E11" s="176">
        <v>77</v>
      </c>
      <c r="F11" s="176">
        <v>91</v>
      </c>
      <c r="G11" s="177">
        <v>226356.26</v>
      </c>
      <c r="H11" s="177">
        <v>79090.93000000001</v>
      </c>
      <c r="I11" s="178">
        <v>2.8619749445353593</v>
      </c>
      <c r="J11" s="179">
        <f t="shared" si="1"/>
      </c>
    </row>
    <row r="12">
      <c r="A12" s="174" t="s">
        <v>325</v>
      </c>
      <c r="B12" t="s">
        <v>315</v>
      </c>
      <c r="D12" s="177">
        <v>22</v>
      </c>
      <c r="E12" s="177">
        <v>76</v>
      </c>
      <c r="F12" s="177">
        <v>90</v>
      </c>
      <c r="G12" s="177">
        <v>221210.83</v>
      </c>
      <c r="H12" s="177">
        <v>69749.12</v>
      </c>
      <c r="I12" s="178">
        <v>3.1715214471523083</v>
      </c>
      <c r="J12" s="179">
        <f t="shared" si="1"/>
      </c>
    </row>
    <row r="13">
      <c r="A13" s="174" t="s">
        <v>326</v>
      </c>
      <c r="B13" t="s">
        <v>315</v>
      </c>
      <c r="D13" s="177">
        <v>22</v>
      </c>
      <c r="E13" s="177">
        <v>68</v>
      </c>
      <c r="F13" s="177">
        <v>86</v>
      </c>
      <c r="G13" s="177">
        <v>209251.44</v>
      </c>
      <c r="H13" s="177">
        <v>69116.67</v>
      </c>
      <c r="I13" s="178">
        <v>3.027510439956092</v>
      </c>
      <c r="J13" s="179">
        <f t="shared" si="1"/>
      </c>
    </row>
    <row r="14">
      <c r="A14" s="174" t="s">
        <v>327</v>
      </c>
      <c r="B14" t="s">
        <v>315</v>
      </c>
      <c r="D14" s="177">
        <v>22</v>
      </c>
      <c r="E14" s="177">
        <v>69</v>
      </c>
      <c r="F14" s="177">
        <v>87</v>
      </c>
      <c r="G14" s="177">
        <v>189447.12</v>
      </c>
      <c r="H14" s="177">
        <v>76645.86</v>
      </c>
      <c r="I14" s="178">
        <v>2.4717201946719625</v>
      </c>
      <c r="J14" s="179">
        <f t="shared" si="1"/>
      </c>
    </row>
    <row r="15">
      <c r="A15" s="174" t="s">
        <v>328</v>
      </c>
      <c r="B15" t="s">
        <v>315</v>
      </c>
      <c r="D15" s="177"/>
      <c r="E15" s="177"/>
      <c r="F15" s="177"/>
      <c r="G15" s="177"/>
      <c r="H15" s="177"/>
      <c r="I15" s="178"/>
      <c r="J15" s="179">
        <f t="shared" si="1"/>
      </c>
    </row>
    <row r="16">
      <c r="A16" s="174" t="s">
        <v>329</v>
      </c>
      <c r="B16" t="s">
        <v>315</v>
      </c>
      <c r="D16" s="177"/>
      <c r="E16" s="177"/>
      <c r="F16" s="177"/>
      <c r="G16" s="177"/>
      <c r="H16" s="177"/>
      <c r="I16" s="178"/>
      <c r="J16" s="179">
        <f t="shared" si="1"/>
      </c>
    </row>
    <row r="17">
      <c r="A17" s="174" t="s">
        <v>330</v>
      </c>
      <c r="B17" t="s">
        <v>315</v>
      </c>
      <c r="D17" s="177"/>
      <c r="E17" s="177"/>
      <c r="F17" s="177"/>
      <c r="G17" s="177"/>
      <c r="H17" s="177"/>
      <c r="I17" s="178"/>
      <c r="J17" s="179">
        <f t="shared" si="1"/>
      </c>
    </row>
    <row r="18">
      <c r="A18" s="174" t="s">
        <v>331</v>
      </c>
      <c r="B18" t="s">
        <v>315</v>
      </c>
      <c r="D18" s="177"/>
      <c r="E18" s="177"/>
      <c r="F18" s="177"/>
      <c r="G18" s="177"/>
      <c r="H18" s="177"/>
      <c r="I18" s="178"/>
      <c r="J18" s="179">
        <f t="shared" si="1"/>
      </c>
    </row>
    <row r="19">
      <c r="A19" s="174" t="s">
        <v>332</v>
      </c>
      <c r="B19" t="s">
        <v>315</v>
      </c>
      <c r="D19" s="177"/>
      <c r="E19" s="177"/>
      <c r="F19" s="177"/>
      <c r="G19" s="177"/>
      <c r="H19" s="177"/>
      <c r="I19" s="178"/>
      <c r="J19" s="179">
        <f t="shared" si="1"/>
      </c>
    </row>
    <row r="20">
      <c r="A20" s="174" t="s">
        <v>333</v>
      </c>
      <c r="B20" t="s">
        <v>315</v>
      </c>
      <c r="D20" s="177"/>
      <c r="E20" s="177"/>
      <c r="F20" s="177"/>
      <c r="G20" s="177"/>
      <c r="H20" s="177"/>
      <c r="I20" s="178"/>
      <c r="J20" s="179">
        <f t="shared" si="1"/>
      </c>
    </row>
    <row r="21">
      <c r="A21" s="174" t="s">
        <v>334</v>
      </c>
      <c r="B21" t="s">
        <v>315</v>
      </c>
      <c r="D21" s="177"/>
      <c r="E21" s="177"/>
      <c r="F21" s="177"/>
      <c r="G21" s="177"/>
      <c r="H21" s="177"/>
      <c r="I21" s="178"/>
      <c r="J21" s="179">
        <f t="shared" si="1"/>
      </c>
    </row>
    <row r="22">
      <c r="A22" s="174" t="s">
        <v>335</v>
      </c>
      <c r="B22" t="s">
        <v>315</v>
      </c>
      <c r="D22" s="177"/>
      <c r="E22" s="177"/>
      <c r="F22" s="177"/>
      <c r="G22" s="177"/>
      <c r="H22" s="177"/>
      <c r="I22" s="178"/>
      <c r="J22" s="179">
        <f t="shared" si="1"/>
      </c>
    </row>
    <row r="23">
      <c r="A23" s="174" t="s">
        <v>336</v>
      </c>
      <c r="B23" t="s">
        <v>315</v>
      </c>
      <c r="D23" s="177"/>
      <c r="E23" s="177"/>
      <c r="F23" s="177"/>
      <c r="G23" s="177"/>
      <c r="H23" s="177"/>
      <c r="I23" s="178"/>
      <c r="J23" s="179">
        <f t="shared" si="1"/>
      </c>
    </row>
    <row r="24">
      <c r="A24" s="174" t="s">
        <v>337</v>
      </c>
      <c r="B24" t="s">
        <v>315</v>
      </c>
      <c r="D24" s="177"/>
      <c r="E24" s="177"/>
      <c r="F24" s="177"/>
      <c r="G24" s="177"/>
      <c r="H24" s="177"/>
      <c r="I24" s="178"/>
      <c r="J24" s="179">
        <f t="shared" si="1"/>
      </c>
    </row>
    <row r="25">
      <c r="A25" s="174" t="s">
        <v>338</v>
      </c>
      <c r="B25" t="s">
        <v>315</v>
      </c>
      <c r="D25" s="177"/>
      <c r="E25" s="177"/>
      <c r="F25" s="177"/>
      <c r="G25" s="177"/>
      <c r="H25" s="177"/>
      <c r="I25" s="178"/>
      <c r="J25" s="179">
        <f t="shared" si="1"/>
      </c>
    </row>
    <row r="26">
      <c r="A26" s="174" t="s">
        <v>339</v>
      </c>
      <c r="B26" t="s">
        <v>315</v>
      </c>
      <c r="D26" s="177"/>
      <c r="E26" s="177"/>
      <c r="F26" s="176"/>
      <c r="G26" s="176"/>
      <c r="H26" s="176"/>
      <c r="I26" s="178"/>
      <c r="J26" s="179">
        <f t="shared" si="1"/>
      </c>
    </row>
    <row r="27">
      <c r="A27" s="174" t="s">
        <v>340</v>
      </c>
      <c r="B27" s="174" t="s">
        <v>315</v>
      </c>
      <c r="D27" s="176"/>
      <c r="E27" s="185"/>
      <c r="F27" s="176"/>
      <c r="G27" s="176"/>
      <c r="H27" s="176"/>
      <c r="I27" s="178"/>
      <c r="J27" s="179">
        <f t="shared" si="1"/>
      </c>
    </row>
    <row r="28">
      <c r="A28" s="174" t="s">
        <v>341</v>
      </c>
      <c r="B28" t="s">
        <v>315</v>
      </c>
      <c r="D28" s="177"/>
      <c r="E28" s="177"/>
      <c r="F28" s="176"/>
      <c r="G28" s="177"/>
      <c r="H28" s="177"/>
      <c r="I28" s="178"/>
      <c r="J28" s="179">
        <f t="shared" si="1"/>
      </c>
    </row>
    <row r="29">
      <c r="A29" s="174" t="s">
        <v>342</v>
      </c>
      <c r="B29" s="174" t="s">
        <v>315</v>
      </c>
      <c r="D29" s="176"/>
      <c r="E29" s="176"/>
      <c r="F29" s="176"/>
      <c r="G29" s="177"/>
      <c r="H29" s="177"/>
      <c r="I29" s="178"/>
      <c r="J29" s="179">
        <f t="shared" si="1"/>
      </c>
    </row>
    <row r="30">
      <c r="A30" s="174" t="s">
        <v>343</v>
      </c>
      <c r="B30" t="s">
        <v>315</v>
      </c>
      <c r="D30" s="177"/>
      <c r="E30" s="177"/>
      <c r="F30" s="177"/>
      <c r="G30" s="177"/>
      <c r="H30" s="177"/>
      <c r="I30" s="178"/>
      <c r="J30" s="179">
        <f t="shared" si="1"/>
      </c>
    </row>
    <row r="31">
      <c r="A31" s="174" t="s">
        <v>344</v>
      </c>
      <c r="B31" t="s">
        <v>315</v>
      </c>
      <c r="D31" s="177"/>
      <c r="E31" s="177"/>
      <c r="F31" s="177"/>
      <c r="G31" s="177"/>
      <c r="H31" s="177"/>
      <c r="I31" s="178"/>
      <c r="J31" s="179">
        <f t="shared" si="1"/>
      </c>
    </row>
    <row r="32">
      <c r="A32" s="174" t="s">
        <v>345</v>
      </c>
      <c r="B32" t="s">
        <v>315</v>
      </c>
      <c r="D32" s="177"/>
      <c r="E32" s="177"/>
      <c r="F32" s="177"/>
      <c r="G32" s="177"/>
      <c r="H32" s="177"/>
      <c r="I32" s="178"/>
      <c r="J32" s="179">
        <f t="shared" si="1"/>
      </c>
    </row>
    <row r="33">
      <c r="A33" s="174" t="s">
        <v>346</v>
      </c>
      <c r="B33" t="s">
        <v>315</v>
      </c>
      <c r="C33" s="175"/>
      <c r="D33" s="182"/>
      <c r="E33" s="182"/>
      <c r="F33" s="182"/>
      <c r="G33" s="182"/>
      <c r="H33" s="182"/>
      <c r="I33" s="186"/>
      <c r="J33" s="179">
        <f t="shared" si="1"/>
      </c>
      <c r="K33" s="175"/>
      <c r="L33" s="175"/>
      <c r="M33" s="175"/>
      <c r="N33" s="175"/>
      <c r="O33" s="175"/>
      <c r="P33" s="175"/>
      <c r="Q33" s="175"/>
      <c r="R33" s="175"/>
      <c r="S33" s="175"/>
      <c r="T33" s="175"/>
    </row>
    <row r="34">
      <c r="A34" s="174" t="s">
        <v>347</v>
      </c>
      <c r="B34" s="187" t="s">
        <v>315</v>
      </c>
      <c r="D34" s="176"/>
      <c r="E34" s="177"/>
      <c r="F34" s="177"/>
      <c r="G34" s="177"/>
      <c r="H34" s="177"/>
      <c r="I34" s="178"/>
      <c r="J34" s="179">
        <f t="shared" si="1"/>
      </c>
    </row>
    <row r="35">
      <c r="A35" s="174" t="s">
        <v>348</v>
      </c>
      <c r="B35" t="s">
        <v>315</v>
      </c>
      <c r="D35" s="177"/>
      <c r="E35" s="177"/>
      <c r="F35" s="177"/>
      <c r="G35" s="177"/>
      <c r="H35" s="177"/>
      <c r="I35" s="178"/>
      <c r="J35" s="179">
        <f t="shared" si="1"/>
      </c>
    </row>
    <row r="36">
      <c r="A36" s="174" t="s">
        <v>349</v>
      </c>
      <c r="B36" t="s">
        <v>315</v>
      </c>
      <c r="D36" s="177"/>
      <c r="E36" s="177"/>
      <c r="F36" s="177"/>
      <c r="G36" s="177"/>
      <c r="H36" s="177"/>
      <c r="I36" s="178"/>
      <c r="J36" s="179">
        <f t="shared" si="1"/>
      </c>
    </row>
    <row r="37">
      <c r="A37" s="174" t="s">
        <v>350</v>
      </c>
      <c r="B37" t="s">
        <v>315</v>
      </c>
      <c r="D37" s="177"/>
      <c r="E37" s="177"/>
      <c r="F37" s="177"/>
      <c r="G37" s="177"/>
      <c r="H37" s="177"/>
      <c r="I37" s="178"/>
      <c r="J37" s="179">
        <f t="shared" si="1"/>
      </c>
    </row>
    <row r="38">
      <c r="A38" s="174" t="s">
        <v>351</v>
      </c>
      <c r="B38" t="s">
        <v>315</v>
      </c>
      <c r="D38" s="177"/>
      <c r="E38" s="177"/>
      <c r="F38" s="177"/>
      <c r="G38" s="177"/>
      <c r="H38" s="177"/>
      <c r="I38" s="185"/>
      <c r="J38" s="179">
        <f t="shared" si="1"/>
      </c>
    </row>
    <row r="39">
      <c r="A39" s="174" t="s">
        <v>352</v>
      </c>
      <c r="B39" t="s">
        <v>315</v>
      </c>
      <c r="D39" s="176"/>
      <c r="E39" s="176"/>
      <c r="F39" s="176"/>
      <c r="G39" s="177"/>
      <c r="H39" s="177"/>
      <c r="I39" s="178"/>
      <c r="J39" s="179">
        <f t="shared" si="1"/>
      </c>
    </row>
    <row r="40">
      <c r="A40" s="174" t="s">
        <v>353</v>
      </c>
      <c r="B40" t="s">
        <v>315</v>
      </c>
      <c r="D40" s="177"/>
      <c r="E40" s="177"/>
      <c r="F40" s="177"/>
      <c r="G40" s="177"/>
      <c r="H40" s="177"/>
      <c r="I40" s="178"/>
      <c r="J40" s="179">
        <f t="shared" si="1"/>
      </c>
    </row>
    <row r="41">
      <c r="A41" s="174" t="s">
        <v>354</v>
      </c>
      <c r="B41" s="174" t="s">
        <v>315</v>
      </c>
      <c r="D41" s="176"/>
      <c r="E41" s="176"/>
      <c r="F41" s="177"/>
      <c r="G41" s="177"/>
      <c r="H41" s="177"/>
      <c r="I41" s="178"/>
      <c r="J41" s="179">
        <f t="shared" si="1"/>
      </c>
    </row>
    <row r="42">
      <c r="A42" s="174" t="s">
        <v>355</v>
      </c>
      <c r="B42" s="174" t="s">
        <v>315</v>
      </c>
      <c r="D42" s="176"/>
      <c r="E42" s="177"/>
      <c r="F42" s="177"/>
      <c r="G42" s="177"/>
      <c r="H42" s="177"/>
      <c r="I42" s="178"/>
      <c r="J42" s="179">
        <f t="shared" si="1"/>
      </c>
    </row>
    <row r="43">
      <c r="A43" s="174" t="s">
        <v>356</v>
      </c>
      <c r="B43" s="174" t="s">
        <v>315</v>
      </c>
      <c r="D43" s="176"/>
      <c r="E43" s="177"/>
      <c r="F43" s="177"/>
      <c r="G43" s="177"/>
      <c r="H43" s="177"/>
      <c r="I43" s="178"/>
      <c r="J43" s="179">
        <f t="shared" si="1"/>
      </c>
    </row>
    <row r="44">
      <c r="A44" s="174" t="s">
        <v>357</v>
      </c>
      <c r="B44" s="174" t="s">
        <v>315</v>
      </c>
      <c r="D44" s="176"/>
      <c r="E44" s="177"/>
      <c r="F44" s="177"/>
      <c r="G44" s="177"/>
      <c r="H44" s="177"/>
      <c r="I44" s="178"/>
      <c r="J44" s="179">
        <f t="shared" si="1"/>
      </c>
    </row>
    <row r="45">
      <c r="A45" s="174" t="s">
        <v>358</v>
      </c>
      <c r="B45" s="174" t="s">
        <v>315</v>
      </c>
      <c r="D45" s="176"/>
      <c r="E45" s="176"/>
      <c r="F45" s="176"/>
      <c r="G45" s="177"/>
      <c r="H45" s="177"/>
      <c r="I45" s="178"/>
      <c r="J45" s="179">
        <f t="shared" si="1"/>
      </c>
    </row>
    <row r="46">
      <c r="A46" s="174" t="s">
        <v>359</v>
      </c>
      <c r="B46" s="174" t="s">
        <v>315</v>
      </c>
      <c r="D46" s="176"/>
      <c r="E46" s="177"/>
      <c r="F46" s="177"/>
      <c r="G46" s="177"/>
      <c r="H46" s="177"/>
      <c r="I46" s="178"/>
      <c r="J46" s="179">
        <f t="shared" si="1"/>
      </c>
    </row>
    <row r="47">
      <c r="A47" s="174" t="s">
        <v>360</v>
      </c>
      <c r="B47" s="174" t="s">
        <v>315</v>
      </c>
      <c r="D47" s="176"/>
      <c r="E47" s="177"/>
      <c r="F47" s="177"/>
      <c r="G47" s="177"/>
      <c r="H47" s="177"/>
      <c r="I47" s="178"/>
      <c r="J47" s="179">
        <f t="shared" si="1"/>
      </c>
    </row>
    <row r="48">
      <c r="A48" s="174" t="s">
        <v>361</v>
      </c>
      <c r="B48" s="174" t="s">
        <v>315</v>
      </c>
      <c r="D48" s="176"/>
      <c r="E48" s="177"/>
      <c r="F48" s="177"/>
      <c r="G48" s="177"/>
      <c r="H48" s="177"/>
      <c r="I48" s="178"/>
      <c r="J48" s="179">
        <f t="shared" si="1"/>
      </c>
    </row>
    <row r="49">
      <c r="A49" s="174" t="s">
        <v>362</v>
      </c>
      <c r="B49" s="174" t="s">
        <v>315</v>
      </c>
      <c r="D49" s="176"/>
      <c r="E49" s="177"/>
      <c r="F49" s="177"/>
      <c r="G49" s="177"/>
      <c r="H49" s="177"/>
      <c r="I49" s="178"/>
      <c r="J49" s="179">
        <f t="shared" si="1"/>
      </c>
    </row>
    <row r="50">
      <c r="A50" s="174" t="s">
        <v>363</v>
      </c>
      <c r="B50" s="174" t="s">
        <v>315</v>
      </c>
      <c r="D50" s="176"/>
      <c r="E50" s="177"/>
      <c r="F50" s="177"/>
      <c r="G50" s="177"/>
      <c r="H50" s="177"/>
      <c r="I50" s="178"/>
      <c r="J50" s="179">
        <f t="shared" si="1"/>
      </c>
    </row>
    <row r="51">
      <c r="A51" s="174" t="s">
        <v>364</v>
      </c>
      <c r="B51" s="174" t="s">
        <v>315</v>
      </c>
      <c r="D51" s="176"/>
      <c r="E51" s="177"/>
      <c r="F51" s="177"/>
      <c r="G51" s="177"/>
      <c r="H51" s="177"/>
      <c r="I51" s="178"/>
      <c r="J51" s="179">
        <f t="shared" si="1"/>
      </c>
    </row>
    <row r="52">
      <c r="A52" s="174" t="s">
        <v>365</v>
      </c>
      <c r="B52" s="174" t="s">
        <v>315</v>
      </c>
      <c r="D52" s="176"/>
      <c r="E52" s="177"/>
      <c r="F52" s="177"/>
      <c r="G52" s="177"/>
      <c r="H52" s="177"/>
      <c r="I52" s="178"/>
      <c r="J52" s="179">
        <f t="shared" si="1"/>
      </c>
    </row>
    <row r="53">
      <c r="A53" s="174" t="s">
        <v>366</v>
      </c>
      <c r="B53" s="174" t="s">
        <v>315</v>
      </c>
      <c r="D53" s="177"/>
      <c r="E53" s="177"/>
      <c r="F53" s="177"/>
      <c r="G53" s="177"/>
      <c r="H53" s="177"/>
      <c r="I53" s="178"/>
      <c r="J53" s="179">
        <f t="shared" si="1"/>
      </c>
    </row>
    <row r="54">
      <c r="A54" s="174" t="s">
        <v>367</v>
      </c>
      <c r="B54" s="174" t="s">
        <v>315</v>
      </c>
      <c r="D54" s="177"/>
      <c r="E54" s="176"/>
      <c r="F54" s="177"/>
      <c r="G54" s="177"/>
      <c r="H54" s="177"/>
      <c r="I54" s="178"/>
      <c r="J54" s="179">
        <f t="shared" si="1"/>
      </c>
    </row>
    <row r="55">
      <c r="A55" s="174" t="s">
        <v>368</v>
      </c>
      <c r="B55" s="174" t="s">
        <v>315</v>
      </c>
      <c r="D55" s="177"/>
      <c r="E55" s="177"/>
      <c r="F55" s="176"/>
      <c r="G55" s="177"/>
      <c r="H55" s="177"/>
      <c r="I55" s="178"/>
      <c r="J55" s="179">
        <f t="shared" si="1"/>
      </c>
    </row>
    <row r="56">
      <c r="A56" s="174" t="s">
        <v>369</v>
      </c>
      <c r="B56" s="174" t="s">
        <v>315</v>
      </c>
      <c r="D56" s="177"/>
      <c r="E56" s="177"/>
      <c r="F56" s="176"/>
      <c r="G56" s="177"/>
      <c r="H56" s="177"/>
      <c r="I56" s="178"/>
      <c r="J56" s="179">
        <f t="shared" si="1"/>
      </c>
    </row>
    <row r="57">
      <c r="A57" s="174" t="s">
        <v>370</v>
      </c>
      <c r="B57" s="174" t="s">
        <v>315</v>
      </c>
      <c r="D57" s="177"/>
      <c r="E57" s="177"/>
      <c r="F57" s="176"/>
      <c r="G57" s="177"/>
      <c r="H57" s="177"/>
      <c r="I57" s="178"/>
      <c r="J57" s="179">
        <f t="shared" si="1"/>
      </c>
    </row>
    <row r="58">
      <c r="A58" s="174" t="s">
        <v>371</v>
      </c>
      <c r="B58" s="174" t="s">
        <v>315</v>
      </c>
      <c r="D58" s="177"/>
      <c r="E58" s="177"/>
      <c r="F58" s="176"/>
      <c r="G58" s="177"/>
      <c r="H58" s="177"/>
      <c r="I58" s="178"/>
      <c r="J58" s="179">
        <f t="shared" si="1"/>
      </c>
      <c r="M58" s="188"/>
      <c r="N58" s="189"/>
    </row>
    <row r="59">
      <c r="A59" s="174" t="s">
        <v>372</v>
      </c>
      <c r="B59" s="174" t="s">
        <v>315</v>
      </c>
      <c r="D59" s="177"/>
      <c r="E59" s="177"/>
      <c r="F59" s="176"/>
      <c r="G59" s="177"/>
      <c r="H59" s="177"/>
      <c r="I59" s="178"/>
      <c r="J59" s="179">
        <f t="shared" si="1"/>
      </c>
    </row>
    <row r="60">
      <c r="A60" s="174" t="s">
        <v>373</v>
      </c>
      <c r="B60" s="174" t="s">
        <v>315</v>
      </c>
      <c r="D60" s="177"/>
      <c r="E60" s="177"/>
      <c r="F60" s="177"/>
      <c r="G60" s="177"/>
      <c r="H60" s="177"/>
      <c r="I60" s="178"/>
      <c r="J60" s="179">
        <f t="shared" si="1"/>
      </c>
    </row>
    <row r="61">
      <c r="A61" s="174" t="s">
        <v>374</v>
      </c>
      <c r="B61" s="174" t="s">
        <v>315</v>
      </c>
      <c r="D61" s="177"/>
      <c r="E61" s="177"/>
      <c r="F61" s="177"/>
      <c r="G61" s="177"/>
      <c r="H61" s="177"/>
      <c r="I61" s="178"/>
      <c r="J61" s="179">
        <f t="shared" si="1"/>
      </c>
    </row>
    <row r="62">
      <c r="A62" s="174" t="s">
        <v>375</v>
      </c>
      <c r="B62" s="174" t="s">
        <v>315</v>
      </c>
      <c r="D62" s="177"/>
      <c r="E62" s="177"/>
      <c r="F62" s="177"/>
      <c r="G62" s="177"/>
      <c r="H62" s="177"/>
      <c r="I62" s="178"/>
      <c r="J62" s="179">
        <f t="shared" si="1"/>
      </c>
    </row>
    <row r="63">
      <c r="A63" s="174" t="s">
        <v>376</v>
      </c>
      <c r="B63" s="174" t="s">
        <v>315</v>
      </c>
      <c r="D63" s="177"/>
      <c r="E63" s="177"/>
      <c r="F63" s="176"/>
      <c r="G63" s="177"/>
      <c r="H63" s="177"/>
      <c r="I63" s="178"/>
      <c r="J63" s="179">
        <f t="shared" si="1"/>
      </c>
    </row>
    <row r="64">
      <c r="A64" s="174"/>
      <c r="B64" s="174"/>
      <c r="D64" s="177"/>
      <c r="E64" s="177"/>
      <c r="F64" s="176"/>
      <c r="G64" s="177"/>
      <c r="H64" s="177"/>
      <c r="I64" s="178"/>
      <c r="J64" s="179"/>
    </row>
    <row r="65">
      <c r="A65" s="174"/>
      <c r="B65" s="174"/>
      <c r="F65" s="174"/>
      <c r="I65" s="190"/>
      <c r="J65" s="189"/>
    </row>
    <row r="66">
      <c r="D66" s="174">
        <f>SUM(D2:D6)</f>
      </c>
      <c r="F66" s="174" t="s">
        <v>377</v>
      </c>
      <c r="G66" s="174">
        <f>SUM(G2:G6)</f>
      </c>
      <c r="H66" s="174">
        <f>SUM(H2:H6)</f>
      </c>
      <c r="I66" s="188">
        <f t="shared" ref="I66:I68" si="2">G66/H66</f>
      </c>
      <c r="J66" s="189">
        <f t="shared" ref="J66:J68" si="0">G66/(H66+D66*500)</f>
      </c>
    </row>
    <row r="67">
      <c r="D67">
        <f>SUM(D2:D7)</f>
      </c>
      <c r="F67" s="174" t="s">
        <v>378</v>
      </c>
      <c r="G67">
        <f>SUM(G8:G37)</f>
      </c>
      <c r="H67">
        <f>SUM(H8:H37)</f>
      </c>
      <c r="I67" s="188">
        <f t="shared" si="2"/>
      </c>
      <c r="J67" s="189">
        <f t="shared" si="0"/>
      </c>
    </row>
    <row r="68">
      <c r="D68">
        <f>SUM(D2:D63)</f>
      </c>
      <c r="F68" s="174" t="s">
        <v>379</v>
      </c>
      <c r="G68">
        <f>SUM(G2:G63)</f>
      </c>
      <c r="H68">
        <f>SUM(H2:H63)</f>
      </c>
      <c r="I68" s="188">
        <f t="shared" si="2"/>
      </c>
      <c r="J68" s="189">
        <f t="shared" si="0"/>
      </c>
    </row>
    <row r="69">
      <c r="F69" s="174"/>
      <c r="I69" s="188"/>
      <c r="J69" s="189"/>
    </row>
    <row r="70">
      <c r="D70" s="174">
        <v>4</v>
      </c>
      <c r="F70" s="174"/>
      <c r="G70" s="174">
        <v>17899.26</v>
      </c>
      <c r="H70">
        <v>4682.46</v>
      </c>
      <c r="I70" s="188"/>
      <c r="J70" s="189"/>
    </row>
    <row r="71">
      <c r="D71">
        <f>D68-D70</f>
      </c>
      <c r="F71" s="174"/>
      <c r="G71">
        <f>G68-G70</f>
      </c>
      <c r="H71">
        <f>H68-H70</f>
      </c>
      <c r="I71" s="188">
        <f>G71/H71</f>
      </c>
      <c r="J71" s="189">
        <f>G71/(H71+D71*500)</f>
      </c>
    </row>
    <row r="72">
      <c r="D72" s="174"/>
      <c r="F72" s="174"/>
      <c r="I72" s="188"/>
      <c r="J72" s="189"/>
    </row>
    <row r="73">
      <c r="F73" s="174"/>
      <c r="I73" s="188"/>
      <c r="J73" s="189"/>
    </row>
    <row r="74">
      <c r="F74" s="174"/>
      <c r="I74" s="188"/>
      <c r="J74" s="189"/>
    </row>
    <row r="75">
      <c r="F75" s="174"/>
      <c r="I75" s="188"/>
      <c r="J75" s="189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0" min="10" style="0" width="11.211267605633802"/>
  </cols>
  <sheetData>
    <row r="1">
      <c r="A1" s="191" t="s">
        <v>380</v>
      </c>
      <c r="B1" s="192" t="s">
        <v>381</v>
      </c>
      <c r="C1" s="192" t="s">
        <v>382</v>
      </c>
      <c r="D1" s="192" t="s">
        <v>383</v>
      </c>
      <c r="E1" s="191" t="s">
        <v>384</v>
      </c>
      <c r="F1" s="192" t="s">
        <v>385</v>
      </c>
      <c r="G1" s="192" t="s">
        <v>386</v>
      </c>
      <c r="H1" s="192" t="s">
        <v>387</v>
      </c>
      <c r="I1" s="193" t="s">
        <v>388</v>
      </c>
      <c r="J1" s="194"/>
    </row>
    <row r="2">
      <c r="A2" t="s">
        <v>389</v>
      </c>
      <c r="B2" t="s">
        <v>390</v>
      </c>
      <c r="D2">
        <v>6</v>
      </c>
      <c r="E2">
        <v>10</v>
      </c>
      <c r="F2">
        <v>11</v>
      </c>
      <c r="G2">
        <v>21788.92</v>
      </c>
      <c r="H2">
        <v>8621.02</v>
      </c>
      <c r="I2" s="195">
        <v>2.5274178693472464</v>
      </c>
      <c r="J2" s="194"/>
    </row>
    <row r="3">
      <c r="A3" t="s">
        <v>391</v>
      </c>
      <c r="B3" t="s">
        <v>390</v>
      </c>
      <c r="D3">
        <v>6</v>
      </c>
      <c r="E3">
        <v>7</v>
      </c>
      <c r="F3">
        <v>7</v>
      </c>
      <c r="G3">
        <v>16454.07</v>
      </c>
      <c r="H3">
        <v>10339.220000000001</v>
      </c>
      <c r="I3" s="195">
        <v>1.5914227572292685</v>
      </c>
      <c r="J3" s="194"/>
    </row>
    <row r="4">
      <c r="A4" t="s">
        <v>392</v>
      </c>
      <c r="B4" t="s">
        <v>390</v>
      </c>
      <c r="D4">
        <v>9</v>
      </c>
      <c r="E4">
        <v>25</v>
      </c>
      <c r="F4">
        <v>26</v>
      </c>
      <c r="G4">
        <v>54588.18000000001</v>
      </c>
      <c r="H4">
        <v>16777.789999999997</v>
      </c>
      <c r="I4" s="195">
        <v>3.2535977622797767</v>
      </c>
      <c r="J4" s="194"/>
    </row>
    <row r="5">
      <c r="A5" t="s">
        <v>393</v>
      </c>
      <c r="B5" t="s">
        <v>390</v>
      </c>
      <c r="D5">
        <v>8</v>
      </c>
      <c r="E5">
        <v>18</v>
      </c>
      <c r="F5">
        <v>23</v>
      </c>
      <c r="G5">
        <v>44984.71000000001</v>
      </c>
      <c r="H5">
        <v>14398.79</v>
      </c>
      <c r="I5" s="195">
        <v>3.1242007140877814</v>
      </c>
      <c r="J5" s="194"/>
    </row>
    <row r="6">
      <c r="A6" t="s">
        <v>394</v>
      </c>
      <c r="B6" t="s">
        <v>390</v>
      </c>
      <c r="D6">
        <v>6</v>
      </c>
      <c r="E6">
        <v>6</v>
      </c>
      <c r="F6">
        <v>9</v>
      </c>
      <c r="G6">
        <v>16516.59</v>
      </c>
      <c r="H6">
        <v>9957.33</v>
      </c>
      <c r="I6" s="195">
        <v>1.6587368300538397</v>
      </c>
      <c r="J6" s="194"/>
    </row>
    <row r="7">
      <c r="A7" t="s">
        <v>395</v>
      </c>
      <c r="B7" t="s">
        <v>390</v>
      </c>
      <c r="D7">
        <v>7</v>
      </c>
      <c r="E7">
        <v>11</v>
      </c>
      <c r="F7">
        <v>12</v>
      </c>
      <c r="G7">
        <v>24906.98</v>
      </c>
      <c r="H7">
        <v>10725.939999999999</v>
      </c>
      <c r="I7" s="195">
        <v>2.3221256132329664</v>
      </c>
      <c r="J7" s="194"/>
    </row>
    <row r="8">
      <c r="A8" t="s">
        <v>396</v>
      </c>
      <c r="B8" t="s">
        <v>390</v>
      </c>
      <c r="D8">
        <v>7</v>
      </c>
      <c r="E8">
        <v>12</v>
      </c>
      <c r="F8">
        <v>12</v>
      </c>
      <c r="G8">
        <v>30579.22</v>
      </c>
      <c r="H8">
        <v>11396.21</v>
      </c>
      <c r="I8" s="195">
        <v>2.683279792141423</v>
      </c>
      <c r="J8" s="194"/>
    </row>
    <row r="9">
      <c r="A9" t="s">
        <v>397</v>
      </c>
      <c r="B9" t="s">
        <v>390</v>
      </c>
      <c r="D9">
        <v>6</v>
      </c>
      <c r="E9">
        <v>8</v>
      </c>
      <c r="F9">
        <v>13</v>
      </c>
      <c r="G9">
        <v>25192.35</v>
      </c>
      <c r="H9">
        <v>10138.24</v>
      </c>
      <c r="I9" s="195">
        <v>2.4848839640805505</v>
      </c>
      <c r="J9" s="194"/>
    </row>
    <row r="10">
      <c r="A10" t="s">
        <v>398</v>
      </c>
      <c r="B10" t="s">
        <v>390</v>
      </c>
      <c r="D10">
        <v>8</v>
      </c>
      <c r="E10">
        <v>9</v>
      </c>
      <c r="F10">
        <v>12</v>
      </c>
      <c r="G10">
        <v>24477.18</v>
      </c>
      <c r="H10">
        <v>10701.240000000002</v>
      </c>
      <c r="I10" s="195">
        <v>2.2873218430761293</v>
      </c>
      <c r="J10" s="194"/>
    </row>
    <row r="11">
      <c r="A11" t="s">
        <v>399</v>
      </c>
      <c r="B11" t="s">
        <v>390</v>
      </c>
      <c r="D11">
        <v>8</v>
      </c>
      <c r="E11">
        <v>18</v>
      </c>
      <c r="F11">
        <v>21</v>
      </c>
      <c r="G11">
        <v>39103.86</v>
      </c>
      <c r="H11">
        <v>14999.369999999999</v>
      </c>
      <c r="I11" s="195">
        <v>2.6070334954068075</v>
      </c>
      <c r="J11" s="194"/>
    </row>
    <row r="12">
      <c r="A12" t="s">
        <v>400</v>
      </c>
      <c r="B12" t="s">
        <v>390</v>
      </c>
      <c r="D12">
        <v>8</v>
      </c>
      <c r="E12">
        <v>9</v>
      </c>
      <c r="F12">
        <v>12</v>
      </c>
      <c r="G12">
        <v>20435.370000000003</v>
      </c>
      <c r="H12">
        <v>10842.119999999999</v>
      </c>
      <c r="I12" s="195">
        <v>1.8848131177297434</v>
      </c>
      <c r="J12" s="194"/>
    </row>
    <row r="13">
      <c r="A13" t="s">
        <v>401</v>
      </c>
      <c r="B13" t="s">
        <v>390</v>
      </c>
      <c r="D13">
        <v>8</v>
      </c>
      <c r="E13">
        <v>16</v>
      </c>
      <c r="F13">
        <v>18</v>
      </c>
      <c r="G13">
        <v>39239.229999999996</v>
      </c>
      <c r="H13">
        <v>11969.66</v>
      </c>
      <c r="I13" s="195">
        <v>3.278224277047134</v>
      </c>
      <c r="J13" s="194"/>
    </row>
    <row r="14">
      <c r="A14" t="s">
        <v>402</v>
      </c>
      <c r="B14" t="s">
        <v>390</v>
      </c>
      <c r="D14">
        <v>8</v>
      </c>
      <c r="E14">
        <v>14</v>
      </c>
      <c r="F14">
        <v>17</v>
      </c>
      <c r="G14">
        <v>35551.28</v>
      </c>
      <c r="H14">
        <v>12266.07</v>
      </c>
      <c r="I14" s="195">
        <v>2.898343153104458</v>
      </c>
      <c r="J14" s="194"/>
    </row>
    <row r="15">
      <c r="A15" t="s">
        <v>403</v>
      </c>
      <c r="B15" t="s">
        <v>390</v>
      </c>
      <c r="D15">
        <v>9</v>
      </c>
      <c r="E15">
        <v>32</v>
      </c>
      <c r="F15">
        <v>37</v>
      </c>
      <c r="G15">
        <v>75558.47</v>
      </c>
      <c r="H15">
        <v>16783.18</v>
      </c>
      <c r="I15" s="195">
        <v>4.502035371127522</v>
      </c>
      <c r="J15" s="194"/>
    </row>
    <row r="16">
      <c r="A16" t="s">
        <v>404</v>
      </c>
      <c r="B16" t="s">
        <v>390</v>
      </c>
      <c r="D16">
        <v>8</v>
      </c>
      <c r="E16">
        <v>15</v>
      </c>
      <c r="F16">
        <v>17</v>
      </c>
      <c r="G16">
        <v>36650.46</v>
      </c>
      <c r="H16">
        <v>14040.61</v>
      </c>
      <c r="I16" s="195">
        <v>2.610318212670247</v>
      </c>
      <c r="J16" s="194"/>
    </row>
    <row r="17">
      <c r="A17" t="s">
        <v>405</v>
      </c>
      <c r="B17" t="s">
        <v>390</v>
      </c>
      <c r="D17">
        <v>8</v>
      </c>
      <c r="E17">
        <v>15</v>
      </c>
      <c r="F17">
        <v>19</v>
      </c>
      <c r="G17">
        <v>36443.6</v>
      </c>
      <c r="H17">
        <v>14360.140000000001</v>
      </c>
      <c r="I17" s="195">
        <v>2.537830411124125</v>
      </c>
      <c r="J17" s="194"/>
    </row>
    <row r="18">
      <c r="A18" t="s">
        <v>406</v>
      </c>
      <c r="B18" t="s">
        <v>390</v>
      </c>
      <c r="D18">
        <v>8</v>
      </c>
      <c r="E18">
        <v>24</v>
      </c>
      <c r="F18">
        <v>27</v>
      </c>
      <c r="G18">
        <v>52098.630000000005</v>
      </c>
      <c r="H18">
        <v>16737.85</v>
      </c>
      <c r="I18" s="195">
        <v>3.1126237838193083</v>
      </c>
      <c r="J18" s="194"/>
    </row>
    <row r="19">
      <c r="A19" t="s">
        <v>407</v>
      </c>
      <c r="B19" t="s">
        <v>390</v>
      </c>
      <c r="D19">
        <v>7</v>
      </c>
      <c r="E19">
        <v>8</v>
      </c>
      <c r="F19">
        <v>10</v>
      </c>
      <c r="G19">
        <v>19926.6</v>
      </c>
      <c r="H19">
        <v>12991.67</v>
      </c>
      <c r="I19" s="195">
        <v>1.5337981953051454</v>
      </c>
      <c r="J19" s="194"/>
    </row>
    <row r="20">
      <c r="A20" t="s">
        <v>408</v>
      </c>
      <c r="B20" t="s">
        <v>390</v>
      </c>
      <c r="D20">
        <v>9</v>
      </c>
      <c r="E20">
        <v>25</v>
      </c>
      <c r="F20">
        <v>28</v>
      </c>
      <c r="G20">
        <v>58375.979999999996</v>
      </c>
      <c r="H20">
        <v>17173.03</v>
      </c>
      <c r="I20" s="195">
        <v>3.39928247956243</v>
      </c>
      <c r="J20" s="194"/>
    </row>
    <row r="21">
      <c r="A21" t="s">
        <v>409</v>
      </c>
      <c r="B21" t="s">
        <v>390</v>
      </c>
      <c r="D21">
        <v>8</v>
      </c>
      <c r="E21">
        <v>21</v>
      </c>
      <c r="F21">
        <v>28</v>
      </c>
      <c r="G21">
        <v>57213.619999999995</v>
      </c>
      <c r="H21">
        <v>16397.300000000003</v>
      </c>
      <c r="I21" s="195">
        <v>3.489209808931957</v>
      </c>
      <c r="J21" s="194"/>
    </row>
    <row r="22">
      <c r="A22" t="s">
        <v>410</v>
      </c>
      <c r="B22" t="s">
        <v>390</v>
      </c>
      <c r="D22">
        <v>8</v>
      </c>
      <c r="E22">
        <v>17</v>
      </c>
      <c r="F22">
        <v>19</v>
      </c>
      <c r="G22">
        <v>36006.87</v>
      </c>
      <c r="H22">
        <v>13590.77</v>
      </c>
      <c r="I22" s="195">
        <v>2.6493620302602428</v>
      </c>
      <c r="J22" s="194"/>
    </row>
    <row r="23">
      <c r="A23" t="s">
        <v>411</v>
      </c>
      <c r="B23" t="s">
        <v>390</v>
      </c>
      <c r="D23">
        <v>7</v>
      </c>
      <c r="E23">
        <v>12</v>
      </c>
      <c r="F23">
        <v>13</v>
      </c>
      <c r="G23">
        <v>22891.13</v>
      </c>
      <c r="H23">
        <v>14325.8</v>
      </c>
      <c r="I23" s="195">
        <v>1.597895405492189</v>
      </c>
      <c r="J23" s="194"/>
    </row>
    <row r="24">
      <c r="A24" t="s">
        <v>412</v>
      </c>
      <c r="B24" t="s">
        <v>390</v>
      </c>
      <c r="D24">
        <v>8</v>
      </c>
      <c r="E24">
        <v>22</v>
      </c>
      <c r="F24">
        <v>26</v>
      </c>
      <c r="G24">
        <v>46715.93</v>
      </c>
      <c r="H24">
        <v>14213.45</v>
      </c>
      <c r="I24" s="195">
        <v>3.2867410797519248</v>
      </c>
      <c r="J24" s="194"/>
    </row>
    <row r="25">
      <c r="A25" t="s">
        <v>413</v>
      </c>
      <c r="B25" t="s">
        <v>390</v>
      </c>
      <c r="D25">
        <v>7</v>
      </c>
      <c r="E25">
        <v>18</v>
      </c>
      <c r="F25">
        <v>21</v>
      </c>
      <c r="G25">
        <v>47553.520000000004</v>
      </c>
      <c r="H25">
        <v>15500</v>
      </c>
      <c r="I25" s="195">
        <v>3.067969032258065</v>
      </c>
      <c r="J25" s="194"/>
    </row>
    <row r="26">
      <c r="A26" t="s">
        <v>414</v>
      </c>
      <c r="B26" t="s">
        <v>390</v>
      </c>
      <c r="D26">
        <v>7</v>
      </c>
      <c r="E26">
        <v>10</v>
      </c>
      <c r="F26">
        <v>14</v>
      </c>
      <c r="G26">
        <v>21272.22</v>
      </c>
      <c r="H26">
        <v>13443.39</v>
      </c>
      <c r="I26" s="195">
        <v>1.5823553434066855</v>
      </c>
      <c r="J26" s="194"/>
    </row>
    <row r="27">
      <c r="A27" t="s">
        <v>415</v>
      </c>
      <c r="B27" t="s">
        <v>390</v>
      </c>
      <c r="D27">
        <v>4</v>
      </c>
      <c r="E27">
        <v>6</v>
      </c>
      <c r="F27">
        <v>6</v>
      </c>
      <c r="G27">
        <v>13106.75</v>
      </c>
      <c r="H27">
        <v>4821.13</v>
      </c>
      <c r="I27" s="195">
        <v>2.71860538919299</v>
      </c>
      <c r="J27" s="194"/>
    </row>
    <row r="28">
      <c r="A28" t="s">
        <v>416</v>
      </c>
      <c r="B28" t="s">
        <v>390</v>
      </c>
      <c r="D28">
        <v>8</v>
      </c>
      <c r="E28">
        <v>17</v>
      </c>
      <c r="F28">
        <v>22</v>
      </c>
      <c r="G28">
        <v>46649.869999999995</v>
      </c>
      <c r="H28">
        <v>16558.21</v>
      </c>
      <c r="I28" s="195">
        <v>2.8173256650326333</v>
      </c>
      <c r="J28" s="194"/>
    </row>
    <row r="29">
      <c r="A29" t="s">
        <v>417</v>
      </c>
      <c r="B29" t="s">
        <v>390</v>
      </c>
      <c r="D29">
        <v>8</v>
      </c>
      <c r="E29">
        <v>18</v>
      </c>
      <c r="F29">
        <v>20</v>
      </c>
      <c r="G29">
        <v>40758.15</v>
      </c>
      <c r="H29">
        <v>16643.35</v>
      </c>
      <c r="I29" s="195">
        <v>2.44891503212995</v>
      </c>
      <c r="J29" s="194"/>
    </row>
    <row r="30">
      <c r="A30" t="s">
        <v>418</v>
      </c>
      <c r="B30" t="s">
        <v>390</v>
      </c>
      <c r="D30">
        <v>8</v>
      </c>
      <c r="E30">
        <v>12</v>
      </c>
      <c r="F30">
        <v>15</v>
      </c>
      <c r="G30">
        <v>29011.93</v>
      </c>
      <c r="H30">
        <v>17094.58</v>
      </c>
      <c r="I30" s="195">
        <v>1.6971420181133434</v>
      </c>
      <c r="J30" s="194"/>
    </row>
    <row r="31">
      <c r="A31" s="196" t="s">
        <v>419</v>
      </c>
      <c r="B31" s="196" t="s">
        <v>390</v>
      </c>
      <c r="C31" s="196"/>
      <c r="D31" s="196">
        <v>8</v>
      </c>
      <c r="E31" s="196">
        <v>25</v>
      </c>
      <c r="F31" s="196">
        <v>30</v>
      </c>
      <c r="G31" s="196">
        <v>61698.14</v>
      </c>
      <c r="H31" s="196">
        <v>17624.32</v>
      </c>
      <c r="I31" s="197">
        <v>3.5007387519064563</v>
      </c>
      <c r="J31" s="198"/>
      <c r="K31" s="196"/>
      <c r="L31" s="196"/>
      <c r="M31" s="196"/>
      <c r="N31" s="196"/>
      <c r="O31" s="196"/>
      <c r="P31" s="196"/>
      <c r="Q31" s="196"/>
      <c r="R31" s="196"/>
      <c r="S31" s="196"/>
      <c r="T31" s="196"/>
    </row>
    <row r="32">
      <c r="A32" t="s">
        <v>420</v>
      </c>
      <c r="B32" t="s">
        <v>390</v>
      </c>
      <c r="D32">
        <v>8</v>
      </c>
      <c r="E32">
        <v>17</v>
      </c>
      <c r="F32">
        <v>24</v>
      </c>
      <c r="G32">
        <v>49803.979999999996</v>
      </c>
      <c r="H32">
        <v>15839.619999999999</v>
      </c>
      <c r="I32" s="195">
        <v>3.1442660871914856</v>
      </c>
      <c r="J32" s="194"/>
    </row>
    <row r="33">
      <c r="A33" t="s">
        <v>421</v>
      </c>
      <c r="B33" t="s">
        <v>390</v>
      </c>
      <c r="D33">
        <v>8</v>
      </c>
      <c r="E33">
        <v>18</v>
      </c>
      <c r="F33">
        <v>23</v>
      </c>
      <c r="G33">
        <v>44313.62</v>
      </c>
      <c r="H33">
        <v>14616.57</v>
      </c>
      <c r="I33" s="195">
        <v>3.031738636355862</v>
      </c>
      <c r="J33" s="194"/>
    </row>
    <row r="34">
      <c r="A34" t="s">
        <v>422</v>
      </c>
      <c r="B34" t="s">
        <v>390</v>
      </c>
      <c r="D34">
        <v>8</v>
      </c>
      <c r="E34">
        <v>16</v>
      </c>
      <c r="F34">
        <v>21</v>
      </c>
      <c r="G34">
        <v>40574.47</v>
      </c>
      <c r="H34">
        <v>15824.739999999998</v>
      </c>
      <c r="I34" s="195">
        <v>2.5639896769236024</v>
      </c>
      <c r="J34" s="194"/>
    </row>
    <row r="35">
      <c r="A35" t="s">
        <v>423</v>
      </c>
      <c r="B35" t="s">
        <v>390</v>
      </c>
      <c r="D35">
        <v>8</v>
      </c>
      <c r="E35">
        <v>14</v>
      </c>
      <c r="F35">
        <v>19</v>
      </c>
      <c r="G35">
        <v>39948.28</v>
      </c>
      <c r="H35">
        <v>15175.98</v>
      </c>
      <c r="I35" s="195">
        <v>2.6323360995467837</v>
      </c>
      <c r="J35" s="194"/>
    </row>
    <row r="36">
      <c r="A36" t="s">
        <v>424</v>
      </c>
      <c r="B36" t="s">
        <v>390</v>
      </c>
      <c r="D36">
        <v>8</v>
      </c>
      <c r="E36">
        <v>26</v>
      </c>
      <c r="F36">
        <v>29</v>
      </c>
      <c r="G36">
        <v>57121.97</v>
      </c>
      <c r="H36">
        <v>16433.03</v>
      </c>
      <c r="I36" s="195">
        <v>3.4760461095732196</v>
      </c>
      <c r="J36" s="194"/>
    </row>
    <row r="37">
      <c r="A37" t="s">
        <v>425</v>
      </c>
      <c r="B37" t="s">
        <v>390</v>
      </c>
      <c r="D37">
        <v>8</v>
      </c>
      <c r="E37">
        <v>10</v>
      </c>
      <c r="F37">
        <v>12</v>
      </c>
      <c r="G37">
        <v>23202.72</v>
      </c>
      <c r="H37">
        <v>14386.990000000002</v>
      </c>
      <c r="I37" s="195">
        <v>1.6127570812240781</v>
      </c>
      <c r="J37" s="194"/>
    </row>
    <row r="38">
      <c r="A38" t="s">
        <v>426</v>
      </c>
      <c r="B38" t="s">
        <v>390</v>
      </c>
      <c r="D38">
        <v>8</v>
      </c>
      <c r="E38">
        <v>20</v>
      </c>
      <c r="F38">
        <v>25</v>
      </c>
      <c r="G38">
        <v>44756.79</v>
      </c>
      <c r="H38">
        <v>15627.400000000001</v>
      </c>
      <c r="I38" s="195">
        <v>2.863994650421695</v>
      </c>
      <c r="J38" s="194"/>
    </row>
    <row r="39">
      <c r="A39" t="s">
        <v>427</v>
      </c>
      <c r="B39" t="s">
        <v>390</v>
      </c>
      <c r="D39">
        <v>8</v>
      </c>
      <c r="E39">
        <v>14</v>
      </c>
      <c r="F39">
        <v>19</v>
      </c>
      <c r="G39">
        <v>36737.05</v>
      </c>
      <c r="H39">
        <v>16091.45</v>
      </c>
      <c r="I39" s="195">
        <v>2.2830167573462927</v>
      </c>
      <c r="J39" s="194"/>
    </row>
    <row r="40">
      <c r="A40" t="s">
        <v>428</v>
      </c>
      <c r="B40" t="s">
        <v>390</v>
      </c>
      <c r="D40">
        <v>8</v>
      </c>
      <c r="E40">
        <v>13</v>
      </c>
      <c r="F40">
        <v>14</v>
      </c>
      <c r="G40">
        <v>29946.93</v>
      </c>
      <c r="H40">
        <v>15359.919999999998</v>
      </c>
      <c r="I40" s="195">
        <v>1.9496800764587319</v>
      </c>
      <c r="J40" s="194"/>
    </row>
    <row r="41">
      <c r="A41" t="s">
        <v>429</v>
      </c>
      <c r="B41" t="s">
        <v>390</v>
      </c>
      <c r="D41">
        <v>8</v>
      </c>
      <c r="E41">
        <v>15</v>
      </c>
      <c r="F41">
        <v>18</v>
      </c>
      <c r="G41">
        <v>37465.45</v>
      </c>
      <c r="H41">
        <v>15425.179999999998</v>
      </c>
      <c r="I41" s="195">
        <v>2.428850100938855</v>
      </c>
      <c r="J41" s="194"/>
    </row>
    <row r="42">
      <c r="A42" t="s">
        <v>430</v>
      </c>
      <c r="B42" t="s">
        <v>390</v>
      </c>
      <c r="D42">
        <v>8</v>
      </c>
      <c r="E42">
        <v>12</v>
      </c>
      <c r="F42">
        <v>16</v>
      </c>
      <c r="G42">
        <v>32934.119999999995</v>
      </c>
      <c r="H42">
        <v>15397.61</v>
      </c>
      <c r="I42" s="195">
        <v>2.138911168681373</v>
      </c>
      <c r="J42" s="194"/>
    </row>
    <row r="43">
      <c r="A43" t="s">
        <v>431</v>
      </c>
      <c r="B43" t="s">
        <v>390</v>
      </c>
      <c r="D43">
        <v>8</v>
      </c>
      <c r="E43">
        <v>24</v>
      </c>
      <c r="F43">
        <v>34</v>
      </c>
      <c r="G43">
        <v>73379.46</v>
      </c>
      <c r="H43">
        <v>15667.6</v>
      </c>
      <c r="I43" s="195">
        <v>4.683516301156527</v>
      </c>
      <c r="J43" s="194"/>
    </row>
    <row r="44">
      <c r="A44" t="s">
        <v>432</v>
      </c>
      <c r="B44" t="s">
        <v>390</v>
      </c>
      <c r="D44">
        <v>8</v>
      </c>
      <c r="E44">
        <v>14</v>
      </c>
      <c r="F44">
        <v>17</v>
      </c>
      <c r="G44">
        <v>37976.47</v>
      </c>
      <c r="H44">
        <v>14284.509999999998</v>
      </c>
      <c r="I44" s="195">
        <v>2.6585770180426214</v>
      </c>
      <c r="J44" s="194"/>
    </row>
    <row r="45">
      <c r="A45" t="s">
        <v>433</v>
      </c>
      <c r="B45" t="s">
        <v>390</v>
      </c>
      <c r="D45">
        <v>9</v>
      </c>
      <c r="E45">
        <v>14</v>
      </c>
      <c r="F45">
        <v>18</v>
      </c>
      <c r="G45">
        <v>37412.78</v>
      </c>
      <c r="H45">
        <v>14485.150000000001</v>
      </c>
      <c r="I45" s="195">
        <v>2.5828369053824085</v>
      </c>
      <c r="J45" s="194"/>
    </row>
    <row r="46">
      <c r="A46" t="s">
        <v>434</v>
      </c>
      <c r="B46" t="s">
        <v>390</v>
      </c>
      <c r="D46">
        <v>11</v>
      </c>
      <c r="E46">
        <v>15</v>
      </c>
      <c r="F46">
        <v>23</v>
      </c>
      <c r="G46">
        <v>45161.59</v>
      </c>
      <c r="H46">
        <v>18128.94</v>
      </c>
      <c r="I46" s="195">
        <v>2.4911324103891346</v>
      </c>
      <c r="J46" s="194"/>
    </row>
    <row r="47">
      <c r="A47" t="s">
        <v>435</v>
      </c>
      <c r="B47" t="s">
        <v>390</v>
      </c>
      <c r="D47">
        <v>11</v>
      </c>
      <c r="E47">
        <v>21</v>
      </c>
      <c r="F47">
        <v>22</v>
      </c>
      <c r="G47">
        <v>44987.27</v>
      </c>
      <c r="H47">
        <v>20472.190000000002</v>
      </c>
      <c r="I47" s="195">
        <v>2.1974820475972523</v>
      </c>
      <c r="J47" s="194"/>
    </row>
    <row r="48">
      <c r="A48" t="s">
        <v>436</v>
      </c>
      <c r="B48" t="s">
        <v>390</v>
      </c>
      <c r="D48">
        <v>11</v>
      </c>
      <c r="E48">
        <v>22</v>
      </c>
      <c r="F48">
        <v>26</v>
      </c>
      <c r="G48">
        <v>53267.69</v>
      </c>
      <c r="H48">
        <v>19297.31</v>
      </c>
      <c r="I48" s="195">
        <v>2.760368673146672</v>
      </c>
      <c r="J48" s="194"/>
    </row>
    <row r="49">
      <c r="A49" t="s">
        <v>437</v>
      </c>
      <c r="B49" t="s">
        <v>390</v>
      </c>
      <c r="D49">
        <v>11</v>
      </c>
      <c r="E49">
        <v>33</v>
      </c>
      <c r="F49">
        <v>38</v>
      </c>
      <c r="G49">
        <v>72396.91</v>
      </c>
      <c r="H49">
        <v>24215.45</v>
      </c>
      <c r="I49" s="195">
        <v>2.989699138360014</v>
      </c>
      <c r="J49" s="194"/>
    </row>
    <row r="50">
      <c r="A50" t="s">
        <v>438</v>
      </c>
      <c r="B50" t="s">
        <v>390</v>
      </c>
      <c r="D50">
        <v>10</v>
      </c>
      <c r="E50">
        <v>24</v>
      </c>
      <c r="F50">
        <v>36</v>
      </c>
      <c r="G50">
        <v>76866.04000000001</v>
      </c>
      <c r="H50">
        <v>22453.54</v>
      </c>
      <c r="I50" s="195">
        <v>3.423337255506259</v>
      </c>
      <c r="J50" s="194"/>
    </row>
    <row r="51">
      <c r="A51" t="s">
        <v>439</v>
      </c>
      <c r="B51" t="s">
        <v>390</v>
      </c>
      <c r="D51">
        <v>11</v>
      </c>
      <c r="E51">
        <v>25</v>
      </c>
      <c r="F51">
        <v>31</v>
      </c>
      <c r="G51">
        <v>62680.81</v>
      </c>
      <c r="H51">
        <v>22935.51</v>
      </c>
      <c r="I51" s="195">
        <v>2.7329154660175425</v>
      </c>
      <c r="J51" s="194"/>
    </row>
    <row r="52">
      <c r="A52" t="s">
        <v>440</v>
      </c>
      <c r="B52" t="s">
        <v>390</v>
      </c>
      <c r="D52">
        <v>11</v>
      </c>
      <c r="E52">
        <v>36</v>
      </c>
      <c r="F52">
        <v>41</v>
      </c>
      <c r="G52">
        <v>78522.25</v>
      </c>
      <c r="H52">
        <v>27377.96</v>
      </c>
      <c r="I52" s="195">
        <v>2.8680825744503973</v>
      </c>
      <c r="J52" s="194"/>
    </row>
    <row r="53">
      <c r="A53" t="s">
        <v>441</v>
      </c>
      <c r="B53" t="s">
        <v>390</v>
      </c>
      <c r="D53">
        <v>13</v>
      </c>
      <c r="E53">
        <v>29</v>
      </c>
      <c r="F53">
        <v>34</v>
      </c>
      <c r="G53">
        <v>67591.07</v>
      </c>
      <c r="H53">
        <v>27117.879999999997</v>
      </c>
      <c r="I53" s="195">
        <v>2.492490932182015</v>
      </c>
      <c r="J53" s="194"/>
    </row>
    <row r="54">
      <c r="A54" t="s">
        <v>442</v>
      </c>
      <c r="B54" t="s">
        <v>390</v>
      </c>
      <c r="D54">
        <v>8</v>
      </c>
      <c r="E54">
        <v>16</v>
      </c>
      <c r="F54">
        <v>21</v>
      </c>
      <c r="G54">
        <v>41683.13</v>
      </c>
      <c r="H54">
        <v>16646.61</v>
      </c>
      <c r="I54" s="195">
        <v>2.5040011149417207</v>
      </c>
      <c r="J54" s="194"/>
    </row>
    <row r="55">
      <c r="A55" t="s">
        <v>443</v>
      </c>
      <c r="B55" t="s">
        <v>390</v>
      </c>
      <c r="D55">
        <v>8</v>
      </c>
      <c r="E55">
        <v>23</v>
      </c>
      <c r="F55">
        <v>27</v>
      </c>
      <c r="G55">
        <v>51916.83</v>
      </c>
      <c r="H55">
        <v>16289.6</v>
      </c>
      <c r="I55" s="195">
        <v>3.187115091837737</v>
      </c>
      <c r="J55" s="194"/>
    </row>
    <row r="56">
      <c r="A56" t="s">
        <v>444</v>
      </c>
      <c r="B56" t="s">
        <v>390</v>
      </c>
      <c r="D56">
        <v>8</v>
      </c>
      <c r="E56">
        <v>15</v>
      </c>
      <c r="F56">
        <v>17</v>
      </c>
      <c r="G56">
        <v>31220.73</v>
      </c>
      <c r="H56">
        <v>17138.010000000002</v>
      </c>
      <c r="I56" s="195">
        <v>1.821724342557858</v>
      </c>
      <c r="J56" s="194"/>
    </row>
    <row r="57">
      <c r="A57" t="s">
        <v>445</v>
      </c>
      <c r="B57" t="s">
        <v>390</v>
      </c>
      <c r="D57">
        <v>8</v>
      </c>
      <c r="E57">
        <v>24</v>
      </c>
      <c r="F57">
        <v>26</v>
      </c>
      <c r="G57">
        <v>51133.43</v>
      </c>
      <c r="H57">
        <v>17312.68</v>
      </c>
      <c r="I57" s="195">
        <v>2.95352481533766</v>
      </c>
      <c r="J57" s="194"/>
    </row>
    <row r="58">
      <c r="A58" t="s">
        <v>446</v>
      </c>
      <c r="B58" t="s">
        <v>390</v>
      </c>
      <c r="D58">
        <v>9</v>
      </c>
      <c r="E58">
        <v>19</v>
      </c>
      <c r="F58">
        <v>21</v>
      </c>
      <c r="G58">
        <v>41268.81</v>
      </c>
      <c r="H58">
        <v>17660.659999999996</v>
      </c>
      <c r="I58" s="195">
        <v>2.3367648774168126</v>
      </c>
      <c r="J58" s="194"/>
    </row>
    <row r="59">
      <c r="A59" s="196" t="s">
        <v>447</v>
      </c>
      <c r="B59" s="196" t="s">
        <v>390</v>
      </c>
      <c r="C59" s="196"/>
      <c r="D59" s="196">
        <v>13</v>
      </c>
      <c r="E59" s="196">
        <v>21</v>
      </c>
      <c r="F59" s="196">
        <v>26</v>
      </c>
      <c r="G59" s="196">
        <v>51227.49</v>
      </c>
      <c r="H59" s="196">
        <v>23972.05</v>
      </c>
      <c r="I59" s="197">
        <v>2.1369674266489516</v>
      </c>
      <c r="J59" s="198"/>
      <c r="K59" s="196"/>
      <c r="L59" s="196"/>
      <c r="M59" s="196"/>
      <c r="N59" s="196"/>
      <c r="O59" s="196"/>
      <c r="P59" s="196"/>
      <c r="Q59" s="196"/>
      <c r="R59" s="196"/>
      <c r="S59" s="196"/>
      <c r="T59" s="196"/>
    </row>
    <row r="60">
      <c r="A60" t="s">
        <v>448</v>
      </c>
      <c r="B60" t="s">
        <v>390</v>
      </c>
      <c r="D60">
        <v>12</v>
      </c>
      <c r="E60">
        <v>9</v>
      </c>
      <c r="F60">
        <v>12</v>
      </c>
      <c r="G60">
        <v>23835.260000000002</v>
      </c>
      <c r="H60">
        <v>21664.66</v>
      </c>
      <c r="I60" s="195">
        <v>1.1001908176726523</v>
      </c>
      <c r="J60" s="194"/>
    </row>
    <row r="61">
      <c r="A61" t="s">
        <v>449</v>
      </c>
      <c r="B61" t="s">
        <v>390</v>
      </c>
      <c r="D61">
        <v>13</v>
      </c>
      <c r="E61">
        <v>30</v>
      </c>
      <c r="F61">
        <v>33</v>
      </c>
      <c r="G61">
        <v>61965.3</v>
      </c>
      <c r="H61">
        <v>26857.97</v>
      </c>
      <c r="I61" s="195">
        <v>2.3071475617851984</v>
      </c>
      <c r="J61" s="194"/>
    </row>
    <row r="62">
      <c r="A62" t="s">
        <v>450</v>
      </c>
      <c r="B62" t="s">
        <v>390</v>
      </c>
      <c r="D62">
        <v>8</v>
      </c>
      <c r="E62">
        <v>15</v>
      </c>
      <c r="F62">
        <v>19</v>
      </c>
      <c r="G62">
        <v>42322.799999999996</v>
      </c>
      <c r="H62">
        <v>17335.949999999997</v>
      </c>
      <c r="I62" s="195">
        <v>2.4413314528479835</v>
      </c>
      <c r="J62" s="194"/>
    </row>
    <row r="63">
      <c r="A63" t="s">
        <v>451</v>
      </c>
      <c r="B63" t="s">
        <v>390</v>
      </c>
      <c r="D63">
        <v>8</v>
      </c>
      <c r="E63">
        <v>14</v>
      </c>
      <c r="F63">
        <v>19</v>
      </c>
      <c r="G63">
        <v>36729.67</v>
      </c>
      <c r="H63">
        <v>14823.130000000001</v>
      </c>
      <c r="I63" s="195">
        <v>2.477861963026702</v>
      </c>
      <c r="J63" s="194"/>
    </row>
    <row r="64">
      <c r="A64" t="s">
        <v>452</v>
      </c>
      <c r="B64" t="s">
        <v>390</v>
      </c>
      <c r="D64">
        <v>13</v>
      </c>
      <c r="E64">
        <v>27</v>
      </c>
      <c r="F64">
        <v>29</v>
      </c>
      <c r="G64">
        <v>59008.28</v>
      </c>
      <c r="H64">
        <v>26122.72</v>
      </c>
      <c r="I64" s="195">
        <v>2.258887282794441</v>
      </c>
      <c r="J64" s="194"/>
    </row>
    <row r="65">
      <c r="A65" t="s">
        <v>453</v>
      </c>
      <c r="B65" t="s">
        <v>390</v>
      </c>
      <c r="D65">
        <v>13</v>
      </c>
      <c r="E65">
        <v>41</v>
      </c>
      <c r="F65">
        <v>50</v>
      </c>
      <c r="G65">
        <v>93061.23000000001</v>
      </c>
      <c r="H65">
        <v>31831.760000000002</v>
      </c>
      <c r="I65" s="195">
        <v>2.9235339170689905</v>
      </c>
      <c r="J65" s="194"/>
    </row>
    <row r="66">
      <c r="A66" t="s">
        <v>454</v>
      </c>
      <c r="B66" t="s">
        <v>390</v>
      </c>
      <c r="D66">
        <v>13</v>
      </c>
      <c r="E66">
        <v>29</v>
      </c>
      <c r="F66">
        <v>35</v>
      </c>
      <c r="G66">
        <v>67538.57</v>
      </c>
      <c r="H66">
        <v>25615.92</v>
      </c>
      <c r="I66" s="195">
        <v>2.6365857638531045</v>
      </c>
      <c r="J66" s="194"/>
    </row>
    <row r="67">
      <c r="A67" t="s">
        <v>455</v>
      </c>
      <c r="B67" t="s">
        <v>390</v>
      </c>
      <c r="D67">
        <v>13</v>
      </c>
      <c r="E67">
        <v>38</v>
      </c>
      <c r="F67">
        <v>47</v>
      </c>
      <c r="G67">
        <v>99198.62</v>
      </c>
      <c r="H67">
        <v>27992.39</v>
      </c>
      <c r="I67" s="195">
        <v>3.543771003476302</v>
      </c>
      <c r="J67" s="194"/>
    </row>
    <row r="68">
      <c r="A68" t="s">
        <v>456</v>
      </c>
      <c r="B68" t="s">
        <v>390</v>
      </c>
      <c r="D68">
        <v>13</v>
      </c>
      <c r="E68">
        <v>38</v>
      </c>
      <c r="F68">
        <v>47</v>
      </c>
      <c r="G68">
        <v>99630.57</v>
      </c>
      <c r="H68">
        <v>29794.67</v>
      </c>
      <c r="I68" s="195">
        <v>3.343905805971337</v>
      </c>
      <c r="J68" s="194"/>
    </row>
    <row r="69">
      <c r="A69" t="s">
        <v>457</v>
      </c>
      <c r="B69" t="s">
        <v>390</v>
      </c>
      <c r="D69">
        <v>13</v>
      </c>
      <c r="E69">
        <v>28</v>
      </c>
      <c r="F69">
        <v>36</v>
      </c>
      <c r="G69">
        <v>78660.76000000001</v>
      </c>
      <c r="H69">
        <v>26663.559999999998</v>
      </c>
      <c r="I69" s="195">
        <v>2.9501221892350467</v>
      </c>
      <c r="J69" s="194"/>
    </row>
    <row r="70">
      <c r="A70" t="s">
        <v>458</v>
      </c>
      <c r="B70" t="s">
        <v>390</v>
      </c>
      <c r="D70">
        <v>13</v>
      </c>
      <c r="E70">
        <v>31</v>
      </c>
      <c r="F70">
        <v>35</v>
      </c>
      <c r="G70">
        <v>80564.56</v>
      </c>
      <c r="H70">
        <v>27228.410000000003</v>
      </c>
      <c r="I70" s="195">
        <v>2.9588418861035217</v>
      </c>
      <c r="J70" s="194"/>
    </row>
    <row r="71">
      <c r="A71" t="s">
        <v>459</v>
      </c>
      <c r="B71" t="s">
        <v>390</v>
      </c>
      <c r="D71">
        <v>13</v>
      </c>
      <c r="E71">
        <v>38</v>
      </c>
      <c r="F71">
        <v>52</v>
      </c>
      <c r="G71">
        <v>112823.59</v>
      </c>
      <c r="H71">
        <v>33375.84</v>
      </c>
      <c r="I71" s="195">
        <v>3.380397017723</v>
      </c>
      <c r="J71" s="194"/>
    </row>
    <row r="72">
      <c r="A72" t="s">
        <v>460</v>
      </c>
      <c r="B72" t="s">
        <v>390</v>
      </c>
      <c r="D72">
        <v>13</v>
      </c>
      <c r="E72">
        <v>17</v>
      </c>
      <c r="F72">
        <v>22</v>
      </c>
      <c r="G72">
        <v>49979.17</v>
      </c>
      <c r="H72">
        <v>24631.67</v>
      </c>
      <c r="I72" s="195">
        <v>2.029061366931272</v>
      </c>
      <c r="J72" s="194"/>
    </row>
    <row r="73">
      <c r="A73" t="s">
        <v>461</v>
      </c>
      <c r="B73" t="s">
        <v>390</v>
      </c>
      <c r="D73">
        <v>13</v>
      </c>
      <c r="E73">
        <v>25</v>
      </c>
      <c r="F73">
        <v>35</v>
      </c>
      <c r="G73">
        <v>73911.52</v>
      </c>
      <c r="H73">
        <v>27011.25</v>
      </c>
      <c r="I73" s="195">
        <v>2.7363235688833356</v>
      </c>
      <c r="J73" s="194"/>
    </row>
    <row r="74">
      <c r="A74" t="s">
        <v>462</v>
      </c>
      <c r="B74" t="s">
        <v>390</v>
      </c>
      <c r="D74">
        <v>13</v>
      </c>
      <c r="E74">
        <v>23</v>
      </c>
      <c r="F74">
        <v>28</v>
      </c>
      <c r="G74">
        <v>58096.83</v>
      </c>
      <c r="H74">
        <v>23987.57</v>
      </c>
      <c r="I74" s="195">
        <v>2.4219556211821374</v>
      </c>
      <c r="J74" s="194"/>
    </row>
    <row r="75">
      <c r="A75" t="s">
        <v>463</v>
      </c>
      <c r="B75" t="s">
        <v>390</v>
      </c>
      <c r="D75">
        <v>15</v>
      </c>
      <c r="E75">
        <v>33</v>
      </c>
      <c r="F75">
        <v>36</v>
      </c>
      <c r="G75">
        <v>75569.89</v>
      </c>
      <c r="H75">
        <v>32024.11</v>
      </c>
      <c r="I75" s="195">
        <v>2.35978111491623</v>
      </c>
      <c r="J75" s="194"/>
    </row>
    <row r="76">
      <c r="A76" t="s">
        <v>464</v>
      </c>
      <c r="B76" t="s">
        <v>390</v>
      </c>
      <c r="D76">
        <v>15</v>
      </c>
      <c r="E76">
        <v>35</v>
      </c>
      <c r="F76">
        <v>43</v>
      </c>
      <c r="G76">
        <v>88857.67</v>
      </c>
      <c r="H76">
        <v>31244.620000000003</v>
      </c>
      <c r="I76" s="195">
        <v>2.843935051858528</v>
      </c>
      <c r="J76" s="194"/>
    </row>
    <row r="77">
      <c r="A77" t="s">
        <v>465</v>
      </c>
      <c r="B77" t="s">
        <v>390</v>
      </c>
      <c r="D77">
        <v>15</v>
      </c>
      <c r="E77">
        <v>54</v>
      </c>
      <c r="F77">
        <v>68</v>
      </c>
      <c r="G77">
        <v>135704.46000000002</v>
      </c>
      <c r="H77">
        <v>31601.909999999996</v>
      </c>
      <c r="I77" s="195">
        <v>4.294185383098681</v>
      </c>
      <c r="J77" s="194"/>
    </row>
    <row r="78">
      <c r="A78" t="s">
        <v>466</v>
      </c>
      <c r="B78" t="s">
        <v>390</v>
      </c>
      <c r="D78">
        <v>15</v>
      </c>
      <c r="E78">
        <v>33</v>
      </c>
      <c r="F78">
        <v>45</v>
      </c>
      <c r="G78">
        <v>93717.71</v>
      </c>
      <c r="H78">
        <v>30899.660000000003</v>
      </c>
      <c r="I78" s="195">
        <v>3.032968971179618</v>
      </c>
      <c r="J78" s="194"/>
    </row>
    <row r="79">
      <c r="A79" t="s">
        <v>467</v>
      </c>
      <c r="B79" t="s">
        <v>390</v>
      </c>
      <c r="D79">
        <v>15</v>
      </c>
      <c r="E79">
        <v>41</v>
      </c>
      <c r="F79">
        <v>47</v>
      </c>
      <c r="G79">
        <v>99093.87</v>
      </c>
      <c r="H79">
        <v>31290.36</v>
      </c>
      <c r="I79" s="195">
        <v>3.1669137076083493</v>
      </c>
      <c r="J79" s="194"/>
    </row>
    <row r="80">
      <c r="A80" t="s">
        <v>468</v>
      </c>
      <c r="B80" t="s">
        <v>390</v>
      </c>
      <c r="D80">
        <v>15</v>
      </c>
      <c r="E80">
        <v>37</v>
      </c>
      <c r="F80">
        <v>42</v>
      </c>
      <c r="G80">
        <v>88597.82</v>
      </c>
      <c r="H80">
        <v>32454.87</v>
      </c>
      <c r="I80" s="195">
        <v>2.7298775191519797</v>
      </c>
      <c r="J80" s="194"/>
    </row>
    <row r="81">
      <c r="A81" t="s">
        <v>469</v>
      </c>
      <c r="B81" t="s">
        <v>390</v>
      </c>
      <c r="D81">
        <v>15</v>
      </c>
      <c r="E81">
        <v>26</v>
      </c>
      <c r="F81">
        <v>34</v>
      </c>
      <c r="G81">
        <v>74199.98000000001</v>
      </c>
      <c r="H81">
        <v>32073.3</v>
      </c>
      <c r="I81" s="195">
        <v>2.3134501282998636</v>
      </c>
      <c r="J81" s="194"/>
    </row>
    <row r="82">
      <c r="A82" t="s">
        <v>470</v>
      </c>
      <c r="B82" t="s">
        <v>390</v>
      </c>
      <c r="D82">
        <v>15</v>
      </c>
      <c r="E82">
        <v>52</v>
      </c>
      <c r="F82">
        <v>51</v>
      </c>
      <c r="G82">
        <v>113837.08</v>
      </c>
      <c r="H82">
        <v>34404.380000000005</v>
      </c>
      <c r="I82" s="195">
        <v>3.3087961474672696</v>
      </c>
      <c r="J82" s="194"/>
    </row>
    <row r="83">
      <c r="A83" t="s">
        <v>471</v>
      </c>
      <c r="B83" t="s">
        <v>390</v>
      </c>
      <c r="D83">
        <v>15</v>
      </c>
      <c r="E83">
        <v>39</v>
      </c>
      <c r="F83">
        <v>49</v>
      </c>
      <c r="G83">
        <v>96661.14000000001</v>
      </c>
      <c r="H83">
        <v>35777.7</v>
      </c>
      <c r="I83" s="195">
        <v>2.7017147552805243</v>
      </c>
      <c r="J83" s="194"/>
    </row>
    <row r="84">
      <c r="A84" t="s">
        <v>472</v>
      </c>
      <c r="B84" t="s">
        <v>390</v>
      </c>
      <c r="D84">
        <v>15</v>
      </c>
      <c r="E84">
        <v>35</v>
      </c>
      <c r="F84">
        <v>40</v>
      </c>
      <c r="G84">
        <v>90898.62</v>
      </c>
      <c r="H84">
        <v>34836.14</v>
      </c>
      <c r="I84" s="195">
        <v>2.6093195170303023</v>
      </c>
      <c r="J84" s="194"/>
    </row>
    <row r="85">
      <c r="A85" t="s">
        <v>473</v>
      </c>
      <c r="B85" t="s">
        <v>390</v>
      </c>
      <c r="D85">
        <v>15</v>
      </c>
      <c r="E85">
        <v>43</v>
      </c>
      <c r="F85">
        <v>59</v>
      </c>
      <c r="G85">
        <v>122481.3</v>
      </c>
      <c r="H85">
        <v>36356.42</v>
      </c>
      <c r="I85" s="195">
        <v>3.368904309060133</v>
      </c>
      <c r="J85" s="194"/>
    </row>
    <row r="86">
      <c r="A86" t="s">
        <v>474</v>
      </c>
      <c r="B86" t="s">
        <v>390</v>
      </c>
      <c r="D86">
        <v>15</v>
      </c>
      <c r="E86">
        <v>35</v>
      </c>
      <c r="F86">
        <v>43</v>
      </c>
      <c r="G86">
        <v>89786.61</v>
      </c>
      <c r="H86">
        <v>33069.54</v>
      </c>
      <c r="I86" s="195">
        <v>2.715084939191776</v>
      </c>
      <c r="J86" s="194"/>
    </row>
    <row r="87">
      <c r="A87" t="s">
        <v>475</v>
      </c>
      <c r="B87" t="s">
        <v>390</v>
      </c>
      <c r="D87">
        <v>15</v>
      </c>
      <c r="E87">
        <v>38</v>
      </c>
      <c r="F87">
        <v>50</v>
      </c>
      <c r="G87">
        <v>110921.09000000001</v>
      </c>
      <c r="H87">
        <v>33409.43</v>
      </c>
      <c r="I87" s="195">
        <v>3.320053350206813</v>
      </c>
      <c r="J87" s="194"/>
    </row>
    <row r="88">
      <c r="A88" t="s">
        <v>476</v>
      </c>
      <c r="B88" t="s">
        <v>390</v>
      </c>
      <c r="D88">
        <v>15</v>
      </c>
      <c r="E88">
        <v>34</v>
      </c>
      <c r="F88">
        <v>47</v>
      </c>
      <c r="G88">
        <v>111024.20000000003</v>
      </c>
      <c r="H88">
        <v>35172.42</v>
      </c>
      <c r="I88" s="195">
        <v>3.156569835115128</v>
      </c>
      <c r="J88" s="194"/>
    </row>
    <row r="89">
      <c r="A89" t="s">
        <v>477</v>
      </c>
      <c r="B89" t="s">
        <v>390</v>
      </c>
      <c r="D89">
        <v>15</v>
      </c>
      <c r="E89">
        <v>44</v>
      </c>
      <c r="F89">
        <v>59</v>
      </c>
      <c r="G89">
        <v>114982.97</v>
      </c>
      <c r="H89">
        <v>40199.35</v>
      </c>
      <c r="I89" s="195">
        <v>2.860319134513369</v>
      </c>
      <c r="J89" s="194"/>
    </row>
    <row r="90">
      <c r="A90" s="196" t="s">
        <v>478</v>
      </c>
      <c r="B90" s="196" t="s">
        <v>390</v>
      </c>
      <c r="C90" s="196"/>
      <c r="D90" s="196">
        <v>18</v>
      </c>
      <c r="E90" s="196">
        <v>55</v>
      </c>
      <c r="F90" s="196">
        <v>64</v>
      </c>
      <c r="G90" s="196">
        <v>134098.66</v>
      </c>
      <c r="H90" s="196">
        <v>49894.49</v>
      </c>
      <c r="I90" s="197">
        <v>2.687644667777945</v>
      </c>
      <c r="J90" s="198"/>
      <c r="K90" s="196"/>
      <c r="L90" s="196"/>
      <c r="M90" s="196"/>
      <c r="N90" s="196"/>
      <c r="O90" s="196"/>
      <c r="P90" s="196"/>
      <c r="Q90" s="196"/>
      <c r="R90" s="196"/>
      <c r="S90" s="196"/>
      <c r="T90" s="196"/>
    </row>
    <row r="91">
      <c r="A91" t="s">
        <v>479</v>
      </c>
      <c r="B91" t="s">
        <v>390</v>
      </c>
      <c r="D91">
        <v>18</v>
      </c>
      <c r="E91">
        <v>54</v>
      </c>
      <c r="F91">
        <v>63</v>
      </c>
      <c r="G91">
        <v>130607.98999999999</v>
      </c>
      <c r="H91">
        <v>48032.72</v>
      </c>
      <c r="I91" s="195">
        <v>2.719146240312853</v>
      </c>
      <c r="J91" s="194"/>
    </row>
    <row r="92">
      <c r="A92" t="s">
        <v>480</v>
      </c>
      <c r="B92" t="s">
        <v>390</v>
      </c>
      <c r="D92">
        <v>20</v>
      </c>
      <c r="E92">
        <v>57</v>
      </c>
      <c r="F92">
        <v>65</v>
      </c>
      <c r="G92">
        <v>134331.91999999998</v>
      </c>
      <c r="H92">
        <v>52197.8</v>
      </c>
      <c r="I92" s="195">
        <v>2.5735168915165003</v>
      </c>
      <c r="J92" s="194"/>
    </row>
    <row r="93">
      <c r="A93" t="s">
        <v>481</v>
      </c>
      <c r="B93" t="s">
        <v>390</v>
      </c>
      <c r="D93">
        <v>20</v>
      </c>
      <c r="E93">
        <v>52</v>
      </c>
      <c r="F93">
        <v>65</v>
      </c>
      <c r="G93">
        <v>124061.05</v>
      </c>
      <c r="H93">
        <v>53568.899999999994</v>
      </c>
      <c r="I93" s="195">
        <v>2.315915577881943</v>
      </c>
      <c r="J93" s="194"/>
    </row>
    <row r="94">
      <c r="A94" t="s">
        <v>482</v>
      </c>
      <c r="B94" t="s">
        <v>390</v>
      </c>
      <c r="D94">
        <v>20</v>
      </c>
      <c r="E94">
        <v>70</v>
      </c>
      <c r="F94">
        <v>80</v>
      </c>
      <c r="G94">
        <v>161668.83999999997</v>
      </c>
      <c r="H94">
        <v>54604.12</v>
      </c>
      <c r="I94" s="195">
        <v>2.9607443540890315</v>
      </c>
      <c r="J94" s="194"/>
    </row>
    <row r="95">
      <c r="A95" t="s">
        <v>483</v>
      </c>
      <c r="B95" t="s">
        <v>390</v>
      </c>
      <c r="D95">
        <v>20</v>
      </c>
      <c r="E95">
        <v>52</v>
      </c>
      <c r="F95">
        <v>65</v>
      </c>
      <c r="G95">
        <v>140377.12</v>
      </c>
      <c r="H95">
        <v>56592.53999999999</v>
      </c>
      <c r="I95" s="195">
        <v>2.4804880643279135</v>
      </c>
      <c r="J95" s="194"/>
    </row>
    <row r="96">
      <c r="A96" t="s">
        <v>484</v>
      </c>
      <c r="B96" t="s">
        <v>390</v>
      </c>
      <c r="D96">
        <v>20</v>
      </c>
      <c r="E96">
        <v>74</v>
      </c>
      <c r="F96">
        <v>88</v>
      </c>
      <c r="G96">
        <v>178682.72</v>
      </c>
      <c r="H96">
        <v>66057.25</v>
      </c>
      <c r="I96" s="195">
        <v>2.7049675849357944</v>
      </c>
      <c r="J96" s="194"/>
    </row>
    <row r="97">
      <c r="A97" t="s">
        <v>485</v>
      </c>
      <c r="B97" t="s">
        <v>390</v>
      </c>
      <c r="D97">
        <v>20</v>
      </c>
      <c r="E97">
        <v>90</v>
      </c>
      <c r="F97">
        <v>106</v>
      </c>
      <c r="G97">
        <v>226340.69</v>
      </c>
      <c r="H97">
        <v>75503.62</v>
      </c>
      <c r="I97" s="195">
        <v>2.997746200778188</v>
      </c>
      <c r="J97" s="194"/>
    </row>
    <row r="98">
      <c r="A98" t="s">
        <v>486</v>
      </c>
      <c r="B98" t="s">
        <v>390</v>
      </c>
      <c r="D98">
        <v>20</v>
      </c>
      <c r="E98">
        <v>82</v>
      </c>
      <c r="F98">
        <v>96</v>
      </c>
      <c r="G98">
        <v>205396.57</v>
      </c>
      <c r="H98">
        <v>77540.33</v>
      </c>
      <c r="I98" s="195">
        <v>2.6488998692680314</v>
      </c>
      <c r="J98" s="194"/>
    </row>
    <row r="99">
      <c r="A99" t="s">
        <v>487</v>
      </c>
      <c r="B99" t="s">
        <v>390</v>
      </c>
      <c r="D99">
        <v>20</v>
      </c>
      <c r="E99">
        <v>84</v>
      </c>
      <c r="F99">
        <v>98</v>
      </c>
      <c r="G99">
        <v>192569.28000000003</v>
      </c>
      <c r="H99">
        <v>72116.13</v>
      </c>
      <c r="I99" s="195">
        <v>2.670266416126323</v>
      </c>
      <c r="J99" s="194"/>
    </row>
    <row r="100">
      <c r="A100" t="s">
        <v>488</v>
      </c>
      <c r="B100" t="s">
        <v>390</v>
      </c>
      <c r="D100">
        <v>20</v>
      </c>
      <c r="E100">
        <v>86</v>
      </c>
      <c r="F100">
        <v>99</v>
      </c>
      <c r="G100">
        <v>202913.43000000002</v>
      </c>
      <c r="H100">
        <v>77978.43000000001</v>
      </c>
      <c r="I100" s="195">
        <v>2.602173831917365</v>
      </c>
      <c r="J100" s="194"/>
    </row>
    <row r="101">
      <c r="A101" t="s">
        <v>489</v>
      </c>
      <c r="B101" t="s">
        <v>390</v>
      </c>
      <c r="D101">
        <v>20</v>
      </c>
      <c r="E101">
        <v>100</v>
      </c>
      <c r="F101">
        <v>111</v>
      </c>
      <c r="G101">
        <v>224071.55000000005</v>
      </c>
      <c r="H101">
        <v>78310.09</v>
      </c>
      <c r="I101" s="195">
        <v>2.861336897965512</v>
      </c>
      <c r="J101" s="194"/>
    </row>
    <row r="102">
      <c r="A102" t="s">
        <v>490</v>
      </c>
      <c r="B102" t="s">
        <v>390</v>
      </c>
      <c r="D102">
        <v>20</v>
      </c>
      <c r="E102">
        <v>73</v>
      </c>
      <c r="F102">
        <v>88</v>
      </c>
      <c r="G102">
        <v>178426.29</v>
      </c>
      <c r="H102">
        <v>77489.94</v>
      </c>
      <c r="I102" s="195">
        <v>2.3025735985858296</v>
      </c>
      <c r="J102" s="194"/>
    </row>
    <row r="103">
      <c r="A103" t="s">
        <v>491</v>
      </c>
      <c r="B103" t="s">
        <v>390</v>
      </c>
      <c r="D103">
        <v>20</v>
      </c>
      <c r="E103">
        <v>73</v>
      </c>
      <c r="F103">
        <v>84</v>
      </c>
      <c r="G103">
        <v>178063.59000000003</v>
      </c>
      <c r="H103">
        <v>66595.17</v>
      </c>
      <c r="I103" s="195">
        <v>2.6738213897494374</v>
      </c>
      <c r="J103" s="194"/>
    </row>
    <row r="104">
      <c r="A104" t="s">
        <v>492</v>
      </c>
      <c r="B104" t="s">
        <v>390</v>
      </c>
      <c r="D104">
        <v>20</v>
      </c>
      <c r="E104">
        <v>68</v>
      </c>
      <c r="F104">
        <v>89</v>
      </c>
      <c r="G104">
        <v>178008.87</v>
      </c>
      <c r="H104">
        <v>71859.98999999999</v>
      </c>
      <c r="I104" s="195">
        <v>2.4771624655110585</v>
      </c>
      <c r="J104" s="194"/>
    </row>
    <row r="105">
      <c r="A105" t="s">
        <v>493</v>
      </c>
      <c r="B105" t="s">
        <v>390</v>
      </c>
      <c r="D105">
        <v>20</v>
      </c>
      <c r="E105">
        <v>92</v>
      </c>
      <c r="F105">
        <v>108</v>
      </c>
      <c r="G105">
        <v>211370.03</v>
      </c>
      <c r="H105">
        <v>69548.48</v>
      </c>
      <c r="I105" s="195">
        <v>3.039175406852889</v>
      </c>
      <c r="J105" s="194"/>
    </row>
    <row r="106">
      <c r="A106" t="s">
        <v>494</v>
      </c>
      <c r="B106" t="s">
        <v>390</v>
      </c>
      <c r="D106">
        <v>20</v>
      </c>
      <c r="E106">
        <v>85</v>
      </c>
      <c r="F106">
        <v>101</v>
      </c>
      <c r="G106">
        <v>213989.24</v>
      </c>
      <c r="H106">
        <v>74752.69</v>
      </c>
      <c r="I106" s="195">
        <v>2.8626292913338633</v>
      </c>
      <c r="J106" s="194"/>
    </row>
    <row r="107">
      <c r="A107" t="s">
        <v>495</v>
      </c>
      <c r="B107" t="s">
        <v>390</v>
      </c>
      <c r="D107">
        <v>20</v>
      </c>
      <c r="E107">
        <v>88</v>
      </c>
      <c r="F107">
        <v>110</v>
      </c>
      <c r="G107">
        <v>219888.90999999997</v>
      </c>
      <c r="H107">
        <v>74923.04000000001</v>
      </c>
      <c r="I107" s="195">
        <v>2.9348636947993563</v>
      </c>
      <c r="J107" s="194"/>
    </row>
    <row r="108">
      <c r="A108" t="s">
        <v>496</v>
      </c>
      <c r="B108" t="s">
        <v>390</v>
      </c>
      <c r="D108">
        <v>20</v>
      </c>
      <c r="E108">
        <v>94</v>
      </c>
      <c r="F108">
        <v>105</v>
      </c>
      <c r="G108">
        <v>208113.86</v>
      </c>
      <c r="H108">
        <v>73514.23999999999</v>
      </c>
      <c r="I108" s="195">
        <v>2.830932619312939</v>
      </c>
      <c r="J108" s="194"/>
    </row>
    <row r="109">
      <c r="A109" t="s">
        <v>497</v>
      </c>
      <c r="B109" t="s">
        <v>390</v>
      </c>
      <c r="D109">
        <v>20</v>
      </c>
      <c r="E109">
        <v>85</v>
      </c>
      <c r="F109">
        <v>95</v>
      </c>
      <c r="G109">
        <v>190049.54999999993</v>
      </c>
      <c r="H109">
        <v>75126.72</v>
      </c>
      <c r="I109" s="195">
        <v>2.529719785450502</v>
      </c>
      <c r="J109" s="194"/>
    </row>
    <row r="110">
      <c r="A110" t="s">
        <v>498</v>
      </c>
      <c r="B110" t="s">
        <v>390</v>
      </c>
      <c r="D110">
        <v>20</v>
      </c>
      <c r="E110">
        <v>57</v>
      </c>
      <c r="F110">
        <v>74</v>
      </c>
      <c r="G110">
        <v>158654.6</v>
      </c>
      <c r="H110">
        <v>68384.57999999999</v>
      </c>
      <c r="I110" s="195">
        <v>2.320034721277809</v>
      </c>
      <c r="J110" s="194"/>
    </row>
    <row r="111">
      <c r="A111" t="s">
        <v>499</v>
      </c>
      <c r="B111" t="s">
        <v>390</v>
      </c>
      <c r="D111">
        <v>20</v>
      </c>
      <c r="E111">
        <v>82</v>
      </c>
      <c r="F111">
        <v>98</v>
      </c>
      <c r="G111">
        <v>194168.36</v>
      </c>
      <c r="H111">
        <v>71127.28</v>
      </c>
      <c r="I111" s="195">
        <v>2.729871857886313</v>
      </c>
      <c r="J111" s="194"/>
    </row>
    <row r="112">
      <c r="A112" t="s">
        <v>500</v>
      </c>
      <c r="B112" t="s">
        <v>390</v>
      </c>
      <c r="D112">
        <v>20</v>
      </c>
      <c r="E112">
        <v>72</v>
      </c>
      <c r="F112">
        <v>84</v>
      </c>
      <c r="G112">
        <v>172761.83000000002</v>
      </c>
      <c r="H112">
        <v>72051.13</v>
      </c>
      <c r="I112" s="195">
        <v>2.3977671134373604</v>
      </c>
      <c r="J112" s="194"/>
    </row>
    <row r="113">
      <c r="A113" t="s">
        <v>501</v>
      </c>
      <c r="B113" t="s">
        <v>390</v>
      </c>
      <c r="D113">
        <v>20</v>
      </c>
      <c r="E113">
        <v>66</v>
      </c>
      <c r="F113">
        <v>80</v>
      </c>
      <c r="G113">
        <v>169153.03999999998</v>
      </c>
      <c r="H113">
        <v>61962.39000000001</v>
      </c>
      <c r="I113" s="195">
        <v>2.729930849988194</v>
      </c>
      <c r="J113" s="194"/>
    </row>
    <row r="114">
      <c r="A114" t="s">
        <v>502</v>
      </c>
      <c r="B114" t="s">
        <v>390</v>
      </c>
      <c r="D114">
        <v>20</v>
      </c>
      <c r="E114">
        <v>80</v>
      </c>
      <c r="F114">
        <v>101</v>
      </c>
      <c r="G114">
        <v>203004.5</v>
      </c>
      <c r="H114">
        <v>66767.31</v>
      </c>
      <c r="I114" s="195">
        <v>3.0404774432278314</v>
      </c>
      <c r="J114" s="194"/>
    </row>
    <row r="115">
      <c r="A115" t="s">
        <v>503</v>
      </c>
      <c r="B115" t="s">
        <v>390</v>
      </c>
      <c r="D115">
        <v>20</v>
      </c>
      <c r="E115">
        <v>65</v>
      </c>
      <c r="F115">
        <v>83</v>
      </c>
      <c r="G115">
        <v>161886.59999999998</v>
      </c>
      <c r="H115">
        <v>64453.96000000001</v>
      </c>
      <c r="I115" s="195">
        <v>2.51166258830334</v>
      </c>
      <c r="J115" s="194"/>
    </row>
    <row r="116">
      <c r="A116" t="s">
        <v>504</v>
      </c>
      <c r="B116" t="s">
        <v>390</v>
      </c>
      <c r="D116">
        <v>20</v>
      </c>
      <c r="E116">
        <v>78</v>
      </c>
      <c r="F116">
        <v>92</v>
      </c>
      <c r="G116">
        <v>191096.91999999998</v>
      </c>
      <c r="H116">
        <v>69567.7</v>
      </c>
      <c r="I116" s="195">
        <v>2.746920194285566</v>
      </c>
      <c r="J116" s="194"/>
    </row>
    <row r="117">
      <c r="A117" t="s">
        <v>505</v>
      </c>
      <c r="B117" t="s">
        <v>390</v>
      </c>
      <c r="D117">
        <v>20</v>
      </c>
      <c r="E117">
        <v>90</v>
      </c>
      <c r="F117">
        <v>100</v>
      </c>
      <c r="G117">
        <v>201225.53</v>
      </c>
      <c r="H117">
        <v>69635.65</v>
      </c>
      <c r="I117" s="195">
        <v>2.8896912716403165</v>
      </c>
      <c r="J117" s="194"/>
    </row>
    <row r="118">
      <c r="A118" t="s">
        <v>506</v>
      </c>
      <c r="B118" t="s">
        <v>390</v>
      </c>
      <c r="D118">
        <v>18</v>
      </c>
      <c r="E118">
        <v>65</v>
      </c>
      <c r="F118">
        <v>87</v>
      </c>
      <c r="G118">
        <v>178510.60000000003</v>
      </c>
      <c r="H118">
        <v>62226.380000000005</v>
      </c>
      <c r="I118" s="195">
        <v>2.8687286645953054</v>
      </c>
      <c r="J118" s="194"/>
    </row>
    <row r="119">
      <c r="A119" t="s">
        <v>507</v>
      </c>
      <c r="B119" t="s">
        <v>390</v>
      </c>
      <c r="D119">
        <v>19</v>
      </c>
      <c r="E119">
        <v>76</v>
      </c>
      <c r="F119">
        <v>99</v>
      </c>
      <c r="G119">
        <v>207323.22</v>
      </c>
      <c r="H119">
        <v>69423.35</v>
      </c>
      <c r="I119" s="195">
        <v>2.9863615051708106</v>
      </c>
      <c r="J119" s="194"/>
    </row>
    <row r="120">
      <c r="A120" s="196" t="s">
        <v>508</v>
      </c>
      <c r="B120" s="196" t="s">
        <v>390</v>
      </c>
      <c r="C120" s="196"/>
      <c r="D120" s="196">
        <v>20</v>
      </c>
      <c r="E120" s="196">
        <v>84</v>
      </c>
      <c r="F120" s="196">
        <v>100</v>
      </c>
      <c r="G120" s="196">
        <v>206177.8</v>
      </c>
      <c r="H120" s="196">
        <v>69507.45</v>
      </c>
      <c r="I120" s="197">
        <v>2.9662690833860257</v>
      </c>
      <c r="J120" s="198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</row>
    <row r="121">
      <c r="A121" t="s">
        <v>509</v>
      </c>
      <c r="B121" t="s">
        <v>390</v>
      </c>
      <c r="D121">
        <v>20</v>
      </c>
      <c r="E121">
        <v>65</v>
      </c>
      <c r="F121">
        <v>82</v>
      </c>
      <c r="G121">
        <v>161586.52</v>
      </c>
      <c r="H121">
        <v>64604.91999999999</v>
      </c>
      <c r="I121" s="195">
        <v>2.501148828912721</v>
      </c>
      <c r="J121" s="194"/>
    </row>
    <row r="122">
      <c r="A122" t="s">
        <v>510</v>
      </c>
      <c r="B122" t="s">
        <v>390</v>
      </c>
      <c r="D122">
        <v>20</v>
      </c>
      <c r="E122">
        <v>74</v>
      </c>
      <c r="F122">
        <v>89</v>
      </c>
      <c r="G122">
        <v>183196.35000000003</v>
      </c>
      <c r="H122">
        <v>68399.98999999999</v>
      </c>
      <c r="I122" s="195">
        <v>2.678309602092048</v>
      </c>
      <c r="J122" s="194"/>
    </row>
    <row r="123">
      <c r="A123" t="s">
        <v>511</v>
      </c>
      <c r="B123" t="s">
        <v>390</v>
      </c>
      <c r="D123">
        <v>20</v>
      </c>
      <c r="E123">
        <v>75</v>
      </c>
      <c r="F123">
        <v>91</v>
      </c>
      <c r="G123">
        <v>183990.22</v>
      </c>
      <c r="H123">
        <v>67695.02</v>
      </c>
      <c r="I123" s="195">
        <v>2.71792843845825</v>
      </c>
      <c r="J123" s="194"/>
    </row>
    <row r="124">
      <c r="A124" t="s">
        <v>512</v>
      </c>
      <c r="B124" t="s">
        <v>390</v>
      </c>
      <c r="D124">
        <v>20</v>
      </c>
      <c r="E124">
        <v>64</v>
      </c>
      <c r="F124">
        <v>81</v>
      </c>
      <c r="G124">
        <v>168783.04</v>
      </c>
      <c r="H124">
        <v>67507.33</v>
      </c>
      <c r="I124" s="195">
        <v>2.5002179763293855</v>
      </c>
      <c r="J124" s="194"/>
    </row>
    <row r="125">
      <c r="A125" t="s">
        <v>513</v>
      </c>
      <c r="B125" t="s">
        <v>390</v>
      </c>
      <c r="D125">
        <v>20</v>
      </c>
      <c r="E125">
        <v>74</v>
      </c>
      <c r="F125">
        <v>88</v>
      </c>
      <c r="G125">
        <v>171941.89999999997</v>
      </c>
      <c r="H125">
        <v>65447.58</v>
      </c>
      <c r="I125" s="195">
        <v>2.6271697135325702</v>
      </c>
      <c r="J125" s="194"/>
    </row>
    <row r="126">
      <c r="A126" t="s">
        <v>514</v>
      </c>
      <c r="B126" t="s">
        <v>390</v>
      </c>
      <c r="D126">
        <v>20</v>
      </c>
      <c r="E126">
        <v>82</v>
      </c>
      <c r="F126">
        <v>105</v>
      </c>
      <c r="G126">
        <v>209381.88999999998</v>
      </c>
      <c r="H126">
        <v>68472.17</v>
      </c>
      <c r="I126" s="195">
        <v>3.0579122875761056</v>
      </c>
      <c r="J126" s="194"/>
    </row>
    <row r="127">
      <c r="A127" t="s">
        <v>515</v>
      </c>
      <c r="B127" t="s">
        <v>390</v>
      </c>
      <c r="D127">
        <v>20</v>
      </c>
      <c r="E127">
        <v>82</v>
      </c>
      <c r="F127">
        <v>92</v>
      </c>
      <c r="G127">
        <v>181825.52</v>
      </c>
      <c r="H127">
        <v>65745.25</v>
      </c>
      <c r="I127" s="195">
        <v>2.765606944988421</v>
      </c>
      <c r="J127" s="194"/>
    </row>
    <row r="128">
      <c r="A128" t="s">
        <v>516</v>
      </c>
      <c r="B128" t="s">
        <v>390</v>
      </c>
      <c r="D128">
        <v>20</v>
      </c>
      <c r="E128">
        <v>78</v>
      </c>
      <c r="F128">
        <v>91</v>
      </c>
      <c r="G128">
        <v>189519.47</v>
      </c>
      <c r="H128">
        <v>65819.27</v>
      </c>
      <c r="I128" s="195">
        <v>2.87939185591089</v>
      </c>
      <c r="J128" s="194"/>
    </row>
    <row r="129">
      <c r="A129" t="s">
        <v>517</v>
      </c>
      <c r="B129" t="s">
        <v>390</v>
      </c>
      <c r="D129">
        <v>20</v>
      </c>
      <c r="E129">
        <v>70</v>
      </c>
      <c r="F129">
        <v>82</v>
      </c>
      <c r="G129">
        <v>169465.38</v>
      </c>
      <c r="H129">
        <v>63318.61</v>
      </c>
      <c r="I129" s="195">
        <v>2.676391348451901</v>
      </c>
      <c r="J129" s="194"/>
    </row>
    <row r="130">
      <c r="A130" t="s">
        <v>518</v>
      </c>
      <c r="B130" t="s">
        <v>390</v>
      </c>
      <c r="D130">
        <v>20</v>
      </c>
      <c r="E130">
        <v>63</v>
      </c>
      <c r="F130">
        <v>77</v>
      </c>
      <c r="G130">
        <v>157609.8</v>
      </c>
      <c r="H130">
        <v>62937.48999999999</v>
      </c>
      <c r="I130" s="195">
        <v>2.504227607424446</v>
      </c>
      <c r="J130" s="194"/>
    </row>
    <row r="131">
      <c r="A131" t="s">
        <v>519</v>
      </c>
      <c r="B131" t="s">
        <v>390</v>
      </c>
      <c r="D131">
        <v>20</v>
      </c>
      <c r="E131">
        <v>71</v>
      </c>
      <c r="F131">
        <v>85</v>
      </c>
      <c r="G131">
        <v>165306.94999999998</v>
      </c>
      <c r="H131">
        <v>60057.04</v>
      </c>
      <c r="I131" s="195">
        <v>2.752499124165959</v>
      </c>
      <c r="J131" s="194"/>
    </row>
    <row r="132">
      <c r="A132" t="s">
        <v>520</v>
      </c>
      <c r="B132" t="s">
        <v>390</v>
      </c>
      <c r="D132">
        <v>20</v>
      </c>
      <c r="E132">
        <v>66</v>
      </c>
      <c r="F132">
        <v>89</v>
      </c>
      <c r="G132">
        <v>179262.95</v>
      </c>
      <c r="H132">
        <v>61876.69</v>
      </c>
      <c r="I132" s="195">
        <v>2.8970998610300582</v>
      </c>
      <c r="J132" s="194"/>
    </row>
    <row r="133">
      <c r="A133" t="s">
        <v>521</v>
      </c>
      <c r="B133" t="s">
        <v>390</v>
      </c>
      <c r="D133">
        <v>20</v>
      </c>
      <c r="E133">
        <v>57</v>
      </c>
      <c r="F133">
        <v>66</v>
      </c>
      <c r="G133">
        <v>129372.4</v>
      </c>
      <c r="H133">
        <v>61266.08</v>
      </c>
      <c r="I133" s="195">
        <v>2.1116480767171653</v>
      </c>
      <c r="J133" s="194"/>
    </row>
    <row r="134">
      <c r="A134" t="s">
        <v>522</v>
      </c>
      <c r="B134" t="s">
        <v>390</v>
      </c>
      <c r="D134">
        <v>20</v>
      </c>
      <c r="E134">
        <v>71</v>
      </c>
      <c r="F134">
        <v>82</v>
      </c>
      <c r="G134">
        <v>179133.07</v>
      </c>
      <c r="H134">
        <v>61832.29</v>
      </c>
      <c r="I134" s="195">
        <v>2.897079665009981</v>
      </c>
      <c r="J134" s="194"/>
    </row>
    <row r="135">
      <c r="A135" t="s">
        <v>523</v>
      </c>
      <c r="B135" t="s">
        <v>390</v>
      </c>
      <c r="D135">
        <v>20</v>
      </c>
      <c r="E135">
        <v>77</v>
      </c>
      <c r="F135">
        <v>94</v>
      </c>
      <c r="G135">
        <v>193911.59</v>
      </c>
      <c r="H135">
        <v>65102.89</v>
      </c>
      <c r="I135" s="195">
        <v>2.9785404303864236</v>
      </c>
      <c r="J135" s="194"/>
    </row>
    <row r="136">
      <c r="A136" t="s">
        <v>524</v>
      </c>
      <c r="B136" t="s">
        <v>390</v>
      </c>
      <c r="D136">
        <v>20</v>
      </c>
      <c r="E136">
        <v>59</v>
      </c>
      <c r="F136">
        <v>77</v>
      </c>
      <c r="G136">
        <v>148408.94999999998</v>
      </c>
      <c r="H136">
        <v>60497.54</v>
      </c>
      <c r="I136" s="195">
        <v>2.4531402433884084</v>
      </c>
      <c r="J136" s="194"/>
    </row>
    <row r="137">
      <c r="A137" t="s">
        <v>525</v>
      </c>
      <c r="B137" t="s">
        <v>390</v>
      </c>
      <c r="D137">
        <v>20</v>
      </c>
      <c r="E137">
        <v>69</v>
      </c>
      <c r="F137">
        <v>84</v>
      </c>
      <c r="G137">
        <v>172755.6</v>
      </c>
      <c r="H137">
        <v>62933.759999999995</v>
      </c>
      <c r="I137" s="195">
        <v>2.745038592958692</v>
      </c>
      <c r="J137" s="194"/>
    </row>
    <row r="138">
      <c r="A138" t="s">
        <v>526</v>
      </c>
      <c r="B138" t="s">
        <v>390</v>
      </c>
      <c r="D138">
        <v>20</v>
      </c>
      <c r="E138">
        <v>67</v>
      </c>
      <c r="F138">
        <v>81</v>
      </c>
      <c r="G138">
        <v>168523.27</v>
      </c>
      <c r="H138">
        <v>62772.23</v>
      </c>
      <c r="I138" s="195">
        <v>2.6846787185989727</v>
      </c>
      <c r="J138" s="194"/>
    </row>
    <row r="139">
      <c r="A139" t="s">
        <v>527</v>
      </c>
      <c r="B139" t="s">
        <v>390</v>
      </c>
      <c r="D139">
        <v>20</v>
      </c>
      <c r="E139">
        <v>41</v>
      </c>
      <c r="F139">
        <v>57</v>
      </c>
      <c r="G139">
        <v>113946.32999999999</v>
      </c>
      <c r="H139">
        <v>50375.58</v>
      </c>
      <c r="I139" s="195">
        <v>2.2619358427237954</v>
      </c>
      <c r="J139" s="194"/>
    </row>
    <row r="140">
      <c r="A140" t="s">
        <v>528</v>
      </c>
      <c r="B140" t="s">
        <v>390</v>
      </c>
      <c r="D140">
        <v>20</v>
      </c>
      <c r="E140">
        <v>70</v>
      </c>
      <c r="F140">
        <v>84</v>
      </c>
      <c r="G140">
        <v>177174.08000000002</v>
      </c>
      <c r="H140">
        <v>62044.62</v>
      </c>
      <c r="I140" s="195">
        <v>2.8555913470015613</v>
      </c>
      <c r="J140" s="194"/>
    </row>
    <row r="141">
      <c r="A141" t="s">
        <v>529</v>
      </c>
      <c r="B141" t="s">
        <v>390</v>
      </c>
      <c r="D141">
        <v>20</v>
      </c>
      <c r="E141">
        <v>71</v>
      </c>
      <c r="F141">
        <v>79</v>
      </c>
      <c r="G141">
        <v>144647.50999999998</v>
      </c>
      <c r="H141">
        <v>57356.84000000001</v>
      </c>
      <c r="I141" s="195">
        <v>2.521887712084556</v>
      </c>
      <c r="J141" s="194"/>
    </row>
    <row r="142">
      <c r="A142" t="s">
        <v>530</v>
      </c>
      <c r="B142" t="s">
        <v>390</v>
      </c>
      <c r="D142">
        <v>20</v>
      </c>
      <c r="E142">
        <v>68</v>
      </c>
      <c r="F142">
        <v>85</v>
      </c>
      <c r="G142">
        <v>176999.7</v>
      </c>
      <c r="H142">
        <v>61494.39</v>
      </c>
      <c r="I142" s="195">
        <v>2.8783064601502675</v>
      </c>
      <c r="J142" s="194"/>
    </row>
    <row r="143">
      <c r="A143" t="s">
        <v>531</v>
      </c>
      <c r="B143" t="s">
        <v>390</v>
      </c>
      <c r="D143">
        <v>20</v>
      </c>
      <c r="E143">
        <v>55</v>
      </c>
      <c r="F143">
        <v>66</v>
      </c>
      <c r="G143">
        <v>134371.53</v>
      </c>
      <c r="H143">
        <v>50574.72</v>
      </c>
      <c r="I143" s="195">
        <v>2.6568912294521847</v>
      </c>
      <c r="J143" s="194"/>
    </row>
    <row r="144">
      <c r="A144" t="s">
        <v>532</v>
      </c>
      <c r="B144" t="s">
        <v>390</v>
      </c>
      <c r="D144">
        <v>20</v>
      </c>
      <c r="E144">
        <v>57</v>
      </c>
      <c r="F144">
        <v>75</v>
      </c>
      <c r="G144">
        <v>160766.22</v>
      </c>
      <c r="H144">
        <v>53948.19000000001</v>
      </c>
      <c r="I144" s="195">
        <v>2.9800113775828247</v>
      </c>
      <c r="J144" s="194"/>
    </row>
    <row r="145">
      <c r="A145" t="s">
        <v>533</v>
      </c>
      <c r="B145" t="s">
        <v>390</v>
      </c>
      <c r="D145" s="199">
        <v>20</v>
      </c>
      <c r="E145">
        <v>60</v>
      </c>
      <c r="F145">
        <v>76</v>
      </c>
      <c r="G145">
        <v>163500.79</v>
      </c>
      <c r="H145">
        <v>52819.840000000004</v>
      </c>
      <c r="I145" s="195">
        <v>3.095442735154063</v>
      </c>
      <c r="J145" s="194"/>
    </row>
    <row r="146">
      <c r="A146" t="s">
        <v>534</v>
      </c>
      <c r="B146" t="s">
        <v>390</v>
      </c>
      <c r="D146">
        <v>20</v>
      </c>
      <c r="E146">
        <v>57</v>
      </c>
      <c r="F146">
        <v>71</v>
      </c>
      <c r="G146">
        <v>140315.44000000003</v>
      </c>
      <c r="H146">
        <v>58721.15</v>
      </c>
      <c r="I146" s="195">
        <v>2.3895213223855465</v>
      </c>
      <c r="J146" s="194"/>
    </row>
    <row r="147">
      <c r="A147" t="s">
        <v>535</v>
      </c>
      <c r="B147" t="s">
        <v>390</v>
      </c>
      <c r="D147">
        <v>20</v>
      </c>
      <c r="E147">
        <v>48</v>
      </c>
      <c r="F147">
        <v>62</v>
      </c>
      <c r="G147">
        <v>127127.09999999999</v>
      </c>
      <c r="H147">
        <v>46470.84</v>
      </c>
      <c r="I147" s="195">
        <v>2.7356316348058267</v>
      </c>
      <c r="J147" s="194"/>
    </row>
    <row r="148">
      <c r="A148" t="s">
        <v>536</v>
      </c>
      <c r="B148" t="s">
        <v>390</v>
      </c>
      <c r="D148">
        <v>20</v>
      </c>
      <c r="E148">
        <v>76</v>
      </c>
      <c r="F148">
        <v>87</v>
      </c>
      <c r="G148">
        <v>171985.82</v>
      </c>
      <c r="H148">
        <v>57055.99</v>
      </c>
      <c r="I148" s="195">
        <v>3.014334165439948</v>
      </c>
      <c r="J148" s="194"/>
    </row>
    <row r="149">
      <c r="A149" t="s">
        <v>537</v>
      </c>
      <c r="B149" t="s">
        <v>390</v>
      </c>
      <c r="D149">
        <v>20</v>
      </c>
      <c r="E149">
        <v>77</v>
      </c>
      <c r="F149">
        <v>95</v>
      </c>
      <c r="G149">
        <v>198313.38</v>
      </c>
      <c r="H149">
        <v>59431.979999999996</v>
      </c>
      <c r="I149" s="195">
        <v>3.336812604930881</v>
      </c>
      <c r="J149" s="194"/>
    </row>
    <row r="150">
      <c r="A150" t="s">
        <v>538</v>
      </c>
      <c r="B150" t="s">
        <v>390</v>
      </c>
      <c r="D150">
        <v>20</v>
      </c>
      <c r="E150">
        <v>72</v>
      </c>
      <c r="F150">
        <v>85</v>
      </c>
      <c r="G150">
        <v>172371.97</v>
      </c>
      <c r="H150">
        <v>63646.03</v>
      </c>
      <c r="I150" s="200">
        <v>2.70829099631195</v>
      </c>
      <c r="J150" s="194"/>
    </row>
    <row r="151">
      <c r="A151" s="201" t="s">
        <v>539</v>
      </c>
      <c r="B151" s="201" t="s">
        <v>390</v>
      </c>
      <c r="C151" s="196"/>
      <c r="D151" s="201">
        <v>20</v>
      </c>
      <c r="E151" s="196">
        <v>68</v>
      </c>
      <c r="F151" s="196">
        <v>79</v>
      </c>
      <c r="G151" s="196">
        <v>160202.4</v>
      </c>
      <c r="H151" s="196">
        <v>60442.94</v>
      </c>
      <c r="I151" s="197">
        <v>2.650473322442621</v>
      </c>
      <c r="J151" s="198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</row>
    <row r="152">
      <c r="A152" t="s">
        <v>540</v>
      </c>
      <c r="B152" t="s">
        <v>390</v>
      </c>
      <c r="D152">
        <v>20</v>
      </c>
      <c r="E152">
        <v>66</v>
      </c>
      <c r="F152">
        <v>83</v>
      </c>
      <c r="G152">
        <v>157896.73</v>
      </c>
      <c r="H152">
        <v>66492.57</v>
      </c>
      <c r="I152" s="195">
        <v>2.374652235580607</v>
      </c>
      <c r="J152" s="194"/>
    </row>
    <row r="153">
      <c r="A153" t="s">
        <v>541</v>
      </c>
      <c r="B153" t="s">
        <v>390</v>
      </c>
      <c r="D153">
        <v>19</v>
      </c>
      <c r="E153">
        <v>64</v>
      </c>
      <c r="F153">
        <v>72</v>
      </c>
      <c r="G153">
        <v>144321.04</v>
      </c>
      <c r="H153">
        <v>60554.46000000001</v>
      </c>
      <c r="I153" s="200">
        <v>2.38332634788585</v>
      </c>
      <c r="J153" s="194"/>
    </row>
    <row r="154">
      <c r="A154" s="199" t="s">
        <v>542</v>
      </c>
      <c r="B154" s="199" t="s">
        <v>390</v>
      </c>
      <c r="D154">
        <v>21</v>
      </c>
      <c r="E154">
        <v>68</v>
      </c>
      <c r="F154">
        <v>83</v>
      </c>
      <c r="G154">
        <v>160180.51</v>
      </c>
      <c r="H154">
        <v>68252.34999999999</v>
      </c>
      <c r="I154" s="195">
        <v>2.34688637094547</v>
      </c>
      <c r="J154" s="194"/>
    </row>
    <row r="155">
      <c r="A155" t="s">
        <v>543</v>
      </c>
      <c r="B155" t="s">
        <v>390</v>
      </c>
      <c r="D155">
        <v>21</v>
      </c>
      <c r="E155">
        <v>63</v>
      </c>
      <c r="F155">
        <v>76</v>
      </c>
      <c r="G155">
        <v>160175.19</v>
      </c>
      <c r="H155">
        <v>55430.130000000005</v>
      </c>
      <c r="I155" s="195">
        <v>2.8896773289184057</v>
      </c>
      <c r="J155" s="194"/>
    </row>
    <row r="156">
      <c r="A156" t="s">
        <v>544</v>
      </c>
      <c r="B156" t="s">
        <v>390</v>
      </c>
      <c r="D156">
        <v>20</v>
      </c>
      <c r="E156">
        <v>58</v>
      </c>
      <c r="F156">
        <v>70</v>
      </c>
      <c r="G156">
        <v>143713.66</v>
      </c>
      <c r="H156">
        <v>54601.26</v>
      </c>
      <c r="I156" s="195">
        <v>2.6320575752281172</v>
      </c>
      <c r="J156" s="194"/>
    </row>
    <row r="157">
      <c r="A157" t="s">
        <v>545</v>
      </c>
      <c r="B157" t="s">
        <v>390</v>
      </c>
      <c r="D157">
        <v>20</v>
      </c>
      <c r="E157" s="199">
        <v>55</v>
      </c>
      <c r="F157">
        <v>62</v>
      </c>
      <c r="G157">
        <v>124610.48000000001</v>
      </c>
      <c r="H157">
        <v>46099.57</v>
      </c>
      <c r="I157" s="195">
        <v>2.7030725015439407</v>
      </c>
      <c r="J157" s="194"/>
    </row>
    <row r="158">
      <c r="A158" s="199" t="s">
        <v>546</v>
      </c>
      <c r="B158" s="199" t="s">
        <v>390</v>
      </c>
      <c r="D158" s="199">
        <v>20</v>
      </c>
      <c r="E158" s="199">
        <v>62</v>
      </c>
      <c r="F158" s="199">
        <v>78</v>
      </c>
      <c r="G158">
        <v>153347.18999999997</v>
      </c>
      <c r="H158">
        <v>52469.93</v>
      </c>
      <c r="I158" s="195">
        <v>2.922572795504015</v>
      </c>
      <c r="J158" s="194"/>
    </row>
    <row r="159">
      <c r="A159" t="s">
        <v>547</v>
      </c>
      <c r="B159" t="s">
        <v>390</v>
      </c>
      <c r="D159">
        <v>20</v>
      </c>
      <c r="E159">
        <v>56</v>
      </c>
      <c r="F159">
        <v>76</v>
      </c>
      <c r="G159">
        <v>167370.22999999998</v>
      </c>
      <c r="H159">
        <v>53567.16</v>
      </c>
      <c r="I159" s="195">
        <v>3.124493252955728</v>
      </c>
      <c r="J159" s="194"/>
    </row>
    <row r="160">
      <c r="A160" t="s">
        <v>548</v>
      </c>
      <c r="B160" t="s">
        <v>390</v>
      </c>
      <c r="D160">
        <v>20</v>
      </c>
      <c r="E160">
        <v>52</v>
      </c>
      <c r="F160">
        <v>68</v>
      </c>
      <c r="G160">
        <v>144113.75</v>
      </c>
      <c r="H160">
        <v>49116.81</v>
      </c>
      <c r="I160" s="195">
        <v>2.934102397936674</v>
      </c>
      <c r="J160" s="194"/>
    </row>
    <row r="161">
      <c r="A161" t="s">
        <v>549</v>
      </c>
      <c r="B161" t="s">
        <v>390</v>
      </c>
      <c r="D161">
        <v>20</v>
      </c>
      <c r="E161">
        <v>70</v>
      </c>
      <c r="F161">
        <v>89</v>
      </c>
      <c r="G161">
        <v>221312.76</v>
      </c>
      <c r="H161">
        <v>56803.5</v>
      </c>
      <c r="I161" s="195">
        <v>3.896111331167974</v>
      </c>
      <c r="J161" s="194"/>
    </row>
    <row r="162">
      <c r="A162" t="s">
        <v>550</v>
      </c>
      <c r="B162" t="s">
        <v>390</v>
      </c>
      <c r="D162">
        <v>20</v>
      </c>
      <c r="E162">
        <v>67</v>
      </c>
      <c r="F162">
        <v>79</v>
      </c>
      <c r="G162">
        <v>200958.50000000003</v>
      </c>
      <c r="H162">
        <v>56283.119999999995</v>
      </c>
      <c r="I162" s="195">
        <v>3.570493249130468</v>
      </c>
      <c r="J162" s="194"/>
    </row>
    <row r="163">
      <c r="A163" t="s">
        <v>551</v>
      </c>
      <c r="B163" t="s">
        <v>390</v>
      </c>
      <c r="D163">
        <v>20</v>
      </c>
      <c r="E163">
        <v>56</v>
      </c>
      <c r="F163">
        <v>67</v>
      </c>
      <c r="G163">
        <v>177631.40999999997</v>
      </c>
      <c r="H163">
        <v>47148.5</v>
      </c>
      <c r="I163" s="195">
        <v>3.767488043097871</v>
      </c>
      <c r="J163" s="194"/>
    </row>
    <row r="164">
      <c r="A164" t="s">
        <v>552</v>
      </c>
      <c r="B164" t="s">
        <v>390</v>
      </c>
      <c r="D164">
        <v>20</v>
      </c>
      <c r="E164">
        <v>55</v>
      </c>
      <c r="F164">
        <v>71</v>
      </c>
      <c r="G164">
        <v>179172.69999999998</v>
      </c>
      <c r="H164">
        <v>51546.27</v>
      </c>
      <c r="I164" s="195">
        <v>3.47595859021419</v>
      </c>
      <c r="J164" s="194"/>
    </row>
    <row r="165">
      <c r="A165" t="s">
        <v>553</v>
      </c>
      <c r="B165" t="s">
        <v>390</v>
      </c>
      <c r="D165">
        <v>20</v>
      </c>
      <c r="E165">
        <v>53</v>
      </c>
      <c r="F165">
        <v>63</v>
      </c>
      <c r="G165">
        <v>158955.77999999997</v>
      </c>
      <c r="H165">
        <v>50255.31</v>
      </c>
      <c r="I165" s="195">
        <v>3.1629648687869993</v>
      </c>
      <c r="J165" s="194"/>
    </row>
    <row r="166">
      <c r="A166" t="s">
        <v>554</v>
      </c>
      <c r="B166" t="s">
        <v>390</v>
      </c>
      <c r="D166">
        <v>20</v>
      </c>
      <c r="E166">
        <v>68</v>
      </c>
      <c r="F166">
        <v>84</v>
      </c>
      <c r="G166">
        <v>217063.18</v>
      </c>
      <c r="H166">
        <v>57264.92</v>
      </c>
      <c r="I166" s="195">
        <v>3.790508744271362</v>
      </c>
      <c r="J166" s="194"/>
    </row>
    <row r="167">
      <c r="A167" t="s">
        <v>555</v>
      </c>
      <c r="B167" t="s">
        <v>390</v>
      </c>
      <c r="D167">
        <v>20</v>
      </c>
      <c r="E167">
        <v>54</v>
      </c>
      <c r="F167">
        <v>62</v>
      </c>
      <c r="G167">
        <v>158625.67000000004</v>
      </c>
      <c r="H167">
        <v>54994.83</v>
      </c>
      <c r="I167" s="195">
        <v>2.8843742220859676</v>
      </c>
      <c r="J167" s="194"/>
    </row>
    <row customHeight="true" ht="16.071428571428573" r="168">
      <c r="A168" t="s">
        <v>556</v>
      </c>
      <c r="B168" t="s">
        <v>390</v>
      </c>
      <c r="D168">
        <v>20</v>
      </c>
      <c r="E168">
        <v>61</v>
      </c>
      <c r="F168">
        <v>72</v>
      </c>
      <c r="G168">
        <v>184983.63</v>
      </c>
      <c r="H168">
        <v>52319.19</v>
      </c>
      <c r="I168" s="195">
        <v>3.53567457753073</v>
      </c>
      <c r="J168" s="194"/>
      <c r="L168" s="199" t="s">
        <v>557</v>
      </c>
      <c r="M168">
        <v>387807.46</v>
      </c>
    </row>
    <row customHeight="true" ht="16.071428571428573" r="169">
      <c r="A169" t="s">
        <v>558</v>
      </c>
      <c r="B169" t="s">
        <v>390</v>
      </c>
      <c r="D169">
        <v>20</v>
      </c>
      <c r="E169">
        <v>48</v>
      </c>
      <c r="F169">
        <v>62</v>
      </c>
      <c r="G169">
        <v>164622.38999999998</v>
      </c>
      <c r="H169">
        <v>52149.53</v>
      </c>
      <c r="I169" s="195">
        <v>3.1567377500813523</v>
      </c>
      <c r="J169" s="194"/>
      <c r="L169" s="199" t="s">
        <v>559</v>
      </c>
      <c r="M169">
        <v>499286.41</v>
      </c>
    </row>
    <row customHeight="true" ht="16.071428571428573" r="170">
      <c r="A170" t="s">
        <v>560</v>
      </c>
      <c r="B170" t="s">
        <v>390</v>
      </c>
      <c r="D170">
        <v>20</v>
      </c>
      <c r="E170">
        <v>69</v>
      </c>
      <c r="F170">
        <v>82</v>
      </c>
      <c r="G170">
        <v>210985.81</v>
      </c>
      <c r="H170">
        <v>65320.049999999996</v>
      </c>
      <c r="I170" s="195">
        <v>3.2300313609680336</v>
      </c>
      <c r="J170" s="194"/>
      <c r="L170" s="199" t="s">
        <v>561</v>
      </c>
      <c r="M170">
        <v>913723.73</v>
      </c>
    </row>
    <row customHeight="true" ht="16.071428571428573" r="171">
      <c r="A171" t="s">
        <v>562</v>
      </c>
      <c r="B171" t="s">
        <v>390</v>
      </c>
      <c r="D171">
        <v>20</v>
      </c>
      <c r="E171">
        <v>88</v>
      </c>
      <c r="F171">
        <v>97</v>
      </c>
      <c r="G171">
        <v>236205.42</v>
      </c>
      <c r="H171">
        <v>67719.01000000001</v>
      </c>
      <c r="I171" s="195">
        <v>3.488022344095107</v>
      </c>
      <c r="J171" s="194"/>
      <c r="L171" s="199" t="s">
        <v>563</v>
      </c>
      <c r="M171">
        <v>2021806.42</v>
      </c>
    </row>
    <row customHeight="true" ht="16.071428571428573" r="172">
      <c r="A172" t="s">
        <v>564</v>
      </c>
      <c r="B172" t="s">
        <v>390</v>
      </c>
      <c r="D172">
        <v>20</v>
      </c>
      <c r="E172">
        <v>73</v>
      </c>
      <c r="F172">
        <v>86</v>
      </c>
      <c r="G172">
        <v>209453.66999999998</v>
      </c>
      <c r="H172">
        <v>69032.58</v>
      </c>
      <c r="I172" s="195">
        <v>3.034127798787181</v>
      </c>
      <c r="J172" s="194"/>
      <c r="L172" s="199" t="s">
        <v>565</v>
      </c>
      <c r="M172">
        <v>1899733.77</v>
      </c>
    </row>
    <row customHeight="true" ht="16.071428571428573" r="173">
      <c r="A173" s="199" t="s">
        <v>566</v>
      </c>
      <c r="B173" s="199" t="s">
        <v>390</v>
      </c>
      <c r="D173" s="199">
        <v>20</v>
      </c>
      <c r="E173" s="199">
        <v>91</v>
      </c>
      <c r="F173">
        <v>104</v>
      </c>
      <c r="G173">
        <v>260241.40000000002</v>
      </c>
      <c r="H173">
        <v>76341.95000000001</v>
      </c>
      <c r="I173" s="195">
        <v>3.4088911797511066</v>
      </c>
      <c r="J173" s="194"/>
      <c r="L173" s="199" t="s">
        <v>567</v>
      </c>
      <c r="M173">
        <v>1862296.47</v>
      </c>
    </row>
    <row customHeight="true" ht="16.071428571428573" r="174">
      <c r="A174" s="199" t="s">
        <v>568</v>
      </c>
      <c r="B174" s="199" t="s">
        <v>390</v>
      </c>
      <c r="D174" s="199">
        <v>20</v>
      </c>
      <c r="E174" s="199">
        <v>84</v>
      </c>
      <c r="F174" s="199">
        <v>100</v>
      </c>
      <c r="G174">
        <v>248257.76</v>
      </c>
      <c r="H174">
        <v>75061.3</v>
      </c>
      <c r="I174" s="195">
        <v>3.30740021822164</v>
      </c>
      <c r="J174" s="194"/>
      <c r="L174" s="199" t="s">
        <v>569</v>
      </c>
      <c r="M174">
        <v>1875849.35</v>
      </c>
    </row>
    <row customHeight="true" ht="16.071428571428573" r="175">
      <c r="A175" s="199" t="s">
        <v>570</v>
      </c>
      <c r="B175" s="199" t="s">
        <v>390</v>
      </c>
      <c r="D175" s="199">
        <v>20</v>
      </c>
      <c r="E175" s="199">
        <v>84</v>
      </c>
      <c r="F175">
        <v>97</v>
      </c>
      <c r="G175">
        <v>231938.66999999998</v>
      </c>
      <c r="H175">
        <v>72553.62</v>
      </c>
      <c r="I175" s="195">
        <v>3.196789767347239</v>
      </c>
      <c r="J175" s="194"/>
    </row>
    <row r="176">
      <c r="A176" s="199" t="s">
        <v>571</v>
      </c>
      <c r="B176" s="199" t="s">
        <v>390</v>
      </c>
      <c r="D176" s="199">
        <v>20</v>
      </c>
      <c r="E176" s="199">
        <v>87</v>
      </c>
      <c r="F176">
        <v>108</v>
      </c>
      <c r="G176">
        <v>262217.39</v>
      </c>
      <c r="H176">
        <v>77517.56999999999</v>
      </c>
      <c r="I176" s="195">
        <v>3.3826833065071575</v>
      </c>
      <c r="J176" s="194"/>
    </row>
    <row r="177">
      <c r="A177" s="199" t="s">
        <v>572</v>
      </c>
      <c r="B177" s="199" t="s">
        <v>390</v>
      </c>
      <c r="D177" s="199">
        <v>20</v>
      </c>
      <c r="E177">
        <v>73</v>
      </c>
      <c r="F177">
        <v>82</v>
      </c>
      <c r="G177">
        <v>216623.22999999998</v>
      </c>
      <c r="H177">
        <v>73689.19</v>
      </c>
      <c r="I177" s="195">
        <v>2.9396880329394306</v>
      </c>
      <c r="J177" s="194"/>
    </row>
    <row r="178">
      <c r="A178" t="s">
        <v>573</v>
      </c>
      <c r="B178" t="s">
        <v>390</v>
      </c>
      <c r="D178">
        <v>20</v>
      </c>
      <c r="E178">
        <v>77</v>
      </c>
      <c r="F178">
        <v>86</v>
      </c>
      <c r="G178">
        <v>219475.75999999998</v>
      </c>
      <c r="H178">
        <v>70460.34</v>
      </c>
      <c r="I178" s="195">
        <v>3.114883635247857</v>
      </c>
      <c r="J178" s="194"/>
    </row>
    <row r="179">
      <c r="A179" t="s">
        <v>574</v>
      </c>
      <c r="B179" t="s">
        <v>390</v>
      </c>
      <c r="D179">
        <v>20</v>
      </c>
      <c r="E179">
        <v>95</v>
      </c>
      <c r="F179">
        <v>107</v>
      </c>
      <c r="G179">
        <v>262604.08999999997</v>
      </c>
      <c r="H179">
        <v>84401.78</v>
      </c>
      <c r="I179" s="195">
        <v>3.1113572486267467</v>
      </c>
      <c r="J179" s="194"/>
    </row>
    <row r="180">
      <c r="A180" s="199" t="s">
        <v>575</v>
      </c>
      <c r="B180" s="199" t="s">
        <v>390</v>
      </c>
      <c r="D180" s="199">
        <v>20</v>
      </c>
      <c r="E180">
        <v>89</v>
      </c>
      <c r="F180">
        <v>107</v>
      </c>
      <c r="G180">
        <v>248931.77000000008</v>
      </c>
      <c r="H180">
        <v>84406.73000000001</v>
      </c>
      <c r="I180" s="195">
        <v>2.9491933877784398</v>
      </c>
      <c r="J180" s="194"/>
    </row>
    <row r="181">
      <c r="A181" s="201" t="s">
        <v>576</v>
      </c>
      <c r="B181" s="201" t="s">
        <v>390</v>
      </c>
      <c r="C181" s="196"/>
      <c r="D181" s="201">
        <v>8</v>
      </c>
      <c r="E181" s="196">
        <v>50</v>
      </c>
      <c r="F181" s="196">
        <v>60</v>
      </c>
      <c r="G181" s="196">
        <v>146392.84999999998</v>
      </c>
      <c r="H181" s="196">
        <v>45283.77</v>
      </c>
      <c r="I181" s="197">
        <v>3.23278848028775</v>
      </c>
      <c r="J181" s="198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</row>
    <row r="182">
      <c r="A182" s="199" t="s">
        <v>577</v>
      </c>
      <c r="B182" s="199" t="s">
        <v>390</v>
      </c>
      <c r="D182" s="199">
        <v>20</v>
      </c>
      <c r="E182">
        <v>96</v>
      </c>
      <c r="F182">
        <v>111</v>
      </c>
      <c r="G182">
        <v>277002.94</v>
      </c>
      <c r="H182">
        <v>86863.74</v>
      </c>
      <c r="I182" s="195">
        <v>3.1889363732208627</v>
      </c>
      <c r="J182" s="194"/>
    </row>
    <row r="183">
      <c r="A183" s="199" t="s">
        <v>578</v>
      </c>
      <c r="B183" s="199" t="s">
        <v>390</v>
      </c>
      <c r="D183" s="199">
        <v>20</v>
      </c>
      <c r="E183">
        <v>83</v>
      </c>
      <c r="F183">
        <v>103</v>
      </c>
      <c r="G183">
        <v>241017.63000000003</v>
      </c>
      <c r="H183">
        <v>81835.14</v>
      </c>
      <c r="I183" s="195">
        <v>2.9451605997130335</v>
      </c>
      <c r="J183" s="194"/>
    </row>
    <row r="184">
      <c r="A184" t="s">
        <v>579</v>
      </c>
      <c r="B184" t="s">
        <v>390</v>
      </c>
      <c r="D184">
        <v>20</v>
      </c>
      <c r="E184">
        <v>75</v>
      </c>
      <c r="F184">
        <v>93</v>
      </c>
      <c r="G184">
        <v>226660.77000000002</v>
      </c>
      <c r="H184">
        <v>80206.74</v>
      </c>
      <c r="I184" s="195">
        <v>2.8259566465361887</v>
      </c>
      <c r="J184" s="194"/>
    </row>
    <row r="185">
      <c r="A185" t="s">
        <v>580</v>
      </c>
      <c r="B185" t="s">
        <v>390</v>
      </c>
      <c r="D185">
        <v>20</v>
      </c>
      <c r="E185">
        <v>103</v>
      </c>
      <c r="F185">
        <v>125</v>
      </c>
      <c r="G185">
        <v>303337.48000000004</v>
      </c>
      <c r="H185">
        <v>87399.23000000001</v>
      </c>
      <c r="I185" s="195">
        <v>3.4707111264023722</v>
      </c>
      <c r="J185" s="194"/>
    </row>
    <row r="186">
      <c r="A186" t="s">
        <v>581</v>
      </c>
      <c r="B186" t="s">
        <v>390</v>
      </c>
      <c r="D186">
        <v>20</v>
      </c>
      <c r="E186">
        <v>95</v>
      </c>
      <c r="F186">
        <v>105</v>
      </c>
      <c r="G186">
        <v>256175.74000000002</v>
      </c>
      <c r="H186">
        <v>85878.83</v>
      </c>
      <c r="I186" s="195">
        <v>2.9829905693871237</v>
      </c>
      <c r="J186" s="194"/>
    </row>
    <row r="187">
      <c r="A187" t="s">
        <v>582</v>
      </c>
      <c r="B187" t="s">
        <v>390</v>
      </c>
      <c r="D187">
        <v>20</v>
      </c>
      <c r="E187">
        <v>74</v>
      </c>
      <c r="F187">
        <v>91</v>
      </c>
      <c r="G187">
        <v>221662.28999999998</v>
      </c>
      <c r="H187">
        <v>75973.82</v>
      </c>
      <c r="I187" s="195">
        <v>2.917614120232469</v>
      </c>
      <c r="J187" s="194"/>
    </row>
    <row r="188">
      <c r="A188" t="s">
        <v>583</v>
      </c>
      <c r="B188" t="s">
        <v>390</v>
      </c>
      <c r="D188">
        <v>20</v>
      </c>
      <c r="E188">
        <v>61</v>
      </c>
      <c r="F188">
        <v>67</v>
      </c>
      <c r="G188">
        <v>170608.81999999998</v>
      </c>
      <c r="H188">
        <v>69760.54</v>
      </c>
      <c r="I188" s="195">
        <v>2.445635025187592</v>
      </c>
      <c r="J188" s="194"/>
    </row>
    <row customHeight="true" ht="16.071428571428573" r="189">
      <c r="A189" t="s">
        <v>584</v>
      </c>
      <c r="B189" t="s">
        <v>390</v>
      </c>
      <c r="D189">
        <v>20</v>
      </c>
      <c r="E189">
        <v>62</v>
      </c>
      <c r="F189">
        <v>73</v>
      </c>
      <c r="G189">
        <v>169021.56</v>
      </c>
      <c r="H189">
        <v>69589.33</v>
      </c>
      <c r="I189" s="195">
        <v>2.428843042460676</v>
      </c>
      <c r="J189" s="194"/>
    </row>
    <row customHeight="true" ht="16.071428571428573" r="190">
      <c r="A190" t="s">
        <v>585</v>
      </c>
      <c r="B190" t="s">
        <v>390</v>
      </c>
      <c r="D190">
        <v>20</v>
      </c>
      <c r="E190">
        <v>59</v>
      </c>
      <c r="F190">
        <v>74</v>
      </c>
      <c r="G190">
        <v>176684.11</v>
      </c>
      <c r="H190">
        <v>64540.86</v>
      </c>
      <c r="I190" s="195">
        <v>2.7375543183031645</v>
      </c>
      <c r="J190" s="194"/>
    </row>
    <row customHeight="true" ht="16.071428571428573" r="191">
      <c r="A191" t="s">
        <v>586</v>
      </c>
      <c r="B191" t="s">
        <v>390</v>
      </c>
      <c r="D191">
        <v>20</v>
      </c>
      <c r="E191">
        <v>67</v>
      </c>
      <c r="F191">
        <v>80</v>
      </c>
      <c r="G191">
        <v>198975.66</v>
      </c>
      <c r="H191">
        <v>56486.81</v>
      </c>
      <c r="I191" s="195">
        <v>3.5225154332489303</v>
      </c>
      <c r="J191" s="194"/>
    </row>
    <row customHeight="true" ht="16.071428571428573" r="192">
      <c r="A192" t="s">
        <v>587</v>
      </c>
      <c r="B192" t="s">
        <v>390</v>
      </c>
      <c r="D192">
        <v>20</v>
      </c>
      <c r="E192">
        <v>57</v>
      </c>
      <c r="F192">
        <v>62</v>
      </c>
      <c r="G192">
        <v>148308.93</v>
      </c>
      <c r="H192">
        <v>57126.170000000006</v>
      </c>
      <c r="I192" s="195">
        <v>2.596164419914725</v>
      </c>
      <c r="J192" s="194"/>
    </row>
    <row customHeight="true" ht="16.071428571428573" r="193">
      <c r="A193" t="s">
        <v>588</v>
      </c>
      <c r="B193" t="s">
        <v>390</v>
      </c>
      <c r="D193">
        <v>20</v>
      </c>
      <c r="E193">
        <v>57</v>
      </c>
      <c r="F193">
        <v>71</v>
      </c>
      <c r="G193">
        <v>177585.02000000002</v>
      </c>
      <c r="H193">
        <v>56832.99</v>
      </c>
      <c r="I193" s="195">
        <v>3.1246819848823724</v>
      </c>
      <c r="J193" s="194"/>
    </row>
    <row customHeight="true" ht="16.071428571428573" r="194">
      <c r="A194" t="s">
        <v>589</v>
      </c>
      <c r="B194" t="s">
        <v>390</v>
      </c>
      <c r="D194">
        <v>20</v>
      </c>
      <c r="E194">
        <v>55</v>
      </c>
      <c r="F194">
        <v>68</v>
      </c>
      <c r="G194">
        <v>154569.71999999997</v>
      </c>
      <c r="H194">
        <v>56188.869999999995</v>
      </c>
      <c r="I194" s="195">
        <v>2.7508956845012187</v>
      </c>
      <c r="J194" s="194"/>
    </row>
    <row customHeight="true" ht="16.071428571428573" r="195">
      <c r="A195" t="s">
        <v>590</v>
      </c>
      <c r="B195" t="s">
        <v>390</v>
      </c>
      <c r="D195">
        <v>20</v>
      </c>
      <c r="E195">
        <v>60</v>
      </c>
      <c r="F195">
        <v>71</v>
      </c>
      <c r="G195">
        <v>177380.26</v>
      </c>
      <c r="H195">
        <v>53760.630000000005</v>
      </c>
      <c r="I195" s="195">
        <v>3.2994453376011403</v>
      </c>
      <c r="J195" s="194"/>
    </row>
    <row customHeight="true" ht="16.071428571428573" r="196">
      <c r="A196" t="s">
        <v>591</v>
      </c>
      <c r="B196" t="s">
        <v>390</v>
      </c>
      <c r="D196">
        <v>20</v>
      </c>
      <c r="E196">
        <v>73</v>
      </c>
      <c r="F196">
        <v>88</v>
      </c>
      <c r="G196">
        <v>212393.33000000002</v>
      </c>
      <c r="H196">
        <v>61374.05</v>
      </c>
      <c r="I196" s="195">
        <v>3.4606373540608777</v>
      </c>
      <c r="J196" s="194"/>
    </row>
    <row customHeight="true" ht="16.071428571428573" r="197">
      <c r="A197" t="s">
        <v>592</v>
      </c>
      <c r="B197" t="s">
        <v>390</v>
      </c>
      <c r="D197">
        <v>20</v>
      </c>
      <c r="E197">
        <v>61</v>
      </c>
      <c r="F197">
        <v>71</v>
      </c>
      <c r="G197">
        <v>179835.92</v>
      </c>
      <c r="H197">
        <v>59054.299999999996</v>
      </c>
      <c r="I197" s="195">
        <v>3.0452637657207013</v>
      </c>
      <c r="J197" s="194"/>
    </row>
    <row customHeight="true" ht="16.071428571428573" r="198">
      <c r="A198" t="s">
        <v>593</v>
      </c>
      <c r="B198" t="s">
        <v>390</v>
      </c>
      <c r="D198">
        <v>20</v>
      </c>
      <c r="E198">
        <v>45</v>
      </c>
      <c r="F198">
        <v>53</v>
      </c>
      <c r="G198">
        <v>124883.58000000002</v>
      </c>
      <c r="H198">
        <v>49229.43000000001</v>
      </c>
      <c r="I198" s="195">
        <v>2.5367667267323633</v>
      </c>
      <c r="J198" s="194"/>
    </row>
    <row customHeight="true" ht="16.071428571428573" r="199">
      <c r="A199" t="s">
        <v>594</v>
      </c>
      <c r="B199" t="s">
        <v>390</v>
      </c>
      <c r="D199">
        <v>20</v>
      </c>
      <c r="E199">
        <v>70</v>
      </c>
      <c r="F199">
        <v>84</v>
      </c>
      <c r="G199">
        <v>217482.12000000002</v>
      </c>
      <c r="H199">
        <v>55795.53</v>
      </c>
      <c r="I199" s="195">
        <v>3.8978412786830776</v>
      </c>
      <c r="J199" s="194"/>
    </row>
    <row customHeight="true" ht="16.071428571428573" r="200">
      <c r="A200" t="s">
        <v>595</v>
      </c>
      <c r="B200" t="s">
        <v>390</v>
      </c>
      <c r="D200">
        <v>20</v>
      </c>
      <c r="E200">
        <v>74</v>
      </c>
      <c r="F200">
        <v>91</v>
      </c>
      <c r="G200">
        <v>231448.19</v>
      </c>
      <c r="H200">
        <v>67204.04</v>
      </c>
      <c r="I200" s="195">
        <v>3.443962446305312</v>
      </c>
      <c r="J200" s="194"/>
    </row>
    <row customHeight="true" ht="16.071428571428573" r="201">
      <c r="A201" s="199" t="s">
        <v>596</v>
      </c>
      <c r="B201" t="s">
        <v>390</v>
      </c>
      <c r="D201">
        <v>20</v>
      </c>
      <c r="E201">
        <v>58</v>
      </c>
      <c r="F201">
        <v>74</v>
      </c>
      <c r="G201">
        <v>170453.61000000004</v>
      </c>
      <c r="H201">
        <v>56557.719999999994</v>
      </c>
      <c r="I201" s="195">
        <v>3.0137991771945556</v>
      </c>
      <c r="J201" s="194"/>
    </row>
    <row customHeight="true" ht="16.071428571428573" r="202">
      <c r="A202" t="s">
        <v>597</v>
      </c>
      <c r="B202" t="s">
        <v>390</v>
      </c>
      <c r="D202">
        <v>20</v>
      </c>
      <c r="E202">
        <v>43</v>
      </c>
      <c r="F202">
        <v>57</v>
      </c>
      <c r="G202">
        <v>137841.27</v>
      </c>
      <c r="H202">
        <v>53344.729999999996</v>
      </c>
      <c r="I202" s="195">
        <v>2.5839716500580283</v>
      </c>
      <c r="J202" s="194"/>
    </row>
    <row customHeight="true" ht="16.071428571428573" r="203">
      <c r="A203" t="s">
        <v>598</v>
      </c>
      <c r="B203" t="s">
        <v>390</v>
      </c>
      <c r="D203">
        <v>20</v>
      </c>
      <c r="E203">
        <v>61</v>
      </c>
      <c r="F203">
        <v>78</v>
      </c>
      <c r="G203">
        <v>200022.11</v>
      </c>
      <c r="H203">
        <v>53416.60999999999</v>
      </c>
      <c r="I203" s="195">
        <v>3.7445676541435335</v>
      </c>
      <c r="J203" s="194"/>
    </row>
    <row r="204">
      <c r="A204" t="s">
        <v>599</v>
      </c>
      <c r="B204" t="s">
        <v>390</v>
      </c>
      <c r="D204">
        <v>20</v>
      </c>
      <c r="E204">
        <v>54</v>
      </c>
      <c r="F204">
        <v>67</v>
      </c>
      <c r="G204">
        <v>163184.66999999998</v>
      </c>
      <c r="H204">
        <v>55035.55</v>
      </c>
      <c r="I204" s="195">
        <v>2.965077481736804</v>
      </c>
      <c r="J204" s="194"/>
    </row>
    <row r="205">
      <c r="A205" t="s">
        <v>600</v>
      </c>
      <c r="B205" t="s">
        <v>390</v>
      </c>
      <c r="D205">
        <v>20</v>
      </c>
      <c r="E205">
        <v>64</v>
      </c>
      <c r="F205" s="199">
        <v>87</v>
      </c>
      <c r="G205" s="199">
        <v>216205.02000000002</v>
      </c>
      <c r="H205" s="199">
        <v>54867.770000000004</v>
      </c>
      <c r="I205" s="195">
        <v>3.9404739795329755</v>
      </c>
      <c r="J205" s="194"/>
    </row>
    <row r="206">
      <c r="A206" s="202" t="s">
        <v>601</v>
      </c>
      <c r="B206" s="199" t="s">
        <v>390</v>
      </c>
      <c r="D206" s="199">
        <v>20</v>
      </c>
      <c r="E206" s="200">
        <v>48</v>
      </c>
      <c r="F206" s="199">
        <v>66</v>
      </c>
      <c r="G206" s="199">
        <v>178207.66</v>
      </c>
      <c r="H206" s="199">
        <v>50294.87</v>
      </c>
      <c r="I206" s="195">
        <v>3.5432571950181</v>
      </c>
      <c r="J206" s="194"/>
    </row>
    <row r="207">
      <c r="A207" t="s">
        <v>602</v>
      </c>
      <c r="B207" t="s">
        <v>390</v>
      </c>
      <c r="D207">
        <v>20</v>
      </c>
      <c r="E207">
        <v>62</v>
      </c>
      <c r="F207" s="199">
        <v>86</v>
      </c>
      <c r="G207">
        <v>208300.71000000002</v>
      </c>
      <c r="H207">
        <v>53750.46</v>
      </c>
      <c r="I207" s="195">
        <v>3.875328880906322</v>
      </c>
      <c r="J207" s="194"/>
    </row>
    <row r="208">
      <c r="A208" t="s">
        <v>603</v>
      </c>
      <c r="B208" s="199" t="s">
        <v>390</v>
      </c>
      <c r="D208" s="199">
        <v>20</v>
      </c>
      <c r="E208" s="199">
        <v>39</v>
      </c>
      <c r="F208" s="199">
        <v>53</v>
      </c>
      <c r="G208">
        <v>127842.97</v>
      </c>
      <c r="H208">
        <v>48220.14</v>
      </c>
      <c r="I208" s="195">
        <v>2.651235977332293</v>
      </c>
      <c r="J208" s="194"/>
    </row>
    <row r="209">
      <c r="A209" t="s">
        <v>604</v>
      </c>
      <c r="B209" t="s">
        <v>390</v>
      </c>
      <c r="D209">
        <v>20</v>
      </c>
      <c r="E209">
        <v>50</v>
      </c>
      <c r="F209">
        <v>64</v>
      </c>
      <c r="G209">
        <v>155252.31000000003</v>
      </c>
      <c r="H209">
        <v>49818.189999999995</v>
      </c>
      <c r="I209" s="195">
        <v>3.11637797358756</v>
      </c>
      <c r="J209" s="194"/>
    </row>
    <row r="210">
      <c r="A210" t="s">
        <v>605</v>
      </c>
      <c r="B210" t="s">
        <v>390</v>
      </c>
      <c r="D210">
        <v>20</v>
      </c>
      <c r="E210">
        <v>43</v>
      </c>
      <c r="F210">
        <v>59</v>
      </c>
      <c r="G210">
        <v>140392.94</v>
      </c>
      <c r="H210">
        <v>41187.310000000005</v>
      </c>
      <c r="I210" s="195">
        <v>3.4086455269839178</v>
      </c>
      <c r="J210" s="194"/>
    </row>
    <row r="211">
      <c r="A211" t="s">
        <v>606</v>
      </c>
      <c r="B211" t="s">
        <v>390</v>
      </c>
      <c r="D211">
        <v>20</v>
      </c>
      <c r="E211">
        <v>38</v>
      </c>
      <c r="F211">
        <v>47</v>
      </c>
      <c r="G211">
        <v>113422.3</v>
      </c>
      <c r="H211">
        <v>38971.18</v>
      </c>
      <c r="I211" s="195">
        <v>2.9104148244933823</v>
      </c>
      <c r="J211" s="194"/>
    </row>
    <row r="212">
      <c r="A212" s="201" t="s">
        <v>607</v>
      </c>
      <c r="B212" s="196" t="s">
        <v>390</v>
      </c>
      <c r="C212" s="196"/>
      <c r="D212" s="196">
        <v>20</v>
      </c>
      <c r="E212" s="196">
        <v>43</v>
      </c>
      <c r="F212" s="196">
        <v>56</v>
      </c>
      <c r="G212" s="196">
        <v>130102.25</v>
      </c>
      <c r="H212" s="196">
        <v>42195.03</v>
      </c>
      <c r="I212" s="203">
        <v>3.08335484060564</v>
      </c>
      <c r="J212" s="198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</row>
    <row r="213">
      <c r="A213" s="199" t="s">
        <v>608</v>
      </c>
      <c r="B213" s="204" t="s">
        <v>390</v>
      </c>
      <c r="D213" s="199">
        <v>20</v>
      </c>
      <c r="E213">
        <v>56</v>
      </c>
      <c r="F213">
        <v>66</v>
      </c>
      <c r="G213">
        <v>162203.19999999998</v>
      </c>
      <c r="H213">
        <v>48914.35</v>
      </c>
      <c r="I213" s="195">
        <v>3.3160657353108034</v>
      </c>
      <c r="J213" s="194"/>
    </row>
    <row r="214">
      <c r="A214" s="199" t="s">
        <v>609</v>
      </c>
      <c r="B214" t="s">
        <v>390</v>
      </c>
      <c r="D214">
        <v>20</v>
      </c>
      <c r="E214">
        <v>46</v>
      </c>
      <c r="F214">
        <v>64</v>
      </c>
      <c r="G214">
        <v>162453.62</v>
      </c>
      <c r="H214">
        <v>45340.65</v>
      </c>
      <c r="I214" s="195">
        <v>3.5829574564987485</v>
      </c>
      <c r="J214" s="194"/>
    </row>
    <row r="215">
      <c r="A215" s="199" t="s">
        <v>610</v>
      </c>
      <c r="B215" t="s">
        <v>390</v>
      </c>
      <c r="D215">
        <v>20</v>
      </c>
      <c r="E215">
        <v>53</v>
      </c>
      <c r="F215">
        <v>64</v>
      </c>
      <c r="G215">
        <v>148618.90999999997</v>
      </c>
      <c r="H215">
        <v>53928.32</v>
      </c>
      <c r="I215" s="195">
        <v>2.75586018626206</v>
      </c>
      <c r="J215" s="194"/>
    </row>
    <row r="216">
      <c r="A216" s="199" t="s">
        <v>611</v>
      </c>
      <c r="B216" t="s">
        <v>390</v>
      </c>
      <c r="D216">
        <v>20</v>
      </c>
      <c r="E216">
        <v>26</v>
      </c>
      <c r="F216">
        <v>38</v>
      </c>
      <c r="G216">
        <v>84659.83</v>
      </c>
      <c r="H216">
        <v>36724.340000000004</v>
      </c>
      <c r="I216" s="195">
        <v>2.305278461096918</v>
      </c>
      <c r="J216" s="205"/>
    </row>
    <row r="217">
      <c r="A217" s="199" t="s">
        <v>612</v>
      </c>
      <c r="B217" t="s">
        <v>390</v>
      </c>
      <c r="D217">
        <v>20</v>
      </c>
      <c r="E217">
        <v>37</v>
      </c>
      <c r="F217">
        <v>49</v>
      </c>
      <c r="G217">
        <v>124921.42000000001</v>
      </c>
      <c r="H217">
        <v>44285.36</v>
      </c>
      <c r="I217" s="200">
        <v>2.820828824695114</v>
      </c>
      <c r="J217" s="194"/>
    </row>
    <row customHeight="true" ht="16.071428571428573" r="218">
      <c r="A218" s="199" t="s">
        <v>613</v>
      </c>
      <c r="B218" t="s">
        <v>390</v>
      </c>
      <c r="D218" s="199">
        <v>20</v>
      </c>
      <c r="E218" s="199">
        <v>70</v>
      </c>
      <c r="F218" s="199">
        <v>86</v>
      </c>
      <c r="G218">
        <v>214339.14000000004</v>
      </c>
      <c r="H218">
        <v>57680.78</v>
      </c>
      <c r="I218" s="195">
        <v>3.7159542572066475</v>
      </c>
      <c r="J218" s="194"/>
    </row>
    <row customHeight="true" ht="16.071428571428573" r="219">
      <c r="A219" s="199" t="s">
        <v>614</v>
      </c>
      <c r="B219" t="s">
        <v>390</v>
      </c>
      <c r="D219">
        <v>20</v>
      </c>
      <c r="E219">
        <v>55</v>
      </c>
      <c r="F219">
        <v>68</v>
      </c>
      <c r="G219">
        <v>163535.78999999998</v>
      </c>
      <c r="H219">
        <v>55251.39</v>
      </c>
      <c r="I219" s="195">
        <v>2.9598493359171596</v>
      </c>
      <c r="J219" s="194"/>
    </row>
    <row customHeight="true" ht="16.071428571428573" r="220">
      <c r="A220" s="199" t="s">
        <v>615</v>
      </c>
      <c r="B220" s="199" t="s">
        <v>390</v>
      </c>
      <c r="D220" s="199">
        <v>20</v>
      </c>
      <c r="E220" s="199">
        <v>68</v>
      </c>
      <c r="F220">
        <v>94</v>
      </c>
      <c r="G220">
        <v>209899.21999999997</v>
      </c>
      <c r="H220">
        <v>64489.99</v>
      </c>
      <c r="I220" s="195">
        <v>3.2547565909065885</v>
      </c>
      <c r="J220" s="194"/>
    </row>
    <row customHeight="true" ht="16.071428571428573" r="221">
      <c r="A221" s="199" t="s">
        <v>616</v>
      </c>
      <c r="B221" s="199" t="s">
        <v>390</v>
      </c>
      <c r="D221" s="199">
        <v>20</v>
      </c>
      <c r="E221">
        <v>65</v>
      </c>
      <c r="F221">
        <v>88</v>
      </c>
      <c r="G221">
        <v>223809.33000000002</v>
      </c>
      <c r="H221">
        <v>65329.23</v>
      </c>
      <c r="I221" s="195">
        <v>3.4258681757002187</v>
      </c>
      <c r="J221" s="194"/>
    </row>
    <row customHeight="true" ht="16.071428571428573" r="222">
      <c r="A222" s="199" t="s">
        <v>617</v>
      </c>
      <c r="B222" s="199" t="s">
        <v>390</v>
      </c>
      <c r="D222" s="199">
        <v>20</v>
      </c>
      <c r="E222">
        <v>35</v>
      </c>
      <c r="F222">
        <v>51</v>
      </c>
      <c r="G222">
        <v>120300.08000000002</v>
      </c>
      <c r="H222">
        <v>42968.149999999994</v>
      </c>
      <c r="I222" s="195">
        <v>2.799750047418845</v>
      </c>
      <c r="J222" s="194"/>
    </row>
    <row customHeight="true" ht="16.071428571428573" r="223">
      <c r="A223" s="199" t="s">
        <v>618</v>
      </c>
      <c r="B223" s="199" t="s">
        <v>390</v>
      </c>
      <c r="D223" s="199">
        <v>20</v>
      </c>
      <c r="E223">
        <v>47</v>
      </c>
      <c r="F223">
        <v>63</v>
      </c>
      <c r="G223">
        <v>152296.21</v>
      </c>
      <c r="H223">
        <v>50414.659999999996</v>
      </c>
      <c r="I223" s="195">
        <v>3.020871508406483</v>
      </c>
      <c r="J223" s="194"/>
    </row>
    <row customHeight="true" ht="16.071428571428573" r="224">
      <c r="A224" s="199" t="s">
        <v>619</v>
      </c>
      <c r="B224" s="199" t="s">
        <v>390</v>
      </c>
      <c r="D224" s="199">
        <v>20</v>
      </c>
      <c r="E224" s="199">
        <v>38</v>
      </c>
      <c r="F224" s="199">
        <v>47</v>
      </c>
      <c r="G224">
        <v>107963.55</v>
      </c>
      <c r="H224">
        <v>39454.12</v>
      </c>
      <c r="I224" s="195">
        <v>2.7364328490915524</v>
      </c>
      <c r="J224" s="194"/>
    </row>
    <row customHeight="true" ht="16.071428571428573" r="225">
      <c r="A225" s="199" t="s">
        <v>620</v>
      </c>
      <c r="B225" s="199" t="s">
        <v>390</v>
      </c>
      <c r="D225" s="199">
        <v>20</v>
      </c>
      <c r="E225">
        <v>27</v>
      </c>
      <c r="F225">
        <v>37</v>
      </c>
      <c r="G225">
        <v>88651.93999999999</v>
      </c>
      <c r="H225">
        <v>32254.2</v>
      </c>
      <c r="I225" s="195">
        <f>G225/H225</f>
      </c>
      <c r="J225" s="194"/>
    </row>
    <row customHeight="true" ht="16.071428571428573" r="226">
      <c r="A226" s="199" t="s">
        <v>621</v>
      </c>
      <c r="B226" s="199" t="s">
        <v>390</v>
      </c>
      <c r="D226" s="199">
        <v>20</v>
      </c>
      <c r="E226">
        <v>35</v>
      </c>
      <c r="F226">
        <v>48</v>
      </c>
      <c r="G226">
        <v>121017.9</v>
      </c>
      <c r="H226">
        <v>39188.409999999996</v>
      </c>
      <c r="I226" s="195">
        <v>3.0881043655509375</v>
      </c>
      <c r="J226" s="194"/>
    </row>
    <row customHeight="true" ht="16.071428571428573" r="227">
      <c r="A227" s="199" t="s">
        <v>622</v>
      </c>
      <c r="B227" s="199" t="s">
        <v>390</v>
      </c>
      <c r="D227" s="199">
        <v>20</v>
      </c>
      <c r="E227">
        <v>70</v>
      </c>
      <c r="F227">
        <v>97</v>
      </c>
      <c r="G227">
        <v>227688.1</v>
      </c>
      <c r="H227">
        <v>66307.31</v>
      </c>
      <c r="I227" s="195">
        <f t="shared" ref="I227:I228" si="2">G227/H227</f>
      </c>
      <c r="J227" s="194"/>
    </row>
    <row r="228">
      <c r="A228" s="199" t="s">
        <v>623</v>
      </c>
      <c r="B228" s="199" t="s">
        <v>390</v>
      </c>
      <c r="D228" s="199">
        <v>20</v>
      </c>
      <c r="E228">
        <v>63</v>
      </c>
      <c r="F228">
        <v>82</v>
      </c>
      <c r="G228">
        <v>201648.59000000003</v>
      </c>
      <c r="H228">
        <v>59832.92</v>
      </c>
      <c r="I228" s="195">
        <f t="shared" si="2"/>
      </c>
      <c r="J228" s="194"/>
    </row>
    <row r="229">
      <c r="A229" s="199" t="s">
        <v>624</v>
      </c>
      <c r="B229" s="199" t="s">
        <v>390</v>
      </c>
      <c r="D229" s="199">
        <v>20</v>
      </c>
      <c r="E229">
        <v>62</v>
      </c>
      <c r="F229">
        <v>79</v>
      </c>
      <c r="G229">
        <v>184106.06</v>
      </c>
      <c r="H229">
        <v>60366.14</v>
      </c>
      <c r="I229" s="195">
        <v>3.049823294979603</v>
      </c>
      <c r="J229" s="194"/>
    </row>
    <row r="230">
      <c r="A230" s="199" t="s">
        <v>625</v>
      </c>
      <c r="B230" s="199" t="s">
        <v>390</v>
      </c>
      <c r="D230" s="199">
        <v>20</v>
      </c>
      <c r="E230">
        <v>69</v>
      </c>
      <c r="F230">
        <v>81</v>
      </c>
      <c r="G230">
        <v>205889.27000000005</v>
      </c>
      <c r="H230">
        <v>69403.51999999999</v>
      </c>
      <c r="I230" s="195">
        <f t="shared" ref="I230:I231" si="3">G230/H230</f>
      </c>
      <c r="J230" s="194"/>
    </row>
    <row r="231">
      <c r="A231" s="199" t="s">
        <v>626</v>
      </c>
      <c r="B231" s="199" t="s">
        <v>390</v>
      </c>
      <c r="D231" s="199">
        <v>20</v>
      </c>
      <c r="E231">
        <v>45</v>
      </c>
      <c r="F231">
        <v>63</v>
      </c>
      <c r="G231">
        <v>164797.73000000004</v>
      </c>
      <c r="H231">
        <v>54576.49999999999</v>
      </c>
      <c r="I231" s="195">
        <f t="shared" si="3"/>
      </c>
      <c r="J231" s="194"/>
    </row>
    <row r="232">
      <c r="A232" s="199" t="s">
        <v>627</v>
      </c>
      <c r="B232" s="199" t="s">
        <v>390</v>
      </c>
      <c r="D232">
        <v>20</v>
      </c>
      <c r="E232">
        <v>53</v>
      </c>
      <c r="F232">
        <v>64</v>
      </c>
      <c r="G232">
        <v>156088.84000000003</v>
      </c>
      <c r="H232">
        <v>52754.270000000004</v>
      </c>
      <c r="I232" s="195">
        <v>2.9587906343884582</v>
      </c>
      <c r="J232" s="194"/>
    </row>
    <row r="233">
      <c r="A233" s="199" t="s">
        <v>628</v>
      </c>
      <c r="B233" s="199" t="s">
        <v>390</v>
      </c>
      <c r="D233">
        <v>20</v>
      </c>
      <c r="E233" s="199">
        <v>64</v>
      </c>
      <c r="F233">
        <v>79</v>
      </c>
      <c r="G233">
        <v>199708.82</v>
      </c>
      <c r="H233">
        <v>70930.78</v>
      </c>
      <c r="I233" s="195">
        <v>2.815545240021328</v>
      </c>
      <c r="J233" s="194">
        <f t="shared" ref="J233:J236" si="0">H233/D233</f>
      </c>
    </row>
    <row r="234">
      <c r="A234" s="199" t="s">
        <v>629</v>
      </c>
      <c r="B234" s="199" t="s">
        <v>390</v>
      </c>
      <c r="D234">
        <v>20</v>
      </c>
      <c r="E234">
        <v>65</v>
      </c>
      <c r="F234" s="199">
        <v>86</v>
      </c>
      <c r="G234">
        <v>216871.81</v>
      </c>
      <c r="H234">
        <v>63197.97</v>
      </c>
      <c r="I234" s="195">
        <v>3.4316262057151516</v>
      </c>
      <c r="J234" s="194">
        <f t="shared" si="0"/>
      </c>
    </row>
    <row r="235">
      <c r="A235" s="199" t="s">
        <v>630</v>
      </c>
      <c r="B235" s="199" t="s">
        <v>390</v>
      </c>
      <c r="D235">
        <v>20</v>
      </c>
      <c r="E235">
        <v>41</v>
      </c>
      <c r="F235" s="199">
        <v>56</v>
      </c>
      <c r="G235">
        <v>137171.58000000002</v>
      </c>
      <c r="H235">
        <v>51795.1</v>
      </c>
      <c r="I235" s="195">
        <v>2.6483505196437505</v>
      </c>
      <c r="J235" s="194">
        <f t="shared" si="0"/>
      </c>
    </row>
    <row r="236">
      <c r="A236" s="199" t="s">
        <v>631</v>
      </c>
      <c r="B236" s="199" t="s">
        <v>390</v>
      </c>
      <c r="D236">
        <v>20</v>
      </c>
      <c r="E236">
        <v>67</v>
      </c>
      <c r="F236" s="199">
        <v>73</v>
      </c>
      <c r="G236">
        <v>173920.87999999995</v>
      </c>
      <c r="H236">
        <v>64712.58</v>
      </c>
      <c r="I236" s="195">
        <v>2.6875899554615184</v>
      </c>
      <c r="J236" s="194">
        <f t="shared" si="0"/>
      </c>
    </row>
    <row r="237">
      <c r="A237" s="201" t="s">
        <v>632</v>
      </c>
      <c r="B237" s="201" t="s">
        <v>390</v>
      </c>
      <c r="C237" s="196"/>
      <c r="D237" s="196">
        <v>18</v>
      </c>
      <c r="E237" s="196">
        <v>36</v>
      </c>
      <c r="F237" s="201">
        <v>44</v>
      </c>
      <c r="G237" s="196">
        <v>111568.76999999999</v>
      </c>
      <c r="H237" s="196">
        <v>43854.27999999999</v>
      </c>
      <c r="I237" s="197">
        <v>2.544079392022854</v>
      </c>
      <c r="J237" s="198">
        <v>2436.3488888888883</v>
      </c>
      <c r="M237" s="206"/>
      <c r="N237" s="194"/>
    </row>
    <row r="238">
      <c r="A238" s="199" t="s">
        <v>633</v>
      </c>
      <c r="B238" s="199" t="s">
        <v>390</v>
      </c>
      <c r="F238" s="199"/>
      <c r="I238" s="195" t="str">
        <v>#DIV/0!</v>
      </c>
      <c r="J238" s="194" t="str">
        <v>#DIV/0!</v>
      </c>
    </row>
    <row customHeight="true" ht="16.071428571428573" r="239">
      <c r="A239" s="199" t="s">
        <v>634</v>
      </c>
      <c r="B239" s="199" t="s">
        <v>390</v>
      </c>
      <c r="F239" s="199"/>
      <c r="I239" s="195" t="str">
        <v>#DIV/0!</v>
      </c>
      <c r="J239" s="194" t="str">
        <v>#DIV/0!</v>
      </c>
    </row>
    <row customHeight="true" ht="16.071428571428573" r="240">
      <c r="A240" s="199" t="s">
        <v>635</v>
      </c>
      <c r="B240" s="199" t="s">
        <v>390</v>
      </c>
      <c r="F240" s="199"/>
      <c r="I240" s="195" t="str">
        <v>#DIV/0!</v>
      </c>
      <c r="J240" s="194" t="str">
        <v>#DIV/0!</v>
      </c>
    </row>
    <row customHeight="true" ht="16.071428571428573" r="241">
      <c r="A241" s="199" t="s">
        <v>636</v>
      </c>
      <c r="B241" s="199" t="s">
        <v>390</v>
      </c>
      <c r="F241" s="199"/>
      <c r="I241" s="195" t="str">
        <v>#DIV/0!</v>
      </c>
      <c r="J241" s="194" t="str">
        <v>#DIV/0!</v>
      </c>
    </row>
    <row customHeight="true" ht="16.071428571428573" r="242">
      <c r="A242" s="199" t="s">
        <v>637</v>
      </c>
      <c r="B242" s="199" t="s">
        <v>390</v>
      </c>
      <c r="F242" s="199"/>
      <c r="I242" s="195" t="str">
        <v>#DIV/0!</v>
      </c>
      <c r="J242" s="194" t="str">
        <v>#DIV/0!</v>
      </c>
    </row>
    <row customHeight="true" ht="16.071428571428573" r="243">
      <c r="A243" s="199" t="s">
        <v>638</v>
      </c>
      <c r="B243" s="199" t="s">
        <v>390</v>
      </c>
      <c r="F243" s="199"/>
      <c r="I243" s="195" t="str">
        <v>#DIV/0!</v>
      </c>
      <c r="J243" s="194" t="str">
        <v>#DIV/0!</v>
      </c>
    </row>
    <row customHeight="true" ht="16.071428571428573" r="244">
      <c r="A244" s="199" t="s">
        <v>639</v>
      </c>
      <c r="B244" s="199" t="s">
        <v>390</v>
      </c>
      <c r="F244" s="199"/>
      <c r="I244" s="195" t="str">
        <v>#DIV/0!</v>
      </c>
      <c r="J244" s="194" t="str">
        <v>#DIV/0!</v>
      </c>
    </row>
    <row customHeight="true" ht="16.071428571428573" r="245">
      <c r="A245" s="199" t="s">
        <v>640</v>
      </c>
      <c r="B245" s="199" t="s">
        <v>390</v>
      </c>
      <c r="F245" s="199"/>
      <c r="I245" s="195"/>
      <c r="J245" s="194" t="str">
        <v>#DIV/0!</v>
      </c>
    </row>
    <row customHeight="true" ht="16.071428571428573" r="246">
      <c r="A246" s="199" t="s">
        <v>641</v>
      </c>
      <c r="B246" s="199" t="s">
        <v>390</v>
      </c>
      <c r="F246" s="199"/>
      <c r="I246" s="195"/>
      <c r="J246" s="194" t="str">
        <v>#DIV/0!</v>
      </c>
    </row>
    <row customHeight="true" ht="16.071428571428573" r="247">
      <c r="A247" s="199" t="s">
        <v>642</v>
      </c>
      <c r="B247" s="199" t="s">
        <v>390</v>
      </c>
      <c r="F247" s="199"/>
      <c r="I247" s="195"/>
      <c r="J247" s="194" t="str">
        <v>#DIV/0!</v>
      </c>
    </row>
    <row customHeight="true" ht="16.071428571428573" r="248">
      <c r="A248" s="199" t="s">
        <v>643</v>
      </c>
      <c r="B248" s="199" t="s">
        <v>390</v>
      </c>
      <c r="F248" s="199"/>
      <c r="I248" s="195"/>
      <c r="J248" s="194" t="str">
        <v>#DIV/0!</v>
      </c>
    </row>
    <row customHeight="true" ht="16.071428571428573" r="249">
      <c r="A249" s="199" t="s">
        <v>644</v>
      </c>
      <c r="B249" s="199" t="s">
        <v>390</v>
      </c>
      <c r="F249" s="199"/>
      <c r="I249" s="195"/>
      <c r="J249" s="194" t="str">
        <v>#DIV/0!</v>
      </c>
    </row>
    <row customHeight="true" ht="16.071428571428573" r="250">
      <c r="A250" s="199" t="s">
        <v>645</v>
      </c>
      <c r="B250" s="199" t="s">
        <v>390</v>
      </c>
      <c r="F250" s="199"/>
      <c r="I250" s="195"/>
      <c r="J250" s="194" t="str">
        <v>#DIV/0!</v>
      </c>
    </row>
    <row customHeight="true" ht="16.071428571428573" r="251">
      <c r="A251" s="199" t="s">
        <v>646</v>
      </c>
      <c r="B251" s="199" t="s">
        <v>390</v>
      </c>
      <c r="F251" s="199"/>
      <c r="I251" s="195"/>
      <c r="J251" s="194" t="str">
        <v>#DIV/0!</v>
      </c>
    </row>
    <row customHeight="true" ht="16.071428571428573" r="252">
      <c r="A252" s="199" t="s">
        <v>647</v>
      </c>
      <c r="B252" s="199" t="s">
        <v>390</v>
      </c>
      <c r="F252" s="199"/>
      <c r="I252" s="195"/>
      <c r="J252" s="194" t="str">
        <v>#DIV/0!</v>
      </c>
    </row>
    <row customHeight="true" ht="16.071428571428573" r="253">
      <c r="A253" s="199" t="s">
        <v>648</v>
      </c>
      <c r="B253" s="199" t="s">
        <v>390</v>
      </c>
      <c r="F253" s="199"/>
      <c r="I253" s="195"/>
      <c r="J253" s="194" t="str">
        <v>#DIV/0!</v>
      </c>
    </row>
    <row customHeight="true" ht="16.071428571428573" r="254">
      <c r="A254" s="199" t="s">
        <v>649</v>
      </c>
      <c r="B254" s="199" t="s">
        <v>390</v>
      </c>
      <c r="F254" s="199"/>
      <c r="I254" s="195"/>
      <c r="J254" s="194" t="str">
        <v>#DIV/0!</v>
      </c>
    </row>
    <row customHeight="true" ht="16.071428571428573" r="255">
      <c r="A255" s="199" t="s">
        <v>650</v>
      </c>
      <c r="B255" s="199" t="s">
        <v>390</v>
      </c>
      <c r="F255" s="199"/>
      <c r="I255" s="195"/>
      <c r="J255" s="194" t="str">
        <v>#DIV/0!</v>
      </c>
    </row>
    <row customHeight="true" ht="16.071428571428573" r="256">
      <c r="A256" s="199" t="s">
        <v>651</v>
      </c>
      <c r="B256" s="199" t="s">
        <v>390</v>
      </c>
      <c r="F256" s="199"/>
      <c r="I256" s="195"/>
      <c r="J256" s="194" t="str">
        <v>#DIV/0!</v>
      </c>
    </row>
    <row customHeight="true" ht="16.071428571428573" r="257">
      <c r="A257" s="199" t="s">
        <v>652</v>
      </c>
      <c r="B257" s="199" t="s">
        <v>390</v>
      </c>
      <c r="F257" s="199"/>
      <c r="I257" s="195"/>
      <c r="J257" s="194" t="str">
        <v>#DIV/0!</v>
      </c>
    </row>
    <row customHeight="true" ht="16.071428571428573" r="258">
      <c r="A258" s="199" t="s">
        <v>653</v>
      </c>
      <c r="B258" s="199" t="s">
        <v>390</v>
      </c>
      <c r="F258" s="199"/>
      <c r="I258" s="195"/>
      <c r="J258" s="194" t="str">
        <v>#DIV/0!</v>
      </c>
    </row>
    <row customHeight="true" ht="16.071428571428573" r="259">
      <c r="A259" s="199" t="s">
        <v>654</v>
      </c>
      <c r="B259" s="199" t="s">
        <v>390</v>
      </c>
      <c r="F259" s="199"/>
      <c r="I259" s="195"/>
      <c r="J259" s="194" t="str">
        <v>#DIV/0!</v>
      </c>
    </row>
    <row customHeight="true" ht="16.071428571428573" r="260">
      <c r="A260" s="199" t="s">
        <v>655</v>
      </c>
      <c r="B260" s="199" t="s">
        <v>390</v>
      </c>
      <c r="F260" s="199"/>
      <c r="I260" s="195"/>
      <c r="J260" s="194" t="str">
        <v>#DIV/0!</v>
      </c>
    </row>
    <row customHeight="true" ht="16.071428571428573" r="261">
      <c r="A261" s="199" t="s">
        <v>656</v>
      </c>
      <c r="B261" s="199" t="s">
        <v>390</v>
      </c>
      <c r="F261" s="199"/>
      <c r="I261" s="195"/>
      <c r="J261" s="194" t="str">
        <v>#DIV/0!</v>
      </c>
    </row>
    <row customHeight="true" ht="16.071428571428573" r="262">
      <c r="A262" s="199" t="s">
        <v>657</v>
      </c>
      <c r="B262" s="199" t="s">
        <v>390</v>
      </c>
      <c r="F262" s="199"/>
      <c r="I262" s="195"/>
      <c r="J262" s="194" t="str">
        <v>#DIV/0!</v>
      </c>
    </row>
    <row customHeight="true" ht="16.071428571428573" r="263">
      <c r="A263" s="199" t="s">
        <v>658</v>
      </c>
      <c r="B263" s="199" t="s">
        <v>390</v>
      </c>
      <c r="F263" s="199"/>
      <c r="I263" s="195"/>
      <c r="J263" s="194" t="str">
        <v>#DIV/0!</v>
      </c>
    </row>
    <row customHeight="true" ht="16.071428571428573" r="264">
      <c r="A264" s="199" t="s">
        <v>659</v>
      </c>
      <c r="B264" s="199" t="s">
        <v>390</v>
      </c>
      <c r="F264" s="199"/>
      <c r="I264" s="195"/>
      <c r="J264" s="194" t="str">
        <v>#DIV/0!</v>
      </c>
    </row>
    <row customHeight="true" ht="16.071428571428573" r="265">
      <c r="A265" s="199" t="s">
        <v>660</v>
      </c>
      <c r="B265" s="199" t="s">
        <v>390</v>
      </c>
      <c r="F265" s="199"/>
      <c r="I265" s="195"/>
      <c r="J265" s="194" t="str">
        <v>#DIV/0!</v>
      </c>
    </row>
    <row customHeight="true" ht="16.071428571428573" r="266">
      <c r="A266" s="199"/>
      <c r="B266" s="199"/>
      <c r="F266" s="199"/>
      <c r="I266" s="195"/>
      <c r="J266" s="194"/>
    </row>
    <row customHeight="true" ht="16.071428571428573" r="267">
      <c r="A267" s="199"/>
      <c r="B267" s="199"/>
      <c r="F267" s="199"/>
      <c r="I267" s="195"/>
      <c r="J267" s="194"/>
    </row>
    <row customHeight="true" ht="16.071428571428573" r="268">
      <c r="A268" s="199"/>
      <c r="B268" s="199"/>
      <c r="F268" s="199"/>
      <c r="I268" s="195"/>
      <c r="J268" s="194"/>
    </row>
    <row customHeight="true" ht="16.071428571428573" r="269">
      <c r="A269" s="199"/>
      <c r="B269" s="199"/>
      <c r="F269" s="199"/>
      <c r="I269" s="195"/>
      <c r="J269" s="194"/>
    </row>
    <row r="270">
      <c r="D270" s="207">
        <f>SUM(D238:D244)</f>
      </c>
      <c r="F270" s="199" t="s">
        <v>661</v>
      </c>
      <c r="G270" s="207">
        <f>SUM(G238:G244)</f>
      </c>
      <c r="H270" s="207">
        <f>SUM(H238:H244)</f>
      </c>
      <c r="I270" s="206">
        <f t="shared" ref="I270:I272" si="4">G270/H270</f>
      </c>
      <c r="J270" s="194">
        <f t="shared" ref="J270:J272" si="1">G270/(H270+D270*500)</f>
      </c>
    </row>
    <row r="271">
      <c r="D271">
        <f>SUM(D237:D247)</f>
      </c>
      <c r="F271" s="199" t="s">
        <v>662</v>
      </c>
      <c r="G271">
        <f>SUM(G237:G247)</f>
      </c>
      <c r="H271">
        <f>SUM(H237:H247)</f>
      </c>
      <c r="I271" s="206">
        <f t="shared" si="4"/>
      </c>
      <c r="J271" s="194">
        <f t="shared" si="1"/>
      </c>
    </row>
    <row r="272">
      <c r="D272">
        <f>SUM(D2:D267)</f>
      </c>
      <c r="F272" s="199" t="s">
        <v>663</v>
      </c>
      <c r="G272">
        <f>SUM(G2:G267)</f>
      </c>
      <c r="H272">
        <f>SUM(H2:H267)</f>
      </c>
      <c r="I272" s="206">
        <f t="shared" si="4"/>
      </c>
      <c r="J272" s="194">
        <f t="shared" si="1"/>
      </c>
    </row>
    <row r="273">
      <c r="F273" s="199"/>
      <c r="I273" s="206"/>
      <c r="J273" s="194"/>
    </row>
    <row r="274">
      <c r="F274" s="199"/>
      <c r="I274" s="206"/>
      <c r="J274" s="194"/>
    </row>
    <row r="275">
      <c r="F275" s="199"/>
      <c r="G275" s="206">
        <f>G271/22</f>
      </c>
      <c r="H275" s="208">
        <f>H271/D271</f>
      </c>
      <c r="I275" s="206"/>
      <c r="J275" s="194"/>
    </row>
    <row r="276">
      <c r="F276" s="199"/>
      <c r="I276" s="206"/>
      <c r="J276" s="194"/>
    </row>
    <row r="277">
      <c r="F277" s="199"/>
      <c r="I277" s="206"/>
      <c r="J277" s="194"/>
    </row>
    <row r="278">
      <c r="F278" s="199"/>
      <c r="I278" s="206"/>
      <c r="J278" s="194"/>
    </row>
    <row r="279">
      <c r="F279" s="199"/>
      <c r="I279" s="206"/>
      <c r="J279" s="194"/>
    </row>
    <row r="280">
      <c r="F280" s="199"/>
      <c r="I280" s="206"/>
      <c r="J280" s="194"/>
    </row>
    <row r="281">
      <c r="F281" s="199"/>
      <c r="I281" s="206"/>
      <c r="J281" s="194"/>
    </row>
    <row r="282">
      <c r="F282" s="199"/>
      <c r="I282" s="206"/>
      <c r="J282" s="194"/>
    </row>
    <row r="283">
      <c r="F283" s="199"/>
      <c r="I283" s="206"/>
      <c r="J283" s="194"/>
    </row>
    <row r="284">
      <c r="F284" s="199"/>
      <c r="I284" s="206"/>
      <c r="J284" s="194"/>
    </row>
    <row r="285">
      <c r="F285" s="199"/>
      <c r="I285" s="206"/>
      <c r="J285" s="194"/>
    </row>
    <row r="286">
      <c r="F286" s="199"/>
      <c r="I286" s="206"/>
      <c r="J286" s="194"/>
    </row>
    <row r="287">
      <c r="F287" s="199"/>
      <c r="I287" s="206"/>
      <c r="J287" s="194"/>
    </row>
    <row r="288">
      <c r="F288" s="199"/>
      <c r="I288" s="206"/>
      <c r="J288" s="194"/>
    </row>
    <row r="289">
      <c r="F289" s="199"/>
      <c r="I289" s="206"/>
      <c r="J289" s="194"/>
    </row>
    <row r="290">
      <c r="F290" s="199"/>
      <c r="I290" s="206"/>
      <c r="J290" s="194"/>
    </row>
    <row r="291">
      <c r="F291" s="199"/>
      <c r="I291" s="206"/>
      <c r="J291" s="194"/>
    </row>
    <row r="292">
      <c r="F292" s="199"/>
      <c r="I292" s="206"/>
      <c r="J292" s="194"/>
    </row>
    <row r="293">
      <c r="F293" s="199"/>
      <c r="I293" s="206"/>
      <c r="J293" s="194"/>
    </row>
    <row r="294">
      <c r="F294" s="199"/>
      <c r="I294" s="206"/>
      <c r="J294" s="194"/>
    </row>
    <row r="295">
      <c r="F295" s="199"/>
      <c r="I295" s="206"/>
      <c r="J295" s="194"/>
    </row>
    <row r="296">
      <c r="F296" s="199"/>
      <c r="I296" s="206"/>
      <c r="J296" s="194"/>
    </row>
    <row r="297">
      <c r="F297" s="199"/>
      <c r="I297" s="206"/>
      <c r="J297" s="194"/>
    </row>
    <row r="298">
      <c r="F298" s="199"/>
      <c r="I298" s="206"/>
      <c r="J298" s="194"/>
    </row>
    <row r="299">
      <c r="F299" s="199"/>
      <c r="I299" s="206"/>
      <c r="J299" s="194"/>
    </row>
    <row r="300">
      <c r="F300" s="199"/>
      <c r="I300" s="206"/>
      <c r="J300" s="194"/>
    </row>
    <row r="301">
      <c r="F301" s="199"/>
      <c r="I301" s="206"/>
      <c r="J301" s="194"/>
    </row>
    <row r="302">
      <c r="F302" s="199"/>
      <c r="I302" s="206"/>
      <c r="J302" s="194"/>
    </row>
    <row r="303">
      <c r="F303" s="199"/>
      <c r="I303" s="206"/>
      <c r="J303" s="194"/>
    </row>
    <row r="304">
      <c r="F304" s="199"/>
      <c r="I304" s="206"/>
      <c r="J304" s="194"/>
    </row>
    <row r="305">
      <c r="F305" s="199"/>
      <c r="I305" s="206"/>
      <c r="J305" s="194"/>
    </row>
    <row r="306">
      <c r="F306" s="199"/>
      <c r="I306" s="206"/>
      <c r="J306" s="194"/>
    </row>
    <row r="307">
      <c r="F307" s="199"/>
      <c r="I307" s="206"/>
      <c r="J307" s="194"/>
    </row>
    <row r="308">
      <c r="F308" s="199"/>
      <c r="I308" s="206"/>
      <c r="J308" s="194"/>
    </row>
    <row r="309">
      <c r="F309" s="199"/>
      <c r="I309" s="206"/>
      <c r="J309" s="194"/>
    </row>
    <row r="310">
      <c r="F310" s="199"/>
      <c r="I310" s="206"/>
      <c r="J310" s="194"/>
    </row>
    <row r="311">
      <c r="F311" s="199"/>
      <c r="I311" s="206"/>
      <c r="J311" s="194"/>
    </row>
    <row r="312">
      <c r="F312" s="199"/>
      <c r="I312" s="206"/>
      <c r="J312" s="194"/>
    </row>
    <row r="313">
      <c r="F313" s="199"/>
      <c r="I313" s="206"/>
      <c r="J313" s="194"/>
    </row>
    <row r="314">
      <c r="F314" s="199"/>
      <c r="I314" s="206"/>
      <c r="J314" s="194"/>
    </row>
    <row r="315">
      <c r="F315" s="199"/>
      <c r="I315" s="206"/>
      <c r="J315" s="194"/>
    </row>
    <row r="316">
      <c r="F316" s="199"/>
      <c r="I316" s="206"/>
      <c r="J316" s="194"/>
    </row>
    <row r="317">
      <c r="F317" s="199"/>
      <c r="I317" s="206"/>
      <c r="J317" s="194"/>
    </row>
    <row r="318">
      <c r="F318" s="199"/>
      <c r="I318" s="206"/>
      <c r="J318" s="194"/>
    </row>
    <row r="319">
      <c r="F319" s="199"/>
      <c r="I319" s="206"/>
      <c r="J319" s="194"/>
    </row>
    <row r="320">
      <c r="F320" s="199"/>
      <c r="I320" s="206"/>
      <c r="J320" s="194"/>
    </row>
    <row r="321">
      <c r="F321" s="199"/>
      <c r="I321" s="206"/>
      <c r="J321" s="194"/>
    </row>
    <row r="322">
      <c r="F322" s="199"/>
      <c r="I322" s="206"/>
      <c r="J322" s="194"/>
    </row>
    <row r="323">
      <c r="F323" s="199"/>
      <c r="I323" s="206"/>
      <c r="J323" s="194"/>
    </row>
    <row r="324">
      <c r="F324" s="199"/>
      <c r="I324" s="206"/>
      <c r="J324" s="194"/>
    </row>
    <row r="325">
      <c r="F325" s="199"/>
      <c r="I325" s="206"/>
      <c r="J325" s="194"/>
    </row>
    <row r="326">
      <c r="F326" s="199"/>
      <c r="I326" s="206"/>
      <c r="J326" s="194"/>
    </row>
    <row r="327">
      <c r="F327" s="199"/>
      <c r="I327" s="206"/>
      <c r="J327" s="194"/>
    </row>
    <row r="328">
      <c r="F328" s="199"/>
      <c r="I328" s="206"/>
      <c r="J328" s="194"/>
    </row>
    <row r="329">
      <c r="F329" s="199"/>
      <c r="I329" s="206"/>
      <c r="J329" s="194"/>
    </row>
    <row r="330">
      <c r="F330" s="199"/>
      <c r="I330" s="206"/>
      <c r="J330" s="194"/>
    </row>
    <row r="331">
      <c r="F331" s="199"/>
      <c r="I331" s="206"/>
      <c r="J331" s="194"/>
    </row>
    <row r="332">
      <c r="F332" s="199"/>
      <c r="I332" s="206"/>
      <c r="J332" s="194"/>
    </row>
    <row r="333">
      <c r="F333" s="199"/>
      <c r="I333" s="206"/>
      <c r="J333" s="194"/>
    </row>
    <row r="334">
      <c r="F334" s="199"/>
      <c r="I334" s="206"/>
      <c r="J334" s="194"/>
    </row>
    <row r="335">
      <c r="F335" s="199"/>
      <c r="I335" s="206"/>
      <c r="J335" s="194"/>
    </row>
    <row r="336">
      <c r="F336" s="199"/>
      <c r="I336" s="206"/>
      <c r="J336" s="194"/>
    </row>
    <row r="337">
      <c r="F337" s="199"/>
      <c r="I337" s="206"/>
      <c r="J337" s="194"/>
    </row>
    <row r="338">
      <c r="F338" s="199"/>
      <c r="I338" s="206"/>
      <c r="J338" s="194"/>
    </row>
    <row r="339">
      <c r="F339" s="199"/>
      <c r="I339" s="206"/>
      <c r="J339" s="194"/>
    </row>
    <row r="340">
      <c r="F340" s="199"/>
      <c r="I340" s="206"/>
      <c r="J340" s="194"/>
    </row>
    <row r="341">
      <c r="F341" s="199"/>
      <c r="I341" s="206"/>
      <c r="J341" s="194"/>
    </row>
    <row r="342">
      <c r="F342" s="199"/>
      <c r="I342" s="206"/>
      <c r="J342" s="194"/>
    </row>
    <row r="343">
      <c r="F343" s="199"/>
      <c r="I343" s="206"/>
      <c r="J343" s="194"/>
    </row>
    <row r="344">
      <c r="F344" s="199"/>
      <c r="I344" s="206"/>
      <c r="J344" s="194"/>
    </row>
    <row r="345">
      <c r="F345" s="199"/>
      <c r="I345" s="206"/>
      <c r="J345" s="194"/>
    </row>
    <row r="346">
      <c r="F346" s="199"/>
      <c r="I346" s="206"/>
      <c r="J346" s="194"/>
    </row>
    <row r="347">
      <c r="F347" s="199"/>
      <c r="I347" s="206"/>
      <c r="J347" s="194"/>
    </row>
    <row r="348">
      <c r="F348" s="199"/>
      <c r="I348" s="206"/>
      <c r="J348" s="194"/>
    </row>
    <row r="349">
      <c r="F349" s="199"/>
      <c r="I349" s="206"/>
      <c r="J349" s="194"/>
    </row>
    <row r="350">
      <c r="F350" s="199"/>
      <c r="I350" s="206"/>
      <c r="J350" s="194"/>
    </row>
    <row r="351">
      <c r="F351" s="199"/>
      <c r="I351" s="206"/>
      <c r="J351" s="194"/>
    </row>
    <row r="352">
      <c r="F352" s="199"/>
      <c r="I352" s="206"/>
      <c r="J352" s="194"/>
    </row>
    <row r="353">
      <c r="F353" s="199"/>
      <c r="I353" s="206"/>
      <c r="J353" s="194"/>
    </row>
    <row r="354">
      <c r="F354" s="199"/>
      <c r="I354" s="206"/>
      <c r="J354" s="194"/>
    </row>
    <row r="355">
      <c r="F355" s="199"/>
      <c r="I355" s="206"/>
      <c r="J355" s="194"/>
    </row>
    <row r="356">
      <c r="F356" s="199"/>
      <c r="I356" s="206"/>
      <c r="J356" s="194"/>
    </row>
    <row r="357">
      <c r="F357" s="199"/>
      <c r="I357" s="206"/>
      <c r="J357" s="194"/>
    </row>
    <row r="358">
      <c r="F358" s="199"/>
      <c r="I358" s="206"/>
      <c r="J358" s="194"/>
    </row>
    <row r="359">
      <c r="F359" s="199"/>
      <c r="I359" s="206"/>
      <c r="J359" s="194"/>
    </row>
    <row r="360">
      <c r="F360" s="199"/>
      <c r="I360" s="206"/>
      <c r="J360" s="194"/>
    </row>
    <row r="361">
      <c r="F361" s="199"/>
      <c r="I361" s="206"/>
      <c r="J361" s="194"/>
    </row>
    <row r="362">
      <c r="F362" s="199"/>
      <c r="I362" s="206"/>
      <c r="J362" s="194"/>
    </row>
    <row r="363">
      <c r="F363" s="199"/>
      <c r="I363" s="206"/>
      <c r="J363" s="194"/>
    </row>
    <row r="364">
      <c r="F364" s="199"/>
      <c r="I364" s="206"/>
      <c r="J364" s="194"/>
    </row>
    <row r="365">
      <c r="F365" s="199"/>
      <c r="I365" s="206"/>
      <c r="J365" s="194"/>
    </row>
    <row r="366">
      <c r="F366" s="199"/>
      <c r="I366" s="206"/>
      <c r="J366" s="194"/>
    </row>
    <row r="367">
      <c r="F367" s="199"/>
      <c r="I367" s="206"/>
      <c r="J367" s="194"/>
    </row>
    <row r="368">
      <c r="F368" s="199"/>
      <c r="I368" s="206"/>
      <c r="J368" s="194"/>
    </row>
    <row r="369">
      <c r="F369" s="199"/>
      <c r="I369" s="206"/>
      <c r="J369" s="194"/>
    </row>
    <row r="370">
      <c r="F370" s="199"/>
      <c r="I370" s="206"/>
      <c r="J370" s="194"/>
    </row>
    <row r="371">
      <c r="F371" s="199"/>
      <c r="I371" s="206"/>
      <c r="J371" s="194"/>
    </row>
    <row r="372">
      <c r="F372" s="199"/>
      <c r="I372" s="206"/>
      <c r="J372" s="194"/>
    </row>
    <row r="373">
      <c r="F373" s="199"/>
      <c r="I373" s="206"/>
      <c r="J373" s="194"/>
    </row>
    <row r="374">
      <c r="F374" s="199"/>
      <c r="I374" s="206"/>
      <c r="J374" s="194"/>
    </row>
    <row r="375">
      <c r="F375" s="199"/>
      <c r="I375" s="206"/>
      <c r="J375" s="194"/>
    </row>
    <row r="376">
      <c r="F376" s="199"/>
      <c r="I376" s="206"/>
      <c r="J376" s="194"/>
    </row>
    <row r="377">
      <c r="F377" s="199"/>
      <c r="I377" s="206"/>
      <c r="J377" s="194"/>
    </row>
    <row r="378">
      <c r="F378" s="199"/>
      <c r="I378" s="206"/>
      <c r="J378" s="194"/>
    </row>
    <row r="379">
      <c r="F379" s="199"/>
      <c r="I379" s="206"/>
      <c r="J379" s="194"/>
    </row>
    <row r="380">
      <c r="F380" s="199"/>
      <c r="I380" s="206"/>
      <c r="J380" s="194"/>
    </row>
    <row r="381">
      <c r="F381" s="199"/>
      <c r="I381" s="206"/>
      <c r="J381" s="194"/>
    </row>
    <row r="382">
      <c r="F382" s="199"/>
      <c r="I382" s="206"/>
      <c r="J382" s="194"/>
    </row>
    <row r="383">
      <c r="F383" s="199"/>
      <c r="I383" s="206"/>
      <c r="J383" s="194"/>
    </row>
    <row r="384">
      <c r="F384" s="199"/>
      <c r="I384" s="206"/>
      <c r="J384" s="194"/>
    </row>
    <row r="385">
      <c r="F385" s="199"/>
      <c r="I385" s="206"/>
      <c r="J385" s="194"/>
    </row>
    <row r="386">
      <c r="F386" s="199"/>
      <c r="I386" s="206"/>
      <c r="J386" s="194"/>
    </row>
    <row r="387">
      <c r="F387" s="199"/>
      <c r="I387" s="206"/>
      <c r="J387" s="194"/>
    </row>
    <row r="388">
      <c r="F388" s="199"/>
      <c r="I388" s="206"/>
      <c r="J388" s="194"/>
    </row>
    <row r="389">
      <c r="F389" s="199"/>
      <c r="I389" s="206"/>
      <c r="J389" s="194"/>
    </row>
    <row r="390">
      <c r="F390" s="199"/>
      <c r="I390" s="206"/>
      <c r="J390" s="194"/>
    </row>
    <row r="391">
      <c r="F391" s="199"/>
      <c r="I391" s="206"/>
      <c r="J391" s="194"/>
    </row>
    <row r="392">
      <c r="F392" s="199"/>
      <c r="I392" s="206"/>
      <c r="J392" s="194"/>
    </row>
    <row r="393">
      <c r="F393" s="199"/>
      <c r="I393" s="206"/>
      <c r="J393" s="194"/>
    </row>
    <row r="394">
      <c r="F394" s="199"/>
      <c r="I394" s="206"/>
      <c r="J394" s="194"/>
    </row>
    <row r="395">
      <c r="F395" s="199"/>
      <c r="I395" s="206"/>
      <c r="J395" s="194"/>
    </row>
    <row r="396">
      <c r="F396" s="199"/>
      <c r="I396" s="206"/>
      <c r="J396" s="194"/>
    </row>
    <row r="397">
      <c r="F397" s="199"/>
      <c r="I397" s="206"/>
      <c r="J397" s="194"/>
    </row>
    <row r="398">
      <c r="F398" s="199"/>
      <c r="I398" s="206"/>
      <c r="J398" s="194"/>
    </row>
    <row r="399">
      <c r="F399" s="199"/>
      <c r="I399" s="206"/>
      <c r="J399" s="194"/>
    </row>
    <row r="400">
      <c r="F400" s="199"/>
      <c r="I400" s="206"/>
      <c r="J400" s="194"/>
    </row>
    <row r="401">
      <c r="F401" s="199"/>
      <c r="I401" s="206"/>
      <c r="J401" s="194"/>
    </row>
    <row r="402">
      <c r="F402" s="199"/>
      <c r="I402" s="206"/>
      <c r="J402" s="194"/>
    </row>
    <row r="403">
      <c r="F403" s="199"/>
      <c r="I403" s="206"/>
      <c r="J403" s="194"/>
    </row>
    <row r="404">
      <c r="F404" s="199"/>
      <c r="I404" s="206"/>
      <c r="J404" s="194"/>
    </row>
    <row r="405">
      <c r="F405" s="199"/>
      <c r="I405" s="206"/>
      <c r="J405" s="194"/>
    </row>
    <row r="406">
      <c r="F406" s="199"/>
      <c r="I406" s="206"/>
      <c r="J406" s="194"/>
    </row>
    <row r="407">
      <c r="F407" s="199"/>
      <c r="I407" s="206"/>
      <c r="J407" s="194"/>
    </row>
    <row r="408">
      <c r="F408" s="199"/>
      <c r="I408" s="206"/>
      <c r="J408" s="194"/>
    </row>
    <row r="409">
      <c r="F409" s="199"/>
      <c r="I409" s="206"/>
      <c r="J409" s="194"/>
    </row>
    <row r="410">
      <c r="F410" s="199"/>
      <c r="I410" s="206"/>
      <c r="J410" s="194"/>
    </row>
    <row r="411">
      <c r="F411" s="199"/>
      <c r="I411" s="206"/>
      <c r="J411" s="194"/>
    </row>
    <row r="412">
      <c r="F412" s="199"/>
      <c r="I412" s="206"/>
      <c r="J412" s="194"/>
    </row>
    <row r="413">
      <c r="F413" s="199"/>
      <c r="I413" s="206"/>
      <c r="J413" s="194"/>
    </row>
    <row r="414">
      <c r="F414" s="199"/>
      <c r="I414" s="206"/>
      <c r="J414" s="194"/>
    </row>
    <row r="415">
      <c r="F415" s="199"/>
      <c r="I415" s="206"/>
      <c r="J415" s="194"/>
    </row>
    <row r="416">
      <c r="F416" s="199"/>
      <c r="I416" s="206"/>
      <c r="J416" s="194"/>
    </row>
    <row r="417">
      <c r="F417" s="199"/>
      <c r="I417" s="206"/>
      <c r="J417" s="194"/>
    </row>
    <row r="418">
      <c r="F418" s="199"/>
      <c r="I418" s="206"/>
      <c r="J418" s="194"/>
    </row>
    <row r="419">
      <c r="F419" s="199"/>
      <c r="I419" s="206"/>
      <c r="J419" s="194"/>
    </row>
    <row r="420">
      <c r="F420" s="199"/>
      <c r="I420" s="206"/>
      <c r="J420" s="194"/>
    </row>
    <row r="421">
      <c r="F421" s="199"/>
      <c r="I421" s="206"/>
      <c r="J421" s="194"/>
    </row>
    <row r="422">
      <c r="F422" s="199"/>
      <c r="I422" s="206"/>
      <c r="J422" s="194"/>
    </row>
    <row r="423">
      <c r="F423" s="199"/>
      <c r="I423" s="206"/>
      <c r="J423" s="194"/>
    </row>
    <row r="424">
      <c r="F424" s="199"/>
      <c r="I424" s="206"/>
      <c r="J424" s="194"/>
    </row>
    <row r="425">
      <c r="F425" s="199"/>
      <c r="I425" s="206"/>
      <c r="J425" s="194"/>
    </row>
    <row r="426">
      <c r="F426" s="199"/>
      <c r="I426" s="206"/>
      <c r="J426" s="194"/>
    </row>
    <row r="427">
      <c r="F427" s="199"/>
      <c r="I427" s="206"/>
      <c r="J427" s="194"/>
    </row>
    <row r="428">
      <c r="F428" s="199"/>
      <c r="I428" s="206"/>
      <c r="J428" s="194"/>
    </row>
    <row r="429">
      <c r="F429" s="199"/>
      <c r="I429" s="206"/>
      <c r="J429" s="194"/>
    </row>
    <row r="430">
      <c r="F430" s="199"/>
      <c r="I430" s="206"/>
      <c r="J430" s="194"/>
    </row>
    <row r="431">
      <c r="F431" s="199"/>
      <c r="I431" s="206"/>
      <c r="J431" s="194"/>
    </row>
    <row r="432">
      <c r="F432" s="199"/>
      <c r="I432" s="206"/>
      <c r="J432" s="194"/>
    </row>
    <row r="433">
      <c r="F433" s="199"/>
      <c r="I433" s="206"/>
      <c r="J433" s="194"/>
    </row>
    <row r="434">
      <c r="F434" s="199"/>
      <c r="I434" s="206"/>
      <c r="J434" s="194"/>
    </row>
    <row r="435">
      <c r="F435" s="199"/>
      <c r="I435" s="206"/>
      <c r="J435" s="194"/>
    </row>
    <row r="436">
      <c r="F436" s="199"/>
      <c r="I436" s="206"/>
      <c r="J436" s="194"/>
    </row>
    <row r="437">
      <c r="F437" s="199"/>
      <c r="I437" s="206"/>
      <c r="J437" s="194"/>
    </row>
    <row r="438">
      <c r="F438" s="199"/>
      <c r="I438" s="206"/>
      <c r="J438" s="194"/>
    </row>
    <row r="439">
      <c r="F439" s="199"/>
      <c r="I439" s="206"/>
      <c r="J439" s="194"/>
    </row>
    <row r="440">
      <c r="F440" s="199"/>
      <c r="I440" s="206"/>
      <c r="J440" s="194"/>
    </row>
    <row r="441">
      <c r="F441" s="199"/>
      <c r="I441" s="206"/>
      <c r="J441" s="194"/>
    </row>
    <row r="442">
      <c r="F442" s="199"/>
      <c r="I442" s="206"/>
      <c r="J442" s="194"/>
    </row>
    <row r="443">
      <c r="F443" s="199"/>
      <c r="I443" s="206"/>
      <c r="J443" s="194"/>
    </row>
    <row r="444">
      <c r="F444" s="199"/>
      <c r="I444" s="206"/>
      <c r="J444" s="194"/>
    </row>
    <row r="445">
      <c r="F445" s="199"/>
      <c r="I445" s="206"/>
      <c r="J445" s="194"/>
    </row>
    <row r="446">
      <c r="F446" s="199"/>
      <c r="I446" s="206"/>
      <c r="J446" s="194"/>
    </row>
    <row r="447">
      <c r="F447" s="199"/>
      <c r="I447" s="206"/>
      <c r="J447" s="194"/>
    </row>
    <row r="448">
      <c r="F448" s="199"/>
      <c r="I448" s="206"/>
      <c r="J448" s="194"/>
    </row>
    <row r="449">
      <c r="F449" s="199"/>
      <c r="I449" s="206"/>
      <c r="J449" s="194"/>
    </row>
    <row r="450">
      <c r="F450" s="199"/>
      <c r="I450" s="206"/>
      <c r="J450" s="194"/>
    </row>
    <row r="451">
      <c r="F451" s="199"/>
      <c r="I451" s="206"/>
      <c r="J451" s="194"/>
    </row>
    <row r="452">
      <c r="F452" s="199"/>
      <c r="I452" s="206"/>
      <c r="J452" s="194"/>
    </row>
    <row r="453">
      <c r="F453" s="199"/>
      <c r="I453" s="206"/>
      <c r="J453" s="194"/>
    </row>
    <row r="454">
      <c r="F454" s="199"/>
      <c r="I454" s="206"/>
      <c r="J454" s="194"/>
    </row>
    <row r="455">
      <c r="F455" s="199"/>
      <c r="I455" s="206"/>
      <c r="J455" s="194"/>
    </row>
    <row r="456">
      <c r="F456" s="199"/>
      <c r="I456" s="206"/>
      <c r="J456" s="194"/>
    </row>
    <row r="457">
      <c r="F457" s="199"/>
      <c r="I457" s="206"/>
      <c r="J457" s="194"/>
    </row>
    <row r="458">
      <c r="F458" s="199"/>
      <c r="I458" s="206"/>
      <c r="J458" s="194"/>
    </row>
    <row r="459">
      <c r="F459" s="199"/>
      <c r="I459" s="206"/>
      <c r="J459" s="194"/>
    </row>
    <row r="460">
      <c r="F460" s="199"/>
      <c r="I460" s="206"/>
      <c r="J460" s="194"/>
    </row>
    <row r="461">
      <c r="F461" s="199"/>
      <c r="I461" s="206"/>
      <c r="J461" s="194"/>
    </row>
    <row r="462">
      <c r="F462" s="199"/>
      <c r="I462" s="206"/>
      <c r="J462" s="194"/>
    </row>
    <row r="463">
      <c r="F463" s="199"/>
      <c r="I463" s="206"/>
      <c r="J463" s="194"/>
    </row>
    <row r="464">
      <c r="F464" s="199"/>
      <c r="I464" s="206"/>
      <c r="J464" s="194"/>
    </row>
    <row r="465">
      <c r="F465" s="199"/>
      <c r="I465" s="206"/>
      <c r="J465" s="194"/>
    </row>
    <row r="466">
      <c r="F466" s="199"/>
      <c r="I466" s="206"/>
      <c r="J466" s="194"/>
    </row>
    <row r="467">
      <c r="F467" s="199"/>
      <c r="I467" s="206"/>
      <c r="J467" s="194"/>
    </row>
    <row r="468">
      <c r="F468" s="199"/>
      <c r="I468" s="206"/>
      <c r="J468" s="194"/>
    </row>
    <row r="469">
      <c r="F469" s="199"/>
      <c r="I469" s="206"/>
      <c r="J469" s="194"/>
    </row>
    <row r="470">
      <c r="F470" s="199"/>
      <c r="I470" s="206"/>
      <c r="J470" s="194"/>
    </row>
    <row r="471">
      <c r="F471" s="199"/>
      <c r="I471" s="206"/>
      <c r="J471" s="194"/>
    </row>
    <row r="472">
      <c r="F472" s="199"/>
      <c r="I472" s="206"/>
      <c r="J472" s="194"/>
    </row>
    <row r="473">
      <c r="F473" s="199"/>
      <c r="I473" s="206"/>
      <c r="J473" s="194"/>
    </row>
    <row r="474">
      <c r="F474" s="199"/>
      <c r="I474" s="206"/>
      <c r="J474" s="194"/>
    </row>
    <row r="475">
      <c r="F475" s="199"/>
      <c r="I475" s="206"/>
      <c r="J475" s="194"/>
    </row>
    <row r="476">
      <c r="F476" s="199"/>
      <c r="I476" s="206"/>
      <c r="J476" s="194"/>
    </row>
    <row r="477">
      <c r="F477" s="199"/>
      <c r="I477" s="206"/>
      <c r="J477" s="194"/>
    </row>
    <row r="478">
      <c r="F478" s="199"/>
      <c r="I478" s="206"/>
      <c r="J478" s="194"/>
    </row>
    <row r="479">
      <c r="F479" s="199"/>
      <c r="I479" s="206"/>
      <c r="J479" s="194"/>
    </row>
  </sheetData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26" min="26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</cols>
  <sheetData>
    <row r="1">
      <c r="A1" s="209" t="s">
        <v>664</v>
      </c>
      <c r="B1" s="210" t="s">
        <v>665</v>
      </c>
      <c r="C1" s="210" t="s">
        <v>666</v>
      </c>
      <c r="D1" s="210" t="s">
        <v>667</v>
      </c>
      <c r="E1" s="209" t="s">
        <v>668</v>
      </c>
      <c r="F1" s="210" t="s">
        <v>669</v>
      </c>
      <c r="G1" s="210" t="s">
        <v>670</v>
      </c>
      <c r="H1" s="210" t="s">
        <v>671</v>
      </c>
      <c r="I1" s="211" t="s">
        <v>672</v>
      </c>
      <c r="J1" s="211" t="s">
        <v>673</v>
      </c>
      <c r="K1" s="211" t="s">
        <v>674</v>
      </c>
      <c r="L1" s="212" t="s">
        <v>675</v>
      </c>
      <c r="M1" s="210" t="s">
        <v>676</v>
      </c>
      <c r="N1" s="213" t="s">
        <v>677</v>
      </c>
      <c r="O1" s="210" t="s">
        <v>678</v>
      </c>
      <c r="P1" s="210" t="s">
        <v>679</v>
      </c>
      <c r="Q1" s="210"/>
      <c r="R1" s="210" t="s">
        <v>680</v>
      </c>
      <c r="S1" s="214" t="s">
        <v>681</v>
      </c>
      <c r="T1" s="214" t="s">
        <v>682</v>
      </c>
      <c r="U1" s="214" t="s">
        <v>683</v>
      </c>
      <c r="V1" s="214" t="s">
        <v>684</v>
      </c>
      <c r="W1" s="215" t="s">
        <v>685</v>
      </c>
      <c r="X1" s="214" t="s">
        <v>686</v>
      </c>
      <c r="Y1" s="215" t="s">
        <v>687</v>
      </c>
      <c r="Z1" s="216" t="s">
        <v>688</v>
      </c>
      <c r="AA1" s="217" t="s">
        <v>689</v>
      </c>
      <c r="AB1" s="215" t="s">
        <v>690</v>
      </c>
      <c r="AC1" s="215" t="s">
        <v>691</v>
      </c>
      <c r="AD1" s="215" t="s">
        <v>692</v>
      </c>
      <c r="AE1" s="215" t="s">
        <v>693</v>
      </c>
      <c r="AF1" s="215" t="s">
        <v>694</v>
      </c>
      <c r="AG1" s="215" t="s">
        <v>695</v>
      </c>
      <c r="AH1" s="215" t="s">
        <v>696</v>
      </c>
    </row>
    <row r="2">
      <c r="A2" s="218">
        <v>46235</v>
      </c>
      <c r="B2" s="219" t="s">
        <v>697</v>
      </c>
      <c r="C2" s="220" t="s">
        <v>698</v>
      </c>
      <c r="D2" s="221">
        <v>5</v>
      </c>
      <c r="E2" s="222">
        <v>9</v>
      </c>
      <c r="F2" s="222">
        <v>14</v>
      </c>
      <c r="G2" s="222">
        <v>30557.969999999998</v>
      </c>
      <c r="H2" s="223">
        <v>12252.380000000001</v>
      </c>
      <c r="I2" s="224">
        <f t="shared" ref="I2:I162" si="81">G2/H2</f>
      </c>
      <c r="J2" s="224">
        <f t="shared" ref="J2:J162" si="132">G2/F2</f>
      </c>
      <c r="K2" s="225">
        <f t="shared" ref="K2:K162" si="180">H2/F2</f>
      </c>
      <c r="L2" s="225">
        <f t="shared" ref="L2:L5" si="0">H2/D2</f>
      </c>
      <c r="M2" s="226" t="s">
        <v>699</v>
      </c>
      <c r="N2" s="227">
        <v>10</v>
      </c>
      <c r="O2" s="228"/>
      <c r="P2" s="229"/>
      <c r="Q2" s="229"/>
      <c r="R2" s="230">
        <v>5.073449275362319</v>
      </c>
      <c r="S2" s="231">
        <v>0.2527183904339111</v>
      </c>
      <c r="T2" s="232">
        <v>0.021546340244816387</v>
      </c>
      <c r="U2" s="232">
        <v>0.021983512365725707</v>
      </c>
      <c r="V2" s="232">
        <v>0.0864448051948052</v>
      </c>
      <c r="W2" s="233">
        <v>28325.688073394493</v>
      </c>
      <c r="X2" s="232">
        <v>0.01744</v>
      </c>
      <c r="Y2" s="233">
        <v>42.6</v>
      </c>
      <c r="Z2" s="234">
        <v>109.31426430177369</v>
      </c>
      <c r="AA2" s="233">
        <v>112084</v>
      </c>
      <c r="AB2" s="233">
        <v>2415</v>
      </c>
      <c r="AC2" s="233">
        <v>2464</v>
      </c>
      <c r="AD2" s="233">
        <v>494</v>
      </c>
      <c r="AE2" s="233">
        <v>213</v>
      </c>
      <c r="AF2" s="233">
        <v>23</v>
      </c>
      <c r="AG2" s="235">
        <v>6</v>
      </c>
      <c r="AH2" s="233">
        <v>94</v>
      </c>
    </row>
    <row r="3">
      <c r="A3" s="218">
        <v>46235</v>
      </c>
      <c r="B3" s="236" t="s">
        <v>700</v>
      </c>
      <c r="C3" s="220" t="s">
        <v>701</v>
      </c>
      <c r="D3" s="237">
        <v>5</v>
      </c>
      <c r="E3" s="238">
        <v>13</v>
      </c>
      <c r="F3" s="238">
        <v>18</v>
      </c>
      <c r="G3" s="238">
        <v>49344.54000000001</v>
      </c>
      <c r="H3" s="239">
        <v>8888.039999999999</v>
      </c>
      <c r="I3" s="240">
        <f t="shared" si="81"/>
      </c>
      <c r="J3" s="224">
        <f t="shared" si="132"/>
      </c>
      <c r="K3" s="224">
        <f t="shared" si="180"/>
      </c>
      <c r="L3" s="225">
        <f t="shared" si="0"/>
      </c>
      <c r="M3" s="226"/>
      <c r="N3" s="227"/>
      <c r="O3" s="228"/>
      <c r="P3" s="229"/>
      <c r="Q3" s="229"/>
      <c r="R3" s="241">
        <v>7.494131534569982</v>
      </c>
      <c r="S3" s="232">
        <v>0.22304231226074933</v>
      </c>
      <c r="T3" s="231">
        <v>0.018382466908459655</v>
      </c>
      <c r="U3" s="232">
        <v>0.019746427353606745</v>
      </c>
      <c r="V3" s="231">
        <v>0.19937205651491366</v>
      </c>
      <c r="W3" s="233">
        <v>14390.243902439026</v>
      </c>
      <c r="X3" s="232">
        <v>0.016399999999999998</v>
      </c>
      <c r="Y3" s="233">
        <v>60.8</v>
      </c>
      <c r="Z3" s="234">
        <v>137.76062494187667</v>
      </c>
      <c r="AA3" s="233">
        <v>64518</v>
      </c>
      <c r="AB3" s="233">
        <v>1186</v>
      </c>
      <c r="AC3" s="233">
        <v>1274</v>
      </c>
      <c r="AD3" s="233">
        <v>236</v>
      </c>
      <c r="AE3" s="233">
        <v>254</v>
      </c>
      <c r="AF3" s="233">
        <v>14</v>
      </c>
      <c r="AG3" s="233">
        <v>1</v>
      </c>
      <c r="AH3" s="233">
        <v>35</v>
      </c>
    </row>
    <row r="4">
      <c r="A4" s="218">
        <v>46235</v>
      </c>
      <c r="B4" s="242" t="s">
        <v>702</v>
      </c>
      <c r="C4" s="220" t="s">
        <v>703</v>
      </c>
      <c r="D4" s="237">
        <v>5</v>
      </c>
      <c r="E4" s="243">
        <v>12</v>
      </c>
      <c r="F4" s="243">
        <v>14</v>
      </c>
      <c r="G4" s="243">
        <v>30016.369999999995</v>
      </c>
      <c r="H4" s="243">
        <v>11377.119999999999</v>
      </c>
      <c r="I4" s="240">
        <f t="shared" si="81"/>
      </c>
      <c r="J4" s="224">
        <f t="shared" si="132"/>
      </c>
      <c r="K4" s="224">
        <f t="shared" si="180"/>
      </c>
      <c r="L4" s="225">
        <f t="shared" si="0"/>
      </c>
      <c r="M4" s="244"/>
      <c r="N4" s="244"/>
      <c r="O4" s="228"/>
      <c r="P4" s="229"/>
      <c r="Q4" s="229"/>
      <c r="R4" s="241">
        <v>5.031897390535161</v>
      </c>
      <c r="S4" s="232">
        <v>0.2770289406336</v>
      </c>
      <c r="T4" s="232">
        <v>0.021267189645766314</v>
      </c>
      <c r="U4" s="232">
        <v>0.02280978986775025</v>
      </c>
      <c r="V4" s="232">
        <v>0.08536082474226804</v>
      </c>
      <c r="W4" s="233">
        <v>29452.05479452055</v>
      </c>
      <c r="X4" s="232">
        <v>0.008759999999999999</v>
      </c>
      <c r="Y4" s="233">
        <v>65.2</v>
      </c>
      <c r="Z4" s="234">
        <v>107.01431608254791</v>
      </c>
      <c r="AA4" s="233">
        <v>106314</v>
      </c>
      <c r="AB4" s="233">
        <v>2261</v>
      </c>
      <c r="AC4" s="233">
        <v>2425</v>
      </c>
      <c r="AD4" s="233">
        <v>258</v>
      </c>
      <c r="AE4" s="233">
        <v>207</v>
      </c>
      <c r="AF4" s="233">
        <v>12</v>
      </c>
      <c r="AG4" s="233">
        <v>4</v>
      </c>
      <c r="AH4" s="233">
        <v>49</v>
      </c>
    </row>
    <row r="5">
      <c r="A5" s="218">
        <v>46235</v>
      </c>
      <c r="B5" s="219" t="s">
        <v>704</v>
      </c>
      <c r="C5" s="220" t="s">
        <v>705</v>
      </c>
      <c r="D5" s="221">
        <v>5</v>
      </c>
      <c r="E5" s="226">
        <v>9</v>
      </c>
      <c r="F5" s="226">
        <v>10</v>
      </c>
      <c r="G5" s="226">
        <v>20183.369999999995</v>
      </c>
      <c r="H5" s="245">
        <v>9677.49</v>
      </c>
      <c r="I5" s="224">
        <f t="shared" si="81"/>
      </c>
      <c r="J5" s="224">
        <f t="shared" si="132"/>
      </c>
      <c r="K5" s="225">
        <f t="shared" si="180"/>
      </c>
      <c r="L5" s="225">
        <f t="shared" si="0"/>
      </c>
      <c r="M5" s="221" t="s">
        <v>706</v>
      </c>
      <c r="N5" s="246">
        <v>10</v>
      </c>
      <c r="O5" s="228"/>
      <c r="P5" s="229"/>
      <c r="Q5" s="229"/>
      <c r="R5" s="241">
        <v>4.390875680580762</v>
      </c>
      <c r="S5" s="232">
        <v>0.2791917677515361</v>
      </c>
      <c r="T5" s="232">
        <v>0.02165518732130049</v>
      </c>
      <c r="U5" s="232">
        <v>0.023256727944427524</v>
      </c>
      <c r="V5" s="232">
        <v>0.08027038445289396</v>
      </c>
      <c r="W5" s="233">
        <v>28415.30054644809</v>
      </c>
      <c r="X5" s="232">
        <v>0.01098</v>
      </c>
      <c r="Y5" s="233">
        <v>65.6</v>
      </c>
      <c r="Z5" s="234">
        <v>95.08523536751919</v>
      </c>
      <c r="AA5" s="233">
        <v>101777</v>
      </c>
      <c r="AB5" s="233">
        <v>2204</v>
      </c>
      <c r="AC5" s="233">
        <v>2367</v>
      </c>
      <c r="AD5" s="233">
        <v>312</v>
      </c>
      <c r="AE5" s="233">
        <v>190</v>
      </c>
      <c r="AF5" s="233">
        <v>15</v>
      </c>
      <c r="AG5" s="233">
        <v>2</v>
      </c>
      <c r="AH5" s="233">
        <v>59</v>
      </c>
    </row>
    <row r="6">
      <c r="A6" s="247">
        <v>46235</v>
      </c>
      <c r="B6" s="248" t="s">
        <v>707</v>
      </c>
      <c r="C6" s="249"/>
      <c r="D6" s="249">
        <f>SUM(D2:D5)</f>
      </c>
      <c r="E6" s="249">
        <f>SUM(E2:E5)</f>
      </c>
      <c r="F6" s="249">
        <f>SUM(F2:F5)</f>
      </c>
      <c r="G6" s="249">
        <f>SUM(G2:G5)</f>
      </c>
      <c r="H6" s="249">
        <f>SUM(H2:H5)</f>
      </c>
      <c r="I6" s="250">
        <f t="shared" si="81"/>
      </c>
      <c r="J6" s="250">
        <f t="shared" si="132"/>
      </c>
      <c r="K6" s="250">
        <f t="shared" si="180"/>
      </c>
      <c r="L6" s="250"/>
      <c r="M6" s="249"/>
      <c r="N6" s="251">
        <f>SUM(N2:N5)</f>
      </c>
      <c r="O6" s="249"/>
      <c r="P6" s="249"/>
      <c r="Q6" s="249"/>
      <c r="R6" s="252">
        <f>AVERAGE(R2:R5)</f>
      </c>
      <c r="S6" s="253">
        <f>AVERAGE(S2:S5)</f>
      </c>
      <c r="T6" s="253">
        <f>AVERAGE(T2:T5)</f>
      </c>
      <c r="U6" s="253">
        <f>AVERAGE(U2:U5)</f>
      </c>
      <c r="V6" s="253">
        <f>AVERAGE(V2:V5)</f>
      </c>
      <c r="W6" s="254">
        <f>SUM(W2:W5)</f>
      </c>
      <c r="X6" s="253">
        <f>AVERAGE(X2:X5)</f>
      </c>
      <c r="Y6" s="254"/>
      <c r="Z6" s="252">
        <f>AVERAGE(Z2:Z5)</f>
      </c>
      <c r="AA6" s="254">
        <f>SUM(AA2:AA5)</f>
      </c>
      <c r="AB6" s="254">
        <f>SUM(AB2:AB5)</f>
      </c>
      <c r="AC6" s="254">
        <f>SUM(AC2:AC5)</f>
      </c>
      <c r="AD6" s="254">
        <f>SUM(AD2:AD5)</f>
      </c>
      <c r="AE6" s="254">
        <f>SUM(AE2:AE5)</f>
      </c>
      <c r="AF6" s="254">
        <f>SUM(AF2:AF5)</f>
      </c>
      <c r="AG6" s="254">
        <f>SUM(AG2:AG5)</f>
      </c>
      <c r="AH6" s="254">
        <f>SUM(AH2:AH5)</f>
      </c>
    </row>
    <row r="7">
      <c r="A7" s="218">
        <v>46236</v>
      </c>
      <c r="B7" s="219" t="s">
        <v>700</v>
      </c>
      <c r="C7" s="220" t="s">
        <v>698</v>
      </c>
      <c r="D7" s="221">
        <v>5</v>
      </c>
      <c r="E7" s="222">
        <v>8</v>
      </c>
      <c r="F7" s="222">
        <v>9</v>
      </c>
      <c r="G7" s="222">
        <v>22548.25</v>
      </c>
      <c r="H7" s="223">
        <v>12466.4</v>
      </c>
      <c r="I7" s="224">
        <f t="shared" si="81"/>
      </c>
      <c r="J7" s="224">
        <f t="shared" si="132"/>
      </c>
      <c r="K7" s="225">
        <f t="shared" si="180"/>
      </c>
      <c r="L7" s="225">
        <f t="shared" ref="L7:L10" si="1">H7/D7</f>
      </c>
      <c r="M7" s="226" t="s">
        <v>708</v>
      </c>
      <c r="N7" s="227">
        <v>10</v>
      </c>
      <c r="O7" s="228"/>
      <c r="P7" s="229"/>
      <c r="Q7" s="229"/>
      <c r="R7" s="230">
        <v>4.1875713805844805</v>
      </c>
      <c r="S7" s="231">
        <v>0.254546612603983</v>
      </c>
      <c r="T7" s="232">
        <v>0.02744866629171008</v>
      </c>
      <c r="U7" s="232">
        <v>0.028241607272928442</v>
      </c>
      <c r="V7" s="232">
        <v>0.1227554684949396</v>
      </c>
      <c r="W7" s="233">
        <v>27607.361963190182</v>
      </c>
      <c r="X7" s="232">
        <v>0.01956</v>
      </c>
      <c r="Y7" s="233">
        <v>39</v>
      </c>
      <c r="Z7" s="234">
        <v>114.94324939837907</v>
      </c>
      <c r="AA7" s="233">
        <v>108457</v>
      </c>
      <c r="AB7" s="233">
        <v>2977</v>
      </c>
      <c r="AC7" s="233">
        <v>3063</v>
      </c>
      <c r="AD7" s="233">
        <v>540</v>
      </c>
      <c r="AE7" s="233">
        <v>376</v>
      </c>
      <c r="AF7" s="233">
        <v>33</v>
      </c>
      <c r="AG7" s="235">
        <v>4</v>
      </c>
      <c r="AH7" s="233">
        <v>131</v>
      </c>
    </row>
    <row r="8">
      <c r="A8" s="218">
        <v>46236</v>
      </c>
      <c r="B8" s="219" t="s">
        <v>697</v>
      </c>
      <c r="C8" s="220" t="s">
        <v>701</v>
      </c>
      <c r="D8" s="237">
        <v>5</v>
      </c>
      <c r="E8" s="238">
        <v>14</v>
      </c>
      <c r="F8" s="238">
        <v>16</v>
      </c>
      <c r="G8" s="238">
        <v>39315.979999999996</v>
      </c>
      <c r="H8" s="239">
        <v>9185.33</v>
      </c>
      <c r="I8" s="240">
        <f t="shared" si="81"/>
      </c>
      <c r="J8" s="224">
        <f t="shared" si="132"/>
      </c>
      <c r="K8" s="224">
        <f t="shared" si="180"/>
      </c>
      <c r="L8" s="225">
        <f t="shared" si="1"/>
      </c>
      <c r="M8" s="226"/>
      <c r="N8" s="227"/>
      <c r="O8" s="228"/>
      <c r="P8" s="229"/>
      <c r="Q8" s="229"/>
      <c r="R8" s="241">
        <v>5.722947040498442</v>
      </c>
      <c r="S8" s="232">
        <v>0.2422470394053905</v>
      </c>
      <c r="T8" s="231">
        <v>0.023277062304211626</v>
      </c>
      <c r="U8" s="232">
        <v>0.024002204432068686</v>
      </c>
      <c r="V8" s="231">
        <v>0.1268882175226586</v>
      </c>
      <c r="W8" s="233">
        <v>16703.417861080485</v>
      </c>
      <c r="X8" s="232">
        <v>0.01814</v>
      </c>
      <c r="Y8" s="233">
        <v>50.6</v>
      </c>
      <c r="Z8" s="234">
        <v>133.21339482538576</v>
      </c>
      <c r="AA8" s="233">
        <v>68952</v>
      </c>
      <c r="AB8" s="233">
        <v>1605</v>
      </c>
      <c r="AC8" s="233">
        <v>1655</v>
      </c>
      <c r="AD8" s="233">
        <v>303</v>
      </c>
      <c r="AE8" s="233">
        <v>210</v>
      </c>
      <c r="AF8" s="233">
        <v>21</v>
      </c>
      <c r="AG8" s="233">
        <v>3</v>
      </c>
      <c r="AH8" s="233">
        <v>41</v>
      </c>
    </row>
    <row r="9">
      <c r="A9" s="218">
        <v>46236</v>
      </c>
      <c r="B9" s="242" t="s">
        <v>704</v>
      </c>
      <c r="C9" s="220" t="s">
        <v>703</v>
      </c>
      <c r="D9" s="237">
        <v>5</v>
      </c>
      <c r="E9" s="243">
        <v>13</v>
      </c>
      <c r="F9" s="243">
        <v>16</v>
      </c>
      <c r="G9" s="243">
        <v>39090.30999999999</v>
      </c>
      <c r="H9" s="243">
        <v>11596.58</v>
      </c>
      <c r="I9" s="240">
        <f t="shared" si="81"/>
      </c>
      <c r="J9" s="224">
        <f t="shared" si="132"/>
      </c>
      <c r="K9" s="224">
        <f t="shared" si="180"/>
      </c>
      <c r="L9" s="225">
        <f t="shared" si="1"/>
      </c>
      <c r="M9" s="244"/>
      <c r="N9" s="244"/>
      <c r="O9" s="228"/>
      <c r="P9" s="229"/>
      <c r="Q9" s="229"/>
      <c r="R9" s="241">
        <v>7.554775244299674</v>
      </c>
      <c r="S9" s="232">
        <v>0.21743963445084652</v>
      </c>
      <c r="T9" s="232">
        <v>0.016919634491804725</v>
      </c>
      <c r="U9" s="232">
        <v>0.017658146225323235</v>
      </c>
      <c r="V9" s="232">
        <v>0.12734082397003746</v>
      </c>
      <c r="W9" s="233">
        <v>19726.77595628415</v>
      </c>
      <c r="X9" s="232">
        <v>0.018300000000000004</v>
      </c>
      <c r="Y9" s="233">
        <v>57.6</v>
      </c>
      <c r="Z9" s="234">
        <v>127.82403580128523</v>
      </c>
      <c r="AA9" s="233">
        <v>90723</v>
      </c>
      <c r="AB9" s="233">
        <v>1535</v>
      </c>
      <c r="AC9" s="233">
        <v>1602</v>
      </c>
      <c r="AD9" s="233">
        <v>361</v>
      </c>
      <c r="AE9" s="233">
        <v>204</v>
      </c>
      <c r="AF9" s="233">
        <v>22</v>
      </c>
      <c r="AG9" s="233">
        <v>6</v>
      </c>
      <c r="AH9" s="233">
        <v>87</v>
      </c>
    </row>
    <row r="10">
      <c r="A10" s="218">
        <v>46236</v>
      </c>
      <c r="B10" s="219" t="s">
        <v>709</v>
      </c>
      <c r="C10" s="220" t="s">
        <v>705</v>
      </c>
      <c r="D10" s="221">
        <v>5</v>
      </c>
      <c r="E10" s="226">
        <v>21</v>
      </c>
      <c r="F10" s="226">
        <v>25</v>
      </c>
      <c r="G10" s="226">
        <v>61248.66</v>
      </c>
      <c r="H10" s="245">
        <v>15666.04</v>
      </c>
      <c r="I10" s="224">
        <f t="shared" si="81"/>
      </c>
      <c r="J10" s="224">
        <f t="shared" si="132"/>
      </c>
      <c r="K10" s="225">
        <f t="shared" si="180"/>
      </c>
      <c r="L10" s="225">
        <f t="shared" si="1"/>
      </c>
      <c r="M10" s="221" t="s">
        <v>706</v>
      </c>
      <c r="N10" s="246">
        <v>10</v>
      </c>
      <c r="O10" s="228"/>
      <c r="P10" s="229"/>
      <c r="Q10" s="229"/>
      <c r="R10" s="241">
        <v>5.970289634146341</v>
      </c>
      <c r="S10" s="232">
        <v>0.23310041939427453</v>
      </c>
      <c r="T10" s="232">
        <v>0.019747734730124325</v>
      </c>
      <c r="U10" s="232">
        <v>0.021019597218459314</v>
      </c>
      <c r="V10" s="232">
        <v>0.14500537056928034</v>
      </c>
      <c r="W10" s="233">
        <v>30973.451327433624</v>
      </c>
      <c r="X10" s="232">
        <v>0.018080000000000002</v>
      </c>
      <c r="Y10" s="233">
        <v>62.4</v>
      </c>
      <c r="Z10" s="234">
        <v>117.89969595713295</v>
      </c>
      <c r="AA10" s="233">
        <v>132876</v>
      </c>
      <c r="AB10" s="233">
        <v>2624</v>
      </c>
      <c r="AC10" s="233">
        <v>2793</v>
      </c>
      <c r="AD10" s="233">
        <v>560</v>
      </c>
      <c r="AE10" s="233">
        <v>405</v>
      </c>
      <c r="AF10" s="233">
        <v>40</v>
      </c>
      <c r="AG10" s="233">
        <v>6</v>
      </c>
      <c r="AH10" s="233">
        <v>108</v>
      </c>
    </row>
    <row r="11">
      <c r="A11" s="247">
        <v>46236</v>
      </c>
      <c r="B11" s="248" t="s">
        <v>707</v>
      </c>
      <c r="C11" s="249"/>
      <c r="D11" s="249">
        <f>SUM(D7:D10)</f>
      </c>
      <c r="E11" s="249">
        <f>SUM(E7:E10)</f>
      </c>
      <c r="F11" s="249">
        <f>SUM(F7:F10)</f>
      </c>
      <c r="G11" s="249">
        <f>SUM(G7:G10)</f>
      </c>
      <c r="H11" s="249">
        <f>SUM(H7:H10)</f>
      </c>
      <c r="I11" s="250">
        <f t="shared" si="81"/>
      </c>
      <c r="J11" s="250">
        <f t="shared" si="132"/>
      </c>
      <c r="K11" s="250">
        <f t="shared" si="180"/>
      </c>
      <c r="L11" s="250"/>
      <c r="M11" s="249"/>
      <c r="N11" s="251">
        <f>SUM(N7:N10)</f>
      </c>
      <c r="O11" s="249"/>
      <c r="P11" s="249"/>
      <c r="Q11" s="249"/>
      <c r="R11" s="252">
        <f>AVERAGE(R7:R10)</f>
      </c>
      <c r="S11" s="253">
        <f>AVERAGE(S7:S10)</f>
      </c>
      <c r="T11" s="253">
        <f>AVERAGE(T7:T10)</f>
      </c>
      <c r="U11" s="253">
        <f>AVERAGE(U7:U10)</f>
      </c>
      <c r="V11" s="253">
        <f>AVERAGE(V7:V10)</f>
      </c>
      <c r="W11" s="254">
        <f>SUM(W7:W10)</f>
      </c>
      <c r="X11" s="253">
        <f>AVERAGE(X7:X10)</f>
      </c>
      <c r="Y11" s="254"/>
      <c r="Z11" s="252">
        <f>AVERAGE(Z7:Z10)</f>
      </c>
      <c r="AA11" s="254">
        <f>SUM(AA7:AA10)</f>
      </c>
      <c r="AB11" s="254">
        <f>SUM(AB7:AB10)</f>
      </c>
      <c r="AC11" s="254">
        <f>SUM(AC7:AC10)</f>
      </c>
      <c r="AD11" s="254">
        <f>SUM(AD7:AD10)</f>
      </c>
      <c r="AE11" s="254">
        <f>SUM(AE7:AE10)</f>
      </c>
      <c r="AF11" s="254">
        <f>SUM(AF7:AF10)</f>
      </c>
      <c r="AG11" s="254">
        <f>SUM(AG7:AG10)</f>
      </c>
      <c r="AH11" s="254">
        <f>SUM(AH7:AH10)</f>
      </c>
    </row>
    <row r="12">
      <c r="A12" s="218">
        <v>46237</v>
      </c>
      <c r="B12" s="242" t="s">
        <v>704</v>
      </c>
      <c r="C12" s="220" t="s">
        <v>698</v>
      </c>
      <c r="D12" s="221">
        <v>5</v>
      </c>
      <c r="E12" s="222">
        <v>13</v>
      </c>
      <c r="F12" s="222">
        <v>24</v>
      </c>
      <c r="G12" s="222">
        <v>62602.76000000001</v>
      </c>
      <c r="H12" s="223">
        <v>12355.840000000002</v>
      </c>
      <c r="I12" s="224">
        <f t="shared" si="81"/>
      </c>
      <c r="J12" s="224">
        <f t="shared" si="132"/>
      </c>
      <c r="K12" s="225">
        <f t="shared" si="180"/>
      </c>
      <c r="L12" s="225">
        <f t="shared" ref="L12:L15" si="2">H12/D12</f>
      </c>
      <c r="M12" s="226" t="s">
        <v>710</v>
      </c>
      <c r="N12" s="227">
        <v>10</v>
      </c>
      <c r="O12" s="228"/>
      <c r="P12" s="229"/>
      <c r="Q12" s="229"/>
      <c r="R12" s="230">
        <v>6.2340262361251275</v>
      </c>
      <c r="S12" s="231">
        <v>0.18865546224056506</v>
      </c>
      <c r="T12" s="232">
        <v>0.020403331240156062</v>
      </c>
      <c r="U12" s="232">
        <v>0.021123933251665106</v>
      </c>
      <c r="V12" s="232">
        <v>0.10428849902534112</v>
      </c>
      <c r="W12" s="233">
        <v>18326.180257510732</v>
      </c>
      <c r="X12" s="232">
        <v>0.023299999999999998</v>
      </c>
      <c r="Y12" s="233">
        <v>44.8</v>
      </c>
      <c r="Z12" s="234">
        <v>127.19490225548432</v>
      </c>
      <c r="AA12" s="233">
        <v>97141</v>
      </c>
      <c r="AB12" s="233">
        <v>1982</v>
      </c>
      <c r="AC12" s="233">
        <v>2052</v>
      </c>
      <c r="AD12" s="233">
        <v>427</v>
      </c>
      <c r="AE12" s="233">
        <v>214</v>
      </c>
      <c r="AF12" s="233">
        <v>17</v>
      </c>
      <c r="AG12" s="235">
        <v>5</v>
      </c>
      <c r="AH12" s="233">
        <v>82</v>
      </c>
    </row>
    <row r="13">
      <c r="A13" s="218">
        <v>46237</v>
      </c>
      <c r="B13" s="219" t="s">
        <v>697</v>
      </c>
      <c r="C13" s="220" t="s">
        <v>701</v>
      </c>
      <c r="D13" s="237">
        <v>5</v>
      </c>
      <c r="E13" s="238">
        <v>9</v>
      </c>
      <c r="F13" s="238">
        <v>13</v>
      </c>
      <c r="G13" s="238">
        <v>35302.91</v>
      </c>
      <c r="H13" s="239">
        <v>10137.7</v>
      </c>
      <c r="I13" s="240">
        <f t="shared" si="81"/>
      </c>
      <c r="J13" s="224">
        <f t="shared" si="132"/>
      </c>
      <c r="K13" s="224">
        <f t="shared" si="180"/>
      </c>
      <c r="L13" s="225">
        <f t="shared" si="2"/>
      </c>
      <c r="M13" s="226"/>
      <c r="N13" s="227"/>
      <c r="O13" s="228"/>
      <c r="P13" s="229"/>
      <c r="Q13" s="229"/>
      <c r="R13" s="241">
        <v>9.352121771217712</v>
      </c>
      <c r="S13" s="232">
        <v>0.17772939389249992</v>
      </c>
      <c r="T13" s="231">
        <v>0.015685139632469976</v>
      </c>
      <c r="U13" s="232">
        <v>0.015468094342352771</v>
      </c>
      <c r="V13" s="231">
        <v>0.21702525724976612</v>
      </c>
      <c r="W13" s="233">
        <v>12282.87841191067</v>
      </c>
      <c r="X13" s="232">
        <v>0.02418</v>
      </c>
      <c r="Y13" s="233">
        <v>54.4</v>
      </c>
      <c r="Z13" s="234">
        <v>146.68933584141226</v>
      </c>
      <c r="AA13" s="233">
        <v>69110</v>
      </c>
      <c r="AB13" s="233">
        <v>1084</v>
      </c>
      <c r="AC13" s="233">
        <v>1069</v>
      </c>
      <c r="AD13" s="233">
        <v>297</v>
      </c>
      <c r="AE13" s="233">
        <v>232</v>
      </c>
      <c r="AF13" s="233">
        <v>19</v>
      </c>
      <c r="AG13" s="233">
        <v>7</v>
      </c>
      <c r="AH13" s="233">
        <v>56</v>
      </c>
    </row>
    <row r="14">
      <c r="A14" s="218">
        <v>46237</v>
      </c>
      <c r="B14" s="255" t="s">
        <v>709</v>
      </c>
      <c r="C14" s="220" t="s">
        <v>703</v>
      </c>
      <c r="D14" s="237">
        <v>5</v>
      </c>
      <c r="E14" s="243">
        <v>12</v>
      </c>
      <c r="F14" s="243">
        <v>12</v>
      </c>
      <c r="G14" s="243">
        <v>27812.09000000001</v>
      </c>
      <c r="H14" s="243">
        <v>13345.25</v>
      </c>
      <c r="I14" s="240">
        <f t="shared" si="81"/>
      </c>
      <c r="J14" s="224">
        <f t="shared" si="132"/>
      </c>
      <c r="K14" s="224">
        <f t="shared" si="180"/>
      </c>
      <c r="L14" s="225">
        <f t="shared" si="2"/>
      </c>
      <c r="M14" s="244"/>
      <c r="N14" s="244"/>
      <c r="O14" s="228"/>
      <c r="P14" s="229"/>
      <c r="Q14" s="229"/>
      <c r="R14" s="241">
        <v>5.283155186064925</v>
      </c>
      <c r="S14" s="232">
        <v>0.2374376596118134</v>
      </c>
      <c r="T14" s="232">
        <v>0.02136314814658198</v>
      </c>
      <c r="U14" s="232">
        <v>0.02317301105369542</v>
      </c>
      <c r="V14" s="232">
        <v>0.10766423357664233</v>
      </c>
      <c r="W14" s="233">
        <v>28074.86631016043</v>
      </c>
      <c r="X14" s="232">
        <v>0.011219999999999999</v>
      </c>
      <c r="Y14" s="233">
        <v>47.6</v>
      </c>
      <c r="Z14" s="234">
        <v>112.86482692128789</v>
      </c>
      <c r="AA14" s="233">
        <v>118241</v>
      </c>
      <c r="AB14" s="233">
        <v>2526</v>
      </c>
      <c r="AC14" s="233">
        <v>2740</v>
      </c>
      <c r="AD14" s="233">
        <v>315</v>
      </c>
      <c r="AE14" s="233">
        <v>295</v>
      </c>
      <c r="AF14" s="233">
        <v>18</v>
      </c>
      <c r="AG14" s="233">
        <v>2</v>
      </c>
      <c r="AH14" s="233">
        <v>86</v>
      </c>
    </row>
    <row r="15">
      <c r="A15" s="218">
        <v>46237</v>
      </c>
      <c r="B15" s="242" t="s">
        <v>702</v>
      </c>
      <c r="C15" s="220" t="s">
        <v>705</v>
      </c>
      <c r="D15" s="221">
        <v>5</v>
      </c>
      <c r="E15" s="226">
        <v>12</v>
      </c>
      <c r="F15" s="226">
        <v>15</v>
      </c>
      <c r="G15" s="226">
        <v>36735.85999999997</v>
      </c>
      <c r="H15" s="245">
        <v>9501.86</v>
      </c>
      <c r="I15" s="224">
        <f t="shared" si="81"/>
      </c>
      <c r="J15" s="224">
        <f t="shared" si="132"/>
      </c>
      <c r="K15" s="225">
        <f t="shared" si="180"/>
      </c>
      <c r="L15" s="225">
        <f t="shared" si="2"/>
      </c>
      <c r="M15" s="221" t="s">
        <v>706</v>
      </c>
      <c r="N15" s="246">
        <v>10</v>
      </c>
      <c r="O15" s="228"/>
      <c r="P15" s="229"/>
      <c r="Q15" s="229"/>
      <c r="R15" s="241">
        <v>4.852839632277835</v>
      </c>
      <c r="S15" s="232">
        <v>0.22473018489991595</v>
      </c>
      <c r="T15" s="232">
        <v>0.022577892576278222</v>
      </c>
      <c r="U15" s="232">
        <v>0.024987892345656234</v>
      </c>
      <c r="V15" s="232">
        <v>0.11905860636825104</v>
      </c>
      <c r="W15" s="233">
        <v>19489.05109489051</v>
      </c>
      <c r="X15" s="232">
        <v>0.0137</v>
      </c>
      <c r="Y15" s="233">
        <v>50.2</v>
      </c>
      <c r="Z15" s="234">
        <v>109.56689190747447</v>
      </c>
      <c r="AA15" s="233">
        <v>86722</v>
      </c>
      <c r="AB15" s="233">
        <v>1958</v>
      </c>
      <c r="AC15" s="233">
        <v>2167</v>
      </c>
      <c r="AD15" s="233">
        <v>267</v>
      </c>
      <c r="AE15" s="233">
        <v>258</v>
      </c>
      <c r="AF15" s="233">
        <v>10</v>
      </c>
      <c r="AG15" s="233">
        <v>5</v>
      </c>
      <c r="AH15" s="233">
        <v>47</v>
      </c>
    </row>
    <row r="16">
      <c r="A16" s="247">
        <v>46237</v>
      </c>
      <c r="B16" s="248" t="s">
        <v>707</v>
      </c>
      <c r="C16" s="249"/>
      <c r="D16" s="249">
        <f>SUM(D12:D15)</f>
      </c>
      <c r="E16" s="249">
        <f>SUM(E12:E15)</f>
      </c>
      <c r="F16" s="249">
        <f>SUM(F12:F15)</f>
      </c>
      <c r="G16" s="249">
        <f>SUM(G12:G15)</f>
      </c>
      <c r="H16" s="249">
        <f>SUM(H12:H15)</f>
      </c>
      <c r="I16" s="250">
        <f t="shared" si="81"/>
      </c>
      <c r="J16" s="250">
        <f t="shared" si="132"/>
      </c>
      <c r="K16" s="250">
        <f t="shared" si="180"/>
      </c>
      <c r="L16" s="250"/>
      <c r="M16" s="249"/>
      <c r="N16" s="251">
        <f>SUM(N12:N15)</f>
      </c>
      <c r="O16" s="249"/>
      <c r="P16" s="249"/>
      <c r="Q16" s="249"/>
      <c r="R16" s="252">
        <f>AVERAGE(R12:R15)</f>
      </c>
      <c r="S16" s="253">
        <f>AVERAGE(S12:S15)</f>
      </c>
      <c r="T16" s="253">
        <f>AVERAGE(T12:T15)</f>
      </c>
      <c r="U16" s="253">
        <f>AVERAGE(U12:U15)</f>
      </c>
      <c r="V16" s="253">
        <f>AVERAGE(V12:V15)</f>
      </c>
      <c r="W16" s="254">
        <f>SUM(W12:W15)</f>
      </c>
      <c r="X16" s="253">
        <f>AVERAGE(X12:X15)</f>
      </c>
      <c r="Y16" s="254"/>
      <c r="Z16" s="252">
        <f>AVERAGE(Z12:Z15)</f>
      </c>
      <c r="AA16" s="254">
        <f>SUM(AA12:AA15)</f>
      </c>
      <c r="AB16" s="254">
        <f>SUM(AB12:AB15)</f>
      </c>
      <c r="AC16" s="254">
        <f>SUM(AC12:AC15)</f>
      </c>
      <c r="AD16" s="254">
        <f>SUM(AD12:AD15)</f>
      </c>
      <c r="AE16" s="254">
        <f>SUM(AE12:AE15)</f>
      </c>
      <c r="AF16" s="254">
        <f>SUM(AF12:AF15)</f>
      </c>
      <c r="AG16" s="254">
        <f>SUM(AG12:AG15)</f>
      </c>
      <c r="AH16" s="254">
        <f>SUM(AH12:AH15)</f>
      </c>
    </row>
    <row r="17">
      <c r="A17" s="218">
        <v>46238</v>
      </c>
      <c r="B17" s="242" t="s">
        <v>704</v>
      </c>
      <c r="C17" s="220" t="s">
        <v>698</v>
      </c>
      <c r="D17" s="221">
        <v>5</v>
      </c>
      <c r="E17" s="222">
        <v>10</v>
      </c>
      <c r="F17" s="222">
        <v>12</v>
      </c>
      <c r="G17" s="222">
        <v>24116.28</v>
      </c>
      <c r="H17" s="223">
        <v>13874.89</v>
      </c>
      <c r="I17" s="224">
        <f t="shared" si="81"/>
      </c>
      <c r="J17" s="224">
        <f t="shared" si="132"/>
      </c>
      <c r="K17" s="225">
        <f t="shared" si="180"/>
      </c>
      <c r="L17" s="225">
        <f t="shared" ref="L17:L20" si="3">H17/D17</f>
      </c>
      <c r="M17" s="226" t="s">
        <v>711</v>
      </c>
      <c r="N17" s="227">
        <v>10</v>
      </c>
      <c r="O17" s="228"/>
      <c r="P17" s="229"/>
      <c r="Q17" s="229"/>
      <c r="R17" s="230">
        <v>6.940915457728864</v>
      </c>
      <c r="S17" s="231">
        <v>0.13098342932620888</v>
      </c>
      <c r="T17" s="232">
        <v>0.02277387896463726</v>
      </c>
      <c r="U17" s="232">
        <v>0.02312705067444404</v>
      </c>
      <c r="V17" s="232">
        <v>0.1270935960591133</v>
      </c>
      <c r="W17" s="233">
        <v>11497.201492537311</v>
      </c>
      <c r="X17" s="232">
        <v>0.04288000000000001</v>
      </c>
      <c r="Y17" s="233">
        <v>44.8</v>
      </c>
      <c r="Z17" s="234">
        <v>158.07156853809698</v>
      </c>
      <c r="AA17" s="233">
        <v>87776</v>
      </c>
      <c r="AB17" s="233">
        <v>1999</v>
      </c>
      <c r="AC17" s="233">
        <v>2030</v>
      </c>
      <c r="AD17" s="233">
        <v>493</v>
      </c>
      <c r="AE17" s="233">
        <v>258</v>
      </c>
      <c r="AF17" s="233">
        <v>29</v>
      </c>
      <c r="AG17" s="235">
        <v>4</v>
      </c>
      <c r="AH17" s="233">
        <v>107</v>
      </c>
    </row>
    <row r="18">
      <c r="A18" s="218">
        <v>46238</v>
      </c>
      <c r="B18" s="219" t="s">
        <v>697</v>
      </c>
      <c r="C18" s="220" t="s">
        <v>701</v>
      </c>
      <c r="D18" s="237">
        <v>5</v>
      </c>
      <c r="E18" s="238">
        <v>19</v>
      </c>
      <c r="F18" s="238">
        <v>22</v>
      </c>
      <c r="G18" s="238">
        <v>48642.18999999999</v>
      </c>
      <c r="H18" s="239">
        <v>14051.1</v>
      </c>
      <c r="I18" s="240">
        <f t="shared" si="81"/>
      </c>
      <c r="J18" s="224">
        <f t="shared" si="132"/>
      </c>
      <c r="K18" s="224">
        <f t="shared" si="180"/>
      </c>
      <c r="L18" s="225">
        <f t="shared" si="3"/>
      </c>
      <c r="M18" s="226"/>
      <c r="N18" s="227"/>
      <c r="O18" s="228"/>
      <c r="P18" s="229"/>
      <c r="Q18" s="229"/>
      <c r="R18" s="241">
        <v>9.231997371879107</v>
      </c>
      <c r="S18" s="232">
        <v>0.11581548557255542</v>
      </c>
      <c r="T18" s="231">
        <v>0.014738921599008368</v>
      </c>
      <c r="U18" s="232">
        <v>0.014496823675240161</v>
      </c>
      <c r="V18" s="231">
        <v>0.20440881763527055</v>
      </c>
      <c r="W18" s="233">
        <v>11959.570302164362</v>
      </c>
      <c r="X18" s="232">
        <v>0.03779400000000001</v>
      </c>
      <c r="Y18" s="233">
        <v>55.4</v>
      </c>
      <c r="Z18" s="234">
        <v>136.06968546637742</v>
      </c>
      <c r="AA18" s="233">
        <v>103264</v>
      </c>
      <c r="AB18" s="233">
        <v>1522</v>
      </c>
      <c r="AC18" s="233">
        <v>1497</v>
      </c>
      <c r="AD18" s="233">
        <v>452</v>
      </c>
      <c r="AE18" s="233">
        <v>306</v>
      </c>
      <c r="AF18" s="233">
        <v>21</v>
      </c>
      <c r="AG18" s="233">
        <v>7</v>
      </c>
      <c r="AH18" s="233">
        <v>88</v>
      </c>
    </row>
    <row r="19">
      <c r="A19" s="218">
        <v>46238</v>
      </c>
      <c r="B19" s="255" t="s">
        <v>709</v>
      </c>
      <c r="C19" s="220" t="s">
        <v>703</v>
      </c>
      <c r="D19" s="237">
        <v>5</v>
      </c>
      <c r="E19" s="243">
        <v>12</v>
      </c>
      <c r="F19" s="243">
        <v>19</v>
      </c>
      <c r="G19" s="243">
        <v>49008.52000000002</v>
      </c>
      <c r="H19" s="243">
        <v>14275.410000000002</v>
      </c>
      <c r="I19" s="240">
        <f t="shared" si="81"/>
      </c>
      <c r="J19" s="224">
        <f t="shared" si="132"/>
      </c>
      <c r="K19" s="224">
        <f t="shared" si="180"/>
      </c>
      <c r="L19" s="225">
        <f t="shared" si="3"/>
      </c>
      <c r="M19" s="244"/>
      <c r="N19" s="244"/>
      <c r="O19" s="228"/>
      <c r="P19" s="229"/>
      <c r="Q19" s="229"/>
      <c r="R19" s="241">
        <v>5.533104651162791</v>
      </c>
      <c r="S19" s="232">
        <v>0.1678970765861262</v>
      </c>
      <c r="T19" s="232">
        <v>0.01939587123547189</v>
      </c>
      <c r="U19" s="232">
        <v>0.020929498263392923</v>
      </c>
      <c r="V19" s="232">
        <v>0.10883620689655173</v>
      </c>
      <c r="W19" s="233">
        <v>22333.333333333336</v>
      </c>
      <c r="X19" s="232">
        <v>0.018</v>
      </c>
      <c r="Y19" s="233">
        <v>55</v>
      </c>
      <c r="Z19" s="234">
        <v>107.31938534634412</v>
      </c>
      <c r="AA19" s="233">
        <v>133018</v>
      </c>
      <c r="AB19" s="233">
        <v>2580</v>
      </c>
      <c r="AC19" s="233">
        <v>2784</v>
      </c>
      <c r="AD19" s="233">
        <v>402</v>
      </c>
      <c r="AE19" s="233">
        <v>303</v>
      </c>
      <c r="AF19" s="233">
        <v>20</v>
      </c>
      <c r="AG19" s="233">
        <v>6</v>
      </c>
      <c r="AH19" s="233">
        <v>75</v>
      </c>
    </row>
    <row r="20">
      <c r="A20" s="218">
        <v>46238</v>
      </c>
      <c r="B20" s="242" t="s">
        <v>702</v>
      </c>
      <c r="C20" s="220" t="s">
        <v>705</v>
      </c>
      <c r="D20" s="221">
        <v>5</v>
      </c>
      <c r="E20" s="226">
        <v>10</v>
      </c>
      <c r="F20" s="226">
        <v>13</v>
      </c>
      <c r="G20" s="226">
        <v>26851.919999999984</v>
      </c>
      <c r="H20" s="245">
        <v>11726.92</v>
      </c>
      <c r="I20" s="224">
        <f t="shared" si="81"/>
      </c>
      <c r="J20" s="224">
        <f t="shared" si="132"/>
      </c>
      <c r="K20" s="225">
        <f t="shared" si="180"/>
      </c>
      <c r="L20" s="225">
        <f t="shared" si="3"/>
      </c>
      <c r="M20" s="221" t="s">
        <v>706</v>
      </c>
      <c r="N20" s="246">
        <v>10</v>
      </c>
      <c r="O20" s="228"/>
      <c r="P20" s="229"/>
      <c r="Q20" s="229"/>
      <c r="R20" s="241">
        <v>4.311367647058823</v>
      </c>
      <c r="S20" s="232">
        <v>0.19558454864273417</v>
      </c>
      <c r="T20" s="232">
        <v>0.026724044762774977</v>
      </c>
      <c r="U20" s="232">
        <v>0.028826598284552127</v>
      </c>
      <c r="V20" s="232">
        <v>0.11315610088616224</v>
      </c>
      <c r="W20" s="233">
        <v>19906.790945406126</v>
      </c>
      <c r="X20" s="232">
        <v>0.01502</v>
      </c>
      <c r="Y20" s="233">
        <v>53.6</v>
      </c>
      <c r="Z20" s="234">
        <v>115.21718198877984</v>
      </c>
      <c r="AA20" s="233">
        <v>101781</v>
      </c>
      <c r="AB20" s="233">
        <v>2720</v>
      </c>
      <c r="AC20" s="233">
        <v>2934</v>
      </c>
      <c r="AD20" s="233">
        <v>299</v>
      </c>
      <c r="AE20" s="233">
        <v>332</v>
      </c>
      <c r="AF20" s="233">
        <v>18</v>
      </c>
      <c r="AG20" s="233">
        <v>13</v>
      </c>
      <c r="AH20" s="233">
        <v>61</v>
      </c>
    </row>
    <row r="21">
      <c r="A21" s="247">
        <v>46238</v>
      </c>
      <c r="B21" s="248" t="s">
        <v>707</v>
      </c>
      <c r="C21" s="249"/>
      <c r="D21" s="249">
        <f>SUM(D17:D20)</f>
      </c>
      <c r="E21" s="249">
        <f>SUM(E17:E20)</f>
      </c>
      <c r="F21" s="249">
        <f>SUM(F17:F20)</f>
      </c>
      <c r="G21" s="249">
        <f>SUM(G17:G20)</f>
      </c>
      <c r="H21" s="249">
        <f>SUM(H17:H20)</f>
      </c>
      <c r="I21" s="250">
        <f t="shared" si="81"/>
      </c>
      <c r="J21" s="250">
        <f t="shared" si="132"/>
      </c>
      <c r="K21" s="250">
        <f t="shared" si="180"/>
      </c>
      <c r="L21" s="250"/>
      <c r="M21" s="249"/>
      <c r="N21" s="251">
        <f>SUM(N17:N20)</f>
      </c>
      <c r="O21" s="249"/>
      <c r="P21" s="249"/>
      <c r="Q21" s="249"/>
      <c r="R21" s="252">
        <f>AVERAGE(R17:R20)</f>
      </c>
      <c r="S21" s="253">
        <f>AVERAGE(S17:S20)</f>
      </c>
      <c r="T21" s="253">
        <f>AVERAGE(T17:T20)</f>
      </c>
      <c r="U21" s="253">
        <f>AVERAGE(U17:U20)</f>
      </c>
      <c r="V21" s="253">
        <f>AVERAGE(V17:V20)</f>
      </c>
      <c r="W21" s="254">
        <f>SUM(W17:W20)</f>
      </c>
      <c r="X21" s="253">
        <f>AVERAGE(X17:X20)</f>
      </c>
      <c r="Y21" s="254"/>
      <c r="Z21" s="252">
        <f>AVERAGE(Z17:Z20)</f>
      </c>
      <c r="AA21" s="254">
        <f>SUM(AA17:AA20)</f>
      </c>
      <c r="AB21" s="254">
        <f>SUM(AB17:AB20)</f>
      </c>
      <c r="AC21" s="254">
        <f>SUM(AC17:AC20)</f>
      </c>
      <c r="AD21" s="254">
        <f>SUM(AD17:AD20)</f>
      </c>
      <c r="AE21" s="254">
        <f>SUM(AE17:AE20)</f>
      </c>
      <c r="AF21" s="254">
        <f>SUM(AF17:AF20)</f>
      </c>
      <c r="AG21" s="254">
        <f>SUM(AG17:AG20)</f>
      </c>
      <c r="AH21" s="254">
        <f>SUM(AH17:AH20)</f>
      </c>
    </row>
    <row r="22">
      <c r="A22" s="218">
        <v>46239</v>
      </c>
      <c r="B22" s="242" t="s">
        <v>704</v>
      </c>
      <c r="C22" s="220" t="s">
        <v>698</v>
      </c>
      <c r="D22" s="221">
        <v>5</v>
      </c>
      <c r="E22" s="222">
        <v>7</v>
      </c>
      <c r="F22" s="222">
        <v>10</v>
      </c>
      <c r="G22" s="222">
        <v>21433.64</v>
      </c>
      <c r="H22" s="223">
        <v>10906.31</v>
      </c>
      <c r="I22" s="224">
        <f t="shared" si="81"/>
      </c>
      <c r="J22" s="224">
        <f t="shared" si="132"/>
      </c>
      <c r="K22" s="225">
        <f t="shared" si="180"/>
      </c>
      <c r="L22" s="225">
        <f t="shared" ref="L22:L25" si="4">H22/D22</f>
      </c>
      <c r="M22" s="226" t="s">
        <v>711</v>
      </c>
      <c r="N22" s="227">
        <v>10</v>
      </c>
      <c r="O22" s="228"/>
      <c r="P22" s="229"/>
      <c r="Q22" s="229"/>
      <c r="R22" s="230">
        <v>4.760501964207769</v>
      </c>
      <c r="S22" s="231">
        <v>0.17594753640550936</v>
      </c>
      <c r="T22" s="232">
        <v>0.026285596273434454</v>
      </c>
      <c r="U22" s="232">
        <v>0.028281970673948463</v>
      </c>
      <c r="V22" s="232">
        <v>0.06612576064908722</v>
      </c>
      <c r="W22" s="233">
        <v>15335.235378031384</v>
      </c>
      <c r="X22" s="232">
        <v>0.02804</v>
      </c>
      <c r="Y22" s="233">
        <v>39</v>
      </c>
      <c r="Z22" s="234">
        <v>125.13263269005715</v>
      </c>
      <c r="AA22" s="233">
        <v>87158</v>
      </c>
      <c r="AB22" s="233">
        <v>2291</v>
      </c>
      <c r="AC22" s="233">
        <v>2465</v>
      </c>
      <c r="AD22" s="233">
        <v>430</v>
      </c>
      <c r="AE22" s="233">
        <v>163</v>
      </c>
      <c r="AF22" s="233">
        <v>22</v>
      </c>
      <c r="AG22" s="235">
        <v>4</v>
      </c>
      <c r="AH22" s="233">
        <v>79</v>
      </c>
    </row>
    <row r="23">
      <c r="A23" s="218">
        <v>46239</v>
      </c>
      <c r="B23" s="219" t="s">
        <v>700</v>
      </c>
      <c r="C23" s="220" t="s">
        <v>701</v>
      </c>
      <c r="D23" s="237">
        <v>5</v>
      </c>
      <c r="E23" s="238">
        <v>4</v>
      </c>
      <c r="F23" s="238">
        <v>9</v>
      </c>
      <c r="G23" s="238">
        <v>18125.520000000004</v>
      </c>
      <c r="H23" s="239">
        <v>8651.87</v>
      </c>
      <c r="I23" s="240">
        <f t="shared" si="81"/>
      </c>
      <c r="J23" s="224">
        <f t="shared" si="132"/>
      </c>
      <c r="K23" s="224">
        <f t="shared" si="180"/>
      </c>
      <c r="L23" s="225">
        <f t="shared" si="4"/>
      </c>
      <c r="M23" s="226"/>
      <c r="N23" s="227"/>
      <c r="O23" s="228"/>
      <c r="P23" s="229"/>
      <c r="Q23" s="229"/>
      <c r="R23" s="241">
        <v>9.184575371549895</v>
      </c>
      <c r="S23" s="232">
        <v>0.1816145580982633</v>
      </c>
      <c r="T23" s="231">
        <v>0.01703466608799436</v>
      </c>
      <c r="U23" s="232">
        <v>0.01741441979059296</v>
      </c>
      <c r="V23" s="231">
        <v>0.1703011422637591</v>
      </c>
      <c r="W23" s="233">
        <v>10043.103448275862</v>
      </c>
      <c r="X23" s="232">
        <v>0.0232</v>
      </c>
      <c r="Y23" s="233">
        <v>50.8</v>
      </c>
      <c r="Z23" s="234">
        <v>156.45617461436916</v>
      </c>
      <c r="AA23" s="233">
        <v>55299</v>
      </c>
      <c r="AB23" s="233">
        <v>942</v>
      </c>
      <c r="AC23" s="233">
        <v>963</v>
      </c>
      <c r="AD23" s="233">
        <v>233</v>
      </c>
      <c r="AE23" s="233">
        <v>164</v>
      </c>
      <c r="AF23" s="233">
        <v>10</v>
      </c>
      <c r="AG23" s="233">
        <v>5</v>
      </c>
      <c r="AH23" s="233">
        <v>35</v>
      </c>
    </row>
    <row r="24">
      <c r="A24" s="218">
        <v>46239</v>
      </c>
      <c r="B24" s="242" t="s">
        <v>702</v>
      </c>
      <c r="C24" s="220" t="s">
        <v>703</v>
      </c>
      <c r="D24" s="237">
        <v>5</v>
      </c>
      <c r="E24" s="243">
        <v>5</v>
      </c>
      <c r="F24" s="243">
        <v>9</v>
      </c>
      <c r="G24" s="243">
        <v>22070.019999999997</v>
      </c>
      <c r="H24" s="243">
        <v>8612.29</v>
      </c>
      <c r="I24" s="240">
        <f t="shared" si="81"/>
      </c>
      <c r="J24" s="224">
        <f t="shared" si="132"/>
      </c>
      <c r="K24" s="224">
        <f t="shared" si="180"/>
      </c>
      <c r="L24" s="225">
        <f t="shared" si="4"/>
      </c>
      <c r="M24" s="244"/>
      <c r="N24" s="244"/>
      <c r="O24" s="228"/>
      <c r="P24" s="229"/>
      <c r="Q24" s="229"/>
      <c r="R24" s="241">
        <v>5.662255095332019</v>
      </c>
      <c r="S24" s="232">
        <v>0.13492288526489277</v>
      </c>
      <c r="T24" s="232">
        <v>0.023399280022153166</v>
      </c>
      <c r="U24" s="232">
        <v>0.02504538321897788</v>
      </c>
      <c r="V24" s="232">
        <v>0.10565110565110565</v>
      </c>
      <c r="W24" s="233">
        <v>8770.25738798856</v>
      </c>
      <c r="X24" s="232">
        <v>0.020980000000000002</v>
      </c>
      <c r="Y24" s="233">
        <v>36.6</v>
      </c>
      <c r="Z24" s="234">
        <v>132.4926925325375</v>
      </c>
      <c r="AA24" s="233">
        <v>65002</v>
      </c>
      <c r="AB24" s="233">
        <v>1521</v>
      </c>
      <c r="AC24" s="233">
        <v>1628</v>
      </c>
      <c r="AD24" s="233">
        <v>184</v>
      </c>
      <c r="AE24" s="233">
        <v>172</v>
      </c>
      <c r="AF24" s="233">
        <v>12</v>
      </c>
      <c r="AG24" s="233">
        <v>7</v>
      </c>
      <c r="AH24" s="233">
        <v>32</v>
      </c>
    </row>
    <row r="25">
      <c r="A25" s="218">
        <v>46239</v>
      </c>
      <c r="B25" s="255" t="s">
        <v>709</v>
      </c>
      <c r="C25" s="220" t="s">
        <v>705</v>
      </c>
      <c r="D25" s="221">
        <v>5</v>
      </c>
      <c r="E25" s="226">
        <v>10</v>
      </c>
      <c r="F25" s="226">
        <v>10</v>
      </c>
      <c r="G25" s="226">
        <v>23030.65</v>
      </c>
      <c r="H25" s="245">
        <v>8553.87</v>
      </c>
      <c r="I25" s="224">
        <f t="shared" si="81"/>
      </c>
      <c r="J25" s="224">
        <f t="shared" si="132"/>
      </c>
      <c r="K25" s="225">
        <f t="shared" si="180"/>
      </c>
      <c r="L25" s="225">
        <f t="shared" si="4"/>
      </c>
      <c r="M25" s="221" t="s">
        <v>712</v>
      </c>
      <c r="N25" s="246">
        <v>10</v>
      </c>
      <c r="O25" s="228"/>
      <c r="P25" s="229"/>
      <c r="Q25" s="229"/>
      <c r="R25" s="241">
        <v>4.689621710526316</v>
      </c>
      <c r="S25" s="232">
        <v>0.1783265315378783</v>
      </c>
      <c r="T25" s="232">
        <v>0.026850775051154848</v>
      </c>
      <c r="U25" s="232">
        <v>0.028882248163577748</v>
      </c>
      <c r="V25" s="232">
        <v>0.1564729867482161</v>
      </c>
      <c r="W25" s="233">
        <v>12113.899613899612</v>
      </c>
      <c r="X25" s="232">
        <v>0.020720000000000002</v>
      </c>
      <c r="Y25" s="233">
        <v>41</v>
      </c>
      <c r="Z25" s="234">
        <v>125.91997762435415</v>
      </c>
      <c r="AA25" s="233">
        <v>67931</v>
      </c>
      <c r="AB25" s="233">
        <v>1824</v>
      </c>
      <c r="AC25" s="233">
        <v>1962</v>
      </c>
      <c r="AD25" s="233">
        <v>251</v>
      </c>
      <c r="AE25" s="233">
        <v>307</v>
      </c>
      <c r="AF25" s="233">
        <v>16</v>
      </c>
      <c r="AG25" s="233">
        <v>9</v>
      </c>
      <c r="AH25" s="233">
        <v>24</v>
      </c>
    </row>
    <row r="26">
      <c r="A26" s="247">
        <v>46239</v>
      </c>
      <c r="B26" s="248" t="s">
        <v>707</v>
      </c>
      <c r="C26" s="249"/>
      <c r="D26" s="249">
        <f>SUM(D22:D25)</f>
      </c>
      <c r="E26" s="249">
        <f>SUM(E22:E25)</f>
      </c>
      <c r="F26" s="249">
        <f>SUM(F22:F25)</f>
      </c>
      <c r="G26" s="249">
        <f>SUM(G22:G25)</f>
      </c>
      <c r="H26" s="249">
        <f>SUM(H22:H25)</f>
      </c>
      <c r="I26" s="250">
        <f t="shared" si="81"/>
      </c>
      <c r="J26" s="250">
        <f t="shared" si="132"/>
      </c>
      <c r="K26" s="250">
        <f t="shared" si="180"/>
      </c>
      <c r="L26" s="250"/>
      <c r="M26" s="249"/>
      <c r="N26" s="251">
        <f>SUM(N22:N25)</f>
      </c>
      <c r="O26" s="249"/>
      <c r="P26" s="249"/>
      <c r="Q26" s="249"/>
      <c r="R26" s="252">
        <f>AVERAGE(R22:R25)</f>
      </c>
      <c r="S26" s="253">
        <f>AVERAGE(S22:S25)</f>
      </c>
      <c r="T26" s="253">
        <f>AVERAGE(T22:T25)</f>
      </c>
      <c r="U26" s="253">
        <f>AVERAGE(U22:U25)</f>
      </c>
      <c r="V26" s="253">
        <f>AVERAGE(V22:V25)</f>
      </c>
      <c r="W26" s="254">
        <f>SUM(W22:W25)</f>
      </c>
      <c r="X26" s="253">
        <f>AVERAGE(X22:X25)</f>
      </c>
      <c r="Y26" s="254"/>
      <c r="Z26" s="252">
        <f>AVERAGE(Z22:Z25)</f>
      </c>
      <c r="AA26" s="254">
        <f>SUM(AA22:AA25)</f>
      </c>
      <c r="AB26" s="254">
        <f>SUM(AB22:AB25)</f>
      </c>
      <c r="AC26" s="254">
        <f>SUM(AC22:AC25)</f>
      </c>
      <c r="AD26" s="254">
        <f>SUM(AD22:AD25)</f>
      </c>
      <c r="AE26" s="254">
        <f>SUM(AE22:AE25)</f>
      </c>
      <c r="AF26" s="254">
        <f>SUM(AF22:AF25)</f>
      </c>
      <c r="AG26" s="254">
        <f>SUM(AG22:AG25)</f>
      </c>
      <c r="AH26" s="254">
        <f>SUM(AH22:AH25)</f>
      </c>
    </row>
    <row r="27">
      <c r="A27" s="218">
        <v>46240</v>
      </c>
      <c r="B27" s="219" t="s">
        <v>700</v>
      </c>
      <c r="C27" s="220" t="s">
        <v>698</v>
      </c>
      <c r="D27" s="221">
        <v>5</v>
      </c>
      <c r="E27" s="222">
        <v>8</v>
      </c>
      <c r="F27" s="222">
        <v>10</v>
      </c>
      <c r="G27" s="222">
        <v>26930.489999999998</v>
      </c>
      <c r="H27" s="223">
        <v>9070.52</v>
      </c>
      <c r="I27" s="224">
        <f t="shared" si="81"/>
      </c>
      <c r="J27" s="224">
        <f t="shared" si="132"/>
      </c>
      <c r="K27" s="225">
        <f t="shared" si="180"/>
      </c>
      <c r="L27" s="225">
        <f t="shared" ref="L27:L30" si="5">H27/D27</f>
      </c>
      <c r="M27" s="226" t="s">
        <v>711</v>
      </c>
      <c r="N27" s="227">
        <v>2</v>
      </c>
      <c r="O27" s="228"/>
      <c r="P27" s="229"/>
      <c r="Q27" s="229"/>
      <c r="R27" s="230">
        <v>5.177237442922375</v>
      </c>
      <c r="S27" s="231">
        <v>0.06365063719625773</v>
      </c>
      <c r="T27" s="232">
        <v>0.023944566688078286</v>
      </c>
      <c r="U27" s="232">
        <v>0.025256597739479834</v>
      </c>
      <c r="V27" s="232">
        <v>0.09956709956709957</v>
      </c>
      <c r="W27" s="233">
        <v>4657.253473012982</v>
      </c>
      <c r="X27" s="232">
        <v>0.08781999999999998</v>
      </c>
      <c r="Y27" s="233">
        <v>42.8</v>
      </c>
      <c r="Z27" s="234">
        <v>123.96670721207069</v>
      </c>
      <c r="AA27" s="233">
        <v>73169</v>
      </c>
      <c r="AB27" s="233">
        <v>1752</v>
      </c>
      <c r="AC27" s="233">
        <v>1848</v>
      </c>
      <c r="AD27" s="233">
        <v>409</v>
      </c>
      <c r="AE27" s="233">
        <v>184</v>
      </c>
      <c r="AF27" s="233">
        <v>19</v>
      </c>
      <c r="AG27" s="235">
        <v>2</v>
      </c>
      <c r="AH27" s="233">
        <v>92</v>
      </c>
    </row>
    <row r="28">
      <c r="A28" s="218">
        <v>46240</v>
      </c>
      <c r="B28" s="242" t="s">
        <v>702</v>
      </c>
      <c r="C28" s="220" t="s">
        <v>701</v>
      </c>
      <c r="D28" s="237">
        <v>5</v>
      </c>
      <c r="E28" s="238">
        <v>10</v>
      </c>
      <c r="F28" s="238">
        <v>14</v>
      </c>
      <c r="G28" s="238">
        <v>33207.3</v>
      </c>
      <c r="H28" s="239">
        <v>13737.8</v>
      </c>
      <c r="I28" s="240">
        <f t="shared" si="81"/>
      </c>
      <c r="J28" s="224">
        <f t="shared" si="132"/>
      </c>
      <c r="K28" s="224">
        <f t="shared" si="180"/>
      </c>
      <c r="L28" s="225">
        <f t="shared" si="5"/>
      </c>
      <c r="M28" s="226" t="s">
        <v>710</v>
      </c>
      <c r="N28" s="227">
        <v>8</v>
      </c>
      <c r="O28" s="228"/>
      <c r="P28" s="229"/>
      <c r="Q28" s="229"/>
      <c r="R28" s="241">
        <v>6.652687651331719</v>
      </c>
      <c r="S28" s="232">
        <v>0.1256108028542514</v>
      </c>
      <c r="T28" s="231">
        <v>0.017208476737306144</v>
      </c>
      <c r="U28" s="232">
        <v>0.016875140626171885</v>
      </c>
      <c r="V28" s="231">
        <v>0.1511111111111111</v>
      </c>
      <c r="W28" s="233">
        <v>15073.170731707316</v>
      </c>
      <c r="X28" s="232">
        <v>0.041</v>
      </c>
      <c r="Y28" s="233">
        <v>56</v>
      </c>
      <c r="Z28" s="234">
        <v>114.48262068850573</v>
      </c>
      <c r="AA28" s="233">
        <v>119999</v>
      </c>
      <c r="AB28" s="233">
        <v>2065</v>
      </c>
      <c r="AC28" s="233">
        <v>2025</v>
      </c>
      <c r="AD28" s="233">
        <v>618</v>
      </c>
      <c r="AE28" s="233">
        <v>306</v>
      </c>
      <c r="AF28" s="233">
        <v>26</v>
      </c>
      <c r="AG28" s="233">
        <v>6</v>
      </c>
      <c r="AH28" s="233">
        <v>163</v>
      </c>
    </row>
    <row r="29">
      <c r="A29" s="218">
        <v>46240</v>
      </c>
      <c r="B29" s="242" t="s">
        <v>697</v>
      </c>
      <c r="C29" s="220" t="s">
        <v>703</v>
      </c>
      <c r="D29" s="237">
        <v>5</v>
      </c>
      <c r="E29" s="243">
        <v>9</v>
      </c>
      <c r="F29" s="243">
        <v>11</v>
      </c>
      <c r="G29" s="243">
        <v>27461.890000000003</v>
      </c>
      <c r="H29" s="243">
        <v>11014.14</v>
      </c>
      <c r="I29" s="240">
        <f t="shared" si="81"/>
      </c>
      <c r="J29" s="224">
        <f t="shared" si="132"/>
      </c>
      <c r="K29" s="224">
        <f t="shared" si="180"/>
      </c>
      <c r="L29" s="225">
        <f t="shared" si="5"/>
      </c>
      <c r="M29" s="244"/>
      <c r="N29" s="244"/>
      <c r="O29" s="228"/>
      <c r="P29" s="229"/>
      <c r="Q29" s="229"/>
      <c r="R29" s="241">
        <v>7.222386885245902</v>
      </c>
      <c r="S29" s="232">
        <v>0.20056295155315948</v>
      </c>
      <c r="T29" s="232">
        <v>0.017768922445935868</v>
      </c>
      <c r="U29" s="232">
        <v>0.018351510067114093</v>
      </c>
      <c r="V29" s="232">
        <v>0.14857142857142858</v>
      </c>
      <c r="W29" s="233">
        <v>17213.11475409836</v>
      </c>
      <c r="X29" s="232">
        <v>0.015860000000000003</v>
      </c>
      <c r="Y29" s="233">
        <v>49</v>
      </c>
      <c r="Z29" s="234">
        <v>128.33403243847874</v>
      </c>
      <c r="AA29" s="233">
        <v>85824</v>
      </c>
      <c r="AB29" s="233">
        <v>1525</v>
      </c>
      <c r="AC29" s="233">
        <v>1575</v>
      </c>
      <c r="AD29" s="233">
        <v>273</v>
      </c>
      <c r="AE29" s="233">
        <v>234</v>
      </c>
      <c r="AF29" s="233">
        <v>14</v>
      </c>
      <c r="AG29" s="233">
        <v>4</v>
      </c>
      <c r="AH29" s="233">
        <v>47</v>
      </c>
    </row>
    <row r="30">
      <c r="A30" s="218">
        <v>46240</v>
      </c>
      <c r="B30" s="255" t="s">
        <v>709</v>
      </c>
      <c r="C30" s="220" t="s">
        <v>705</v>
      </c>
      <c r="D30" s="221">
        <v>5</v>
      </c>
      <c r="E30" s="226">
        <v>10</v>
      </c>
      <c r="F30" s="226">
        <v>14</v>
      </c>
      <c r="G30" s="226">
        <v>37321.74</v>
      </c>
      <c r="H30" s="245">
        <v>10462.9</v>
      </c>
      <c r="I30" s="224">
        <f t="shared" si="81"/>
      </c>
      <c r="J30" s="224">
        <f t="shared" si="132"/>
      </c>
      <c r="K30" s="225">
        <f t="shared" si="180"/>
      </c>
      <c r="L30" s="225">
        <f t="shared" si="5"/>
      </c>
      <c r="M30" s="221" t="s">
        <v>706</v>
      </c>
      <c r="N30" s="246">
        <v>10</v>
      </c>
      <c r="O30" s="228"/>
      <c r="P30" s="229"/>
      <c r="Q30" s="229"/>
      <c r="R30" s="241">
        <v>4.29687885010267</v>
      </c>
      <c r="S30" s="232">
        <v>0.1630942305293394</v>
      </c>
      <c r="T30" s="232">
        <v>0.01930578459977166</v>
      </c>
      <c r="U30" s="232">
        <v>0.021383039451985286</v>
      </c>
      <c r="V30" s="232">
        <v>0.11790878754171301</v>
      </c>
      <c r="W30" s="233">
        <v>20570.74910820452</v>
      </c>
      <c r="X30" s="232">
        <v>0.016819999999999998</v>
      </c>
      <c r="Y30" s="233">
        <v>54.2</v>
      </c>
      <c r="Z30" s="234">
        <v>82.95461753139666</v>
      </c>
      <c r="AA30" s="233">
        <v>126128</v>
      </c>
      <c r="AB30" s="233">
        <v>2435</v>
      </c>
      <c r="AC30" s="233">
        <v>2697</v>
      </c>
      <c r="AD30" s="233">
        <v>346</v>
      </c>
      <c r="AE30" s="233">
        <v>318</v>
      </c>
      <c r="AF30" s="233">
        <v>26</v>
      </c>
      <c r="AG30" s="233">
        <v>11</v>
      </c>
      <c r="AH30" s="233">
        <v>72</v>
      </c>
    </row>
    <row r="31">
      <c r="A31" s="247">
        <v>46240</v>
      </c>
      <c r="B31" s="248" t="s">
        <v>707</v>
      </c>
      <c r="C31" s="249"/>
      <c r="D31" s="249">
        <f>SUM(D27:D30)</f>
      </c>
      <c r="E31" s="249">
        <f>SUM(E27:E30)</f>
      </c>
      <c r="F31" s="249">
        <f>SUM(F27:F30)</f>
      </c>
      <c r="G31" s="249">
        <f>SUM(G27:G30)</f>
      </c>
      <c r="H31" s="249">
        <f>SUM(H27:H30)</f>
      </c>
      <c r="I31" s="250">
        <f t="shared" si="81"/>
      </c>
      <c r="J31" s="250">
        <f t="shared" si="132"/>
      </c>
      <c r="K31" s="250">
        <f t="shared" si="180"/>
      </c>
      <c r="L31" s="250"/>
      <c r="M31" s="249"/>
      <c r="N31" s="251">
        <f>SUM(N27:N30)</f>
      </c>
      <c r="O31" s="249"/>
      <c r="P31" s="249"/>
      <c r="Q31" s="249"/>
      <c r="R31" s="252">
        <f>AVERAGE(R27:R30)</f>
      </c>
      <c r="S31" s="253">
        <f>AVERAGE(S27:S30)</f>
      </c>
      <c r="T31" s="253">
        <f>AVERAGE(T27:T30)</f>
      </c>
      <c r="U31" s="253">
        <f>AVERAGE(U27:U30)</f>
      </c>
      <c r="V31" s="253">
        <f>AVERAGE(V27:V30)</f>
      </c>
      <c r="W31" s="254">
        <f>SUM(W27:W30)</f>
      </c>
      <c r="X31" s="253">
        <f>AVERAGE(X27:X30)</f>
      </c>
      <c r="Y31" s="254"/>
      <c r="Z31" s="252">
        <f>AVERAGE(Z27:Z30)</f>
      </c>
      <c r="AA31" s="254">
        <f>SUM(AA27:AA30)</f>
      </c>
      <c r="AB31" s="254">
        <f>SUM(AB27:AB30)</f>
      </c>
      <c r="AC31" s="254">
        <f>SUM(AC27:AC30)</f>
      </c>
      <c r="AD31" s="254">
        <f>SUM(AD27:AD30)</f>
      </c>
      <c r="AE31" s="254">
        <f>SUM(AE27:AE30)</f>
      </c>
      <c r="AF31" s="254">
        <f>SUM(AF27:AF30)</f>
      </c>
      <c r="AG31" s="254">
        <f>SUM(AG27:AG30)</f>
      </c>
      <c r="AH31" s="254">
        <f>SUM(AH27:AH30)</f>
      </c>
    </row>
    <row r="32">
      <c r="A32" s="218">
        <v>46241</v>
      </c>
      <c r="B32" s="219" t="s">
        <v>702</v>
      </c>
      <c r="C32" s="220" t="s">
        <v>698</v>
      </c>
      <c r="D32" s="221">
        <v>5</v>
      </c>
      <c r="E32" s="222">
        <v>14</v>
      </c>
      <c r="F32" s="222">
        <v>20</v>
      </c>
      <c r="G32" s="222">
        <v>49863.490000000005</v>
      </c>
      <c r="H32" s="223">
        <v>13011.75</v>
      </c>
      <c r="I32" s="224">
        <f t="shared" si="81"/>
      </c>
      <c r="J32" s="224">
        <f t="shared" si="132"/>
      </c>
      <c r="K32" s="225">
        <f t="shared" si="180"/>
      </c>
      <c r="L32" s="225">
        <f t="shared" ref="L32:L35" si="6">H32/D32</f>
      </c>
      <c r="M32" s="226" t="s">
        <v>711</v>
      </c>
      <c r="N32" s="227">
        <v>10</v>
      </c>
      <c r="O32" s="228"/>
      <c r="P32" s="229"/>
      <c r="Q32" s="229"/>
      <c r="R32" s="256">
        <f t="shared" ref="R32:R35" si="181">H32/AB32</f>
      </c>
      <c r="S32" s="257">
        <f t="shared" ref="S32:S35" si="31">W32/AA32*1</f>
      </c>
      <c r="T32" s="232">
        <f t="shared" ref="T32:T35" si="82">AB32/AA32</f>
      </c>
      <c r="U32" s="232">
        <f t="shared" ref="U32:U35" si="133">AC32/AA32</f>
      </c>
      <c r="V32" s="232">
        <f t="shared" ref="V32:V35" si="206">AE32/AC32</f>
      </c>
      <c r="W32" s="233">
        <f t="shared" ref="W32:W35" si="56">AD32/X32</f>
      </c>
      <c r="X32" s="232">
        <f t="shared" ref="X32:X35" si="107">AD32/AC32</f>
      </c>
      <c r="Y32" s="233">
        <v>41.8</v>
      </c>
      <c r="Z32" s="234">
        <v>116.3758407269605</v>
      </c>
      <c r="AA32" s="233">
        <v>111808</v>
      </c>
      <c r="AB32" s="233">
        <v>2922</v>
      </c>
      <c r="AC32" s="233">
        <v>3087</v>
      </c>
      <c r="AD32" s="233">
        <v>477</v>
      </c>
      <c r="AE32" s="233">
        <v>240</v>
      </c>
      <c r="AF32" s="233">
        <v>26</v>
      </c>
      <c r="AG32" s="235">
        <v>8</v>
      </c>
      <c r="AH32" s="233">
        <v>116</v>
      </c>
    </row>
    <row r="33">
      <c r="A33" s="218">
        <v>46241</v>
      </c>
      <c r="B33" s="242" t="s">
        <v>697</v>
      </c>
      <c r="C33" s="220" t="s">
        <v>701</v>
      </c>
      <c r="D33" s="237">
        <v>5</v>
      </c>
      <c r="E33" s="238">
        <v>17</v>
      </c>
      <c r="F33" s="238">
        <v>19</v>
      </c>
      <c r="G33" s="238">
        <v>47321.2</v>
      </c>
      <c r="H33" s="239">
        <v>15350.71</v>
      </c>
      <c r="I33" s="240">
        <f t="shared" si="81"/>
      </c>
      <c r="J33" s="224">
        <f t="shared" si="132"/>
      </c>
      <c r="K33" s="224">
        <f t="shared" si="180"/>
      </c>
      <c r="L33" s="225">
        <f t="shared" si="6"/>
      </c>
      <c r="M33" s="226"/>
      <c r="N33" s="227"/>
      <c r="O33" s="228"/>
      <c r="P33" s="229"/>
      <c r="Q33" s="229"/>
      <c r="R33" s="256">
        <f t="shared" si="181"/>
      </c>
      <c r="S33" s="257">
        <f t="shared" si="31"/>
      </c>
      <c r="T33" s="232">
        <f t="shared" si="82"/>
      </c>
      <c r="U33" s="232">
        <f t="shared" si="133"/>
      </c>
      <c r="V33" s="232">
        <f t="shared" si="206"/>
      </c>
      <c r="W33" s="233">
        <f t="shared" si="56"/>
      </c>
      <c r="X33" s="232">
        <f t="shared" si="107"/>
      </c>
      <c r="Y33" s="233">
        <v>50</v>
      </c>
      <c r="Z33" s="234">
        <v>115.81857689318777</v>
      </c>
      <c r="AA33" s="233">
        <v>132541</v>
      </c>
      <c r="AB33" s="233">
        <v>2681</v>
      </c>
      <c r="AC33" s="233">
        <v>2822</v>
      </c>
      <c r="AD33" s="233">
        <v>524</v>
      </c>
      <c r="AE33" s="233">
        <v>295</v>
      </c>
      <c r="AF33" s="233">
        <v>26</v>
      </c>
      <c r="AG33" s="233">
        <v>9</v>
      </c>
      <c r="AH33" s="233">
        <v>92</v>
      </c>
    </row>
    <row r="34">
      <c r="A34" s="218">
        <v>46241</v>
      </c>
      <c r="B34" s="242" t="s">
        <v>700</v>
      </c>
      <c r="C34" s="220" t="s">
        <v>703</v>
      </c>
      <c r="D34" s="237">
        <v>5</v>
      </c>
      <c r="E34" s="243">
        <v>20</v>
      </c>
      <c r="F34" s="243">
        <v>26</v>
      </c>
      <c r="G34" s="243">
        <v>68197.41000000002</v>
      </c>
      <c r="H34" s="258">
        <v>14574.960000000001</v>
      </c>
      <c r="I34" s="240">
        <f t="shared" si="81"/>
      </c>
      <c r="J34" s="224">
        <f t="shared" si="132"/>
      </c>
      <c r="K34" s="224">
        <f t="shared" si="180"/>
      </c>
      <c r="L34" s="225">
        <f t="shared" si="6"/>
      </c>
      <c r="M34" s="244"/>
      <c r="N34" s="244"/>
      <c r="O34" s="228"/>
      <c r="P34" s="229"/>
      <c r="Q34" s="229"/>
      <c r="R34" s="256">
        <f t="shared" si="181"/>
      </c>
      <c r="S34" s="257">
        <f t="shared" si="31"/>
      </c>
      <c r="T34" s="232">
        <f t="shared" si="82"/>
      </c>
      <c r="U34" s="232">
        <f t="shared" si="133"/>
      </c>
      <c r="V34" s="232">
        <f t="shared" si="206"/>
      </c>
      <c r="W34" s="233">
        <f t="shared" si="56"/>
      </c>
      <c r="X34" s="232">
        <f t="shared" si="107"/>
      </c>
      <c r="Y34" s="233">
        <v>51.4</v>
      </c>
      <c r="Z34" s="234">
        <v>122.57857244981204</v>
      </c>
      <c r="AA34" s="233">
        <v>118903</v>
      </c>
      <c r="AB34" s="235">
        <v>2321</v>
      </c>
      <c r="AC34" s="233">
        <v>2455</v>
      </c>
      <c r="AD34" s="233">
        <v>482</v>
      </c>
      <c r="AE34" s="235">
        <v>396</v>
      </c>
      <c r="AF34" s="233">
        <v>33</v>
      </c>
      <c r="AG34" s="233">
        <v>11</v>
      </c>
      <c r="AH34" s="233">
        <v>86</v>
      </c>
      <c r="AI34" s="259"/>
    </row>
    <row r="35">
      <c r="A35" s="218">
        <v>46241</v>
      </c>
      <c r="B35" s="242" t="s">
        <v>704</v>
      </c>
      <c r="C35" s="220" t="s">
        <v>705</v>
      </c>
      <c r="D35" s="221">
        <v>5</v>
      </c>
      <c r="E35" s="226">
        <v>19</v>
      </c>
      <c r="F35" s="226">
        <v>21</v>
      </c>
      <c r="G35" s="226">
        <v>48957.04</v>
      </c>
      <c r="H35" s="245">
        <v>14743.36</v>
      </c>
      <c r="I35" s="224">
        <f t="shared" si="81"/>
      </c>
      <c r="J35" s="224">
        <f t="shared" si="132"/>
      </c>
      <c r="K35" s="225">
        <f t="shared" si="180"/>
      </c>
      <c r="L35" s="225">
        <f t="shared" si="6"/>
      </c>
      <c r="M35" s="221" t="s">
        <v>706</v>
      </c>
      <c r="N35" s="246">
        <v>10</v>
      </c>
      <c r="O35" s="228"/>
      <c r="P35" s="229"/>
      <c r="Q35" s="229"/>
      <c r="R35" s="256">
        <f t="shared" si="181"/>
      </c>
      <c r="S35" s="257">
        <f t="shared" si="31"/>
      </c>
      <c r="T35" s="232">
        <f t="shared" si="82"/>
      </c>
      <c r="U35" s="232">
        <f t="shared" si="133"/>
      </c>
      <c r="V35" s="232">
        <f t="shared" si="206"/>
      </c>
      <c r="W35" s="233">
        <f t="shared" si="56"/>
      </c>
      <c r="X35" s="232">
        <f t="shared" si="107"/>
      </c>
      <c r="Y35" s="233">
        <v>53.8</v>
      </c>
      <c r="Z35" s="234">
        <v>111.7590072846628</v>
      </c>
      <c r="AA35" s="233">
        <v>131921</v>
      </c>
      <c r="AB35" s="233">
        <v>2532</v>
      </c>
      <c r="AC35" s="233">
        <v>2738</v>
      </c>
      <c r="AD35" s="235">
        <v>471</v>
      </c>
      <c r="AE35" s="235">
        <v>295</v>
      </c>
      <c r="AF35" s="235">
        <v>27</v>
      </c>
      <c r="AG35" s="233">
        <v>3</v>
      </c>
      <c r="AH35" s="235">
        <v>107</v>
      </c>
    </row>
    <row r="36">
      <c r="A36" s="247">
        <v>46241</v>
      </c>
      <c r="B36" s="248" t="s">
        <v>707</v>
      </c>
      <c r="C36" s="249"/>
      <c r="D36" s="249">
        <f>SUM(D32:D35)</f>
      </c>
      <c r="E36" s="249">
        <f>SUM(E32:E35)</f>
      </c>
      <c r="F36" s="249">
        <f>SUM(F32:F35)</f>
      </c>
      <c r="G36" s="249">
        <f>SUM(G32:G35)</f>
      </c>
      <c r="H36" s="249">
        <f>SUM(H32:H35)</f>
      </c>
      <c r="I36" s="250">
        <f t="shared" si="81"/>
      </c>
      <c r="J36" s="250">
        <f t="shared" si="132"/>
      </c>
      <c r="K36" s="250">
        <f t="shared" si="180"/>
      </c>
      <c r="L36" s="250"/>
      <c r="M36" s="249"/>
      <c r="N36" s="251">
        <f>SUM(N32:N35)</f>
      </c>
      <c r="O36" s="249"/>
      <c r="P36" s="249"/>
      <c r="Q36" s="249"/>
      <c r="R36" s="252">
        <f>AVERAGE(R32:R35)</f>
      </c>
      <c r="S36" s="253">
        <f>AVERAGE(S32:S35)</f>
      </c>
      <c r="T36" s="253">
        <f>AVERAGE(T32:T35)</f>
      </c>
      <c r="U36" s="253">
        <f>AVERAGE(U32:U35)</f>
      </c>
      <c r="V36" s="253">
        <f>AVERAGE(V32:V35)</f>
      </c>
      <c r="W36" s="254">
        <f>SUM(W32:W35)</f>
      </c>
      <c r="X36" s="253">
        <f>AVERAGE(X32:X35)</f>
      </c>
      <c r="Y36" s="254"/>
      <c r="Z36" s="252">
        <f>AVERAGE(Z32:Z35)</f>
      </c>
      <c r="AA36" s="254">
        <f>SUM(AA32:AA35)</f>
      </c>
      <c r="AB36" s="254">
        <f>SUM(AB32:AB35)</f>
      </c>
      <c r="AC36" s="254">
        <f>SUM(AC32:AC35)</f>
      </c>
      <c r="AD36" s="254">
        <f>SUM(AD32:AD35)</f>
      </c>
      <c r="AE36" s="254">
        <f>SUM(AE32:AE35)</f>
      </c>
      <c r="AF36" s="254">
        <f>SUM(AF32:AF35)</f>
      </c>
      <c r="AG36" s="254">
        <f>SUM(AG32:AG35)</f>
      </c>
      <c r="AH36" s="254">
        <f>SUM(AH32:AH35)</f>
      </c>
    </row>
    <row r="37">
      <c r="A37" s="218">
        <v>46242</v>
      </c>
      <c r="B37" s="219" t="s">
        <v>702</v>
      </c>
      <c r="C37" s="220" t="s">
        <v>698</v>
      </c>
      <c r="D37" s="221">
        <v>5</v>
      </c>
      <c r="E37" s="222">
        <v>23</v>
      </c>
      <c r="F37" s="222">
        <v>30</v>
      </c>
      <c r="G37" s="222">
        <v>71684.06</v>
      </c>
      <c r="H37" s="223">
        <v>16530.09</v>
      </c>
      <c r="I37" s="224">
        <f t="shared" si="81"/>
      </c>
      <c r="J37" s="224">
        <f t="shared" si="132"/>
      </c>
      <c r="K37" s="225">
        <f t="shared" si="180"/>
      </c>
      <c r="L37" s="225">
        <f t="shared" ref="L37:L40" si="7">H37/D37</f>
      </c>
      <c r="M37" s="226" t="s">
        <v>711</v>
      </c>
      <c r="N37" s="227">
        <v>10</v>
      </c>
      <c r="O37" s="228"/>
      <c r="P37" s="229"/>
      <c r="Q37" s="229"/>
      <c r="R37" s="256">
        <f t="shared" ref="R37:R40" si="182">H37/AB37</f>
      </c>
      <c r="S37" s="257">
        <f t="shared" ref="S37:S40" si="32">W37/AA37*1</f>
      </c>
      <c r="T37" s="232">
        <f t="shared" ref="T37:T40" si="83">AB37/AA37</f>
      </c>
      <c r="U37" s="232">
        <f t="shared" ref="U37:U40" si="134">AC37/AA37</f>
      </c>
      <c r="V37" s="232">
        <f t="shared" ref="V37:V40" si="207">AE37/AC37</f>
      </c>
      <c r="W37" s="233">
        <f t="shared" ref="W37:W40" si="57">AD37/X37</f>
      </c>
      <c r="X37" s="232">
        <f t="shared" ref="X37:X40" si="108">AD37/AC37</f>
      </c>
      <c r="Y37" s="233">
        <v>53.8</v>
      </c>
      <c r="Z37" s="234">
        <v>98.50890627700339</v>
      </c>
      <c r="AA37" s="233">
        <v>167803</v>
      </c>
      <c r="AB37" s="233">
        <v>3222</v>
      </c>
      <c r="AC37" s="233">
        <v>3231</v>
      </c>
      <c r="AD37" s="233">
        <v>879</v>
      </c>
      <c r="AE37" s="233">
        <v>449</v>
      </c>
      <c r="AF37" s="233">
        <v>27</v>
      </c>
      <c r="AG37" s="235">
        <v>18</v>
      </c>
      <c r="AH37" s="233">
        <v>212</v>
      </c>
    </row>
    <row r="38">
      <c r="A38" s="218">
        <v>46242</v>
      </c>
      <c r="B38" s="242" t="s">
        <v>697</v>
      </c>
      <c r="C38" s="220" t="s">
        <v>701</v>
      </c>
      <c r="D38" s="237">
        <v>5</v>
      </c>
      <c r="E38" s="238">
        <v>6</v>
      </c>
      <c r="F38" s="238">
        <v>8</v>
      </c>
      <c r="G38" s="238">
        <v>17431.069999999992</v>
      </c>
      <c r="H38" s="239">
        <v>12911.51</v>
      </c>
      <c r="I38" s="240">
        <f t="shared" si="81"/>
      </c>
      <c r="J38" s="224">
        <f t="shared" si="132"/>
      </c>
      <c r="K38" s="224">
        <f t="shared" si="180"/>
      </c>
      <c r="L38" s="225">
        <f t="shared" si="7"/>
      </c>
      <c r="M38" s="226"/>
      <c r="N38" s="227"/>
      <c r="O38" s="228"/>
      <c r="P38" s="229"/>
      <c r="Q38" s="229"/>
      <c r="R38" s="256">
        <f t="shared" si="182"/>
      </c>
      <c r="S38" s="257">
        <f t="shared" si="32"/>
      </c>
      <c r="T38" s="232">
        <f t="shared" si="83"/>
      </c>
      <c r="U38" s="232">
        <f t="shared" si="134"/>
      </c>
      <c r="V38" s="232">
        <f t="shared" si="207"/>
      </c>
      <c r="W38" s="233">
        <f t="shared" si="57"/>
      </c>
      <c r="X38" s="232">
        <f t="shared" si="108"/>
      </c>
      <c r="Y38" s="233">
        <v>50.6</v>
      </c>
      <c r="Z38" s="234">
        <v>112.9368904439099</v>
      </c>
      <c r="AA38" s="233">
        <v>114325</v>
      </c>
      <c r="AB38" s="233">
        <v>1643</v>
      </c>
      <c r="AC38" s="233">
        <v>1589</v>
      </c>
      <c r="AD38" s="233">
        <v>475</v>
      </c>
      <c r="AE38" s="233">
        <v>199</v>
      </c>
      <c r="AF38" s="233">
        <v>25</v>
      </c>
      <c r="AG38" s="233">
        <v>8</v>
      </c>
      <c r="AH38" s="233">
        <v>148</v>
      </c>
    </row>
    <row r="39">
      <c r="A39" s="218">
        <v>46242</v>
      </c>
      <c r="B39" s="242" t="s">
        <v>700</v>
      </c>
      <c r="C39" s="220" t="s">
        <v>703</v>
      </c>
      <c r="D39" s="237">
        <v>5</v>
      </c>
      <c r="E39" s="243">
        <v>11</v>
      </c>
      <c r="F39" s="243">
        <v>12</v>
      </c>
      <c r="G39" s="243">
        <v>30920.78</v>
      </c>
      <c r="H39" s="258">
        <v>14157.599999999999</v>
      </c>
      <c r="I39" s="240">
        <f t="shared" si="81"/>
      </c>
      <c r="J39" s="224">
        <f t="shared" si="132"/>
      </c>
      <c r="K39" s="224">
        <f t="shared" si="180"/>
      </c>
      <c r="L39" s="225">
        <f t="shared" si="7"/>
      </c>
      <c r="M39" s="244"/>
      <c r="N39" s="244"/>
      <c r="O39" s="228"/>
      <c r="P39" s="229"/>
      <c r="Q39" s="229"/>
      <c r="R39" s="256">
        <f t="shared" si="182"/>
      </c>
      <c r="S39" s="257">
        <f t="shared" si="32"/>
      </c>
      <c r="T39" s="232">
        <f t="shared" si="83"/>
      </c>
      <c r="U39" s="232">
        <f t="shared" si="134"/>
      </c>
      <c r="V39" s="232">
        <f t="shared" si="207"/>
      </c>
      <c r="W39" s="233">
        <f t="shared" si="57"/>
      </c>
      <c r="X39" s="232">
        <f t="shared" si="108"/>
      </c>
      <c r="Y39" s="233">
        <v>49.6</v>
      </c>
      <c r="Z39" s="234">
        <v>100.20029300814619</v>
      </c>
      <c r="AA39" s="233">
        <v>141293</v>
      </c>
      <c r="AB39" s="233">
        <v>2520</v>
      </c>
      <c r="AC39" s="233">
        <v>2647</v>
      </c>
      <c r="AD39" s="233">
        <v>457</v>
      </c>
      <c r="AE39" s="233">
        <v>340</v>
      </c>
      <c r="AF39" s="233">
        <v>23</v>
      </c>
      <c r="AG39" s="233">
        <v>6</v>
      </c>
      <c r="AH39" s="233">
        <v>127</v>
      </c>
    </row>
    <row r="40">
      <c r="A40" s="218">
        <v>46242</v>
      </c>
      <c r="B40" s="242" t="s">
        <v>704</v>
      </c>
      <c r="C40" s="220" t="s">
        <v>705</v>
      </c>
      <c r="D40" s="221">
        <v>5</v>
      </c>
      <c r="E40" s="226">
        <v>15</v>
      </c>
      <c r="F40" s="226">
        <v>18</v>
      </c>
      <c r="G40" s="226">
        <v>43499.880000000005</v>
      </c>
      <c r="H40" s="245">
        <v>11652.189999999999</v>
      </c>
      <c r="I40" s="224">
        <f t="shared" si="81"/>
      </c>
      <c r="J40" s="224">
        <f t="shared" si="132"/>
      </c>
      <c r="K40" s="225">
        <f t="shared" si="180"/>
      </c>
      <c r="L40" s="225">
        <f t="shared" si="7"/>
      </c>
      <c r="M40" s="221" t="s">
        <v>706</v>
      </c>
      <c r="N40" s="246">
        <v>10</v>
      </c>
      <c r="O40" s="228"/>
      <c r="P40" s="229"/>
      <c r="Q40" s="229"/>
      <c r="R40" s="256">
        <f t="shared" si="182"/>
      </c>
      <c r="S40" s="257">
        <f t="shared" si="32"/>
      </c>
      <c r="T40" s="232">
        <f t="shared" si="83"/>
      </c>
      <c r="U40" s="232">
        <f t="shared" si="134"/>
      </c>
      <c r="V40" s="232">
        <f t="shared" si="207"/>
      </c>
      <c r="W40" s="233">
        <f t="shared" si="57"/>
      </c>
      <c r="X40" s="232">
        <f t="shared" si="108"/>
      </c>
      <c r="Y40" s="233">
        <v>49</v>
      </c>
      <c r="Z40" s="234">
        <v>101.0001906941266</v>
      </c>
      <c r="AA40" s="233">
        <v>115368</v>
      </c>
      <c r="AB40" s="233">
        <v>2350</v>
      </c>
      <c r="AC40" s="233">
        <v>2547</v>
      </c>
      <c r="AD40" s="233">
        <v>338</v>
      </c>
      <c r="AE40" s="233">
        <v>258</v>
      </c>
      <c r="AF40" s="233">
        <v>15</v>
      </c>
      <c r="AG40" s="233">
        <v>9</v>
      </c>
      <c r="AH40" s="233">
        <v>70</v>
      </c>
    </row>
    <row r="41">
      <c r="A41" s="247">
        <v>46242</v>
      </c>
      <c r="B41" s="248" t="s">
        <v>707</v>
      </c>
      <c r="C41" s="249"/>
      <c r="D41" s="249">
        <f>SUM(D37:D40)</f>
      </c>
      <c r="E41" s="249">
        <f>SUM(E37:E40)</f>
      </c>
      <c r="F41" s="249">
        <f>SUM(F37:F40)</f>
      </c>
      <c r="G41" s="249">
        <f>SUM(G37:G40)</f>
      </c>
      <c r="H41" s="249">
        <f>SUM(H37:H40)</f>
      </c>
      <c r="I41" s="250">
        <f t="shared" si="81"/>
      </c>
      <c r="J41" s="250">
        <f t="shared" si="132"/>
      </c>
      <c r="K41" s="250">
        <f t="shared" si="180"/>
      </c>
      <c r="L41" s="250"/>
      <c r="M41" s="249"/>
      <c r="N41" s="251">
        <f>SUM(N37:N40)</f>
      </c>
      <c r="O41" s="249"/>
      <c r="P41" s="249"/>
      <c r="Q41" s="249"/>
      <c r="R41" s="252">
        <f>AVERAGE(R37:R40)</f>
      </c>
      <c r="S41" s="253">
        <f>AVERAGE(S37:S40)</f>
      </c>
      <c r="T41" s="253">
        <f>AVERAGE(T37:T40)</f>
      </c>
      <c r="U41" s="253">
        <f>AVERAGE(U37:U40)</f>
      </c>
      <c r="V41" s="253">
        <f>AVERAGE(V37:V40)</f>
      </c>
      <c r="W41" s="254">
        <f>SUM(W37:W40)</f>
      </c>
      <c r="X41" s="253">
        <f>AVERAGE(X37:X40)</f>
      </c>
      <c r="Y41" s="254"/>
      <c r="Z41" s="252">
        <f>AVERAGE(Z37:Z40)</f>
      </c>
      <c r="AA41" s="254">
        <f>SUM(AA37:AA40)</f>
      </c>
      <c r="AB41" s="254">
        <f>SUM(AB37:AB40)</f>
      </c>
      <c r="AC41" s="254">
        <f>SUM(AC37:AC40)</f>
      </c>
      <c r="AD41" s="254">
        <f>SUM(AD37:AD40)</f>
      </c>
      <c r="AE41" s="254">
        <f>SUM(AE37:AE40)</f>
      </c>
      <c r="AF41" s="254">
        <f>SUM(AF37:AF40)</f>
      </c>
      <c r="AG41" s="254">
        <f>SUM(AG37:AG40)</f>
      </c>
      <c r="AH41" s="254">
        <f>SUM(AH37:AH40)</f>
      </c>
    </row>
    <row r="42">
      <c r="A42" s="218">
        <v>46243</v>
      </c>
      <c r="B42" s="219" t="s">
        <v>697</v>
      </c>
      <c r="C42" s="220" t="s">
        <v>698</v>
      </c>
      <c r="D42" s="221">
        <v>5</v>
      </c>
      <c r="E42" s="222">
        <v>11</v>
      </c>
      <c r="F42" s="222">
        <v>17</v>
      </c>
      <c r="G42" s="222">
        <v>33466.88999999999</v>
      </c>
      <c r="H42" s="223">
        <v>13336.86</v>
      </c>
      <c r="I42" s="224">
        <f t="shared" si="81"/>
      </c>
      <c r="J42" s="224">
        <f t="shared" si="132"/>
      </c>
      <c r="K42" s="225">
        <f t="shared" si="180"/>
      </c>
      <c r="L42" s="225">
        <f t="shared" ref="L42:L45" si="8">H42/D42</f>
      </c>
      <c r="M42" s="226" t="s">
        <v>713</v>
      </c>
      <c r="N42" s="227">
        <v>10</v>
      </c>
      <c r="O42" s="228"/>
      <c r="P42" s="229"/>
      <c r="Q42" s="229"/>
      <c r="R42" s="256">
        <f t="shared" ref="R42:R45" si="183">H42/AB42</f>
      </c>
      <c r="S42" s="257">
        <f t="shared" ref="S42:S45" si="33">W42/AA42*1</f>
      </c>
      <c r="T42" s="232">
        <f t="shared" ref="T42:T45" si="84">AB42/AA42</f>
      </c>
      <c r="U42" s="232">
        <f t="shared" ref="U42:U45" si="135">AC42/AA42</f>
      </c>
      <c r="V42" s="232">
        <f t="shared" ref="V42:V45" si="208">AE42/AC42</f>
      </c>
      <c r="W42" s="233">
        <f t="shared" ref="W42:W45" si="58">AD42/X42</f>
      </c>
      <c r="X42" s="232">
        <f t="shared" ref="X42:X45" si="109">AD42/AC42</f>
      </c>
      <c r="Y42" s="233">
        <v>46.4</v>
      </c>
      <c r="Z42" s="234">
        <v>77.10995091322222</v>
      </c>
      <c r="AA42" s="233">
        <v>172959</v>
      </c>
      <c r="AB42" s="233">
        <v>3310</v>
      </c>
      <c r="AC42" s="233">
        <v>3366</v>
      </c>
      <c r="AD42" s="233">
        <v>715</v>
      </c>
      <c r="AE42" s="233">
        <v>447</v>
      </c>
      <c r="AF42" s="233">
        <v>33</v>
      </c>
      <c r="AG42" s="235">
        <v>6</v>
      </c>
      <c r="AH42" s="233">
        <v>170</v>
      </c>
    </row>
    <row r="43">
      <c r="A43" s="218">
        <v>46243</v>
      </c>
      <c r="B43" s="242" t="s">
        <v>702</v>
      </c>
      <c r="C43" s="220" t="s">
        <v>701</v>
      </c>
      <c r="D43" s="237">
        <v>5</v>
      </c>
      <c r="E43" s="238">
        <v>15</v>
      </c>
      <c r="F43" s="238">
        <v>20</v>
      </c>
      <c r="G43" s="238">
        <v>47063.3</v>
      </c>
      <c r="H43" s="239">
        <v>14240.369999999999</v>
      </c>
      <c r="I43" s="240">
        <f t="shared" si="81"/>
      </c>
      <c r="J43" s="224">
        <f t="shared" si="132"/>
      </c>
      <c r="K43" s="224">
        <f t="shared" si="180"/>
      </c>
      <c r="L43" s="225">
        <f t="shared" si="8"/>
      </c>
      <c r="M43" s="226"/>
      <c r="N43" s="227"/>
      <c r="O43" s="228"/>
      <c r="P43" s="229"/>
      <c r="Q43" s="229"/>
      <c r="R43" s="256">
        <f t="shared" si="183"/>
      </c>
      <c r="S43" s="257">
        <f t="shared" si="33"/>
      </c>
      <c r="T43" s="232">
        <f t="shared" si="84"/>
      </c>
      <c r="U43" s="232">
        <f t="shared" si="135"/>
      </c>
      <c r="V43" s="232">
        <f t="shared" si="208"/>
      </c>
      <c r="W43" s="233">
        <f t="shared" si="58"/>
      </c>
      <c r="X43" s="232">
        <f t="shared" si="109"/>
      </c>
      <c r="Y43" s="233">
        <v>58.2</v>
      </c>
      <c r="Z43" s="234">
        <v>116.59818884485637</v>
      </c>
      <c r="AA43" s="233">
        <v>122132</v>
      </c>
      <c r="AB43" s="233">
        <v>1609</v>
      </c>
      <c r="AC43" s="233">
        <v>1619</v>
      </c>
      <c r="AD43" s="233">
        <v>564</v>
      </c>
      <c r="AE43" s="233">
        <v>398</v>
      </c>
      <c r="AF43" s="233">
        <v>22</v>
      </c>
      <c r="AG43" s="233">
        <v>10</v>
      </c>
      <c r="AH43" s="233">
        <v>140</v>
      </c>
    </row>
    <row r="44">
      <c r="A44" s="218">
        <v>46243</v>
      </c>
      <c r="B44" s="242" t="s">
        <v>700</v>
      </c>
      <c r="C44" s="220" t="s">
        <v>703</v>
      </c>
      <c r="D44" s="237">
        <v>5</v>
      </c>
      <c r="E44" s="243">
        <v>21</v>
      </c>
      <c r="F44" s="243">
        <v>24</v>
      </c>
      <c r="G44" s="243">
        <v>54578.29999999999</v>
      </c>
      <c r="H44" s="258">
        <v>19734.36</v>
      </c>
      <c r="I44" s="240">
        <f t="shared" si="81"/>
      </c>
      <c r="J44" s="224">
        <f t="shared" si="132"/>
      </c>
      <c r="K44" s="224">
        <f t="shared" si="180"/>
      </c>
      <c r="L44" s="225">
        <f t="shared" si="8"/>
      </c>
      <c r="M44" s="244"/>
      <c r="N44" s="244"/>
      <c r="O44" s="228"/>
      <c r="P44" s="229"/>
      <c r="Q44" s="229"/>
      <c r="R44" s="256">
        <f t="shared" si="183"/>
      </c>
      <c r="S44" s="257">
        <f t="shared" si="33"/>
      </c>
      <c r="T44" s="232">
        <f t="shared" si="84"/>
      </c>
      <c r="U44" s="232">
        <f t="shared" si="135"/>
      </c>
      <c r="V44" s="232">
        <f t="shared" si="208"/>
      </c>
      <c r="W44" s="233">
        <f t="shared" si="58"/>
      </c>
      <c r="X44" s="232">
        <f t="shared" si="109"/>
      </c>
      <c r="Y44" s="233">
        <v>58.6</v>
      </c>
      <c r="Z44" s="234">
        <v>84.63652505082217</v>
      </c>
      <c r="AA44" s="233">
        <v>233166</v>
      </c>
      <c r="AB44" s="233">
        <v>3512</v>
      </c>
      <c r="AC44" s="233">
        <v>3616</v>
      </c>
      <c r="AD44" s="233">
        <v>743</v>
      </c>
      <c r="AE44" s="233">
        <v>421</v>
      </c>
      <c r="AF44" s="233">
        <v>24</v>
      </c>
      <c r="AG44" s="233">
        <v>12</v>
      </c>
      <c r="AH44" s="233">
        <v>132</v>
      </c>
      <c r="AI44" s="259"/>
      <c r="AJ44" s="259"/>
      <c r="AK44" s="259"/>
    </row>
    <row r="45">
      <c r="A45" s="218">
        <v>46243</v>
      </c>
      <c r="B45" s="242" t="s">
        <v>709</v>
      </c>
      <c r="C45" s="220" t="s">
        <v>705</v>
      </c>
      <c r="D45" s="221">
        <v>5</v>
      </c>
      <c r="E45" s="226">
        <v>21</v>
      </c>
      <c r="F45" s="226">
        <v>33</v>
      </c>
      <c r="G45" s="226">
        <v>74790.72999999998</v>
      </c>
      <c r="H45" s="245">
        <v>17178.4</v>
      </c>
      <c r="I45" s="224">
        <f t="shared" si="81"/>
      </c>
      <c r="J45" s="224">
        <f t="shared" si="132"/>
      </c>
      <c r="K45" s="225">
        <f t="shared" si="180"/>
      </c>
      <c r="L45" s="225">
        <f t="shared" si="8"/>
      </c>
      <c r="M45" s="221" t="s">
        <v>706</v>
      </c>
      <c r="N45" s="246">
        <v>10</v>
      </c>
      <c r="O45" s="228"/>
      <c r="P45" s="229"/>
      <c r="Q45" s="229"/>
      <c r="R45" s="256">
        <f t="shared" si="183"/>
      </c>
      <c r="S45" s="257">
        <f t="shared" si="33"/>
      </c>
      <c r="T45" s="232">
        <f t="shared" si="84"/>
      </c>
      <c r="U45" s="232">
        <f t="shared" si="135"/>
      </c>
      <c r="V45" s="232">
        <f t="shared" si="208"/>
      </c>
      <c r="W45" s="233">
        <f t="shared" si="58"/>
      </c>
      <c r="X45" s="232">
        <f t="shared" si="109"/>
      </c>
      <c r="Y45" s="233">
        <v>60.33333333333333</v>
      </c>
      <c r="Z45" s="234">
        <v>92.10740788401323</v>
      </c>
      <c r="AA45" s="233">
        <v>186504</v>
      </c>
      <c r="AB45" s="233">
        <v>3605</v>
      </c>
      <c r="AC45" s="233">
        <v>3820</v>
      </c>
      <c r="AD45" s="233">
        <v>3820</v>
      </c>
      <c r="AE45" s="233">
        <v>504</v>
      </c>
      <c r="AF45" s="233">
        <v>39</v>
      </c>
      <c r="AG45" s="233">
        <v>6</v>
      </c>
      <c r="AH45" s="233">
        <v>125</v>
      </c>
    </row>
    <row r="46">
      <c r="A46" s="247">
        <v>46243</v>
      </c>
      <c r="B46" s="248" t="s">
        <v>707</v>
      </c>
      <c r="C46" s="249"/>
      <c r="D46" s="249">
        <f>SUM(D42:D45)</f>
      </c>
      <c r="E46" s="249">
        <f>SUM(E42:E45)</f>
      </c>
      <c r="F46" s="249">
        <f>SUM(F42:F45)</f>
      </c>
      <c r="G46" s="249">
        <f>SUM(G42:G45)</f>
      </c>
      <c r="H46" s="249">
        <f>SUM(H42:H45)</f>
      </c>
      <c r="I46" s="250">
        <f t="shared" si="81"/>
      </c>
      <c r="J46" s="250">
        <f t="shared" si="132"/>
      </c>
      <c r="K46" s="250">
        <f t="shared" si="180"/>
      </c>
      <c r="L46" s="250"/>
      <c r="M46" s="249"/>
      <c r="N46" s="251">
        <f>SUM(N42:N45)</f>
      </c>
      <c r="O46" s="249"/>
      <c r="P46" s="249"/>
      <c r="Q46" s="249"/>
      <c r="R46" s="260">
        <f>AVERAGE(R42:R45)</f>
      </c>
      <c r="S46" s="253">
        <f>AVERAGE(S42:S45)</f>
      </c>
      <c r="T46" s="253">
        <f>AVERAGE(T42:T45)</f>
      </c>
      <c r="U46" s="253">
        <f>AVERAGE(U42:U45)</f>
      </c>
      <c r="V46" s="253">
        <f>AVERAGE(V42:V45)</f>
      </c>
      <c r="W46" s="254">
        <f>SUM(W42:W45)</f>
      </c>
      <c r="X46" s="253">
        <f>AVERAGE(X42:X45)</f>
      </c>
      <c r="Y46" s="254"/>
      <c r="Z46" s="252">
        <f>AVERAGE(Z42:Z45)</f>
      </c>
      <c r="AA46" s="254">
        <f>SUM(AA42:AA45)</f>
      </c>
      <c r="AB46" s="254">
        <f>SUM(AB42:AB45)</f>
      </c>
      <c r="AC46" s="254">
        <f>SUM(AC42:AC45)</f>
      </c>
      <c r="AD46" s="254">
        <f>SUM(AD42:AD45)</f>
      </c>
      <c r="AE46" s="254">
        <f>SUM(AE42:AE45)</f>
      </c>
      <c r="AF46" s="254">
        <f>SUM(AF42:AF45)</f>
      </c>
      <c r="AG46" s="254">
        <f>SUM(AG42:AG45)</f>
      </c>
      <c r="AH46" s="254">
        <f>SUM(AH42:AH45)</f>
      </c>
    </row>
    <row r="47">
      <c r="A47" s="218">
        <v>46244</v>
      </c>
      <c r="B47" s="219" t="s">
        <v>697</v>
      </c>
      <c r="C47" s="220" t="s">
        <v>698</v>
      </c>
      <c r="D47" s="221">
        <v>5</v>
      </c>
      <c r="E47" s="222">
        <v>19</v>
      </c>
      <c r="F47" s="222">
        <v>22</v>
      </c>
      <c r="G47" s="222">
        <v>57289.28</v>
      </c>
      <c r="H47" s="223">
        <v>13914.52</v>
      </c>
      <c r="I47" s="224">
        <f t="shared" si="81"/>
      </c>
      <c r="J47" s="224">
        <f t="shared" si="132"/>
      </c>
      <c r="K47" s="225">
        <f t="shared" si="180"/>
      </c>
      <c r="L47" s="225">
        <f t="shared" ref="L47:L50" si="9">H47/D47</f>
      </c>
      <c r="M47" s="226" t="s">
        <v>714</v>
      </c>
      <c r="N47" s="227">
        <v>10</v>
      </c>
      <c r="O47" s="228"/>
      <c r="P47" s="229"/>
      <c r="Q47" s="261"/>
      <c r="R47" s="256">
        <f t="shared" ref="R47:R50" si="184">H47/AB47</f>
      </c>
      <c r="S47" s="257">
        <f t="shared" ref="S47:S50" si="34">W47/AA47*1</f>
      </c>
      <c r="T47" s="232">
        <f t="shared" ref="T47:T50" si="85">AB47/AA47</f>
      </c>
      <c r="U47" s="232">
        <f t="shared" ref="U47:U50" si="136">AC47/AA47</f>
      </c>
      <c r="V47" s="232">
        <f t="shared" ref="V47:V50" si="209">AE47/AC47</f>
      </c>
      <c r="W47" s="233">
        <f t="shared" ref="W47:W50" si="59">AD47/X47</f>
      </c>
      <c r="X47" s="232">
        <f t="shared" ref="X47:X50" si="110">AD47/AC47</f>
      </c>
      <c r="Y47" s="233">
        <v>46.8</v>
      </c>
      <c r="Z47" s="262">
        <f t="shared" ref="Z47:Z50" si="158">(H47/AA47)*1000</f>
      </c>
      <c r="AA47" s="233">
        <v>140563</v>
      </c>
      <c r="AB47" s="233">
        <v>2643</v>
      </c>
      <c r="AC47" s="233">
        <v>2717</v>
      </c>
      <c r="AD47" s="233">
        <v>623</v>
      </c>
      <c r="AE47" s="233">
        <v>272</v>
      </c>
      <c r="AF47" s="233">
        <v>32</v>
      </c>
      <c r="AG47" s="235">
        <v>9</v>
      </c>
      <c r="AH47" s="233">
        <v>173</v>
      </c>
    </row>
    <row r="48">
      <c r="A48" s="218">
        <v>46244</v>
      </c>
      <c r="B48" s="242" t="s">
        <v>702</v>
      </c>
      <c r="C48" s="220" t="s">
        <v>701</v>
      </c>
      <c r="D48" s="237">
        <v>5</v>
      </c>
      <c r="E48" s="238">
        <v>22</v>
      </c>
      <c r="F48" s="238">
        <v>28</v>
      </c>
      <c r="G48" s="238">
        <v>60878.17999999999</v>
      </c>
      <c r="H48" s="239">
        <v>20507.210000000003</v>
      </c>
      <c r="I48" s="240">
        <f t="shared" si="81"/>
      </c>
      <c r="J48" s="224">
        <f t="shared" si="132"/>
      </c>
      <c r="K48" s="224">
        <f t="shared" si="180"/>
      </c>
      <c r="L48" s="225">
        <f t="shared" si="9"/>
      </c>
      <c r="M48" s="226"/>
      <c r="N48" s="227"/>
      <c r="O48" s="228"/>
      <c r="P48" s="229"/>
      <c r="Q48" s="261"/>
      <c r="R48" s="256">
        <f t="shared" si="184"/>
      </c>
      <c r="S48" s="257">
        <f t="shared" si="34"/>
      </c>
      <c r="T48" s="232">
        <f t="shared" si="85"/>
      </c>
      <c r="U48" s="232">
        <f t="shared" si="136"/>
      </c>
      <c r="V48" s="232">
        <f t="shared" si="209"/>
      </c>
      <c r="W48" s="233">
        <f t="shared" si="59"/>
      </c>
      <c r="X48" s="232">
        <f t="shared" si="110"/>
      </c>
      <c r="Y48" s="233">
        <v>59.8</v>
      </c>
      <c r="Z48" s="262">
        <f t="shared" si="158"/>
      </c>
      <c r="AA48" s="233">
        <v>222055</v>
      </c>
      <c r="AB48" s="233">
        <v>2933</v>
      </c>
      <c r="AC48" s="233">
        <v>2868</v>
      </c>
      <c r="AD48" s="233">
        <v>788</v>
      </c>
      <c r="AE48" s="233">
        <v>388</v>
      </c>
      <c r="AF48" s="233">
        <v>25</v>
      </c>
      <c r="AG48" s="233">
        <v>8</v>
      </c>
      <c r="AH48" s="233">
        <v>213</v>
      </c>
    </row>
    <row r="49">
      <c r="A49" s="218">
        <v>46244</v>
      </c>
      <c r="B49" s="242" t="s">
        <v>704</v>
      </c>
      <c r="C49" s="220" t="s">
        <v>703</v>
      </c>
      <c r="D49" s="237">
        <v>5</v>
      </c>
      <c r="E49" s="243">
        <v>11</v>
      </c>
      <c r="F49" s="243">
        <v>17</v>
      </c>
      <c r="G49" s="243">
        <v>56620.25000000002</v>
      </c>
      <c r="H49" s="258">
        <v>17344.43</v>
      </c>
      <c r="I49" s="240">
        <f t="shared" si="81"/>
      </c>
      <c r="J49" s="224">
        <f t="shared" si="132"/>
      </c>
      <c r="K49" s="224">
        <f t="shared" si="180"/>
      </c>
      <c r="L49" s="225">
        <f t="shared" si="9"/>
      </c>
      <c r="M49" s="244"/>
      <c r="N49" s="244"/>
      <c r="O49" s="228"/>
      <c r="P49" s="229"/>
      <c r="Q49" s="261"/>
      <c r="R49" s="256">
        <f t="shared" si="184"/>
      </c>
      <c r="S49" s="257">
        <f t="shared" si="34"/>
      </c>
      <c r="T49" s="232">
        <f t="shared" si="85"/>
      </c>
      <c r="U49" s="232">
        <f t="shared" si="136"/>
      </c>
      <c r="V49" s="232">
        <f t="shared" si="209"/>
      </c>
      <c r="W49" s="233">
        <f t="shared" si="59"/>
      </c>
      <c r="X49" s="232">
        <f t="shared" si="110"/>
      </c>
      <c r="Y49" s="233">
        <v>60.2</v>
      </c>
      <c r="Z49" s="262">
        <f t="shared" si="158"/>
      </c>
      <c r="AA49" s="233">
        <v>178209</v>
      </c>
      <c r="AB49" s="233">
        <v>3243</v>
      </c>
      <c r="AC49" s="233">
        <v>3529</v>
      </c>
      <c r="AD49" s="233">
        <v>524</v>
      </c>
      <c r="AE49" s="233">
        <v>313</v>
      </c>
      <c r="AF49" s="233">
        <v>26</v>
      </c>
      <c r="AG49" s="233">
        <v>7</v>
      </c>
      <c r="AH49" s="233">
        <v>132</v>
      </c>
    </row>
    <row r="50">
      <c r="A50" s="218">
        <v>46244</v>
      </c>
      <c r="B50" s="242" t="s">
        <v>709</v>
      </c>
      <c r="C50" s="220" t="s">
        <v>705</v>
      </c>
      <c r="D50" s="221">
        <v>5</v>
      </c>
      <c r="E50" s="226">
        <v>13</v>
      </c>
      <c r="F50" s="226">
        <v>21</v>
      </c>
      <c r="G50" s="226">
        <v>49021.619999999995</v>
      </c>
      <c r="H50" s="245">
        <v>13563.07</v>
      </c>
      <c r="I50" s="224">
        <f t="shared" si="81"/>
      </c>
      <c r="J50" s="224">
        <f t="shared" si="132"/>
      </c>
      <c r="K50" s="225">
        <f t="shared" si="180"/>
      </c>
      <c r="L50" s="225">
        <f t="shared" si="9"/>
      </c>
      <c r="M50" s="221" t="s">
        <v>706</v>
      </c>
      <c r="N50" s="246">
        <v>10</v>
      </c>
      <c r="O50" s="228"/>
      <c r="P50" s="229"/>
      <c r="Q50" s="261"/>
      <c r="R50" s="256">
        <f t="shared" si="184"/>
      </c>
      <c r="S50" s="257">
        <f t="shared" si="34"/>
      </c>
      <c r="T50" s="232">
        <f t="shared" si="85"/>
      </c>
      <c r="U50" s="232">
        <f t="shared" si="136"/>
      </c>
      <c r="V50" s="232">
        <f t="shared" si="209"/>
      </c>
      <c r="W50" s="233">
        <f t="shared" si="59"/>
      </c>
      <c r="X50" s="232">
        <f t="shared" si="110"/>
      </c>
      <c r="Y50" s="233">
        <v>57.2</v>
      </c>
      <c r="Z50" s="262">
        <f t="shared" si="158"/>
      </c>
      <c r="AA50" s="233">
        <v>169606</v>
      </c>
      <c r="AB50" s="233">
        <v>4485</v>
      </c>
      <c r="AC50" s="233">
        <v>4831</v>
      </c>
      <c r="AD50" s="233">
        <v>473</v>
      </c>
      <c r="AE50" s="233">
        <v>349</v>
      </c>
      <c r="AF50" s="233">
        <v>21</v>
      </c>
      <c r="AG50" s="233">
        <v>12</v>
      </c>
      <c r="AH50" s="233">
        <v>117</v>
      </c>
    </row>
    <row r="51">
      <c r="A51" s="247">
        <v>46244</v>
      </c>
      <c r="B51" s="248" t="s">
        <v>707</v>
      </c>
      <c r="C51" s="249"/>
      <c r="D51" s="249">
        <f>SUM(D47:D50)</f>
      </c>
      <c r="E51" s="249">
        <f>SUM(E47:E50)</f>
      </c>
      <c r="F51" s="249">
        <f>SUM(F47:F50)</f>
      </c>
      <c r="G51" s="249">
        <f>SUM(G47:G50)</f>
      </c>
      <c r="H51" s="249">
        <f>SUM(H47:H50)</f>
      </c>
      <c r="I51" s="250">
        <f t="shared" si="81"/>
      </c>
      <c r="J51" s="250">
        <f t="shared" si="132"/>
      </c>
      <c r="K51" s="250">
        <f t="shared" si="180"/>
      </c>
      <c r="L51" s="250"/>
      <c r="M51" s="249"/>
      <c r="N51" s="251">
        <f>SUM(N47:N50)</f>
      </c>
      <c r="O51" s="249"/>
      <c r="P51" s="249"/>
      <c r="Q51" s="249"/>
      <c r="R51" s="263">
        <f>AVERAGE(R47:R50)</f>
      </c>
      <c r="S51" s="253">
        <f>AVERAGE(S47:S50)</f>
      </c>
      <c r="T51" s="253">
        <f>AVERAGE(T47:T50)</f>
      </c>
      <c r="U51" s="253">
        <f>AVERAGE(U47:U50)</f>
      </c>
      <c r="V51" s="253">
        <f>AVERAGE(V47:V50)</f>
      </c>
      <c r="W51" s="254">
        <f>SUM(W47:W50)</f>
      </c>
      <c r="X51" s="253">
        <f>AVERAGE(X47:X50)</f>
      </c>
      <c r="Y51" s="254"/>
      <c r="Z51" s="252">
        <f>AVERAGE(Z47:Z50)</f>
      </c>
      <c r="AA51" s="254">
        <f>SUM(AA47:AA50)</f>
      </c>
      <c r="AB51" s="254">
        <f>SUM(AB47:AB50)</f>
      </c>
      <c r="AC51" s="254">
        <f>SUM(AC47:AC50)</f>
      </c>
      <c r="AD51" s="254">
        <f>SUM(AD47:AD50)</f>
      </c>
      <c r="AE51" s="254">
        <f>SUM(AE47:AE50)</f>
      </c>
      <c r="AF51" s="254">
        <f>SUM(AF47:AF50)</f>
      </c>
      <c r="AG51" s="254">
        <f>SUM(AG47:AG50)</f>
      </c>
      <c r="AH51" s="254">
        <f>SUM(AH47:AH50)</f>
      </c>
    </row>
    <row r="52">
      <c r="A52" s="218">
        <v>46245</v>
      </c>
      <c r="B52" s="219" t="s">
        <v>700</v>
      </c>
      <c r="C52" s="220" t="s">
        <v>698</v>
      </c>
      <c r="D52" s="221">
        <v>5</v>
      </c>
      <c r="E52" s="222">
        <v>3</v>
      </c>
      <c r="F52" s="222">
        <v>5</v>
      </c>
      <c r="G52" s="222">
        <v>12012.800000000001</v>
      </c>
      <c r="H52" s="223">
        <v>12084.23</v>
      </c>
      <c r="I52" s="240">
        <f t="shared" si="81"/>
      </c>
      <c r="J52" s="224">
        <f t="shared" si="132"/>
      </c>
      <c r="K52" s="225">
        <f t="shared" si="180"/>
      </c>
      <c r="L52" s="225">
        <f t="shared" ref="L52:L55" si="10">H52/D52</f>
      </c>
      <c r="M52" s="226" t="s">
        <v>714</v>
      </c>
      <c r="N52" s="227">
        <v>10</v>
      </c>
      <c r="O52" s="228"/>
      <c r="P52" s="229"/>
      <c r="Q52" s="261"/>
      <c r="R52" s="256">
        <f t="shared" ref="R52:R55" si="185">H52/AB52</f>
      </c>
      <c r="S52" s="257">
        <f t="shared" ref="S52:S55" si="35">W52/AA52*1</f>
      </c>
      <c r="T52" s="232">
        <f t="shared" ref="T52:T55" si="86">AB52/AA52</f>
      </c>
      <c r="U52" s="232">
        <f t="shared" ref="U52:U55" si="137">AC52/AA52</f>
      </c>
      <c r="V52" s="232">
        <f t="shared" ref="V52:V55" si="210">AE52/AC52</f>
      </c>
      <c r="W52" s="233">
        <f t="shared" ref="W52:W55" si="60">AD52/X52</f>
      </c>
      <c r="X52" s="232">
        <f t="shared" ref="X52:X55" si="111">AD52/AC52</f>
      </c>
      <c r="Y52" s="233">
        <v>38.6</v>
      </c>
      <c r="Z52" s="262">
        <f t="shared" ref="Z52:Z55" si="159">(H52/AA52)*1000</f>
      </c>
      <c r="AA52" s="233">
        <v>109288</v>
      </c>
      <c r="AB52" s="233">
        <v>2696</v>
      </c>
      <c r="AC52" s="233">
        <v>2835</v>
      </c>
      <c r="AD52" s="233">
        <v>501</v>
      </c>
      <c r="AE52" s="233">
        <v>251</v>
      </c>
      <c r="AF52" s="233">
        <v>26</v>
      </c>
      <c r="AG52" s="235">
        <v>9</v>
      </c>
      <c r="AH52" s="233">
        <v>97</v>
      </c>
    </row>
    <row r="53">
      <c r="A53" s="218">
        <v>46245</v>
      </c>
      <c r="B53" s="242" t="s">
        <v>702</v>
      </c>
      <c r="C53" s="220" t="s">
        <v>701</v>
      </c>
      <c r="D53" s="237">
        <v>5</v>
      </c>
      <c r="E53" s="238">
        <v>12</v>
      </c>
      <c r="F53" s="238">
        <v>16</v>
      </c>
      <c r="G53" s="238">
        <v>36499.350000000006</v>
      </c>
      <c r="H53" s="239">
        <v>11024.02</v>
      </c>
      <c r="I53" s="240">
        <f t="shared" si="81"/>
      </c>
      <c r="J53" s="224">
        <f t="shared" si="132"/>
      </c>
      <c r="K53" s="224">
        <f t="shared" si="180"/>
      </c>
      <c r="L53" s="225">
        <f t="shared" si="10"/>
      </c>
      <c r="M53" s="226"/>
      <c r="N53" s="227"/>
      <c r="O53" s="228"/>
      <c r="P53" s="229"/>
      <c r="Q53" s="261"/>
      <c r="R53" s="256">
        <f t="shared" si="185"/>
      </c>
      <c r="S53" s="257">
        <f t="shared" si="35"/>
      </c>
      <c r="T53" s="232">
        <f t="shared" si="86"/>
      </c>
      <c r="U53" s="232">
        <f t="shared" si="137"/>
      </c>
      <c r="V53" s="232">
        <f t="shared" si="210"/>
      </c>
      <c r="W53" s="233">
        <f t="shared" si="60"/>
      </c>
      <c r="X53" s="232">
        <f t="shared" si="111"/>
      </c>
      <c r="Y53" s="233">
        <v>45.6</v>
      </c>
      <c r="Z53" s="262">
        <f t="shared" si="159"/>
      </c>
      <c r="AA53" s="233">
        <v>86741</v>
      </c>
      <c r="AB53" s="233">
        <v>1764</v>
      </c>
      <c r="AC53" s="233">
        <v>1883</v>
      </c>
      <c r="AD53" s="233">
        <v>324</v>
      </c>
      <c r="AE53" s="233">
        <v>261</v>
      </c>
      <c r="AF53" s="233">
        <v>18</v>
      </c>
      <c r="AG53" s="233">
        <v>7</v>
      </c>
      <c r="AH53" s="233">
        <v>36</v>
      </c>
    </row>
    <row r="54">
      <c r="A54" s="218">
        <v>46245</v>
      </c>
      <c r="B54" s="242" t="s">
        <v>704</v>
      </c>
      <c r="C54" s="220" t="s">
        <v>703</v>
      </c>
      <c r="D54" s="237">
        <v>5</v>
      </c>
      <c r="E54" s="243">
        <v>7</v>
      </c>
      <c r="F54" s="243">
        <v>10</v>
      </c>
      <c r="G54" s="243">
        <v>24258.690000000002</v>
      </c>
      <c r="H54" s="258">
        <v>9591.49</v>
      </c>
      <c r="I54" s="240">
        <f t="shared" si="81"/>
      </c>
      <c r="J54" s="224">
        <f t="shared" si="132"/>
      </c>
      <c r="K54" s="224">
        <f t="shared" si="180"/>
      </c>
      <c r="L54" s="225">
        <f t="shared" si="10"/>
      </c>
      <c r="M54" s="244"/>
      <c r="N54" s="244"/>
      <c r="O54" s="228"/>
      <c r="P54" s="229"/>
      <c r="Q54" s="261"/>
      <c r="R54" s="256">
        <f t="shared" si="185"/>
      </c>
      <c r="S54" s="257">
        <f t="shared" si="35"/>
      </c>
      <c r="T54" s="232">
        <f t="shared" si="86"/>
      </c>
      <c r="U54" s="232">
        <f t="shared" si="137"/>
      </c>
      <c r="V54" s="232">
        <f t="shared" si="210"/>
      </c>
      <c r="W54" s="233">
        <f t="shared" si="60"/>
      </c>
      <c r="X54" s="232">
        <f t="shared" si="111"/>
      </c>
      <c r="Y54" s="233">
        <v>41.4</v>
      </c>
      <c r="Z54" s="262">
        <f t="shared" si="159"/>
      </c>
      <c r="AA54" s="233">
        <v>92220</v>
      </c>
      <c r="AB54" s="233">
        <v>1829</v>
      </c>
      <c r="AC54" s="233">
        <v>2064</v>
      </c>
      <c r="AD54" s="233">
        <v>251</v>
      </c>
      <c r="AE54" s="233">
        <v>160</v>
      </c>
      <c r="AF54" s="233">
        <v>14</v>
      </c>
      <c r="AG54" s="233">
        <v>4</v>
      </c>
      <c r="AH54" s="233">
        <v>31</v>
      </c>
    </row>
    <row r="55">
      <c r="A55" s="218">
        <v>46245</v>
      </c>
      <c r="B55" s="242" t="s">
        <v>697</v>
      </c>
      <c r="C55" s="220" t="s">
        <v>705</v>
      </c>
      <c r="D55" s="221">
        <v>5</v>
      </c>
      <c r="E55" s="226">
        <v>13</v>
      </c>
      <c r="F55" s="226">
        <v>20</v>
      </c>
      <c r="G55" s="226">
        <v>47529.240000000005</v>
      </c>
      <c r="H55" s="245">
        <v>10268.41</v>
      </c>
      <c r="I55" s="224">
        <f t="shared" si="81"/>
      </c>
      <c r="J55" s="224">
        <f t="shared" si="132"/>
      </c>
      <c r="K55" s="225">
        <f t="shared" si="180"/>
      </c>
      <c r="L55" s="225">
        <f t="shared" si="10"/>
      </c>
      <c r="M55" s="221" t="s">
        <v>706</v>
      </c>
      <c r="N55" s="246">
        <v>10</v>
      </c>
      <c r="O55" s="228"/>
      <c r="P55" s="229"/>
      <c r="Q55" s="261"/>
      <c r="R55" s="256">
        <f t="shared" si="185"/>
      </c>
      <c r="S55" s="257">
        <f t="shared" si="35"/>
      </c>
      <c r="T55" s="232">
        <f t="shared" si="86"/>
      </c>
      <c r="U55" s="232">
        <f t="shared" si="137"/>
      </c>
      <c r="V55" s="232">
        <f t="shared" si="210"/>
      </c>
      <c r="W55" s="233">
        <f t="shared" si="60"/>
      </c>
      <c r="X55" s="232">
        <f t="shared" si="111"/>
      </c>
      <c r="Y55" s="233">
        <v>46.6</v>
      </c>
      <c r="Z55" s="262">
        <f t="shared" si="159"/>
      </c>
      <c r="AA55" s="233">
        <v>130247</v>
      </c>
      <c r="AB55" s="233">
        <v>3022</v>
      </c>
      <c r="AC55" s="233">
        <v>3504</v>
      </c>
      <c r="AD55" s="233">
        <v>388</v>
      </c>
      <c r="AE55" s="233">
        <v>331</v>
      </c>
      <c r="AF55" s="233">
        <v>30</v>
      </c>
      <c r="AG55" s="233">
        <v>12</v>
      </c>
      <c r="AH55" s="233">
        <v>50</v>
      </c>
    </row>
    <row r="56">
      <c r="A56" s="247">
        <v>46245</v>
      </c>
      <c r="B56" s="248" t="s">
        <v>707</v>
      </c>
      <c r="C56" s="249"/>
      <c r="D56" s="249">
        <f>SUM(D52:D55)</f>
      </c>
      <c r="E56" s="249">
        <f>SUM(E52:E55)</f>
      </c>
      <c r="F56" s="249">
        <f>SUM(F52:F55)</f>
      </c>
      <c r="G56" s="249">
        <f>SUM(G52:G55)</f>
      </c>
      <c r="H56" s="249">
        <f>SUM(H52:H55)</f>
      </c>
      <c r="I56" s="250">
        <f t="shared" si="81"/>
      </c>
      <c r="J56" s="250">
        <f t="shared" si="132"/>
      </c>
      <c r="K56" s="250">
        <f t="shared" si="180"/>
      </c>
      <c r="L56" s="250"/>
      <c r="M56" s="249"/>
      <c r="N56" s="251">
        <f>SUM(N52:N55)</f>
      </c>
      <c r="O56" s="249"/>
      <c r="P56" s="249"/>
      <c r="Q56" s="249"/>
      <c r="R56" s="263">
        <f>AVERAGE(R52:R55)</f>
      </c>
      <c r="S56" s="253">
        <f>AVERAGE(S52:S55)</f>
      </c>
      <c r="T56" s="253">
        <f>AVERAGE(T52:T55)</f>
      </c>
      <c r="U56" s="253">
        <f>AVERAGE(U52:U55)</f>
      </c>
      <c r="V56" s="253">
        <f>AVERAGE(V52:V55)</f>
      </c>
      <c r="W56" s="254">
        <f>SUM(W52:W55)</f>
      </c>
      <c r="X56" s="253">
        <f>AVERAGE(X52:X55)</f>
      </c>
      <c r="Y56" s="254"/>
      <c r="Z56" s="252">
        <f>AVERAGE(Z52:Z55)</f>
      </c>
      <c r="AA56" s="254">
        <f>SUM(AA52:AA55)</f>
      </c>
      <c r="AB56" s="254">
        <f>SUM(AB52:AB55)</f>
      </c>
      <c r="AC56" s="254">
        <f>SUM(AC52:AC55)</f>
      </c>
      <c r="AD56" s="254">
        <f>SUM(AD52:AD55)</f>
      </c>
      <c r="AE56" s="254">
        <f>SUM(AE52:AE55)</f>
      </c>
      <c r="AF56" s="254">
        <f>SUM(AF52:AF55)</f>
      </c>
      <c r="AG56" s="254">
        <f>SUM(AG52:AG55)</f>
      </c>
      <c r="AH56" s="254">
        <f>SUM(AH52:AH55)</f>
      </c>
    </row>
    <row r="57">
      <c r="A57" s="218">
        <v>46246</v>
      </c>
      <c r="B57" s="219" t="s">
        <v>700</v>
      </c>
      <c r="C57" s="220" t="s">
        <v>698</v>
      </c>
      <c r="D57" s="221">
        <v>5</v>
      </c>
      <c r="E57" s="222">
        <v>11</v>
      </c>
      <c r="F57" s="222">
        <v>15</v>
      </c>
      <c r="G57" s="238">
        <v>37413.43</v>
      </c>
      <c r="H57" s="223">
        <v>12407.259999999998</v>
      </c>
      <c r="I57" s="240">
        <f t="shared" si="81"/>
      </c>
      <c r="J57" s="224">
        <f t="shared" si="132"/>
      </c>
      <c r="K57" s="225">
        <f t="shared" si="180"/>
      </c>
      <c r="L57" s="225">
        <f t="shared" ref="L57:L60" si="11">H57/D57</f>
      </c>
      <c r="M57" s="226" t="s">
        <v>715</v>
      </c>
      <c r="N57" s="227">
        <v>10</v>
      </c>
      <c r="O57" s="228"/>
      <c r="P57" s="229"/>
      <c r="Q57" s="261"/>
      <c r="R57" s="256">
        <f t="shared" ref="R57:R60" si="186">H57/AB57</f>
      </c>
      <c r="S57" s="257">
        <f t="shared" ref="S57:S60" si="36">W57/AA57*1</f>
      </c>
      <c r="T57" s="232">
        <f t="shared" ref="T57:T60" si="87">AB57/AA57</f>
      </c>
      <c r="U57" s="232">
        <f t="shared" ref="U57:U60" si="138">AC57/AA57</f>
      </c>
      <c r="V57" s="232">
        <f t="shared" ref="V57:V60" si="211">AE57/AC57</f>
      </c>
      <c r="W57" s="233">
        <f t="shared" ref="W57:W60" si="61">AD57/X57</f>
      </c>
      <c r="X57" s="232">
        <f t="shared" ref="X57:X60" si="112">AD57/AC57</f>
      </c>
      <c r="Y57" s="233">
        <v>48.6</v>
      </c>
      <c r="Z57" s="262">
        <f t="shared" ref="Z57:Z60" si="160">(H57/AA57)*1000</f>
      </c>
      <c r="AA57" s="233">
        <v>118281</v>
      </c>
      <c r="AB57" s="233">
        <v>2167</v>
      </c>
      <c r="AC57" s="233">
        <v>2203</v>
      </c>
      <c r="AD57" s="233">
        <v>483</v>
      </c>
      <c r="AE57" s="233">
        <v>252</v>
      </c>
      <c r="AF57" s="233">
        <v>29</v>
      </c>
      <c r="AG57" s="235">
        <v>9</v>
      </c>
      <c r="AH57" s="233">
        <v>127</v>
      </c>
    </row>
    <row r="58">
      <c r="A58" s="218">
        <v>46246</v>
      </c>
      <c r="B58" s="242" t="s">
        <v>702</v>
      </c>
      <c r="C58" s="220" t="s">
        <v>701</v>
      </c>
      <c r="D58" s="237">
        <v>5</v>
      </c>
      <c r="E58" s="238">
        <v>8</v>
      </c>
      <c r="F58" s="238">
        <v>12</v>
      </c>
      <c r="G58" s="238">
        <v>27982.379999999997</v>
      </c>
      <c r="H58" s="239">
        <v>11550.7</v>
      </c>
      <c r="I58" s="240">
        <f t="shared" si="81"/>
      </c>
      <c r="J58" s="224">
        <f t="shared" si="132"/>
      </c>
      <c r="K58" s="224">
        <f t="shared" si="180"/>
      </c>
      <c r="L58" s="225">
        <f t="shared" si="11"/>
      </c>
      <c r="M58" s="226"/>
      <c r="N58" s="227"/>
      <c r="O58" s="228"/>
      <c r="P58" s="229"/>
      <c r="Q58" s="261"/>
      <c r="R58" s="256">
        <f t="shared" si="186"/>
      </c>
      <c r="S58" s="257">
        <f t="shared" si="36"/>
      </c>
      <c r="T58" s="232">
        <f t="shared" si="87"/>
      </c>
      <c r="U58" s="232">
        <f t="shared" si="138"/>
      </c>
      <c r="V58" s="232">
        <f t="shared" si="211"/>
      </c>
      <c r="W58" s="233">
        <f t="shared" si="61"/>
      </c>
      <c r="X58" s="232">
        <f t="shared" si="112"/>
      </c>
      <c r="Y58" s="233">
        <v>55.8</v>
      </c>
      <c r="Z58" s="262">
        <f t="shared" si="160"/>
      </c>
      <c r="AA58" s="233">
        <v>91284</v>
      </c>
      <c r="AB58" s="233">
        <v>1312</v>
      </c>
      <c r="AC58" s="233">
        <v>1315</v>
      </c>
      <c r="AD58" s="233">
        <v>400</v>
      </c>
      <c r="AE58" s="233">
        <v>200</v>
      </c>
      <c r="AF58" s="233">
        <v>14</v>
      </c>
      <c r="AG58" s="233">
        <v>7</v>
      </c>
      <c r="AH58" s="233">
        <v>88</v>
      </c>
    </row>
    <row r="59">
      <c r="A59" s="218">
        <v>46246</v>
      </c>
      <c r="B59" s="242" t="s">
        <v>709</v>
      </c>
      <c r="C59" s="220" t="s">
        <v>703</v>
      </c>
      <c r="D59" s="237">
        <v>5</v>
      </c>
      <c r="E59" s="243">
        <v>14</v>
      </c>
      <c r="F59" s="243">
        <v>18</v>
      </c>
      <c r="G59" s="243">
        <v>44702.340000000004</v>
      </c>
      <c r="H59" s="258">
        <v>13488.739999999998</v>
      </c>
      <c r="I59" s="240">
        <f t="shared" si="81"/>
      </c>
      <c r="J59" s="224">
        <f t="shared" si="132"/>
      </c>
      <c r="K59" s="224">
        <f t="shared" si="180"/>
      </c>
      <c r="L59" s="225">
        <f t="shared" si="11"/>
      </c>
      <c r="M59" s="244"/>
      <c r="N59" s="244"/>
      <c r="O59" s="228"/>
      <c r="P59" s="229"/>
      <c r="Q59" s="261"/>
      <c r="R59" s="256">
        <f t="shared" si="186"/>
      </c>
      <c r="S59" s="257">
        <f t="shared" si="36"/>
      </c>
      <c r="T59" s="232">
        <f t="shared" si="87"/>
      </c>
      <c r="U59" s="232">
        <f t="shared" si="138"/>
      </c>
      <c r="V59" s="232">
        <f t="shared" si="211"/>
      </c>
      <c r="W59" s="233">
        <f t="shared" si="61"/>
      </c>
      <c r="X59" s="232">
        <f t="shared" si="112"/>
      </c>
      <c r="Y59" s="233">
        <v>60</v>
      </c>
      <c r="Z59" s="262">
        <f t="shared" si="160"/>
      </c>
      <c r="AA59" s="233">
        <v>117191</v>
      </c>
      <c r="AB59" s="233">
        <v>1831</v>
      </c>
      <c r="AC59" s="233">
        <v>1865</v>
      </c>
      <c r="AD59" s="233">
        <v>478</v>
      </c>
      <c r="AE59" s="233">
        <v>296</v>
      </c>
      <c r="AF59" s="233">
        <v>26</v>
      </c>
      <c r="AG59" s="233">
        <v>2</v>
      </c>
      <c r="AH59" s="233">
        <v>84</v>
      </c>
    </row>
    <row r="60">
      <c r="A60" s="218">
        <v>46246</v>
      </c>
      <c r="B60" s="242" t="s">
        <v>697</v>
      </c>
      <c r="C60" s="220" t="s">
        <v>705</v>
      </c>
      <c r="D60" s="221">
        <v>5</v>
      </c>
      <c r="E60" s="226">
        <v>14</v>
      </c>
      <c r="F60" s="226">
        <v>18</v>
      </c>
      <c r="G60" s="226">
        <v>42198.06</v>
      </c>
      <c r="H60" s="245">
        <v>12967.96</v>
      </c>
      <c r="I60" s="224">
        <f t="shared" si="81"/>
      </c>
      <c r="J60" s="224">
        <f t="shared" si="132"/>
      </c>
      <c r="K60" s="225">
        <f t="shared" si="180"/>
      </c>
      <c r="L60" s="225">
        <f t="shared" si="11"/>
      </c>
      <c r="M60" s="221" t="s">
        <v>706</v>
      </c>
      <c r="N60" s="246">
        <v>10</v>
      </c>
      <c r="O60" s="228"/>
      <c r="P60" s="229"/>
      <c r="Q60" s="261"/>
      <c r="R60" s="256">
        <f t="shared" si="186"/>
      </c>
      <c r="S60" s="257">
        <f t="shared" si="36"/>
      </c>
      <c r="T60" s="232">
        <f t="shared" si="87"/>
      </c>
      <c r="U60" s="232">
        <f t="shared" si="138"/>
      </c>
      <c r="V60" s="232">
        <f t="shared" si="211"/>
      </c>
      <c r="W60" s="233">
        <f t="shared" si="61"/>
      </c>
      <c r="X60" s="232">
        <f t="shared" si="112"/>
      </c>
      <c r="Y60" s="235">
        <v>57</v>
      </c>
      <c r="Z60" s="262">
        <f t="shared" si="160"/>
      </c>
      <c r="AA60" s="233">
        <v>134453</v>
      </c>
      <c r="AB60" s="233">
        <v>2678</v>
      </c>
      <c r="AC60" s="233">
        <v>2931</v>
      </c>
      <c r="AD60" s="233">
        <v>426</v>
      </c>
      <c r="AE60" s="233">
        <v>261</v>
      </c>
      <c r="AF60" s="233">
        <v>21</v>
      </c>
      <c r="AG60" s="233">
        <v>10</v>
      </c>
      <c r="AH60" s="233">
        <v>102</v>
      </c>
    </row>
    <row r="61">
      <c r="A61" s="247">
        <v>46246</v>
      </c>
      <c r="B61" s="248" t="s">
        <v>707</v>
      </c>
      <c r="C61" s="249"/>
      <c r="D61" s="249">
        <f>SUM(D57:D60)</f>
      </c>
      <c r="E61" s="249">
        <f>SUM(E57:E60)</f>
      </c>
      <c r="F61" s="249">
        <f>SUM(F57:F60)</f>
      </c>
      <c r="G61" s="249">
        <f>SUM(G57:G60)</f>
      </c>
      <c r="H61" s="249">
        <f>SUM(H57:H60)</f>
      </c>
      <c r="I61" s="250">
        <f t="shared" si="81"/>
      </c>
      <c r="J61" s="250">
        <f t="shared" si="132"/>
      </c>
      <c r="K61" s="250">
        <f t="shared" si="180"/>
      </c>
      <c r="L61" s="250"/>
      <c r="M61" s="249"/>
      <c r="N61" s="251">
        <f>SUM(N57:N60)</f>
      </c>
      <c r="O61" s="249"/>
      <c r="P61" s="249"/>
      <c r="Q61" s="249"/>
      <c r="R61" s="263">
        <f>AVERAGE(R57:R60)</f>
      </c>
      <c r="S61" s="253">
        <f>AVERAGE(S57:S60)</f>
      </c>
      <c r="T61" s="253">
        <f>AVERAGE(T57:T60)</f>
      </c>
      <c r="U61" s="253">
        <f>AVERAGE(U57:U60)</f>
      </c>
      <c r="V61" s="253">
        <f>AVERAGE(V57:V60)</f>
      </c>
      <c r="W61" s="254">
        <f>SUM(W57:W60)</f>
      </c>
      <c r="X61" s="253">
        <f>AVERAGE(X57:X60)</f>
      </c>
      <c r="Y61" s="254"/>
      <c r="Z61" s="252">
        <f>AVERAGE(Z57:Z60)</f>
      </c>
      <c r="AA61" s="254">
        <f>SUM(AA57:AA60)</f>
      </c>
      <c r="AB61" s="254">
        <f>SUM(AB57:AB60)</f>
      </c>
      <c r="AC61" s="254">
        <f>SUM(AC57:AC60)</f>
      </c>
      <c r="AD61" s="254">
        <f>SUM(AD57:AD60)</f>
      </c>
      <c r="AE61" s="254">
        <f>SUM(AE57:AE60)</f>
      </c>
      <c r="AF61" s="254">
        <f>SUM(AF57:AF60)</f>
      </c>
      <c r="AG61" s="254">
        <f>SUM(AG57:AG60)</f>
      </c>
      <c r="AH61" s="254">
        <f>SUM(AH57:AH60)</f>
      </c>
    </row>
    <row r="62">
      <c r="A62" s="264">
        <v>46247</v>
      </c>
      <c r="B62" s="236" t="s">
        <v>700</v>
      </c>
      <c r="C62" s="265" t="s">
        <v>698</v>
      </c>
      <c r="D62" s="236">
        <v>5</v>
      </c>
      <c r="E62" s="266">
        <v>8</v>
      </c>
      <c r="F62" s="266">
        <v>10</v>
      </c>
      <c r="G62" s="267">
        <v>22715.56</v>
      </c>
      <c r="H62" s="268">
        <v>9691.18</v>
      </c>
      <c r="I62" s="269">
        <f t="shared" si="81"/>
      </c>
      <c r="J62" s="270">
        <f t="shared" si="132"/>
      </c>
      <c r="K62" s="271">
        <f t="shared" si="180"/>
      </c>
      <c r="L62" s="271">
        <f t="shared" ref="L62:L65" si="12">H62/D62</f>
      </c>
      <c r="M62" s="272" t="s">
        <v>714</v>
      </c>
      <c r="N62" s="273">
        <v>10</v>
      </c>
      <c r="O62" s="265"/>
      <c r="P62" s="236"/>
      <c r="Q62" s="274"/>
      <c r="R62" s="256">
        <f t="shared" ref="R62:R65" si="187">H62/AB62</f>
      </c>
      <c r="S62" s="257">
        <f t="shared" ref="S62:S65" si="37">W62/AA62*1</f>
      </c>
      <c r="T62" s="232">
        <f t="shared" ref="T62:T65" si="88">AB62/AA62</f>
      </c>
      <c r="U62" s="232">
        <f t="shared" ref="U62:U65" si="139">AC62/AA62</f>
      </c>
      <c r="V62" s="232">
        <f t="shared" ref="V62:V65" si="212">AE62/AC62</f>
      </c>
      <c r="W62" s="233">
        <f t="shared" ref="W62:W65" si="62">AD62/X62</f>
      </c>
      <c r="X62" s="232">
        <f t="shared" ref="X62:X65" si="113">AD62/AC62</f>
      </c>
      <c r="Y62" s="275">
        <v>43.4</v>
      </c>
      <c r="Z62" s="262">
        <f t="shared" ref="Z62:Z65" si="161">(H62/AA62)*1000</f>
      </c>
      <c r="AA62" s="275">
        <v>74429</v>
      </c>
      <c r="AB62" s="275">
        <v>1659</v>
      </c>
      <c r="AC62" s="275">
        <v>1806</v>
      </c>
      <c r="AD62" s="275">
        <v>348</v>
      </c>
      <c r="AE62" s="275">
        <v>208</v>
      </c>
      <c r="AF62" s="275">
        <v>12</v>
      </c>
      <c r="AG62" s="275">
        <v>6</v>
      </c>
      <c r="AH62" s="275">
        <v>82</v>
      </c>
      <c r="AI62" s="276"/>
      <c r="AJ62" s="276"/>
      <c r="AK62" s="276"/>
      <c r="AL62" s="276"/>
      <c r="AM62" s="276"/>
    </row>
    <row r="63">
      <c r="A63" s="264">
        <v>46247</v>
      </c>
      <c r="B63" s="255" t="s">
        <v>709</v>
      </c>
      <c r="C63" s="265" t="s">
        <v>701</v>
      </c>
      <c r="D63" s="274">
        <v>5</v>
      </c>
      <c r="E63" s="236">
        <v>14</v>
      </c>
      <c r="F63" s="236">
        <v>15</v>
      </c>
      <c r="G63" s="236">
        <v>36374.15</v>
      </c>
      <c r="H63" s="277">
        <v>10297.93</v>
      </c>
      <c r="I63" s="269">
        <f t="shared" si="81"/>
      </c>
      <c r="J63" s="270">
        <f t="shared" si="132"/>
      </c>
      <c r="K63" s="270">
        <f t="shared" si="180"/>
      </c>
      <c r="L63" s="271">
        <f t="shared" si="12"/>
      </c>
      <c r="M63" s="278"/>
      <c r="N63" s="273"/>
      <c r="O63" s="265"/>
      <c r="P63" s="236"/>
      <c r="Q63" s="274"/>
      <c r="R63" s="256">
        <f t="shared" si="187"/>
      </c>
      <c r="S63" s="257">
        <f t="shared" si="37"/>
      </c>
      <c r="T63" s="232">
        <f t="shared" si="88"/>
      </c>
      <c r="U63" s="232">
        <f t="shared" si="139"/>
      </c>
      <c r="V63" s="232">
        <f t="shared" si="212"/>
      </c>
      <c r="W63" s="233">
        <f t="shared" si="62"/>
      </c>
      <c r="X63" s="232">
        <f t="shared" si="113"/>
      </c>
      <c r="Y63" s="275">
        <v>53.4</v>
      </c>
      <c r="Z63" s="262">
        <f t="shared" si="161"/>
      </c>
      <c r="AA63" s="275">
        <v>63112</v>
      </c>
      <c r="AB63" s="275">
        <v>1004</v>
      </c>
      <c r="AC63" s="275">
        <v>1082</v>
      </c>
      <c r="AD63" s="275">
        <v>309</v>
      </c>
      <c r="AE63" s="275">
        <v>223</v>
      </c>
      <c r="AF63" s="275">
        <v>9</v>
      </c>
      <c r="AG63" s="275">
        <v>5</v>
      </c>
      <c r="AH63" s="275">
        <v>51</v>
      </c>
      <c r="AI63" s="276"/>
      <c r="AJ63" s="276"/>
      <c r="AK63" s="276"/>
      <c r="AL63" s="276"/>
      <c r="AM63" s="276"/>
    </row>
    <row r="64">
      <c r="A64" s="264">
        <v>46247</v>
      </c>
      <c r="B64" s="255" t="s">
        <v>702</v>
      </c>
      <c r="C64" s="265" t="s">
        <v>703</v>
      </c>
      <c r="D64" s="274">
        <v>5</v>
      </c>
      <c r="E64" s="278">
        <v>6</v>
      </c>
      <c r="F64" s="278">
        <v>9</v>
      </c>
      <c r="G64" s="278">
        <v>20173.73999999999</v>
      </c>
      <c r="H64" s="279">
        <v>8706.390000000001</v>
      </c>
      <c r="I64" s="269">
        <f t="shared" si="81"/>
      </c>
      <c r="J64" s="270">
        <f t="shared" si="132"/>
      </c>
      <c r="K64" s="270">
        <f t="shared" si="180"/>
      </c>
      <c r="L64" s="271">
        <f t="shared" si="12"/>
      </c>
      <c r="M64" s="236"/>
      <c r="N64" s="236"/>
      <c r="O64" s="265"/>
      <c r="P64" s="236"/>
      <c r="Q64" s="274"/>
      <c r="R64" s="256">
        <f t="shared" si="187"/>
      </c>
      <c r="S64" s="257">
        <f t="shared" si="37"/>
      </c>
      <c r="T64" s="232">
        <f t="shared" si="88"/>
      </c>
      <c r="U64" s="232">
        <f t="shared" si="139"/>
      </c>
      <c r="V64" s="232">
        <f t="shared" si="212"/>
      </c>
      <c r="W64" s="233">
        <f t="shared" si="62"/>
      </c>
      <c r="X64" s="232">
        <f t="shared" si="113"/>
      </c>
      <c r="Y64" s="275">
        <v>52.4</v>
      </c>
      <c r="Z64" s="262">
        <f t="shared" si="161"/>
      </c>
      <c r="AA64" s="275">
        <v>65726</v>
      </c>
      <c r="AB64" s="275">
        <v>1172</v>
      </c>
      <c r="AC64" s="275">
        <v>1310</v>
      </c>
      <c r="AD64" s="275">
        <v>268</v>
      </c>
      <c r="AE64" s="275">
        <v>192</v>
      </c>
      <c r="AF64" s="275">
        <v>9</v>
      </c>
      <c r="AG64" s="275">
        <v>7</v>
      </c>
      <c r="AH64" s="275">
        <v>37</v>
      </c>
      <c r="AI64" s="276"/>
      <c r="AJ64" s="276"/>
      <c r="AK64" s="276"/>
      <c r="AL64" s="276"/>
      <c r="AM64" s="276"/>
    </row>
    <row r="65">
      <c r="A65" s="264">
        <v>46247</v>
      </c>
      <c r="B65" s="255" t="s">
        <v>704</v>
      </c>
      <c r="C65" s="265" t="s">
        <v>705</v>
      </c>
      <c r="D65" s="236">
        <v>5</v>
      </c>
      <c r="E65" s="278">
        <v>10</v>
      </c>
      <c r="F65" s="278">
        <v>13</v>
      </c>
      <c r="G65" s="278">
        <v>28700.100000000006</v>
      </c>
      <c r="H65" s="280">
        <v>10758.62</v>
      </c>
      <c r="I65" s="270">
        <f t="shared" si="81"/>
      </c>
      <c r="J65" s="270">
        <f t="shared" si="132"/>
      </c>
      <c r="K65" s="271">
        <f t="shared" si="180"/>
      </c>
      <c r="L65" s="271">
        <f t="shared" si="12"/>
      </c>
      <c r="M65" s="236" t="s">
        <v>706</v>
      </c>
      <c r="N65" s="281">
        <v>10</v>
      </c>
      <c r="O65" s="265"/>
      <c r="P65" s="236"/>
      <c r="Q65" s="274"/>
      <c r="R65" s="256">
        <f t="shared" si="187"/>
      </c>
      <c r="S65" s="257">
        <f t="shared" si="37"/>
      </c>
      <c r="T65" s="232">
        <f t="shared" si="88"/>
      </c>
      <c r="U65" s="232">
        <f t="shared" si="139"/>
      </c>
      <c r="V65" s="232">
        <f t="shared" si="212"/>
      </c>
      <c r="W65" s="233">
        <f t="shared" si="62"/>
      </c>
      <c r="X65" s="232">
        <f t="shared" si="113"/>
      </c>
      <c r="Y65" s="282">
        <v>61</v>
      </c>
      <c r="Z65" s="262">
        <f t="shared" si="161"/>
      </c>
      <c r="AA65" s="275">
        <v>101230</v>
      </c>
      <c r="AB65" s="275">
        <v>2159</v>
      </c>
      <c r="AC65" s="275">
        <v>2462</v>
      </c>
      <c r="AD65" s="275">
        <v>363</v>
      </c>
      <c r="AE65" s="275">
        <v>244</v>
      </c>
      <c r="AF65" s="275">
        <v>22</v>
      </c>
      <c r="AG65" s="275">
        <v>4</v>
      </c>
      <c r="AH65" s="275">
        <v>78</v>
      </c>
      <c r="AI65" s="276"/>
      <c r="AJ65" s="276"/>
      <c r="AK65" s="276"/>
      <c r="AL65" s="276"/>
      <c r="AM65" s="276"/>
    </row>
    <row r="66">
      <c r="A66" s="283">
        <v>46247</v>
      </c>
      <c r="B66" s="284" t="s">
        <v>707</v>
      </c>
      <c r="C66" s="285"/>
      <c r="D66" s="285">
        <f>SUM(D62:D65)</f>
      </c>
      <c r="E66" s="285">
        <f>SUM(E62:E65)</f>
      </c>
      <c r="F66" s="285">
        <f>SUM(F62:F65)</f>
      </c>
      <c r="G66" s="285">
        <f>SUM(G62:G65)</f>
      </c>
      <c r="H66" s="286">
        <f>SUM(H62:H65)</f>
      </c>
      <c r="I66" s="287">
        <f t="shared" si="81"/>
      </c>
      <c r="J66" s="287">
        <f t="shared" si="132"/>
      </c>
      <c r="K66" s="287">
        <f t="shared" si="180"/>
      </c>
      <c r="L66" s="287"/>
      <c r="M66" s="285"/>
      <c r="N66" s="288">
        <f>SUM(N62:N65)</f>
      </c>
      <c r="O66" s="285"/>
      <c r="P66" s="285"/>
      <c r="Q66" s="285"/>
      <c r="R66" s="289">
        <f>AVERAGE(R62:R65)</f>
      </c>
      <c r="S66" s="290">
        <f>AVERAGE(S62:S65)</f>
      </c>
      <c r="T66" s="290">
        <f>AVERAGE(T62:T65)</f>
      </c>
      <c r="U66" s="290">
        <f>AVERAGE(U62:U65)</f>
      </c>
      <c r="V66" s="290">
        <f>AVERAGE(V62:V65)</f>
      </c>
      <c r="W66" s="291">
        <f>SUM(W62:W65)</f>
      </c>
      <c r="X66" s="290">
        <f>AVERAGE(X62:X65)</f>
      </c>
      <c r="Y66" s="291"/>
      <c r="Z66" s="292">
        <f>AVERAGE(Z62:Z65)</f>
      </c>
      <c r="AA66" s="291">
        <f>SUM(AA62:AA65)</f>
      </c>
      <c r="AB66" s="291">
        <f>SUM(AB62:AB65)</f>
      </c>
      <c r="AC66" s="291">
        <f>SUM(AC62:AC65)</f>
      </c>
      <c r="AD66" s="291">
        <f>SUM(AD62:AD65)</f>
      </c>
      <c r="AE66" s="291">
        <f>SUM(AE62:AE65)</f>
      </c>
      <c r="AF66" s="291">
        <f>SUM(AF62:AF65)</f>
      </c>
      <c r="AG66" s="291">
        <f>SUM(AG62:AG65)</f>
      </c>
      <c r="AH66" s="291">
        <f>SUM(AH62:AH65)</f>
      </c>
      <c r="AI66" s="276"/>
      <c r="AJ66" s="276"/>
      <c r="AK66" s="276"/>
      <c r="AL66" s="276"/>
      <c r="AM66" s="276"/>
    </row>
    <row r="67">
      <c r="A67" s="264">
        <v>46248</v>
      </c>
      <c r="B67" s="255" t="s">
        <v>709</v>
      </c>
      <c r="C67" s="265" t="s">
        <v>698</v>
      </c>
      <c r="D67" s="236">
        <v>5</v>
      </c>
      <c r="E67" s="266">
        <v>1</v>
      </c>
      <c r="F67" s="266">
        <v>1</v>
      </c>
      <c r="G67" s="267">
        <v>2825.27</v>
      </c>
      <c r="H67" s="268">
        <v>9453.76</v>
      </c>
      <c r="I67" s="269">
        <f t="shared" si="81"/>
      </c>
      <c r="J67" s="270">
        <f t="shared" si="132"/>
      </c>
      <c r="K67" s="271">
        <f t="shared" si="180"/>
      </c>
      <c r="L67" s="271">
        <f t="shared" ref="L67:L70" si="13">H67/D67</f>
      </c>
      <c r="M67" s="272" t="s">
        <v>714</v>
      </c>
      <c r="N67" s="273">
        <v>10</v>
      </c>
      <c r="O67" s="265"/>
      <c r="P67" s="236"/>
      <c r="Q67" s="274"/>
      <c r="R67" s="256">
        <f t="shared" ref="R67:R70" si="188">H67/AB67</f>
      </c>
      <c r="S67" s="257">
        <f t="shared" ref="S67:S70" si="38">W67/AA67*1</f>
      </c>
      <c r="T67" s="232">
        <f t="shared" ref="T67:T70" si="89">AB67/AA67</f>
      </c>
      <c r="U67" s="232">
        <f t="shared" ref="U67:U70" si="140">AC67/AA67</f>
      </c>
      <c r="V67" s="232">
        <f t="shared" ref="V67:V70" si="213">AE67/AC67</f>
      </c>
      <c r="W67" s="233">
        <f t="shared" ref="W67:W70" si="63">AD67/X67</f>
      </c>
      <c r="X67" s="232">
        <f t="shared" ref="X67:X70" si="114">AD67/AC67</f>
      </c>
      <c r="Y67" s="282">
        <v>47</v>
      </c>
      <c r="Z67" s="262">
        <f t="shared" ref="Z67:Z70" si="162">(H67/AA67)*1000</f>
      </c>
      <c r="AA67" s="275">
        <v>60066</v>
      </c>
      <c r="AB67" s="275">
        <v>1369</v>
      </c>
      <c r="AC67" s="275">
        <v>1414</v>
      </c>
      <c r="AD67" s="275">
        <v>296</v>
      </c>
      <c r="AE67" s="275">
        <v>178</v>
      </c>
      <c r="AF67" s="275">
        <v>21</v>
      </c>
      <c r="AG67" s="275">
        <v>5</v>
      </c>
      <c r="AH67" s="275">
        <v>59</v>
      </c>
      <c r="AI67" s="276"/>
      <c r="AJ67" s="276"/>
      <c r="AK67" s="276"/>
      <c r="AL67" s="276"/>
      <c r="AM67" s="276"/>
    </row>
    <row r="68">
      <c r="A68" s="264">
        <v>46248</v>
      </c>
      <c r="B68" s="255" t="s">
        <v>702</v>
      </c>
      <c r="C68" s="265" t="s">
        <v>701</v>
      </c>
      <c r="D68" s="274">
        <v>5</v>
      </c>
      <c r="E68" s="236">
        <v>5</v>
      </c>
      <c r="F68" s="236">
        <v>8</v>
      </c>
      <c r="G68" s="236">
        <v>17437.510000000002</v>
      </c>
      <c r="H68" s="277">
        <v>8617.68</v>
      </c>
      <c r="I68" s="269">
        <f t="shared" si="81"/>
      </c>
      <c r="J68" s="270">
        <f t="shared" si="132"/>
      </c>
      <c r="K68" s="270">
        <f t="shared" si="180"/>
      </c>
      <c r="L68" s="271">
        <f t="shared" si="13"/>
      </c>
      <c r="M68" s="278"/>
      <c r="N68" s="273"/>
      <c r="O68" s="265"/>
      <c r="P68" s="236"/>
      <c r="Q68" s="274"/>
      <c r="R68" s="256">
        <f t="shared" si="188"/>
      </c>
      <c r="S68" s="257">
        <f t="shared" si="38"/>
      </c>
      <c r="T68" s="232">
        <f t="shared" si="89"/>
      </c>
      <c r="U68" s="232">
        <f t="shared" si="140"/>
      </c>
      <c r="V68" s="232">
        <f t="shared" si="213"/>
      </c>
      <c r="W68" s="233">
        <f t="shared" si="63"/>
      </c>
      <c r="X68" s="232">
        <f t="shared" si="114"/>
      </c>
      <c r="Y68" s="282">
        <v>44</v>
      </c>
      <c r="Z68" s="262">
        <f t="shared" si="162"/>
      </c>
      <c r="AA68" s="275">
        <v>60097</v>
      </c>
      <c r="AB68" s="275">
        <v>1165</v>
      </c>
      <c r="AC68" s="275">
        <v>1279</v>
      </c>
      <c r="AD68" s="275">
        <v>265</v>
      </c>
      <c r="AE68" s="275">
        <v>189</v>
      </c>
      <c r="AF68" s="275">
        <v>15</v>
      </c>
      <c r="AG68" s="275">
        <v>6</v>
      </c>
      <c r="AH68" s="275">
        <v>36</v>
      </c>
      <c r="AI68" s="276"/>
      <c r="AJ68" s="276"/>
      <c r="AK68" s="276"/>
      <c r="AL68" s="276"/>
      <c r="AM68" s="276"/>
    </row>
    <row r="69">
      <c r="A69" s="264">
        <v>46248</v>
      </c>
      <c r="B69" s="219" t="s">
        <v>700</v>
      </c>
      <c r="C69" s="265" t="s">
        <v>703</v>
      </c>
      <c r="D69" s="274">
        <v>5</v>
      </c>
      <c r="E69" s="272">
        <v>4</v>
      </c>
      <c r="F69" s="278">
        <v>9</v>
      </c>
      <c r="G69" s="278">
        <v>27535.449999999997</v>
      </c>
      <c r="H69" s="279">
        <v>6841.21</v>
      </c>
      <c r="I69" s="270">
        <f t="shared" si="81"/>
      </c>
      <c r="J69" s="270">
        <f t="shared" si="132"/>
      </c>
      <c r="K69" s="270">
        <f t="shared" si="180"/>
      </c>
      <c r="L69" s="271">
        <f t="shared" si="13"/>
      </c>
      <c r="M69" s="236"/>
      <c r="N69" s="236"/>
      <c r="O69" s="265"/>
      <c r="P69" s="236"/>
      <c r="Q69" s="274"/>
      <c r="R69" s="256">
        <f t="shared" si="188"/>
      </c>
      <c r="S69" s="257">
        <f t="shared" si="38"/>
      </c>
      <c r="T69" s="232">
        <f t="shared" si="89"/>
      </c>
      <c r="U69" s="232">
        <f t="shared" si="140"/>
      </c>
      <c r="V69" s="232">
        <f t="shared" si="213"/>
      </c>
      <c r="W69" s="233">
        <f t="shared" si="63"/>
      </c>
      <c r="X69" s="232">
        <f t="shared" si="114"/>
      </c>
      <c r="Y69" s="282">
        <v>45</v>
      </c>
      <c r="Z69" s="262">
        <f t="shared" si="162"/>
      </c>
      <c r="AA69" s="275">
        <v>54993</v>
      </c>
      <c r="AB69" s="275">
        <v>902</v>
      </c>
      <c r="AC69" s="275">
        <v>977</v>
      </c>
      <c r="AD69" s="275">
        <v>199</v>
      </c>
      <c r="AE69" s="275">
        <v>180</v>
      </c>
      <c r="AF69" s="275">
        <v>12</v>
      </c>
      <c r="AG69" s="275">
        <v>2</v>
      </c>
      <c r="AH69" s="275">
        <v>35</v>
      </c>
      <c r="AI69" s="276"/>
      <c r="AJ69" s="276"/>
      <c r="AK69" s="276"/>
      <c r="AL69" s="276"/>
      <c r="AM69" s="276"/>
    </row>
    <row r="70">
      <c r="A70" s="264">
        <v>46248</v>
      </c>
      <c r="B70" s="242" t="s">
        <v>697</v>
      </c>
      <c r="C70" s="265" t="s">
        <v>705</v>
      </c>
      <c r="D70" s="236">
        <v>5</v>
      </c>
      <c r="E70" s="278">
        <v>17</v>
      </c>
      <c r="F70" s="272">
        <v>19</v>
      </c>
      <c r="G70" s="278">
        <v>40853.70999999999</v>
      </c>
      <c r="H70" s="280">
        <v>7341.549999999999</v>
      </c>
      <c r="I70" s="270">
        <f t="shared" si="81"/>
      </c>
      <c r="J70" s="270">
        <f t="shared" si="132"/>
      </c>
      <c r="K70" s="271">
        <f t="shared" si="180"/>
      </c>
      <c r="L70" s="271">
        <f t="shared" si="13"/>
      </c>
      <c r="M70" s="236" t="s">
        <v>706</v>
      </c>
      <c r="N70" s="281">
        <v>10</v>
      </c>
      <c r="O70" s="265"/>
      <c r="P70" s="236"/>
      <c r="Q70" s="274"/>
      <c r="R70" s="256">
        <f t="shared" si="188"/>
      </c>
      <c r="S70" s="257">
        <f t="shared" si="38"/>
      </c>
      <c r="T70" s="232">
        <f t="shared" si="89"/>
      </c>
      <c r="U70" s="232">
        <f t="shared" si="140"/>
      </c>
      <c r="V70" s="232">
        <f t="shared" si="213"/>
      </c>
      <c r="W70" s="233">
        <f t="shared" si="63"/>
      </c>
      <c r="X70" s="232">
        <f t="shared" si="114"/>
      </c>
      <c r="Y70" s="282">
        <v>60</v>
      </c>
      <c r="Z70" s="262">
        <f t="shared" si="162"/>
      </c>
      <c r="AA70" s="275">
        <v>77707</v>
      </c>
      <c r="AB70" s="275">
        <v>1788</v>
      </c>
      <c r="AC70" s="275">
        <v>2026</v>
      </c>
      <c r="AD70" s="275">
        <v>261</v>
      </c>
      <c r="AE70" s="275">
        <v>239</v>
      </c>
      <c r="AF70" s="275">
        <v>18</v>
      </c>
      <c r="AG70" s="275">
        <v>10</v>
      </c>
      <c r="AH70" s="275">
        <v>35</v>
      </c>
      <c r="AI70" s="276"/>
      <c r="AJ70" s="276"/>
      <c r="AK70" s="276"/>
      <c r="AL70" s="276"/>
      <c r="AM70" s="276"/>
    </row>
    <row r="71">
      <c r="A71" s="283">
        <v>46248</v>
      </c>
      <c r="B71" s="284" t="s">
        <v>707</v>
      </c>
      <c r="C71" s="285"/>
      <c r="D71" s="285">
        <f>SUM(D67:D70)</f>
      </c>
      <c r="E71" s="285">
        <f>SUM(E67:E70)</f>
      </c>
      <c r="F71" s="285">
        <f>SUM(F67:F70)</f>
      </c>
      <c r="G71" s="285">
        <f>SUM(G67:G70)</f>
      </c>
      <c r="H71" s="286">
        <f>SUM(H67:H70)</f>
      </c>
      <c r="I71" s="287">
        <f t="shared" si="81"/>
      </c>
      <c r="J71" s="287">
        <f t="shared" si="132"/>
      </c>
      <c r="K71" s="287">
        <f t="shared" si="180"/>
      </c>
      <c r="L71" s="287"/>
      <c r="M71" s="285"/>
      <c r="N71" s="288">
        <f>SUM(N67:N70)</f>
      </c>
      <c r="O71" s="285"/>
      <c r="P71" s="285"/>
      <c r="Q71" s="285"/>
      <c r="R71" s="289">
        <f>AVERAGE(R67:R70)</f>
      </c>
      <c r="S71" s="290">
        <f>AVERAGE(S67:S70)</f>
      </c>
      <c r="T71" s="290">
        <f>AVERAGE(T67:T70)</f>
      </c>
      <c r="U71" s="290">
        <f>AVERAGE(U67:U70)</f>
      </c>
      <c r="V71" s="290">
        <f>AVERAGE(V67:V70)</f>
      </c>
      <c r="W71" s="291">
        <f>SUM(W67:W70)</f>
      </c>
      <c r="X71" s="290">
        <f>AVERAGE(X67:X70)</f>
      </c>
      <c r="Y71" s="291"/>
      <c r="Z71" s="292">
        <f>AVERAGE(Z67:Z70)</f>
      </c>
      <c r="AA71" s="291">
        <f>SUM(AA67:AA70)</f>
      </c>
      <c r="AB71" s="291">
        <f>SUM(AB67:AB70)</f>
      </c>
      <c r="AC71" s="291">
        <f>SUM(AC67:AC70)</f>
      </c>
      <c r="AD71" s="291">
        <f>SUM(AD67:AD70)</f>
      </c>
      <c r="AE71" s="291">
        <f>SUM(AE67:AE70)</f>
      </c>
      <c r="AF71" s="291">
        <f>SUM(AF67:AF70)</f>
      </c>
      <c r="AG71" s="291">
        <f>SUM(AG67:AG70)</f>
      </c>
      <c r="AH71" s="291">
        <f>SUM(AH67:AH70)</f>
      </c>
      <c r="AI71" s="276"/>
      <c r="AJ71" s="276"/>
      <c r="AK71" s="276"/>
      <c r="AL71" s="276"/>
      <c r="AM71" s="276"/>
    </row>
    <row r="72">
      <c r="A72" s="264">
        <v>46249</v>
      </c>
      <c r="B72" s="255" t="s">
        <v>709</v>
      </c>
      <c r="C72" s="265" t="s">
        <v>698</v>
      </c>
      <c r="D72" s="236">
        <v>5</v>
      </c>
      <c r="E72" s="266">
        <v>10</v>
      </c>
      <c r="F72" s="266">
        <v>13</v>
      </c>
      <c r="G72" s="267">
        <v>27363.78</v>
      </c>
      <c r="H72" s="268">
        <v>12152.9</v>
      </c>
      <c r="I72" s="269">
        <f t="shared" si="81"/>
      </c>
      <c r="J72" s="270">
        <f t="shared" si="132"/>
      </c>
      <c r="K72" s="271">
        <f t="shared" si="180"/>
      </c>
      <c r="L72" s="271">
        <f t="shared" ref="L72:L75" si="14">H72/D72</f>
      </c>
      <c r="M72" s="272" t="s">
        <v>714</v>
      </c>
      <c r="N72" s="273">
        <v>10</v>
      </c>
      <c r="O72" s="265"/>
      <c r="P72" s="236"/>
      <c r="Q72" s="274"/>
      <c r="R72" s="256">
        <f t="shared" ref="R72:R75" si="189">H72/AB72</f>
      </c>
      <c r="S72" s="257">
        <f t="shared" ref="S72:S75" si="39">W72/AA72*1</f>
      </c>
      <c r="T72" s="232">
        <f t="shared" ref="T72:T75" si="90">AB72/AA72</f>
      </c>
      <c r="U72" s="232">
        <f t="shared" ref="U72:U75" si="141">AC72/AA72</f>
      </c>
      <c r="V72" s="232">
        <f t="shared" ref="V72:V75" si="214">AE72/AC72</f>
      </c>
      <c r="W72" s="233">
        <f t="shared" ref="W72:W75" si="64">AD72/X72</f>
      </c>
      <c r="X72" s="232">
        <f t="shared" ref="X72:X75" si="115">AD72/AC72</f>
      </c>
      <c r="Y72" s="282">
        <v>47.6</v>
      </c>
      <c r="Z72" s="262">
        <f t="shared" ref="Z72:Z75" si="163">(H72/AA72)*1000</f>
      </c>
      <c r="AA72" s="275">
        <v>94285</v>
      </c>
      <c r="AB72" s="275">
        <v>1950</v>
      </c>
      <c r="AC72" s="275">
        <v>2069</v>
      </c>
      <c r="AD72" s="275">
        <v>458</v>
      </c>
      <c r="AE72" s="275">
        <v>221</v>
      </c>
      <c r="AF72" s="275">
        <v>20</v>
      </c>
      <c r="AG72" s="275">
        <v>4</v>
      </c>
      <c r="AH72" s="275">
        <v>94</v>
      </c>
      <c r="AI72" s="276"/>
      <c r="AJ72" s="276"/>
      <c r="AK72" s="276"/>
      <c r="AL72" s="276"/>
      <c r="AM72" s="276"/>
    </row>
    <row r="73">
      <c r="A73" s="264">
        <v>46249</v>
      </c>
      <c r="B73" s="242" t="s">
        <v>704</v>
      </c>
      <c r="C73" s="265" t="s">
        <v>701</v>
      </c>
      <c r="D73" s="274">
        <v>5</v>
      </c>
      <c r="E73" s="219">
        <v>10</v>
      </c>
      <c r="F73" s="236">
        <v>13</v>
      </c>
      <c r="G73" s="236">
        <v>37683.37</v>
      </c>
      <c r="H73" s="277">
        <v>9878.77</v>
      </c>
      <c r="I73" s="269">
        <f t="shared" si="81"/>
      </c>
      <c r="J73" s="270">
        <f t="shared" si="132"/>
      </c>
      <c r="K73" s="270">
        <f t="shared" si="180"/>
      </c>
      <c r="L73" s="271">
        <f t="shared" si="14"/>
      </c>
      <c r="M73" s="278"/>
      <c r="N73" s="273"/>
      <c r="O73" s="265"/>
      <c r="P73" s="236"/>
      <c r="Q73" s="274"/>
      <c r="R73" s="256">
        <f t="shared" si="189"/>
      </c>
      <c r="S73" s="257">
        <f t="shared" si="39"/>
      </c>
      <c r="T73" s="232">
        <f t="shared" si="90"/>
      </c>
      <c r="U73" s="232">
        <f t="shared" si="141"/>
      </c>
      <c r="V73" s="232">
        <f t="shared" si="214"/>
      </c>
      <c r="W73" s="233">
        <f t="shared" si="64"/>
      </c>
      <c r="X73" s="232">
        <f t="shared" si="115"/>
      </c>
      <c r="Y73" s="275">
        <v>53.4</v>
      </c>
      <c r="Z73" s="262">
        <f t="shared" si="163"/>
      </c>
      <c r="AA73" s="275">
        <v>73581</v>
      </c>
      <c r="AB73" s="275">
        <v>1270</v>
      </c>
      <c r="AC73" s="275">
        <v>1329</v>
      </c>
      <c r="AD73" s="275">
        <v>304</v>
      </c>
      <c r="AE73" s="275">
        <v>215</v>
      </c>
      <c r="AF73" s="275">
        <v>15</v>
      </c>
      <c r="AG73" s="275">
        <v>2</v>
      </c>
      <c r="AH73" s="275">
        <v>55</v>
      </c>
      <c r="AI73" s="276"/>
    </row>
    <row r="74">
      <c r="A74" s="264">
        <v>46249</v>
      </c>
      <c r="B74" s="219" t="s">
        <v>697</v>
      </c>
      <c r="C74" s="265" t="s">
        <v>703</v>
      </c>
      <c r="D74" s="274">
        <v>5</v>
      </c>
      <c r="E74" s="272">
        <v>9</v>
      </c>
      <c r="F74" s="278">
        <v>13</v>
      </c>
      <c r="G74" s="278">
        <v>34040.49</v>
      </c>
      <c r="H74" s="279">
        <v>8401.789999999999</v>
      </c>
      <c r="I74" s="269">
        <f t="shared" si="81"/>
      </c>
      <c r="J74" s="270">
        <f t="shared" si="132"/>
      </c>
      <c r="K74" s="270">
        <f t="shared" si="180"/>
      </c>
      <c r="L74" s="271">
        <f t="shared" si="14"/>
      </c>
      <c r="M74" s="236"/>
      <c r="N74" s="236"/>
      <c r="O74" s="265"/>
      <c r="P74" s="236"/>
      <c r="Q74" s="274"/>
      <c r="R74" s="256">
        <f t="shared" si="189"/>
      </c>
      <c r="S74" s="257">
        <f t="shared" si="39"/>
      </c>
      <c r="T74" s="232">
        <f t="shared" si="90"/>
      </c>
      <c r="U74" s="232">
        <f t="shared" si="141"/>
      </c>
      <c r="V74" s="232">
        <f t="shared" si="214"/>
      </c>
      <c r="W74" s="233">
        <f t="shared" si="64"/>
      </c>
      <c r="X74" s="232">
        <f t="shared" si="115"/>
      </c>
      <c r="Y74" s="275">
        <v>53.4</v>
      </c>
      <c r="Z74" s="262">
        <f t="shared" si="163"/>
      </c>
      <c r="AA74" s="275">
        <v>76026</v>
      </c>
      <c r="AB74" s="275">
        <v>1536</v>
      </c>
      <c r="AC74" s="275">
        <v>1639</v>
      </c>
      <c r="AD74" s="275">
        <v>264</v>
      </c>
      <c r="AE74" s="275">
        <v>212</v>
      </c>
      <c r="AF74" s="275">
        <v>27</v>
      </c>
      <c r="AG74" s="275">
        <v>3</v>
      </c>
      <c r="AH74" s="275">
        <v>46</v>
      </c>
      <c r="AI74" s="276"/>
    </row>
    <row r="75">
      <c r="A75" s="264">
        <v>46249</v>
      </c>
      <c r="B75" s="242" t="s">
        <v>700</v>
      </c>
      <c r="C75" s="265" t="s">
        <v>705</v>
      </c>
      <c r="D75" s="236">
        <v>5</v>
      </c>
      <c r="E75" s="278">
        <v>6</v>
      </c>
      <c r="F75" s="278">
        <v>9</v>
      </c>
      <c r="G75" s="278">
        <v>21930.259999999995</v>
      </c>
      <c r="H75" s="280">
        <v>8754.949999999999</v>
      </c>
      <c r="I75" s="270">
        <f t="shared" si="81"/>
      </c>
      <c r="J75" s="270">
        <f t="shared" si="132"/>
      </c>
      <c r="K75" s="271">
        <f t="shared" si="180"/>
      </c>
      <c r="L75" s="271">
        <f t="shared" si="14"/>
      </c>
      <c r="M75" s="236" t="s">
        <v>706</v>
      </c>
      <c r="N75" s="281">
        <v>10</v>
      </c>
      <c r="O75" s="265"/>
      <c r="P75" s="236"/>
      <c r="Q75" s="274"/>
      <c r="R75" s="256">
        <f t="shared" si="189"/>
      </c>
      <c r="S75" s="257">
        <f t="shared" si="39"/>
      </c>
      <c r="T75" s="232">
        <f t="shared" si="90"/>
      </c>
      <c r="U75" s="232">
        <f t="shared" si="141"/>
      </c>
      <c r="V75" s="232">
        <f t="shared" si="214"/>
      </c>
      <c r="W75" s="233">
        <f t="shared" si="64"/>
      </c>
      <c r="X75" s="232">
        <f t="shared" si="115"/>
      </c>
      <c r="Y75" s="282">
        <v>57</v>
      </c>
      <c r="Z75" s="262">
        <f t="shared" si="163"/>
      </c>
      <c r="AA75" s="275">
        <v>88563</v>
      </c>
      <c r="AB75" s="275">
        <v>1922</v>
      </c>
      <c r="AC75" s="275">
        <v>2109</v>
      </c>
      <c r="AD75" s="275">
        <v>321</v>
      </c>
      <c r="AE75" s="275">
        <v>231</v>
      </c>
      <c r="AF75" s="275">
        <v>8</v>
      </c>
      <c r="AG75" s="275">
        <v>6</v>
      </c>
      <c r="AH75" s="275">
        <v>50</v>
      </c>
      <c r="AI75" s="276"/>
    </row>
    <row r="76">
      <c r="A76" s="283">
        <v>46249</v>
      </c>
      <c r="B76" s="284" t="s">
        <v>707</v>
      </c>
      <c r="C76" s="285"/>
      <c r="D76" s="285">
        <f>SUM(D72:D75)</f>
      </c>
      <c r="E76" s="285">
        <f>SUM(E72:E75)</f>
      </c>
      <c r="F76" s="285">
        <f>SUM(F72:F75)</f>
      </c>
      <c r="G76" s="285">
        <f>SUM(G72:G75)</f>
      </c>
      <c r="H76" s="286">
        <f>SUM(H72:H75)</f>
      </c>
      <c r="I76" s="287">
        <f t="shared" si="81"/>
      </c>
      <c r="J76" s="287">
        <f t="shared" si="132"/>
      </c>
      <c r="K76" s="287">
        <f t="shared" si="180"/>
      </c>
      <c r="L76" s="287"/>
      <c r="M76" s="285"/>
      <c r="N76" s="288">
        <f>SUM(N72:N75)</f>
      </c>
      <c r="O76" s="285"/>
      <c r="P76" s="285"/>
      <c r="Q76" s="285"/>
      <c r="R76" s="289">
        <f>AVERAGE(R72:R75)</f>
      </c>
      <c r="S76" s="290">
        <f>AVERAGE(S72:S75)</f>
      </c>
      <c r="T76" s="290">
        <f>AVERAGE(T72:T75)</f>
      </c>
      <c r="U76" s="290">
        <f>AVERAGE(U72:U75)</f>
      </c>
      <c r="V76" s="290">
        <f>AVERAGE(V72:V75)</f>
      </c>
      <c r="W76" s="291">
        <f>SUM(W72:W75)</f>
      </c>
      <c r="X76" s="290">
        <f>AVERAGE(X72:X75)</f>
      </c>
      <c r="Y76" s="291"/>
      <c r="Z76" s="292">
        <f>AVERAGE(Z72:Z75)</f>
      </c>
      <c r="AA76" s="291">
        <f>SUM(AA72:AA75)</f>
      </c>
      <c r="AB76" s="291">
        <f>SUM(AB72:AB75)</f>
      </c>
      <c r="AC76" s="291">
        <f>SUM(AC72:AC75)</f>
      </c>
      <c r="AD76" s="291">
        <f>SUM(AD72:AD75)</f>
      </c>
      <c r="AE76" s="291">
        <f>SUM(AE72:AE75)</f>
      </c>
      <c r="AF76" s="291">
        <f>SUM(AF72:AF75)</f>
      </c>
      <c r="AG76" s="291">
        <f>SUM(AG72:AG75)</f>
      </c>
      <c r="AH76" s="291">
        <f>SUM(AH72:AH75)</f>
      </c>
      <c r="AI76" s="276"/>
    </row>
    <row r="77">
      <c r="A77" s="264">
        <v>46250</v>
      </c>
      <c r="B77" s="255" t="s">
        <v>704</v>
      </c>
      <c r="C77" s="265" t="s">
        <v>698</v>
      </c>
      <c r="D77" s="236">
        <v>5</v>
      </c>
      <c r="E77" s="266">
        <v>24</v>
      </c>
      <c r="F77" s="266">
        <v>29</v>
      </c>
      <c r="G77" s="267">
        <v>66417.82</v>
      </c>
      <c r="H77" s="268">
        <v>17682.98</v>
      </c>
      <c r="I77" s="269">
        <f t="shared" si="81"/>
      </c>
      <c r="J77" s="270">
        <f t="shared" si="132"/>
      </c>
      <c r="K77" s="271">
        <f t="shared" si="180"/>
      </c>
      <c r="L77" s="271">
        <f t="shared" ref="L77:L80" si="15">H77/D77</f>
      </c>
      <c r="M77" s="278" t="s">
        <v>714</v>
      </c>
      <c r="N77" s="273">
        <v>10</v>
      </c>
      <c r="O77" s="265"/>
      <c r="P77" s="236"/>
      <c r="Q77" s="274"/>
      <c r="R77" s="293">
        <f t="shared" ref="R77:R80" si="190">H77/AB77</f>
      </c>
      <c r="S77" s="294">
        <f t="shared" ref="S77:S80" si="40">W77/AA77*1</f>
      </c>
      <c r="T77" s="295">
        <f t="shared" ref="T77:T80" si="91">AB77/AA77</f>
      </c>
      <c r="U77" s="295">
        <f t="shared" ref="U77:U80" si="142">AC77/AA77</f>
      </c>
      <c r="V77" s="295">
        <f t="shared" ref="V77:V80" si="215">AE77/AC77</f>
      </c>
      <c r="W77" s="275">
        <f t="shared" ref="W77:W80" si="65">AD77/X77</f>
      </c>
      <c r="X77" s="295">
        <f t="shared" ref="X77:X80" si="116">AD77/AC77</f>
      </c>
      <c r="Y77" s="275">
        <v>51.2</v>
      </c>
      <c r="Z77" s="296">
        <f t="shared" ref="Z77:Z80" si="164">(H77/AA77)*1000</f>
      </c>
      <c r="AA77" s="275">
        <v>128667</v>
      </c>
      <c r="AB77" s="275">
        <v>2637</v>
      </c>
      <c r="AC77" s="275">
        <v>2686</v>
      </c>
      <c r="AD77" s="275">
        <v>685</v>
      </c>
      <c r="AE77" s="275">
        <v>343</v>
      </c>
      <c r="AF77" s="275">
        <v>27</v>
      </c>
      <c r="AG77" s="275">
        <v>7</v>
      </c>
      <c r="AH77" s="275">
        <v>168</v>
      </c>
      <c r="AI77" s="276"/>
      <c r="AJ77" s="276"/>
      <c r="AK77" s="276"/>
      <c r="AL77" s="276"/>
      <c r="AM77" s="276"/>
    </row>
    <row r="78">
      <c r="A78" s="264">
        <v>46250</v>
      </c>
      <c r="B78" s="219" t="s">
        <v>697</v>
      </c>
      <c r="C78" s="265" t="s">
        <v>701</v>
      </c>
      <c r="D78" s="274">
        <v>5</v>
      </c>
      <c r="E78" s="236">
        <v>18</v>
      </c>
      <c r="F78" s="236">
        <v>21</v>
      </c>
      <c r="G78" s="236">
        <v>51743.399999999994</v>
      </c>
      <c r="H78" s="277">
        <v>18322.1</v>
      </c>
      <c r="I78" s="269">
        <f t="shared" si="81"/>
      </c>
      <c r="J78" s="270">
        <f t="shared" si="132"/>
      </c>
      <c r="K78" s="270">
        <f t="shared" si="180"/>
      </c>
      <c r="L78" s="271">
        <f t="shared" si="15"/>
      </c>
      <c r="M78" s="278"/>
      <c r="N78" s="273"/>
      <c r="O78" s="265"/>
      <c r="P78" s="236"/>
      <c r="Q78" s="274"/>
      <c r="R78" s="293">
        <f t="shared" si="190"/>
      </c>
      <c r="S78" s="294">
        <f t="shared" si="40"/>
      </c>
      <c r="T78" s="295">
        <f t="shared" si="91"/>
      </c>
      <c r="U78" s="295">
        <f t="shared" si="142"/>
      </c>
      <c r="V78" s="295">
        <f t="shared" si="215"/>
      </c>
      <c r="W78" s="275">
        <f t="shared" si="65"/>
      </c>
      <c r="X78" s="295">
        <f t="shared" si="116"/>
      </c>
      <c r="Y78" s="275">
        <v>64</v>
      </c>
      <c r="Z78" s="296">
        <f t="shared" si="164"/>
      </c>
      <c r="AA78" s="275">
        <v>120683</v>
      </c>
      <c r="AB78" s="275">
        <v>2114</v>
      </c>
      <c r="AC78" s="275">
        <v>2137</v>
      </c>
      <c r="AD78" s="275">
        <v>616</v>
      </c>
      <c r="AE78" s="275">
        <v>324</v>
      </c>
      <c r="AF78" s="275">
        <v>26</v>
      </c>
      <c r="AG78" s="275">
        <v>2</v>
      </c>
      <c r="AH78" s="275">
        <v>137</v>
      </c>
      <c r="AI78" s="276"/>
      <c r="AJ78" s="276"/>
      <c r="AK78" s="276"/>
      <c r="AL78" s="276"/>
      <c r="AM78" s="276"/>
    </row>
    <row r="79">
      <c r="A79" s="264">
        <v>46250</v>
      </c>
      <c r="B79" s="236" t="s">
        <v>702</v>
      </c>
      <c r="C79" s="265" t="s">
        <v>703</v>
      </c>
      <c r="D79" s="274">
        <v>5</v>
      </c>
      <c r="E79" s="278">
        <v>11</v>
      </c>
      <c r="F79" s="278">
        <v>28</v>
      </c>
      <c r="G79" s="278">
        <v>64393.03</v>
      </c>
      <c r="H79" s="297">
        <v>15063.98</v>
      </c>
      <c r="I79" s="269">
        <f t="shared" si="81"/>
      </c>
      <c r="J79" s="270">
        <f t="shared" si="132"/>
      </c>
      <c r="K79" s="270">
        <f t="shared" si="180"/>
      </c>
      <c r="L79" s="271">
        <f t="shared" si="15"/>
      </c>
      <c r="M79" s="236"/>
      <c r="N79" s="236"/>
      <c r="O79" s="265"/>
      <c r="P79" s="236"/>
      <c r="Q79" s="274"/>
      <c r="R79" s="293">
        <f t="shared" si="190"/>
      </c>
      <c r="S79" s="294">
        <f t="shared" si="40"/>
      </c>
      <c r="T79" s="295">
        <f t="shared" si="91"/>
      </c>
      <c r="U79" s="295">
        <f t="shared" si="142"/>
      </c>
      <c r="V79" s="295">
        <f t="shared" si="215"/>
      </c>
      <c r="W79" s="275">
        <f t="shared" si="65"/>
      </c>
      <c r="X79" s="295">
        <f t="shared" si="116"/>
      </c>
      <c r="Y79" s="275">
        <v>66.4</v>
      </c>
      <c r="Z79" s="296">
        <f t="shared" si="164"/>
      </c>
      <c r="AA79" s="275">
        <v>132231</v>
      </c>
      <c r="AB79" s="275">
        <v>1958</v>
      </c>
      <c r="AC79" s="275">
        <v>2014</v>
      </c>
      <c r="AD79" s="275">
        <v>493</v>
      </c>
      <c r="AE79" s="275">
        <v>349</v>
      </c>
      <c r="AF79" s="275">
        <v>27</v>
      </c>
      <c r="AG79" s="275">
        <v>11</v>
      </c>
      <c r="AH79" s="275">
        <v>109</v>
      </c>
      <c r="AI79" s="276"/>
      <c r="AJ79" s="276"/>
      <c r="AK79" s="276"/>
      <c r="AL79" s="276"/>
      <c r="AM79" s="276"/>
    </row>
    <row r="80">
      <c r="A80" s="264">
        <v>46250</v>
      </c>
      <c r="B80" s="255" t="s">
        <v>700</v>
      </c>
      <c r="C80" s="265" t="s">
        <v>705</v>
      </c>
      <c r="D80" s="236">
        <v>5</v>
      </c>
      <c r="E80" s="278">
        <v>17</v>
      </c>
      <c r="F80" s="278">
        <v>19</v>
      </c>
      <c r="G80" s="298">
        <v>45133.850000000006</v>
      </c>
      <c r="H80" s="280">
        <v>15238.25</v>
      </c>
      <c r="I80" s="270">
        <f t="shared" si="81"/>
      </c>
      <c r="J80" s="270">
        <f t="shared" si="132"/>
      </c>
      <c r="K80" s="271">
        <f t="shared" si="180"/>
      </c>
      <c r="L80" s="271">
        <f t="shared" si="15"/>
      </c>
      <c r="M80" s="236" t="s">
        <v>706</v>
      </c>
      <c r="N80" s="281">
        <v>10</v>
      </c>
      <c r="O80" s="265"/>
      <c r="P80" s="236"/>
      <c r="Q80" s="274"/>
      <c r="R80" s="293">
        <f t="shared" si="190"/>
      </c>
      <c r="S80" s="294">
        <f t="shared" si="40"/>
      </c>
      <c r="T80" s="295">
        <f t="shared" si="91"/>
      </c>
      <c r="U80" s="295">
        <f t="shared" si="142"/>
      </c>
      <c r="V80" s="295">
        <f t="shared" si="215"/>
      </c>
      <c r="W80" s="275">
        <f t="shared" si="65"/>
      </c>
      <c r="X80" s="295">
        <f t="shared" si="116"/>
      </c>
      <c r="Y80" s="282">
        <v>68</v>
      </c>
      <c r="Z80" s="296">
        <f t="shared" si="164"/>
      </c>
      <c r="AA80" s="275">
        <v>153872</v>
      </c>
      <c r="AB80" s="275">
        <v>2661</v>
      </c>
      <c r="AC80" s="275">
        <v>2791</v>
      </c>
      <c r="AD80" s="275">
        <v>508</v>
      </c>
      <c r="AE80" s="275">
        <v>431</v>
      </c>
      <c r="AF80" s="275">
        <v>28</v>
      </c>
      <c r="AG80" s="275">
        <v>5</v>
      </c>
      <c r="AH80" s="275">
        <v>135</v>
      </c>
      <c r="AI80" s="276"/>
      <c r="AJ80" s="276"/>
      <c r="AK80" s="276"/>
      <c r="AL80" s="276"/>
      <c r="AM80" s="276"/>
    </row>
    <row r="81">
      <c r="A81" s="299">
        <v>46250</v>
      </c>
      <c r="B81" s="284" t="s">
        <v>707</v>
      </c>
      <c r="C81" s="285"/>
      <c r="D81" s="285">
        <f>SUM(D77:D80)</f>
      </c>
      <c r="E81" s="285">
        <f>SUM(E77:E80)</f>
      </c>
      <c r="F81" s="285">
        <f>SUM(F77:F80)</f>
      </c>
      <c r="G81" s="286">
        <f>SUM(G77:G80)</f>
      </c>
      <c r="H81" s="286">
        <f>SUM(H77:H80)</f>
      </c>
      <c r="I81" s="287">
        <f t="shared" si="81"/>
      </c>
      <c r="J81" s="287">
        <f t="shared" si="132"/>
      </c>
      <c r="K81" s="287">
        <f t="shared" si="180"/>
      </c>
      <c r="L81" s="287"/>
      <c r="M81" s="285"/>
      <c r="N81" s="288">
        <f>SUM(N77:N80)</f>
      </c>
      <c r="O81" s="285"/>
      <c r="P81" s="285"/>
      <c r="Q81" s="285"/>
      <c r="R81" s="289">
        <f>AVERAGE(R77:R80)</f>
      </c>
      <c r="S81" s="290">
        <f>AVERAGE(S77:S80)</f>
      </c>
      <c r="T81" s="290">
        <f>AVERAGE(T77:T80)</f>
      </c>
      <c r="U81" s="290">
        <f>AVERAGE(U77:U80)</f>
      </c>
      <c r="V81" s="290">
        <f>AVERAGE(V77:V80)</f>
      </c>
      <c r="W81" s="291">
        <f>SUM(W77:W80)</f>
      </c>
      <c r="X81" s="290">
        <f>AVERAGE(X77:X80)</f>
      </c>
      <c r="Y81" s="291"/>
      <c r="Z81" s="292">
        <f>AVERAGE(Z77:Z80)</f>
      </c>
      <c r="AA81" s="291">
        <f>SUM(AA77:AA80)</f>
      </c>
      <c r="AB81" s="291">
        <f>SUM(AB77:AB80)</f>
      </c>
      <c r="AC81" s="291">
        <f>SUM(AC77:AC80)</f>
      </c>
      <c r="AD81" s="291">
        <f>SUM(AD77:AD80)</f>
      </c>
      <c r="AE81" s="291">
        <f>SUM(AE77:AE80)</f>
      </c>
      <c r="AF81" s="291">
        <f>SUM(AF77:AF80)</f>
      </c>
      <c r="AG81" s="291">
        <f>SUM(AG77:AG80)</f>
      </c>
      <c r="AH81" s="291">
        <f>SUM(AH77:AH80)</f>
      </c>
      <c r="AI81" s="276"/>
      <c r="AJ81" s="276"/>
      <c r="AK81" s="276"/>
      <c r="AL81" s="276"/>
      <c r="AM81" s="276"/>
    </row>
    <row r="82">
      <c r="A82" s="264">
        <v>46251</v>
      </c>
      <c r="B82" s="255" t="s">
        <v>704</v>
      </c>
      <c r="C82" s="265" t="s">
        <v>698</v>
      </c>
      <c r="D82" s="236">
        <v>5</v>
      </c>
      <c r="E82" s="267">
        <v>13</v>
      </c>
      <c r="F82" s="266">
        <v>17</v>
      </c>
      <c r="G82" s="300">
        <v>47348.76</v>
      </c>
      <c r="H82" s="268">
        <v>13150.87</v>
      </c>
      <c r="I82" s="269">
        <f t="shared" si="81"/>
      </c>
      <c r="J82" s="270">
        <f t="shared" si="132"/>
      </c>
      <c r="K82" s="271">
        <f t="shared" si="180"/>
      </c>
      <c r="L82" s="271">
        <f t="shared" ref="L82:L85" si="16">H82/D82</f>
      </c>
      <c r="M82" s="278" t="s">
        <v>714</v>
      </c>
      <c r="N82" s="273">
        <v>10</v>
      </c>
      <c r="O82" s="265"/>
      <c r="P82" s="236"/>
      <c r="Q82" s="274"/>
      <c r="R82" s="293">
        <f t="shared" ref="R82:R85" si="191">H82/AB82</f>
      </c>
      <c r="S82" s="294">
        <f t="shared" ref="S82:S85" si="41">W82/AA82*1</f>
      </c>
      <c r="T82" s="295">
        <f t="shared" ref="T82:T85" si="92">AB82/AA82</f>
      </c>
      <c r="U82" s="295">
        <f t="shared" ref="U82:U85" si="143">AC82/AA82</f>
      </c>
      <c r="V82" s="295">
        <f t="shared" ref="V82:V85" si="216">AE82/AC82</f>
      </c>
      <c r="W82" s="275">
        <f t="shared" ref="W82:W85" si="66">AD82/X82</f>
      </c>
      <c r="X82" s="295">
        <f t="shared" ref="X82:X85" si="117">AD82/AC82</f>
      </c>
      <c r="Y82" s="282">
        <v>49</v>
      </c>
      <c r="Z82" s="296">
        <f t="shared" ref="Z82:Z85" si="165">(H82/AA82)*1000</f>
      </c>
      <c r="AA82" s="275">
        <v>110389</v>
      </c>
      <c r="AB82" s="275">
        <v>2340</v>
      </c>
      <c r="AC82" s="275">
        <v>2400</v>
      </c>
      <c r="AD82" s="275">
        <v>460</v>
      </c>
      <c r="AE82" s="275">
        <v>316</v>
      </c>
      <c r="AF82" s="275">
        <v>15</v>
      </c>
      <c r="AG82" s="275">
        <v>3</v>
      </c>
      <c r="AH82" s="275">
        <v>111</v>
      </c>
      <c r="AI82" s="276"/>
      <c r="AJ82" s="276"/>
      <c r="AK82" s="276"/>
      <c r="AL82" s="276"/>
      <c r="AM82" s="276"/>
    </row>
    <row r="83">
      <c r="A83" s="264">
        <v>46251</v>
      </c>
      <c r="B83" s="236" t="s">
        <v>697</v>
      </c>
      <c r="C83" s="265" t="s">
        <v>701</v>
      </c>
      <c r="D83" s="274">
        <v>5</v>
      </c>
      <c r="E83" s="236">
        <v>16</v>
      </c>
      <c r="F83" s="236">
        <v>21</v>
      </c>
      <c r="G83" s="293">
        <v>48832.32999999999</v>
      </c>
      <c r="H83" s="277">
        <v>15264.98</v>
      </c>
      <c r="I83" s="269">
        <f t="shared" si="81"/>
      </c>
      <c r="J83" s="270">
        <f t="shared" si="132"/>
      </c>
      <c r="K83" s="270">
        <f t="shared" si="180"/>
      </c>
      <c r="L83" s="271">
        <f t="shared" si="16"/>
      </c>
      <c r="M83" s="278"/>
      <c r="N83" s="273"/>
      <c r="O83" s="265"/>
      <c r="P83" s="236"/>
      <c r="Q83" s="274"/>
      <c r="R83" s="293">
        <f t="shared" si="191"/>
      </c>
      <c r="S83" s="294">
        <f t="shared" si="41"/>
      </c>
      <c r="T83" s="295">
        <f t="shared" si="92"/>
      </c>
      <c r="U83" s="295">
        <f t="shared" si="143"/>
      </c>
      <c r="V83" s="295">
        <f t="shared" si="216"/>
      </c>
      <c r="W83" s="275">
        <f t="shared" si="66"/>
      </c>
      <c r="X83" s="295">
        <f t="shared" si="117"/>
      </c>
      <c r="Y83" s="282">
        <v>55</v>
      </c>
      <c r="Z83" s="296">
        <f t="shared" si="165"/>
      </c>
      <c r="AA83" s="275">
        <v>126844</v>
      </c>
      <c r="AB83" s="275">
        <v>2372</v>
      </c>
      <c r="AC83" s="275">
        <v>2475</v>
      </c>
      <c r="AD83" s="275">
        <v>426</v>
      </c>
      <c r="AE83" s="275">
        <v>311</v>
      </c>
      <c r="AF83" s="275">
        <v>23</v>
      </c>
      <c r="AG83" s="275">
        <v>2</v>
      </c>
      <c r="AH83" s="275">
        <v>80</v>
      </c>
      <c r="AI83" s="276"/>
      <c r="AJ83" s="276"/>
      <c r="AK83" s="276"/>
      <c r="AL83" s="276"/>
      <c r="AM83" s="276"/>
    </row>
    <row r="84">
      <c r="A84" s="264">
        <v>46251</v>
      </c>
      <c r="B84" s="236" t="s">
        <v>709</v>
      </c>
      <c r="C84" s="265" t="s">
        <v>703</v>
      </c>
      <c r="D84" s="274">
        <v>5</v>
      </c>
      <c r="E84" s="278">
        <v>17</v>
      </c>
      <c r="F84" s="278">
        <v>22</v>
      </c>
      <c r="G84" s="298">
        <v>51420.600000000035</v>
      </c>
      <c r="H84" s="297">
        <v>14549.47</v>
      </c>
      <c r="I84" s="269">
        <f t="shared" si="81"/>
      </c>
      <c r="J84" s="270">
        <f t="shared" si="132"/>
      </c>
      <c r="K84" s="270">
        <f t="shared" si="180"/>
      </c>
      <c r="L84" s="271">
        <f t="shared" si="16"/>
      </c>
      <c r="M84" s="236"/>
      <c r="N84" s="236"/>
      <c r="O84" s="265"/>
      <c r="P84" s="236"/>
      <c r="Q84" s="274"/>
      <c r="R84" s="293">
        <f t="shared" si="191"/>
      </c>
      <c r="S84" s="294">
        <f t="shared" si="41"/>
      </c>
      <c r="T84" s="295">
        <f t="shared" si="92"/>
      </c>
      <c r="U84" s="295">
        <f t="shared" si="143"/>
      </c>
      <c r="V84" s="295">
        <f t="shared" si="216"/>
      </c>
      <c r="W84" s="275">
        <f t="shared" si="66"/>
      </c>
      <c r="X84" s="295">
        <f t="shared" si="117"/>
      </c>
      <c r="Y84" s="282">
        <v>57</v>
      </c>
      <c r="Z84" s="296">
        <f t="shared" si="165"/>
      </c>
      <c r="AA84" s="275">
        <v>129284</v>
      </c>
      <c r="AB84" s="275">
        <v>2084</v>
      </c>
      <c r="AC84" s="275">
        <v>2240</v>
      </c>
      <c r="AD84" s="275">
        <v>493</v>
      </c>
      <c r="AE84" s="275">
        <v>323</v>
      </c>
      <c r="AF84" s="275">
        <v>27</v>
      </c>
      <c r="AG84" s="275">
        <v>10</v>
      </c>
      <c r="AH84" s="275">
        <v>90</v>
      </c>
      <c r="AI84" s="276"/>
      <c r="AJ84" s="276"/>
      <c r="AK84" s="276"/>
      <c r="AL84" s="276"/>
      <c r="AM84" s="276"/>
    </row>
    <row r="85">
      <c r="A85" s="264">
        <v>46251</v>
      </c>
      <c r="B85" s="255" t="s">
        <v>702</v>
      </c>
      <c r="C85" s="265" t="s">
        <v>705</v>
      </c>
      <c r="D85" s="236">
        <v>5</v>
      </c>
      <c r="E85" s="272">
        <v>17</v>
      </c>
      <c r="F85" s="278">
        <v>22</v>
      </c>
      <c r="G85" s="298">
        <v>54046.89999999998</v>
      </c>
      <c r="H85" s="280">
        <v>16867.6</v>
      </c>
      <c r="I85" s="270">
        <f t="shared" si="81"/>
      </c>
      <c r="J85" s="270">
        <f t="shared" si="132"/>
      </c>
      <c r="K85" s="271">
        <f t="shared" si="180"/>
      </c>
      <c r="L85" s="271">
        <f t="shared" si="16"/>
      </c>
      <c r="M85" s="236" t="s">
        <v>706</v>
      </c>
      <c r="N85" s="281">
        <v>10</v>
      </c>
      <c r="O85" s="265"/>
      <c r="P85" s="236"/>
      <c r="Q85" s="274"/>
      <c r="R85" s="293">
        <f t="shared" si="191"/>
      </c>
      <c r="S85" s="294">
        <f t="shared" si="41"/>
      </c>
      <c r="T85" s="295">
        <f t="shared" si="92"/>
      </c>
      <c r="U85" s="295">
        <f t="shared" si="143"/>
      </c>
      <c r="V85" s="295">
        <f t="shared" si="216"/>
      </c>
      <c r="W85" s="275">
        <f t="shared" si="66"/>
      </c>
      <c r="X85" s="295">
        <f t="shared" si="117"/>
      </c>
      <c r="Y85" s="282">
        <v>59</v>
      </c>
      <c r="Z85" s="296">
        <f t="shared" si="165"/>
      </c>
      <c r="AA85" s="275">
        <v>157001</v>
      </c>
      <c r="AB85" s="275">
        <v>3331</v>
      </c>
      <c r="AC85" s="275">
        <v>3586</v>
      </c>
      <c r="AD85" s="275">
        <v>545</v>
      </c>
      <c r="AE85" s="275">
        <v>333</v>
      </c>
      <c r="AF85" s="275">
        <v>28</v>
      </c>
      <c r="AG85" s="275">
        <v>5</v>
      </c>
      <c r="AH85" s="275">
        <v>118</v>
      </c>
    </row>
    <row r="86">
      <c r="A86" s="299">
        <v>46251</v>
      </c>
      <c r="B86" s="284" t="s">
        <v>707</v>
      </c>
      <c r="C86" s="285"/>
      <c r="D86" s="285">
        <f>SUM(D82:D85)</f>
      </c>
      <c r="E86" s="285">
        <f>SUM(E82:E85)</f>
      </c>
      <c r="F86" s="285">
        <f>SUM(F82:F85)</f>
      </c>
      <c r="G86" s="286">
        <f>SUM(G82:G85)</f>
      </c>
      <c r="H86" s="286">
        <f>SUM(H82:H85)</f>
      </c>
      <c r="I86" s="287">
        <f t="shared" si="81"/>
      </c>
      <c r="J86" s="287">
        <f t="shared" si="132"/>
      </c>
      <c r="K86" s="287">
        <f t="shared" si="180"/>
      </c>
      <c r="L86" s="287"/>
      <c r="M86" s="285"/>
      <c r="N86" s="288">
        <f>SUM(N82:N85)</f>
      </c>
      <c r="O86" s="285"/>
      <c r="P86" s="285"/>
      <c r="Q86" s="285"/>
      <c r="R86" s="289">
        <f>AVERAGE(R82:R85)</f>
      </c>
      <c r="S86" s="290">
        <f>AVERAGE(S82:S85)</f>
      </c>
      <c r="T86" s="290">
        <f>AVERAGE(T82:T85)</f>
      </c>
      <c r="U86" s="290">
        <f>AVERAGE(U82:U85)</f>
      </c>
      <c r="V86" s="290">
        <f>AVERAGE(V82:V85)</f>
      </c>
      <c r="W86" s="291">
        <f>SUM(W82:W85)</f>
      </c>
      <c r="X86" s="290">
        <f>AVERAGE(X82:X85)</f>
      </c>
      <c r="Y86" s="291"/>
      <c r="Z86" s="292">
        <f>AVERAGE(Z82:Z85)</f>
      </c>
      <c r="AA86" s="291">
        <f>SUM(AA82:AA85)</f>
      </c>
      <c r="AB86" s="291">
        <f>SUM(AB82:AB85)</f>
      </c>
      <c r="AC86" s="291">
        <f>SUM(AC82:AC85)</f>
      </c>
      <c r="AD86" s="291">
        <f>SUM(AD82:AD85)</f>
      </c>
      <c r="AE86" s="291">
        <f>SUM(AE82:AE85)</f>
      </c>
      <c r="AF86" s="291">
        <f>SUM(AF82:AF85)</f>
      </c>
      <c r="AG86" s="291">
        <f>SUM(AG82:AG85)</f>
      </c>
      <c r="AH86" s="291">
        <f>SUM(AH82:AH85)</f>
      </c>
    </row>
    <row r="87">
      <c r="A87" s="264">
        <v>46252</v>
      </c>
      <c r="B87" s="255" t="s">
        <v>704</v>
      </c>
      <c r="C87" s="265" t="s">
        <v>698</v>
      </c>
      <c r="D87" s="236">
        <v>5</v>
      </c>
      <c r="E87" s="266">
        <v>12</v>
      </c>
      <c r="F87" s="266">
        <v>15</v>
      </c>
      <c r="G87" s="300">
        <v>32257.109999999993</v>
      </c>
      <c r="H87" s="268">
        <v>14033.75</v>
      </c>
      <c r="I87" s="269">
        <f t="shared" si="81"/>
      </c>
      <c r="J87" s="270">
        <f t="shared" si="132"/>
      </c>
      <c r="K87" s="271">
        <f t="shared" si="180"/>
      </c>
      <c r="L87" s="271">
        <f t="shared" ref="L87:L90" si="17">H87/D87</f>
      </c>
      <c r="M87" s="278" t="s">
        <v>714</v>
      </c>
      <c r="N87" s="273">
        <v>10</v>
      </c>
      <c r="O87" s="265"/>
      <c r="P87" s="236"/>
      <c r="Q87" s="274"/>
      <c r="R87" s="293">
        <f t="shared" ref="R87:R90" si="192">H87/AB87</f>
      </c>
      <c r="S87" s="294">
        <f t="shared" ref="S87:S90" si="42">W87/AA87*1</f>
      </c>
      <c r="T87" s="295">
        <f t="shared" ref="T87:T90" si="93">AB87/AA87</f>
      </c>
      <c r="U87" s="295">
        <f t="shared" ref="U87:U90" si="144">AC87/AA87</f>
      </c>
      <c r="V87" s="295">
        <f t="shared" ref="V87:V90" si="217">AE87/AC87</f>
      </c>
      <c r="W87" s="275">
        <f t="shared" ref="W87:W90" si="67">AD87/X87</f>
      </c>
      <c r="X87" s="295">
        <f t="shared" ref="X87:X90" si="118">AD87/AC87</f>
      </c>
      <c r="Y87" s="282">
        <v>40.4</v>
      </c>
      <c r="Z87" s="296">
        <f t="shared" ref="Z87:Z90" si="166">(H87/AA87)*1000</f>
      </c>
      <c r="AA87" s="275">
        <v>20861</v>
      </c>
      <c r="AB87" s="275">
        <v>512.8</v>
      </c>
      <c r="AC87" s="275">
        <v>536.8</v>
      </c>
      <c r="AD87" s="275">
        <v>95.2</v>
      </c>
      <c r="AE87" s="275">
        <v>52.4</v>
      </c>
      <c r="AF87" s="275">
        <v>7.4</v>
      </c>
      <c r="AG87" s="275">
        <v>0.6</v>
      </c>
      <c r="AH87" s="275">
        <v>22.4</v>
      </c>
      <c r="AI87" s="276"/>
    </row>
    <row r="88">
      <c r="A88" s="264">
        <v>46252</v>
      </c>
      <c r="B88" s="236" t="s">
        <v>700</v>
      </c>
      <c r="C88" s="265" t="s">
        <v>701</v>
      </c>
      <c r="D88" s="274">
        <v>5</v>
      </c>
      <c r="E88" s="236">
        <v>15</v>
      </c>
      <c r="F88" s="236">
        <v>18</v>
      </c>
      <c r="G88" s="293">
        <v>44787.63</v>
      </c>
      <c r="H88" s="277">
        <v>14872.03</v>
      </c>
      <c r="I88" s="269">
        <f t="shared" si="81"/>
      </c>
      <c r="J88" s="270">
        <f t="shared" si="132"/>
      </c>
      <c r="K88" s="270">
        <f t="shared" si="180"/>
      </c>
      <c r="L88" s="271">
        <f t="shared" si="17"/>
      </c>
      <c r="M88" s="278"/>
      <c r="N88" s="273"/>
      <c r="O88" s="265"/>
      <c r="P88" s="236"/>
      <c r="Q88" s="274"/>
      <c r="R88" s="293">
        <f t="shared" si="192"/>
      </c>
      <c r="S88" s="294">
        <f t="shared" si="42"/>
      </c>
      <c r="T88" s="295">
        <f t="shared" si="93"/>
      </c>
      <c r="U88" s="295">
        <f t="shared" si="144"/>
      </c>
      <c r="V88" s="295">
        <f t="shared" si="217"/>
      </c>
      <c r="W88" s="275">
        <f t="shared" si="67"/>
      </c>
      <c r="X88" s="295">
        <f t="shared" si="118"/>
      </c>
      <c r="Y88" s="275">
        <v>52.2</v>
      </c>
      <c r="Z88" s="296">
        <f t="shared" si="166"/>
      </c>
      <c r="AA88" s="275">
        <v>120291</v>
      </c>
      <c r="AB88" s="275">
        <v>2305</v>
      </c>
      <c r="AC88" s="275">
        <v>2401</v>
      </c>
      <c r="AD88" s="275">
        <v>519</v>
      </c>
      <c r="AE88" s="275">
        <v>298</v>
      </c>
      <c r="AF88" s="275">
        <v>15</v>
      </c>
      <c r="AG88" s="275">
        <v>11</v>
      </c>
      <c r="AH88" s="275">
        <v>73</v>
      </c>
      <c r="AI88" s="276"/>
    </row>
    <row r="89">
      <c r="A89" s="264">
        <v>46252</v>
      </c>
      <c r="B89" s="236" t="s">
        <v>709</v>
      </c>
      <c r="C89" s="265" t="s">
        <v>703</v>
      </c>
      <c r="D89" s="274">
        <v>5</v>
      </c>
      <c r="E89" s="278">
        <v>16</v>
      </c>
      <c r="F89" s="278">
        <v>22</v>
      </c>
      <c r="G89" s="298">
        <v>49792.72</v>
      </c>
      <c r="H89" s="297">
        <v>14525.269999999997</v>
      </c>
      <c r="I89" s="269">
        <f t="shared" si="81"/>
      </c>
      <c r="J89" s="270">
        <f t="shared" si="132"/>
      </c>
      <c r="K89" s="270">
        <f t="shared" si="180"/>
      </c>
      <c r="L89" s="271">
        <f t="shared" si="17"/>
      </c>
      <c r="M89" s="236"/>
      <c r="N89" s="236"/>
      <c r="O89" s="265"/>
      <c r="P89" s="236"/>
      <c r="Q89" s="274"/>
      <c r="R89" s="293">
        <f t="shared" si="192"/>
      </c>
      <c r="S89" s="294">
        <f t="shared" si="42"/>
      </c>
      <c r="T89" s="295">
        <f t="shared" si="93"/>
      </c>
      <c r="U89" s="295">
        <f t="shared" si="144"/>
      </c>
      <c r="V89" s="295">
        <f t="shared" si="217"/>
      </c>
      <c r="W89" s="275">
        <f t="shared" si="67"/>
      </c>
      <c r="X89" s="295">
        <f t="shared" si="118"/>
      </c>
      <c r="Y89" s="275">
        <v>55.6</v>
      </c>
      <c r="Z89" s="296">
        <f t="shared" si="166"/>
      </c>
      <c r="AA89" s="275">
        <v>115697</v>
      </c>
      <c r="AB89" s="275">
        <v>2307</v>
      </c>
      <c r="AC89" s="275">
        <v>2457</v>
      </c>
      <c r="AD89" s="275">
        <v>497</v>
      </c>
      <c r="AE89" s="275">
        <v>379</v>
      </c>
      <c r="AF89" s="275">
        <v>27</v>
      </c>
      <c r="AG89" s="275">
        <v>8</v>
      </c>
      <c r="AH89" s="275">
        <v>100</v>
      </c>
      <c r="AI89" s="276"/>
    </row>
    <row r="90">
      <c r="A90" s="264">
        <v>46252</v>
      </c>
      <c r="B90" s="255" t="s">
        <v>702</v>
      </c>
      <c r="C90" s="265" t="s">
        <v>705</v>
      </c>
      <c r="D90" s="236">
        <v>5</v>
      </c>
      <c r="E90" s="272">
        <v>19</v>
      </c>
      <c r="F90" s="278">
        <v>24</v>
      </c>
      <c r="G90" s="298">
        <v>57268.600000000006</v>
      </c>
      <c r="H90" s="280">
        <v>16935.09</v>
      </c>
      <c r="I90" s="270">
        <f t="shared" si="81"/>
      </c>
      <c r="J90" s="270">
        <f t="shared" si="132"/>
      </c>
      <c r="K90" s="271">
        <f t="shared" si="180"/>
      </c>
      <c r="L90" s="271">
        <f t="shared" si="17"/>
      </c>
      <c r="M90" s="236" t="s">
        <v>706</v>
      </c>
      <c r="N90" s="281">
        <v>10</v>
      </c>
      <c r="O90" s="265"/>
      <c r="P90" s="236"/>
      <c r="Q90" s="274"/>
      <c r="R90" s="293">
        <f t="shared" si="192"/>
      </c>
      <c r="S90" s="294">
        <f t="shared" si="42"/>
      </c>
      <c r="T90" s="295">
        <f t="shared" si="93"/>
      </c>
      <c r="U90" s="295">
        <f t="shared" si="144"/>
      </c>
      <c r="V90" s="295">
        <f t="shared" si="217"/>
      </c>
      <c r="W90" s="275">
        <f t="shared" si="67"/>
      </c>
      <c r="X90" s="295">
        <f t="shared" si="118"/>
      </c>
      <c r="Y90" s="282">
        <v>55</v>
      </c>
      <c r="Z90" s="296">
        <f t="shared" si="166"/>
      </c>
      <c r="AA90" s="275">
        <v>179550</v>
      </c>
      <c r="AB90" s="275">
        <v>3941</v>
      </c>
      <c r="AC90" s="275">
        <v>4133</v>
      </c>
      <c r="AD90" s="275">
        <v>602</v>
      </c>
      <c r="AE90" s="275">
        <v>455</v>
      </c>
      <c r="AF90" s="275">
        <v>18</v>
      </c>
      <c r="AG90" s="275">
        <v>5</v>
      </c>
      <c r="AH90" s="275">
        <v>124</v>
      </c>
    </row>
    <row r="91">
      <c r="A91" s="299">
        <v>46252</v>
      </c>
      <c r="B91" s="284" t="s">
        <v>707</v>
      </c>
      <c r="C91" s="285"/>
      <c r="D91" s="285">
        <f>SUM(D87:D90)</f>
      </c>
      <c r="E91" s="285">
        <f>SUM(E87:E90)</f>
      </c>
      <c r="F91" s="285">
        <f>SUM(F87:F90)</f>
      </c>
      <c r="G91" s="286">
        <f>SUM(G87:G90)</f>
      </c>
      <c r="H91" s="286">
        <f>SUM(H87:H90)</f>
      </c>
      <c r="I91" s="287">
        <f t="shared" si="81"/>
      </c>
      <c r="J91" s="287">
        <f t="shared" si="132"/>
      </c>
      <c r="K91" s="287">
        <f t="shared" si="180"/>
      </c>
      <c r="L91" s="287"/>
      <c r="M91" s="285"/>
      <c r="N91" s="288">
        <f>SUM(N87:N90)</f>
      </c>
      <c r="O91" s="285"/>
      <c r="P91" s="285"/>
      <c r="Q91" s="285"/>
      <c r="R91" s="289">
        <f>AVERAGE(R87:R90)</f>
      </c>
      <c r="S91" s="290">
        <f>AVERAGE(S87:S90)</f>
      </c>
      <c r="T91" s="290">
        <f>AVERAGE(T87:T90)</f>
      </c>
      <c r="U91" s="290">
        <f>AVERAGE(U87:U90)</f>
      </c>
      <c r="V91" s="290">
        <f>AVERAGE(V87:V90)</f>
      </c>
      <c r="W91" s="291">
        <f>SUM(W87:W90)</f>
      </c>
      <c r="X91" s="290">
        <f>AVERAGE(X87:X90)</f>
      </c>
      <c r="Y91" s="291"/>
      <c r="Z91" s="292">
        <f>AVERAGE(Z87:Z90)</f>
      </c>
      <c r="AA91" s="291">
        <f>SUM(AA87:AA90)</f>
      </c>
      <c r="AB91" s="291">
        <f>SUM(AB87:AB90)</f>
      </c>
      <c r="AC91" s="291">
        <f>SUM(AC87:AC90)</f>
      </c>
      <c r="AD91" s="291">
        <f>SUM(AD87:AD90)</f>
      </c>
      <c r="AE91" s="291">
        <f>SUM(AE87:AE90)</f>
      </c>
      <c r="AF91" s="291">
        <f>SUM(AF87:AF90)</f>
      </c>
      <c r="AG91" s="291">
        <f>SUM(AG87:AG90)</f>
      </c>
      <c r="AH91" s="291">
        <f>SUM(AH87:AH90)</f>
      </c>
    </row>
    <row r="92">
      <c r="A92" s="264">
        <v>46253</v>
      </c>
      <c r="B92" s="255" t="s">
        <v>697</v>
      </c>
      <c r="C92" s="265" t="s">
        <v>698</v>
      </c>
      <c r="D92" s="236">
        <v>5</v>
      </c>
      <c r="E92" s="266">
        <v>19</v>
      </c>
      <c r="F92" s="266">
        <v>19</v>
      </c>
      <c r="G92" s="300">
        <v>45141.850000000006</v>
      </c>
      <c r="H92" s="268">
        <v>18571.04</v>
      </c>
      <c r="I92" s="269">
        <f t="shared" si="81"/>
      </c>
      <c r="J92" s="270">
        <f t="shared" si="132"/>
      </c>
      <c r="K92" s="271">
        <f t="shared" si="180"/>
      </c>
      <c r="L92" s="271">
        <f t="shared" ref="L92:L95" si="18">H92/D92</f>
      </c>
      <c r="M92" s="272" t="s">
        <v>710</v>
      </c>
      <c r="N92" s="273">
        <v>10</v>
      </c>
      <c r="O92" s="265"/>
      <c r="P92" s="236"/>
      <c r="Q92" s="274"/>
      <c r="R92" s="293">
        <f t="shared" ref="R92:R95" si="193">H92/AB92</f>
      </c>
      <c r="S92" s="294">
        <f t="shared" ref="S92:S95" si="43">W92/AA92*1</f>
      </c>
      <c r="T92" s="295">
        <f t="shared" ref="T92:T95" si="94">AB92/AA92</f>
      </c>
      <c r="U92" s="295">
        <f t="shared" ref="U92:U95" si="145">AC92/AA92</f>
      </c>
      <c r="V92" s="295">
        <f t="shared" ref="V92:V95" si="218">AE92/AC92</f>
      </c>
      <c r="W92" s="275">
        <f t="shared" ref="W92:W95" si="68">AD92/X92</f>
      </c>
      <c r="X92" s="295">
        <f t="shared" ref="X92:X95" si="119">AD92/AC92</f>
      </c>
      <c r="Y92" s="282">
        <v>51</v>
      </c>
      <c r="Z92" s="296">
        <f t="shared" ref="Z92:Z95" si="167">(H92/AA92)*1000</f>
      </c>
      <c r="AA92" s="275">
        <v>138535</v>
      </c>
      <c r="AB92" s="275">
        <v>2648</v>
      </c>
      <c r="AC92" s="275">
        <v>2768</v>
      </c>
      <c r="AD92" s="275">
        <v>616</v>
      </c>
      <c r="AE92" s="275">
        <v>396</v>
      </c>
      <c r="AF92" s="275">
        <v>25</v>
      </c>
      <c r="AG92" s="275">
        <v>5</v>
      </c>
      <c r="AH92" s="275">
        <v>142</v>
      </c>
      <c r="AI92" s="276">
        <f t="shared" ref="AI92:AI95" si="231">G92/(H92+(D92*500)+H92*3%)</f>
      </c>
    </row>
    <row r="93">
      <c r="A93" s="264">
        <v>46253</v>
      </c>
      <c r="B93" s="236" t="s">
        <v>709</v>
      </c>
      <c r="C93" s="265" t="s">
        <v>701</v>
      </c>
      <c r="D93" s="274">
        <v>5</v>
      </c>
      <c r="E93" s="236">
        <v>21</v>
      </c>
      <c r="F93" s="236">
        <v>24</v>
      </c>
      <c r="G93" s="293">
        <v>63491.340000000004</v>
      </c>
      <c r="H93" s="277">
        <v>18922.46</v>
      </c>
      <c r="I93" s="269">
        <f t="shared" si="81"/>
      </c>
      <c r="J93" s="270">
        <f t="shared" si="132"/>
      </c>
      <c r="K93" s="270">
        <f t="shared" si="180"/>
      </c>
      <c r="L93" s="271">
        <f t="shared" si="18"/>
      </c>
      <c r="M93" s="278"/>
      <c r="N93" s="273"/>
      <c r="O93" s="265"/>
      <c r="P93" s="236"/>
      <c r="Q93" s="274"/>
      <c r="R93" s="293">
        <f t="shared" si="193"/>
      </c>
      <c r="S93" s="294">
        <f t="shared" si="43"/>
      </c>
      <c r="T93" s="295">
        <f t="shared" si="94"/>
      </c>
      <c r="U93" s="295">
        <f t="shared" si="145"/>
      </c>
      <c r="V93" s="295">
        <f t="shared" si="218"/>
      </c>
      <c r="W93" s="275">
        <f t="shared" si="68"/>
      </c>
      <c r="X93" s="295">
        <f t="shared" si="119"/>
      </c>
      <c r="Y93" s="275">
        <v>61.2</v>
      </c>
      <c r="Z93" s="296">
        <f t="shared" si="167"/>
      </c>
      <c r="AA93" s="275">
        <v>134566</v>
      </c>
      <c r="AB93" s="275">
        <v>2217</v>
      </c>
      <c r="AC93" s="275">
        <v>2281</v>
      </c>
      <c r="AD93" s="275">
        <v>542</v>
      </c>
      <c r="AE93" s="275">
        <v>325</v>
      </c>
      <c r="AF93" s="275">
        <v>30</v>
      </c>
      <c r="AG93" s="275">
        <v>3</v>
      </c>
      <c r="AH93" s="275">
        <v>106</v>
      </c>
      <c r="AI93" s="276">
        <f t="shared" si="231"/>
      </c>
    </row>
    <row r="94">
      <c r="A94" s="264">
        <v>46253</v>
      </c>
      <c r="B94" s="236" t="s">
        <v>700</v>
      </c>
      <c r="C94" s="265" t="s">
        <v>703</v>
      </c>
      <c r="D94" s="274">
        <v>5</v>
      </c>
      <c r="E94" s="278">
        <v>12</v>
      </c>
      <c r="F94" s="278">
        <v>18</v>
      </c>
      <c r="G94" s="298">
        <v>45802.78000000003</v>
      </c>
      <c r="H94" s="297">
        <v>17498.98</v>
      </c>
      <c r="I94" s="269">
        <f t="shared" si="81"/>
      </c>
      <c r="J94" s="270">
        <f t="shared" si="132"/>
      </c>
      <c r="K94" s="270">
        <f t="shared" si="180"/>
      </c>
      <c r="L94" s="271">
        <f t="shared" si="18"/>
      </c>
      <c r="M94" s="236"/>
      <c r="N94" s="236"/>
      <c r="O94" s="265"/>
      <c r="P94" s="236"/>
      <c r="Q94" s="274"/>
      <c r="R94" s="293">
        <f t="shared" si="193"/>
      </c>
      <c r="S94" s="294">
        <f t="shared" si="43"/>
      </c>
      <c r="T94" s="295">
        <f t="shared" si="94"/>
      </c>
      <c r="U94" s="295">
        <f t="shared" si="145"/>
      </c>
      <c r="V94" s="295">
        <f t="shared" si="218"/>
      </c>
      <c r="W94" s="275">
        <f t="shared" si="68"/>
      </c>
      <c r="X94" s="295">
        <f t="shared" si="119"/>
      </c>
      <c r="Y94" s="275">
        <v>63</v>
      </c>
      <c r="Z94" s="296">
        <f t="shared" si="167"/>
      </c>
      <c r="AA94" s="275">
        <v>130367</v>
      </c>
      <c r="AB94" s="275">
        <v>1992</v>
      </c>
      <c r="AC94" s="275">
        <v>2006</v>
      </c>
      <c r="AD94" s="275">
        <v>434</v>
      </c>
      <c r="AE94" s="282">
        <v>298</v>
      </c>
      <c r="AF94" s="275">
        <v>22</v>
      </c>
      <c r="AG94" s="275">
        <v>7</v>
      </c>
      <c r="AH94" s="275">
        <v>99</v>
      </c>
      <c r="AI94" s="276">
        <f t="shared" si="231"/>
      </c>
    </row>
    <row r="95">
      <c r="A95" s="264">
        <v>46253</v>
      </c>
      <c r="B95" s="255" t="s">
        <v>702</v>
      </c>
      <c r="C95" s="265" t="s">
        <v>705</v>
      </c>
      <c r="D95" s="236">
        <v>5</v>
      </c>
      <c r="E95" s="272">
        <v>17</v>
      </c>
      <c r="F95" s="278">
        <v>20</v>
      </c>
      <c r="G95" s="298">
        <v>51453.30000000002</v>
      </c>
      <c r="H95" s="280">
        <v>14411.04</v>
      </c>
      <c r="I95" s="270">
        <f t="shared" si="81"/>
      </c>
      <c r="J95" s="270">
        <f t="shared" si="132"/>
      </c>
      <c r="K95" s="271">
        <f t="shared" si="180"/>
      </c>
      <c r="L95" s="271">
        <f t="shared" si="18"/>
      </c>
      <c r="M95" s="236" t="s">
        <v>706</v>
      </c>
      <c r="N95" s="281">
        <v>10</v>
      </c>
      <c r="O95" s="265"/>
      <c r="P95" s="236"/>
      <c r="Q95" s="274"/>
      <c r="R95" s="293">
        <f t="shared" si="193"/>
      </c>
      <c r="S95" s="294">
        <f t="shared" si="43"/>
      </c>
      <c r="T95" s="295">
        <f t="shared" si="94"/>
      </c>
      <c r="U95" s="295">
        <f t="shared" si="145"/>
      </c>
      <c r="V95" s="295">
        <f t="shared" si="218"/>
      </c>
      <c r="W95" s="275">
        <f t="shared" si="68"/>
      </c>
      <c r="X95" s="295">
        <f t="shared" si="119"/>
      </c>
      <c r="Y95" s="275">
        <v>71.2</v>
      </c>
      <c r="Z95" s="296">
        <f t="shared" si="167"/>
      </c>
      <c r="AA95" s="275">
        <v>131425</v>
      </c>
      <c r="AB95" s="275">
        <v>2280</v>
      </c>
      <c r="AC95" s="275">
        <v>2389</v>
      </c>
      <c r="AD95" s="275">
        <v>431</v>
      </c>
      <c r="AE95" s="275">
        <v>261</v>
      </c>
      <c r="AF95" s="275">
        <v>16</v>
      </c>
      <c r="AG95" s="275">
        <v>8</v>
      </c>
      <c r="AH95" s="275">
        <v>89</v>
      </c>
      <c r="AI95" s="276">
        <f t="shared" si="231"/>
      </c>
    </row>
    <row r="96">
      <c r="A96" s="283">
        <v>46253</v>
      </c>
      <c r="B96" s="284" t="s">
        <v>707</v>
      </c>
      <c r="C96" s="285"/>
      <c r="D96" s="285">
        <f>SUM(D92:D95)</f>
      </c>
      <c r="E96" s="285">
        <f>SUM(E92:E95)</f>
      </c>
      <c r="F96" s="285">
        <f>SUM(F92:F95)</f>
      </c>
      <c r="G96" s="286">
        <f>SUM(G92:G95)</f>
      </c>
      <c r="H96" s="286">
        <f>SUM(H92:H95)</f>
      </c>
      <c r="I96" s="287">
        <f t="shared" si="81"/>
      </c>
      <c r="J96" s="287">
        <f t="shared" si="132"/>
      </c>
      <c r="K96" s="287">
        <f t="shared" si="180"/>
      </c>
      <c r="L96" s="287"/>
      <c r="M96" s="285"/>
      <c r="N96" s="288">
        <f>SUM(N92:N95)</f>
      </c>
      <c r="O96" s="285"/>
      <c r="P96" s="285"/>
      <c r="Q96" s="285"/>
      <c r="R96" s="289">
        <f>AVERAGE(R92:R95)</f>
      </c>
      <c r="S96" s="290">
        <f>AVERAGE(S92:S95)</f>
      </c>
      <c r="T96" s="290">
        <f>AVERAGE(T92:T95)</f>
      </c>
      <c r="U96" s="290">
        <f>AVERAGE(U92:U95)</f>
      </c>
      <c r="V96" s="290">
        <f>AVERAGE(V92:V95)</f>
      </c>
      <c r="W96" s="291">
        <f>SUM(W92:W95)</f>
      </c>
      <c r="X96" s="290">
        <f>AVERAGE(X92:X95)</f>
      </c>
      <c r="Y96" s="291"/>
      <c r="Z96" s="292">
        <f>AVERAGE(Z92:Z95)</f>
      </c>
      <c r="AA96" s="291">
        <f>SUM(AA92:AA95)</f>
      </c>
      <c r="AB96" s="291">
        <f>SUM(AB92:AB95)</f>
      </c>
      <c r="AC96" s="291">
        <f>SUM(AC92:AC95)</f>
      </c>
      <c r="AD96" s="291">
        <f>SUM(AD92:AD95)</f>
      </c>
      <c r="AE96" s="291">
        <f>SUM(AE92:AE95)</f>
      </c>
      <c r="AF96" s="291">
        <f>SUM(AF92:AF95)</f>
      </c>
      <c r="AG96" s="291">
        <f>SUM(AG92:AG95)</f>
      </c>
      <c r="AH96" s="291">
        <f>SUM(AH92:AH95)</f>
      </c>
    </row>
    <row r="97">
      <c r="A97" s="264">
        <v>46254</v>
      </c>
      <c r="B97" s="255" t="s">
        <v>697</v>
      </c>
      <c r="C97" s="265" t="s">
        <v>698</v>
      </c>
      <c r="D97" s="236">
        <v>5</v>
      </c>
      <c r="E97" s="266">
        <v>18</v>
      </c>
      <c r="F97" s="266">
        <v>24</v>
      </c>
      <c r="G97" s="300">
        <v>61935.03000000001</v>
      </c>
      <c r="H97" s="268">
        <v>18753.399999999998</v>
      </c>
      <c r="I97" s="269">
        <f t="shared" si="81"/>
      </c>
      <c r="J97" s="270">
        <f t="shared" si="132"/>
      </c>
      <c r="K97" s="271">
        <f t="shared" si="180"/>
      </c>
      <c r="L97" s="271">
        <f t="shared" ref="L97:L100" si="19">H97/D97</f>
      </c>
      <c r="M97" s="272" t="s">
        <v>714</v>
      </c>
      <c r="N97" s="273">
        <v>10</v>
      </c>
      <c r="O97" s="265"/>
      <c r="P97" s="236"/>
      <c r="Q97" s="274"/>
      <c r="R97" s="293">
        <f t="shared" ref="R97:R100" si="194">H97/AB97</f>
      </c>
      <c r="S97" s="294">
        <f t="shared" ref="S97:S100" si="44">W97/AA97*1</f>
      </c>
      <c r="T97" s="295">
        <f t="shared" ref="T97:T100" si="95">AB97/AA97</f>
      </c>
      <c r="U97" s="295">
        <f t="shared" ref="U97:U100" si="146">AC97/AA97</f>
      </c>
      <c r="V97" s="295">
        <f t="shared" ref="V97:V100" si="219">AE97/AC97</f>
      </c>
      <c r="W97" s="275">
        <f t="shared" ref="W97:W100" si="69">AD97/X97</f>
      </c>
      <c r="X97" s="295">
        <f t="shared" ref="X97:X100" si="120">AD97/AC97</f>
      </c>
      <c r="Y97" s="275">
        <v>54.4</v>
      </c>
      <c r="Z97" s="296">
        <f t="shared" ref="Z97:Z100" si="168">(H97/AA97)*1000</f>
      </c>
      <c r="AA97" s="275">
        <v>134956</v>
      </c>
      <c r="AB97" s="275">
        <v>2953</v>
      </c>
      <c r="AC97" s="275">
        <v>3059</v>
      </c>
      <c r="AD97" s="275">
        <v>626</v>
      </c>
      <c r="AE97" s="275">
        <v>314</v>
      </c>
      <c r="AF97" s="275">
        <v>33</v>
      </c>
      <c r="AG97" s="275">
        <v>8</v>
      </c>
      <c r="AH97" s="275">
        <v>129</v>
      </c>
    </row>
    <row r="98">
      <c r="A98" s="264">
        <v>46254</v>
      </c>
      <c r="B98" s="219" t="s">
        <v>709</v>
      </c>
      <c r="C98" s="265" t="s">
        <v>701</v>
      </c>
      <c r="D98" s="274">
        <v>5</v>
      </c>
      <c r="E98" s="219">
        <v>10</v>
      </c>
      <c r="F98" s="236">
        <v>16</v>
      </c>
      <c r="G98" s="293">
        <v>39202.19</v>
      </c>
      <c r="H98" s="277">
        <v>15414.98</v>
      </c>
      <c r="I98" s="269">
        <f t="shared" si="81"/>
      </c>
      <c r="J98" s="270">
        <f t="shared" si="132"/>
      </c>
      <c r="K98" s="270">
        <f t="shared" si="180"/>
      </c>
      <c r="L98" s="271">
        <f t="shared" si="19"/>
      </c>
      <c r="M98" s="278"/>
      <c r="N98" s="273"/>
      <c r="O98" s="265"/>
      <c r="P98" s="236"/>
      <c r="Q98" s="274"/>
      <c r="R98" s="293">
        <f t="shared" si="194"/>
      </c>
      <c r="S98" s="294">
        <f t="shared" si="44"/>
      </c>
      <c r="T98" s="295">
        <f t="shared" si="95"/>
      </c>
      <c r="U98" s="295">
        <f t="shared" si="146"/>
      </c>
      <c r="V98" s="295">
        <f t="shared" si="219"/>
      </c>
      <c r="W98" s="275">
        <f t="shared" si="69"/>
      </c>
      <c r="X98" s="295">
        <f t="shared" si="120"/>
      </c>
      <c r="Y98" s="275">
        <v>57.2</v>
      </c>
      <c r="Z98" s="296">
        <f t="shared" si="168"/>
      </c>
      <c r="AA98" s="275">
        <v>113548</v>
      </c>
      <c r="AB98" s="275">
        <v>1809</v>
      </c>
      <c r="AC98" s="275">
        <v>1757</v>
      </c>
      <c r="AD98" s="275">
        <v>454</v>
      </c>
      <c r="AE98" s="275">
        <v>271</v>
      </c>
      <c r="AF98" s="275">
        <v>20</v>
      </c>
      <c r="AG98" s="275">
        <v>2</v>
      </c>
      <c r="AH98" s="275">
        <v>106</v>
      </c>
    </row>
    <row r="99">
      <c r="A99" s="264">
        <v>46254</v>
      </c>
      <c r="B99" s="219" t="s">
        <v>704</v>
      </c>
      <c r="C99" s="265" t="s">
        <v>703</v>
      </c>
      <c r="D99" s="274">
        <v>5</v>
      </c>
      <c r="E99" s="278">
        <v>5</v>
      </c>
      <c r="F99" s="278">
        <v>9</v>
      </c>
      <c r="G99" s="298">
        <v>25270.030000000006</v>
      </c>
      <c r="H99" s="297">
        <v>10615.630000000001</v>
      </c>
      <c r="I99" s="269">
        <f t="shared" si="81"/>
      </c>
      <c r="J99" s="270">
        <f t="shared" si="132"/>
      </c>
      <c r="K99" s="270">
        <f t="shared" si="180"/>
      </c>
      <c r="L99" s="271">
        <f t="shared" si="19"/>
      </c>
      <c r="M99" s="236"/>
      <c r="N99" s="236"/>
      <c r="O99" s="265"/>
      <c r="P99" s="236"/>
      <c r="Q99" s="274"/>
      <c r="R99" s="293">
        <f t="shared" si="194"/>
      </c>
      <c r="S99" s="294">
        <f t="shared" si="44"/>
      </c>
      <c r="T99" s="295">
        <f t="shared" si="95"/>
      </c>
      <c r="U99" s="295">
        <f t="shared" si="146"/>
      </c>
      <c r="V99" s="295">
        <f t="shared" si="219"/>
      </c>
      <c r="W99" s="275">
        <f t="shared" si="69"/>
      </c>
      <c r="X99" s="295">
        <f t="shared" si="120"/>
      </c>
      <c r="Y99" s="275">
        <v>51.2</v>
      </c>
      <c r="Z99" s="296">
        <f t="shared" si="168"/>
      </c>
      <c r="AA99" s="275">
        <v>75449</v>
      </c>
      <c r="AB99" s="275">
        <v>1331</v>
      </c>
      <c r="AC99" s="275">
        <v>1362</v>
      </c>
      <c r="AD99" s="275">
        <v>258</v>
      </c>
      <c r="AE99" s="275">
        <v>207</v>
      </c>
      <c r="AF99" s="275">
        <v>15</v>
      </c>
      <c r="AG99" s="275">
        <v>3</v>
      </c>
      <c r="AH99" s="275">
        <v>49</v>
      </c>
    </row>
    <row r="100">
      <c r="A100" s="264">
        <v>46254</v>
      </c>
      <c r="B100" s="242" t="s">
        <v>700</v>
      </c>
      <c r="C100" s="265" t="s">
        <v>705</v>
      </c>
      <c r="D100" s="236">
        <v>5</v>
      </c>
      <c r="E100" s="278">
        <v>12</v>
      </c>
      <c r="F100" s="278">
        <v>14</v>
      </c>
      <c r="G100" s="298">
        <v>38390.479999999996</v>
      </c>
      <c r="H100" s="280">
        <v>9792.49</v>
      </c>
      <c r="I100" s="270">
        <f t="shared" si="81"/>
      </c>
      <c r="J100" s="270">
        <f t="shared" si="132"/>
      </c>
      <c r="K100" s="271">
        <f t="shared" si="180"/>
      </c>
      <c r="L100" s="271">
        <f t="shared" si="19"/>
      </c>
      <c r="M100" s="236" t="s">
        <v>706</v>
      </c>
      <c r="N100" s="281">
        <v>10</v>
      </c>
      <c r="O100" s="265"/>
      <c r="P100" s="236"/>
      <c r="Q100" s="274"/>
      <c r="R100" s="293">
        <f t="shared" si="194"/>
      </c>
      <c r="S100" s="294">
        <f t="shared" si="44"/>
      </c>
      <c r="T100" s="295">
        <f t="shared" si="95"/>
      </c>
      <c r="U100" s="295">
        <f t="shared" si="146"/>
      </c>
      <c r="V100" s="295">
        <f t="shared" si="219"/>
      </c>
      <c r="W100" s="275">
        <f t="shared" si="69"/>
      </c>
      <c r="X100" s="295">
        <f t="shared" si="120"/>
      </c>
      <c r="Y100" s="275">
        <v>70.2</v>
      </c>
      <c r="Z100" s="296">
        <f t="shared" si="168"/>
      </c>
      <c r="AA100" s="275">
        <v>93759</v>
      </c>
      <c r="AB100" s="275">
        <v>1722</v>
      </c>
      <c r="AC100" s="275">
        <v>1841</v>
      </c>
      <c r="AD100" s="275">
        <v>310</v>
      </c>
      <c r="AE100" s="275">
        <v>314</v>
      </c>
      <c r="AF100" s="275">
        <v>17</v>
      </c>
      <c r="AG100" s="275">
        <v>4</v>
      </c>
      <c r="AH100" s="275">
        <v>55</v>
      </c>
    </row>
    <row r="101">
      <c r="A101" s="299">
        <v>46254</v>
      </c>
      <c r="B101" s="284" t="s">
        <v>707</v>
      </c>
      <c r="C101" s="285"/>
      <c r="D101" s="285">
        <f>SUM(D97:D100)</f>
      </c>
      <c r="E101" s="285">
        <f>SUM(E97:E100)</f>
      </c>
      <c r="F101" s="285">
        <f>SUM(F97:F100)</f>
      </c>
      <c r="G101" s="286">
        <f>SUM(G97:G100)</f>
      </c>
      <c r="H101" s="286">
        <f>SUM(H97:H100)</f>
      </c>
      <c r="I101" s="287">
        <f t="shared" si="81"/>
      </c>
      <c r="J101" s="287">
        <f t="shared" si="132"/>
      </c>
      <c r="K101" s="287">
        <f t="shared" si="180"/>
      </c>
      <c r="L101" s="287"/>
      <c r="M101" s="285"/>
      <c r="N101" s="288">
        <f>SUM(N97:N100)</f>
      </c>
      <c r="O101" s="285"/>
      <c r="P101" s="285"/>
      <c r="Q101" s="285"/>
      <c r="R101" s="289">
        <f>AVERAGE(R97:R100)</f>
      </c>
      <c r="S101" s="290">
        <f>AVERAGE(S97:S100)</f>
      </c>
      <c r="T101" s="290">
        <f>AVERAGE(T97:T100)</f>
      </c>
      <c r="U101" s="290">
        <f>AVERAGE(U97:U100)</f>
      </c>
      <c r="V101" s="290">
        <f>AVERAGE(V97:V100)</f>
      </c>
      <c r="W101" s="291">
        <f>SUM(W97:W100)</f>
      </c>
      <c r="X101" s="290">
        <f>AVERAGE(X97:X100)</f>
      </c>
      <c r="Y101" s="291"/>
      <c r="Z101" s="292">
        <f>AVERAGE(Z97:Z100)</f>
      </c>
      <c r="AA101" s="291">
        <f>SUM(AA97:AA100)</f>
      </c>
      <c r="AB101" s="291">
        <f>SUM(AB97:AB100)</f>
      </c>
      <c r="AC101" s="291">
        <f>SUM(AC97:AC100)</f>
      </c>
      <c r="AD101" s="291">
        <f>SUM(AD97:AD100)</f>
      </c>
      <c r="AE101" s="291">
        <f>SUM(AE97:AE100)</f>
      </c>
      <c r="AF101" s="291">
        <f>SUM(AF97:AF100)</f>
      </c>
      <c r="AG101" s="291">
        <f>SUM(AG97:AG100)</f>
      </c>
      <c r="AH101" s="291">
        <f>SUM(AH97:AH100)</f>
      </c>
    </row>
    <row r="102">
      <c r="A102" s="264">
        <v>46255</v>
      </c>
      <c r="B102" s="242" t="s">
        <v>704</v>
      </c>
      <c r="C102" s="265" t="s">
        <v>698</v>
      </c>
      <c r="D102" s="236">
        <v>5</v>
      </c>
      <c r="E102" s="266">
        <v>8</v>
      </c>
      <c r="F102" s="266">
        <v>11</v>
      </c>
      <c r="G102" s="300">
        <v>23975.469999999998</v>
      </c>
      <c r="H102" s="301">
        <v>13809.13</v>
      </c>
      <c r="I102" s="269">
        <f t="shared" si="81"/>
      </c>
      <c r="J102" s="270">
        <f t="shared" si="132"/>
      </c>
      <c r="K102" s="271">
        <f t="shared" si="180"/>
      </c>
      <c r="L102" s="271">
        <f t="shared" ref="L102:L105" si="20">H102/D102</f>
      </c>
      <c r="M102" s="272" t="s">
        <v>713</v>
      </c>
      <c r="N102" s="273">
        <v>10</v>
      </c>
      <c r="O102" s="265"/>
      <c r="P102" s="236"/>
      <c r="Q102" s="274"/>
      <c r="R102" s="293">
        <f t="shared" ref="R102:R105" si="195">H102/AB102</f>
      </c>
      <c r="S102" s="294">
        <f t="shared" ref="S102:S105" si="45">W102/AA102*1</f>
      </c>
      <c r="T102" s="295">
        <f t="shared" ref="T102:T105" si="96">AB102/AA102</f>
      </c>
      <c r="U102" s="295">
        <f t="shared" ref="U102:U105" si="147">AC102/AA102</f>
      </c>
      <c r="V102" s="295">
        <f t="shared" ref="V102:V105" si="220">AE102/AC102</f>
      </c>
      <c r="W102" s="275">
        <f t="shared" ref="W102:W105" si="70">AD102/X102</f>
      </c>
      <c r="X102" s="295">
        <f t="shared" ref="X102:X105" si="121">AD102/AC102</f>
      </c>
      <c r="Y102" s="275">
        <v>54.4</v>
      </c>
      <c r="Z102" s="296">
        <f t="shared" ref="Z102:Z105" si="169">(H102/AA102)*1000</f>
      </c>
      <c r="AA102" s="275">
        <v>120055</v>
      </c>
      <c r="AB102" s="275">
        <v>2598</v>
      </c>
      <c r="AC102" s="275">
        <v>2722</v>
      </c>
      <c r="AD102" s="275">
        <v>499</v>
      </c>
      <c r="AE102" s="282">
        <v>261</v>
      </c>
      <c r="AF102" s="275">
        <v>23</v>
      </c>
      <c r="AG102" s="275">
        <v>7</v>
      </c>
      <c r="AH102" s="275">
        <v>102</v>
      </c>
    </row>
    <row r="103">
      <c r="A103" s="264">
        <v>46255</v>
      </c>
      <c r="B103" s="219" t="s">
        <v>700</v>
      </c>
      <c r="C103" s="265" t="s">
        <v>701</v>
      </c>
      <c r="D103" s="274">
        <v>5</v>
      </c>
      <c r="E103" s="219">
        <v>17</v>
      </c>
      <c r="F103" s="219">
        <v>20</v>
      </c>
      <c r="G103" s="293">
        <v>49290.009999999995</v>
      </c>
      <c r="H103" s="277">
        <v>14268.509999999998</v>
      </c>
      <c r="I103" s="269">
        <f t="shared" si="81"/>
      </c>
      <c r="J103" s="270">
        <f t="shared" si="132"/>
      </c>
      <c r="K103" s="270">
        <f t="shared" si="180"/>
      </c>
      <c r="L103" s="271">
        <f t="shared" si="20"/>
      </c>
      <c r="M103" s="278"/>
      <c r="N103" s="273"/>
      <c r="O103" s="265"/>
      <c r="P103" s="236"/>
      <c r="Q103" s="274"/>
      <c r="R103" s="293">
        <f t="shared" si="195"/>
      </c>
      <c r="S103" s="294">
        <f t="shared" si="45"/>
      </c>
      <c r="T103" s="295">
        <f t="shared" si="96"/>
      </c>
      <c r="U103" s="295">
        <f t="shared" si="147"/>
      </c>
      <c r="V103" s="295">
        <f t="shared" si="220"/>
      </c>
      <c r="W103" s="275">
        <f t="shared" si="70"/>
      </c>
      <c r="X103" s="295">
        <f t="shared" si="121"/>
      </c>
      <c r="Y103" s="275">
        <v>69.4</v>
      </c>
      <c r="Z103" s="296">
        <f t="shared" si="169"/>
      </c>
      <c r="AA103" s="275">
        <v>85034</v>
      </c>
      <c r="AB103" s="275">
        <v>1535</v>
      </c>
      <c r="AC103" s="275">
        <v>1573</v>
      </c>
      <c r="AD103" s="275">
        <v>377</v>
      </c>
      <c r="AE103" s="275">
        <v>335</v>
      </c>
      <c r="AF103" s="275">
        <v>21</v>
      </c>
      <c r="AG103" s="275">
        <v>6</v>
      </c>
      <c r="AH103" s="275">
        <v>47</v>
      </c>
    </row>
    <row r="104">
      <c r="A104" s="264">
        <v>46255</v>
      </c>
      <c r="B104" s="219" t="s">
        <v>697</v>
      </c>
      <c r="C104" s="265" t="s">
        <v>703</v>
      </c>
      <c r="D104" s="274">
        <v>5</v>
      </c>
      <c r="E104" s="272">
        <v>11</v>
      </c>
      <c r="F104" s="272">
        <v>13</v>
      </c>
      <c r="G104" s="298">
        <v>30500.34000000001</v>
      </c>
      <c r="H104" s="297">
        <v>11439.100000000002</v>
      </c>
      <c r="I104" s="269">
        <f t="shared" si="81"/>
      </c>
      <c r="J104" s="270">
        <f t="shared" si="132"/>
      </c>
      <c r="K104" s="270">
        <f t="shared" si="180"/>
      </c>
      <c r="L104" s="271">
        <f t="shared" si="20"/>
      </c>
      <c r="M104" s="236"/>
      <c r="N104" s="236"/>
      <c r="O104" s="265"/>
      <c r="P104" s="236"/>
      <c r="Q104" s="274"/>
      <c r="R104" s="293">
        <f t="shared" si="195"/>
      </c>
      <c r="S104" s="294">
        <f t="shared" si="45"/>
      </c>
      <c r="T104" s="295">
        <f t="shared" si="96"/>
      </c>
      <c r="U104" s="295">
        <f t="shared" si="147"/>
      </c>
      <c r="V104" s="295">
        <f t="shared" si="220"/>
      </c>
      <c r="W104" s="275">
        <f t="shared" si="70"/>
      </c>
      <c r="X104" s="295">
        <f t="shared" si="121"/>
      </c>
      <c r="Y104" s="275">
        <v>48</v>
      </c>
      <c r="Z104" s="296">
        <f t="shared" si="169"/>
      </c>
      <c r="AA104" s="275">
        <v>74134</v>
      </c>
      <c r="AB104" s="275">
        <v>1372</v>
      </c>
      <c r="AC104" s="275">
        <v>1450</v>
      </c>
      <c r="AD104" s="275">
        <v>254</v>
      </c>
      <c r="AE104" s="275">
        <v>167</v>
      </c>
      <c r="AF104" s="275">
        <v>8</v>
      </c>
      <c r="AG104" s="275">
        <v>4</v>
      </c>
      <c r="AH104" s="275">
        <v>45</v>
      </c>
    </row>
    <row r="105">
      <c r="A105" s="264">
        <v>46255</v>
      </c>
      <c r="B105" s="242" t="s">
        <v>702</v>
      </c>
      <c r="C105" s="265" t="s">
        <v>705</v>
      </c>
      <c r="D105" s="236">
        <v>5</v>
      </c>
      <c r="E105" s="272">
        <v>17</v>
      </c>
      <c r="F105" s="272">
        <v>20</v>
      </c>
      <c r="G105" s="298">
        <v>52323.020000000004</v>
      </c>
      <c r="H105" s="280">
        <v>13237.530000000002</v>
      </c>
      <c r="I105" s="270">
        <f t="shared" si="81"/>
      </c>
      <c r="J105" s="270">
        <f t="shared" si="132"/>
      </c>
      <c r="K105" s="271">
        <f t="shared" si="180"/>
      </c>
      <c r="L105" s="271">
        <f t="shared" si="20"/>
      </c>
      <c r="M105" s="219" t="s">
        <v>716</v>
      </c>
      <c r="N105" s="281">
        <v>10</v>
      </c>
      <c r="O105" s="265"/>
      <c r="P105" s="236"/>
      <c r="Q105" s="274"/>
      <c r="R105" s="293">
        <f t="shared" si="195"/>
      </c>
      <c r="S105" s="294">
        <f t="shared" si="45"/>
      </c>
      <c r="T105" s="295">
        <f t="shared" si="96"/>
      </c>
      <c r="U105" s="295">
        <f t="shared" si="147"/>
      </c>
      <c r="V105" s="295">
        <f t="shared" si="220"/>
      </c>
      <c r="W105" s="275">
        <f t="shared" si="70"/>
      </c>
      <c r="X105" s="295">
        <f t="shared" si="121"/>
      </c>
      <c r="Y105" s="282">
        <v>49</v>
      </c>
      <c r="Z105" s="296">
        <f t="shared" si="169"/>
      </c>
      <c r="AA105" s="275">
        <v>130971</v>
      </c>
      <c r="AB105" s="275">
        <v>2248</v>
      </c>
      <c r="AC105" s="275">
        <v>2592</v>
      </c>
      <c r="AD105" s="275">
        <v>374</v>
      </c>
      <c r="AE105" s="275">
        <v>384</v>
      </c>
      <c r="AF105" s="275">
        <v>21</v>
      </c>
      <c r="AG105" s="275">
        <v>1</v>
      </c>
      <c r="AH105" s="275">
        <v>75</v>
      </c>
    </row>
    <row r="106">
      <c r="A106" s="283">
        <v>46255</v>
      </c>
      <c r="B106" s="284" t="s">
        <v>707</v>
      </c>
      <c r="C106" s="285"/>
      <c r="D106" s="285">
        <f>SUM(D102:D105)</f>
      </c>
      <c r="E106" s="285">
        <f>SUM(E102:E105)</f>
      </c>
      <c r="F106" s="285">
        <f>SUM(F102:F105)</f>
      </c>
      <c r="G106" s="286">
        <f>SUM(G102:G105)</f>
      </c>
      <c r="H106" s="286">
        <f>SUM(H102:H105)</f>
      </c>
      <c r="I106" s="287">
        <f t="shared" si="81"/>
      </c>
      <c r="J106" s="287">
        <f t="shared" si="132"/>
      </c>
      <c r="K106" s="287">
        <f t="shared" si="180"/>
      </c>
      <c r="L106" s="287"/>
      <c r="M106" s="285"/>
      <c r="N106" s="288">
        <f>SUM(N102:N105)</f>
      </c>
      <c r="O106" s="285"/>
      <c r="P106" s="285"/>
      <c r="Q106" s="285"/>
      <c r="R106" s="289">
        <f>AVERAGE(R102:R105)</f>
      </c>
      <c r="S106" s="290">
        <f>AVERAGE(S102:S105)</f>
      </c>
      <c r="T106" s="290">
        <f>AVERAGE(T102:T105)</f>
      </c>
      <c r="U106" s="290">
        <f>AVERAGE(U102:U105)</f>
      </c>
      <c r="V106" s="290">
        <f>AVERAGE(V102:V105)</f>
      </c>
      <c r="W106" s="291">
        <f>SUM(W102:W105)</f>
      </c>
      <c r="X106" s="290">
        <f>AVERAGE(X102:X105)</f>
      </c>
      <c r="Y106" s="291"/>
      <c r="Z106" s="292">
        <f>AVERAGE(Z102:Z105)</f>
      </c>
      <c r="AA106" s="291">
        <f>SUM(AA102:AA105)</f>
      </c>
      <c r="AB106" s="291">
        <f>SUM(AB102:AB105)</f>
      </c>
      <c r="AC106" s="291">
        <f>SUM(AC102:AC105)</f>
      </c>
      <c r="AD106" s="291">
        <f>SUM(AD102:AD105)</f>
      </c>
      <c r="AE106" s="291">
        <f>SUM(AE102:AE105)</f>
      </c>
      <c r="AF106" s="291">
        <f>SUM(AF102:AF105)</f>
      </c>
      <c r="AG106" s="291">
        <f>SUM(AG102:AG105)</f>
      </c>
      <c r="AH106" s="291">
        <f>SUM(AH102:AH105)</f>
      </c>
    </row>
    <row r="107">
      <c r="A107" s="264">
        <v>46256</v>
      </c>
      <c r="B107" s="242" t="s">
        <v>704</v>
      </c>
      <c r="C107" s="265" t="s">
        <v>698</v>
      </c>
      <c r="D107" s="236">
        <v>5</v>
      </c>
      <c r="E107" s="266">
        <v>16</v>
      </c>
      <c r="F107" s="266">
        <v>20</v>
      </c>
      <c r="G107" s="300">
        <v>47607.23</v>
      </c>
      <c r="H107" s="301">
        <v>21723.730000000003</v>
      </c>
      <c r="I107" s="269">
        <f t="shared" si="81"/>
      </c>
      <c r="J107" s="270">
        <f t="shared" si="132"/>
      </c>
      <c r="K107" s="271">
        <f t="shared" si="180"/>
      </c>
      <c r="L107" s="271">
        <f t="shared" ref="L107:L110" si="21">H107/D107</f>
      </c>
      <c r="M107" s="272" t="s">
        <v>717</v>
      </c>
      <c r="N107" s="273">
        <v>10</v>
      </c>
      <c r="O107" s="265"/>
      <c r="P107" s="236"/>
      <c r="Q107" s="274"/>
      <c r="R107" s="293">
        <f t="shared" ref="R107:R110" si="196">H107/AB107</f>
      </c>
      <c r="S107" s="294">
        <f t="shared" ref="S107:S110" si="46">W107/AA107*1</f>
      </c>
      <c r="T107" s="295">
        <f t="shared" ref="T107:T110" si="97">AB107/AA107</f>
      </c>
      <c r="U107" s="295">
        <f t="shared" ref="U107:U110" si="148">AC107/AA107</f>
      </c>
      <c r="V107" s="295">
        <f t="shared" ref="V107:V110" si="221">AE107/AC107</f>
      </c>
      <c r="W107" s="275">
        <f t="shared" ref="W107:W110" si="71">AD107/X107</f>
      </c>
      <c r="X107" s="295">
        <f t="shared" ref="X107:X110" si="122">AD107/AC107</f>
      </c>
      <c r="Y107" s="275">
        <v>60.4</v>
      </c>
      <c r="Z107" s="296">
        <f t="shared" ref="Z107:Z110" si="170">(H107/AA107)*1000</f>
      </c>
      <c r="AA107" s="275">
        <v>200212</v>
      </c>
      <c r="AB107" s="275">
        <v>3560</v>
      </c>
      <c r="AC107" s="275">
        <v>3761</v>
      </c>
      <c r="AD107" s="275">
        <v>901</v>
      </c>
      <c r="AE107" s="282">
        <v>314</v>
      </c>
      <c r="AF107" s="275">
        <v>41</v>
      </c>
      <c r="AG107" s="275">
        <v>8</v>
      </c>
      <c r="AH107" s="275">
        <v>189</v>
      </c>
    </row>
    <row r="108">
      <c r="A108" s="264">
        <v>46256</v>
      </c>
      <c r="B108" s="219" t="s">
        <v>702</v>
      </c>
      <c r="C108" s="265" t="s">
        <v>701</v>
      </c>
      <c r="D108" s="274">
        <v>5</v>
      </c>
      <c r="E108" s="219">
        <v>18</v>
      </c>
      <c r="F108" s="219">
        <v>21</v>
      </c>
      <c r="G108" s="293">
        <v>60857.45</v>
      </c>
      <c r="H108" s="277">
        <v>18336.62</v>
      </c>
      <c r="I108" s="269">
        <f t="shared" si="81"/>
      </c>
      <c r="J108" s="270">
        <f t="shared" si="132"/>
      </c>
      <c r="K108" s="270">
        <f t="shared" si="180"/>
      </c>
      <c r="L108" s="271">
        <f t="shared" si="21"/>
      </c>
      <c r="M108" s="278"/>
      <c r="N108" s="273"/>
      <c r="O108" s="265"/>
      <c r="P108" s="236"/>
      <c r="Q108" s="274"/>
      <c r="R108" s="293">
        <f t="shared" si="196"/>
      </c>
      <c r="S108" s="294">
        <f t="shared" si="46"/>
      </c>
      <c r="T108" s="295">
        <f t="shared" si="97"/>
      </c>
      <c r="U108" s="295">
        <f t="shared" si="148"/>
      </c>
      <c r="V108" s="295">
        <f t="shared" si="221"/>
      </c>
      <c r="W108" s="275">
        <f t="shared" si="71"/>
      </c>
      <c r="X108" s="295">
        <f t="shared" si="122"/>
      </c>
      <c r="Y108" s="275">
        <v>67.6</v>
      </c>
      <c r="Z108" s="296">
        <f t="shared" si="170"/>
      </c>
      <c r="AA108" s="275">
        <v>180183</v>
      </c>
      <c r="AB108" s="275">
        <v>2456</v>
      </c>
      <c r="AC108" s="275">
        <v>2463</v>
      </c>
      <c r="AD108" s="275">
        <v>707</v>
      </c>
      <c r="AE108" s="275">
        <v>439</v>
      </c>
      <c r="AF108" s="275">
        <v>37</v>
      </c>
      <c r="AG108" s="275">
        <v>5</v>
      </c>
      <c r="AH108" s="275">
        <v>165</v>
      </c>
    </row>
    <row r="109">
      <c r="A109" s="264">
        <v>46256</v>
      </c>
      <c r="B109" s="219" t="s">
        <v>700</v>
      </c>
      <c r="C109" s="265" t="s">
        <v>703</v>
      </c>
      <c r="D109" s="274">
        <v>5</v>
      </c>
      <c r="E109" s="272">
        <v>14</v>
      </c>
      <c r="F109" s="272">
        <v>18</v>
      </c>
      <c r="G109" s="298">
        <v>43873.92999999999</v>
      </c>
      <c r="H109" s="297">
        <v>16205.86</v>
      </c>
      <c r="I109" s="269">
        <f t="shared" si="81"/>
      </c>
      <c r="J109" s="270">
        <f t="shared" si="132"/>
      </c>
      <c r="K109" s="270">
        <f t="shared" si="180"/>
      </c>
      <c r="L109" s="271">
        <f t="shared" si="21"/>
      </c>
      <c r="M109" s="236"/>
      <c r="N109" s="236"/>
      <c r="O109" s="265"/>
      <c r="P109" s="236"/>
      <c r="Q109" s="274"/>
      <c r="R109" s="293">
        <f t="shared" si="196"/>
      </c>
      <c r="S109" s="294">
        <f t="shared" si="46"/>
      </c>
      <c r="T109" s="295">
        <f t="shared" si="97"/>
      </c>
      <c r="U109" s="295">
        <f t="shared" si="148"/>
      </c>
      <c r="V109" s="295">
        <f t="shared" si="221"/>
      </c>
      <c r="W109" s="275">
        <f t="shared" si="71"/>
      </c>
      <c r="X109" s="295">
        <f t="shared" si="122"/>
      </c>
      <c r="Y109" s="275">
        <v>66.4</v>
      </c>
      <c r="Z109" s="296">
        <f t="shared" si="170"/>
      </c>
      <c r="AA109" s="275">
        <v>107107</v>
      </c>
      <c r="AB109" s="275">
        <v>2506</v>
      </c>
      <c r="AC109" s="275">
        <v>2631</v>
      </c>
      <c r="AD109" s="275">
        <v>412</v>
      </c>
      <c r="AE109" s="275">
        <v>296</v>
      </c>
      <c r="AF109" s="275">
        <v>16</v>
      </c>
      <c r="AG109" s="275">
        <v>7</v>
      </c>
      <c r="AH109" s="275">
        <v>65</v>
      </c>
    </row>
    <row r="110">
      <c r="A110" s="264">
        <v>46256</v>
      </c>
      <c r="B110" s="242" t="s">
        <v>709</v>
      </c>
      <c r="C110" s="265" t="s">
        <v>705</v>
      </c>
      <c r="D110" s="236">
        <v>5</v>
      </c>
      <c r="E110" s="272">
        <v>16</v>
      </c>
      <c r="F110" s="272">
        <v>20</v>
      </c>
      <c r="G110" s="298">
        <v>47370.21000000001</v>
      </c>
      <c r="H110" s="280">
        <v>14664.57</v>
      </c>
      <c r="I110" s="270">
        <f t="shared" si="81"/>
      </c>
      <c r="J110" s="270">
        <f t="shared" si="132"/>
      </c>
      <c r="K110" s="271">
        <f t="shared" si="180"/>
      </c>
      <c r="L110" s="271">
        <f t="shared" si="21"/>
      </c>
      <c r="M110" s="219" t="s">
        <v>716</v>
      </c>
      <c r="N110" s="281">
        <v>10</v>
      </c>
      <c r="O110" s="265"/>
      <c r="P110" s="236"/>
      <c r="Q110" s="274"/>
      <c r="R110" s="293">
        <f t="shared" si="196"/>
      </c>
      <c r="S110" s="294">
        <f t="shared" si="46"/>
      </c>
      <c r="T110" s="295">
        <f t="shared" si="97"/>
      </c>
      <c r="U110" s="295">
        <f t="shared" si="148"/>
      </c>
      <c r="V110" s="295">
        <f t="shared" si="221"/>
      </c>
      <c r="W110" s="275">
        <f t="shared" si="71"/>
      </c>
      <c r="X110" s="295">
        <f t="shared" si="122"/>
      </c>
      <c r="Y110" s="282">
        <v>60</v>
      </c>
      <c r="Z110" s="296">
        <f t="shared" si="170"/>
      </c>
      <c r="AA110" s="275">
        <v>125870</v>
      </c>
      <c r="AB110" s="275">
        <v>3569</v>
      </c>
      <c r="AC110" s="275">
        <v>3796</v>
      </c>
      <c r="AD110" s="275">
        <v>452</v>
      </c>
      <c r="AE110" s="275">
        <v>292</v>
      </c>
      <c r="AF110" s="275">
        <v>27</v>
      </c>
      <c r="AG110" s="275">
        <v>6</v>
      </c>
      <c r="AH110" s="275">
        <v>67</v>
      </c>
    </row>
    <row r="111">
      <c r="A111" s="283">
        <v>46256</v>
      </c>
      <c r="B111" s="284" t="s">
        <v>707</v>
      </c>
      <c r="C111" s="285"/>
      <c r="D111" s="285">
        <f>SUM(D107:D110)</f>
      </c>
      <c r="E111" s="285">
        <f>SUM(E107:E110)</f>
      </c>
      <c r="F111" s="285">
        <f>SUM(F107:F110)</f>
      </c>
      <c r="G111" s="286">
        <f>SUM(G107:G110)</f>
      </c>
      <c r="H111" s="286">
        <f>SUM(H107:H110)</f>
      </c>
      <c r="I111" s="287">
        <f t="shared" si="81"/>
      </c>
      <c r="J111" s="287">
        <f t="shared" si="132"/>
      </c>
      <c r="K111" s="287">
        <f t="shared" si="180"/>
      </c>
      <c r="L111" s="287"/>
      <c r="M111" s="285"/>
      <c r="N111" s="288">
        <f>SUM(N107:N110)</f>
      </c>
      <c r="O111" s="285"/>
      <c r="P111" s="285"/>
      <c r="Q111" s="285"/>
      <c r="R111" s="289">
        <f>AVERAGE(R107:R110)</f>
      </c>
      <c r="S111" s="290">
        <f>AVERAGE(S107:S110)</f>
      </c>
      <c r="T111" s="290">
        <f>AVERAGE(T107:T110)</f>
      </c>
      <c r="U111" s="290">
        <f>AVERAGE(U107:U110)</f>
      </c>
      <c r="V111" s="290">
        <f>AVERAGE(V107:V110)</f>
      </c>
      <c r="W111" s="291">
        <f>SUM(W107:W110)</f>
      </c>
      <c r="X111" s="290">
        <f>AVERAGE(X107:X110)</f>
      </c>
      <c r="Y111" s="291"/>
      <c r="Z111" s="292">
        <f>AVERAGE(Z107:Z110)</f>
      </c>
      <c r="AA111" s="291">
        <f>SUM(AA107:AA110)</f>
      </c>
      <c r="AB111" s="291">
        <f>SUM(AB107:AB110)</f>
      </c>
      <c r="AC111" s="291">
        <f>SUM(AC107:AC110)</f>
      </c>
      <c r="AD111" s="291">
        <f>SUM(AD107:AD110)</f>
      </c>
      <c r="AE111" s="291">
        <f>SUM(AE107:AE110)</f>
      </c>
      <c r="AF111" s="291">
        <f>SUM(AF107:AF110)</f>
      </c>
      <c r="AG111" s="291">
        <f>SUM(AG107:AG110)</f>
      </c>
      <c r="AH111" s="291">
        <f>SUM(AH107:AH110)</f>
      </c>
    </row>
    <row r="112">
      <c r="A112" s="264">
        <v>46257</v>
      </c>
      <c r="B112" s="242" t="s">
        <v>702</v>
      </c>
      <c r="C112" s="265" t="s">
        <v>698</v>
      </c>
      <c r="D112" s="236">
        <v>5</v>
      </c>
      <c r="E112" s="266">
        <v>12</v>
      </c>
      <c r="F112" s="266">
        <v>20</v>
      </c>
      <c r="G112" s="300">
        <v>48132.04</v>
      </c>
      <c r="H112" s="301">
        <v>17670.620000000003</v>
      </c>
      <c r="I112" s="269">
        <f t="shared" si="81"/>
      </c>
      <c r="J112" s="270">
        <f t="shared" si="132"/>
      </c>
      <c r="K112" s="271">
        <f t="shared" si="180"/>
      </c>
      <c r="L112" s="271">
        <f t="shared" ref="L112:L115" si="22">H112/D112</f>
      </c>
      <c r="M112" s="272" t="s">
        <v>717</v>
      </c>
      <c r="N112" s="273">
        <v>10</v>
      </c>
      <c r="O112" s="265"/>
      <c r="P112" s="236"/>
      <c r="Q112" s="274"/>
      <c r="R112" s="293">
        <f t="shared" ref="R112:R115" si="197">H112/AB112</f>
      </c>
      <c r="S112" s="294">
        <f t="shared" ref="S112:S115" si="47">W112/AA112*1</f>
      </c>
      <c r="T112" s="295">
        <f t="shared" ref="T112:T115" si="98">AB112/AA112</f>
      </c>
      <c r="U112" s="295">
        <f t="shared" ref="U112:U115" si="149">AC112/AA112</f>
      </c>
      <c r="V112" s="295">
        <f t="shared" ref="V112:V115" si="222">AE112/AC112</f>
      </c>
      <c r="W112" s="275">
        <f t="shared" ref="W112:W115" si="72">AD112/X112</f>
      </c>
      <c r="X112" s="295">
        <f t="shared" ref="X112:X115" si="123">AD112/AC112</f>
      </c>
      <c r="Y112" s="275">
        <v>51.4</v>
      </c>
      <c r="Z112" s="296">
        <f t="shared" ref="Z112:Z115" si="171">(H112/AA112)*1000</f>
      </c>
      <c r="AA112" s="275">
        <v>174116</v>
      </c>
      <c r="AB112" s="275">
        <v>3226</v>
      </c>
      <c r="AC112" s="275">
        <v>3337</v>
      </c>
      <c r="AD112" s="275">
        <v>756</v>
      </c>
      <c r="AE112" s="282">
        <v>306</v>
      </c>
      <c r="AF112" s="275">
        <v>32</v>
      </c>
      <c r="AG112" s="275">
        <v>6</v>
      </c>
      <c r="AH112" s="275">
        <v>190</v>
      </c>
    </row>
    <row r="113">
      <c r="A113" s="264">
        <v>46257</v>
      </c>
      <c r="B113" s="219" t="s">
        <v>704</v>
      </c>
      <c r="C113" s="265" t="s">
        <v>701</v>
      </c>
      <c r="D113" s="302">
        <v>5</v>
      </c>
      <c r="E113" s="219">
        <v>11</v>
      </c>
      <c r="F113" s="219">
        <v>13</v>
      </c>
      <c r="G113" s="293">
        <v>33272.7</v>
      </c>
      <c r="H113" s="277">
        <v>14637.78</v>
      </c>
      <c r="I113" s="269">
        <f t="shared" si="81"/>
      </c>
      <c r="J113" s="270">
        <f t="shared" si="132"/>
      </c>
      <c r="K113" s="270">
        <f t="shared" si="180"/>
      </c>
      <c r="L113" s="271">
        <f t="shared" si="22"/>
      </c>
      <c r="M113" s="278"/>
      <c r="N113" s="273"/>
      <c r="O113" s="265"/>
      <c r="P113" s="236"/>
      <c r="Q113" s="274"/>
      <c r="R113" s="293">
        <f t="shared" si="197"/>
      </c>
      <c r="S113" s="294">
        <f t="shared" si="47"/>
      </c>
      <c r="T113" s="295">
        <f t="shared" si="98"/>
      </c>
      <c r="U113" s="295">
        <f t="shared" si="149"/>
      </c>
      <c r="V113" s="295">
        <f t="shared" si="222"/>
      </c>
      <c r="W113" s="275">
        <f t="shared" si="72"/>
      </c>
      <c r="X113" s="295">
        <f t="shared" si="123"/>
      </c>
      <c r="Y113" s="275">
        <v>56.4</v>
      </c>
      <c r="Z113" s="296">
        <f t="shared" si="171"/>
      </c>
      <c r="AA113" s="275">
        <v>114129</v>
      </c>
      <c r="AB113" s="275">
        <v>2278</v>
      </c>
      <c r="AC113" s="275">
        <v>2361</v>
      </c>
      <c r="AD113" s="275">
        <v>466</v>
      </c>
      <c r="AE113" s="275">
        <v>190</v>
      </c>
      <c r="AF113" s="275">
        <v>18</v>
      </c>
      <c r="AG113" s="275">
        <v>2</v>
      </c>
      <c r="AH113" s="275">
        <v>75</v>
      </c>
    </row>
    <row r="114">
      <c r="A114" s="264">
        <v>46257</v>
      </c>
      <c r="B114" s="219" t="s">
        <v>700</v>
      </c>
      <c r="C114" s="265" t="s">
        <v>703</v>
      </c>
      <c r="D114" s="302">
        <v>5</v>
      </c>
      <c r="E114" s="272">
        <v>24</v>
      </c>
      <c r="F114" s="272">
        <v>29</v>
      </c>
      <c r="G114" s="298">
        <v>73499.57</v>
      </c>
      <c r="H114" s="297">
        <v>14569.54</v>
      </c>
      <c r="I114" s="269">
        <f t="shared" si="81"/>
      </c>
      <c r="J114" s="270">
        <f t="shared" si="132"/>
      </c>
      <c r="K114" s="270">
        <f t="shared" si="180"/>
      </c>
      <c r="L114" s="271">
        <f t="shared" si="22"/>
      </c>
      <c r="M114" s="236"/>
      <c r="N114" s="236"/>
      <c r="O114" s="265"/>
      <c r="P114" s="236"/>
      <c r="Q114" s="274"/>
      <c r="R114" s="293">
        <f t="shared" si="197"/>
      </c>
      <c r="S114" s="294">
        <f t="shared" si="47"/>
      </c>
      <c r="T114" s="295">
        <f t="shared" si="98"/>
      </c>
      <c r="U114" s="295">
        <f t="shared" si="149"/>
      </c>
      <c r="V114" s="295">
        <f t="shared" si="222"/>
      </c>
      <c r="W114" s="275">
        <f t="shared" si="72"/>
      </c>
      <c r="X114" s="295">
        <f t="shared" si="123"/>
      </c>
      <c r="Y114" s="275">
        <v>54.6</v>
      </c>
      <c r="Z114" s="296">
        <f t="shared" si="171"/>
      </c>
      <c r="AA114" s="275">
        <v>94653</v>
      </c>
      <c r="AB114" s="275">
        <v>2248</v>
      </c>
      <c r="AC114" s="275">
        <v>2375</v>
      </c>
      <c r="AD114" s="275">
        <v>339</v>
      </c>
      <c r="AE114" s="275">
        <v>267</v>
      </c>
      <c r="AF114" s="275">
        <v>13</v>
      </c>
      <c r="AG114" s="275">
        <v>5</v>
      </c>
      <c r="AH114" s="275">
        <v>51</v>
      </c>
    </row>
    <row r="115">
      <c r="A115" s="264">
        <v>46257</v>
      </c>
      <c r="B115" s="242" t="s">
        <v>709</v>
      </c>
      <c r="C115" s="265" t="s">
        <v>705</v>
      </c>
      <c r="D115" s="219">
        <v>5</v>
      </c>
      <c r="E115" s="272">
        <v>18</v>
      </c>
      <c r="F115" s="272">
        <v>24</v>
      </c>
      <c r="G115" s="298">
        <v>61967.500000000015</v>
      </c>
      <c r="H115" s="280">
        <v>16320.029999999999</v>
      </c>
      <c r="I115" s="270">
        <f t="shared" si="81"/>
      </c>
      <c r="J115" s="270">
        <f t="shared" si="132"/>
      </c>
      <c r="K115" s="271">
        <f t="shared" si="180"/>
      </c>
      <c r="L115" s="271">
        <f t="shared" si="22"/>
      </c>
      <c r="M115" s="219" t="s">
        <v>716</v>
      </c>
      <c r="N115" s="281">
        <v>10</v>
      </c>
      <c r="O115" s="265"/>
      <c r="P115" s="236"/>
      <c r="Q115" s="274"/>
      <c r="R115" s="293">
        <f t="shared" si="197"/>
      </c>
      <c r="S115" s="294">
        <f t="shared" si="47"/>
      </c>
      <c r="T115" s="295">
        <f t="shared" si="98"/>
      </c>
      <c r="U115" s="295">
        <f t="shared" si="149"/>
      </c>
      <c r="V115" s="295">
        <f t="shared" si="222"/>
      </c>
      <c r="W115" s="275">
        <f t="shared" si="72"/>
      </c>
      <c r="X115" s="295">
        <f t="shared" si="123"/>
      </c>
      <c r="Y115" s="282">
        <v>56</v>
      </c>
      <c r="Z115" s="296">
        <f t="shared" si="171"/>
      </c>
      <c r="AA115" s="275">
        <v>170722</v>
      </c>
      <c r="AB115" s="275">
        <v>2959</v>
      </c>
      <c r="AC115" s="275">
        <v>3260</v>
      </c>
      <c r="AD115" s="275">
        <v>511</v>
      </c>
      <c r="AE115" s="275">
        <v>383</v>
      </c>
      <c r="AF115" s="275">
        <v>37</v>
      </c>
      <c r="AG115" s="275">
        <v>7</v>
      </c>
      <c r="AH115" s="275">
        <v>112</v>
      </c>
    </row>
    <row r="116">
      <c r="A116" s="283">
        <v>46257</v>
      </c>
      <c r="B116" s="284" t="s">
        <v>707</v>
      </c>
      <c r="C116" s="285"/>
      <c r="D116" s="285">
        <f>SUM(D112:D115)</f>
      </c>
      <c r="E116" s="285">
        <f>SUM(E112:E115)</f>
      </c>
      <c r="F116" s="285">
        <f>SUM(F112:F115)</f>
      </c>
      <c r="G116" s="286">
        <f>SUM(G112:G115)</f>
      </c>
      <c r="H116" s="286">
        <f>SUM(H112:H115)</f>
      </c>
      <c r="I116" s="287">
        <f t="shared" si="81"/>
      </c>
      <c r="J116" s="287">
        <f t="shared" si="132"/>
      </c>
      <c r="K116" s="287">
        <f t="shared" si="180"/>
      </c>
      <c r="L116" s="287"/>
      <c r="M116" s="285"/>
      <c r="N116" s="288">
        <f>SUM(N112:N115)</f>
      </c>
      <c r="O116" s="285"/>
      <c r="P116" s="285"/>
      <c r="Q116" s="285"/>
      <c r="R116" s="289">
        <f>AVERAGE(R112:R115)</f>
      </c>
      <c r="S116" s="290">
        <f>AVERAGE(S112:S115)</f>
      </c>
      <c r="T116" s="290">
        <f>AVERAGE(T112:T115)</f>
      </c>
      <c r="U116" s="290">
        <f>AVERAGE(U112:U115)</f>
      </c>
      <c r="V116" s="290">
        <f>AVERAGE(V112:V115)</f>
      </c>
      <c r="W116" s="291">
        <f>SUM(W112:W115)</f>
      </c>
      <c r="X116" s="290">
        <f>AVERAGE(X112:X115)</f>
      </c>
      <c r="Y116" s="291"/>
      <c r="Z116" s="292">
        <f>AVERAGE(Z112:Z115)</f>
      </c>
      <c r="AA116" s="291">
        <f>SUM(AA112:AA115)</f>
      </c>
      <c r="AB116" s="291">
        <f>SUM(AB112:AB115)</f>
      </c>
      <c r="AC116" s="291">
        <f>SUM(AC112:AC115)</f>
      </c>
      <c r="AD116" s="291">
        <f>SUM(AD112:AD115)</f>
      </c>
      <c r="AE116" s="291">
        <f>SUM(AE112:AE115)</f>
      </c>
      <c r="AF116" s="291">
        <f>SUM(AF112:AF115)</f>
      </c>
      <c r="AG116" s="291">
        <f>SUM(AG112:AG115)</f>
      </c>
      <c r="AH116" s="291">
        <f>SUM(AH112:AH115)</f>
      </c>
    </row>
    <row r="117">
      <c r="A117" s="264">
        <v>46258</v>
      </c>
      <c r="B117" s="242" t="s">
        <v>702</v>
      </c>
      <c r="C117" s="265" t="s">
        <v>698</v>
      </c>
      <c r="D117" s="303">
        <f>5-1</f>
      </c>
      <c r="E117" s="266">
        <v>12</v>
      </c>
      <c r="F117" s="266">
        <v>20</v>
      </c>
      <c r="G117" s="300">
        <v>50899.32000000001</v>
      </c>
      <c r="H117" s="301">
        <v>15633.599999999999</v>
      </c>
      <c r="I117" s="269">
        <f t="shared" si="81"/>
      </c>
      <c r="J117" s="270">
        <f t="shared" si="132"/>
      </c>
      <c r="K117" s="271">
        <f t="shared" si="180"/>
      </c>
      <c r="L117" s="271">
        <f t="shared" ref="L117:L120" si="23">H117/D117</f>
      </c>
      <c r="M117" s="272" t="s">
        <v>717</v>
      </c>
      <c r="N117" s="273">
        <v>10</v>
      </c>
      <c r="O117" s="265"/>
      <c r="P117" s="236"/>
      <c r="Q117" s="274"/>
      <c r="R117" s="293">
        <f t="shared" ref="R117:R120" si="198">H117/AB117</f>
      </c>
      <c r="S117" s="294">
        <f t="shared" ref="S117:S120" si="48">W117/AA117*1</f>
      </c>
      <c r="T117" s="295">
        <f t="shared" ref="T117:T120" si="99">AB117/AA117</f>
      </c>
      <c r="U117" s="295">
        <f t="shared" ref="U117:U120" si="150">AC117/AA117</f>
      </c>
      <c r="V117" s="295">
        <f t="shared" ref="V117:V120" si="223">AE117/AC117</f>
      </c>
      <c r="W117" s="275">
        <f t="shared" ref="W117:W120" si="73">AD117/X117</f>
      </c>
      <c r="X117" s="295">
        <f t="shared" ref="X117:X120" si="124">AD117/AC117</f>
      </c>
      <c r="Y117" s="275">
        <v>40.8</v>
      </c>
      <c r="Z117" s="296">
        <f t="shared" ref="Z117:Z120" si="172">(H117/AA117)*1000</f>
      </c>
      <c r="AA117" s="275">
        <v>122410</v>
      </c>
      <c r="AB117" s="275">
        <v>2819</v>
      </c>
      <c r="AC117" s="275">
        <v>3159</v>
      </c>
      <c r="AD117" s="275">
        <v>517</v>
      </c>
      <c r="AE117" s="282">
        <v>318</v>
      </c>
      <c r="AF117" s="275">
        <v>39</v>
      </c>
      <c r="AG117" s="275">
        <v>15</v>
      </c>
      <c r="AH117" s="275">
        <v>98</v>
      </c>
    </row>
    <row r="118">
      <c r="A118" s="264">
        <v>46258</v>
      </c>
      <c r="B118" s="219" t="s">
        <v>697</v>
      </c>
      <c r="C118" s="265" t="s">
        <v>701</v>
      </c>
      <c r="D118" s="302">
        <v>5</v>
      </c>
      <c r="E118" s="219">
        <v>11</v>
      </c>
      <c r="F118" s="219">
        <v>15</v>
      </c>
      <c r="G118" s="293">
        <v>35224.97</v>
      </c>
      <c r="H118" s="277">
        <v>13689.829999999998</v>
      </c>
      <c r="I118" s="269">
        <f t="shared" si="81"/>
      </c>
      <c r="J118" s="270">
        <f t="shared" si="132"/>
      </c>
      <c r="K118" s="270">
        <f t="shared" si="180"/>
      </c>
      <c r="L118" s="271">
        <f t="shared" si="23"/>
      </c>
      <c r="M118" s="278"/>
      <c r="N118" s="273"/>
      <c r="O118" s="265"/>
      <c r="P118" s="236"/>
      <c r="Q118" s="274"/>
      <c r="R118" s="293">
        <f t="shared" si="198"/>
      </c>
      <c r="S118" s="294">
        <f t="shared" si="48"/>
      </c>
      <c r="T118" s="295">
        <f t="shared" si="99"/>
      </c>
      <c r="U118" s="295">
        <f t="shared" si="150"/>
      </c>
      <c r="V118" s="295">
        <f t="shared" si="223"/>
      </c>
      <c r="W118" s="275">
        <f t="shared" si="73"/>
      </c>
      <c r="X118" s="295">
        <f t="shared" si="124"/>
      </c>
      <c r="Y118" s="275">
        <v>49</v>
      </c>
      <c r="Z118" s="296">
        <f t="shared" si="172"/>
      </c>
      <c r="AA118" s="275">
        <v>93297</v>
      </c>
      <c r="AB118" s="275">
        <v>1870</v>
      </c>
      <c r="AC118" s="275">
        <v>2167</v>
      </c>
      <c r="AD118" s="275">
        <v>328</v>
      </c>
      <c r="AE118" s="275">
        <v>233</v>
      </c>
      <c r="AF118" s="275">
        <v>19</v>
      </c>
      <c r="AG118" s="275">
        <v>4</v>
      </c>
      <c r="AH118" s="275">
        <v>40</v>
      </c>
    </row>
    <row r="119">
      <c r="A119" s="264">
        <v>46258</v>
      </c>
      <c r="B119" s="219" t="s">
        <v>709</v>
      </c>
      <c r="C119" s="265" t="s">
        <v>703</v>
      </c>
      <c r="D119" s="302">
        <v>5</v>
      </c>
      <c r="E119" s="272">
        <v>7</v>
      </c>
      <c r="F119" s="272">
        <v>9</v>
      </c>
      <c r="G119" s="298">
        <v>21042.23000000001</v>
      </c>
      <c r="H119" s="297">
        <v>10971.77</v>
      </c>
      <c r="I119" s="269">
        <f t="shared" si="81"/>
      </c>
      <c r="J119" s="270">
        <f t="shared" si="132"/>
      </c>
      <c r="K119" s="270">
        <f t="shared" si="180"/>
      </c>
      <c r="L119" s="271">
        <f t="shared" si="23"/>
      </c>
      <c r="M119" s="236"/>
      <c r="N119" s="236"/>
      <c r="O119" s="265"/>
      <c r="P119" s="236"/>
      <c r="Q119" s="274"/>
      <c r="R119" s="293">
        <f t="shared" si="198"/>
      </c>
      <c r="S119" s="294">
        <f t="shared" si="48"/>
      </c>
      <c r="T119" s="295">
        <f t="shared" si="99"/>
      </c>
      <c r="U119" s="295">
        <f t="shared" si="150"/>
      </c>
      <c r="V119" s="295">
        <f t="shared" si="223"/>
      </c>
      <c r="W119" s="275">
        <f t="shared" si="73"/>
      </c>
      <c r="X119" s="295">
        <f t="shared" si="124"/>
      </c>
      <c r="Y119" s="275">
        <v>51</v>
      </c>
      <c r="Z119" s="296">
        <f t="shared" si="172"/>
      </c>
      <c r="AA119" s="275">
        <v>79504</v>
      </c>
      <c r="AB119" s="275">
        <v>1484</v>
      </c>
      <c r="AC119" s="275">
        <v>1745</v>
      </c>
      <c r="AD119" s="275">
        <v>286</v>
      </c>
      <c r="AE119" s="275">
        <v>159</v>
      </c>
      <c r="AF119" s="275">
        <v>18</v>
      </c>
      <c r="AG119" s="275">
        <v>2</v>
      </c>
      <c r="AH119" s="275">
        <v>27</v>
      </c>
    </row>
    <row r="120">
      <c r="A120" s="264">
        <v>46258</v>
      </c>
      <c r="B120" s="242" t="s">
        <v>700</v>
      </c>
      <c r="C120" s="265" t="s">
        <v>705</v>
      </c>
      <c r="D120" s="219">
        <v>5</v>
      </c>
      <c r="E120" s="272">
        <v>11</v>
      </c>
      <c r="F120" s="272">
        <v>12</v>
      </c>
      <c r="G120" s="298">
        <v>30005.059999999998</v>
      </c>
      <c r="H120" s="280">
        <v>11499.900000000001</v>
      </c>
      <c r="I120" s="270">
        <f t="shared" si="81"/>
      </c>
      <c r="J120" s="270">
        <f t="shared" si="132"/>
      </c>
      <c r="K120" s="271">
        <f t="shared" si="180"/>
      </c>
      <c r="L120" s="271">
        <f t="shared" si="23"/>
      </c>
      <c r="M120" s="219" t="s">
        <v>716</v>
      </c>
      <c r="N120" s="281">
        <v>10</v>
      </c>
      <c r="O120" s="265"/>
      <c r="P120" s="236"/>
      <c r="Q120" s="274"/>
      <c r="R120" s="293">
        <f t="shared" si="198"/>
      </c>
      <c r="S120" s="294">
        <f t="shared" si="48"/>
      </c>
      <c r="T120" s="295">
        <f t="shared" si="99"/>
      </c>
      <c r="U120" s="295">
        <f t="shared" si="150"/>
      </c>
      <c r="V120" s="295">
        <f t="shared" si="223"/>
      </c>
      <c r="W120" s="275">
        <f t="shared" si="73"/>
      </c>
      <c r="X120" s="295">
        <f t="shared" si="124"/>
      </c>
      <c r="Y120" s="282">
        <v>44</v>
      </c>
      <c r="Z120" s="296">
        <f t="shared" si="172"/>
      </c>
      <c r="AA120" s="275">
        <v>110197</v>
      </c>
      <c r="AB120" s="275">
        <v>2268</v>
      </c>
      <c r="AC120" s="275">
        <v>2662</v>
      </c>
      <c r="AD120" s="275">
        <v>286</v>
      </c>
      <c r="AE120" s="275">
        <v>243</v>
      </c>
      <c r="AF120" s="275">
        <v>10</v>
      </c>
      <c r="AG120" s="275">
        <v>1</v>
      </c>
      <c r="AH120" s="275">
        <v>48</v>
      </c>
    </row>
    <row r="121">
      <c r="A121" s="283">
        <v>46258</v>
      </c>
      <c r="B121" s="284" t="s">
        <v>707</v>
      </c>
      <c r="C121" s="285"/>
      <c r="D121" s="285">
        <f>SUM(D117:D120)</f>
      </c>
      <c r="E121" s="285">
        <f>SUM(E117:E120)</f>
      </c>
      <c r="F121" s="285">
        <f>SUM(F117:F120)</f>
      </c>
      <c r="G121" s="286">
        <f>SUM(G117:G120)</f>
      </c>
      <c r="H121" s="286">
        <f>SUM(H117:H120)</f>
      </c>
      <c r="I121" s="287">
        <f t="shared" si="81"/>
      </c>
      <c r="J121" s="287">
        <f t="shared" si="132"/>
      </c>
      <c r="K121" s="287">
        <f t="shared" si="180"/>
      </c>
      <c r="L121" s="287"/>
      <c r="M121" s="285"/>
      <c r="N121" s="288">
        <f>SUM(N117:N120)</f>
      </c>
      <c r="O121" s="285"/>
      <c r="P121" s="285"/>
      <c r="Q121" s="285"/>
      <c r="R121" s="289">
        <f>AVERAGE(R117:R120)</f>
      </c>
      <c r="S121" s="290">
        <f>AVERAGE(S117:S120)</f>
      </c>
      <c r="T121" s="290">
        <f>AVERAGE(T117:T120)</f>
      </c>
      <c r="U121" s="290">
        <f>AVERAGE(U117:U120)</f>
      </c>
      <c r="V121" s="290">
        <f>AVERAGE(V117:V120)</f>
      </c>
      <c r="W121" s="291">
        <f>SUM(W117:W120)</f>
      </c>
      <c r="X121" s="290">
        <f>AVERAGE(X117:X120)</f>
      </c>
      <c r="Y121" s="291"/>
      <c r="Z121" s="292">
        <f>AVERAGE(Z117:Z120)</f>
      </c>
      <c r="AA121" s="291">
        <f>SUM(AA117:AA120)</f>
      </c>
      <c r="AB121" s="291">
        <f>SUM(AB117:AB120)</f>
      </c>
      <c r="AC121" s="291">
        <f>SUM(AC117:AC120)</f>
      </c>
      <c r="AD121" s="291">
        <f>SUM(AD117:AD120)</f>
      </c>
      <c r="AE121" s="291">
        <f>SUM(AE117:AE120)</f>
      </c>
      <c r="AF121" s="291">
        <f>SUM(AF117:AF120)</f>
      </c>
      <c r="AG121" s="291">
        <f>SUM(AG117:AG120)</f>
      </c>
      <c r="AH121" s="291">
        <f>SUM(AH117:AH120)</f>
      </c>
    </row>
    <row r="122">
      <c r="A122" s="264">
        <v>46259</v>
      </c>
      <c r="B122" s="242" t="s">
        <v>704</v>
      </c>
      <c r="C122" s="304" t="s">
        <v>718</v>
      </c>
      <c r="D122" s="219">
        <v>4</v>
      </c>
      <c r="E122" s="266">
        <v>8</v>
      </c>
      <c r="F122" s="266">
        <v>9</v>
      </c>
      <c r="G122" s="300">
        <v>23030.640000000003</v>
      </c>
      <c r="H122" s="301">
        <v>12241.06</v>
      </c>
      <c r="I122" s="269">
        <f t="shared" si="81"/>
      </c>
      <c r="J122" s="270">
        <f t="shared" si="132"/>
      </c>
      <c r="K122" s="271">
        <f t="shared" si="180"/>
      </c>
      <c r="L122" s="271">
        <f t="shared" ref="L122:L126" si="24">H122/D122</f>
      </c>
      <c r="M122" s="272" t="s">
        <v>717</v>
      </c>
      <c r="N122" s="273">
        <v>10</v>
      </c>
      <c r="O122" s="265"/>
      <c r="P122" s="236"/>
      <c r="Q122" s="274"/>
      <c r="R122" s="293">
        <f t="shared" ref="R122:R126" si="199">H122/AB122</f>
      </c>
      <c r="S122" s="294">
        <f t="shared" ref="S122:S126" si="49">W122/AA122*1</f>
      </c>
      <c r="T122" s="295">
        <f t="shared" ref="T122:T126" si="100">AB122/AA122</f>
      </c>
      <c r="U122" s="295">
        <f t="shared" ref="U122:U126" si="151">AC122/AA122</f>
      </c>
      <c r="V122" s="295">
        <f t="shared" ref="V122:V126" si="224">AE122/AC122</f>
      </c>
      <c r="W122" s="275">
        <f t="shared" ref="W122:W126" si="74">AD122/X122</f>
      </c>
      <c r="X122" s="295">
        <f t="shared" ref="X122:X126" si="125">AD122/AC122</f>
      </c>
      <c r="Y122" s="275">
        <v>47</v>
      </c>
      <c r="Z122" s="296">
        <f t="shared" ref="Z122:Z126" si="173">(H122/AA122)*1000</f>
      </c>
      <c r="AA122" s="275">
        <v>117077</v>
      </c>
      <c r="AB122" s="275">
        <v>2994</v>
      </c>
      <c r="AC122" s="275">
        <v>3313</v>
      </c>
      <c r="AD122" s="275">
        <v>458</v>
      </c>
      <c r="AE122" s="282">
        <v>171</v>
      </c>
      <c r="AF122" s="275">
        <v>16</v>
      </c>
      <c r="AG122" s="275">
        <v>0</v>
      </c>
      <c r="AH122" s="275">
        <v>70</v>
      </c>
    </row>
    <row r="123">
      <c r="A123" s="264">
        <v>46259</v>
      </c>
      <c r="B123" s="219" t="s">
        <v>709</v>
      </c>
      <c r="C123" s="304" t="s">
        <v>719</v>
      </c>
      <c r="D123" s="302">
        <v>4</v>
      </c>
      <c r="E123" s="219">
        <v>17</v>
      </c>
      <c r="F123" s="219">
        <v>18</v>
      </c>
      <c r="G123" s="293">
        <v>38807.94</v>
      </c>
      <c r="H123" s="277">
        <v>13802.939999999999</v>
      </c>
      <c r="I123" s="269">
        <f t="shared" si="81"/>
      </c>
      <c r="J123" s="270">
        <f t="shared" si="132"/>
      </c>
      <c r="K123" s="270">
        <f t="shared" si="180"/>
      </c>
      <c r="L123" s="271">
        <f t="shared" si="24"/>
      </c>
      <c r="M123" s="278"/>
      <c r="N123" s="273"/>
      <c r="O123" s="265"/>
      <c r="P123" s="236"/>
      <c r="Q123" s="274"/>
      <c r="R123" s="293">
        <f t="shared" si="199"/>
      </c>
      <c r="S123" s="294">
        <f t="shared" si="49"/>
      </c>
      <c r="T123" s="295">
        <f t="shared" si="100"/>
      </c>
      <c r="U123" s="295">
        <f t="shared" si="151"/>
      </c>
      <c r="V123" s="295">
        <f t="shared" si="224"/>
      </c>
      <c r="W123" s="275">
        <f t="shared" si="74"/>
      </c>
      <c r="X123" s="295">
        <f t="shared" si="125"/>
      </c>
      <c r="Y123" s="275">
        <v>49</v>
      </c>
      <c r="Z123" s="296">
        <f t="shared" si="173"/>
      </c>
      <c r="AA123" s="275">
        <v>98503</v>
      </c>
      <c r="AB123" s="275">
        <v>2776</v>
      </c>
      <c r="AC123" s="275">
        <v>3041</v>
      </c>
      <c r="AD123" s="275">
        <v>328</v>
      </c>
      <c r="AE123" s="275">
        <v>309</v>
      </c>
      <c r="AF123" s="275">
        <v>21</v>
      </c>
      <c r="AG123" s="275">
        <v>5</v>
      </c>
      <c r="AH123" s="275">
        <v>30</v>
      </c>
    </row>
    <row r="124">
      <c r="A124" s="264">
        <v>46259</v>
      </c>
      <c r="B124" s="219" t="s">
        <v>700</v>
      </c>
      <c r="C124" s="304" t="s">
        <v>720</v>
      </c>
      <c r="D124" s="302">
        <v>4</v>
      </c>
      <c r="E124" s="219">
        <v>13</v>
      </c>
      <c r="F124" s="219">
        <v>14</v>
      </c>
      <c r="G124" s="293">
        <v>35319.85999999998</v>
      </c>
      <c r="H124" s="277">
        <v>13186.27</v>
      </c>
      <c r="I124" s="269">
        <f t="shared" si="81"/>
      </c>
      <c r="J124" s="270">
        <f t="shared" si="132"/>
      </c>
      <c r="K124" s="270">
        <f t="shared" si="180"/>
      </c>
      <c r="L124" s="271">
        <f t="shared" si="24"/>
      </c>
      <c r="M124" s="278"/>
      <c r="N124" s="273"/>
      <c r="O124" s="265"/>
      <c r="P124" s="236"/>
      <c r="Q124" s="274"/>
      <c r="R124" s="293">
        <f t="shared" si="199"/>
      </c>
      <c r="S124" s="294">
        <f t="shared" si="49"/>
      </c>
      <c r="T124" s="295">
        <f t="shared" si="100"/>
      </c>
      <c r="U124" s="295">
        <f t="shared" si="151"/>
      </c>
      <c r="V124" s="295">
        <f t="shared" si="224"/>
      </c>
      <c r="W124" s="275">
        <f t="shared" si="74"/>
      </c>
      <c r="X124" s="295">
        <f t="shared" si="125"/>
      </c>
      <c r="Y124" s="275">
        <v>45</v>
      </c>
      <c r="Z124" s="296">
        <f t="shared" si="173"/>
      </c>
      <c r="AA124" s="275">
        <v>103873</v>
      </c>
      <c r="AB124" s="275">
        <v>2619</v>
      </c>
      <c r="AC124" s="275">
        <v>2819</v>
      </c>
      <c r="AD124" s="275">
        <v>341</v>
      </c>
      <c r="AE124" s="275">
        <v>254</v>
      </c>
      <c r="AF124" s="275">
        <v>14</v>
      </c>
      <c r="AG124" s="275">
        <v>4</v>
      </c>
      <c r="AH124" s="275">
        <v>52</v>
      </c>
    </row>
    <row r="125">
      <c r="A125" s="264">
        <v>46259</v>
      </c>
      <c r="B125" s="219" t="s">
        <v>721</v>
      </c>
      <c r="C125" s="304" t="s">
        <v>722</v>
      </c>
      <c r="D125" s="302">
        <v>4</v>
      </c>
      <c r="E125" s="272">
        <v>19</v>
      </c>
      <c r="F125" s="272">
        <v>21</v>
      </c>
      <c r="G125" s="298">
        <v>51177.10000000002</v>
      </c>
      <c r="H125" s="297">
        <v>14632.1</v>
      </c>
      <c r="I125" s="269">
        <f t="shared" si="81"/>
      </c>
      <c r="J125" s="270">
        <f t="shared" si="132"/>
      </c>
      <c r="K125" s="270">
        <f t="shared" si="180"/>
      </c>
      <c r="L125" s="271">
        <f t="shared" si="24"/>
      </c>
      <c r="M125" s="236"/>
      <c r="N125" s="236"/>
      <c r="O125" s="265"/>
      <c r="P125" s="236"/>
      <c r="Q125" s="274"/>
      <c r="R125" s="293">
        <f t="shared" si="199"/>
      </c>
      <c r="S125" s="294">
        <f t="shared" si="49"/>
      </c>
      <c r="T125" s="295">
        <f t="shared" si="100"/>
      </c>
      <c r="U125" s="295">
        <f t="shared" si="151"/>
      </c>
      <c r="V125" s="295">
        <f t="shared" si="224"/>
      </c>
      <c r="W125" s="275">
        <f t="shared" si="74"/>
      </c>
      <c r="X125" s="295">
        <f t="shared" si="125"/>
      </c>
      <c r="Y125" s="275">
        <v>46.5</v>
      </c>
      <c r="Z125" s="296">
        <f t="shared" si="173"/>
      </c>
      <c r="AA125" s="275">
        <v>100596</v>
      </c>
      <c r="AB125" s="275">
        <v>2437</v>
      </c>
      <c r="AC125" s="275">
        <v>2664</v>
      </c>
      <c r="AD125" s="275">
        <v>385</v>
      </c>
      <c r="AE125" s="275">
        <v>315</v>
      </c>
      <c r="AF125" s="275">
        <v>15</v>
      </c>
      <c r="AG125" s="275">
        <v>3</v>
      </c>
      <c r="AH125" s="275">
        <v>53</v>
      </c>
    </row>
    <row r="126">
      <c r="A126" s="264">
        <v>46259</v>
      </c>
      <c r="B126" s="242" t="s">
        <v>697</v>
      </c>
      <c r="C126" s="304" t="s">
        <v>723</v>
      </c>
      <c r="D126" s="302">
        <v>4</v>
      </c>
      <c r="E126" s="272">
        <v>10</v>
      </c>
      <c r="F126" s="272">
        <v>11</v>
      </c>
      <c r="G126" s="298">
        <v>25585.339999999967</v>
      </c>
      <c r="H126" s="280">
        <v>10850.21</v>
      </c>
      <c r="I126" s="270">
        <f t="shared" si="81"/>
      </c>
      <c r="J126" s="270">
        <f t="shared" si="132"/>
      </c>
      <c r="K126" s="271">
        <f t="shared" si="180"/>
      </c>
      <c r="L126" s="271">
        <f t="shared" si="24"/>
      </c>
      <c r="M126" s="219" t="s">
        <v>716</v>
      </c>
      <c r="N126" s="281">
        <v>10</v>
      </c>
      <c r="O126" s="265"/>
      <c r="P126" s="236"/>
      <c r="Q126" s="274"/>
      <c r="R126" s="293">
        <f t="shared" si="199"/>
      </c>
      <c r="S126" s="294">
        <f t="shared" si="49"/>
      </c>
      <c r="T126" s="295">
        <f t="shared" si="100"/>
      </c>
      <c r="U126" s="295">
        <f t="shared" si="151"/>
      </c>
      <c r="V126" s="295">
        <f t="shared" si="224"/>
      </c>
      <c r="W126" s="275">
        <f t="shared" si="74"/>
      </c>
      <c r="X126" s="295">
        <f t="shared" si="125"/>
      </c>
      <c r="Y126" s="282">
        <v>47.75</v>
      </c>
      <c r="Z126" s="296">
        <f t="shared" si="173"/>
      </c>
      <c r="AA126" s="275">
        <v>117450</v>
      </c>
      <c r="AB126" s="275">
        <v>2435</v>
      </c>
      <c r="AC126" s="275">
        <v>2692</v>
      </c>
      <c r="AD126" s="275">
        <v>329</v>
      </c>
      <c r="AE126" s="275">
        <v>200</v>
      </c>
      <c r="AF126" s="275">
        <v>27</v>
      </c>
      <c r="AG126" s="275">
        <v>4</v>
      </c>
      <c r="AH126" s="275">
        <v>99</v>
      </c>
    </row>
    <row r="127">
      <c r="A127" s="283">
        <v>46259</v>
      </c>
      <c r="B127" s="284" t="s">
        <v>707</v>
      </c>
      <c r="C127" s="285"/>
      <c r="D127" s="285">
        <f>SUM(D122:D126)</f>
      </c>
      <c r="E127" s="285">
        <f>SUM(E122:E126)</f>
      </c>
      <c r="F127" s="285">
        <f>SUM(F122:F126)</f>
      </c>
      <c r="G127" s="286">
        <f>SUM(G122:G126)</f>
      </c>
      <c r="H127" s="286">
        <f>SUM(H122:H126)</f>
      </c>
      <c r="I127" s="287">
        <f t="shared" si="81"/>
      </c>
      <c r="J127" s="287">
        <f t="shared" si="132"/>
      </c>
      <c r="K127" s="287">
        <f t="shared" si="180"/>
      </c>
      <c r="L127" s="287"/>
      <c r="M127" s="285"/>
      <c r="N127" s="288">
        <f>SUM(N122:N126)</f>
      </c>
      <c r="O127" s="285"/>
      <c r="P127" s="285"/>
      <c r="Q127" s="285"/>
      <c r="R127" s="289">
        <f>AVERAGE(R122:R126)</f>
      </c>
      <c r="S127" s="290">
        <f>AVERAGE(S122:S126)</f>
      </c>
      <c r="T127" s="290">
        <f>AVERAGE(T122:T126)</f>
      </c>
      <c r="U127" s="290">
        <f>AVERAGE(U122:U126)</f>
      </c>
      <c r="V127" s="290">
        <f>AVERAGE(V122:V126)</f>
      </c>
      <c r="W127" s="291">
        <f>SUM(W122:W126)</f>
      </c>
      <c r="X127" s="290">
        <f>AVERAGE(X122:X126)</f>
      </c>
      <c r="Y127" s="291"/>
      <c r="Z127" s="292">
        <f>AVERAGE(Z122:Z126)</f>
      </c>
      <c r="AA127" s="291">
        <f>SUM(AA122:AA126)</f>
      </c>
      <c r="AB127" s="291">
        <f>SUM(AB122:AB126)</f>
      </c>
      <c r="AC127" s="291">
        <f>SUM(AC122:AC126)</f>
      </c>
      <c r="AD127" s="291">
        <f>SUM(AD122:AD126)</f>
      </c>
      <c r="AE127" s="291">
        <f>SUM(AE122:AE126)</f>
      </c>
      <c r="AF127" s="291">
        <f>SUM(AF122:AF126)</f>
      </c>
      <c r="AG127" s="291">
        <f>SUM(AG122:AG126)</f>
      </c>
      <c r="AH127" s="291">
        <f>SUM(AH122:AH126)</f>
      </c>
    </row>
    <row r="128">
      <c r="A128" s="264">
        <v>46260</v>
      </c>
      <c r="B128" s="242" t="s">
        <v>709</v>
      </c>
      <c r="C128" s="304" t="s">
        <v>718</v>
      </c>
      <c r="D128" s="219">
        <v>4</v>
      </c>
      <c r="E128" s="266">
        <v>10</v>
      </c>
      <c r="F128" s="266">
        <v>11</v>
      </c>
      <c r="G128" s="300">
        <v>25830.119999999995</v>
      </c>
      <c r="H128" s="301">
        <v>13191.36</v>
      </c>
      <c r="I128" s="269">
        <f t="shared" si="81"/>
      </c>
      <c r="J128" s="270">
        <f t="shared" si="132"/>
      </c>
      <c r="K128" s="271">
        <f t="shared" si="180"/>
      </c>
      <c r="L128" s="271">
        <f t="shared" ref="L128:L132" si="25">H128/D128</f>
      </c>
      <c r="M128" s="272" t="s">
        <v>710</v>
      </c>
      <c r="N128" s="273">
        <v>10</v>
      </c>
      <c r="O128" s="265"/>
      <c r="P128" s="236"/>
      <c r="Q128" s="274"/>
      <c r="R128" s="293">
        <f t="shared" ref="R128:R132" si="200">H128/AB128</f>
      </c>
      <c r="S128" s="294">
        <f t="shared" ref="S128:S132" si="50">W128/AA128*1</f>
      </c>
      <c r="T128" s="295">
        <f t="shared" ref="T128:T132" si="101">AB128/AA128</f>
      </c>
      <c r="U128" s="295">
        <f t="shared" ref="U128:U132" si="152">AC128/AA128</f>
      </c>
      <c r="V128" s="295">
        <f t="shared" ref="V128:V132" si="225">AE128/AC128</f>
      </c>
      <c r="W128" s="275">
        <f t="shared" ref="W128:W132" si="75">AD128/X128</f>
      </c>
      <c r="X128" s="295">
        <f t="shared" ref="X128:X132" si="126">AD128/AC128</f>
      </c>
      <c r="Y128" s="275">
        <v>42.75</v>
      </c>
      <c r="Z128" s="296">
        <f t="shared" ref="Z128:Z132" si="174">(H128/AA128)*1000</f>
      </c>
      <c r="AA128" s="275">
        <v>126279</v>
      </c>
      <c r="AB128" s="275">
        <v>2697</v>
      </c>
      <c r="AC128" s="275">
        <v>3005</v>
      </c>
      <c r="AD128" s="275">
        <v>415</v>
      </c>
      <c r="AE128" s="282">
        <v>239</v>
      </c>
      <c r="AF128" s="275">
        <v>27</v>
      </c>
      <c r="AG128" s="275">
        <v>4</v>
      </c>
      <c r="AH128" s="275">
        <v>86</v>
      </c>
    </row>
    <row r="129">
      <c r="A129" s="264">
        <v>46260</v>
      </c>
      <c r="B129" s="242" t="s">
        <v>704</v>
      </c>
      <c r="C129" s="304" t="s">
        <v>719</v>
      </c>
      <c r="D129" s="302">
        <v>4</v>
      </c>
      <c r="E129" s="219">
        <v>12</v>
      </c>
      <c r="F129" s="219">
        <v>18</v>
      </c>
      <c r="G129" s="293">
        <v>41695.59</v>
      </c>
      <c r="H129" s="277">
        <v>9945.87</v>
      </c>
      <c r="I129" s="269">
        <f t="shared" si="81"/>
      </c>
      <c r="J129" s="270">
        <f t="shared" si="132"/>
      </c>
      <c r="K129" s="270">
        <f t="shared" si="180"/>
      </c>
      <c r="L129" s="271">
        <f t="shared" si="25"/>
      </c>
      <c r="M129" s="278"/>
      <c r="N129" s="273"/>
      <c r="O129" s="265"/>
      <c r="P129" s="236"/>
      <c r="Q129" s="274"/>
      <c r="R129" s="293">
        <f t="shared" si="200"/>
      </c>
      <c r="S129" s="294">
        <f t="shared" si="50"/>
      </c>
      <c r="T129" s="295">
        <f t="shared" si="101"/>
      </c>
      <c r="U129" s="295">
        <f t="shared" si="152"/>
      </c>
      <c r="V129" s="295">
        <f t="shared" si="225"/>
      </c>
      <c r="W129" s="275">
        <f t="shared" si="75"/>
      </c>
      <c r="X129" s="295">
        <f t="shared" si="126"/>
      </c>
      <c r="Y129" s="275">
        <v>53.75</v>
      </c>
      <c r="Z129" s="296">
        <f t="shared" si="174"/>
      </c>
      <c r="AA129" s="275">
        <v>68412</v>
      </c>
      <c r="AB129" s="275">
        <v>1007</v>
      </c>
      <c r="AC129" s="275">
        <v>1185</v>
      </c>
      <c r="AD129" s="275">
        <v>173</v>
      </c>
      <c r="AE129" s="275">
        <v>212</v>
      </c>
      <c r="AF129" s="275">
        <v>11</v>
      </c>
      <c r="AG129" s="275">
        <v>3</v>
      </c>
      <c r="AH129" s="275">
        <v>38</v>
      </c>
    </row>
    <row r="130">
      <c r="A130" s="264">
        <v>46260</v>
      </c>
      <c r="B130" s="219" t="s">
        <v>700</v>
      </c>
      <c r="C130" s="304" t="s">
        <v>720</v>
      </c>
      <c r="D130" s="302">
        <v>4</v>
      </c>
      <c r="E130" s="219">
        <v>7</v>
      </c>
      <c r="F130" s="219">
        <v>13</v>
      </c>
      <c r="G130" s="293">
        <v>32037.83999999999</v>
      </c>
      <c r="H130" s="277">
        <v>9489.4</v>
      </c>
      <c r="I130" s="269">
        <f t="shared" si="81"/>
      </c>
      <c r="J130" s="270">
        <f t="shared" si="132"/>
      </c>
      <c r="K130" s="270">
        <f t="shared" si="180"/>
      </c>
      <c r="L130" s="271">
        <f t="shared" si="25"/>
      </c>
      <c r="M130" s="278"/>
      <c r="N130" s="273"/>
      <c r="O130" s="265"/>
      <c r="P130" s="236"/>
      <c r="Q130" s="274"/>
      <c r="R130" s="293">
        <f t="shared" si="200"/>
      </c>
      <c r="S130" s="294">
        <f t="shared" si="50"/>
      </c>
      <c r="T130" s="295">
        <f t="shared" si="101"/>
      </c>
      <c r="U130" s="295">
        <f t="shared" si="152"/>
      </c>
      <c r="V130" s="295">
        <f t="shared" si="225"/>
      </c>
      <c r="W130" s="275">
        <f t="shared" si="75"/>
      </c>
      <c r="X130" s="295">
        <f t="shared" si="126"/>
      </c>
      <c r="Y130" s="275">
        <v>54.5</v>
      </c>
      <c r="Z130" s="296">
        <f t="shared" si="174"/>
      </c>
      <c r="AA130" s="275">
        <v>64530</v>
      </c>
      <c r="AB130" s="275">
        <v>1793</v>
      </c>
      <c r="AC130" s="275">
        <v>2019</v>
      </c>
      <c r="AD130" s="275">
        <v>182</v>
      </c>
      <c r="AE130" s="275">
        <v>173</v>
      </c>
      <c r="AF130" s="275">
        <v>5</v>
      </c>
      <c r="AG130" s="275">
        <v>3</v>
      </c>
      <c r="AH130" s="275">
        <v>15</v>
      </c>
    </row>
    <row r="131">
      <c r="A131" s="264">
        <v>46260</v>
      </c>
      <c r="B131" s="219" t="s">
        <v>697</v>
      </c>
      <c r="C131" s="304" t="s">
        <v>722</v>
      </c>
      <c r="D131" s="302">
        <v>4</v>
      </c>
      <c r="E131" s="272">
        <v>13</v>
      </c>
      <c r="F131" s="272">
        <v>16</v>
      </c>
      <c r="G131" s="298">
        <v>45775.45000000001</v>
      </c>
      <c r="H131" s="297">
        <v>14282.56</v>
      </c>
      <c r="I131" s="269">
        <f t="shared" si="81"/>
      </c>
      <c r="J131" s="270">
        <f t="shared" si="132"/>
      </c>
      <c r="K131" s="270">
        <f t="shared" si="180"/>
      </c>
      <c r="L131" s="271">
        <f t="shared" si="25"/>
      </c>
      <c r="M131" s="236"/>
      <c r="N131" s="236"/>
      <c r="O131" s="265"/>
      <c r="P131" s="236"/>
      <c r="Q131" s="274"/>
      <c r="R131" s="293">
        <f t="shared" si="200"/>
      </c>
      <c r="S131" s="294">
        <f t="shared" si="50"/>
      </c>
      <c r="T131" s="295">
        <f t="shared" si="101"/>
      </c>
      <c r="U131" s="295">
        <f t="shared" si="152"/>
      </c>
      <c r="V131" s="295">
        <f t="shared" si="225"/>
      </c>
      <c r="W131" s="275">
        <f t="shared" si="75"/>
      </c>
      <c r="X131" s="295">
        <f t="shared" si="126"/>
      </c>
      <c r="Y131" s="275">
        <v>49.75</v>
      </c>
      <c r="Z131" s="296">
        <f t="shared" si="174"/>
      </c>
      <c r="AA131" s="275">
        <v>135713</v>
      </c>
      <c r="AB131" s="275">
        <v>2927</v>
      </c>
      <c r="AC131" s="275">
        <v>3090</v>
      </c>
      <c r="AD131" s="275">
        <v>362</v>
      </c>
      <c r="AE131" s="275">
        <v>303</v>
      </c>
      <c r="AF131" s="275">
        <v>15</v>
      </c>
      <c r="AG131" s="275">
        <v>3</v>
      </c>
      <c r="AH131" s="275">
        <v>62</v>
      </c>
    </row>
    <row r="132">
      <c r="A132" s="264">
        <v>46260</v>
      </c>
      <c r="B132" s="242" t="s">
        <v>721</v>
      </c>
      <c r="C132" s="304" t="s">
        <v>723</v>
      </c>
      <c r="D132" s="302">
        <v>4</v>
      </c>
      <c r="E132" s="272">
        <v>10</v>
      </c>
      <c r="F132" s="272">
        <v>12</v>
      </c>
      <c r="G132" s="298">
        <v>29399.72</v>
      </c>
      <c r="H132" s="280">
        <v>9521.28</v>
      </c>
      <c r="I132" s="270">
        <f t="shared" si="81"/>
      </c>
      <c r="J132" s="270">
        <f t="shared" si="132"/>
      </c>
      <c r="K132" s="271">
        <f t="shared" si="180"/>
      </c>
      <c r="L132" s="271">
        <f t="shared" si="25"/>
      </c>
      <c r="M132" s="219" t="s">
        <v>716</v>
      </c>
      <c r="N132" s="281">
        <v>10</v>
      </c>
      <c r="O132" s="265"/>
      <c r="P132" s="236"/>
      <c r="Q132" s="274"/>
      <c r="R132" s="293">
        <f t="shared" si="200"/>
      </c>
      <c r="S132" s="294">
        <f t="shared" si="50"/>
      </c>
      <c r="T132" s="295">
        <f t="shared" si="101"/>
      </c>
      <c r="U132" s="295">
        <f t="shared" si="152"/>
      </c>
      <c r="V132" s="295">
        <f t="shared" si="225"/>
      </c>
      <c r="W132" s="275">
        <f t="shared" si="75"/>
      </c>
      <c r="X132" s="295">
        <f t="shared" si="126"/>
      </c>
      <c r="Y132" s="282">
        <v>51</v>
      </c>
      <c r="Z132" s="296">
        <f t="shared" si="174"/>
      </c>
      <c r="AA132" s="275">
        <v>97048</v>
      </c>
      <c r="AB132" s="275">
        <v>2463</v>
      </c>
      <c r="AC132" s="275">
        <v>2684</v>
      </c>
      <c r="AD132" s="275">
        <v>309</v>
      </c>
      <c r="AE132" s="275">
        <v>233</v>
      </c>
      <c r="AF132" s="275">
        <v>18</v>
      </c>
      <c r="AG132" s="275">
        <v>4</v>
      </c>
      <c r="AH132" s="275">
        <v>50</v>
      </c>
    </row>
    <row r="133">
      <c r="A133" s="283">
        <v>46260</v>
      </c>
      <c r="B133" s="284" t="s">
        <v>707</v>
      </c>
      <c r="C133" s="285"/>
      <c r="D133" s="285">
        <f>SUM(D128:D132)</f>
      </c>
      <c r="E133" s="285">
        <f>SUM(E128:E132)</f>
      </c>
      <c r="F133" s="285">
        <f>SUM(F128:F132)</f>
      </c>
      <c r="G133" s="286">
        <f>SUM(G128:G132)</f>
      </c>
      <c r="H133" s="286">
        <f>SUM(H128:H132)</f>
      </c>
      <c r="I133" s="287">
        <f t="shared" si="81"/>
      </c>
      <c r="J133" s="287">
        <f t="shared" si="132"/>
      </c>
      <c r="K133" s="287">
        <f t="shared" si="180"/>
      </c>
      <c r="L133" s="287"/>
      <c r="M133" s="285"/>
      <c r="N133" s="288">
        <f>SUM(N128:N132)</f>
      </c>
      <c r="O133" s="285"/>
      <c r="P133" s="285"/>
      <c r="Q133" s="285"/>
      <c r="R133" s="289">
        <f>AVERAGE(R128:R132)</f>
      </c>
      <c r="S133" s="290">
        <f>AVERAGE(S128:S132)</f>
      </c>
      <c r="T133" s="290">
        <f>AVERAGE(T128:T132)</f>
      </c>
      <c r="U133" s="290">
        <f>AVERAGE(U128:U132)</f>
      </c>
      <c r="V133" s="290">
        <f>AVERAGE(V128:V132)</f>
      </c>
      <c r="W133" s="291">
        <f>SUM(W128:W132)</f>
      </c>
      <c r="X133" s="290">
        <f>AVERAGE(X128:X132)</f>
      </c>
      <c r="Y133" s="291"/>
      <c r="Z133" s="292">
        <f>AVERAGE(Z128:Z132)</f>
      </c>
      <c r="AA133" s="291">
        <f>SUM(AA128:AA132)</f>
      </c>
      <c r="AB133" s="291">
        <f>SUM(AB128:AB132)</f>
      </c>
      <c r="AC133" s="291">
        <f>SUM(AC128:AC132)</f>
      </c>
      <c r="AD133" s="291">
        <f>SUM(AD128:AD132)</f>
      </c>
      <c r="AE133" s="291">
        <f>SUM(AE128:AE132)</f>
      </c>
      <c r="AF133" s="291">
        <f>SUM(AF128:AF132)</f>
      </c>
      <c r="AG133" s="291">
        <f>SUM(AG128:AG132)</f>
      </c>
      <c r="AH133" s="291">
        <f>SUM(AH128:AH132)</f>
      </c>
    </row>
    <row r="134">
      <c r="A134" s="264">
        <v>46261</v>
      </c>
      <c r="B134" s="242" t="s">
        <v>709</v>
      </c>
      <c r="C134" s="304" t="s">
        <v>698</v>
      </c>
      <c r="D134" s="219">
        <v>5</v>
      </c>
      <c r="E134" s="266">
        <v>13</v>
      </c>
      <c r="F134" s="266">
        <v>18</v>
      </c>
      <c r="G134" s="300">
        <v>45540.59</v>
      </c>
      <c r="H134" s="301">
        <v>17409.440000000002</v>
      </c>
      <c r="I134" s="269">
        <f t="shared" si="81"/>
      </c>
      <c r="J134" s="270">
        <f t="shared" si="132"/>
      </c>
      <c r="K134" s="271">
        <f t="shared" si="180"/>
      </c>
      <c r="L134" s="271">
        <f t="shared" ref="L134:L137" si="26">H134/D134</f>
      </c>
      <c r="M134" s="272" t="s">
        <v>710</v>
      </c>
      <c r="N134" s="273">
        <v>10</v>
      </c>
      <c r="O134" s="265"/>
      <c r="P134" s="236"/>
      <c r="Q134" s="274"/>
      <c r="R134" s="293">
        <f t="shared" ref="R134:R137" si="201">H134/AB134</f>
      </c>
      <c r="S134" s="294">
        <f t="shared" ref="S134:S137" si="51">W134/AA134*1</f>
      </c>
      <c r="T134" s="295">
        <f t="shared" ref="T134:T137" si="102">AB134/AA134</f>
      </c>
      <c r="U134" s="295">
        <f t="shared" ref="U134:U137" si="153">AC134/AA134</f>
      </c>
      <c r="V134" s="295">
        <f t="shared" ref="V134:V137" si="226">AE134/AC134</f>
      </c>
      <c r="W134" s="275">
        <f t="shared" ref="W134:W137" si="76">AD134/X134</f>
      </c>
      <c r="X134" s="295">
        <f t="shared" ref="X134:X137" si="127">AD134/AC134</f>
      </c>
      <c r="Y134" s="275">
        <v>44.4</v>
      </c>
      <c r="Z134" s="296">
        <v>122.62068771218078</v>
      </c>
      <c r="AA134" s="275">
        <v>141978</v>
      </c>
      <c r="AB134" s="275">
        <v>3357</v>
      </c>
      <c r="AC134" s="275">
        <v>3670</v>
      </c>
      <c r="AD134" s="275">
        <v>615</v>
      </c>
      <c r="AE134" s="282">
        <v>147</v>
      </c>
      <c r="AF134" s="275">
        <v>43</v>
      </c>
      <c r="AG134" s="275">
        <v>10</v>
      </c>
      <c r="AH134" s="275">
        <v>133</v>
      </c>
    </row>
    <row r="135">
      <c r="A135" s="264">
        <v>46261</v>
      </c>
      <c r="B135" s="219" t="s">
        <v>700</v>
      </c>
      <c r="C135" s="304" t="s">
        <v>701</v>
      </c>
      <c r="D135" s="302">
        <v>5</v>
      </c>
      <c r="E135" s="219">
        <v>19</v>
      </c>
      <c r="F135" s="219">
        <v>21</v>
      </c>
      <c r="G135" s="293">
        <v>52340.72</v>
      </c>
      <c r="H135" s="277">
        <v>21717.15</v>
      </c>
      <c r="I135" s="269">
        <f t="shared" si="81"/>
      </c>
      <c r="J135" s="270">
        <f t="shared" si="132"/>
      </c>
      <c r="K135" s="270">
        <f t="shared" si="180"/>
      </c>
      <c r="L135" s="271">
        <f t="shared" si="26"/>
      </c>
      <c r="M135" s="278"/>
      <c r="N135" s="273"/>
      <c r="O135" s="265"/>
      <c r="P135" s="236"/>
      <c r="Q135" s="274"/>
      <c r="R135" s="293">
        <f t="shared" si="201"/>
      </c>
      <c r="S135" s="294">
        <f t="shared" si="51"/>
      </c>
      <c r="T135" s="295">
        <f t="shared" si="102"/>
      </c>
      <c r="U135" s="295">
        <f t="shared" si="153"/>
      </c>
      <c r="V135" s="295">
        <f t="shared" si="226"/>
      </c>
      <c r="W135" s="275">
        <f t="shared" si="76"/>
      </c>
      <c r="X135" s="295">
        <f t="shared" si="127"/>
      </c>
      <c r="Y135" s="275">
        <v>51.4</v>
      </c>
      <c r="Z135" s="296">
        <f t="shared" ref="Z135:Z137" si="175">(H135/AA135)*1000</f>
      </c>
      <c r="AA135" s="275">
        <v>166422</v>
      </c>
      <c r="AB135" s="275">
        <v>2820</v>
      </c>
      <c r="AC135" s="275">
        <v>3053</v>
      </c>
      <c r="AD135" s="275">
        <v>477</v>
      </c>
      <c r="AE135" s="275">
        <v>403</v>
      </c>
      <c r="AF135" s="275">
        <v>27</v>
      </c>
      <c r="AG135" s="275">
        <v>7</v>
      </c>
      <c r="AH135" s="275">
        <v>79</v>
      </c>
    </row>
    <row r="136">
      <c r="A136" s="264">
        <v>46261</v>
      </c>
      <c r="B136" s="219" t="s">
        <v>697</v>
      </c>
      <c r="C136" s="304" t="s">
        <v>703</v>
      </c>
      <c r="D136" s="302">
        <v>5</v>
      </c>
      <c r="E136" s="219">
        <v>20</v>
      </c>
      <c r="F136" s="219">
        <v>22</v>
      </c>
      <c r="G136" s="293">
        <v>59983.36</v>
      </c>
      <c r="H136" s="277">
        <v>16945.65</v>
      </c>
      <c r="I136" s="269">
        <f t="shared" si="81"/>
      </c>
      <c r="J136" s="270">
        <f t="shared" si="132"/>
      </c>
      <c r="K136" s="270">
        <f t="shared" si="180"/>
      </c>
      <c r="L136" s="271">
        <f t="shared" si="26"/>
      </c>
      <c r="M136" s="278" t="s">
        <v>716</v>
      </c>
      <c r="N136" s="273">
        <v>10</v>
      </c>
      <c r="O136" s="265"/>
      <c r="P136" s="236"/>
      <c r="Q136" s="274"/>
      <c r="R136" s="293">
        <f t="shared" si="201"/>
      </c>
      <c r="S136" s="294">
        <f t="shared" si="51"/>
      </c>
      <c r="T136" s="295">
        <f t="shared" si="102"/>
      </c>
      <c r="U136" s="295">
        <f t="shared" si="153"/>
      </c>
      <c r="V136" s="295">
        <f t="shared" si="226"/>
      </c>
      <c r="W136" s="275">
        <f t="shared" si="76"/>
      </c>
      <c r="X136" s="295">
        <f t="shared" si="127"/>
      </c>
      <c r="Y136" s="275">
        <v>53.2</v>
      </c>
      <c r="Z136" s="296">
        <f t="shared" si="175"/>
      </c>
      <c r="AA136" s="275">
        <v>133223</v>
      </c>
      <c r="AB136" s="275">
        <v>2253</v>
      </c>
      <c r="AC136" s="275">
        <v>2430</v>
      </c>
      <c r="AD136" s="275">
        <v>501</v>
      </c>
      <c r="AE136" s="275">
        <v>364</v>
      </c>
      <c r="AF136" s="275">
        <v>26</v>
      </c>
      <c r="AG136" s="275">
        <v>4</v>
      </c>
      <c r="AH136" s="275">
        <v>99</v>
      </c>
    </row>
    <row r="137">
      <c r="A137" s="264">
        <v>46261</v>
      </c>
      <c r="B137" s="242" t="s">
        <v>704</v>
      </c>
      <c r="C137" s="304" t="s">
        <v>705</v>
      </c>
      <c r="D137" s="302">
        <v>5</v>
      </c>
      <c r="E137" s="272">
        <v>16</v>
      </c>
      <c r="F137" s="272">
        <v>21</v>
      </c>
      <c r="G137" s="298">
        <v>52246.280000000006</v>
      </c>
      <c r="H137" s="297">
        <v>15719.769999999999</v>
      </c>
      <c r="I137" s="269">
        <f t="shared" si="81"/>
      </c>
      <c r="J137" s="270">
        <f t="shared" si="132"/>
      </c>
      <c r="K137" s="270">
        <f t="shared" si="180"/>
      </c>
      <c r="L137" s="271">
        <f t="shared" si="26"/>
      </c>
      <c r="M137" s="236"/>
      <c r="N137" s="236"/>
      <c r="O137" s="265"/>
      <c r="P137" s="236"/>
      <c r="Q137" s="274"/>
      <c r="R137" s="293">
        <f t="shared" si="201"/>
      </c>
      <c r="S137" s="294">
        <f t="shared" si="51"/>
      </c>
      <c r="T137" s="295">
        <f t="shared" si="102"/>
      </c>
      <c r="U137" s="295">
        <f t="shared" si="153"/>
      </c>
      <c r="V137" s="295">
        <f t="shared" si="226"/>
      </c>
      <c r="W137" s="275">
        <f t="shared" si="76"/>
      </c>
      <c r="X137" s="295">
        <f t="shared" si="127"/>
      </c>
      <c r="Y137" s="282">
        <v>55</v>
      </c>
      <c r="Z137" s="296">
        <f t="shared" si="175"/>
      </c>
      <c r="AA137" s="275">
        <v>136237</v>
      </c>
      <c r="AB137" s="275">
        <v>3341</v>
      </c>
      <c r="AC137" s="275">
        <v>3596</v>
      </c>
      <c r="AD137" s="275">
        <v>430</v>
      </c>
      <c r="AE137" s="275">
        <v>363</v>
      </c>
      <c r="AF137" s="275">
        <v>25</v>
      </c>
      <c r="AG137" s="275">
        <v>6</v>
      </c>
      <c r="AH137" s="275">
        <v>84</v>
      </c>
    </row>
    <row r="138">
      <c r="A138" s="283">
        <v>46261</v>
      </c>
      <c r="B138" s="284" t="s">
        <v>707</v>
      </c>
      <c r="C138" s="285"/>
      <c r="D138" s="285">
        <f>SUM(D134:D137)</f>
      </c>
      <c r="E138" s="285">
        <f>SUM(E134:E137)</f>
      </c>
      <c r="F138" s="285">
        <f>SUM(F134:F137)</f>
      </c>
      <c r="G138" s="286">
        <f>SUM(G134:G137)</f>
      </c>
      <c r="H138" s="286">
        <f>SUM(H134:H137)</f>
      </c>
      <c r="I138" s="287">
        <f t="shared" si="81"/>
      </c>
      <c r="J138" s="287">
        <f t="shared" si="132"/>
      </c>
      <c r="K138" s="287">
        <f t="shared" si="180"/>
      </c>
      <c r="L138" s="287"/>
      <c r="M138" s="285"/>
      <c r="N138" s="288">
        <f>SUM(N134:N137)</f>
      </c>
      <c r="O138" s="285"/>
      <c r="P138" s="285"/>
      <c r="Q138" s="285"/>
      <c r="R138" s="289">
        <f>AVERAGE(R134:R137)</f>
      </c>
      <c r="S138" s="290">
        <f>AVERAGE(S134:S137)</f>
      </c>
      <c r="T138" s="290">
        <f>AVERAGE(T134:T137)</f>
      </c>
      <c r="U138" s="290">
        <f>AVERAGE(U134:U137)</f>
      </c>
      <c r="V138" s="290">
        <f>AVERAGE(V134:V137)</f>
      </c>
      <c r="W138" s="291">
        <f>SUM(W134:W137)</f>
      </c>
      <c r="X138" s="290">
        <f>AVERAGE(X134:X137)</f>
      </c>
      <c r="Y138" s="291"/>
      <c r="Z138" s="292">
        <f>AVERAGE(Z134:Z137)</f>
      </c>
      <c r="AA138" s="291">
        <f>SUM(AA134:AA137)</f>
      </c>
      <c r="AB138" s="291">
        <f>SUM(AB134:AB137)</f>
      </c>
      <c r="AC138" s="291">
        <f>SUM(AC134:AC137)</f>
      </c>
      <c r="AD138" s="291">
        <f>SUM(AD134:AD137)</f>
      </c>
      <c r="AE138" s="291">
        <f>SUM(AE134:AE137)</f>
      </c>
      <c r="AF138" s="291">
        <f>SUM(AF134:AF137)</f>
      </c>
      <c r="AG138" s="291">
        <f>SUM(AG134:AG137)</f>
      </c>
      <c r="AH138" s="291">
        <f>SUM(AH134:AH137)</f>
      </c>
    </row>
    <row r="139">
      <c r="A139" s="264">
        <v>46262</v>
      </c>
      <c r="B139" s="242" t="s">
        <v>700</v>
      </c>
      <c r="C139" s="304" t="s">
        <v>718</v>
      </c>
      <c r="D139" s="219">
        <v>4</v>
      </c>
      <c r="E139" s="266">
        <v>25</v>
      </c>
      <c r="F139" s="266">
        <v>29</v>
      </c>
      <c r="G139" s="300">
        <v>73017.52000000002</v>
      </c>
      <c r="H139" s="301">
        <v>16685.15</v>
      </c>
      <c r="I139" s="269">
        <f t="shared" si="81"/>
      </c>
      <c r="J139" s="270">
        <f t="shared" si="132"/>
      </c>
      <c r="K139" s="271">
        <f t="shared" si="180"/>
      </c>
      <c r="L139" s="271">
        <f t="shared" ref="L139:L143" si="27">H139/D139</f>
      </c>
      <c r="M139" s="272" t="s">
        <v>715</v>
      </c>
      <c r="N139" s="273">
        <v>10</v>
      </c>
      <c r="O139" s="265"/>
      <c r="P139" s="236"/>
      <c r="Q139" s="274"/>
      <c r="R139" s="293">
        <f t="shared" ref="R139:R143" si="202">H139/AB139</f>
      </c>
      <c r="S139" s="294">
        <f t="shared" ref="S139:S143" si="52">W139/AA139*1</f>
      </c>
      <c r="T139" s="295">
        <f t="shared" ref="T139:T143" si="103">AB139/AA139</f>
      </c>
      <c r="U139" s="295">
        <f t="shared" ref="U139:U143" si="154">AC139/AA139</f>
      </c>
      <c r="V139" s="295">
        <f t="shared" ref="V139:V143" si="227">AE139/AC139</f>
      </c>
      <c r="W139" s="275">
        <f t="shared" ref="W139:W143" si="77">AD139/X139</f>
      </c>
      <c r="X139" s="295">
        <f t="shared" ref="X139:X143" si="128">AD139/AC139</f>
      </c>
      <c r="Y139" s="282">
        <v>52</v>
      </c>
      <c r="Z139" s="296">
        <f t="shared" ref="Z139:Z143" si="176">(H139/AA139)*1000</f>
      </c>
      <c r="AA139" s="275">
        <v>142773</v>
      </c>
      <c r="AB139" s="275">
        <v>2973</v>
      </c>
      <c r="AC139" s="275">
        <v>3244</v>
      </c>
      <c r="AD139" s="275">
        <v>579</v>
      </c>
      <c r="AE139" s="282">
        <v>115</v>
      </c>
      <c r="AF139" s="275">
        <v>34</v>
      </c>
      <c r="AG139" s="275">
        <v>7</v>
      </c>
      <c r="AH139" s="275">
        <v>129</v>
      </c>
    </row>
    <row r="140">
      <c r="A140" s="264">
        <v>46262</v>
      </c>
      <c r="B140" s="242" t="s">
        <v>704</v>
      </c>
      <c r="C140" s="304" t="s">
        <v>719</v>
      </c>
      <c r="D140" s="302">
        <v>4</v>
      </c>
      <c r="E140" s="219">
        <v>15</v>
      </c>
      <c r="F140" s="219">
        <v>16</v>
      </c>
      <c r="G140" s="293">
        <v>40712.70000000001</v>
      </c>
      <c r="H140" s="277">
        <v>17708.82</v>
      </c>
      <c r="I140" s="269">
        <f t="shared" si="81"/>
      </c>
      <c r="J140" s="270">
        <f t="shared" si="132"/>
      </c>
      <c r="K140" s="270">
        <f t="shared" si="180"/>
      </c>
      <c r="L140" s="271">
        <f t="shared" si="27"/>
      </c>
      <c r="M140" s="278"/>
      <c r="N140" s="273"/>
      <c r="O140" s="265"/>
      <c r="P140" s="236"/>
      <c r="Q140" s="274"/>
      <c r="R140" s="293">
        <f t="shared" si="202"/>
      </c>
      <c r="S140" s="294">
        <f t="shared" si="52"/>
      </c>
      <c r="T140" s="295">
        <f t="shared" si="103"/>
      </c>
      <c r="U140" s="295">
        <f t="shared" si="154"/>
      </c>
      <c r="V140" s="295">
        <f t="shared" si="227"/>
      </c>
      <c r="W140" s="275">
        <f t="shared" si="77"/>
      </c>
      <c r="X140" s="295">
        <f t="shared" si="128"/>
      </c>
      <c r="Y140" s="275">
        <v>58.25</v>
      </c>
      <c r="Z140" s="296">
        <f t="shared" si="176"/>
      </c>
      <c r="AA140" s="275">
        <v>128580</v>
      </c>
      <c r="AB140" s="275">
        <v>2261</v>
      </c>
      <c r="AC140" s="275">
        <v>2378</v>
      </c>
      <c r="AD140" s="275">
        <v>429</v>
      </c>
      <c r="AE140" s="275">
        <v>235</v>
      </c>
      <c r="AF140" s="275">
        <v>24</v>
      </c>
      <c r="AG140" s="275">
        <v>6</v>
      </c>
      <c r="AH140" s="275">
        <v>102</v>
      </c>
    </row>
    <row r="141">
      <c r="A141" s="264">
        <v>46262</v>
      </c>
      <c r="B141" s="219" t="s">
        <v>721</v>
      </c>
      <c r="C141" s="304" t="s">
        <v>720</v>
      </c>
      <c r="D141" s="302">
        <v>4</v>
      </c>
      <c r="E141" s="219">
        <v>12</v>
      </c>
      <c r="F141" s="219">
        <v>15</v>
      </c>
      <c r="G141" s="293">
        <v>33615.11</v>
      </c>
      <c r="H141" s="277">
        <v>14346.119999999999</v>
      </c>
      <c r="I141" s="269">
        <f t="shared" si="81"/>
      </c>
      <c r="J141" s="270">
        <f t="shared" si="132"/>
      </c>
      <c r="K141" s="270">
        <f t="shared" si="180"/>
      </c>
      <c r="L141" s="271">
        <f t="shared" si="27"/>
      </c>
      <c r="M141" s="278"/>
      <c r="N141" s="273"/>
      <c r="O141" s="265"/>
      <c r="P141" s="236"/>
      <c r="Q141" s="274"/>
      <c r="R141" s="293">
        <f t="shared" si="202"/>
      </c>
      <c r="S141" s="294">
        <f t="shared" si="52"/>
      </c>
      <c r="T141" s="295">
        <f t="shared" si="103"/>
      </c>
      <c r="U141" s="295">
        <f t="shared" si="154"/>
      </c>
      <c r="V141" s="295">
        <f t="shared" si="227"/>
      </c>
      <c r="W141" s="275">
        <f t="shared" si="77"/>
      </c>
      <c r="X141" s="295">
        <f t="shared" si="128"/>
      </c>
      <c r="Y141" s="275">
        <v>58.25</v>
      </c>
      <c r="Z141" s="296">
        <f t="shared" si="176"/>
      </c>
      <c r="AA141" s="275">
        <v>94639</v>
      </c>
      <c r="AB141" s="275">
        <v>1505</v>
      </c>
      <c r="AC141" s="275">
        <v>1624</v>
      </c>
      <c r="AD141" s="275">
        <v>338</v>
      </c>
      <c r="AE141" s="275">
        <v>291</v>
      </c>
      <c r="AF141" s="275">
        <v>21</v>
      </c>
      <c r="AG141" s="275">
        <v>3</v>
      </c>
      <c r="AH141" s="275">
        <v>59</v>
      </c>
    </row>
    <row r="142">
      <c r="A142" s="264">
        <v>46262</v>
      </c>
      <c r="B142" s="219" t="s">
        <v>697</v>
      </c>
      <c r="C142" s="304" t="s">
        <v>724</v>
      </c>
      <c r="D142" s="302">
        <v>5</v>
      </c>
      <c r="E142" s="272">
        <v>16</v>
      </c>
      <c r="F142" s="272">
        <v>27</v>
      </c>
      <c r="G142" s="298">
        <v>68314.8</v>
      </c>
      <c r="H142" s="297">
        <v>20084.82</v>
      </c>
      <c r="I142" s="269">
        <f t="shared" si="81"/>
      </c>
      <c r="J142" s="270">
        <f t="shared" si="132"/>
      </c>
      <c r="K142" s="270">
        <f t="shared" si="180"/>
      </c>
      <c r="L142" s="271">
        <f t="shared" si="27"/>
      </c>
      <c r="M142" s="236" t="s">
        <v>716</v>
      </c>
      <c r="N142" s="236">
        <v>10</v>
      </c>
      <c r="O142" s="265"/>
      <c r="P142" s="236"/>
      <c r="Q142" s="274"/>
      <c r="R142" s="293">
        <f t="shared" si="202"/>
      </c>
      <c r="S142" s="294">
        <f t="shared" si="52"/>
      </c>
      <c r="T142" s="295">
        <f t="shared" si="103"/>
      </c>
      <c r="U142" s="295">
        <f t="shared" si="154"/>
      </c>
      <c r="V142" s="295">
        <f t="shared" si="227"/>
      </c>
      <c r="W142" s="275">
        <f t="shared" si="77"/>
      </c>
      <c r="X142" s="295">
        <f t="shared" si="128"/>
      </c>
      <c r="Y142" s="275">
        <v>56.6</v>
      </c>
      <c r="Z142" s="296">
        <f t="shared" si="176"/>
      </c>
      <c r="AA142" s="275">
        <v>159848</v>
      </c>
      <c r="AB142" s="275">
        <v>2637</v>
      </c>
      <c r="AC142" s="275">
        <v>2793</v>
      </c>
      <c r="AD142" s="275">
        <v>485</v>
      </c>
      <c r="AE142" s="275">
        <v>300</v>
      </c>
      <c r="AF142" s="275">
        <v>37</v>
      </c>
      <c r="AG142" s="275">
        <v>10</v>
      </c>
      <c r="AH142" s="275">
        <v>91</v>
      </c>
    </row>
    <row customHeight="true" ht="17.361110432021643" r="143">
      <c r="A143" s="264">
        <v>46262</v>
      </c>
      <c r="B143" s="242" t="s">
        <v>709</v>
      </c>
      <c r="C143" s="304" t="s">
        <v>725</v>
      </c>
      <c r="D143" s="302">
        <v>4</v>
      </c>
      <c r="E143" s="272">
        <v>14</v>
      </c>
      <c r="F143" s="272">
        <v>16</v>
      </c>
      <c r="G143" s="298">
        <v>40726.91</v>
      </c>
      <c r="H143" s="280">
        <v>8955.17</v>
      </c>
      <c r="I143" s="270">
        <f t="shared" si="81"/>
      </c>
      <c r="J143" s="270">
        <f t="shared" si="132"/>
      </c>
      <c r="K143" s="271">
        <f t="shared" si="180"/>
      </c>
      <c r="L143" s="271">
        <f t="shared" si="27"/>
      </c>
      <c r="M143" s="219" t="s">
        <v>726</v>
      </c>
      <c r="N143" s="305">
        <v>1</v>
      </c>
      <c r="O143" s="265"/>
      <c r="P143" s="236"/>
      <c r="Q143" s="274"/>
      <c r="R143" s="293">
        <f t="shared" si="202"/>
      </c>
      <c r="S143" s="294">
        <f t="shared" si="52"/>
      </c>
      <c r="T143" s="295">
        <f t="shared" si="103"/>
      </c>
      <c r="U143" s="295">
        <f t="shared" si="154"/>
      </c>
      <c r="V143" s="295">
        <f t="shared" si="227"/>
      </c>
      <c r="W143" s="275">
        <f t="shared" si="77"/>
      </c>
      <c r="X143" s="295">
        <f t="shared" si="128"/>
      </c>
      <c r="Y143" s="282">
        <v>58</v>
      </c>
      <c r="Z143" s="296">
        <f t="shared" si="176"/>
      </c>
      <c r="AA143" s="275">
        <v>120980</v>
      </c>
      <c r="AB143" s="275">
        <v>2434</v>
      </c>
      <c r="AC143" s="275">
        <v>2741</v>
      </c>
      <c r="AD143" s="275">
        <v>404</v>
      </c>
      <c r="AE143" s="275">
        <v>114</v>
      </c>
      <c r="AF143" s="275">
        <v>25</v>
      </c>
      <c r="AG143" s="275">
        <v>2</v>
      </c>
      <c r="AH143" s="275">
        <v>96</v>
      </c>
    </row>
    <row r="144">
      <c r="A144" s="283">
        <v>46262</v>
      </c>
      <c r="B144" s="284" t="s">
        <v>707</v>
      </c>
      <c r="C144" s="285"/>
      <c r="D144" s="285">
        <f>SUM(D139:D143)</f>
      </c>
      <c r="E144" s="285">
        <f>SUM(E139:E143)</f>
      </c>
      <c r="F144" s="285">
        <f>SUM(F139:F143)</f>
      </c>
      <c r="G144" s="286">
        <f>SUM(G139:G143)</f>
      </c>
      <c r="H144" s="286">
        <f>SUM(H139:H143)</f>
      </c>
      <c r="I144" s="287">
        <f t="shared" si="81"/>
      </c>
      <c r="J144" s="287">
        <f t="shared" si="132"/>
      </c>
      <c r="K144" s="287">
        <f t="shared" si="180"/>
      </c>
      <c r="L144" s="287"/>
      <c r="M144" s="285"/>
      <c r="N144" s="288">
        <f>SUM(N139:N143)</f>
      </c>
      <c r="O144" s="285"/>
      <c r="P144" s="285"/>
      <c r="Q144" s="285"/>
      <c r="R144" s="289">
        <f>AVERAGE(R139:R143)</f>
      </c>
      <c r="S144" s="290">
        <f>AVERAGE(S139:S143)</f>
      </c>
      <c r="T144" s="290">
        <f>AVERAGE(T139:T143)</f>
      </c>
      <c r="U144" s="290">
        <f>AVERAGE(U139:U143)</f>
      </c>
      <c r="V144" s="290">
        <f>AVERAGE(V139:V143)</f>
      </c>
      <c r="W144" s="291">
        <f>SUM(W139:W143)</f>
      </c>
      <c r="X144" s="290">
        <f>AVERAGE(X139:X143)</f>
      </c>
      <c r="Y144" s="291"/>
      <c r="Z144" s="292">
        <f>AVERAGE(Z139:Z143)</f>
      </c>
      <c r="AA144" s="291">
        <f>SUM(AA139:AA143)</f>
      </c>
      <c r="AB144" s="291">
        <f>SUM(AB139:AB143)</f>
      </c>
      <c r="AC144" s="291">
        <f>SUM(AC139:AC143)</f>
      </c>
      <c r="AD144" s="291">
        <f>SUM(AD139:AD143)</f>
      </c>
      <c r="AE144" s="291">
        <f>SUM(AE139:AE143)</f>
      </c>
      <c r="AF144" s="291">
        <f>SUM(AF139:AF143)</f>
      </c>
      <c r="AG144" s="291">
        <f>SUM(AG139:AG143)</f>
      </c>
      <c r="AH144" s="291">
        <f>SUM(AH139:AH143)</f>
      </c>
    </row>
    <row r="145">
      <c r="A145" s="264">
        <v>46263</v>
      </c>
      <c r="B145" s="242" t="s">
        <v>704</v>
      </c>
      <c r="C145" s="304" t="s">
        <v>718</v>
      </c>
      <c r="D145" s="219">
        <v>4</v>
      </c>
      <c r="E145" s="266">
        <v>14</v>
      </c>
      <c r="F145" s="266">
        <v>20</v>
      </c>
      <c r="G145" s="300">
        <v>55765.27000000002</v>
      </c>
      <c r="H145" s="301">
        <v>17806.989999999998</v>
      </c>
      <c r="I145" s="269">
        <f t="shared" si="81"/>
      </c>
      <c r="J145" s="270">
        <f t="shared" si="132"/>
      </c>
      <c r="K145" s="271">
        <f t="shared" si="180"/>
      </c>
      <c r="L145" s="271">
        <f t="shared" ref="L145:L149" si="28">H145/D145</f>
      </c>
      <c r="M145" s="272" t="s">
        <v>717</v>
      </c>
      <c r="N145" s="306">
        <v>11</v>
      </c>
      <c r="O145" s="265"/>
      <c r="P145" s="236"/>
      <c r="Q145" s="274"/>
      <c r="R145" s="293">
        <f t="shared" ref="R145:R149" si="203">H145/AB145</f>
      </c>
      <c r="S145" s="294">
        <f t="shared" ref="S145:S149" si="53">W145/AA145*1</f>
      </c>
      <c r="T145" s="295">
        <f t="shared" ref="T145:T149" si="104">AB145/AA145</f>
      </c>
      <c r="U145" s="295">
        <f t="shared" ref="U145:U149" si="155">AC145/AA145</f>
      </c>
      <c r="V145" s="295">
        <f t="shared" ref="V145:V149" si="228">AE145/AC145</f>
      </c>
      <c r="W145" s="275">
        <f t="shared" ref="W145:W149" si="78">AD145/X145</f>
      </c>
      <c r="X145" s="295">
        <f t="shared" ref="X145:X149" si="129">AD145/AC145</f>
      </c>
      <c r="Y145" s="282">
        <v>53</v>
      </c>
      <c r="Z145" s="296">
        <f t="shared" ref="Z145:Z149" si="177">(H145/AA145)*1000</f>
      </c>
      <c r="AA145" s="275">
        <v>183594</v>
      </c>
      <c r="AB145" s="275">
        <v>3632</v>
      </c>
      <c r="AC145" s="275">
        <v>3831</v>
      </c>
      <c r="AD145" s="275">
        <v>860</v>
      </c>
      <c r="AE145" s="282">
        <v>342</v>
      </c>
      <c r="AF145" s="275">
        <v>27</v>
      </c>
      <c r="AG145" s="275">
        <v>7</v>
      </c>
      <c r="AH145" s="275">
        <v>178</v>
      </c>
    </row>
    <row r="146">
      <c r="A146" s="264">
        <v>46263</v>
      </c>
      <c r="B146" s="242" t="s">
        <v>700</v>
      </c>
      <c r="C146" s="304" t="s">
        <v>719</v>
      </c>
      <c r="D146" s="302">
        <v>4</v>
      </c>
      <c r="E146" s="219">
        <v>14</v>
      </c>
      <c r="F146" s="219">
        <v>15</v>
      </c>
      <c r="G146" s="293">
        <v>34071.58999999999</v>
      </c>
      <c r="H146" s="277">
        <v>14665.099999999999</v>
      </c>
      <c r="I146" s="269">
        <f t="shared" si="81"/>
      </c>
      <c r="J146" s="270">
        <f t="shared" si="132"/>
      </c>
      <c r="K146" s="270">
        <f t="shared" si="180"/>
      </c>
      <c r="L146" s="271">
        <f t="shared" si="28"/>
      </c>
      <c r="M146" s="278"/>
      <c r="N146" s="273"/>
      <c r="O146" s="265"/>
      <c r="P146" s="236"/>
      <c r="Q146" s="274"/>
      <c r="R146" s="293">
        <f t="shared" si="203"/>
      </c>
      <c r="S146" s="294">
        <f t="shared" si="53"/>
      </c>
      <c r="T146" s="295">
        <f t="shared" si="104"/>
      </c>
      <c r="U146" s="295">
        <f t="shared" si="155"/>
      </c>
      <c r="V146" s="295">
        <f t="shared" si="228"/>
      </c>
      <c r="W146" s="275">
        <f t="shared" si="78"/>
      </c>
      <c r="X146" s="295">
        <f t="shared" si="129"/>
      </c>
      <c r="Y146" s="275">
        <v>66.25</v>
      </c>
      <c r="Z146" s="296">
        <f t="shared" si="177"/>
      </c>
      <c r="AA146" s="275">
        <v>121304</v>
      </c>
      <c r="AB146" s="275">
        <v>1582</v>
      </c>
      <c r="AC146" s="275">
        <v>1588</v>
      </c>
      <c r="AD146" s="275">
        <v>504</v>
      </c>
      <c r="AE146" s="282">
        <v>306</v>
      </c>
      <c r="AF146" s="275">
        <v>18</v>
      </c>
      <c r="AG146" s="275">
        <v>7</v>
      </c>
      <c r="AH146" s="275">
        <v>97</v>
      </c>
    </row>
    <row r="147">
      <c r="A147" s="264">
        <v>46263</v>
      </c>
      <c r="B147" s="219" t="s">
        <v>721</v>
      </c>
      <c r="C147" s="304" t="s">
        <v>720</v>
      </c>
      <c r="D147" s="302">
        <v>4</v>
      </c>
      <c r="E147" s="219">
        <v>7</v>
      </c>
      <c r="F147" s="219">
        <v>9</v>
      </c>
      <c r="G147" s="293">
        <v>27953.430000000004</v>
      </c>
      <c r="H147" s="277">
        <v>12050.689999999999</v>
      </c>
      <c r="I147" s="269">
        <f t="shared" si="81"/>
      </c>
      <c r="J147" s="270">
        <f t="shared" si="132"/>
      </c>
      <c r="K147" s="270">
        <f t="shared" si="180"/>
      </c>
      <c r="L147" s="271">
        <f t="shared" si="28"/>
      </c>
      <c r="M147" s="278"/>
      <c r="N147" s="273"/>
      <c r="O147" s="265"/>
      <c r="P147" s="236"/>
      <c r="Q147" s="274"/>
      <c r="R147" s="293">
        <f t="shared" si="203"/>
      </c>
      <c r="S147" s="294">
        <f t="shared" si="53"/>
      </c>
      <c r="T147" s="295">
        <f t="shared" si="104"/>
      </c>
      <c r="U147" s="295">
        <f t="shared" si="155"/>
      </c>
      <c r="V147" s="295">
        <f t="shared" si="228"/>
      </c>
      <c r="W147" s="275">
        <f t="shared" si="78"/>
      </c>
      <c r="X147" s="295">
        <f t="shared" si="129"/>
      </c>
      <c r="Y147" s="275">
        <v>63.75</v>
      </c>
      <c r="Z147" s="296">
        <f t="shared" si="177"/>
      </c>
      <c r="AA147" s="275">
        <v>87572</v>
      </c>
      <c r="AB147" s="275">
        <v>1501</v>
      </c>
      <c r="AC147" s="275">
        <v>1575</v>
      </c>
      <c r="AD147" s="275">
        <v>353</v>
      </c>
      <c r="AE147" s="275">
        <v>167</v>
      </c>
      <c r="AF147" s="275">
        <v>14</v>
      </c>
      <c r="AG147" s="275">
        <v>4</v>
      </c>
      <c r="AH147" s="275">
        <v>47</v>
      </c>
    </row>
    <row r="148">
      <c r="A148" s="264">
        <v>46263</v>
      </c>
      <c r="B148" s="219" t="s">
        <v>697</v>
      </c>
      <c r="C148" s="304" t="s">
        <v>724</v>
      </c>
      <c r="D148" s="302">
        <v>5</v>
      </c>
      <c r="E148" s="272">
        <v>9</v>
      </c>
      <c r="F148" s="272">
        <v>10</v>
      </c>
      <c r="G148" s="298">
        <v>22025.160000000003</v>
      </c>
      <c r="H148" s="297">
        <v>13437.970000000001</v>
      </c>
      <c r="I148" s="269">
        <f t="shared" si="81"/>
      </c>
      <c r="J148" s="270">
        <f t="shared" si="132"/>
      </c>
      <c r="K148" s="270">
        <f t="shared" si="180"/>
      </c>
      <c r="L148" s="271">
        <f t="shared" si="28"/>
      </c>
      <c r="M148" s="236"/>
      <c r="N148" s="236"/>
      <c r="O148" s="265"/>
      <c r="P148" s="236"/>
      <c r="Q148" s="274"/>
      <c r="R148" s="293">
        <f t="shared" si="203"/>
      </c>
      <c r="S148" s="294">
        <f t="shared" si="53"/>
      </c>
      <c r="T148" s="295">
        <f t="shared" si="104"/>
      </c>
      <c r="U148" s="295">
        <f t="shared" si="155"/>
      </c>
      <c r="V148" s="295">
        <f t="shared" si="228"/>
      </c>
      <c r="W148" s="275">
        <f t="shared" si="78"/>
      </c>
      <c r="X148" s="295">
        <f t="shared" si="129"/>
      </c>
      <c r="Y148" s="275">
        <v>61.2</v>
      </c>
      <c r="Z148" s="296">
        <f t="shared" si="177"/>
      </c>
      <c r="AA148" s="275">
        <v>110571</v>
      </c>
      <c r="AB148" s="275">
        <v>1660</v>
      </c>
      <c r="AC148" s="275">
        <v>1743</v>
      </c>
      <c r="AD148" s="275">
        <v>422</v>
      </c>
      <c r="AE148" s="275">
        <v>242</v>
      </c>
      <c r="AF148" s="275">
        <v>23</v>
      </c>
      <c r="AG148" s="275">
        <v>7</v>
      </c>
      <c r="AH148" s="275">
        <v>86</v>
      </c>
    </row>
    <row r="149">
      <c r="A149" s="264">
        <v>46263</v>
      </c>
      <c r="B149" s="242" t="s">
        <v>709</v>
      </c>
      <c r="C149" s="304" t="s">
        <v>725</v>
      </c>
      <c r="D149" s="302">
        <v>4</v>
      </c>
      <c r="E149" s="272">
        <v>6</v>
      </c>
      <c r="F149" s="272">
        <v>7</v>
      </c>
      <c r="G149" s="298">
        <v>15764.179999999964</v>
      </c>
      <c r="H149" s="280">
        <v>6191.290000000001</v>
      </c>
      <c r="I149" s="270">
        <f t="shared" si="81"/>
      </c>
      <c r="J149" s="270">
        <f t="shared" si="132"/>
      </c>
      <c r="K149" s="271">
        <f t="shared" si="180"/>
      </c>
      <c r="L149" s="271">
        <f t="shared" si="28"/>
      </c>
      <c r="M149" s="236" t="s">
        <v>716</v>
      </c>
      <c r="N149" s="219">
        <v>10</v>
      </c>
      <c r="O149" s="265"/>
      <c r="P149" s="236"/>
      <c r="Q149" s="274"/>
      <c r="R149" s="293">
        <f t="shared" si="203"/>
      </c>
      <c r="S149" s="294">
        <f t="shared" si="53"/>
      </c>
      <c r="T149" s="295">
        <f t="shared" si="104"/>
      </c>
      <c r="U149" s="295">
        <f t="shared" si="155"/>
      </c>
      <c r="V149" s="295">
        <f t="shared" si="228"/>
      </c>
      <c r="W149" s="275">
        <f t="shared" si="78"/>
      </c>
      <c r="X149" s="295">
        <f t="shared" si="129"/>
      </c>
      <c r="Y149" s="282">
        <v>60</v>
      </c>
      <c r="Z149" s="296">
        <f t="shared" si="177"/>
      </c>
      <c r="AA149" s="275">
        <v>69487</v>
      </c>
      <c r="AB149" s="275">
        <v>1326</v>
      </c>
      <c r="AC149" s="275">
        <v>1510</v>
      </c>
      <c r="AD149" s="275">
        <v>248</v>
      </c>
      <c r="AE149" s="275">
        <v>132</v>
      </c>
      <c r="AF149" s="275">
        <v>14</v>
      </c>
      <c r="AG149" s="275">
        <v>2</v>
      </c>
      <c r="AH149" s="275">
        <v>50</v>
      </c>
    </row>
    <row r="150">
      <c r="A150" s="283">
        <v>46263</v>
      </c>
      <c r="B150" s="284" t="s">
        <v>707</v>
      </c>
      <c r="C150" s="285"/>
      <c r="D150" s="285">
        <f>SUM(D145:D149)</f>
      </c>
      <c r="E150" s="285">
        <f>SUM(E145:E149)</f>
      </c>
      <c r="F150" s="285">
        <f>SUM(F145:F149)</f>
      </c>
      <c r="G150" s="286">
        <f>SUM(G145:G149)</f>
      </c>
      <c r="H150" s="286">
        <f>SUM(H145:H149)</f>
      </c>
      <c r="I150" s="287">
        <f t="shared" si="81"/>
      </c>
      <c r="J150" s="287">
        <f t="shared" si="132"/>
      </c>
      <c r="K150" s="287">
        <f t="shared" si="180"/>
      </c>
      <c r="L150" s="287"/>
      <c r="M150" s="285"/>
      <c r="N150" s="288">
        <f>SUM(N145:N149)</f>
      </c>
      <c r="O150" s="285"/>
      <c r="P150" s="285"/>
      <c r="Q150" s="285"/>
      <c r="R150" s="289">
        <f>AVERAGE(R145:R149)</f>
      </c>
      <c r="S150" s="290">
        <f>AVERAGE(S145:S149)</f>
      </c>
      <c r="T150" s="290">
        <f>AVERAGE(T145:T149)</f>
      </c>
      <c r="U150" s="290">
        <f>AVERAGE(U145:U149)</f>
      </c>
      <c r="V150" s="290">
        <f>AVERAGE(V145:V149)</f>
      </c>
      <c r="W150" s="291">
        <f>SUM(W145:W149)</f>
      </c>
      <c r="X150" s="290">
        <f>AVERAGE(X145:X149)</f>
      </c>
      <c r="Y150" s="291"/>
      <c r="Z150" s="292">
        <f>AVERAGE(Z145:Z149)</f>
      </c>
      <c r="AA150" s="291">
        <f>SUM(AA145:AA149)</f>
      </c>
      <c r="AB150" s="291">
        <f>SUM(AB145:AB149)</f>
      </c>
      <c r="AC150" s="291">
        <f>SUM(AC145:AC149)</f>
      </c>
      <c r="AD150" s="291">
        <f>SUM(AD145:AD149)</f>
      </c>
      <c r="AE150" s="291">
        <f>SUM(AE145:AE149)</f>
      </c>
      <c r="AF150" s="291">
        <f>SUM(AF145:AF149)</f>
      </c>
      <c r="AG150" s="291">
        <f>SUM(AG145:AG149)</f>
      </c>
      <c r="AH150" s="291">
        <f>SUM(AH145:AH149)</f>
      </c>
    </row>
    <row r="151">
      <c r="A151" s="264">
        <v>46264</v>
      </c>
      <c r="B151" s="242" t="s">
        <v>700</v>
      </c>
      <c r="C151" s="304" t="s">
        <v>718</v>
      </c>
      <c r="D151" s="219">
        <v>4</v>
      </c>
      <c r="E151" s="266">
        <v>7</v>
      </c>
      <c r="F151" s="266">
        <v>10</v>
      </c>
      <c r="G151" s="300">
        <v>25600.82</v>
      </c>
      <c r="H151" s="301">
        <v>11206.07</v>
      </c>
      <c r="I151" s="269">
        <f t="shared" si="81"/>
      </c>
      <c r="J151" s="270">
        <f t="shared" si="132"/>
      </c>
      <c r="K151" s="271">
        <f t="shared" si="180"/>
      </c>
      <c r="L151" s="271">
        <f t="shared" ref="L151:L155" si="29">H151/D151</f>
      </c>
      <c r="M151" s="272" t="s">
        <v>717</v>
      </c>
      <c r="N151" s="306">
        <v>10</v>
      </c>
      <c r="O151" s="265"/>
      <c r="P151" s="236"/>
      <c r="Q151" s="274"/>
      <c r="R151" s="293">
        <f t="shared" ref="R151:R155" si="204">H151/AB151</f>
      </c>
      <c r="S151" s="294">
        <f t="shared" ref="S151:S155" si="54">W151/AA151*1</f>
      </c>
      <c r="T151" s="295">
        <f t="shared" ref="T151:T155" si="105">AB151/AA151</f>
      </c>
      <c r="U151" s="295">
        <f t="shared" ref="U151:U155" si="156">AC151/AA151</f>
      </c>
      <c r="V151" s="295">
        <f t="shared" ref="V151:V155" si="229">AE151/AC151</f>
      </c>
      <c r="W151" s="275">
        <f t="shared" ref="W151:W155" si="79">AD151/X151</f>
      </c>
      <c r="X151" s="295">
        <f t="shared" ref="X151:X155" si="130">AD151/AC151</f>
      </c>
      <c r="Y151" s="282">
        <v>55</v>
      </c>
      <c r="Z151" s="296">
        <f t="shared" ref="Z151:Z155" si="178">(H151/AA151)*1000</f>
      </c>
      <c r="AA151" s="275">
        <v>110309</v>
      </c>
      <c r="AB151" s="275">
        <v>2438</v>
      </c>
      <c r="AC151" s="275">
        <v>2745</v>
      </c>
      <c r="AD151" s="275">
        <v>486</v>
      </c>
      <c r="AE151" s="282">
        <v>372</v>
      </c>
      <c r="AF151" s="275">
        <v>18</v>
      </c>
      <c r="AG151" s="275">
        <v>6</v>
      </c>
      <c r="AH151" s="275">
        <v>100</v>
      </c>
    </row>
    <row r="152">
      <c r="A152" s="264">
        <v>46264</v>
      </c>
      <c r="B152" s="242" t="s">
        <v>704</v>
      </c>
      <c r="C152" s="304" t="s">
        <v>719</v>
      </c>
      <c r="D152" s="302">
        <v>4</v>
      </c>
      <c r="E152" s="219">
        <v>3</v>
      </c>
      <c r="F152" s="219">
        <v>4</v>
      </c>
      <c r="G152" s="293">
        <v>9916.650000000001</v>
      </c>
      <c r="H152" s="277">
        <v>9520.5</v>
      </c>
      <c r="I152" s="269">
        <f t="shared" si="81"/>
      </c>
      <c r="J152" s="270">
        <f t="shared" si="132"/>
      </c>
      <c r="K152" s="270">
        <f t="shared" si="180"/>
      </c>
      <c r="L152" s="271">
        <f t="shared" si="29"/>
      </c>
      <c r="M152" s="278"/>
      <c r="N152" s="273"/>
      <c r="O152" s="265"/>
      <c r="P152" s="236"/>
      <c r="Q152" s="274"/>
      <c r="R152" s="293">
        <f t="shared" si="204"/>
      </c>
      <c r="S152" s="294">
        <f t="shared" si="54"/>
      </c>
      <c r="T152" s="295">
        <f t="shared" si="105"/>
      </c>
      <c r="U152" s="295">
        <f t="shared" si="156"/>
      </c>
      <c r="V152" s="295">
        <f t="shared" si="229"/>
      </c>
      <c r="W152" s="275">
        <f t="shared" si="79"/>
      </c>
      <c r="X152" s="295">
        <f t="shared" si="130"/>
      </c>
      <c r="Y152" s="282">
        <v>62</v>
      </c>
      <c r="Z152" s="296">
        <f t="shared" si="178"/>
      </c>
      <c r="AA152" s="275">
        <v>71153</v>
      </c>
      <c r="AB152" s="275">
        <v>1266</v>
      </c>
      <c r="AC152" s="275">
        <v>1403</v>
      </c>
      <c r="AD152" s="275">
        <v>272</v>
      </c>
      <c r="AE152" s="282">
        <v>176</v>
      </c>
      <c r="AF152" s="275">
        <v>5</v>
      </c>
      <c r="AG152" s="275">
        <v>3</v>
      </c>
      <c r="AH152" s="275">
        <v>42</v>
      </c>
    </row>
    <row r="153">
      <c r="A153" s="264">
        <v>46264</v>
      </c>
      <c r="B153" s="219" t="s">
        <v>721</v>
      </c>
      <c r="C153" s="304" t="s">
        <v>720</v>
      </c>
      <c r="D153" s="302">
        <v>4</v>
      </c>
      <c r="E153" s="219">
        <v>8</v>
      </c>
      <c r="F153" s="219">
        <v>10</v>
      </c>
      <c r="G153" s="307">
        <v>23268.97</v>
      </c>
      <c r="H153" s="308">
        <v>9069.13</v>
      </c>
      <c r="I153" s="269">
        <f t="shared" si="81"/>
      </c>
      <c r="J153" s="270">
        <f t="shared" si="132"/>
      </c>
      <c r="K153" s="270">
        <f t="shared" si="180"/>
      </c>
      <c r="L153" s="271">
        <f t="shared" si="29"/>
      </c>
      <c r="M153" s="278"/>
      <c r="N153" s="273"/>
      <c r="O153" s="265"/>
      <c r="P153" s="236"/>
      <c r="Q153" s="274"/>
      <c r="R153" s="293">
        <f t="shared" si="204"/>
      </c>
      <c r="S153" s="294">
        <f t="shared" si="54"/>
      </c>
      <c r="T153" s="295">
        <f t="shared" si="105"/>
      </c>
      <c r="U153" s="295">
        <f t="shared" si="156"/>
      </c>
      <c r="V153" s="295">
        <f t="shared" si="229"/>
      </c>
      <c r="W153" s="275">
        <f t="shared" si="79"/>
      </c>
      <c r="X153" s="295">
        <f t="shared" si="130"/>
      </c>
      <c r="Y153" s="282">
        <v>43</v>
      </c>
      <c r="Z153" s="296">
        <f t="shared" si="178"/>
      </c>
      <c r="AA153" s="275">
        <v>81033</v>
      </c>
      <c r="AB153" s="275">
        <v>1401</v>
      </c>
      <c r="AC153" s="275">
        <v>1468</v>
      </c>
      <c r="AD153" s="275">
        <v>264</v>
      </c>
      <c r="AE153" s="275">
        <v>198</v>
      </c>
      <c r="AF153" s="275">
        <v>20</v>
      </c>
      <c r="AG153" s="275">
        <v>4</v>
      </c>
      <c r="AH153" s="275">
        <v>38</v>
      </c>
    </row>
    <row r="154">
      <c r="A154" s="264">
        <v>46264</v>
      </c>
      <c r="B154" s="219" t="s">
        <v>709</v>
      </c>
      <c r="C154" s="304" t="s">
        <v>724</v>
      </c>
      <c r="D154" s="302">
        <v>5</v>
      </c>
      <c r="E154" s="272">
        <v>11</v>
      </c>
      <c r="F154" s="272">
        <v>13</v>
      </c>
      <c r="G154" s="309">
        <v>32361.63</v>
      </c>
      <c r="H154" s="309">
        <v>12190.51</v>
      </c>
      <c r="I154" s="269">
        <f t="shared" si="81"/>
      </c>
      <c r="J154" s="270">
        <f t="shared" si="132"/>
      </c>
      <c r="K154" s="270">
        <f t="shared" si="180"/>
      </c>
      <c r="L154" s="271">
        <f t="shared" si="29"/>
      </c>
      <c r="M154" s="219" t="s">
        <v>727</v>
      </c>
      <c r="N154" s="219">
        <v>10</v>
      </c>
      <c r="O154" s="265"/>
      <c r="P154" s="236"/>
      <c r="Q154" s="274"/>
      <c r="R154" s="293">
        <f t="shared" si="204"/>
      </c>
      <c r="S154" s="294">
        <f t="shared" si="54"/>
      </c>
      <c r="T154" s="295">
        <f t="shared" si="105"/>
      </c>
      <c r="U154" s="295">
        <f t="shared" si="156"/>
      </c>
      <c r="V154" s="295">
        <f t="shared" si="229"/>
      </c>
      <c r="W154" s="275">
        <f t="shared" si="79"/>
      </c>
      <c r="X154" s="295">
        <f t="shared" si="130"/>
      </c>
      <c r="Y154" s="282">
        <v>44</v>
      </c>
      <c r="Z154" s="296">
        <f t="shared" si="178"/>
      </c>
      <c r="AA154" s="275">
        <v>106761</v>
      </c>
      <c r="AB154" s="275">
        <v>2498</v>
      </c>
      <c r="AC154" s="275">
        <v>2659</v>
      </c>
      <c r="AD154" s="275">
        <v>349</v>
      </c>
      <c r="AE154" s="275">
        <v>286</v>
      </c>
      <c r="AF154" s="275">
        <v>16</v>
      </c>
      <c r="AG154" s="275">
        <v>4</v>
      </c>
      <c r="AH154" s="275">
        <v>44</v>
      </c>
    </row>
    <row r="155">
      <c r="A155" s="264">
        <v>46264</v>
      </c>
      <c r="B155" s="242" t="s">
        <v>697</v>
      </c>
      <c r="C155" s="304" t="s">
        <v>728</v>
      </c>
      <c r="D155" s="302">
        <v>5</v>
      </c>
      <c r="E155" s="272">
        <v>12</v>
      </c>
      <c r="F155" s="272">
        <v>13</v>
      </c>
      <c r="G155" s="298">
        <v>26343.01999999999</v>
      </c>
      <c r="H155" s="280">
        <v>6532.07</v>
      </c>
      <c r="I155" s="270">
        <f t="shared" si="81"/>
      </c>
      <c r="J155" s="270">
        <f t="shared" si="132"/>
      </c>
      <c r="K155" s="271">
        <f t="shared" si="180"/>
      </c>
      <c r="L155" s="271">
        <f t="shared" si="29"/>
      </c>
      <c r="M155" s="236" t="s">
        <v>726</v>
      </c>
      <c r="N155" s="219">
        <v>2</v>
      </c>
      <c r="O155" s="265"/>
      <c r="P155" s="236"/>
      <c r="Q155" s="274"/>
      <c r="R155" s="293">
        <f t="shared" si="204"/>
      </c>
      <c r="S155" s="294">
        <f t="shared" si="54"/>
      </c>
      <c r="T155" s="295">
        <f t="shared" si="105"/>
      </c>
      <c r="U155" s="295">
        <f t="shared" si="156"/>
      </c>
      <c r="V155" s="295">
        <f t="shared" si="229"/>
      </c>
      <c r="W155" s="275">
        <f t="shared" si="79"/>
      </c>
      <c r="X155" s="295">
        <f t="shared" si="130"/>
      </c>
      <c r="Y155" s="282">
        <v>46</v>
      </c>
      <c r="Z155" s="296">
        <f t="shared" si="178"/>
      </c>
      <c r="AA155" s="275">
        <v>89224</v>
      </c>
      <c r="AB155" s="275">
        <v>1924</v>
      </c>
      <c r="AC155" s="275">
        <v>2115</v>
      </c>
      <c r="AD155" s="275">
        <v>256</v>
      </c>
      <c r="AE155" s="275">
        <v>227</v>
      </c>
      <c r="AF155" s="275">
        <v>12</v>
      </c>
      <c r="AG155" s="275">
        <v>5</v>
      </c>
      <c r="AH155" s="275">
        <v>61</v>
      </c>
    </row>
    <row r="156">
      <c r="A156" s="283">
        <v>46264</v>
      </c>
      <c r="B156" s="284" t="s">
        <v>707</v>
      </c>
      <c r="C156" s="285"/>
      <c r="D156" s="285">
        <f>SUM(D151:D155)</f>
      </c>
      <c r="E156" s="285">
        <f>SUM(E151:E155)</f>
      </c>
      <c r="F156" s="285">
        <f>SUM(F151:F155)</f>
      </c>
      <c r="G156" s="286">
        <f>SUM(G151:G155)</f>
      </c>
      <c r="H156" s="286">
        <f>SUM(H151:H155)</f>
      </c>
      <c r="I156" s="287">
        <f t="shared" si="81"/>
      </c>
      <c r="J156" s="287">
        <f t="shared" si="132"/>
      </c>
      <c r="K156" s="287">
        <f t="shared" si="180"/>
      </c>
      <c r="L156" s="287"/>
      <c r="M156" s="285"/>
      <c r="N156" s="288">
        <f>SUM(N151:N155)</f>
      </c>
      <c r="O156" s="285"/>
      <c r="P156" s="285"/>
      <c r="Q156" s="285"/>
      <c r="R156" s="289">
        <f>AVERAGE(R151:R155)</f>
      </c>
      <c r="S156" s="290">
        <f>AVERAGE(S151:S155)</f>
      </c>
      <c r="T156" s="290">
        <f>AVERAGE(T151:T155)</f>
      </c>
      <c r="U156" s="290">
        <f>AVERAGE(U151:U155)</f>
      </c>
      <c r="V156" s="290">
        <f>AVERAGE(V151:V155)</f>
      </c>
      <c r="W156" s="291">
        <f>SUM(W151:W155)</f>
      </c>
      <c r="X156" s="290">
        <f>AVERAGE(X151:X155)</f>
      </c>
      <c r="Y156" s="291"/>
      <c r="Z156" s="292">
        <f>AVERAGE(Z151:Z155)</f>
      </c>
      <c r="AA156" s="291">
        <f>SUM(AA151:AA155)</f>
      </c>
      <c r="AB156" s="291">
        <f>SUM(AB151:AB155)</f>
      </c>
      <c r="AC156" s="291">
        <f>SUM(AC151:AC155)</f>
      </c>
      <c r="AD156" s="291">
        <f>SUM(AD151:AD155)</f>
      </c>
      <c r="AE156" s="291">
        <f>SUM(AE151:AE155)</f>
      </c>
      <c r="AF156" s="291">
        <f>SUM(AF151:AF155)</f>
      </c>
      <c r="AG156" s="291">
        <f>SUM(AG151:AG155)</f>
      </c>
      <c r="AH156" s="291">
        <f>SUM(AH151:AH155)</f>
      </c>
    </row>
    <row r="157">
      <c r="A157" s="264">
        <v>46265</v>
      </c>
      <c r="B157" s="242" t="s">
        <v>704</v>
      </c>
      <c r="C157" s="304" t="s">
        <v>718</v>
      </c>
      <c r="D157" s="303">
        <f>4-0.5</f>
      </c>
      <c r="E157" s="266">
        <v>19</v>
      </c>
      <c r="F157" s="266">
        <v>21</v>
      </c>
      <c r="G157" s="300">
        <v>47057.08000000001</v>
      </c>
      <c r="H157" s="301">
        <v>15741.81</v>
      </c>
      <c r="I157" s="269">
        <f t="shared" si="81"/>
      </c>
      <c r="J157" s="270">
        <f t="shared" si="132"/>
      </c>
      <c r="K157" s="271">
        <f t="shared" si="180"/>
      </c>
      <c r="L157" s="271">
        <f t="shared" ref="L157:L161" si="30">H157/D157</f>
      </c>
      <c r="M157" s="272" t="s">
        <v>717</v>
      </c>
      <c r="N157" s="306">
        <v>10</v>
      </c>
      <c r="O157" s="265"/>
      <c r="P157" s="236"/>
      <c r="Q157" s="274"/>
      <c r="R157" s="293">
        <f t="shared" ref="R157:R161" si="205">H157/AB157</f>
      </c>
      <c r="S157" s="294">
        <f t="shared" ref="S157:S161" si="55">W157/AA157*1</f>
      </c>
      <c r="T157" s="295">
        <f t="shared" ref="T157:T161" si="106">AB157/AA157</f>
      </c>
      <c r="U157" s="295">
        <f t="shared" ref="U157:U161" si="157">AC157/AA157</f>
      </c>
      <c r="V157" s="295">
        <f t="shared" ref="V157:V161" si="230">AE157/AC157</f>
      </c>
      <c r="W157" s="275">
        <f t="shared" ref="W157:W161" si="80">AD157/X157</f>
      </c>
      <c r="X157" s="295">
        <f t="shared" ref="X157:X161" si="131">AD157/AC157</f>
      </c>
      <c r="Y157" s="282">
        <v>54.75</v>
      </c>
      <c r="Z157" s="296">
        <f t="shared" ref="Z157:Z161" si="179">(H157/AA157)*1000</f>
      </c>
      <c r="AA157" s="275">
        <v>175552</v>
      </c>
      <c r="AB157" s="275">
        <v>3095</v>
      </c>
      <c r="AC157" s="275">
        <v>3201</v>
      </c>
      <c r="AD157" s="275">
        <v>658</v>
      </c>
      <c r="AE157" s="282">
        <v>355</v>
      </c>
      <c r="AF157" s="275">
        <v>41</v>
      </c>
      <c r="AG157" s="275">
        <v>5</v>
      </c>
      <c r="AH157" s="275">
        <v>195</v>
      </c>
    </row>
    <row r="158">
      <c r="A158" s="264">
        <v>46265</v>
      </c>
      <c r="B158" s="242" t="s">
        <v>700</v>
      </c>
      <c r="C158" s="304" t="s">
        <v>719</v>
      </c>
      <c r="D158" s="310">
        <f>4-1.25</f>
      </c>
      <c r="E158" s="219">
        <v>15</v>
      </c>
      <c r="F158" s="219">
        <v>19</v>
      </c>
      <c r="G158" s="293">
        <v>46102.51999999999</v>
      </c>
      <c r="H158" s="277">
        <v>15442.880000000001</v>
      </c>
      <c r="I158" s="269">
        <f t="shared" si="81"/>
      </c>
      <c r="J158" s="270">
        <f t="shared" si="132"/>
      </c>
      <c r="K158" s="270">
        <f t="shared" si="180"/>
      </c>
      <c r="L158" s="271">
        <f t="shared" si="30"/>
      </c>
      <c r="M158" s="278"/>
      <c r="N158" s="273"/>
      <c r="O158" s="265"/>
      <c r="P158" s="236"/>
      <c r="Q158" s="274"/>
      <c r="R158" s="293">
        <f t="shared" si="205"/>
      </c>
      <c r="S158" s="294">
        <f t="shared" si="55"/>
      </c>
      <c r="T158" s="295">
        <f t="shared" si="106"/>
      </c>
      <c r="U158" s="295">
        <f t="shared" si="157"/>
      </c>
      <c r="V158" s="295">
        <f t="shared" si="230"/>
      </c>
      <c r="W158" s="275">
        <f t="shared" si="80"/>
      </c>
      <c r="X158" s="295">
        <f t="shared" si="131"/>
      </c>
      <c r="Y158" s="282">
        <v>66.75</v>
      </c>
      <c r="Z158" s="296">
        <f t="shared" si="179"/>
      </c>
      <c r="AA158" s="275">
        <v>105788</v>
      </c>
      <c r="AB158" s="275">
        <v>1582</v>
      </c>
      <c r="AC158" s="275">
        <v>1659</v>
      </c>
      <c r="AD158" s="275">
        <v>427</v>
      </c>
      <c r="AE158" s="282">
        <v>314</v>
      </c>
      <c r="AF158" s="275">
        <v>18</v>
      </c>
      <c r="AG158" s="275">
        <v>3</v>
      </c>
      <c r="AH158" s="275">
        <v>78</v>
      </c>
    </row>
    <row r="159">
      <c r="A159" s="264">
        <v>46265</v>
      </c>
      <c r="B159" s="219" t="s">
        <v>709</v>
      </c>
      <c r="C159" s="304" t="s">
        <v>720</v>
      </c>
      <c r="D159" s="310">
        <f>4-0.75</f>
      </c>
      <c r="E159" s="219">
        <v>18</v>
      </c>
      <c r="F159" s="219">
        <v>19</v>
      </c>
      <c r="G159" s="307">
        <v>48024.280000000006</v>
      </c>
      <c r="H159" s="308">
        <v>15645.02</v>
      </c>
      <c r="I159" s="269">
        <f t="shared" si="81"/>
      </c>
      <c r="J159" s="270">
        <f t="shared" si="132"/>
      </c>
      <c r="K159" s="270">
        <f t="shared" si="180"/>
      </c>
      <c r="L159" s="271">
        <f t="shared" si="30"/>
      </c>
      <c r="M159" s="278"/>
      <c r="N159" s="273"/>
      <c r="O159" s="265"/>
      <c r="P159" s="236"/>
      <c r="Q159" s="274"/>
      <c r="R159" s="293">
        <f t="shared" si="205"/>
      </c>
      <c r="S159" s="294">
        <f t="shared" si="55"/>
      </c>
      <c r="T159" s="295">
        <f t="shared" si="106"/>
      </c>
      <c r="U159" s="295">
        <f t="shared" si="157"/>
      </c>
      <c r="V159" s="295">
        <f t="shared" si="230"/>
      </c>
      <c r="W159" s="275">
        <f t="shared" si="80"/>
      </c>
      <c r="X159" s="295">
        <f t="shared" si="131"/>
      </c>
      <c r="Y159" s="282">
        <v>66.25</v>
      </c>
      <c r="Z159" s="296">
        <f t="shared" si="179"/>
      </c>
      <c r="AA159" s="275">
        <v>108395</v>
      </c>
      <c r="AB159" s="275">
        <v>1499</v>
      </c>
      <c r="AC159" s="275">
        <v>1540</v>
      </c>
      <c r="AD159" s="275">
        <v>436</v>
      </c>
      <c r="AE159" s="275">
        <v>235</v>
      </c>
      <c r="AF159" s="275">
        <v>14</v>
      </c>
      <c r="AG159" s="275">
        <v>5</v>
      </c>
      <c r="AH159" s="275">
        <v>75</v>
      </c>
    </row>
    <row r="160">
      <c r="A160" s="264">
        <v>46265</v>
      </c>
      <c r="B160" s="219" t="s">
        <v>697</v>
      </c>
      <c r="C160" s="304" t="s">
        <v>724</v>
      </c>
      <c r="D160" s="310">
        <f>5-1.25</f>
      </c>
      <c r="E160" s="272">
        <v>18</v>
      </c>
      <c r="F160" s="272">
        <v>26</v>
      </c>
      <c r="G160" s="309">
        <v>68657.49</v>
      </c>
      <c r="H160" s="309">
        <v>23922.84</v>
      </c>
      <c r="I160" s="269">
        <f t="shared" si="81"/>
      </c>
      <c r="J160" s="270">
        <f t="shared" si="132"/>
      </c>
      <c r="K160" s="270">
        <f t="shared" si="180"/>
      </c>
      <c r="L160" s="271">
        <f t="shared" si="30"/>
      </c>
      <c r="M160" s="219" t="s">
        <v>727</v>
      </c>
      <c r="N160" s="219">
        <v>10</v>
      </c>
      <c r="O160" s="265"/>
      <c r="P160" s="236"/>
      <c r="Q160" s="274"/>
      <c r="R160" s="293">
        <f t="shared" si="205"/>
      </c>
      <c r="S160" s="294">
        <f t="shared" si="55"/>
      </c>
      <c r="T160" s="295">
        <f t="shared" si="106"/>
      </c>
      <c r="U160" s="295">
        <f t="shared" si="157"/>
      </c>
      <c r="V160" s="295">
        <f t="shared" si="230"/>
      </c>
      <c r="W160" s="275">
        <f t="shared" si="80"/>
      </c>
      <c r="X160" s="295">
        <f t="shared" si="131"/>
      </c>
      <c r="Y160" s="282">
        <v>37</v>
      </c>
      <c r="Z160" s="296">
        <f t="shared" si="179"/>
      </c>
      <c r="AA160" s="275">
        <v>191758</v>
      </c>
      <c r="AB160" s="275">
        <v>2552</v>
      </c>
      <c r="AC160" s="275">
        <v>2658</v>
      </c>
      <c r="AD160" s="275">
        <v>577</v>
      </c>
      <c r="AE160" s="275">
        <v>420</v>
      </c>
      <c r="AF160" s="275">
        <v>30</v>
      </c>
      <c r="AG160" s="275">
        <v>12</v>
      </c>
      <c r="AH160" s="275">
        <v>151</v>
      </c>
    </row>
    <row r="161">
      <c r="A161" s="264">
        <v>46265</v>
      </c>
      <c r="B161" s="242" t="s">
        <v>721</v>
      </c>
      <c r="C161" s="304" t="s">
        <v>728</v>
      </c>
      <c r="D161" s="302">
        <v>5</v>
      </c>
      <c r="E161" s="272">
        <v>8</v>
      </c>
      <c r="F161" s="272">
        <v>8</v>
      </c>
      <c r="G161" s="298">
        <v>23526.45</v>
      </c>
      <c r="H161" s="280">
        <v>9261.65</v>
      </c>
      <c r="I161" s="270">
        <f t="shared" si="81"/>
      </c>
      <c r="J161" s="270">
        <f t="shared" si="132"/>
      </c>
      <c r="K161" s="271">
        <f t="shared" si="180"/>
      </c>
      <c r="L161" s="271">
        <f t="shared" si="30"/>
      </c>
      <c r="M161" s="236" t="s">
        <v>726</v>
      </c>
      <c r="N161" s="219">
        <v>2</v>
      </c>
      <c r="O161" s="265"/>
      <c r="P161" s="236"/>
      <c r="Q161" s="274"/>
      <c r="R161" s="293">
        <f t="shared" si="205"/>
      </c>
      <c r="S161" s="294">
        <f t="shared" si="55"/>
      </c>
      <c r="T161" s="295">
        <f t="shared" si="106"/>
      </c>
      <c r="U161" s="295">
        <f t="shared" si="157"/>
      </c>
      <c r="V161" s="295">
        <f t="shared" si="230"/>
      </c>
      <c r="W161" s="275">
        <f t="shared" si="80"/>
      </c>
      <c r="X161" s="295">
        <f t="shared" si="131"/>
      </c>
      <c r="Y161" s="282">
        <v>69</v>
      </c>
      <c r="Z161" s="296">
        <f t="shared" si="179"/>
      </c>
      <c r="AA161" s="275">
        <v>112270</v>
      </c>
      <c r="AB161" s="275">
        <v>2188</v>
      </c>
      <c r="AC161" s="275">
        <v>2430</v>
      </c>
      <c r="AD161" s="275">
        <v>342</v>
      </c>
      <c r="AE161" s="275">
        <v>259</v>
      </c>
      <c r="AF161" s="275">
        <v>23</v>
      </c>
      <c r="AG161" s="275">
        <v>4</v>
      </c>
      <c r="AH161" s="275">
        <v>101</v>
      </c>
    </row>
    <row r="162">
      <c r="A162" s="283">
        <v>46265</v>
      </c>
      <c r="B162" s="284" t="s">
        <v>707</v>
      </c>
      <c r="C162" s="285"/>
      <c r="D162" s="285">
        <f>SUM(D157:D161)</f>
      </c>
      <c r="E162" s="285">
        <f>SUM(E157:E161)</f>
      </c>
      <c r="F162" s="285">
        <f>SUM(F157:F161)</f>
      </c>
      <c r="G162" s="286">
        <f>SUM(G157:G161)</f>
      </c>
      <c r="H162" s="286">
        <f>SUM(H157:H161)</f>
      </c>
      <c r="I162" s="287">
        <f t="shared" si="81"/>
      </c>
      <c r="J162" s="287">
        <f t="shared" si="132"/>
      </c>
      <c r="K162" s="287">
        <f t="shared" si="180"/>
      </c>
      <c r="L162" s="287"/>
      <c r="M162" s="285"/>
      <c r="N162" s="288">
        <f>SUM(N157:N161)</f>
      </c>
      <c r="O162" s="285"/>
      <c r="P162" s="285"/>
      <c r="Q162" s="285"/>
      <c r="R162" s="289">
        <f>AVERAGE(R157:R161)</f>
      </c>
      <c r="S162" s="290">
        <f>AVERAGE(S157:S161)</f>
      </c>
      <c r="T162" s="290">
        <f>AVERAGE(T157:T161)</f>
      </c>
      <c r="U162" s="290">
        <f>AVERAGE(U157:U161)</f>
      </c>
      <c r="V162" s="290">
        <f>AVERAGE(V157:V161)</f>
      </c>
      <c r="W162" s="291">
        <f>SUM(W157:W161)</f>
      </c>
      <c r="X162" s="290">
        <f>AVERAGE(X157:X161)</f>
      </c>
      <c r="Y162" s="291"/>
      <c r="Z162" s="292">
        <f>AVERAGE(Z157:Z161)</f>
      </c>
      <c r="AA162" s="291">
        <f>SUM(AA157:AA161)</f>
      </c>
      <c r="AB162" s="291">
        <f>SUM(AB157:AB161)</f>
      </c>
      <c r="AC162" s="291">
        <f>SUM(AC157:AC161)</f>
      </c>
      <c r="AD162" s="291">
        <f>SUM(AD157:AD161)</f>
      </c>
      <c r="AE162" s="291">
        <f>SUM(AE157:AE161)</f>
      </c>
      <c r="AF162" s="291">
        <f>SUM(AF157:AF161)</f>
      </c>
      <c r="AG162" s="291">
        <f>SUM(AG157:AG161)</f>
      </c>
      <c r="AH162" s="291">
        <f>SUM(AH157:AH161)</f>
      </c>
    </row>
    <row r="163"/>
    <row r="164"/>
    <row r="165"/>
    <row r="166"/>
    <row r="167">
      <c r="K167" s="311"/>
    </row>
    <row r="168">
      <c r="K168" s="311"/>
    </row>
    <row r="169">
      <c r="K169" s="311"/>
    </row>
    <row r="170">
      <c r="K170" s="311"/>
    </row>
    <row r="171">
      <c r="J171" s="311"/>
      <c r="K171" s="311"/>
      <c r="L171" s="311"/>
    </row>
    <row r="172">
      <c r="J172" s="311"/>
      <c r="K172" s="311"/>
    </row>
    <row r="173">
      <c r="K173" s="311"/>
    </row>
    <row r="174">
      <c r="D174" s="312"/>
      <c r="F174" s="312"/>
      <c r="G174" s="312"/>
    </row>
    <row r="175"/>
    <row r="176"/>
    <row r="177">
      <c r="J177">
        <v>720878.6</v>
      </c>
    </row>
    <row r="178">
      <c r="J178">
        <v>198442.98</v>
      </c>
    </row>
    <row r="179">
      <c r="J179">
        <f>J178+J177</f>
      </c>
    </row>
  </sheetData>
  <autoFilter ref="A1:AM173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17" min="17" style="0" width="11.211267605633802"/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16" min="16" style="0" width="11.211267605633802"/>
  </cols>
  <sheetData>
    <row r="1">
      <c r="A1" s="313" t="s">
        <v>729</v>
      </c>
      <c r="B1" s="314" t="s">
        <v>730</v>
      </c>
      <c r="C1" s="314" t="s">
        <v>731</v>
      </c>
      <c r="D1" s="314" t="s">
        <v>732</v>
      </c>
      <c r="E1" s="313" t="s">
        <v>733</v>
      </c>
      <c r="F1" s="314" t="s">
        <v>734</v>
      </c>
      <c r="G1" s="314" t="s">
        <v>735</v>
      </c>
      <c r="H1" s="314" t="s">
        <v>736</v>
      </c>
      <c r="I1" s="315" t="s">
        <v>737</v>
      </c>
      <c r="J1" s="315" t="s">
        <v>738</v>
      </c>
      <c r="K1" s="315" t="s">
        <v>739</v>
      </c>
      <c r="L1" s="314" t="s">
        <v>740</v>
      </c>
      <c r="M1" s="316" t="s">
        <v>741</v>
      </c>
      <c r="N1" s="314" t="s">
        <v>742</v>
      </c>
      <c r="O1" s="314" t="s">
        <v>743</v>
      </c>
      <c r="P1" s="314"/>
      <c r="Q1" s="314" t="s">
        <v>744</v>
      </c>
      <c r="R1" s="317" t="s">
        <v>745</v>
      </c>
      <c r="S1" s="317" t="s">
        <v>746</v>
      </c>
      <c r="T1" s="317" t="s">
        <v>747</v>
      </c>
      <c r="U1" s="317" t="s">
        <v>748</v>
      </c>
      <c r="V1" s="318" t="s">
        <v>749</v>
      </c>
      <c r="W1" s="317" t="s">
        <v>750</v>
      </c>
      <c r="X1" s="318" t="s">
        <v>751</v>
      </c>
      <c r="Y1" s="319" t="s">
        <v>752</v>
      </c>
      <c r="Z1" s="320" t="s">
        <v>753</v>
      </c>
      <c r="AA1" s="318" t="s">
        <v>754</v>
      </c>
      <c r="AB1" s="318" t="s">
        <v>755</v>
      </c>
      <c r="AC1" s="318" t="s">
        <v>756</v>
      </c>
      <c r="AD1" s="318" t="s">
        <v>757</v>
      </c>
      <c r="AE1" s="318" t="s">
        <v>758</v>
      </c>
      <c r="AF1" s="318" t="s">
        <v>759</v>
      </c>
      <c r="AG1" s="318" t="s">
        <v>760</v>
      </c>
    </row>
    <row r="2">
      <c r="A2" s="321" t="s">
        <v>761</v>
      </c>
      <c r="B2" s="322" t="s">
        <v>762</v>
      </c>
      <c r="C2" s="323" t="s">
        <v>763</v>
      </c>
      <c r="D2" s="324">
        <v>4</v>
      </c>
      <c r="E2" s="324">
        <v>28</v>
      </c>
      <c r="F2" s="324">
        <v>31</v>
      </c>
      <c r="G2" s="324">
        <v>76981.51</v>
      </c>
      <c r="H2" s="325">
        <v>24121.449999999997</v>
      </c>
      <c r="I2" s="326">
        <f t="shared" ref="I2:I154" si="1">G2/H2</f>
      </c>
      <c r="J2" s="326">
        <f t="shared" ref="J2:J154" si="4">G2/F2</f>
      </c>
      <c r="K2" s="327">
        <f t="shared" ref="K2:K154" si="2">H2/F2</f>
      </c>
      <c r="L2" s="328" t="s">
        <v>764</v>
      </c>
      <c r="M2" s="329">
        <v>8</v>
      </c>
      <c r="N2" s="330"/>
      <c r="O2" s="331"/>
      <c r="P2" s="331"/>
      <c r="Q2" s="332">
        <v>4.35483841848709</v>
      </c>
      <c r="R2" s="333">
        <v>0.19205588943591934</v>
      </c>
      <c r="S2" s="334">
        <v>0.017505823159265382</v>
      </c>
      <c r="T2" s="334">
        <v>0.019522200695934692</v>
      </c>
      <c r="U2" s="334">
        <v>0.07981220657276995</v>
      </c>
      <c r="V2" s="335">
        <v>60768.2119205298</v>
      </c>
      <c r="W2" s="334">
        <v>0.018875</v>
      </c>
      <c r="X2" s="335">
        <v>52.75</v>
      </c>
      <c r="Y2" s="336">
        <v>76.23503124120995</v>
      </c>
      <c r="Z2" s="335">
        <v>316409</v>
      </c>
      <c r="AA2" s="335">
        <v>5539</v>
      </c>
      <c r="AB2" s="335">
        <v>1147</v>
      </c>
      <c r="AC2" s="335">
        <v>6177</v>
      </c>
      <c r="AD2" s="335">
        <v>493</v>
      </c>
      <c r="AE2" s="335">
        <v>56</v>
      </c>
      <c r="AF2" s="337">
        <v>15</v>
      </c>
      <c r="AG2" s="335">
        <v>268</v>
      </c>
    </row>
    <row r="3">
      <c r="A3" s="321" t="s">
        <v>761</v>
      </c>
      <c r="B3" s="338" t="s">
        <v>765</v>
      </c>
      <c r="C3" s="323" t="s">
        <v>766</v>
      </c>
      <c r="D3" s="324">
        <v>4</v>
      </c>
      <c r="E3" s="339">
        <v>22</v>
      </c>
      <c r="F3" s="339">
        <v>29</v>
      </c>
      <c r="G3" s="339">
        <v>69411.34</v>
      </c>
      <c r="H3" s="340">
        <v>21162.32</v>
      </c>
      <c r="I3" s="326">
        <f t="shared" si="1"/>
      </c>
      <c r="J3" s="326">
        <f t="shared" si="4"/>
      </c>
      <c r="K3" s="326">
        <f t="shared" si="2"/>
      </c>
      <c r="L3" s="328"/>
      <c r="M3" s="329"/>
      <c r="N3" s="331"/>
      <c r="O3" s="331"/>
      <c r="P3" s="331"/>
      <c r="Q3" s="325">
        <v>7.100040268456375</v>
      </c>
      <c r="R3" s="334">
        <v>0.21175289258043042</v>
      </c>
      <c r="S3" s="333">
        <v>0.012207761350555289</v>
      </c>
      <c r="T3" s="334">
        <v>0.012592838386445288</v>
      </c>
      <c r="U3" s="333">
        <v>0.12394274560832791</v>
      </c>
      <c r="V3" s="335">
        <v>51690.36334913113</v>
      </c>
      <c r="W3" s="334">
        <v>0.015825</v>
      </c>
      <c r="X3" s="335">
        <v>53</v>
      </c>
      <c r="Y3" s="336">
        <v>86.67559717664794</v>
      </c>
      <c r="Z3" s="335">
        <v>244107</v>
      </c>
      <c r="AA3" s="335">
        <v>2980</v>
      </c>
      <c r="AB3" s="335">
        <v>818</v>
      </c>
      <c r="AC3" s="335">
        <v>3074</v>
      </c>
      <c r="AD3" s="335">
        <v>381</v>
      </c>
      <c r="AE3" s="335">
        <v>39</v>
      </c>
      <c r="AF3" s="335">
        <v>10</v>
      </c>
      <c r="AG3" s="335">
        <v>194</v>
      </c>
    </row>
    <row r="4">
      <c r="A4" s="341" t="s">
        <v>761</v>
      </c>
      <c r="B4" s="342" t="s">
        <v>767</v>
      </c>
      <c r="C4" s="343"/>
      <c r="D4" s="343">
        <f>SUM(D2:D3)</f>
      </c>
      <c r="E4" s="343">
        <f>SUM(E2:E3)</f>
      </c>
      <c r="F4" s="343">
        <f>SUM(F2:F3)</f>
      </c>
      <c r="G4" s="343">
        <f>SUM(G2:G3)</f>
      </c>
      <c r="H4" s="343">
        <f>SUM(H2:H3)</f>
      </c>
      <c r="I4" s="344">
        <f t="shared" si="1"/>
      </c>
      <c r="J4" s="344">
        <f t="shared" si="4"/>
      </c>
      <c r="K4" s="344">
        <f t="shared" si="2"/>
      </c>
      <c r="L4" s="343"/>
      <c r="M4" s="345">
        <f>SUM(M2:M3)</f>
      </c>
      <c r="N4" s="343"/>
      <c r="O4" s="343"/>
      <c r="P4" s="343"/>
      <c r="Q4" s="346">
        <f>AVERAGE(Q2:Q3)</f>
      </c>
      <c r="R4" s="347">
        <f>AVERAGE(R2:R3)</f>
      </c>
      <c r="S4" s="347">
        <f>AVERAGE(S2:S3)</f>
      </c>
      <c r="T4" s="347">
        <f>AVERAGE(T2:T3)</f>
      </c>
      <c r="U4" s="347">
        <f>AVERAGE(U2:U3)</f>
      </c>
      <c r="V4" s="348">
        <f>SUM(V2:V3)</f>
      </c>
      <c r="W4" s="347">
        <f>AVERAGE(W2:W3)</f>
      </c>
      <c r="X4" s="348"/>
      <c r="Y4" s="346">
        <f>AVERAGE(Y2:Y3)</f>
      </c>
      <c r="Z4" s="348">
        <f>SUM(Z2:Z3)</f>
      </c>
      <c r="AA4" s="348">
        <f>SUM(AA2:AA3)</f>
      </c>
      <c r="AB4" s="348">
        <f>SUM(AB2:AB3)</f>
      </c>
      <c r="AC4" s="348">
        <f>SUM(AC2:AC3)</f>
      </c>
      <c r="AD4" s="348">
        <f>SUM(AD2:AD3)</f>
      </c>
      <c r="AE4" s="348">
        <f>SUM(AE2:AE3)</f>
      </c>
      <c r="AF4" s="348">
        <f>SUM(AF2:AF3)</f>
      </c>
      <c r="AG4" s="348">
        <f>SUM(AG2:AG3)</f>
      </c>
    </row>
    <row r="5">
      <c r="A5" s="321" t="s">
        <v>768</v>
      </c>
      <c r="B5" s="349" t="s">
        <v>765</v>
      </c>
      <c r="C5" s="323" t="s">
        <v>769</v>
      </c>
      <c r="D5" s="324">
        <v>5</v>
      </c>
      <c r="E5" s="324">
        <v>30</v>
      </c>
      <c r="F5" s="324">
        <v>36</v>
      </c>
      <c r="G5" s="324">
        <v>91627.47000000002</v>
      </c>
      <c r="H5" s="325">
        <v>25002.06</v>
      </c>
      <c r="I5" s="326">
        <f t="shared" si="1"/>
      </c>
      <c r="J5" s="326">
        <f t="shared" si="4"/>
      </c>
      <c r="K5" s="327">
        <f t="shared" si="2"/>
      </c>
      <c r="L5" s="328" t="s">
        <v>764</v>
      </c>
      <c r="M5" s="329">
        <v>10</v>
      </c>
      <c r="N5" s="330"/>
      <c r="O5" s="331"/>
      <c r="P5" s="331"/>
      <c r="Q5" s="332">
        <v>5.376787096774194</v>
      </c>
      <c r="R5" s="333">
        <v>0.1631622092657196</v>
      </c>
      <c r="S5" s="334">
        <v>0.016634768454755217</v>
      </c>
      <c r="T5" s="334">
        <v>0.01816230525694457</v>
      </c>
      <c r="U5" s="334">
        <v>0.07662005121134528</v>
      </c>
      <c r="V5" s="335">
        <v>45609.54816709292</v>
      </c>
      <c r="W5" s="334">
        <v>0.02346</v>
      </c>
      <c r="X5" s="335">
        <v>48.6</v>
      </c>
      <c r="Y5" s="336">
        <v>89.44160838535426</v>
      </c>
      <c r="Z5" s="335">
        <v>279535</v>
      </c>
      <c r="AA5" s="335">
        <v>4650</v>
      </c>
      <c r="AB5" s="335">
        <v>1070</v>
      </c>
      <c r="AC5" s="335">
        <v>5077</v>
      </c>
      <c r="AD5" s="335">
        <v>389</v>
      </c>
      <c r="AE5" s="335">
        <v>42</v>
      </c>
      <c r="AF5" s="337">
        <v>13</v>
      </c>
      <c r="AG5" s="335">
        <v>323</v>
      </c>
    </row>
    <row r="6">
      <c r="A6" s="321" t="s">
        <v>768</v>
      </c>
      <c r="B6" s="350" t="s">
        <v>770</v>
      </c>
      <c r="C6" s="323" t="s">
        <v>771</v>
      </c>
      <c r="D6" s="324">
        <v>5</v>
      </c>
      <c r="E6" s="339">
        <v>26</v>
      </c>
      <c r="F6" s="339">
        <v>28</v>
      </c>
      <c r="G6" s="339">
        <v>69365.18000000002</v>
      </c>
      <c r="H6" s="340">
        <v>24777.760000000002</v>
      </c>
      <c r="I6" s="326">
        <f t="shared" si="1"/>
      </c>
      <c r="J6" s="326">
        <f t="shared" si="4"/>
      </c>
      <c r="K6" s="326">
        <f t="shared" si="2"/>
      </c>
      <c r="L6" s="328"/>
      <c r="M6" s="329"/>
      <c r="N6" s="331"/>
      <c r="O6" s="331"/>
      <c r="P6" s="331"/>
      <c r="Q6" s="325">
        <v>8.45080491132333</v>
      </c>
      <c r="R6" s="334">
        <v>0.1709830658808569</v>
      </c>
      <c r="S6" s="333">
        <v>0.011339815437928821</v>
      </c>
      <c r="T6" s="334">
        <v>0.01131660981288531</v>
      </c>
      <c r="U6" s="333">
        <v>0.13738892686261106</v>
      </c>
      <c r="V6" s="335">
        <v>44209.0395480226</v>
      </c>
      <c r="W6" s="334">
        <v>0.02124</v>
      </c>
      <c r="X6" s="335">
        <v>54.4</v>
      </c>
      <c r="Y6" s="336">
        <v>95.83056799634899</v>
      </c>
      <c r="Z6" s="335">
        <v>258558</v>
      </c>
      <c r="AA6" s="335">
        <v>2932</v>
      </c>
      <c r="AB6" s="335">
        <v>939</v>
      </c>
      <c r="AC6" s="335">
        <v>2926</v>
      </c>
      <c r="AD6" s="335">
        <v>402</v>
      </c>
      <c r="AE6" s="335">
        <v>47</v>
      </c>
      <c r="AF6" s="335">
        <v>12</v>
      </c>
      <c r="AG6" s="335">
        <v>282</v>
      </c>
    </row>
    <row r="7">
      <c r="A7" s="321" t="s">
        <v>768</v>
      </c>
      <c r="B7" s="349" t="s">
        <v>772</v>
      </c>
      <c r="C7" s="323" t="s">
        <v>773</v>
      </c>
      <c r="D7" s="321">
        <v>5</v>
      </c>
      <c r="E7" s="351">
        <v>18</v>
      </c>
      <c r="F7" s="351">
        <v>24</v>
      </c>
      <c r="G7" s="351">
        <v>58043.47000000001</v>
      </c>
      <c r="H7" s="351">
        <v>19982.78</v>
      </c>
      <c r="I7" s="352">
        <f t="shared" si="1"/>
      </c>
      <c r="J7" s="326">
        <f t="shared" si="4"/>
      </c>
      <c r="K7" s="326">
        <f t="shared" si="2"/>
      </c>
      <c r="L7" s="353"/>
      <c r="M7" s="353"/>
      <c r="N7" s="330"/>
      <c r="O7" s="331"/>
      <c r="P7" s="331"/>
      <c r="Q7" s="325">
        <v>9.65351690821256</v>
      </c>
      <c r="R7" s="334">
        <v>0.13379211353232587</v>
      </c>
      <c r="S7" s="334">
        <v>0.010494935053083077</v>
      </c>
      <c r="T7" s="334">
        <v>0.010601405408694064</v>
      </c>
      <c r="U7" s="334">
        <v>0.1640363462458154</v>
      </c>
      <c r="V7" s="335">
        <v>26388.888888888887</v>
      </c>
      <c r="W7" s="334">
        <v>0.024480000000000002</v>
      </c>
      <c r="X7" s="335">
        <v>58.8</v>
      </c>
      <c r="Y7" s="336">
        <v>101.31303298553017</v>
      </c>
      <c r="Z7" s="335">
        <v>197238</v>
      </c>
      <c r="AA7" s="335">
        <v>2070</v>
      </c>
      <c r="AB7" s="335">
        <v>646</v>
      </c>
      <c r="AC7" s="335">
        <v>2091</v>
      </c>
      <c r="AD7" s="335">
        <v>343</v>
      </c>
      <c r="AE7" s="335">
        <v>38</v>
      </c>
      <c r="AF7" s="335">
        <v>7</v>
      </c>
      <c r="AG7" s="335">
        <v>213</v>
      </c>
    </row>
    <row r="8">
      <c r="A8" s="321" t="s">
        <v>768</v>
      </c>
      <c r="B8" s="354" t="s">
        <v>774</v>
      </c>
      <c r="C8" s="323" t="s">
        <v>775</v>
      </c>
      <c r="D8" s="324">
        <v>5</v>
      </c>
      <c r="E8" s="328">
        <v>22</v>
      </c>
      <c r="F8" s="328">
        <v>23</v>
      </c>
      <c r="G8" s="328">
        <v>57276.38999999998</v>
      </c>
      <c r="H8" s="355">
        <v>17101.14</v>
      </c>
      <c r="I8" s="326">
        <f t="shared" si="1"/>
      </c>
      <c r="J8" s="326">
        <f t="shared" si="4"/>
      </c>
      <c r="K8" s="327">
        <f t="shared" si="2"/>
      </c>
      <c r="L8" s="324" t="s">
        <v>776</v>
      </c>
      <c r="M8" s="356">
        <v>10</v>
      </c>
      <c r="N8" s="330"/>
      <c r="O8" s="331"/>
      <c r="P8" s="331"/>
      <c r="Q8" s="325">
        <v>5.502297297297297</v>
      </c>
      <c r="R8" s="334">
        <v>0.14392256582165286</v>
      </c>
      <c r="S8" s="334">
        <v>0.015241719548437086</v>
      </c>
      <c r="T8" s="334">
        <v>0.017674117520131035</v>
      </c>
      <c r="U8" s="334">
        <v>0.08962264150943396</v>
      </c>
      <c r="V8" s="335">
        <v>29347.82608695652</v>
      </c>
      <c r="W8" s="334">
        <v>0.02024</v>
      </c>
      <c r="X8" s="335">
        <v>61.6</v>
      </c>
      <c r="Y8" s="336">
        <v>83.86447227752876</v>
      </c>
      <c r="Z8" s="335">
        <v>203914</v>
      </c>
      <c r="AA8" s="335">
        <v>3108</v>
      </c>
      <c r="AB8" s="335">
        <v>594</v>
      </c>
      <c r="AC8" s="335">
        <v>3604</v>
      </c>
      <c r="AD8" s="335">
        <v>323</v>
      </c>
      <c r="AE8" s="335">
        <v>35</v>
      </c>
      <c r="AF8" s="335">
        <v>7</v>
      </c>
      <c r="AG8" s="335">
        <v>153</v>
      </c>
    </row>
    <row r="9">
      <c r="A9" s="341" t="s">
        <v>768</v>
      </c>
      <c r="B9" s="342" t="s">
        <v>767</v>
      </c>
      <c r="C9" s="343"/>
      <c r="D9" s="343">
        <f>SUM(D5:D8)</f>
      </c>
      <c r="E9" s="343">
        <f>SUM(E5:E8)</f>
      </c>
      <c r="F9" s="343">
        <f>SUM(F5:F8)</f>
      </c>
      <c r="G9" s="343">
        <f>SUM(G5:G8)</f>
      </c>
      <c r="H9" s="343">
        <f>SUM(H5:H8)</f>
      </c>
      <c r="I9" s="344">
        <f t="shared" si="1"/>
      </c>
      <c r="J9" s="344">
        <f t="shared" si="4"/>
      </c>
      <c r="K9" s="344">
        <f t="shared" si="2"/>
      </c>
      <c r="L9" s="343"/>
      <c r="M9" s="345">
        <f>SUM(M5:M8)</f>
      </c>
      <c r="N9" s="343"/>
      <c r="O9" s="343"/>
      <c r="P9" s="343"/>
      <c r="Q9" s="346">
        <f>AVERAGE(Q5:Q8)</f>
      </c>
      <c r="R9" s="347">
        <f>AVERAGE(R5:R8)</f>
      </c>
      <c r="S9" s="347">
        <f>AVERAGE(S5:S8)</f>
      </c>
      <c r="T9" s="347">
        <f>AVERAGE(T5:T8)</f>
      </c>
      <c r="U9" s="347">
        <f>AVERAGE(U5:U8)</f>
      </c>
      <c r="V9" s="348">
        <f>SUM(V5:V8)</f>
      </c>
      <c r="W9" s="347">
        <f>AVERAGE(W5:W8)</f>
      </c>
      <c r="X9" s="348"/>
      <c r="Y9" s="346">
        <f>AVERAGE(Y5:Y8)</f>
      </c>
      <c r="Z9" s="348">
        <f>SUM(Z5:Z8)</f>
      </c>
      <c r="AA9" s="348">
        <f>SUM(AA5:AA8)</f>
      </c>
      <c r="AB9" s="348">
        <f>SUM(AB5:AB8)</f>
      </c>
      <c r="AC9" s="348">
        <f>SUM(AC5:AC8)</f>
      </c>
      <c r="AD9" s="348">
        <f>SUM(AD5:AD8)</f>
      </c>
      <c r="AE9" s="348">
        <f>SUM(AE5:AE8)</f>
      </c>
      <c r="AF9" s="348">
        <f>SUM(AF5:AF8)</f>
      </c>
      <c r="AG9" s="348">
        <f>SUM(AG5:AG8)</f>
      </c>
    </row>
    <row r="10">
      <c r="A10" s="321" t="s">
        <v>777</v>
      </c>
      <c r="B10" s="349" t="s">
        <v>765</v>
      </c>
      <c r="C10" s="323" t="s">
        <v>769</v>
      </c>
      <c r="D10" s="324">
        <v>5</v>
      </c>
      <c r="E10" s="324">
        <v>23</v>
      </c>
      <c r="F10" s="324">
        <v>30</v>
      </c>
      <c r="G10" s="324">
        <v>68616.24</v>
      </c>
      <c r="H10" s="325">
        <v>23405.78</v>
      </c>
      <c r="I10" s="326">
        <f t="shared" si="1"/>
      </c>
      <c r="J10" s="326">
        <f t="shared" si="4"/>
      </c>
      <c r="K10" s="327">
        <f t="shared" si="2"/>
      </c>
      <c r="L10" s="328" t="s">
        <v>764</v>
      </c>
      <c r="M10" s="329">
        <v>10</v>
      </c>
      <c r="N10" s="330"/>
      <c r="O10" s="331"/>
      <c r="P10" s="331"/>
      <c r="Q10" s="332">
        <v>4.771820591233435</v>
      </c>
      <c r="R10" s="333">
        <v>0.17702177303035233</v>
      </c>
      <c r="S10" s="334">
        <v>0.0186114104451561</v>
      </c>
      <c r="T10" s="334">
        <v>0.022568943797714267</v>
      </c>
      <c r="U10" s="334">
        <v>0.06825823806321453</v>
      </c>
      <c r="V10" s="335">
        <v>46653.7342386033</v>
      </c>
      <c r="W10" s="334">
        <v>0.02062</v>
      </c>
      <c r="X10" s="335">
        <v>43.8</v>
      </c>
      <c r="Y10" s="336">
        <v>88.81031159409292</v>
      </c>
      <c r="Z10" s="335">
        <v>263548</v>
      </c>
      <c r="AA10" s="335">
        <v>4905</v>
      </c>
      <c r="AB10" s="335">
        <v>962</v>
      </c>
      <c r="AC10" s="335">
        <v>5948</v>
      </c>
      <c r="AD10" s="335">
        <v>406</v>
      </c>
      <c r="AE10" s="335">
        <v>59</v>
      </c>
      <c r="AF10" s="337">
        <v>17</v>
      </c>
      <c r="AG10" s="335">
        <v>288</v>
      </c>
    </row>
    <row r="11">
      <c r="A11" s="321" t="s">
        <v>777</v>
      </c>
      <c r="B11" s="357" t="s">
        <v>762</v>
      </c>
      <c r="C11" s="323" t="s">
        <v>771</v>
      </c>
      <c r="D11" s="324">
        <v>5</v>
      </c>
      <c r="E11" s="339">
        <v>20</v>
      </c>
      <c r="F11" s="339">
        <v>25</v>
      </c>
      <c r="G11" s="339">
        <v>54958.45</v>
      </c>
      <c r="H11" s="340">
        <v>23237.809999999998</v>
      </c>
      <c r="I11" s="326">
        <f t="shared" si="1"/>
      </c>
      <c r="J11" s="326">
        <f t="shared" si="4"/>
      </c>
      <c r="K11" s="326">
        <f t="shared" si="2"/>
      </c>
      <c r="L11" s="328"/>
      <c r="M11" s="329"/>
      <c r="N11" s="331"/>
      <c r="O11" s="331"/>
      <c r="P11" s="331"/>
      <c r="Q11" s="325">
        <v>7.321301197227473</v>
      </c>
      <c r="R11" s="334">
        <v>0.1476394367007769</v>
      </c>
      <c r="S11" s="333">
        <v>0.011935741038793038</v>
      </c>
      <c r="T11" s="334">
        <v>0.012262902182578481</v>
      </c>
      <c r="U11" s="333">
        <v>0.14750076663600123</v>
      </c>
      <c r="V11" s="335">
        <v>39260.86956521739</v>
      </c>
      <c r="W11" s="334">
        <v>0.023</v>
      </c>
      <c r="X11" s="335">
        <v>53.4</v>
      </c>
      <c r="Y11" s="336">
        <v>87.38515515711255</v>
      </c>
      <c r="Z11" s="335">
        <v>265924</v>
      </c>
      <c r="AA11" s="335">
        <v>3174</v>
      </c>
      <c r="AB11" s="335">
        <v>903</v>
      </c>
      <c r="AC11" s="335">
        <v>3261</v>
      </c>
      <c r="AD11" s="335">
        <v>481</v>
      </c>
      <c r="AE11" s="335">
        <v>40</v>
      </c>
      <c r="AF11" s="335">
        <v>20</v>
      </c>
      <c r="AG11" s="335">
        <v>249</v>
      </c>
    </row>
    <row r="12">
      <c r="A12" s="321" t="s">
        <v>777</v>
      </c>
      <c r="B12" s="350" t="s">
        <v>770</v>
      </c>
      <c r="C12" s="323" t="s">
        <v>773</v>
      </c>
      <c r="D12" s="321">
        <v>5</v>
      </c>
      <c r="E12" s="351">
        <v>26</v>
      </c>
      <c r="F12" s="351">
        <v>32</v>
      </c>
      <c r="G12" s="351">
        <v>73943.67000000004</v>
      </c>
      <c r="H12" s="351">
        <v>18943.7</v>
      </c>
      <c r="I12" s="352">
        <f t="shared" si="1"/>
      </c>
      <c r="J12" s="326">
        <f t="shared" si="4"/>
      </c>
      <c r="K12" s="326">
        <f t="shared" si="2"/>
      </c>
      <c r="L12" s="353"/>
      <c r="M12" s="353"/>
      <c r="N12" s="330"/>
      <c r="O12" s="331"/>
      <c r="P12" s="331"/>
      <c r="Q12" s="325">
        <v>8.610772727272728</v>
      </c>
      <c r="R12" s="334">
        <v>0.14365383224060735</v>
      </c>
      <c r="S12" s="334">
        <v>0.011624527753560012</v>
      </c>
      <c r="T12" s="334">
        <v>0.011777760164856939</v>
      </c>
      <c r="U12" s="334">
        <v>0.12875729026469268</v>
      </c>
      <c r="V12" s="335">
        <v>27187.206020696143</v>
      </c>
      <c r="W12" s="334">
        <v>0.02126</v>
      </c>
      <c r="X12" s="335">
        <v>56.8</v>
      </c>
      <c r="Y12" s="336">
        <v>100.09616654777946</v>
      </c>
      <c r="Z12" s="335">
        <v>189255</v>
      </c>
      <c r="AA12" s="335">
        <v>2200</v>
      </c>
      <c r="AB12" s="335">
        <v>578</v>
      </c>
      <c r="AC12" s="335">
        <v>2229</v>
      </c>
      <c r="AD12" s="335">
        <v>287</v>
      </c>
      <c r="AE12" s="335">
        <v>19</v>
      </c>
      <c r="AF12" s="335">
        <v>7</v>
      </c>
      <c r="AG12" s="335">
        <v>188</v>
      </c>
    </row>
    <row r="13">
      <c r="A13" s="321" t="s">
        <v>777</v>
      </c>
      <c r="B13" s="354" t="s">
        <v>774</v>
      </c>
      <c r="C13" s="323" t="s">
        <v>775</v>
      </c>
      <c r="D13" s="324">
        <v>5</v>
      </c>
      <c r="E13" s="328">
        <v>14</v>
      </c>
      <c r="F13" s="328">
        <v>16</v>
      </c>
      <c r="G13" s="328">
        <v>43499.27</v>
      </c>
      <c r="H13" s="355">
        <v>16247.850000000002</v>
      </c>
      <c r="I13" s="326">
        <f t="shared" si="1"/>
      </c>
      <c r="J13" s="326">
        <f t="shared" si="4"/>
      </c>
      <c r="K13" s="327">
        <f t="shared" si="2"/>
      </c>
      <c r="L13" s="324" t="s">
        <v>776</v>
      </c>
      <c r="M13" s="356">
        <v>10</v>
      </c>
      <c r="N13" s="330"/>
      <c r="O13" s="331"/>
      <c r="P13" s="331"/>
      <c r="Q13" s="325">
        <v>5.986680176860723</v>
      </c>
      <c r="R13" s="334">
        <v>0.16942995884289963</v>
      </c>
      <c r="S13" s="334">
        <v>0.013455627169062965</v>
      </c>
      <c r="T13" s="334">
        <v>0.015751115518096184</v>
      </c>
      <c r="U13" s="334">
        <v>0.10953729933899906</v>
      </c>
      <c r="V13" s="335">
        <v>34174.022698612855</v>
      </c>
      <c r="W13" s="334">
        <v>0.015860000000000003</v>
      </c>
      <c r="X13" s="335">
        <v>59.4</v>
      </c>
      <c r="Y13" s="336">
        <v>80.55453644025782</v>
      </c>
      <c r="Z13" s="335">
        <v>201700</v>
      </c>
      <c r="AA13" s="335">
        <v>2714</v>
      </c>
      <c r="AB13" s="335">
        <v>542</v>
      </c>
      <c r="AC13" s="335">
        <v>3177</v>
      </c>
      <c r="AD13" s="335">
        <v>348</v>
      </c>
      <c r="AE13" s="335">
        <v>33</v>
      </c>
      <c r="AF13" s="335">
        <v>2</v>
      </c>
      <c r="AG13" s="335">
        <v>180</v>
      </c>
    </row>
    <row r="14">
      <c r="A14" s="341" t="s">
        <v>777</v>
      </c>
      <c r="B14" s="342" t="s">
        <v>767</v>
      </c>
      <c r="C14" s="343"/>
      <c r="D14" s="343">
        <f>SUM(D10:D13)</f>
      </c>
      <c r="E14" s="343">
        <f>SUM(E10:E13)</f>
      </c>
      <c r="F14" s="343">
        <f>SUM(F10:F13)</f>
      </c>
      <c r="G14" s="343">
        <f>SUM(G10:G13)</f>
      </c>
      <c r="H14" s="343">
        <f>SUM(H10:H13)</f>
      </c>
      <c r="I14" s="344">
        <f t="shared" si="1"/>
      </c>
      <c r="J14" s="344">
        <f t="shared" si="4"/>
      </c>
      <c r="K14" s="344">
        <f t="shared" si="2"/>
      </c>
      <c r="L14" s="343"/>
      <c r="M14" s="345">
        <f>SUM(M10:M13)</f>
      </c>
      <c r="N14" s="343"/>
      <c r="O14" s="343"/>
      <c r="P14" s="343"/>
      <c r="Q14" s="346">
        <f>AVERAGE(Q10:Q13)</f>
      </c>
      <c r="R14" s="347">
        <f>AVERAGE(R10:R13)</f>
      </c>
      <c r="S14" s="347">
        <f>AVERAGE(S10:S13)</f>
      </c>
      <c r="T14" s="347">
        <f>AVERAGE(T10:T13)</f>
      </c>
      <c r="U14" s="347">
        <f>AVERAGE(U10:U13)</f>
      </c>
      <c r="V14" s="348">
        <f>SUM(V10:V13)</f>
      </c>
      <c r="W14" s="347">
        <f>AVERAGE(W10:W13)</f>
      </c>
      <c r="X14" s="348"/>
      <c r="Y14" s="346">
        <f>AVERAGE(Y10:Y13)</f>
      </c>
      <c r="Z14" s="348">
        <f>SUM(Z10:Z13)</f>
      </c>
      <c r="AA14" s="348">
        <f>SUM(AA10:AA13)</f>
      </c>
      <c r="AB14" s="348">
        <f>SUM(AB10:AB13)</f>
      </c>
      <c r="AC14" s="348">
        <f>SUM(AC10:AC13)</f>
      </c>
      <c r="AD14" s="348">
        <f>SUM(AD10:AD13)</f>
      </c>
      <c r="AE14" s="348">
        <f>SUM(AE10:AE13)</f>
      </c>
      <c r="AF14" s="348">
        <f>SUM(AF10:AF13)</f>
      </c>
      <c r="AG14" s="348">
        <f>SUM(AG10:AG13)</f>
      </c>
    </row>
    <row r="15">
      <c r="A15" s="321" t="s">
        <v>778</v>
      </c>
      <c r="B15" s="357" t="s">
        <v>762</v>
      </c>
      <c r="C15" s="323" t="s">
        <v>769</v>
      </c>
      <c r="D15" s="324">
        <v>5</v>
      </c>
      <c r="E15" s="324">
        <v>24</v>
      </c>
      <c r="F15" s="324">
        <v>28</v>
      </c>
      <c r="G15" s="324">
        <v>65409.88</v>
      </c>
      <c r="H15" s="325">
        <v>23641.699999999997</v>
      </c>
      <c r="I15" s="326">
        <f t="shared" si="1"/>
      </c>
      <c r="J15" s="326">
        <f t="shared" si="4"/>
      </c>
      <c r="K15" s="327">
        <f t="shared" si="2"/>
      </c>
      <c r="L15" s="328" t="s">
        <v>764</v>
      </c>
      <c r="M15" s="329">
        <v>10</v>
      </c>
      <c r="N15" s="330"/>
      <c r="O15" s="331"/>
      <c r="P15" s="331"/>
      <c r="Q15" s="332">
        <v>6.115287118468701</v>
      </c>
      <c r="R15" s="333">
        <v>0.18711370836916344</v>
      </c>
      <c r="S15" s="334">
        <v>0.014169944031286767</v>
      </c>
      <c r="T15" s="334">
        <v>0.01568736690478721</v>
      </c>
      <c r="U15" s="334">
        <v>0.11939252336448598</v>
      </c>
      <c r="V15" s="335">
        <v>51050.42016806723</v>
      </c>
      <c r="W15" s="334">
        <v>0.01904</v>
      </c>
      <c r="X15" s="335">
        <v>53.2</v>
      </c>
      <c r="Y15" s="336">
        <v>86.65327620395041</v>
      </c>
      <c r="Z15" s="335">
        <v>272831</v>
      </c>
      <c r="AA15" s="335">
        <v>3866</v>
      </c>
      <c r="AB15" s="335">
        <v>972</v>
      </c>
      <c r="AC15" s="335">
        <v>4280</v>
      </c>
      <c r="AD15" s="335">
        <v>511</v>
      </c>
      <c r="AE15" s="335">
        <v>40</v>
      </c>
      <c r="AF15" s="337">
        <v>8</v>
      </c>
      <c r="AG15" s="335">
        <v>198</v>
      </c>
    </row>
    <row r="16">
      <c r="A16" s="321" t="s">
        <v>778</v>
      </c>
      <c r="B16" s="349" t="s">
        <v>772</v>
      </c>
      <c r="C16" s="323" t="s">
        <v>771</v>
      </c>
      <c r="D16" s="324">
        <v>5</v>
      </c>
      <c r="E16" s="339">
        <v>21</v>
      </c>
      <c r="F16" s="339">
        <v>27</v>
      </c>
      <c r="G16" s="339">
        <v>68820.28</v>
      </c>
      <c r="H16" s="340">
        <v>22676.19</v>
      </c>
      <c r="I16" s="326">
        <f t="shared" si="1"/>
      </c>
      <c r="J16" s="326">
        <f t="shared" si="4"/>
      </c>
      <c r="K16" s="326">
        <f t="shared" si="2"/>
      </c>
      <c r="L16" s="328"/>
      <c r="M16" s="329"/>
      <c r="N16" s="331"/>
      <c r="O16" s="331"/>
      <c r="P16" s="331"/>
      <c r="Q16" s="325">
        <v>7.135365009439899</v>
      </c>
      <c r="R16" s="334">
        <v>0.17709489984397941</v>
      </c>
      <c r="S16" s="333">
        <v>0.013132177139763885</v>
      </c>
      <c r="T16" s="334">
        <v>0.01354539857273317</v>
      </c>
      <c r="U16" s="333">
        <v>0.10433190970103721</v>
      </c>
      <c r="V16" s="335">
        <v>42857.14285714286</v>
      </c>
      <c r="W16" s="334">
        <v>0.019039999999999998</v>
      </c>
      <c r="X16" s="335">
        <v>57.8</v>
      </c>
      <c r="Y16" s="336">
        <v>93.70287726083775</v>
      </c>
      <c r="Z16" s="335">
        <v>242001</v>
      </c>
      <c r="AA16" s="335">
        <v>3178</v>
      </c>
      <c r="AB16" s="335">
        <v>816</v>
      </c>
      <c r="AC16" s="335">
        <v>3278</v>
      </c>
      <c r="AD16" s="335">
        <v>342</v>
      </c>
      <c r="AE16" s="335">
        <v>32</v>
      </c>
      <c r="AF16" s="335">
        <v>9</v>
      </c>
      <c r="AG16" s="335">
        <v>212</v>
      </c>
    </row>
    <row r="17">
      <c r="A17" s="321" t="s">
        <v>778</v>
      </c>
      <c r="B17" s="354" t="s">
        <v>774</v>
      </c>
      <c r="C17" s="323" t="s">
        <v>773</v>
      </c>
      <c r="D17" s="321">
        <v>5</v>
      </c>
      <c r="E17" s="351">
        <v>19</v>
      </c>
      <c r="F17" s="351">
        <v>26</v>
      </c>
      <c r="G17" s="351">
        <v>65648.34000000001</v>
      </c>
      <c r="H17" s="351">
        <v>18241.02</v>
      </c>
      <c r="I17" s="352">
        <f t="shared" si="1"/>
      </c>
      <c r="J17" s="326">
        <f t="shared" si="4"/>
      </c>
      <c r="K17" s="326">
        <f t="shared" si="2"/>
      </c>
      <c r="L17" s="353"/>
      <c r="M17" s="353"/>
      <c r="N17" s="330"/>
      <c r="O17" s="331"/>
      <c r="P17" s="331"/>
      <c r="Q17" s="325">
        <v>8.161530201342282</v>
      </c>
      <c r="R17" s="334">
        <v>0.14638035173957684</v>
      </c>
      <c r="S17" s="334">
        <v>0.013584726755529622</v>
      </c>
      <c r="T17" s="334">
        <v>0.014083137312108338</v>
      </c>
      <c r="U17" s="334">
        <v>0.16227880880448856</v>
      </c>
      <c r="V17" s="335">
        <v>24082.9346092504</v>
      </c>
      <c r="W17" s="334">
        <v>0.02508</v>
      </c>
      <c r="X17" s="335">
        <v>61</v>
      </c>
      <c r="Y17" s="336">
        <v>110.87215769223756</v>
      </c>
      <c r="Z17" s="335">
        <v>164523</v>
      </c>
      <c r="AA17" s="335">
        <v>2235</v>
      </c>
      <c r="AB17" s="335">
        <v>604</v>
      </c>
      <c r="AC17" s="335">
        <v>2317</v>
      </c>
      <c r="AD17" s="335">
        <v>376</v>
      </c>
      <c r="AE17" s="335">
        <v>32</v>
      </c>
      <c r="AF17" s="335">
        <v>7</v>
      </c>
      <c r="AG17" s="335">
        <v>159</v>
      </c>
    </row>
    <row r="18">
      <c r="A18" s="321" t="s">
        <v>778</v>
      </c>
      <c r="B18" s="350" t="s">
        <v>770</v>
      </c>
      <c r="C18" s="323" t="s">
        <v>775</v>
      </c>
      <c r="D18" s="324">
        <v>5</v>
      </c>
      <c r="E18" s="328">
        <v>11</v>
      </c>
      <c r="F18" s="328">
        <v>12</v>
      </c>
      <c r="G18" s="328">
        <v>26782.27000000001</v>
      </c>
      <c r="H18" s="355">
        <v>15647.83</v>
      </c>
      <c r="I18" s="326">
        <f t="shared" si="1"/>
      </c>
      <c r="J18" s="326">
        <f t="shared" si="4"/>
      </c>
      <c r="K18" s="327">
        <f t="shared" si="2"/>
      </c>
      <c r="L18" s="324" t="s">
        <v>776</v>
      </c>
      <c r="M18" s="356">
        <v>10</v>
      </c>
      <c r="N18" s="330"/>
      <c r="O18" s="331"/>
      <c r="P18" s="331"/>
      <c r="Q18" s="325">
        <v>5.263313151698621</v>
      </c>
      <c r="R18" s="334">
        <v>0.17536497761659262</v>
      </c>
      <c r="S18" s="334">
        <v>0.015375704008647217</v>
      </c>
      <c r="T18" s="334">
        <v>0.017925391891682223</v>
      </c>
      <c r="U18" s="334">
        <v>0.10300057703404501</v>
      </c>
      <c r="V18" s="335">
        <v>33908.0459770115</v>
      </c>
      <c r="W18" s="334">
        <v>0.0174</v>
      </c>
      <c r="X18" s="335">
        <v>63.2</v>
      </c>
      <c r="Y18" s="336">
        <v>80.9271451253381</v>
      </c>
      <c r="Z18" s="335">
        <v>193357</v>
      </c>
      <c r="AA18" s="335">
        <v>2973</v>
      </c>
      <c r="AB18" s="335">
        <v>590</v>
      </c>
      <c r="AC18" s="335">
        <v>3466</v>
      </c>
      <c r="AD18" s="335">
        <v>357</v>
      </c>
      <c r="AE18" s="335">
        <v>24</v>
      </c>
      <c r="AF18" s="335">
        <v>8</v>
      </c>
      <c r="AG18" s="335">
        <v>167</v>
      </c>
    </row>
    <row r="19">
      <c r="A19" s="341" t="s">
        <v>778</v>
      </c>
      <c r="B19" s="342" t="s">
        <v>767</v>
      </c>
      <c r="C19" s="343"/>
      <c r="D19" s="343">
        <f>SUM(D15:D18)</f>
      </c>
      <c r="E19" s="343">
        <f>SUM(E15:E18)</f>
      </c>
      <c r="F19" s="343">
        <f>SUM(F15:F18)</f>
      </c>
      <c r="G19" s="343">
        <f>SUM(G15:G18)</f>
      </c>
      <c r="H19" s="343">
        <f>SUM(H15:H18)</f>
      </c>
      <c r="I19" s="344">
        <f t="shared" si="1"/>
      </c>
      <c r="J19" s="344">
        <f t="shared" si="4"/>
      </c>
      <c r="K19" s="344">
        <f t="shared" si="2"/>
      </c>
      <c r="L19" s="343"/>
      <c r="M19" s="345">
        <f>SUM(M15:M18)</f>
      </c>
      <c r="N19" s="343"/>
      <c r="O19" s="343"/>
      <c r="P19" s="343"/>
      <c r="Q19" s="346">
        <f>AVERAGE(Q15:Q18)</f>
      </c>
      <c r="R19" s="347">
        <f>AVERAGE(R15:R18)</f>
      </c>
      <c r="S19" s="347">
        <f>AVERAGE(S15:S18)</f>
      </c>
      <c r="T19" s="347">
        <f>AVERAGE(T15:T18)</f>
      </c>
      <c r="U19" s="347">
        <f>AVERAGE(U15:U18)</f>
      </c>
      <c r="V19" s="348">
        <f>SUM(V15:V18)</f>
      </c>
      <c r="W19" s="347">
        <f>AVERAGE(W15:W18)</f>
      </c>
      <c r="X19" s="348"/>
      <c r="Y19" s="346">
        <f>AVERAGE(Y15:Y18)</f>
      </c>
      <c r="Z19" s="348">
        <f>SUM(Z15:Z18)</f>
      </c>
      <c r="AA19" s="348">
        <f>SUM(AA15:AA18)</f>
      </c>
      <c r="AB19" s="348">
        <f>SUM(AB15:AB18)</f>
      </c>
      <c r="AC19" s="348">
        <f>SUM(AC15:AC18)</f>
      </c>
      <c r="AD19" s="348">
        <f>SUM(AD15:AD18)</f>
      </c>
      <c r="AE19" s="348">
        <f>SUM(AE15:AE18)</f>
      </c>
      <c r="AF19" s="348">
        <f>SUM(AF15:AF18)</f>
      </c>
      <c r="AG19" s="348">
        <f>SUM(AG15:AG18)</f>
      </c>
    </row>
    <row r="20">
      <c r="A20" s="321" t="s">
        <v>779</v>
      </c>
      <c r="B20" s="354" t="s">
        <v>765</v>
      </c>
      <c r="C20" s="323" t="s">
        <v>769</v>
      </c>
      <c r="D20" s="324">
        <v>5</v>
      </c>
      <c r="E20" s="324">
        <v>33</v>
      </c>
      <c r="F20" s="324">
        <v>36</v>
      </c>
      <c r="G20" s="324">
        <v>88837.80999999998</v>
      </c>
      <c r="H20" s="325">
        <v>25714.540000000005</v>
      </c>
      <c r="I20" s="326">
        <f t="shared" si="1"/>
      </c>
      <c r="J20" s="326">
        <f t="shared" si="4"/>
      </c>
      <c r="K20" s="327">
        <f t="shared" si="2"/>
      </c>
      <c r="L20" s="328" t="s">
        <v>764</v>
      </c>
      <c r="M20" s="329">
        <v>10</v>
      </c>
      <c r="N20" s="330"/>
      <c r="O20" s="331"/>
      <c r="P20" s="331"/>
      <c r="Q20" s="332">
        <v>5.959337195828506</v>
      </c>
      <c r="R20" s="333">
        <v>0.1601178727248696</v>
      </c>
      <c r="S20" s="334">
        <v>0.017597376910120838</v>
      </c>
      <c r="T20" s="334">
        <v>0.020358309509924268</v>
      </c>
      <c r="U20" s="334">
        <v>0.0921474358974359</v>
      </c>
      <c r="V20" s="335">
        <v>39262.0232172471</v>
      </c>
      <c r="W20" s="334">
        <v>0.02412</v>
      </c>
      <c r="X20" s="335">
        <v>46</v>
      </c>
      <c r="Y20" s="336">
        <v>104.8687027694968</v>
      </c>
      <c r="Z20" s="335">
        <v>245207</v>
      </c>
      <c r="AA20" s="335">
        <v>4315</v>
      </c>
      <c r="AB20" s="335">
        <v>947</v>
      </c>
      <c r="AC20" s="335">
        <v>4992</v>
      </c>
      <c r="AD20" s="335">
        <v>460</v>
      </c>
      <c r="AE20" s="335">
        <v>63</v>
      </c>
      <c r="AF20" s="337">
        <v>10</v>
      </c>
      <c r="AG20" s="335">
        <v>263</v>
      </c>
    </row>
    <row r="21">
      <c r="A21" s="321" t="s">
        <v>779</v>
      </c>
      <c r="B21" s="349" t="s">
        <v>774</v>
      </c>
      <c r="C21" s="323" t="s">
        <v>771</v>
      </c>
      <c r="D21" s="324">
        <v>5</v>
      </c>
      <c r="E21" s="339">
        <v>31</v>
      </c>
      <c r="F21" s="339">
        <v>38</v>
      </c>
      <c r="G21" s="339">
        <v>88397.42000000001</v>
      </c>
      <c r="H21" s="340">
        <v>21960.449999999997</v>
      </c>
      <c r="I21" s="326">
        <f t="shared" si="1"/>
      </c>
      <c r="J21" s="326">
        <f t="shared" si="4"/>
      </c>
      <c r="K21" s="326">
        <f t="shared" si="2"/>
      </c>
      <c r="L21" s="328"/>
      <c r="M21" s="329"/>
      <c r="N21" s="331"/>
      <c r="O21" s="331"/>
      <c r="P21" s="331"/>
      <c r="Q21" s="325">
        <v>8.420417944785274</v>
      </c>
      <c r="R21" s="334">
        <v>0.15210376975879328</v>
      </c>
      <c r="S21" s="333">
        <v>0.011210261171575454</v>
      </c>
      <c r="T21" s="334">
        <v>0.01124464847578274</v>
      </c>
      <c r="U21" s="333">
        <v>0.16131498470948014</v>
      </c>
      <c r="V21" s="335">
        <v>35386.029411764706</v>
      </c>
      <c r="W21" s="334">
        <v>0.02176</v>
      </c>
      <c r="X21" s="335">
        <v>54</v>
      </c>
      <c r="Y21" s="336">
        <v>94.39508433486355</v>
      </c>
      <c r="Z21" s="335">
        <v>232644</v>
      </c>
      <c r="AA21" s="335">
        <v>2608</v>
      </c>
      <c r="AB21" s="335">
        <v>770</v>
      </c>
      <c r="AC21" s="335">
        <v>2616</v>
      </c>
      <c r="AD21" s="335">
        <v>422</v>
      </c>
      <c r="AE21" s="335">
        <v>41</v>
      </c>
      <c r="AF21" s="335">
        <v>13</v>
      </c>
      <c r="AG21" s="335">
        <v>262</v>
      </c>
    </row>
    <row r="22">
      <c r="A22" s="321" t="s">
        <v>779</v>
      </c>
      <c r="B22" s="354" t="s">
        <v>772</v>
      </c>
      <c r="C22" s="323" t="s">
        <v>773</v>
      </c>
      <c r="D22" s="321">
        <v>5</v>
      </c>
      <c r="E22" s="351">
        <v>23</v>
      </c>
      <c r="F22" s="351">
        <v>29</v>
      </c>
      <c r="G22" s="351">
        <v>66432.04000000002</v>
      </c>
      <c r="H22" s="351">
        <v>22239.99</v>
      </c>
      <c r="I22" s="352">
        <f t="shared" si="1"/>
      </c>
      <c r="J22" s="326">
        <f t="shared" si="4"/>
      </c>
      <c r="K22" s="326">
        <f t="shared" si="2"/>
      </c>
      <c r="L22" s="353"/>
      <c r="M22" s="353"/>
      <c r="N22" s="330"/>
      <c r="O22" s="331"/>
      <c r="P22" s="331"/>
      <c r="Q22" s="325">
        <v>8.567022342064716</v>
      </c>
      <c r="R22" s="334">
        <v>0.1442213657864066</v>
      </c>
      <c r="S22" s="334">
        <v>0.011469673405909799</v>
      </c>
      <c r="T22" s="334">
        <v>0.011770111692351195</v>
      </c>
      <c r="U22" s="334">
        <v>0.09684684684684684</v>
      </c>
      <c r="V22" s="335">
        <v>32642.487046632123</v>
      </c>
      <c r="W22" s="334">
        <v>0.02316</v>
      </c>
      <c r="X22" s="335">
        <v>57.2</v>
      </c>
      <c r="Y22" s="336">
        <v>98.26094832461474</v>
      </c>
      <c r="Z22" s="335">
        <v>226336</v>
      </c>
      <c r="AA22" s="335">
        <v>2596</v>
      </c>
      <c r="AB22" s="335">
        <v>756</v>
      </c>
      <c r="AC22" s="335">
        <v>2664</v>
      </c>
      <c r="AD22" s="335">
        <v>258</v>
      </c>
      <c r="AE22" s="335">
        <v>42</v>
      </c>
      <c r="AF22" s="335">
        <v>9</v>
      </c>
      <c r="AG22" s="335">
        <v>256</v>
      </c>
    </row>
    <row r="23">
      <c r="A23" s="321" t="s">
        <v>779</v>
      </c>
      <c r="B23" s="350" t="s">
        <v>770</v>
      </c>
      <c r="C23" s="323" t="s">
        <v>775</v>
      </c>
      <c r="D23" s="324">
        <v>5</v>
      </c>
      <c r="E23" s="328">
        <v>16</v>
      </c>
      <c r="F23" s="328">
        <v>22</v>
      </c>
      <c r="G23" s="328">
        <v>59670.21000000001</v>
      </c>
      <c r="H23" s="355">
        <v>17484.25</v>
      </c>
      <c r="I23" s="326">
        <f t="shared" si="1"/>
      </c>
      <c r="J23" s="326">
        <f t="shared" si="4"/>
      </c>
      <c r="K23" s="327">
        <f t="shared" si="2"/>
      </c>
      <c r="L23" s="324" t="s">
        <v>776</v>
      </c>
      <c r="M23" s="356">
        <v>10</v>
      </c>
      <c r="N23" s="330"/>
      <c r="O23" s="331"/>
      <c r="P23" s="331"/>
      <c r="Q23" s="325">
        <v>5.332189691979262</v>
      </c>
      <c r="R23" s="334">
        <v>0.17857553765911446</v>
      </c>
      <c r="S23" s="334">
        <v>0.013247146752853246</v>
      </c>
      <c r="T23" s="334">
        <v>0.014362185637814362</v>
      </c>
      <c r="U23" s="334">
        <v>0.09142053445850915</v>
      </c>
      <c r="V23" s="335">
        <v>44201.909959072305</v>
      </c>
      <c r="W23" s="334">
        <v>0.014660000000000001</v>
      </c>
      <c r="X23" s="335">
        <v>58.6</v>
      </c>
      <c r="Y23" s="336">
        <v>70.63629936370064</v>
      </c>
      <c r="Z23" s="335">
        <v>247525</v>
      </c>
      <c r="AA23" s="335">
        <v>3279</v>
      </c>
      <c r="AB23" s="335">
        <v>648</v>
      </c>
      <c r="AC23" s="335">
        <v>3555</v>
      </c>
      <c r="AD23" s="335">
        <v>325</v>
      </c>
      <c r="AE23" s="335">
        <v>26</v>
      </c>
      <c r="AF23" s="335">
        <v>9</v>
      </c>
      <c r="AG23" s="335">
        <v>221</v>
      </c>
    </row>
    <row r="24">
      <c r="A24" s="341" t="s">
        <v>779</v>
      </c>
      <c r="B24" s="342" t="s">
        <v>767</v>
      </c>
      <c r="C24" s="343"/>
      <c r="D24" s="343">
        <f>SUM(D20:D23)</f>
      </c>
      <c r="E24" s="343">
        <f>SUM(E20:E23)</f>
      </c>
      <c r="F24" s="343">
        <f>SUM(F20:F23)</f>
      </c>
      <c r="G24" s="343">
        <f>SUM(G20:G23)</f>
      </c>
      <c r="H24" s="343">
        <f>SUM(H20:H23)</f>
      </c>
      <c r="I24" s="344">
        <f t="shared" si="1"/>
      </c>
      <c r="J24" s="344">
        <f t="shared" si="4"/>
      </c>
      <c r="K24" s="344">
        <f t="shared" si="2"/>
      </c>
      <c r="L24" s="343"/>
      <c r="M24" s="345">
        <f>SUM(M20:M23)</f>
      </c>
      <c r="N24" s="343"/>
      <c r="O24" s="343"/>
      <c r="P24" s="343"/>
      <c r="Q24" s="346">
        <f>AVERAGE(Q20:Q23)</f>
      </c>
      <c r="R24" s="347">
        <f>AVERAGE(R20:R23)</f>
      </c>
      <c r="S24" s="347">
        <f>AVERAGE(S20:S23)</f>
      </c>
      <c r="T24" s="347">
        <f>AVERAGE(T20:T23)</f>
      </c>
      <c r="U24" s="347">
        <f>AVERAGE(U20:U23)</f>
      </c>
      <c r="V24" s="348">
        <f>SUM(V20:V23)</f>
      </c>
      <c r="W24" s="347">
        <f>AVERAGE(W20:W23)</f>
      </c>
      <c r="X24" s="348"/>
      <c r="Y24" s="346">
        <f>AVERAGE(Y20:Y23)</f>
      </c>
      <c r="Z24" s="348">
        <f>SUM(Z20:Z23)</f>
      </c>
      <c r="AA24" s="348">
        <f>SUM(AA20:AA23)</f>
      </c>
      <c r="AB24" s="348">
        <f>SUM(AB20:AB23)</f>
      </c>
      <c r="AC24" s="348">
        <f>SUM(AC20:AC23)</f>
      </c>
      <c r="AD24" s="348">
        <f>SUM(AD20:AD23)</f>
      </c>
      <c r="AE24" s="348">
        <f>SUM(AE20:AE23)</f>
      </c>
      <c r="AF24" s="348">
        <f>SUM(AF20:AF23)</f>
      </c>
      <c r="AG24" s="348">
        <f>SUM(AG20:AG23)</f>
      </c>
    </row>
    <row r="25">
      <c r="A25" s="321" t="s">
        <v>780</v>
      </c>
      <c r="B25" s="358" t="s">
        <v>774</v>
      </c>
      <c r="C25" s="323" t="s">
        <v>769</v>
      </c>
      <c r="D25" s="324">
        <v>5</v>
      </c>
      <c r="E25" s="324">
        <v>27</v>
      </c>
      <c r="F25" s="324">
        <v>27</v>
      </c>
      <c r="G25" s="324">
        <v>68674.4</v>
      </c>
      <c r="H25" s="325">
        <v>23334.160000000003</v>
      </c>
      <c r="I25" s="326">
        <f t="shared" si="1"/>
      </c>
      <c r="J25" s="326">
        <f t="shared" si="4"/>
      </c>
      <c r="K25" s="327">
        <f t="shared" si="2"/>
      </c>
      <c r="L25" s="328" t="s">
        <v>781</v>
      </c>
      <c r="M25" s="329">
        <v>10</v>
      </c>
      <c r="N25" s="330"/>
      <c r="O25" s="331"/>
      <c r="P25" s="331"/>
      <c r="Q25" s="332">
        <v>5.090349040139617</v>
      </c>
      <c r="R25" s="333">
        <v>0.1519344019326552</v>
      </c>
      <c r="S25" s="334">
        <v>0.016645726362269686</v>
      </c>
      <c r="T25" s="334">
        <v>0.019478114355849608</v>
      </c>
      <c r="U25" s="334">
        <v>0.06879194630872483</v>
      </c>
      <c r="V25" s="335">
        <v>41840.607210626185</v>
      </c>
      <c r="W25" s="334">
        <v>0.02108</v>
      </c>
      <c r="X25" s="335">
        <v>38.2</v>
      </c>
      <c r="Y25" s="336">
        <v>84.73255721060622</v>
      </c>
      <c r="Z25" s="335">
        <v>275386</v>
      </c>
      <c r="AA25" s="335">
        <v>4584</v>
      </c>
      <c r="AB25" s="335">
        <v>882</v>
      </c>
      <c r="AC25" s="335">
        <v>5364</v>
      </c>
      <c r="AD25" s="335">
        <v>369</v>
      </c>
      <c r="AE25" s="335">
        <v>35</v>
      </c>
      <c r="AF25" s="337">
        <v>11</v>
      </c>
      <c r="AG25" s="335">
        <v>285</v>
      </c>
    </row>
    <row r="26">
      <c r="A26" s="321" t="s">
        <v>780</v>
      </c>
      <c r="B26" s="354" t="s">
        <v>765</v>
      </c>
      <c r="C26" s="323" t="s">
        <v>771</v>
      </c>
      <c r="D26" s="324">
        <v>5</v>
      </c>
      <c r="E26" s="339">
        <v>29</v>
      </c>
      <c r="F26" s="339">
        <v>31</v>
      </c>
      <c r="G26" s="339">
        <v>76812.82</v>
      </c>
      <c r="H26" s="340">
        <v>21689.88</v>
      </c>
      <c r="I26" s="326">
        <f t="shared" si="1"/>
      </c>
      <c r="J26" s="326">
        <f t="shared" si="4"/>
      </c>
      <c r="K26" s="326">
        <f t="shared" si="2"/>
      </c>
      <c r="L26" s="328"/>
      <c r="M26" s="329"/>
      <c r="N26" s="331"/>
      <c r="O26" s="331"/>
      <c r="P26" s="331"/>
      <c r="Q26" s="325">
        <v>7.632784327323162</v>
      </c>
      <c r="R26" s="334">
        <v>0.14722367238440526</v>
      </c>
      <c r="S26" s="333">
        <v>0.011880290828201273</v>
      </c>
      <c r="T26" s="334">
        <v>0.012197483059051308</v>
      </c>
      <c r="U26" s="333">
        <v>0.12664640324214793</v>
      </c>
      <c r="V26" s="335">
        <v>35739.282589676295</v>
      </c>
      <c r="W26" s="334">
        <v>0.02286</v>
      </c>
      <c r="X26" s="335">
        <v>48.2</v>
      </c>
      <c r="Y26" s="336">
        <v>90.6796976375358</v>
      </c>
      <c r="Z26" s="335">
        <v>242755</v>
      </c>
      <c r="AA26" s="335">
        <v>2884</v>
      </c>
      <c r="AB26" s="335">
        <v>817</v>
      </c>
      <c r="AC26" s="335">
        <v>2961</v>
      </c>
      <c r="AD26" s="335">
        <v>375</v>
      </c>
      <c r="AE26" s="335">
        <v>28</v>
      </c>
      <c r="AF26" s="335">
        <v>4</v>
      </c>
      <c r="AG26" s="335">
        <v>215</v>
      </c>
    </row>
    <row r="27">
      <c r="A27" s="321" t="s">
        <v>780</v>
      </c>
      <c r="B27" s="354" t="s">
        <v>762</v>
      </c>
      <c r="C27" s="323" t="s">
        <v>773</v>
      </c>
      <c r="D27" s="321">
        <v>5</v>
      </c>
      <c r="E27" s="351">
        <v>21</v>
      </c>
      <c r="F27" s="351">
        <v>23</v>
      </c>
      <c r="G27" s="351">
        <v>55783.46</v>
      </c>
      <c r="H27" s="351">
        <v>22014.56</v>
      </c>
      <c r="I27" s="352">
        <f t="shared" si="1"/>
      </c>
      <c r="J27" s="326">
        <f t="shared" si="4"/>
      </c>
      <c r="K27" s="326">
        <f t="shared" si="2"/>
      </c>
      <c r="L27" s="353"/>
      <c r="M27" s="353"/>
      <c r="N27" s="330"/>
      <c r="O27" s="331"/>
      <c r="P27" s="331"/>
      <c r="Q27" s="325">
        <v>8.345170583775587</v>
      </c>
      <c r="R27" s="334">
        <v>0.13649865439045655</v>
      </c>
      <c r="S27" s="334">
        <v>0.010991483475275413</v>
      </c>
      <c r="T27" s="334">
        <v>0.011087315211413143</v>
      </c>
      <c r="U27" s="334">
        <v>0.1371664787673807</v>
      </c>
      <c r="V27" s="335">
        <v>32760.223048327138</v>
      </c>
      <c r="W27" s="334">
        <v>0.02152</v>
      </c>
      <c r="X27" s="335">
        <v>52.2</v>
      </c>
      <c r="Y27" s="336">
        <v>91.72580456992384</v>
      </c>
      <c r="Z27" s="335">
        <v>240004</v>
      </c>
      <c r="AA27" s="335">
        <v>2638</v>
      </c>
      <c r="AB27" s="335">
        <v>705</v>
      </c>
      <c r="AC27" s="335">
        <v>2661</v>
      </c>
      <c r="AD27" s="335">
        <v>365</v>
      </c>
      <c r="AE27" s="335">
        <v>27</v>
      </c>
      <c r="AF27" s="335">
        <v>12</v>
      </c>
      <c r="AG27" s="335">
        <v>205</v>
      </c>
    </row>
    <row r="28">
      <c r="A28" s="321" t="s">
        <v>780</v>
      </c>
      <c r="B28" s="354" t="s">
        <v>772</v>
      </c>
      <c r="C28" s="323" t="s">
        <v>775</v>
      </c>
      <c r="D28" s="324">
        <v>5</v>
      </c>
      <c r="E28" s="328">
        <v>18</v>
      </c>
      <c r="F28" s="328">
        <v>25</v>
      </c>
      <c r="G28" s="328">
        <v>56899.91000000002</v>
      </c>
      <c r="H28" s="355">
        <v>18840.23</v>
      </c>
      <c r="I28" s="326">
        <f t="shared" si="1"/>
      </c>
      <c r="J28" s="326">
        <f t="shared" si="4"/>
      </c>
      <c r="K28" s="327">
        <f t="shared" si="2"/>
      </c>
      <c r="L28" s="324" t="s">
        <v>776</v>
      </c>
      <c r="M28" s="356">
        <v>10</v>
      </c>
      <c r="N28" s="330"/>
      <c r="O28" s="331"/>
      <c r="P28" s="331"/>
      <c r="Q28" s="325">
        <v>5.617242098986285</v>
      </c>
      <c r="R28" s="334">
        <v>0.15441645325450043</v>
      </c>
      <c r="S28" s="334">
        <v>0.013133318453604614</v>
      </c>
      <c r="T28" s="334">
        <v>0.01486798156479926</v>
      </c>
      <c r="U28" s="334">
        <v>0.09902554648406636</v>
      </c>
      <c r="V28" s="335">
        <v>39435.02824858757</v>
      </c>
      <c r="W28" s="334">
        <v>0.0177</v>
      </c>
      <c r="X28" s="335">
        <v>54.6</v>
      </c>
      <c r="Y28" s="336">
        <v>73.7730293169813</v>
      </c>
      <c r="Z28" s="335">
        <v>255381</v>
      </c>
      <c r="AA28" s="335">
        <v>3354</v>
      </c>
      <c r="AB28" s="335">
        <v>698</v>
      </c>
      <c r="AC28" s="335">
        <v>3797</v>
      </c>
      <c r="AD28" s="335">
        <v>376</v>
      </c>
      <c r="AE28" s="335">
        <v>29</v>
      </c>
      <c r="AF28" s="335">
        <v>10</v>
      </c>
      <c r="AG28" s="335">
        <v>199</v>
      </c>
    </row>
    <row r="29">
      <c r="A29" s="341" t="s">
        <v>780</v>
      </c>
      <c r="B29" s="342" t="s">
        <v>767</v>
      </c>
      <c r="C29" s="343"/>
      <c r="D29" s="343">
        <f>SUM(D25:D28)</f>
      </c>
      <c r="E29" s="343">
        <f>SUM(E25:E28)</f>
      </c>
      <c r="F29" s="343">
        <f>SUM(F25:F28)</f>
      </c>
      <c r="G29" s="343">
        <f>SUM(G25:G28)</f>
      </c>
      <c r="H29" s="343">
        <f>SUM(H25:H28)</f>
      </c>
      <c r="I29" s="344">
        <f t="shared" si="1"/>
      </c>
      <c r="J29" s="344">
        <f t="shared" si="4"/>
      </c>
      <c r="K29" s="344">
        <f t="shared" si="2"/>
      </c>
      <c r="L29" s="343"/>
      <c r="M29" s="345">
        <f>SUM(M25:M28)</f>
      </c>
      <c r="N29" s="343"/>
      <c r="O29" s="343"/>
      <c r="P29" s="343"/>
      <c r="Q29" s="346">
        <f>AVERAGE(Q25:Q28)</f>
      </c>
      <c r="R29" s="347">
        <f>AVERAGE(R25:R28)</f>
      </c>
      <c r="S29" s="347">
        <f>AVERAGE(S25:S28)</f>
      </c>
      <c r="T29" s="347">
        <f>AVERAGE(T25:T28)</f>
      </c>
      <c r="U29" s="347">
        <f>AVERAGE(U25:U28)</f>
      </c>
      <c r="V29" s="348">
        <f>SUM(V25:V28)</f>
      </c>
      <c r="W29" s="347">
        <f>AVERAGE(W25:W28)</f>
      </c>
      <c r="X29" s="348"/>
      <c r="Y29" s="346">
        <f>AVERAGE(Y25:Y28)</f>
      </c>
      <c r="Z29" s="348">
        <f>SUM(Z25:Z28)</f>
      </c>
      <c r="AA29" s="348">
        <f>SUM(AA25:AA28)</f>
      </c>
      <c r="AB29" s="348">
        <f>SUM(AB25:AB28)</f>
      </c>
      <c r="AC29" s="348">
        <f>SUM(AC25:AC28)</f>
      </c>
      <c r="AD29" s="348">
        <f>SUM(AD25:AD28)</f>
      </c>
      <c r="AE29" s="348">
        <f>SUM(AE25:AE28)</f>
      </c>
      <c r="AF29" s="348">
        <f>SUM(AF25:AF28)</f>
      </c>
      <c r="AG29" s="348">
        <f>SUM(AG25:AG28)</f>
      </c>
    </row>
    <row r="30">
      <c r="A30" s="321" t="s">
        <v>782</v>
      </c>
      <c r="B30" s="358" t="s">
        <v>774</v>
      </c>
      <c r="C30" s="323" t="s">
        <v>769</v>
      </c>
      <c r="D30" s="324">
        <v>5</v>
      </c>
      <c r="E30" s="324">
        <v>16</v>
      </c>
      <c r="F30" s="324">
        <v>18</v>
      </c>
      <c r="G30" s="324">
        <v>47619.049999999996</v>
      </c>
      <c r="H30" s="325">
        <v>21092.300000000003</v>
      </c>
      <c r="I30" s="326">
        <f t="shared" si="1"/>
      </c>
      <c r="J30" s="326">
        <f t="shared" si="4"/>
      </c>
      <c r="K30" s="327">
        <f t="shared" si="2"/>
      </c>
      <c r="L30" s="328" t="s">
        <v>783</v>
      </c>
      <c r="M30" s="329">
        <v>10</v>
      </c>
      <c r="N30" s="330"/>
      <c r="O30" s="331"/>
      <c r="P30" s="331"/>
      <c r="Q30" s="332">
        <v>5.533132214060862</v>
      </c>
      <c r="R30" s="333">
        <v>0.13052104866123598</v>
      </c>
      <c r="S30" s="334">
        <v>0.016382311229532855</v>
      </c>
      <c r="T30" s="334">
        <v>0.019682839829816494</v>
      </c>
      <c r="U30" s="334">
        <v>0.07751091703056769</v>
      </c>
      <c r="V30" s="335">
        <v>30370.942812983</v>
      </c>
      <c r="W30" s="334">
        <v>0.025879999999999997</v>
      </c>
      <c r="X30" s="335">
        <v>39.2</v>
      </c>
      <c r="Y30" s="336">
        <v>90.64549400489923</v>
      </c>
      <c r="Z30" s="335">
        <v>232690</v>
      </c>
      <c r="AA30" s="335">
        <v>3812</v>
      </c>
      <c r="AB30" s="335">
        <v>786</v>
      </c>
      <c r="AC30" s="335">
        <v>4580</v>
      </c>
      <c r="AD30" s="335">
        <v>355</v>
      </c>
      <c r="AE30" s="335">
        <v>35</v>
      </c>
      <c r="AF30" s="337">
        <v>9</v>
      </c>
      <c r="AG30" s="335">
        <v>231</v>
      </c>
    </row>
    <row r="31">
      <c r="A31" s="321" t="s">
        <v>782</v>
      </c>
      <c r="B31" s="354" t="s">
        <v>765</v>
      </c>
      <c r="C31" s="323" t="s">
        <v>771</v>
      </c>
      <c r="D31" s="324">
        <v>5</v>
      </c>
      <c r="E31" s="339">
        <v>16</v>
      </c>
      <c r="F31" s="339">
        <v>23</v>
      </c>
      <c r="G31" s="339">
        <v>56491.32000000001</v>
      </c>
      <c r="H31" s="340">
        <v>17124.22</v>
      </c>
      <c r="I31" s="326">
        <f t="shared" si="1"/>
      </c>
      <c r="J31" s="326">
        <f t="shared" si="4"/>
      </c>
      <c r="K31" s="326">
        <f t="shared" si="2"/>
      </c>
      <c r="L31" s="328"/>
      <c r="M31" s="329"/>
      <c r="N31" s="331"/>
      <c r="O31" s="331"/>
      <c r="P31" s="331"/>
      <c r="Q31" s="325">
        <v>7.570389036251106</v>
      </c>
      <c r="R31" s="334">
        <v>0.1882275823228772</v>
      </c>
      <c r="S31" s="333">
        <v>0.012041330189030785</v>
      </c>
      <c r="T31" s="334">
        <v>0.01211053323609418</v>
      </c>
      <c r="U31" s="333">
        <v>0.12087912087912088</v>
      </c>
      <c r="V31" s="335">
        <v>35359.11602209945</v>
      </c>
      <c r="W31" s="334">
        <v>0.018099999999999998</v>
      </c>
      <c r="X31" s="335">
        <v>47.4</v>
      </c>
      <c r="Y31" s="336">
        <v>91.15755404491811</v>
      </c>
      <c r="Z31" s="335">
        <v>187853</v>
      </c>
      <c r="AA31" s="335">
        <v>2262</v>
      </c>
      <c r="AB31" s="335">
        <v>640</v>
      </c>
      <c r="AC31" s="335">
        <v>2275</v>
      </c>
      <c r="AD31" s="335">
        <v>275</v>
      </c>
      <c r="AE31" s="335">
        <v>25</v>
      </c>
      <c r="AF31" s="335">
        <v>11</v>
      </c>
      <c r="AG31" s="335">
        <v>151</v>
      </c>
    </row>
    <row r="32">
      <c r="A32" s="321" t="s">
        <v>782</v>
      </c>
      <c r="B32" s="354" t="s">
        <v>762</v>
      </c>
      <c r="C32" s="323" t="s">
        <v>773</v>
      </c>
      <c r="D32" s="321">
        <v>5</v>
      </c>
      <c r="E32" s="351">
        <v>25</v>
      </c>
      <c r="F32" s="351">
        <v>32</v>
      </c>
      <c r="G32" s="351">
        <v>76788.06000000001</v>
      </c>
      <c r="H32" s="351">
        <v>21023.27</v>
      </c>
      <c r="I32" s="352">
        <f t="shared" si="1"/>
      </c>
      <c r="J32" s="326">
        <f t="shared" si="4"/>
      </c>
      <c r="K32" s="326">
        <f t="shared" si="2"/>
      </c>
      <c r="L32" s="353"/>
      <c r="M32" s="353"/>
      <c r="N32" s="330"/>
      <c r="O32" s="331"/>
      <c r="P32" s="331"/>
      <c r="Q32" s="325">
        <v>5.339921259842519</v>
      </c>
      <c r="R32" s="334">
        <v>0.15640205882380837</v>
      </c>
      <c r="S32" s="334">
        <v>0.018813735890892757</v>
      </c>
      <c r="T32" s="334">
        <v>0.020534067341418893</v>
      </c>
      <c r="U32" s="334">
        <v>0.0884337910169886</v>
      </c>
      <c r="V32" s="335">
        <v>32729.007633587786</v>
      </c>
      <c r="W32" s="334">
        <v>0.02096</v>
      </c>
      <c r="X32" s="335">
        <v>43.6</v>
      </c>
      <c r="Y32" s="336">
        <v>100.46386826084048</v>
      </c>
      <c r="Z32" s="335">
        <v>209262</v>
      </c>
      <c r="AA32" s="335">
        <v>3937</v>
      </c>
      <c r="AB32" s="335">
        <v>686</v>
      </c>
      <c r="AC32" s="335">
        <v>4297</v>
      </c>
      <c r="AD32" s="335">
        <v>380</v>
      </c>
      <c r="AE32" s="335">
        <v>29</v>
      </c>
      <c r="AF32" s="335">
        <v>12</v>
      </c>
      <c r="AG32" s="335">
        <v>195</v>
      </c>
    </row>
    <row r="33">
      <c r="A33" s="321" t="s">
        <v>782</v>
      </c>
      <c r="B33" s="354" t="s">
        <v>770</v>
      </c>
      <c r="C33" s="323" t="s">
        <v>775</v>
      </c>
      <c r="D33" s="324">
        <v>5</v>
      </c>
      <c r="E33" s="328">
        <v>17</v>
      </c>
      <c r="F33" s="328">
        <v>18</v>
      </c>
      <c r="G33" s="328">
        <v>40763.86</v>
      </c>
      <c r="H33" s="355">
        <v>16734.03</v>
      </c>
      <c r="I33" s="326">
        <f t="shared" si="1"/>
      </c>
      <c r="J33" s="326">
        <f t="shared" si="4"/>
      </c>
      <c r="K33" s="327">
        <f t="shared" si="2"/>
      </c>
      <c r="L33" s="324" t="s">
        <v>776</v>
      </c>
      <c r="M33" s="356">
        <v>10</v>
      </c>
      <c r="N33" s="330"/>
      <c r="O33" s="331"/>
      <c r="P33" s="331"/>
      <c r="Q33" s="325">
        <v>4.837823070251518</v>
      </c>
      <c r="R33" s="334">
        <v>0.19417482614703238</v>
      </c>
      <c r="S33" s="334">
        <v>0.01537538338445126</v>
      </c>
      <c r="T33" s="334">
        <v>0.017348979863981866</v>
      </c>
      <c r="U33" s="334">
        <v>0.08660005124263387</v>
      </c>
      <c r="V33" s="335">
        <v>43683.51063829788</v>
      </c>
      <c r="W33" s="334">
        <v>0.015039999999999998</v>
      </c>
      <c r="X33" s="335">
        <v>50.6</v>
      </c>
      <c r="Y33" s="336">
        <v>74.38338445126017</v>
      </c>
      <c r="Z33" s="335">
        <v>224970</v>
      </c>
      <c r="AA33" s="335">
        <v>3459</v>
      </c>
      <c r="AB33" s="335">
        <v>657</v>
      </c>
      <c r="AC33" s="335">
        <v>3903</v>
      </c>
      <c r="AD33" s="335">
        <v>338</v>
      </c>
      <c r="AE33" s="335">
        <v>32</v>
      </c>
      <c r="AF33" s="335">
        <v>8</v>
      </c>
      <c r="AG33" s="335">
        <v>209</v>
      </c>
    </row>
    <row r="34">
      <c r="A34" s="341" t="s">
        <v>782</v>
      </c>
      <c r="B34" s="342" t="s">
        <v>767</v>
      </c>
      <c r="C34" s="343"/>
      <c r="D34" s="343">
        <f>SUM(D30:D33)</f>
      </c>
      <c r="E34" s="343">
        <f>SUM(E30:E33)</f>
      </c>
      <c r="F34" s="343">
        <f>SUM(F30:F33)</f>
      </c>
      <c r="G34" s="343">
        <f>SUM(G30:G33)</f>
      </c>
      <c r="H34" s="343">
        <f>SUM(H30:H33)</f>
      </c>
      <c r="I34" s="344">
        <f t="shared" si="1"/>
      </c>
      <c r="J34" s="344">
        <f t="shared" si="4"/>
      </c>
      <c r="K34" s="344">
        <f t="shared" si="2"/>
      </c>
      <c r="L34" s="343"/>
      <c r="M34" s="345">
        <f>SUM(M30:M33)</f>
      </c>
      <c r="N34" s="343"/>
      <c r="O34" s="343"/>
      <c r="P34" s="343"/>
      <c r="Q34" s="346">
        <f>AVERAGE(Q30:Q33)</f>
      </c>
      <c r="R34" s="347">
        <f>AVERAGE(R30:R33)</f>
      </c>
      <c r="S34" s="347">
        <f>AVERAGE(S30:S33)</f>
      </c>
      <c r="T34" s="347">
        <f>AVERAGE(T30:T33)</f>
      </c>
      <c r="U34" s="347">
        <f>AVERAGE(U30:U33)</f>
      </c>
      <c r="V34" s="348">
        <f>SUM(V30:V33)</f>
      </c>
      <c r="W34" s="347">
        <f>AVERAGE(W30:W33)</f>
      </c>
      <c r="X34" s="348"/>
      <c r="Y34" s="346">
        <f>AVERAGE(Y30:Y33)</f>
      </c>
      <c r="Z34" s="348">
        <f>SUM(Z30:Z33)</f>
      </c>
      <c r="AA34" s="348">
        <f>SUM(AA30:AA33)</f>
      </c>
      <c r="AB34" s="348">
        <f>SUM(AB30:AB33)</f>
      </c>
      <c r="AC34" s="348">
        <f>SUM(AC30:AC33)</f>
      </c>
      <c r="AD34" s="348">
        <f>SUM(AD30:AD33)</f>
      </c>
      <c r="AE34" s="348">
        <f>SUM(AE30:AE33)</f>
      </c>
      <c r="AF34" s="348">
        <f>SUM(AF30:AF33)</f>
      </c>
      <c r="AG34" s="348">
        <f>SUM(AG30:AG33)</f>
      </c>
    </row>
    <row r="35">
      <c r="A35" s="321" t="s">
        <v>784</v>
      </c>
      <c r="B35" s="358" t="s">
        <v>774</v>
      </c>
      <c r="C35" s="323" t="s">
        <v>769</v>
      </c>
      <c r="D35" s="324">
        <v>5</v>
      </c>
      <c r="E35" s="324">
        <v>15</v>
      </c>
      <c r="F35" s="324">
        <v>17</v>
      </c>
      <c r="G35" s="324">
        <v>41124.24</v>
      </c>
      <c r="H35" s="325">
        <v>19336.29</v>
      </c>
      <c r="I35" s="326">
        <f t="shared" si="1"/>
      </c>
      <c r="J35" s="326">
        <f t="shared" si="4"/>
      </c>
      <c r="K35" s="327">
        <f t="shared" si="2"/>
      </c>
      <c r="L35" s="328" t="s">
        <v>764</v>
      </c>
      <c r="M35" s="329">
        <v>10</v>
      </c>
      <c r="N35" s="330"/>
      <c r="O35" s="331"/>
      <c r="P35" s="331"/>
      <c r="Q35" s="332">
        <v>4.999040847983454</v>
      </c>
      <c r="R35" s="333">
        <v>0.16644163070684043</v>
      </c>
      <c r="S35" s="334">
        <v>0.017903843216396736</v>
      </c>
      <c r="T35" s="334">
        <v>0.020394088213920376</v>
      </c>
      <c r="U35" s="334">
        <v>0.07535179300953246</v>
      </c>
      <c r="V35" s="335">
        <v>35958.54922279793</v>
      </c>
      <c r="W35" s="334">
        <v>0.0193</v>
      </c>
      <c r="X35" s="335">
        <v>39.4</v>
      </c>
      <c r="Y35" s="336">
        <v>89.50204357465876</v>
      </c>
      <c r="Z35" s="335">
        <v>216043</v>
      </c>
      <c r="AA35" s="335">
        <v>3868</v>
      </c>
      <c r="AB35" s="335">
        <v>694</v>
      </c>
      <c r="AC35" s="335">
        <v>4406</v>
      </c>
      <c r="AD35" s="335">
        <v>332</v>
      </c>
      <c r="AE35" s="335">
        <v>27</v>
      </c>
      <c r="AF35" s="337">
        <v>8</v>
      </c>
      <c r="AG35" s="335">
        <v>159</v>
      </c>
    </row>
    <row r="36">
      <c r="A36" s="321" t="s">
        <v>784</v>
      </c>
      <c r="B36" s="354" t="s">
        <v>765</v>
      </c>
      <c r="C36" s="323" t="s">
        <v>771</v>
      </c>
      <c r="D36" s="324">
        <v>5</v>
      </c>
      <c r="E36" s="339">
        <v>17</v>
      </c>
      <c r="F36" s="339">
        <v>18</v>
      </c>
      <c r="G36" s="339">
        <v>50897.10999999999</v>
      </c>
      <c r="H36" s="340">
        <v>18502.52</v>
      </c>
      <c r="I36" s="326">
        <f t="shared" si="1"/>
      </c>
      <c r="J36" s="326">
        <f t="shared" si="4"/>
      </c>
      <c r="K36" s="326">
        <f t="shared" si="2"/>
      </c>
      <c r="L36" s="328"/>
      <c r="M36" s="329"/>
      <c r="N36" s="331"/>
      <c r="O36" s="331"/>
      <c r="P36" s="331"/>
      <c r="Q36" s="325">
        <v>7.493932766302147</v>
      </c>
      <c r="R36" s="334">
        <v>0.12804833295921564</v>
      </c>
      <c r="S36" s="333">
        <v>0.013041893583641904</v>
      </c>
      <c r="T36" s="334">
        <v>0.013321853227195174</v>
      </c>
      <c r="U36" s="333">
        <v>0.13203806502775575</v>
      </c>
      <c r="V36" s="335">
        <v>24241.21405750799</v>
      </c>
      <c r="W36" s="334">
        <v>0.025039999999999996</v>
      </c>
      <c r="X36" s="335">
        <v>46.4</v>
      </c>
      <c r="Y36" s="336">
        <v>97.73507366107981</v>
      </c>
      <c r="Z36" s="335">
        <v>189313</v>
      </c>
      <c r="AA36" s="335">
        <v>2469</v>
      </c>
      <c r="AB36" s="335">
        <v>607</v>
      </c>
      <c r="AC36" s="335">
        <v>2522</v>
      </c>
      <c r="AD36" s="335">
        <v>333</v>
      </c>
      <c r="AE36" s="335">
        <v>22</v>
      </c>
      <c r="AF36" s="335">
        <v>8</v>
      </c>
      <c r="AG36" s="335">
        <v>167</v>
      </c>
    </row>
    <row r="37">
      <c r="A37" s="321" t="s">
        <v>784</v>
      </c>
      <c r="B37" s="354" t="s">
        <v>770</v>
      </c>
      <c r="C37" s="323" t="s">
        <v>773</v>
      </c>
      <c r="D37" s="321">
        <v>5</v>
      </c>
      <c r="E37" s="351">
        <v>12</v>
      </c>
      <c r="F37" s="351">
        <v>13</v>
      </c>
      <c r="G37" s="351">
        <v>27274.75</v>
      </c>
      <c r="H37" s="351">
        <v>16707.23</v>
      </c>
      <c r="I37" s="352">
        <f t="shared" si="1"/>
      </c>
      <c r="J37" s="326">
        <f t="shared" si="4"/>
      </c>
      <c r="K37" s="326">
        <f t="shared" si="2"/>
      </c>
      <c r="L37" s="353"/>
      <c r="M37" s="353"/>
      <c r="N37" s="330"/>
      <c r="O37" s="331"/>
      <c r="P37" s="331"/>
      <c r="Q37" s="325">
        <v>8.948703802892341</v>
      </c>
      <c r="R37" s="334">
        <v>0.15121543336165702</v>
      </c>
      <c r="S37" s="334">
        <v>0.012286532197032017</v>
      </c>
      <c r="T37" s="334">
        <v>0.012576091606067586</v>
      </c>
      <c r="U37" s="334">
        <v>0.1794871794871795</v>
      </c>
      <c r="V37" s="335">
        <v>22977.94117647059</v>
      </c>
      <c r="W37" s="334">
        <v>0.021759999999999998</v>
      </c>
      <c r="X37" s="335">
        <v>56.2</v>
      </c>
      <c r="Y37" s="336">
        <v>109.94853739593958</v>
      </c>
      <c r="Z37" s="335">
        <v>151955</v>
      </c>
      <c r="AA37" s="335">
        <v>1867</v>
      </c>
      <c r="AB37" s="335">
        <v>500</v>
      </c>
      <c r="AC37" s="335">
        <v>1911</v>
      </c>
      <c r="AD37" s="335">
        <v>343</v>
      </c>
      <c r="AE37" s="335">
        <v>28</v>
      </c>
      <c r="AF37" s="335">
        <v>5</v>
      </c>
      <c r="AG37" s="335">
        <v>143</v>
      </c>
    </row>
    <row r="38">
      <c r="A38" s="321" t="s">
        <v>784</v>
      </c>
      <c r="B38" s="354" t="s">
        <v>772</v>
      </c>
      <c r="C38" s="323" t="s">
        <v>775</v>
      </c>
      <c r="D38" s="324">
        <v>5</v>
      </c>
      <c r="E38" s="328">
        <v>17</v>
      </c>
      <c r="F38" s="328">
        <v>19</v>
      </c>
      <c r="G38" s="328">
        <v>51312.71999999999</v>
      </c>
      <c r="H38" s="355">
        <v>15214.5</v>
      </c>
      <c r="I38" s="326">
        <f t="shared" si="1"/>
      </c>
      <c r="J38" s="326">
        <f t="shared" si="4"/>
      </c>
      <c r="K38" s="327">
        <f t="shared" si="2"/>
      </c>
      <c r="L38" s="324" t="s">
        <v>776</v>
      </c>
      <c r="M38" s="356">
        <v>10</v>
      </c>
      <c r="N38" s="330"/>
      <c r="O38" s="331"/>
      <c r="P38" s="331"/>
      <c r="Q38" s="325">
        <v>4.529473057457577</v>
      </c>
      <c r="R38" s="334">
        <v>0.22849808251681425</v>
      </c>
      <c r="S38" s="334">
        <v>0.016460844849554054</v>
      </c>
      <c r="T38" s="334">
        <v>0.019288444575124963</v>
      </c>
      <c r="U38" s="334">
        <v>0.07291666666666667</v>
      </c>
      <c r="V38" s="335">
        <v>46627.31871838112</v>
      </c>
      <c r="W38" s="334">
        <v>0.011859999999999999</v>
      </c>
      <c r="X38" s="335">
        <v>66.6</v>
      </c>
      <c r="Y38" s="336">
        <v>74.5589532490444</v>
      </c>
      <c r="Z38" s="335">
        <v>204060</v>
      </c>
      <c r="AA38" s="335">
        <v>3359</v>
      </c>
      <c r="AB38" s="335">
        <v>553</v>
      </c>
      <c r="AC38" s="335">
        <v>3936</v>
      </c>
      <c r="AD38" s="335">
        <v>287</v>
      </c>
      <c r="AE38" s="335">
        <v>24</v>
      </c>
      <c r="AF38" s="335">
        <v>13</v>
      </c>
      <c r="AG38" s="335">
        <v>148</v>
      </c>
    </row>
    <row r="39">
      <c r="A39" s="341" t="s">
        <v>784</v>
      </c>
      <c r="B39" s="342" t="s">
        <v>767</v>
      </c>
      <c r="C39" s="343"/>
      <c r="D39" s="343">
        <f>SUM(D35:D38)</f>
      </c>
      <c r="E39" s="343">
        <f>SUM(E35:E38)</f>
      </c>
      <c r="F39" s="343">
        <f>SUM(F35:F38)</f>
      </c>
      <c r="G39" s="343">
        <f>SUM(G35:G38)</f>
      </c>
      <c r="H39" s="343">
        <f>SUM(H35:H38)</f>
      </c>
      <c r="I39" s="344">
        <f t="shared" si="1"/>
      </c>
      <c r="J39" s="344">
        <f t="shared" si="4"/>
      </c>
      <c r="K39" s="344">
        <f t="shared" si="2"/>
      </c>
      <c r="L39" s="343"/>
      <c r="M39" s="345">
        <f>SUM(M35:M38)</f>
      </c>
      <c r="N39" s="343"/>
      <c r="O39" s="343"/>
      <c r="P39" s="343"/>
      <c r="Q39" s="346">
        <f>AVERAGE(Q35:Q38)</f>
      </c>
      <c r="R39" s="347">
        <f>AVERAGE(R35:R38)</f>
      </c>
      <c r="S39" s="347">
        <f>AVERAGE(S35:S38)</f>
      </c>
      <c r="T39" s="347">
        <f>AVERAGE(T35:T38)</f>
      </c>
      <c r="U39" s="347">
        <f>AVERAGE(U35:U38)</f>
      </c>
      <c r="V39" s="348">
        <f>SUM(V35:V38)</f>
      </c>
      <c r="W39" s="347">
        <f>AVERAGE(W35:W38)</f>
      </c>
      <c r="X39" s="348"/>
      <c r="Y39" s="346">
        <f>AVERAGE(Y35:Y38)</f>
      </c>
      <c r="Z39" s="348">
        <f>SUM(Z35:Z38)</f>
      </c>
      <c r="AA39" s="348">
        <f>SUM(AA35:AA38)</f>
      </c>
      <c r="AB39" s="348">
        <f>SUM(AB35:AB38)</f>
      </c>
      <c r="AC39" s="348">
        <f>SUM(AC35:AC38)</f>
      </c>
      <c r="AD39" s="348">
        <f>SUM(AD35:AD38)</f>
      </c>
      <c r="AE39" s="348">
        <f>SUM(AE35:AE38)</f>
      </c>
      <c r="AF39" s="348">
        <f>SUM(AF35:AF38)</f>
      </c>
      <c r="AG39" s="348">
        <f>SUM(AG35:AG38)</f>
      </c>
    </row>
    <row r="40">
      <c r="A40" s="321" t="s">
        <v>785</v>
      </c>
      <c r="B40" s="349" t="s">
        <v>762</v>
      </c>
      <c r="C40" s="323" t="s">
        <v>769</v>
      </c>
      <c r="D40" s="324">
        <v>5</v>
      </c>
      <c r="E40" s="324">
        <v>18</v>
      </c>
      <c r="F40" s="324">
        <v>22</v>
      </c>
      <c r="G40" s="324">
        <v>52488.46</v>
      </c>
      <c r="H40" s="325">
        <v>19772.14</v>
      </c>
      <c r="I40" s="326">
        <f t="shared" si="1"/>
      </c>
      <c r="J40" s="326">
        <f t="shared" si="4"/>
      </c>
      <c r="K40" s="327">
        <f t="shared" si="2"/>
      </c>
      <c r="L40" s="328" t="s">
        <v>764</v>
      </c>
      <c r="M40" s="329">
        <v>10</v>
      </c>
      <c r="N40" s="330"/>
      <c r="O40" s="331"/>
      <c r="P40" s="331"/>
      <c r="Q40" s="332">
        <v>5.119663386846193</v>
      </c>
      <c r="R40" s="333">
        <v>0.1854846369863979</v>
      </c>
      <c r="S40" s="334">
        <v>0.01781529661407879</v>
      </c>
      <c r="T40" s="334">
        <v>0.02061537042162561</v>
      </c>
      <c r="U40" s="334">
        <v>0.07742224211232938</v>
      </c>
      <c r="V40" s="335">
        <v>40209.35960591133</v>
      </c>
      <c r="W40" s="334">
        <v>0.016239999999999997</v>
      </c>
      <c r="X40" s="335">
        <v>44.8</v>
      </c>
      <c r="Y40" s="336">
        <v>91.20832180090414</v>
      </c>
      <c r="Z40" s="335">
        <v>216780</v>
      </c>
      <c r="AA40" s="335">
        <v>3862</v>
      </c>
      <c r="AB40" s="335">
        <v>653</v>
      </c>
      <c r="AC40" s="335">
        <v>4469</v>
      </c>
      <c r="AD40" s="335">
        <v>346</v>
      </c>
      <c r="AE40" s="335">
        <v>31</v>
      </c>
      <c r="AF40" s="337">
        <v>2</v>
      </c>
      <c r="AG40" s="335">
        <v>189</v>
      </c>
    </row>
    <row r="41">
      <c r="A41" s="321" t="s">
        <v>785</v>
      </c>
      <c r="B41" s="354" t="s">
        <v>774</v>
      </c>
      <c r="C41" s="323" t="s">
        <v>771</v>
      </c>
      <c r="D41" s="324">
        <v>5</v>
      </c>
      <c r="E41" s="339">
        <v>15</v>
      </c>
      <c r="F41" s="339">
        <v>18</v>
      </c>
      <c r="G41" s="339">
        <v>40853.94</v>
      </c>
      <c r="H41" s="340">
        <v>17982.32</v>
      </c>
      <c r="I41" s="326">
        <f t="shared" si="1"/>
      </c>
      <c r="J41" s="326">
        <f t="shared" si="4"/>
      </c>
      <c r="K41" s="326">
        <f t="shared" si="2"/>
      </c>
      <c r="L41" s="328"/>
      <c r="M41" s="329"/>
      <c r="N41" s="331"/>
      <c r="O41" s="331"/>
      <c r="P41" s="331"/>
      <c r="Q41" s="325">
        <v>5.8997112860892384</v>
      </c>
      <c r="R41" s="334">
        <v>0.16245142613188712</v>
      </c>
      <c r="S41" s="333">
        <v>0.016346932536724285</v>
      </c>
      <c r="T41" s="334">
        <v>0.017060233726811008</v>
      </c>
      <c r="U41" s="333">
        <v>0.10939955988682804</v>
      </c>
      <c r="V41" s="335">
        <v>30290.205562273277</v>
      </c>
      <c r="W41" s="334">
        <v>0.01654</v>
      </c>
      <c r="X41" s="335">
        <v>48.4</v>
      </c>
      <c r="Y41" s="336">
        <v>96.44218237985166</v>
      </c>
      <c r="Z41" s="335">
        <v>186457</v>
      </c>
      <c r="AA41" s="335">
        <v>3048</v>
      </c>
      <c r="AB41" s="335">
        <v>501</v>
      </c>
      <c r="AC41" s="335">
        <v>3181</v>
      </c>
      <c r="AD41" s="335">
        <v>348</v>
      </c>
      <c r="AE41" s="335">
        <v>22</v>
      </c>
      <c r="AF41" s="335">
        <v>7</v>
      </c>
      <c r="AG41" s="335">
        <v>152</v>
      </c>
    </row>
    <row r="42">
      <c r="A42" s="321" t="s">
        <v>785</v>
      </c>
      <c r="B42" s="354" t="s">
        <v>772</v>
      </c>
      <c r="C42" s="323" t="s">
        <v>773</v>
      </c>
      <c r="D42" s="321">
        <v>5</v>
      </c>
      <c r="E42" s="351">
        <v>16</v>
      </c>
      <c r="F42" s="351">
        <v>17</v>
      </c>
      <c r="G42" s="351">
        <v>38473.31</v>
      </c>
      <c r="H42" s="351">
        <v>17656.940000000002</v>
      </c>
      <c r="I42" s="352">
        <f t="shared" si="1"/>
      </c>
      <c r="J42" s="326">
        <f t="shared" si="4"/>
      </c>
      <c r="K42" s="326">
        <f t="shared" si="2"/>
      </c>
      <c r="L42" s="353"/>
      <c r="M42" s="353"/>
      <c r="N42" s="330"/>
      <c r="O42" s="331"/>
      <c r="P42" s="331"/>
      <c r="Q42" s="325">
        <v>7.504011899702508</v>
      </c>
      <c r="R42" s="334">
        <v>0.20767523115901443</v>
      </c>
      <c r="S42" s="334">
        <v>0.013117111894037373</v>
      </c>
      <c r="T42" s="334">
        <v>0.01378606787673371</v>
      </c>
      <c r="U42" s="334">
        <v>0.11403154063890013</v>
      </c>
      <c r="V42" s="335">
        <v>37253.613666228644</v>
      </c>
      <c r="W42" s="334">
        <v>0.015220000000000001</v>
      </c>
      <c r="X42" s="335">
        <v>49.6</v>
      </c>
      <c r="Y42" s="336">
        <v>98.43096374258576</v>
      </c>
      <c r="Z42" s="335">
        <v>179384</v>
      </c>
      <c r="AA42" s="335">
        <v>2353</v>
      </c>
      <c r="AB42" s="335">
        <v>567</v>
      </c>
      <c r="AC42" s="335">
        <v>2473</v>
      </c>
      <c r="AD42" s="335">
        <v>282</v>
      </c>
      <c r="AE42" s="335">
        <v>37</v>
      </c>
      <c r="AF42" s="335">
        <v>2</v>
      </c>
      <c r="AG42" s="335">
        <v>157</v>
      </c>
    </row>
    <row r="43">
      <c r="A43" s="321" t="s">
        <v>785</v>
      </c>
      <c r="B43" s="354" t="s">
        <v>765</v>
      </c>
      <c r="C43" s="323" t="s">
        <v>775</v>
      </c>
      <c r="D43" s="324">
        <v>5</v>
      </c>
      <c r="E43" s="328">
        <v>13</v>
      </c>
      <c r="F43" s="328">
        <v>16</v>
      </c>
      <c r="G43" s="328">
        <v>37205.84999999999</v>
      </c>
      <c r="H43" s="355">
        <v>14177.929999999998</v>
      </c>
      <c r="I43" s="326">
        <f t="shared" si="1"/>
      </c>
      <c r="J43" s="326">
        <f t="shared" si="4"/>
      </c>
      <c r="K43" s="327">
        <f t="shared" si="2"/>
      </c>
      <c r="L43" s="324" t="s">
        <v>776</v>
      </c>
      <c r="M43" s="356">
        <v>10</v>
      </c>
      <c r="N43" s="330"/>
      <c r="O43" s="331"/>
      <c r="P43" s="331"/>
      <c r="Q43" s="325">
        <v>4.9126576576576575</v>
      </c>
      <c r="R43" s="334">
        <v>0.32825520656096924</v>
      </c>
      <c r="S43" s="334">
        <v>0.01704756897885889</v>
      </c>
      <c r="T43" s="334">
        <v>0.01861882793533029</v>
      </c>
      <c r="U43" s="334">
        <v>0.08597715736040609</v>
      </c>
      <c r="V43" s="335">
        <v>55570.65217391304</v>
      </c>
      <c r="W43" s="334">
        <v>0.00736</v>
      </c>
      <c r="X43" s="335">
        <v>51</v>
      </c>
      <c r="Y43" s="336">
        <v>83.74887028843825</v>
      </c>
      <c r="Z43" s="335">
        <v>169291</v>
      </c>
      <c r="AA43" s="335">
        <v>2886</v>
      </c>
      <c r="AB43" s="335">
        <v>409</v>
      </c>
      <c r="AC43" s="335">
        <v>3152</v>
      </c>
      <c r="AD43" s="335">
        <v>271</v>
      </c>
      <c r="AE43" s="335">
        <v>18</v>
      </c>
      <c r="AF43" s="335">
        <v>6</v>
      </c>
      <c r="AG43" s="335">
        <v>112</v>
      </c>
    </row>
    <row r="44">
      <c r="A44" s="341" t="s">
        <v>785</v>
      </c>
      <c r="B44" s="342" t="s">
        <v>767</v>
      </c>
      <c r="C44" s="343"/>
      <c r="D44" s="343">
        <f>SUM(D40:D43)</f>
      </c>
      <c r="E44" s="343">
        <f>SUM(E40:E43)</f>
      </c>
      <c r="F44" s="343">
        <f>SUM(F40:F43)</f>
      </c>
      <c r="G44" s="343">
        <f>SUM(G40:G43)</f>
      </c>
      <c r="H44" s="343">
        <f>SUM(H40:H43)</f>
      </c>
      <c r="I44" s="344">
        <f t="shared" si="1"/>
      </c>
      <c r="J44" s="344">
        <f t="shared" si="4"/>
      </c>
      <c r="K44" s="344">
        <f t="shared" si="2"/>
      </c>
      <c r="L44" s="343"/>
      <c r="M44" s="345">
        <f>SUM(M40:M43)</f>
      </c>
      <c r="N44" s="343"/>
      <c r="O44" s="343"/>
      <c r="P44" s="343"/>
      <c r="Q44" s="346">
        <f>AVERAGE(Q40:Q43)</f>
      </c>
      <c r="R44" s="347">
        <f>AVERAGE(R40:R43)</f>
      </c>
      <c r="S44" s="347">
        <f>AVERAGE(S40:S43)</f>
      </c>
      <c r="T44" s="347">
        <f>AVERAGE(T40:T43)</f>
      </c>
      <c r="U44" s="347">
        <f>AVERAGE(U40:U43)</f>
      </c>
      <c r="V44" s="348">
        <f>SUM(V40:V43)</f>
      </c>
      <c r="W44" s="347">
        <f>AVERAGE(W40:W43)</f>
      </c>
      <c r="X44" s="348"/>
      <c r="Y44" s="346">
        <f>AVERAGE(Y40:Y43)</f>
      </c>
      <c r="Z44" s="348">
        <f>SUM(Z40:Z43)</f>
      </c>
      <c r="AA44" s="348">
        <f>SUM(AA40:AA43)</f>
      </c>
      <c r="AB44" s="348">
        <f>SUM(AB40:AB43)</f>
      </c>
      <c r="AC44" s="348">
        <f>SUM(AC40:AC43)</f>
      </c>
      <c r="AD44" s="348">
        <f>SUM(AD40:AD43)</f>
      </c>
      <c r="AE44" s="348">
        <f>SUM(AE40:AE43)</f>
      </c>
      <c r="AF44" s="348">
        <f>SUM(AF40:AF43)</f>
      </c>
      <c r="AG44" s="348">
        <f>SUM(AG40:AG43)</f>
      </c>
    </row>
    <row r="45">
      <c r="A45" s="321" t="s">
        <v>786</v>
      </c>
      <c r="B45" s="349" t="s">
        <v>762</v>
      </c>
      <c r="C45" s="323" t="s">
        <v>769</v>
      </c>
      <c r="D45" s="324">
        <v>5</v>
      </c>
      <c r="E45" s="324">
        <v>17</v>
      </c>
      <c r="F45" s="324">
        <v>23</v>
      </c>
      <c r="G45" s="324">
        <v>55223.63</v>
      </c>
      <c r="H45" s="325">
        <v>17998.78</v>
      </c>
      <c r="I45" s="326">
        <f t="shared" si="1"/>
      </c>
      <c r="J45" s="326">
        <f t="shared" si="4"/>
      </c>
      <c r="K45" s="327">
        <f t="shared" si="2"/>
      </c>
      <c r="L45" s="328" t="s">
        <v>781</v>
      </c>
      <c r="M45" s="329">
        <v>10</v>
      </c>
      <c r="N45" s="330"/>
      <c r="O45" s="331"/>
      <c r="P45" s="331"/>
      <c r="Q45" s="332">
        <v>5.62461875</v>
      </c>
      <c r="R45" s="333">
        <v>0.19854758598859518</v>
      </c>
      <c r="S45" s="334">
        <v>0.015767741172528653</v>
      </c>
      <c r="T45" s="334">
        <v>0.01686162821637283</v>
      </c>
      <c r="U45" s="334">
        <v>0.11221507890122735</v>
      </c>
      <c r="V45" s="335">
        <v>40294.43838604144</v>
      </c>
      <c r="W45" s="334">
        <v>0.018340000000000002</v>
      </c>
      <c r="X45" s="335">
        <v>46.4</v>
      </c>
      <c r="Y45" s="336">
        <v>88.68753264415163</v>
      </c>
      <c r="Z45" s="335">
        <v>202946</v>
      </c>
      <c r="AA45" s="335">
        <v>3200</v>
      </c>
      <c r="AB45" s="335">
        <v>739</v>
      </c>
      <c r="AC45" s="335">
        <v>3422</v>
      </c>
      <c r="AD45" s="335">
        <v>384</v>
      </c>
      <c r="AE45" s="335">
        <v>27</v>
      </c>
      <c r="AF45" s="337">
        <v>7</v>
      </c>
      <c r="AG45" s="335">
        <v>207</v>
      </c>
    </row>
    <row r="46">
      <c r="A46" s="321" t="s">
        <v>786</v>
      </c>
      <c r="B46" s="350" t="s">
        <v>765</v>
      </c>
      <c r="C46" s="323" t="s">
        <v>771</v>
      </c>
      <c r="D46" s="324">
        <v>5</v>
      </c>
      <c r="E46" s="339">
        <v>17</v>
      </c>
      <c r="F46" s="339">
        <v>18</v>
      </c>
      <c r="G46" s="339">
        <v>41123.479999999996</v>
      </c>
      <c r="H46" s="340">
        <v>17591.5</v>
      </c>
      <c r="I46" s="326">
        <f t="shared" si="1"/>
      </c>
      <c r="J46" s="326">
        <f t="shared" si="4"/>
      </c>
      <c r="K46" s="326">
        <f t="shared" si="2"/>
      </c>
      <c r="L46" s="328"/>
      <c r="M46" s="329"/>
      <c r="N46" s="331"/>
      <c r="O46" s="331"/>
      <c r="P46" s="331"/>
      <c r="Q46" s="325">
        <v>7.818444444444444</v>
      </c>
      <c r="R46" s="334">
        <v>0.20367804918069735</v>
      </c>
      <c r="S46" s="333">
        <v>0.01231001542855267</v>
      </c>
      <c r="T46" s="334">
        <v>0.012725820394139338</v>
      </c>
      <c r="U46" s="333">
        <v>0.15004299226139295</v>
      </c>
      <c r="V46" s="335">
        <v>37227.8664731495</v>
      </c>
      <c r="W46" s="334">
        <v>0.013779999999999997</v>
      </c>
      <c r="X46" s="335">
        <v>51</v>
      </c>
      <c r="Y46" s="336">
        <v>96.24517173839301</v>
      </c>
      <c r="Z46" s="335">
        <v>182778</v>
      </c>
      <c r="AA46" s="335">
        <v>2250</v>
      </c>
      <c r="AB46" s="335">
        <v>513</v>
      </c>
      <c r="AC46" s="335">
        <v>2326</v>
      </c>
      <c r="AD46" s="335">
        <v>349</v>
      </c>
      <c r="AE46" s="335">
        <v>25</v>
      </c>
      <c r="AF46" s="335">
        <v>9</v>
      </c>
      <c r="AG46" s="335">
        <v>152</v>
      </c>
    </row>
    <row r="47">
      <c r="A47" s="321" t="s">
        <v>786</v>
      </c>
      <c r="B47" s="354" t="s">
        <v>774</v>
      </c>
      <c r="C47" s="323" t="s">
        <v>773</v>
      </c>
      <c r="D47" s="321">
        <v>5</v>
      </c>
      <c r="E47" s="351">
        <v>15</v>
      </c>
      <c r="F47" s="351">
        <v>20</v>
      </c>
      <c r="G47" s="351">
        <v>49443.87000000001</v>
      </c>
      <c r="H47" s="351">
        <v>16855.5</v>
      </c>
      <c r="I47" s="352">
        <f t="shared" si="1"/>
      </c>
      <c r="J47" s="326">
        <f t="shared" si="4"/>
      </c>
      <c r="K47" s="326">
        <f t="shared" si="2"/>
      </c>
      <c r="L47" s="353"/>
      <c r="M47" s="353"/>
      <c r="N47" s="330"/>
      <c r="O47" s="331"/>
      <c r="P47" s="331"/>
      <c r="Q47" s="325">
        <v>8.599744897959184</v>
      </c>
      <c r="R47" s="334">
        <v>0.2072667043922889</v>
      </c>
      <c r="S47" s="334">
        <v>0.012368505745675756</v>
      </c>
      <c r="T47" s="334">
        <v>0.012784996245275041</v>
      </c>
      <c r="U47" s="334">
        <v>0.13228035538005922</v>
      </c>
      <c r="V47" s="335">
        <v>32844.932844932846</v>
      </c>
      <c r="W47" s="334">
        <v>0.01638</v>
      </c>
      <c r="X47" s="335">
        <v>54.4</v>
      </c>
      <c r="Y47" s="336">
        <v>106.36599418175393</v>
      </c>
      <c r="Z47" s="335">
        <v>158467</v>
      </c>
      <c r="AA47" s="335">
        <v>1960</v>
      </c>
      <c r="AB47" s="335">
        <v>538</v>
      </c>
      <c r="AC47" s="335">
        <v>2026</v>
      </c>
      <c r="AD47" s="335">
        <v>268</v>
      </c>
      <c r="AE47" s="335">
        <v>35</v>
      </c>
      <c r="AF47" s="335">
        <v>6</v>
      </c>
      <c r="AG47" s="335">
        <v>122</v>
      </c>
    </row>
    <row r="48">
      <c r="A48" s="321" t="s">
        <v>786</v>
      </c>
      <c r="B48" s="354" t="s">
        <v>772</v>
      </c>
      <c r="C48" s="323" t="s">
        <v>775</v>
      </c>
      <c r="D48" s="324">
        <v>5</v>
      </c>
      <c r="E48" s="328">
        <v>10</v>
      </c>
      <c r="F48" s="328">
        <v>13</v>
      </c>
      <c r="G48" s="328">
        <v>30893.129999999997</v>
      </c>
      <c r="H48" s="355">
        <v>12095.080000000002</v>
      </c>
      <c r="I48" s="326">
        <f t="shared" si="1"/>
      </c>
      <c r="J48" s="326">
        <f t="shared" si="4"/>
      </c>
      <c r="K48" s="327">
        <f t="shared" si="2"/>
      </c>
      <c r="L48" s="324" t="s">
        <v>776</v>
      </c>
      <c r="M48" s="356">
        <v>10</v>
      </c>
      <c r="N48" s="330"/>
      <c r="O48" s="331"/>
      <c r="P48" s="331"/>
      <c r="Q48" s="325">
        <v>4.8206775607811885</v>
      </c>
      <c r="R48" s="334">
        <v>0.24964717721083615</v>
      </c>
      <c r="S48" s="334">
        <v>0.017717174855593373</v>
      </c>
      <c r="T48" s="334">
        <v>0.01990622396090782</v>
      </c>
      <c r="U48" s="334">
        <v>0.08655551614047535</v>
      </c>
      <c r="V48" s="335">
        <v>35353.53535353535</v>
      </c>
      <c r="W48" s="334">
        <v>0.01386</v>
      </c>
      <c r="X48" s="335">
        <v>57.8</v>
      </c>
      <c r="Y48" s="336">
        <v>85.40878726679567</v>
      </c>
      <c r="Z48" s="335">
        <v>141614</v>
      </c>
      <c r="AA48" s="335">
        <v>2509</v>
      </c>
      <c r="AB48" s="335">
        <v>490</v>
      </c>
      <c r="AC48" s="335">
        <v>2819</v>
      </c>
      <c r="AD48" s="335">
        <v>244</v>
      </c>
      <c r="AE48" s="335">
        <v>21</v>
      </c>
      <c r="AF48" s="335">
        <v>5</v>
      </c>
      <c r="AG48" s="335">
        <v>123</v>
      </c>
    </row>
    <row r="49">
      <c r="A49" s="341" t="s">
        <v>786</v>
      </c>
      <c r="B49" s="342" t="s">
        <v>767</v>
      </c>
      <c r="C49" s="343"/>
      <c r="D49" s="343">
        <f>SUM(D45:D48)</f>
      </c>
      <c r="E49" s="343">
        <f>SUM(E45:E48)</f>
      </c>
      <c r="F49" s="343">
        <f>SUM(F45:F48)</f>
      </c>
      <c r="G49" s="343">
        <f>SUM(G45:G48)</f>
      </c>
      <c r="H49" s="343">
        <f>SUM(H45:H48)</f>
      </c>
      <c r="I49" s="344">
        <f t="shared" si="1"/>
      </c>
      <c r="J49" s="344">
        <f t="shared" si="4"/>
      </c>
      <c r="K49" s="344">
        <f t="shared" si="2"/>
      </c>
      <c r="L49" s="343"/>
      <c r="M49" s="345">
        <f>SUM(M45:M48)</f>
      </c>
      <c r="N49" s="343"/>
      <c r="O49" s="343"/>
      <c r="P49" s="343"/>
      <c r="Q49" s="346">
        <f>AVERAGE(Q45:Q48)</f>
      </c>
      <c r="R49" s="347">
        <f>AVERAGE(R45:R48)</f>
      </c>
      <c r="S49" s="347">
        <f>AVERAGE(S45:S48)</f>
      </c>
      <c r="T49" s="347">
        <f>AVERAGE(T45:T48)</f>
      </c>
      <c r="U49" s="347">
        <f>AVERAGE(U45:U48)</f>
      </c>
      <c r="V49" s="348">
        <f>SUM(V45:V48)</f>
      </c>
      <c r="W49" s="347">
        <f>AVERAGE(W45:W48)</f>
      </c>
      <c r="X49" s="348"/>
      <c r="Y49" s="346">
        <f>AVERAGE(Y45:Y48)</f>
      </c>
      <c r="Z49" s="348">
        <f>SUM(Z45:Z48)</f>
      </c>
      <c r="AA49" s="348">
        <f>SUM(AA45:AA48)</f>
      </c>
      <c r="AB49" s="348">
        <f>SUM(AB45:AB48)</f>
      </c>
      <c r="AC49" s="348">
        <f>SUM(AC45:AC48)</f>
      </c>
      <c r="AD49" s="348">
        <f>SUM(AD45:AD48)</f>
      </c>
      <c r="AE49" s="348">
        <f>SUM(AE45:AE48)</f>
      </c>
      <c r="AF49" s="348">
        <f>SUM(AF45:AF48)</f>
      </c>
      <c r="AG49" s="348">
        <f>SUM(AG45:AG48)</f>
      </c>
    </row>
    <row r="50">
      <c r="A50" s="321" t="s">
        <v>787</v>
      </c>
      <c r="B50" s="349" t="s">
        <v>762</v>
      </c>
      <c r="C50" s="323" t="s">
        <v>769</v>
      </c>
      <c r="D50" s="324">
        <v>5</v>
      </c>
      <c r="E50" s="324">
        <v>15</v>
      </c>
      <c r="F50" s="324">
        <v>17</v>
      </c>
      <c r="G50" s="324">
        <v>41495.950000000004</v>
      </c>
      <c r="H50" s="325">
        <v>14525.289999999999</v>
      </c>
      <c r="I50" s="326">
        <f t="shared" si="1"/>
      </c>
      <c r="J50" s="326">
        <f t="shared" si="4"/>
      </c>
      <c r="K50" s="327">
        <f t="shared" si="2"/>
      </c>
      <c r="L50" s="328" t="s">
        <v>788</v>
      </c>
      <c r="M50" s="329">
        <v>10</v>
      </c>
      <c r="N50" s="330"/>
      <c r="O50" s="331"/>
      <c r="P50" s="331"/>
      <c r="Q50" s="332">
        <v>5.165465860597439</v>
      </c>
      <c r="R50" s="333">
        <v>0.23479752319844469</v>
      </c>
      <c r="S50" s="334">
        <v>0.017859411122119757</v>
      </c>
      <c r="T50" s="334">
        <v>0.01879938012854711</v>
      </c>
      <c r="U50" s="334">
        <v>0.0945945945945946</v>
      </c>
      <c r="V50" s="335">
        <v>36969.33962264151</v>
      </c>
      <c r="W50" s="334">
        <v>0.01696</v>
      </c>
      <c r="X50" s="335">
        <v>41.6</v>
      </c>
      <c r="Y50" s="336">
        <v>92.25217844168381</v>
      </c>
      <c r="Z50" s="335">
        <v>157452</v>
      </c>
      <c r="AA50" s="335">
        <v>2812</v>
      </c>
      <c r="AB50" s="335">
        <v>627</v>
      </c>
      <c r="AC50" s="335">
        <v>2960</v>
      </c>
      <c r="AD50" s="335">
        <v>280</v>
      </c>
      <c r="AE50" s="335">
        <v>29</v>
      </c>
      <c r="AF50" s="337">
        <v>5</v>
      </c>
      <c r="AG50" s="335">
        <v>158</v>
      </c>
    </row>
    <row r="51">
      <c r="A51" s="321" t="s">
        <v>787</v>
      </c>
      <c r="B51" s="354" t="s">
        <v>774</v>
      </c>
      <c r="C51" s="323" t="s">
        <v>771</v>
      </c>
      <c r="D51" s="324">
        <v>5</v>
      </c>
      <c r="E51" s="339">
        <v>20</v>
      </c>
      <c r="F51" s="339">
        <v>25</v>
      </c>
      <c r="G51" s="339">
        <v>64380.92999999999</v>
      </c>
      <c r="H51" s="340">
        <v>15163.36</v>
      </c>
      <c r="I51" s="326">
        <f t="shared" si="1"/>
      </c>
      <c r="J51" s="326">
        <f t="shared" si="4"/>
      </c>
      <c r="K51" s="326">
        <f t="shared" si="2"/>
      </c>
      <c r="L51" s="328"/>
      <c r="M51" s="329"/>
      <c r="N51" s="331"/>
      <c r="O51" s="331"/>
      <c r="P51" s="331"/>
      <c r="Q51" s="325">
        <v>8.147963460505105</v>
      </c>
      <c r="R51" s="334">
        <v>0.2770669681974054</v>
      </c>
      <c r="S51" s="333">
        <v>0.013632001875224332</v>
      </c>
      <c r="T51" s="334">
        <v>0.014261960048931635</v>
      </c>
      <c r="U51" s="333">
        <v>0.17565485362095531</v>
      </c>
      <c r="V51" s="335">
        <v>37824.35129740519</v>
      </c>
      <c r="W51" s="334">
        <v>0.01002</v>
      </c>
      <c r="X51" s="335">
        <v>52.6</v>
      </c>
      <c r="Y51" s="336">
        <v>111.07305317286492</v>
      </c>
      <c r="Z51" s="335">
        <v>136517</v>
      </c>
      <c r="AA51" s="335">
        <v>1861</v>
      </c>
      <c r="AB51" s="335">
        <v>379</v>
      </c>
      <c r="AC51" s="335">
        <v>1947</v>
      </c>
      <c r="AD51" s="335">
        <v>342</v>
      </c>
      <c r="AE51" s="335">
        <v>20</v>
      </c>
      <c r="AF51" s="335">
        <v>6</v>
      </c>
      <c r="AG51" s="335">
        <v>91</v>
      </c>
    </row>
    <row r="52">
      <c r="A52" s="321" t="s">
        <v>787</v>
      </c>
      <c r="B52" s="350" t="s">
        <v>765</v>
      </c>
      <c r="C52" s="323" t="s">
        <v>773</v>
      </c>
      <c r="D52" s="321">
        <v>5</v>
      </c>
      <c r="E52" s="351">
        <v>18</v>
      </c>
      <c r="F52" s="351">
        <v>22</v>
      </c>
      <c r="G52" s="351">
        <v>57065.380000000005</v>
      </c>
      <c r="H52" s="351">
        <v>13897.92</v>
      </c>
      <c r="I52" s="352">
        <f t="shared" si="1"/>
      </c>
      <c r="J52" s="326">
        <f t="shared" si="4"/>
      </c>
      <c r="K52" s="326">
        <f t="shared" si="2"/>
      </c>
      <c r="L52" s="353"/>
      <c r="M52" s="353"/>
      <c r="N52" s="330"/>
      <c r="O52" s="331"/>
      <c r="P52" s="331"/>
      <c r="Q52" s="325">
        <v>7.384654622741764</v>
      </c>
      <c r="R52" s="334">
        <v>0.14580651582178983</v>
      </c>
      <c r="S52" s="334">
        <v>0.014032837735061216</v>
      </c>
      <c r="T52" s="334">
        <v>0.014666626899503408</v>
      </c>
      <c r="U52" s="334">
        <v>0.1387900355871886</v>
      </c>
      <c r="V52" s="335">
        <v>19554.69506292352</v>
      </c>
      <c r="W52" s="334">
        <v>0.02066</v>
      </c>
      <c r="X52" s="335">
        <v>61.2</v>
      </c>
      <c r="Y52" s="336">
        <v>103.62766005040488</v>
      </c>
      <c r="Z52" s="335">
        <v>134114</v>
      </c>
      <c r="AA52" s="335">
        <v>1882</v>
      </c>
      <c r="AB52" s="335">
        <v>404</v>
      </c>
      <c r="AC52" s="335">
        <v>1967</v>
      </c>
      <c r="AD52" s="335">
        <v>273</v>
      </c>
      <c r="AE52" s="335">
        <v>15</v>
      </c>
      <c r="AF52" s="335">
        <v>5</v>
      </c>
      <c r="AG52" s="335">
        <v>90</v>
      </c>
    </row>
    <row r="53">
      <c r="A53" s="321" t="s">
        <v>787</v>
      </c>
      <c r="B53" s="354" t="s">
        <v>772</v>
      </c>
      <c r="C53" s="323" t="s">
        <v>775</v>
      </c>
      <c r="D53" s="324">
        <v>5</v>
      </c>
      <c r="E53" s="328">
        <v>14</v>
      </c>
      <c r="F53" s="328">
        <v>16</v>
      </c>
      <c r="G53" s="328">
        <v>36033.399999999994</v>
      </c>
      <c r="H53" s="355">
        <v>12900.24</v>
      </c>
      <c r="I53" s="326">
        <f t="shared" si="1"/>
      </c>
      <c r="J53" s="326">
        <f t="shared" si="4"/>
      </c>
      <c r="K53" s="327">
        <f t="shared" si="2"/>
      </c>
      <c r="L53" s="324" t="s">
        <v>776</v>
      </c>
      <c r="M53" s="356">
        <v>10</v>
      </c>
      <c r="N53" s="330"/>
      <c r="O53" s="331"/>
      <c r="P53" s="331"/>
      <c r="Q53" s="325">
        <v>5.341714285714286</v>
      </c>
      <c r="R53" s="334">
        <v>0.27582090905729284</v>
      </c>
      <c r="S53" s="334">
        <v>0.015415156002655365</v>
      </c>
      <c r="T53" s="334">
        <v>0.016659858040136852</v>
      </c>
      <c r="U53" s="334">
        <v>0.07701149425287357</v>
      </c>
      <c r="V53" s="335">
        <v>43211.206896551725</v>
      </c>
      <c r="W53" s="334">
        <v>0.00928</v>
      </c>
      <c r="X53" s="335">
        <v>59.2</v>
      </c>
      <c r="Y53" s="336">
        <v>82.34335903589849</v>
      </c>
      <c r="Z53" s="335">
        <v>156664</v>
      </c>
      <c r="AA53" s="335">
        <v>2415</v>
      </c>
      <c r="AB53" s="335">
        <v>401</v>
      </c>
      <c r="AC53" s="335">
        <v>2610</v>
      </c>
      <c r="AD53" s="335">
        <v>201</v>
      </c>
      <c r="AE53" s="335">
        <v>18</v>
      </c>
      <c r="AF53" s="335">
        <v>7</v>
      </c>
      <c r="AG53" s="335">
        <v>120</v>
      </c>
    </row>
    <row r="54">
      <c r="A54" s="341" t="s">
        <v>787</v>
      </c>
      <c r="B54" s="342" t="s">
        <v>767</v>
      </c>
      <c r="C54" s="343"/>
      <c r="D54" s="343">
        <f>SUM(D50:D53)</f>
      </c>
      <c r="E54" s="343">
        <f>SUM(E50:E53)</f>
      </c>
      <c r="F54" s="343">
        <f>SUM(F50:F53)</f>
      </c>
      <c r="G54" s="343">
        <f>SUM(G50:G53)</f>
      </c>
      <c r="H54" s="343">
        <f>SUM(H50:H53)</f>
      </c>
      <c r="I54" s="344">
        <f t="shared" si="1"/>
      </c>
      <c r="J54" s="344">
        <f t="shared" si="4"/>
      </c>
      <c r="K54" s="344">
        <f t="shared" si="2"/>
      </c>
      <c r="L54" s="343"/>
      <c r="M54" s="345">
        <f>SUM(M50:M53)</f>
      </c>
      <c r="N54" s="343"/>
      <c r="O54" s="343"/>
      <c r="P54" s="343"/>
      <c r="Q54" s="346">
        <f>AVERAGE(Q50:Q53)</f>
      </c>
      <c r="R54" s="347">
        <f>AVERAGE(R50:R53)</f>
      </c>
      <c r="S54" s="347">
        <f>AVERAGE(S50:S53)</f>
      </c>
      <c r="T54" s="347">
        <f>AVERAGE(T50:T53)</f>
      </c>
      <c r="U54" s="347">
        <f>AVERAGE(U50:U53)</f>
      </c>
      <c r="V54" s="348">
        <f>SUM(V50:V53)</f>
      </c>
      <c r="W54" s="347">
        <f>AVERAGE(W50:W53)</f>
      </c>
      <c r="X54" s="348"/>
      <c r="Y54" s="346">
        <f>AVERAGE(Y50:Y53)</f>
      </c>
      <c r="Z54" s="348">
        <f>SUM(Z50:Z53)</f>
      </c>
      <c r="AA54" s="348">
        <f>SUM(AA50:AA53)</f>
      </c>
      <c r="AB54" s="348">
        <f>SUM(AB50:AB53)</f>
      </c>
      <c r="AC54" s="348">
        <f>SUM(AC50:AC53)</f>
      </c>
      <c r="AD54" s="348">
        <f>SUM(AD50:AD53)</f>
      </c>
      <c r="AE54" s="348">
        <f>SUM(AE50:AE53)</f>
      </c>
      <c r="AF54" s="348">
        <f>SUM(AF50:AF53)</f>
      </c>
      <c r="AG54" s="348">
        <f>SUM(AG50:AG53)</f>
      </c>
    </row>
    <row r="55">
      <c r="A55" s="321" t="s">
        <v>789</v>
      </c>
      <c r="B55" s="349" t="s">
        <v>765</v>
      </c>
      <c r="C55" s="323" t="s">
        <v>769</v>
      </c>
      <c r="D55" s="324">
        <v>5</v>
      </c>
      <c r="E55" s="324">
        <v>12</v>
      </c>
      <c r="F55" s="324">
        <v>13</v>
      </c>
      <c r="G55" s="324">
        <v>32887.73</v>
      </c>
      <c r="H55" s="325">
        <v>12957.77</v>
      </c>
      <c r="I55" s="326">
        <f t="shared" si="1"/>
      </c>
      <c r="J55" s="326">
        <f t="shared" si="4"/>
      </c>
      <c r="K55" s="327">
        <f t="shared" si="2"/>
      </c>
      <c r="L55" s="328" t="s">
        <v>788</v>
      </c>
      <c r="M55" s="329">
        <v>10</v>
      </c>
      <c r="N55" s="330"/>
      <c r="O55" s="331"/>
      <c r="P55" s="331"/>
      <c r="Q55" s="332">
        <v>4.661068345323741</v>
      </c>
      <c r="R55" s="333">
        <v>0.25988103118903133</v>
      </c>
      <c r="S55" s="334">
        <v>0.01823249713067716</v>
      </c>
      <c r="T55" s="334">
        <v>0.019340875553369406</v>
      </c>
      <c r="U55" s="334">
        <v>0.09596473380807054</v>
      </c>
      <c r="V55" s="335">
        <v>39625.36023054755</v>
      </c>
      <c r="W55" s="334">
        <v>0.01388</v>
      </c>
      <c r="X55" s="335">
        <v>43.2</v>
      </c>
      <c r="Y55" s="336">
        <v>84.98291523200525</v>
      </c>
      <c r="Z55" s="335">
        <v>152475</v>
      </c>
      <c r="AA55" s="335">
        <v>2780</v>
      </c>
      <c r="AB55" s="335">
        <v>550</v>
      </c>
      <c r="AC55" s="335">
        <v>2949</v>
      </c>
      <c r="AD55" s="335">
        <v>283</v>
      </c>
      <c r="AE55" s="335">
        <v>24</v>
      </c>
      <c r="AF55" s="337">
        <v>3</v>
      </c>
      <c r="AG55" s="335">
        <v>141</v>
      </c>
    </row>
    <row r="56">
      <c r="A56" s="321" t="s">
        <v>789</v>
      </c>
      <c r="B56" s="354" t="s">
        <v>774</v>
      </c>
      <c r="C56" s="323" t="s">
        <v>771</v>
      </c>
      <c r="D56" s="324">
        <v>5</v>
      </c>
      <c r="E56" s="339">
        <v>16</v>
      </c>
      <c r="F56" s="339">
        <v>17</v>
      </c>
      <c r="G56" s="339">
        <v>41763.19</v>
      </c>
      <c r="H56" s="340">
        <v>17367.47</v>
      </c>
      <c r="I56" s="326">
        <f t="shared" si="1"/>
      </c>
      <c r="J56" s="326">
        <f t="shared" si="4"/>
      </c>
      <c r="K56" s="326">
        <f t="shared" si="2"/>
      </c>
      <c r="L56" s="328"/>
      <c r="M56" s="329"/>
      <c r="N56" s="331"/>
      <c r="O56" s="331"/>
      <c r="P56" s="331"/>
      <c r="Q56" s="325">
        <v>6.92206855320845</v>
      </c>
      <c r="R56" s="334">
        <v>0.21104310374227417</v>
      </c>
      <c r="S56" s="333">
        <v>0.012200993002300148</v>
      </c>
      <c r="T56" s="334">
        <v>0.012312839490563561</v>
      </c>
      <c r="U56" s="333">
        <v>0.13981042654028436</v>
      </c>
      <c r="V56" s="335">
        <v>43398.69281045752</v>
      </c>
      <c r="W56" s="334">
        <v>0.0153</v>
      </c>
      <c r="X56" s="335">
        <v>51.6</v>
      </c>
      <c r="Y56" s="336">
        <v>84.4561099791382</v>
      </c>
      <c r="Z56" s="335">
        <v>205639</v>
      </c>
      <c r="AA56" s="335">
        <v>2509</v>
      </c>
      <c r="AB56" s="335">
        <v>664</v>
      </c>
      <c r="AC56" s="335">
        <v>2532</v>
      </c>
      <c r="AD56" s="335">
        <v>354</v>
      </c>
      <c r="AE56" s="335">
        <v>28</v>
      </c>
      <c r="AF56" s="335">
        <v>12</v>
      </c>
      <c r="AG56" s="335">
        <v>239</v>
      </c>
    </row>
    <row r="57">
      <c r="A57" s="321" t="s">
        <v>789</v>
      </c>
      <c r="B57" s="350" t="s">
        <v>770</v>
      </c>
      <c r="C57" s="323" t="s">
        <v>773</v>
      </c>
      <c r="D57" s="321">
        <v>5</v>
      </c>
      <c r="E57" s="351">
        <v>15</v>
      </c>
      <c r="F57" s="351">
        <v>16</v>
      </c>
      <c r="G57" s="351">
        <v>40693.600000000006</v>
      </c>
      <c r="H57" s="351">
        <v>13230.25</v>
      </c>
      <c r="I57" s="352">
        <f t="shared" si="1"/>
      </c>
      <c r="J57" s="326">
        <f t="shared" si="4"/>
      </c>
      <c r="K57" s="326">
        <f t="shared" si="2"/>
      </c>
      <c r="L57" s="353"/>
      <c r="M57" s="353"/>
      <c r="N57" s="330"/>
      <c r="O57" s="331"/>
      <c r="P57" s="331"/>
      <c r="Q57" s="325">
        <v>6.767391304347826</v>
      </c>
      <c r="R57" s="334">
        <v>0.2600605292342807</v>
      </c>
      <c r="S57" s="334">
        <v>0.011006209641552241</v>
      </c>
      <c r="T57" s="334">
        <v>0.011141324235617332</v>
      </c>
      <c r="U57" s="334">
        <v>0.13087417887822134</v>
      </c>
      <c r="V57" s="335">
        <v>46193.771626297574</v>
      </c>
      <c r="W57" s="334">
        <v>0.01156</v>
      </c>
      <c r="X57" s="335">
        <v>53.6</v>
      </c>
      <c r="Y57" s="336">
        <v>74.48332742206983</v>
      </c>
      <c r="Z57" s="335">
        <v>177627</v>
      </c>
      <c r="AA57" s="335">
        <v>1955</v>
      </c>
      <c r="AB57" s="335">
        <v>534</v>
      </c>
      <c r="AC57" s="335">
        <v>1979</v>
      </c>
      <c r="AD57" s="335">
        <v>259</v>
      </c>
      <c r="AE57" s="335">
        <v>21</v>
      </c>
      <c r="AF57" s="335">
        <v>6</v>
      </c>
      <c r="AG57" s="335">
        <v>173</v>
      </c>
    </row>
    <row r="58">
      <c r="A58" s="321" t="s">
        <v>789</v>
      </c>
      <c r="B58" s="354" t="s">
        <v>772</v>
      </c>
      <c r="C58" s="323" t="s">
        <v>775</v>
      </c>
      <c r="D58" s="324">
        <v>5</v>
      </c>
      <c r="E58" s="328">
        <v>14</v>
      </c>
      <c r="F58" s="328">
        <v>16</v>
      </c>
      <c r="G58" s="328">
        <v>32964.40999999999</v>
      </c>
      <c r="H58" s="355">
        <v>13570.68</v>
      </c>
      <c r="I58" s="326">
        <f t="shared" si="1"/>
      </c>
      <c r="J58" s="326">
        <f t="shared" si="4"/>
      </c>
      <c r="K58" s="327">
        <f t="shared" si="2"/>
      </c>
      <c r="L58" s="324" t="s">
        <v>776</v>
      </c>
      <c r="M58" s="356">
        <v>10</v>
      </c>
      <c r="N58" s="330"/>
      <c r="O58" s="331"/>
      <c r="P58" s="331"/>
      <c r="Q58" s="325">
        <v>4.836307911617961</v>
      </c>
      <c r="R58" s="334">
        <v>0.2715107094967922</v>
      </c>
      <c r="S58" s="334">
        <v>0.015521456782201768</v>
      </c>
      <c r="T58" s="334">
        <v>0.016821364958900777</v>
      </c>
      <c r="U58" s="334">
        <v>0.0825386386057218</v>
      </c>
      <c r="V58" s="335">
        <v>49084.24908424908</v>
      </c>
      <c r="W58" s="334">
        <v>0.010920000000000001</v>
      </c>
      <c r="X58" s="335">
        <v>54</v>
      </c>
      <c r="Y58" s="336">
        <v>75.06654423559868</v>
      </c>
      <c r="Z58" s="335">
        <v>180782</v>
      </c>
      <c r="AA58" s="335">
        <v>2806</v>
      </c>
      <c r="AB58" s="335">
        <v>536</v>
      </c>
      <c r="AC58" s="335">
        <v>3041</v>
      </c>
      <c r="AD58" s="335">
        <v>251</v>
      </c>
      <c r="AE58" s="335">
        <v>19</v>
      </c>
      <c r="AF58" s="335">
        <v>5</v>
      </c>
      <c r="AG58" s="335">
        <v>167</v>
      </c>
    </row>
    <row r="59">
      <c r="A59" s="341" t="s">
        <v>789</v>
      </c>
      <c r="B59" s="342" t="s">
        <v>767</v>
      </c>
      <c r="C59" s="343"/>
      <c r="D59" s="343">
        <f>SUM(D55:D58)</f>
      </c>
      <c r="E59" s="343">
        <f>SUM(E55:E58)</f>
      </c>
      <c r="F59" s="343">
        <f>SUM(F55:F58)</f>
      </c>
      <c r="G59" s="343">
        <f>SUM(G55:G58)</f>
      </c>
      <c r="H59" s="343">
        <f>SUM(H55:H58)</f>
      </c>
      <c r="I59" s="344">
        <f t="shared" si="1"/>
      </c>
      <c r="J59" s="344">
        <f t="shared" si="4"/>
      </c>
      <c r="K59" s="344">
        <f t="shared" si="2"/>
      </c>
      <c r="L59" s="343"/>
      <c r="M59" s="345">
        <f>SUM(M55:M58)</f>
      </c>
      <c r="N59" s="343"/>
      <c r="O59" s="343"/>
      <c r="P59" s="343"/>
      <c r="Q59" s="346">
        <f>AVERAGE(Q55:Q58)</f>
      </c>
      <c r="R59" s="347">
        <f>AVERAGE(R55:R58)</f>
      </c>
      <c r="S59" s="347">
        <f>AVERAGE(S55:S58)</f>
      </c>
      <c r="T59" s="347">
        <f>AVERAGE(T55:T58)</f>
      </c>
      <c r="U59" s="347">
        <f>AVERAGE(U55:U58)</f>
      </c>
      <c r="V59" s="348">
        <f>SUM(V55:V58)</f>
      </c>
      <c r="W59" s="347">
        <f>AVERAGE(W55:W58)</f>
      </c>
      <c r="X59" s="348"/>
      <c r="Y59" s="346">
        <f>AVERAGE(Y55:Y58)</f>
      </c>
      <c r="Z59" s="348">
        <f>SUM(Z55:Z58)</f>
      </c>
      <c r="AA59" s="348">
        <f>SUM(AA55:AA58)</f>
      </c>
      <c r="AB59" s="348">
        <f>SUM(AB55:AB58)</f>
      </c>
      <c r="AC59" s="348">
        <f>SUM(AC55:AC58)</f>
      </c>
      <c r="AD59" s="348">
        <f>SUM(AD55:AD58)</f>
      </c>
      <c r="AE59" s="348">
        <f>SUM(AE55:AE58)</f>
      </c>
      <c r="AF59" s="348">
        <f>SUM(AF55:AF58)</f>
      </c>
      <c r="AG59" s="348">
        <f>SUM(AG55:AG58)</f>
      </c>
    </row>
    <row r="60">
      <c r="A60" s="321" t="s">
        <v>790</v>
      </c>
      <c r="B60" s="349" t="s">
        <v>765</v>
      </c>
      <c r="C60" s="323" t="s">
        <v>769</v>
      </c>
      <c r="D60" s="324">
        <v>5</v>
      </c>
      <c r="E60" s="324">
        <v>16</v>
      </c>
      <c r="F60" s="324">
        <v>21</v>
      </c>
      <c r="G60" s="324">
        <v>53628.860000000015</v>
      </c>
      <c r="H60" s="325">
        <v>15983.52</v>
      </c>
      <c r="I60" s="326">
        <f t="shared" si="1"/>
      </c>
      <c r="J60" s="326">
        <f t="shared" si="4"/>
      </c>
      <c r="K60" s="327">
        <f t="shared" si="2"/>
      </c>
      <c r="L60" s="328" t="s">
        <v>788</v>
      </c>
      <c r="M60" s="329">
        <v>10</v>
      </c>
      <c r="N60" s="330"/>
      <c r="O60" s="331"/>
      <c r="P60" s="331"/>
      <c r="Q60" s="332">
        <v>4.720472533963378</v>
      </c>
      <c r="R60" s="333">
        <v>0.27426778797307144</v>
      </c>
      <c r="S60" s="334">
        <v>0.015628533844130068</v>
      </c>
      <c r="T60" s="334">
        <v>0.01672705453370566</v>
      </c>
      <c r="U60" s="334">
        <v>0.08278145695364239</v>
      </c>
      <c r="V60" s="335">
        <v>59421.48760330579</v>
      </c>
      <c r="W60" s="334">
        <v>0.0121</v>
      </c>
      <c r="X60" s="335">
        <v>44.6</v>
      </c>
      <c r="Y60" s="336">
        <v>73.77406475733308</v>
      </c>
      <c r="Z60" s="335">
        <v>216655</v>
      </c>
      <c r="AA60" s="335">
        <v>3386</v>
      </c>
      <c r="AB60" s="335">
        <v>719</v>
      </c>
      <c r="AC60" s="335">
        <v>3624</v>
      </c>
      <c r="AD60" s="335">
        <v>300</v>
      </c>
      <c r="AE60" s="335">
        <v>31</v>
      </c>
      <c r="AF60" s="337">
        <v>7</v>
      </c>
      <c r="AG60" s="335">
        <v>214</v>
      </c>
    </row>
    <row r="61">
      <c r="A61" s="321" t="s">
        <v>790</v>
      </c>
      <c r="B61" s="354" t="s">
        <v>774</v>
      </c>
      <c r="C61" s="323" t="s">
        <v>771</v>
      </c>
      <c r="D61" s="324">
        <v>5</v>
      </c>
      <c r="E61" s="339">
        <v>13</v>
      </c>
      <c r="F61" s="339">
        <v>16</v>
      </c>
      <c r="G61" s="339">
        <v>48821.01000000001</v>
      </c>
      <c r="H61" s="340">
        <v>15896.189999999999</v>
      </c>
      <c r="I61" s="326">
        <f t="shared" si="1"/>
      </c>
      <c r="J61" s="326">
        <f t="shared" si="4"/>
      </c>
      <c r="K61" s="326">
        <f t="shared" si="2"/>
      </c>
      <c r="L61" s="328"/>
      <c r="M61" s="329"/>
      <c r="N61" s="331"/>
      <c r="O61" s="331"/>
      <c r="P61" s="331"/>
      <c r="Q61" s="325">
        <v>5.370334459459459</v>
      </c>
      <c r="R61" s="334">
        <v>0.2791121815362017</v>
      </c>
      <c r="S61" s="333">
        <v>0.015575996127049612</v>
      </c>
      <c r="T61" s="334">
        <v>0.016128523016691574</v>
      </c>
      <c r="U61" s="333">
        <v>0.08221859706362153</v>
      </c>
      <c r="V61" s="335">
        <v>53041.36253041363</v>
      </c>
      <c r="W61" s="334">
        <v>0.00822</v>
      </c>
      <c r="X61" s="335">
        <v>44.6</v>
      </c>
      <c r="Y61" s="336">
        <v>83.6483087415016</v>
      </c>
      <c r="Z61" s="335">
        <v>190036</v>
      </c>
      <c r="AA61" s="335">
        <v>2960</v>
      </c>
      <c r="AB61" s="335">
        <v>436</v>
      </c>
      <c r="AC61" s="335">
        <v>3065</v>
      </c>
      <c r="AD61" s="335">
        <v>252</v>
      </c>
      <c r="AE61" s="335">
        <v>25</v>
      </c>
      <c r="AF61" s="335">
        <v>4</v>
      </c>
      <c r="AG61" s="335">
        <v>102</v>
      </c>
    </row>
    <row r="62">
      <c r="A62" s="321" t="s">
        <v>790</v>
      </c>
      <c r="B62" s="350" t="s">
        <v>770</v>
      </c>
      <c r="C62" s="323" t="s">
        <v>773</v>
      </c>
      <c r="D62" s="321">
        <v>5</v>
      </c>
      <c r="E62" s="351">
        <v>13</v>
      </c>
      <c r="F62" s="351">
        <v>14</v>
      </c>
      <c r="G62" s="351">
        <v>29731.09999999999</v>
      </c>
      <c r="H62" s="351">
        <v>13420.169999999998</v>
      </c>
      <c r="I62" s="352">
        <f t="shared" si="1"/>
      </c>
      <c r="J62" s="326">
        <f t="shared" si="4"/>
      </c>
      <c r="K62" s="326">
        <f t="shared" si="2"/>
      </c>
      <c r="L62" s="353"/>
      <c r="M62" s="353"/>
      <c r="N62" s="330"/>
      <c r="O62" s="331"/>
      <c r="P62" s="331"/>
      <c r="Q62" s="325">
        <v>5.888622202720491</v>
      </c>
      <c r="R62" s="334">
        <v>0.2941147942920522</v>
      </c>
      <c r="S62" s="334">
        <v>0.013432193649914244</v>
      </c>
      <c r="T62" s="334">
        <v>0.014068734639028213</v>
      </c>
      <c r="U62" s="334">
        <v>0.14914118139924593</v>
      </c>
      <c r="V62" s="335">
        <v>49901.57480314961</v>
      </c>
      <c r="W62" s="334">
        <v>0.010159999999999999</v>
      </c>
      <c r="X62" s="335">
        <v>53.4</v>
      </c>
      <c r="Y62" s="336">
        <v>79.0971137581262</v>
      </c>
      <c r="Z62" s="335">
        <v>169667</v>
      </c>
      <c r="AA62" s="335">
        <v>2279</v>
      </c>
      <c r="AB62" s="335">
        <v>507</v>
      </c>
      <c r="AC62" s="335">
        <v>2387</v>
      </c>
      <c r="AD62" s="335">
        <v>356</v>
      </c>
      <c r="AE62" s="335">
        <v>21</v>
      </c>
      <c r="AF62" s="335">
        <v>7</v>
      </c>
      <c r="AG62" s="335">
        <v>91</v>
      </c>
    </row>
    <row r="63">
      <c r="A63" s="321" t="s">
        <v>790</v>
      </c>
      <c r="B63" s="354" t="s">
        <v>772</v>
      </c>
      <c r="C63" s="323" t="s">
        <v>775</v>
      </c>
      <c r="D63" s="324">
        <v>5</v>
      </c>
      <c r="E63" s="328">
        <v>15</v>
      </c>
      <c r="F63" s="328">
        <v>20</v>
      </c>
      <c r="G63" s="328">
        <v>45404.05</v>
      </c>
      <c r="H63" s="355">
        <v>11533.109999999999</v>
      </c>
      <c r="I63" s="326">
        <f t="shared" si="1"/>
      </c>
      <c r="J63" s="326">
        <f t="shared" si="4"/>
      </c>
      <c r="K63" s="327">
        <f t="shared" si="2"/>
      </c>
      <c r="L63" s="324" t="s">
        <v>776</v>
      </c>
      <c r="M63" s="356">
        <v>10</v>
      </c>
      <c r="N63" s="330"/>
      <c r="O63" s="331"/>
      <c r="P63" s="331"/>
      <c r="Q63" s="325">
        <v>4.49108644859813</v>
      </c>
      <c r="R63" s="334">
        <v>0.3132735091497978</v>
      </c>
      <c r="S63" s="334">
        <v>0.017036181984635593</v>
      </c>
      <c r="T63" s="334">
        <v>0.018973317942390107</v>
      </c>
      <c r="U63" s="334">
        <v>0.07307692307692308</v>
      </c>
      <c r="V63" s="335">
        <v>47222.22222222222</v>
      </c>
      <c r="W63" s="334">
        <v>0.00864</v>
      </c>
      <c r="X63" s="335">
        <v>55.4</v>
      </c>
      <c r="Y63" s="336">
        <v>76.51096604704851</v>
      </c>
      <c r="Z63" s="335">
        <v>150738</v>
      </c>
      <c r="AA63" s="335">
        <v>2568</v>
      </c>
      <c r="AB63" s="335">
        <v>408</v>
      </c>
      <c r="AC63" s="335">
        <v>2860</v>
      </c>
      <c r="AD63" s="335">
        <v>209</v>
      </c>
      <c r="AE63" s="335">
        <v>29</v>
      </c>
      <c r="AF63" s="335">
        <v>9</v>
      </c>
      <c r="AG63" s="335">
        <v>83</v>
      </c>
    </row>
    <row r="64">
      <c r="A64" s="341" t="s">
        <v>790</v>
      </c>
      <c r="B64" s="342" t="s">
        <v>767</v>
      </c>
      <c r="C64" s="343"/>
      <c r="D64" s="343">
        <f>SUM(D60:D63)</f>
      </c>
      <c r="E64" s="343">
        <f>SUM(E60:E63)</f>
      </c>
      <c r="F64" s="343">
        <f>SUM(F60:F63)</f>
      </c>
      <c r="G64" s="343">
        <f>SUM(G60:G63)</f>
      </c>
      <c r="H64" s="343">
        <f>SUM(H60:H63)</f>
      </c>
      <c r="I64" s="344">
        <f t="shared" si="1"/>
      </c>
      <c r="J64" s="344">
        <f t="shared" si="4"/>
      </c>
      <c r="K64" s="344">
        <f t="shared" si="2"/>
      </c>
      <c r="L64" s="343"/>
      <c r="M64" s="345">
        <f>SUM(M60:M63)</f>
      </c>
      <c r="N64" s="343"/>
      <c r="O64" s="343"/>
      <c r="P64" s="343"/>
      <c r="Q64" s="346">
        <f>AVERAGE(Q60:Q63)</f>
      </c>
      <c r="R64" s="347">
        <f>AVERAGE(R60:R63)</f>
      </c>
      <c r="S64" s="347">
        <f>AVERAGE(S60:S63)</f>
      </c>
      <c r="T64" s="347">
        <f>AVERAGE(T60:T63)</f>
      </c>
      <c r="U64" s="347">
        <f>AVERAGE(U60:U63)</f>
      </c>
      <c r="V64" s="348">
        <f>SUM(V60:V63)</f>
      </c>
      <c r="W64" s="347">
        <f>AVERAGE(W60:W63)</f>
      </c>
      <c r="X64" s="348"/>
      <c r="Y64" s="346">
        <f>AVERAGE(Y60:Y63)</f>
      </c>
      <c r="Z64" s="348">
        <f>SUM(Z60:Z63)</f>
      </c>
      <c r="AA64" s="348">
        <f>SUM(AA60:AA63)</f>
      </c>
      <c r="AB64" s="348">
        <f>SUM(AB60:AB63)</f>
      </c>
      <c r="AC64" s="348">
        <f>SUM(AC60:AC63)</f>
      </c>
      <c r="AD64" s="348">
        <f>SUM(AD60:AD63)</f>
      </c>
      <c r="AE64" s="348">
        <f>SUM(AE60:AE63)</f>
      </c>
      <c r="AF64" s="348">
        <f>SUM(AF60:AF63)</f>
      </c>
      <c r="AG64" s="348">
        <f>SUM(AG60:AG63)</f>
      </c>
    </row>
    <row r="65">
      <c r="A65" s="321" t="s">
        <v>791</v>
      </c>
      <c r="B65" s="354" t="s">
        <v>774</v>
      </c>
      <c r="C65" s="323" t="s">
        <v>769</v>
      </c>
      <c r="D65" s="324">
        <v>5</v>
      </c>
      <c r="E65" s="324">
        <v>15</v>
      </c>
      <c r="F65" s="324">
        <v>17</v>
      </c>
      <c r="G65" s="324">
        <v>36106.81</v>
      </c>
      <c r="H65" s="325">
        <v>16151.41</v>
      </c>
      <c r="I65" s="326">
        <f t="shared" si="1"/>
      </c>
      <c r="J65" s="326">
        <f t="shared" si="4"/>
      </c>
      <c r="K65" s="327">
        <f t="shared" si="2"/>
      </c>
      <c r="L65" s="328" t="s">
        <v>788</v>
      </c>
      <c r="M65" s="329">
        <v>10</v>
      </c>
      <c r="N65" s="330"/>
      <c r="O65" s="331"/>
      <c r="P65" s="331"/>
      <c r="Q65" s="332">
        <v>4.41415960644985</v>
      </c>
      <c r="R65" s="333">
        <v>0.2486499485246124</v>
      </c>
      <c r="S65" s="334">
        <v>0.0185510038531738</v>
      </c>
      <c r="T65" s="334">
        <v>0.019701886027175014</v>
      </c>
      <c r="U65" s="334">
        <v>0.09161091096242924</v>
      </c>
      <c r="V65" s="335">
        <v>49043.71584699455</v>
      </c>
      <c r="W65" s="334">
        <v>0.014639999999999997</v>
      </c>
      <c r="X65" s="335">
        <v>43.2</v>
      </c>
      <c r="Y65" s="336">
        <v>81.88709186777531</v>
      </c>
      <c r="Z65" s="335">
        <v>197240</v>
      </c>
      <c r="AA65" s="335">
        <v>3659</v>
      </c>
      <c r="AB65" s="335">
        <v>718</v>
      </c>
      <c r="AC65" s="335">
        <v>3886</v>
      </c>
      <c r="AD65" s="335">
        <v>356</v>
      </c>
      <c r="AE65" s="335">
        <v>22</v>
      </c>
      <c r="AF65" s="337">
        <v>9</v>
      </c>
      <c r="AG65" s="335">
        <v>197</v>
      </c>
    </row>
    <row r="66">
      <c r="A66" s="321" t="s">
        <v>791</v>
      </c>
      <c r="B66" s="354" t="s">
        <v>765</v>
      </c>
      <c r="C66" s="323" t="s">
        <v>771</v>
      </c>
      <c r="D66" s="324">
        <v>5</v>
      </c>
      <c r="E66" s="339">
        <v>10</v>
      </c>
      <c r="F66" s="339">
        <v>13</v>
      </c>
      <c r="G66" s="339">
        <v>30892.33</v>
      </c>
      <c r="H66" s="340">
        <v>13524.259999999998</v>
      </c>
      <c r="I66" s="326">
        <f t="shared" si="1"/>
      </c>
      <c r="J66" s="326">
        <f t="shared" si="4"/>
      </c>
      <c r="K66" s="326">
        <f t="shared" si="2"/>
      </c>
      <c r="L66" s="328"/>
      <c r="M66" s="329"/>
      <c r="N66" s="331"/>
      <c r="O66" s="331"/>
      <c r="P66" s="331"/>
      <c r="Q66" s="325">
        <v>6.6004197169350896</v>
      </c>
      <c r="R66" s="334">
        <v>0.28698284909490585</v>
      </c>
      <c r="S66" s="333">
        <v>0.013420313206138368</v>
      </c>
      <c r="T66" s="334">
        <v>0.013485810098310834</v>
      </c>
      <c r="U66" s="333">
        <v>0.1437591063623118</v>
      </c>
      <c r="V66" s="335">
        <v>43816.25441696113</v>
      </c>
      <c r="W66" s="334">
        <v>0.01132</v>
      </c>
      <c r="X66" s="335">
        <v>45.8</v>
      </c>
      <c r="Y66" s="336">
        <v>88.57969989324005</v>
      </c>
      <c r="Z66" s="335">
        <v>152679</v>
      </c>
      <c r="AA66" s="335">
        <v>2049</v>
      </c>
      <c r="AB66" s="335">
        <v>496</v>
      </c>
      <c r="AC66" s="335">
        <v>2059</v>
      </c>
      <c r="AD66" s="335">
        <v>296</v>
      </c>
      <c r="AE66" s="335">
        <v>19</v>
      </c>
      <c r="AF66" s="335">
        <v>9</v>
      </c>
      <c r="AG66" s="335">
        <v>102</v>
      </c>
    </row>
    <row r="67">
      <c r="A67" s="321" t="s">
        <v>791</v>
      </c>
      <c r="B67" s="354" t="s">
        <v>762</v>
      </c>
      <c r="C67" s="323" t="s">
        <v>773</v>
      </c>
      <c r="D67" s="321">
        <v>5</v>
      </c>
      <c r="E67" s="351">
        <v>11</v>
      </c>
      <c r="F67" s="351">
        <v>16</v>
      </c>
      <c r="G67" s="351">
        <v>35210.98999999998</v>
      </c>
      <c r="H67" s="351">
        <v>13816.21</v>
      </c>
      <c r="I67" s="352">
        <f t="shared" si="1"/>
      </c>
      <c r="J67" s="326">
        <f t="shared" si="4"/>
      </c>
      <c r="K67" s="326">
        <f t="shared" si="2"/>
      </c>
      <c r="L67" s="353"/>
      <c r="M67" s="353"/>
      <c r="N67" s="330"/>
      <c r="O67" s="331"/>
      <c r="P67" s="331"/>
      <c r="Q67" s="325">
        <v>7.412129828326179</v>
      </c>
      <c r="R67" s="334">
        <v>0.2717951962674927</v>
      </c>
      <c r="S67" s="334">
        <v>0.012573355817875212</v>
      </c>
      <c r="T67" s="334">
        <v>0.012735244519392917</v>
      </c>
      <c r="U67" s="334">
        <v>0.16101694915254236</v>
      </c>
      <c r="V67" s="335">
        <v>40293.637846655794</v>
      </c>
      <c r="W67" s="334">
        <v>0.01226</v>
      </c>
      <c r="X67" s="335">
        <v>52.4</v>
      </c>
      <c r="Y67" s="336">
        <v>93.19534569983136</v>
      </c>
      <c r="Z67" s="335">
        <v>148250</v>
      </c>
      <c r="AA67" s="335">
        <v>1864</v>
      </c>
      <c r="AB67" s="335">
        <v>494</v>
      </c>
      <c r="AC67" s="335">
        <v>1888</v>
      </c>
      <c r="AD67" s="335">
        <v>304</v>
      </c>
      <c r="AE67" s="335">
        <v>18</v>
      </c>
      <c r="AF67" s="335">
        <v>8</v>
      </c>
      <c r="AG67" s="335">
        <v>104</v>
      </c>
    </row>
    <row r="68">
      <c r="A68" s="321" t="s">
        <v>791</v>
      </c>
      <c r="B68" s="354" t="s">
        <v>770</v>
      </c>
      <c r="C68" s="323" t="s">
        <v>775</v>
      </c>
      <c r="D68" s="324">
        <v>5</v>
      </c>
      <c r="E68" s="328">
        <v>19</v>
      </c>
      <c r="F68" s="328">
        <v>22</v>
      </c>
      <c r="G68" s="328">
        <v>52359.59000000001</v>
      </c>
      <c r="H68" s="355">
        <v>12696.99</v>
      </c>
      <c r="I68" s="326">
        <f t="shared" si="1"/>
      </c>
      <c r="J68" s="326">
        <f t="shared" si="4"/>
      </c>
      <c r="K68" s="327">
        <f t="shared" si="2"/>
      </c>
      <c r="L68" s="324" t="s">
        <v>776</v>
      </c>
      <c r="M68" s="356">
        <v>10</v>
      </c>
      <c r="N68" s="330"/>
      <c r="O68" s="331"/>
      <c r="P68" s="331"/>
      <c r="Q68" s="325">
        <v>4.932785547785548</v>
      </c>
      <c r="R68" s="334">
        <v>0.2463463479315243</v>
      </c>
      <c r="S68" s="334">
        <v>0.013220610592924354</v>
      </c>
      <c r="T68" s="334">
        <v>0.014155401240908904</v>
      </c>
      <c r="U68" s="334">
        <v>0.13896952104499274</v>
      </c>
      <c r="V68" s="335">
        <v>47962.648556876054</v>
      </c>
      <c r="W68" s="334">
        <v>0.011780000000000002</v>
      </c>
      <c r="X68" s="335">
        <v>56.6</v>
      </c>
      <c r="Y68" s="336">
        <v>65.21443686567778</v>
      </c>
      <c r="Z68" s="335">
        <v>194696</v>
      </c>
      <c r="AA68" s="335">
        <v>2574</v>
      </c>
      <c r="AB68" s="335">
        <v>565</v>
      </c>
      <c r="AC68" s="335">
        <v>2756</v>
      </c>
      <c r="AD68" s="335">
        <v>383</v>
      </c>
      <c r="AE68" s="335">
        <v>28</v>
      </c>
      <c r="AF68" s="335">
        <v>3</v>
      </c>
      <c r="AG68" s="335">
        <v>127</v>
      </c>
    </row>
    <row r="69">
      <c r="A69" s="341" t="s">
        <v>791</v>
      </c>
      <c r="B69" s="342" t="s">
        <v>767</v>
      </c>
      <c r="C69" s="343"/>
      <c r="D69" s="343">
        <f>SUM(D65:D68)</f>
      </c>
      <c r="E69" s="343">
        <f>SUM(E65:E68)</f>
      </c>
      <c r="F69" s="343">
        <f>SUM(F65:F68)</f>
      </c>
      <c r="G69" s="343">
        <f>SUM(G65:G68)</f>
      </c>
      <c r="H69" s="343">
        <f>SUM(H65:H68)</f>
      </c>
      <c r="I69" s="344">
        <f t="shared" si="1"/>
      </c>
      <c r="J69" s="344">
        <f t="shared" si="4"/>
      </c>
      <c r="K69" s="344">
        <f t="shared" si="2"/>
      </c>
      <c r="L69" s="343"/>
      <c r="M69" s="345">
        <f>SUM(M65:M68)</f>
      </c>
      <c r="N69" s="343"/>
      <c r="O69" s="343"/>
      <c r="P69" s="343"/>
      <c r="Q69" s="346">
        <f>AVERAGE(Q65:Q68)</f>
      </c>
      <c r="R69" s="347">
        <f>AVERAGE(R65:R68)</f>
      </c>
      <c r="S69" s="347">
        <f>AVERAGE(S65:S68)</f>
      </c>
      <c r="T69" s="347">
        <f>AVERAGE(T65:T68)</f>
      </c>
      <c r="U69" s="347">
        <f>AVERAGE(U65:U68)</f>
      </c>
      <c r="V69" s="348">
        <f>SUM(V65:V68)</f>
      </c>
      <c r="W69" s="347">
        <f>AVERAGE(W65:W68)</f>
      </c>
      <c r="X69" s="348"/>
      <c r="Y69" s="346">
        <f>AVERAGE(Y65:Y68)</f>
      </c>
      <c r="Z69" s="348">
        <f>SUM(Z65:Z68)</f>
      </c>
      <c r="AA69" s="348">
        <f>SUM(AA65:AA68)</f>
      </c>
      <c r="AB69" s="348">
        <f>SUM(AB65:AB68)</f>
      </c>
      <c r="AC69" s="348">
        <f>SUM(AC65:AC68)</f>
      </c>
      <c r="AD69" s="348">
        <f>SUM(AD65:AD68)</f>
      </c>
      <c r="AE69" s="348">
        <f>SUM(AE65:AE68)</f>
      </c>
      <c r="AF69" s="348">
        <f>SUM(AF65:AF68)</f>
      </c>
      <c r="AG69" s="348">
        <f>SUM(AG65:AG68)</f>
      </c>
    </row>
    <row r="70">
      <c r="A70" s="321" t="s">
        <v>792</v>
      </c>
      <c r="B70" s="354" t="s">
        <v>762</v>
      </c>
      <c r="C70" s="323" t="s">
        <v>769</v>
      </c>
      <c r="D70" s="324">
        <v>5</v>
      </c>
      <c r="E70" s="324">
        <v>18</v>
      </c>
      <c r="F70" s="324">
        <v>20</v>
      </c>
      <c r="G70" s="324">
        <v>51274.41000000001</v>
      </c>
      <c r="H70" s="325">
        <v>16417.690000000002</v>
      </c>
      <c r="I70" s="326">
        <f t="shared" si="1"/>
      </c>
      <c r="J70" s="326">
        <f t="shared" si="4"/>
      </c>
      <c r="K70" s="327">
        <f t="shared" si="2"/>
      </c>
      <c r="L70" s="328" t="s">
        <v>788</v>
      </c>
      <c r="M70" s="329">
        <v>10</v>
      </c>
      <c r="N70" s="330"/>
      <c r="O70" s="331"/>
      <c r="P70" s="331"/>
      <c r="Q70" s="332">
        <v>4.684077032810272</v>
      </c>
      <c r="R70" s="333">
        <v>0.2181194528962727</v>
      </c>
      <c r="S70" s="334">
        <v>0.017386085179416463</v>
      </c>
      <c r="T70" s="334">
        <v>0.018968442147243525</v>
      </c>
      <c r="U70" s="334">
        <v>0.09832635983263599</v>
      </c>
      <c r="V70" s="335">
        <v>43972.44546498278</v>
      </c>
      <c r="W70" s="334">
        <v>0.017419999999999998</v>
      </c>
      <c r="X70" s="335">
        <v>40.4</v>
      </c>
      <c r="Y70" s="336">
        <v>81.4377622793877</v>
      </c>
      <c r="Z70" s="335">
        <v>201598</v>
      </c>
      <c r="AA70" s="335">
        <v>3505</v>
      </c>
      <c r="AB70" s="335">
        <v>766</v>
      </c>
      <c r="AC70" s="335">
        <v>3824</v>
      </c>
      <c r="AD70" s="335">
        <v>376</v>
      </c>
      <c r="AE70" s="335">
        <v>37</v>
      </c>
      <c r="AF70" s="337">
        <v>4</v>
      </c>
      <c r="AG70" s="335">
        <v>213</v>
      </c>
    </row>
    <row r="71">
      <c r="A71" s="321" t="s">
        <v>792</v>
      </c>
      <c r="B71" s="354" t="s">
        <v>765</v>
      </c>
      <c r="C71" s="323" t="s">
        <v>771</v>
      </c>
      <c r="D71" s="324">
        <v>5</v>
      </c>
      <c r="E71" s="339">
        <v>10</v>
      </c>
      <c r="F71" s="339">
        <v>13</v>
      </c>
      <c r="G71" s="339">
        <v>31344.44</v>
      </c>
      <c r="H71" s="340">
        <v>13932.510000000002</v>
      </c>
      <c r="I71" s="326">
        <f t="shared" si="1"/>
      </c>
      <c r="J71" s="326">
        <f t="shared" si="4"/>
      </c>
      <c r="K71" s="326">
        <f t="shared" si="2"/>
      </c>
      <c r="L71" s="328"/>
      <c r="M71" s="329"/>
      <c r="N71" s="331"/>
      <c r="O71" s="331"/>
      <c r="P71" s="331"/>
      <c r="Q71" s="325">
        <v>5.1354625875414674</v>
      </c>
      <c r="R71" s="334">
        <v>0.2528527850507862</v>
      </c>
      <c r="S71" s="333">
        <v>0.016321349504283378</v>
      </c>
      <c r="T71" s="334">
        <v>0.01689888343440177</v>
      </c>
      <c r="U71" s="333">
        <v>0.08437166251334995</v>
      </c>
      <c r="V71" s="335">
        <v>42030.20134228188</v>
      </c>
      <c r="W71" s="334">
        <v>0.01192</v>
      </c>
      <c r="X71" s="335">
        <v>45.6</v>
      </c>
      <c r="Y71" s="336">
        <v>83.81767975743576</v>
      </c>
      <c r="Z71" s="335">
        <v>166224</v>
      </c>
      <c r="AA71" s="335">
        <v>2713</v>
      </c>
      <c r="AB71" s="335">
        <v>501</v>
      </c>
      <c r="AC71" s="335">
        <v>2809</v>
      </c>
      <c r="AD71" s="335">
        <v>237</v>
      </c>
      <c r="AE71" s="335">
        <v>27</v>
      </c>
      <c r="AF71" s="335">
        <v>9</v>
      </c>
      <c r="AG71" s="335">
        <v>147</v>
      </c>
    </row>
    <row r="72">
      <c r="A72" s="321" t="s">
        <v>792</v>
      </c>
      <c r="B72" s="354" t="s">
        <v>770</v>
      </c>
      <c r="C72" s="323" t="s">
        <v>773</v>
      </c>
      <c r="D72" s="321">
        <v>5</v>
      </c>
      <c r="E72" s="351">
        <v>11</v>
      </c>
      <c r="F72" s="351">
        <v>12</v>
      </c>
      <c r="G72" s="351">
        <v>29247.089999999993</v>
      </c>
      <c r="H72" s="351">
        <v>12580.73</v>
      </c>
      <c r="I72" s="352">
        <f t="shared" si="1"/>
      </c>
      <c r="J72" s="326">
        <f t="shared" si="4"/>
      </c>
      <c r="K72" s="326">
        <f t="shared" si="2"/>
      </c>
      <c r="L72" s="353"/>
      <c r="M72" s="353"/>
      <c r="N72" s="330"/>
      <c r="O72" s="331"/>
      <c r="P72" s="331"/>
      <c r="Q72" s="325">
        <v>7.583321277878239</v>
      </c>
      <c r="R72" s="334">
        <v>0.2551499577510183</v>
      </c>
      <c r="S72" s="334">
        <v>0.013052509008512849</v>
      </c>
      <c r="T72" s="334">
        <v>0.013241333731963305</v>
      </c>
      <c r="U72" s="334">
        <v>0.1586452762923351</v>
      </c>
      <c r="V72" s="335">
        <v>32430.069930069927</v>
      </c>
      <c r="W72" s="334">
        <v>0.01144</v>
      </c>
      <c r="X72" s="335">
        <v>51</v>
      </c>
      <c r="Y72" s="336">
        <v>98.9813692939529</v>
      </c>
      <c r="Z72" s="335">
        <v>127102</v>
      </c>
      <c r="AA72" s="335">
        <v>1659</v>
      </c>
      <c r="AB72" s="335">
        <v>371</v>
      </c>
      <c r="AC72" s="335">
        <v>1683</v>
      </c>
      <c r="AD72" s="335">
        <v>267</v>
      </c>
      <c r="AE72" s="335">
        <v>14</v>
      </c>
      <c r="AF72" s="335">
        <v>6</v>
      </c>
      <c r="AG72" s="335">
        <v>119</v>
      </c>
    </row>
    <row r="73">
      <c r="A73" s="321" t="s">
        <v>792</v>
      </c>
      <c r="B73" s="354" t="s">
        <v>772</v>
      </c>
      <c r="C73" s="323" t="s">
        <v>775</v>
      </c>
      <c r="D73" s="324">
        <v>5</v>
      </c>
      <c r="E73" s="328">
        <v>21</v>
      </c>
      <c r="F73" s="328">
        <v>26</v>
      </c>
      <c r="G73" s="328">
        <v>65514.32</v>
      </c>
      <c r="H73" s="355">
        <v>10829.7</v>
      </c>
      <c r="I73" s="326">
        <f t="shared" si="1"/>
      </c>
      <c r="J73" s="326">
        <f t="shared" si="4"/>
      </c>
      <c r="K73" s="327">
        <f t="shared" si="2"/>
      </c>
      <c r="L73" s="324" t="s">
        <v>776</v>
      </c>
      <c r="M73" s="356">
        <v>10</v>
      </c>
      <c r="N73" s="330"/>
      <c r="O73" s="331"/>
      <c r="P73" s="331"/>
      <c r="Q73" s="325">
        <v>4.6142735406902435</v>
      </c>
      <c r="R73" s="334">
        <v>0.3265445259217439</v>
      </c>
      <c r="S73" s="334">
        <v>0.016649995388795483</v>
      </c>
      <c r="T73" s="334">
        <v>0.01767864870425153</v>
      </c>
      <c r="U73" s="334">
        <v>0.09630818619582665</v>
      </c>
      <c r="V73" s="335">
        <v>46030.042918454936</v>
      </c>
      <c r="W73" s="334">
        <v>0.00932</v>
      </c>
      <c r="X73" s="335">
        <v>62.8</v>
      </c>
      <c r="Y73" s="336">
        <v>76.82763317513356</v>
      </c>
      <c r="Z73" s="335">
        <v>140961</v>
      </c>
      <c r="AA73" s="335">
        <v>2347</v>
      </c>
      <c r="AB73" s="335">
        <v>429</v>
      </c>
      <c r="AC73" s="335">
        <v>2492</v>
      </c>
      <c r="AD73" s="335">
        <v>240</v>
      </c>
      <c r="AE73" s="335">
        <v>23</v>
      </c>
      <c r="AF73" s="335">
        <v>8</v>
      </c>
      <c r="AG73" s="335">
        <v>97</v>
      </c>
    </row>
    <row r="74">
      <c r="A74" s="341" t="s">
        <v>792</v>
      </c>
      <c r="B74" s="342" t="s">
        <v>767</v>
      </c>
      <c r="C74" s="343"/>
      <c r="D74" s="343">
        <f>SUM(D70:D73)</f>
      </c>
      <c r="E74" s="343">
        <f>SUM(E70:E73)</f>
      </c>
      <c r="F74" s="343">
        <f>SUM(F70:F73)</f>
      </c>
      <c r="G74" s="343">
        <f>SUM(G70:G73)</f>
      </c>
      <c r="H74" s="343">
        <f>SUM(H70:H73)</f>
      </c>
      <c r="I74" s="344">
        <f t="shared" si="1"/>
      </c>
      <c r="J74" s="344">
        <f t="shared" si="4"/>
      </c>
      <c r="K74" s="344">
        <f t="shared" si="2"/>
      </c>
      <c r="L74" s="343"/>
      <c r="M74" s="345">
        <f>SUM(M70:M73)</f>
      </c>
      <c r="N74" s="343"/>
      <c r="O74" s="343"/>
      <c r="P74" s="343"/>
      <c r="Q74" s="346">
        <f>AVERAGE(Q70:Q73)</f>
      </c>
      <c r="R74" s="347">
        <f>AVERAGE(R70:R73)</f>
      </c>
      <c r="S74" s="347">
        <f>AVERAGE(S70:S73)</f>
      </c>
      <c r="T74" s="347">
        <f>AVERAGE(T70:T73)</f>
      </c>
      <c r="U74" s="347">
        <f>AVERAGE(U70:U73)</f>
      </c>
      <c r="V74" s="348">
        <f>SUM(V70:V73)</f>
      </c>
      <c r="W74" s="347">
        <f>AVERAGE(W70:W73)</f>
      </c>
      <c r="X74" s="348"/>
      <c r="Y74" s="346">
        <f>AVERAGE(Y70:Y73)</f>
      </c>
      <c r="Z74" s="348">
        <f>SUM(Z70:Z73)</f>
      </c>
      <c r="AA74" s="348">
        <f>SUM(AA70:AA73)</f>
      </c>
      <c r="AB74" s="348">
        <f>SUM(AB70:AB73)</f>
      </c>
      <c r="AC74" s="348">
        <f>SUM(AC70:AC73)</f>
      </c>
      <c r="AD74" s="348">
        <f>SUM(AD70:AD73)</f>
      </c>
      <c r="AE74" s="348">
        <f>SUM(AE70:AE73)</f>
      </c>
      <c r="AF74" s="348">
        <f>SUM(AF70:AF73)</f>
      </c>
      <c r="AG74" s="348">
        <f>SUM(AG70:AG73)</f>
      </c>
    </row>
    <row r="75">
      <c r="A75" s="321" t="s">
        <v>793</v>
      </c>
      <c r="B75" s="354" t="s">
        <v>774</v>
      </c>
      <c r="C75" s="323" t="s">
        <v>769</v>
      </c>
      <c r="D75" s="324">
        <v>5</v>
      </c>
      <c r="E75" s="324">
        <v>18</v>
      </c>
      <c r="F75" s="324">
        <v>20</v>
      </c>
      <c r="G75" s="324">
        <v>52347.17</v>
      </c>
      <c r="H75" s="325">
        <v>16211.510000000002</v>
      </c>
      <c r="I75" s="326">
        <f t="shared" si="1"/>
      </c>
      <c r="J75" s="326">
        <f t="shared" si="4"/>
      </c>
      <c r="K75" s="327">
        <f t="shared" si="2"/>
      </c>
      <c r="L75" s="328" t="s">
        <v>788</v>
      </c>
      <c r="M75" s="329">
        <v>10</v>
      </c>
      <c r="N75" s="330"/>
      <c r="O75" s="331"/>
      <c r="P75" s="331"/>
      <c r="Q75" s="332">
        <v>5.248141793460667</v>
      </c>
      <c r="R75" s="333">
        <v>0.26960411130093487</v>
      </c>
      <c r="S75" s="334">
        <v>0.019362765070549667</v>
      </c>
      <c r="T75" s="334">
        <v>0.02094864385424959</v>
      </c>
      <c r="U75" s="334">
        <v>0.10742070616397367</v>
      </c>
      <c r="V75" s="335">
        <v>43010.75268817204</v>
      </c>
      <c r="W75" s="334">
        <v>0.01302</v>
      </c>
      <c r="X75" s="335">
        <v>47</v>
      </c>
      <c r="Y75" s="336">
        <v>101.6185366037121</v>
      </c>
      <c r="Z75" s="335">
        <v>159533</v>
      </c>
      <c r="AA75" s="335">
        <v>3089</v>
      </c>
      <c r="AB75" s="335">
        <v>560</v>
      </c>
      <c r="AC75" s="335">
        <v>3342</v>
      </c>
      <c r="AD75" s="335">
        <v>359</v>
      </c>
      <c r="AE75" s="335">
        <v>31</v>
      </c>
      <c r="AF75" s="337">
        <v>5</v>
      </c>
      <c r="AG75" s="335">
        <v>142</v>
      </c>
    </row>
    <row r="76">
      <c r="A76" s="321" t="s">
        <v>793</v>
      </c>
      <c r="B76" s="354" t="s">
        <v>762</v>
      </c>
      <c r="C76" s="323" t="s">
        <v>771</v>
      </c>
      <c r="D76" s="324">
        <v>5</v>
      </c>
      <c r="E76" s="339">
        <v>22</v>
      </c>
      <c r="F76" s="339">
        <v>27</v>
      </c>
      <c r="G76" s="339">
        <v>63937.15</v>
      </c>
      <c r="H76" s="340">
        <v>17773.230000000003</v>
      </c>
      <c r="I76" s="326">
        <f t="shared" si="1"/>
      </c>
      <c r="J76" s="326">
        <f t="shared" si="4"/>
      </c>
      <c r="K76" s="326">
        <f t="shared" si="2"/>
      </c>
      <c r="L76" s="328"/>
      <c r="M76" s="329"/>
      <c r="N76" s="330"/>
      <c r="O76" s="331"/>
      <c r="P76" s="331"/>
      <c r="Q76" s="325">
        <v>6.684178262504703</v>
      </c>
      <c r="R76" s="334">
        <v>0.20508795541146574</v>
      </c>
      <c r="S76" s="333">
        <v>0.014982391886181152</v>
      </c>
      <c r="T76" s="334">
        <v>0.015754331595999437</v>
      </c>
      <c r="U76" s="333">
        <v>0.14091559370529327</v>
      </c>
      <c r="V76" s="335">
        <v>36397.98488664988</v>
      </c>
      <c r="W76" s="334">
        <v>0.01588</v>
      </c>
      <c r="X76" s="335">
        <v>53.2</v>
      </c>
      <c r="Y76" s="336">
        <v>100.14497816593888</v>
      </c>
      <c r="Z76" s="335">
        <v>177475</v>
      </c>
      <c r="AA76" s="335">
        <v>2659</v>
      </c>
      <c r="AB76" s="335">
        <v>578</v>
      </c>
      <c r="AC76" s="335">
        <v>2796</v>
      </c>
      <c r="AD76" s="335">
        <v>394</v>
      </c>
      <c r="AE76" s="335">
        <v>42</v>
      </c>
      <c r="AF76" s="335">
        <v>7</v>
      </c>
      <c r="AG76" s="335">
        <v>162</v>
      </c>
    </row>
    <row r="77">
      <c r="A77" s="321" t="s">
        <v>793</v>
      </c>
      <c r="B77" s="354" t="s">
        <v>770</v>
      </c>
      <c r="C77" s="323" t="s">
        <v>773</v>
      </c>
      <c r="D77" s="321">
        <v>5</v>
      </c>
      <c r="E77" s="351">
        <v>13</v>
      </c>
      <c r="F77" s="351">
        <v>18</v>
      </c>
      <c r="G77" s="351">
        <v>42338.28000000001</v>
      </c>
      <c r="H77" s="351">
        <v>14998.309999999998</v>
      </c>
      <c r="I77" s="352">
        <f t="shared" si="1"/>
      </c>
      <c r="J77" s="326">
        <f t="shared" si="4"/>
      </c>
      <c r="K77" s="326">
        <f t="shared" si="2"/>
      </c>
      <c r="L77" s="353"/>
      <c r="M77" s="353"/>
      <c r="N77" s="330"/>
      <c r="O77" s="331"/>
      <c r="P77" s="331"/>
      <c r="Q77" s="325">
        <v>5.473835766423357</v>
      </c>
      <c r="R77" s="334">
        <v>0.2817090002678038</v>
      </c>
      <c r="S77" s="334">
        <v>0.01693344045485446</v>
      </c>
      <c r="T77" s="334">
        <v>0.01760707002039429</v>
      </c>
      <c r="U77" s="334">
        <v>0.11126711126711127</v>
      </c>
      <c r="V77" s="335">
        <v>45583.333333333336</v>
      </c>
      <c r="W77" s="334">
        <v>0.012</v>
      </c>
      <c r="X77" s="335">
        <v>54.8</v>
      </c>
      <c r="Y77" s="336">
        <v>92.69087201038253</v>
      </c>
      <c r="Z77" s="335">
        <v>161810</v>
      </c>
      <c r="AA77" s="335">
        <v>2740</v>
      </c>
      <c r="AB77" s="335">
        <v>547</v>
      </c>
      <c r="AC77" s="335">
        <v>2849</v>
      </c>
      <c r="AD77" s="335">
        <v>317</v>
      </c>
      <c r="AE77" s="335">
        <v>29</v>
      </c>
      <c r="AF77" s="335">
        <v>6</v>
      </c>
      <c r="AG77" s="335">
        <v>116</v>
      </c>
    </row>
    <row r="78">
      <c r="A78" s="321" t="s">
        <v>793</v>
      </c>
      <c r="B78" s="354" t="s">
        <v>772</v>
      </c>
      <c r="C78" s="323" t="s">
        <v>775</v>
      </c>
      <c r="D78" s="324">
        <v>5</v>
      </c>
      <c r="E78" s="328">
        <v>20</v>
      </c>
      <c r="F78" s="328">
        <v>23</v>
      </c>
      <c r="G78" s="328">
        <v>53770.729999999996</v>
      </c>
      <c r="H78" s="355">
        <v>12391</v>
      </c>
      <c r="I78" s="326">
        <f t="shared" si="1"/>
      </c>
      <c r="J78" s="326">
        <f t="shared" si="4"/>
      </c>
      <c r="K78" s="327">
        <f t="shared" si="2"/>
      </c>
      <c r="L78" s="324" t="s">
        <v>776</v>
      </c>
      <c r="M78" s="356">
        <v>10</v>
      </c>
      <c r="N78" s="330"/>
      <c r="O78" s="331"/>
      <c r="P78" s="331"/>
      <c r="Q78" s="325">
        <v>5.063751532488762</v>
      </c>
      <c r="R78" s="334">
        <v>0.2617381355499902</v>
      </c>
      <c r="S78" s="334">
        <v>0.015454574162377239</v>
      </c>
      <c r="T78" s="334">
        <v>0.016433511226197618</v>
      </c>
      <c r="U78" s="334">
        <v>0.11299000768639508</v>
      </c>
      <c r="V78" s="335">
        <v>41442.307692307695</v>
      </c>
      <c r="W78" s="334">
        <v>0.0104</v>
      </c>
      <c r="X78" s="335">
        <v>56</v>
      </c>
      <c r="Y78" s="336">
        <v>78.25812359869897</v>
      </c>
      <c r="Z78" s="335">
        <v>158335</v>
      </c>
      <c r="AA78" s="335">
        <v>2447</v>
      </c>
      <c r="AB78" s="335">
        <v>431</v>
      </c>
      <c r="AC78" s="335">
        <v>2602</v>
      </c>
      <c r="AD78" s="335">
        <v>294</v>
      </c>
      <c r="AE78" s="335">
        <v>25</v>
      </c>
      <c r="AF78" s="335">
        <v>4</v>
      </c>
      <c r="AG78" s="335">
        <v>101</v>
      </c>
    </row>
    <row r="79">
      <c r="A79" s="341" t="s">
        <v>793</v>
      </c>
      <c r="B79" s="342" t="s">
        <v>767</v>
      </c>
      <c r="C79" s="343"/>
      <c r="D79" s="343">
        <f>SUM(D75:D78)</f>
      </c>
      <c r="E79" s="343">
        <f>SUM(E75:E78)</f>
      </c>
      <c r="F79" s="343">
        <f>SUM(F75:F78)</f>
      </c>
      <c r="G79" s="343">
        <f>SUM(G75:G78)</f>
      </c>
      <c r="H79" s="343">
        <f>SUM(H75:H78)</f>
      </c>
      <c r="I79" s="344">
        <f t="shared" si="1"/>
      </c>
      <c r="J79" s="344">
        <f t="shared" si="4"/>
      </c>
      <c r="K79" s="344">
        <f t="shared" si="2"/>
      </c>
      <c r="L79" s="343"/>
      <c r="M79" s="345">
        <f>SUM(M75:M78)</f>
      </c>
      <c r="N79" s="343"/>
      <c r="O79" s="343"/>
      <c r="P79" s="343"/>
      <c r="Q79" s="346">
        <f>AVERAGE(Q75:Q78)</f>
      </c>
      <c r="R79" s="347">
        <f>AVERAGE(R75:R78)</f>
      </c>
      <c r="S79" s="347">
        <f>AVERAGE(S75:S78)</f>
      </c>
      <c r="T79" s="347">
        <f>AVERAGE(T75:T78)</f>
      </c>
      <c r="U79" s="347">
        <f>AVERAGE(U75:U78)</f>
      </c>
      <c r="V79" s="348">
        <f>SUM(V75:V78)</f>
      </c>
      <c r="W79" s="347">
        <f>AVERAGE(W75:W78)</f>
      </c>
      <c r="X79" s="348"/>
      <c r="Y79" s="346">
        <f>AVERAGE(Y75:Y78)</f>
      </c>
      <c r="Z79" s="348">
        <f>SUM(Z75:Z78)</f>
      </c>
      <c r="AA79" s="348">
        <f>SUM(AA75:AA78)</f>
      </c>
      <c r="AB79" s="348">
        <f>SUM(AB75:AB78)</f>
      </c>
      <c r="AC79" s="348">
        <f>SUM(AC75:AC78)</f>
      </c>
      <c r="AD79" s="348">
        <f>SUM(AD75:AD78)</f>
      </c>
      <c r="AE79" s="348">
        <f>SUM(AE75:AE78)</f>
      </c>
      <c r="AF79" s="348">
        <f>SUM(AF75:AF78)</f>
      </c>
      <c r="AG79" s="348">
        <f>SUM(AG75:AG78)</f>
      </c>
    </row>
    <row r="80">
      <c r="A80" s="321" t="s">
        <v>794</v>
      </c>
      <c r="B80" s="354" t="s">
        <v>774</v>
      </c>
      <c r="C80" s="323" t="s">
        <v>769</v>
      </c>
      <c r="D80" s="324">
        <v>5</v>
      </c>
      <c r="E80" s="324">
        <v>15</v>
      </c>
      <c r="F80" s="324">
        <v>18</v>
      </c>
      <c r="G80" s="324">
        <v>48374.880000000005</v>
      </c>
      <c r="H80" s="325">
        <v>15545.92</v>
      </c>
      <c r="I80" s="326">
        <f t="shared" si="1"/>
      </c>
      <c r="J80" s="326">
        <f t="shared" si="4"/>
      </c>
      <c r="K80" s="327">
        <f t="shared" si="2"/>
      </c>
      <c r="L80" s="328" t="s">
        <v>788</v>
      </c>
      <c r="M80" s="329">
        <v>10</v>
      </c>
      <c r="N80" s="330"/>
      <c r="O80" s="331"/>
      <c r="P80" s="331"/>
      <c r="Q80" s="332">
        <v>4.7410551997560235</v>
      </c>
      <c r="R80" s="333">
        <v>0.24258964990360207</v>
      </c>
      <c r="S80" s="334">
        <v>0.0197389807245452</v>
      </c>
      <c r="T80" s="334">
        <v>0.021382390830614384</v>
      </c>
      <c r="U80" s="334">
        <v>0.10332207207207207</v>
      </c>
      <c r="V80" s="335">
        <v>40298.50746268657</v>
      </c>
      <c r="W80" s="334">
        <v>0.01474</v>
      </c>
      <c r="X80" s="335">
        <v>38.8</v>
      </c>
      <c r="Y80" s="336">
        <v>93.58359720198894</v>
      </c>
      <c r="Z80" s="335">
        <v>166118</v>
      </c>
      <c r="AA80" s="335">
        <v>3279</v>
      </c>
      <c r="AB80" s="335">
        <v>594</v>
      </c>
      <c r="AC80" s="335">
        <v>3552</v>
      </c>
      <c r="AD80" s="335">
        <v>367</v>
      </c>
      <c r="AE80" s="335">
        <v>25</v>
      </c>
      <c r="AF80" s="337">
        <v>6</v>
      </c>
      <c r="AG80" s="335">
        <v>171</v>
      </c>
    </row>
    <row r="81">
      <c r="A81" s="321" t="s">
        <v>794</v>
      </c>
      <c r="B81" s="354" t="s">
        <v>765</v>
      </c>
      <c r="C81" s="323" t="s">
        <v>771</v>
      </c>
      <c r="D81" s="324">
        <v>5</v>
      </c>
      <c r="E81" s="339">
        <v>13</v>
      </c>
      <c r="F81" s="339">
        <v>16</v>
      </c>
      <c r="G81" s="339">
        <v>39147.32999999999</v>
      </c>
      <c r="H81" s="340">
        <v>15657.01</v>
      </c>
      <c r="I81" s="326">
        <f t="shared" si="1"/>
      </c>
      <c r="J81" s="326">
        <f t="shared" si="4"/>
      </c>
      <c r="K81" s="326">
        <f t="shared" si="2"/>
      </c>
      <c r="L81" s="328"/>
      <c r="M81" s="329"/>
      <c r="N81" s="330"/>
      <c r="O81" s="331"/>
      <c r="P81" s="331"/>
      <c r="Q81" s="325">
        <v>6.977277183600713</v>
      </c>
      <c r="R81" s="334">
        <v>0.21923753698099638</v>
      </c>
      <c r="S81" s="333">
        <v>0.016809744258168908</v>
      </c>
      <c r="T81" s="334">
        <v>0.01731163947443331</v>
      </c>
      <c r="U81" s="333">
        <v>0.13067935958459542</v>
      </c>
      <c r="V81" s="335">
        <v>29266.89576174113</v>
      </c>
      <c r="W81" s="334">
        <v>0.017459999999999996</v>
      </c>
      <c r="X81" s="335">
        <v>47.4</v>
      </c>
      <c r="Y81" s="336">
        <v>117.286245074685</v>
      </c>
      <c r="Z81" s="335">
        <v>133494</v>
      </c>
      <c r="AA81" s="335">
        <v>2244</v>
      </c>
      <c r="AB81" s="335">
        <v>511</v>
      </c>
      <c r="AC81" s="335">
        <v>2311</v>
      </c>
      <c r="AD81" s="335">
        <v>302</v>
      </c>
      <c r="AE81" s="335">
        <v>19</v>
      </c>
      <c r="AF81" s="335">
        <v>4</v>
      </c>
      <c r="AG81" s="335">
        <v>131</v>
      </c>
    </row>
    <row r="82">
      <c r="A82" s="321" t="s">
        <v>794</v>
      </c>
      <c r="B82" s="354" t="s">
        <v>772</v>
      </c>
      <c r="C82" s="323" t="s">
        <v>773</v>
      </c>
      <c r="D82" s="321">
        <v>5</v>
      </c>
      <c r="E82" s="351">
        <v>21</v>
      </c>
      <c r="F82" s="351">
        <v>23</v>
      </c>
      <c r="G82" s="351">
        <v>59388.19</v>
      </c>
      <c r="H82" s="351">
        <v>15710.27</v>
      </c>
      <c r="I82" s="352">
        <f t="shared" si="1"/>
      </c>
      <c r="J82" s="326">
        <f t="shared" si="4"/>
      </c>
      <c r="K82" s="326">
        <f t="shared" si="2"/>
      </c>
      <c r="L82" s="353"/>
      <c r="M82" s="353"/>
      <c r="N82" s="330"/>
      <c r="O82" s="331"/>
      <c r="P82" s="331"/>
      <c r="Q82" s="325">
        <v>7.750503206709423</v>
      </c>
      <c r="R82" s="334">
        <v>0.15565262778552968</v>
      </c>
      <c r="S82" s="334">
        <v>0.012153298238461261</v>
      </c>
      <c r="T82" s="334">
        <v>0.012734881824613577</v>
      </c>
      <c r="U82" s="334">
        <v>0.12570621468926554</v>
      </c>
      <c r="V82" s="335">
        <v>25960.679177837355</v>
      </c>
      <c r="W82" s="334">
        <v>0.02238</v>
      </c>
      <c r="X82" s="335">
        <v>54.2</v>
      </c>
      <c r="Y82" s="336">
        <v>94.19417696928998</v>
      </c>
      <c r="Z82" s="335">
        <v>166786</v>
      </c>
      <c r="AA82" s="335">
        <v>2027</v>
      </c>
      <c r="AB82" s="335">
        <v>581</v>
      </c>
      <c r="AC82" s="335">
        <v>2124</v>
      </c>
      <c r="AD82" s="335">
        <v>267</v>
      </c>
      <c r="AE82" s="335">
        <v>23</v>
      </c>
      <c r="AF82" s="335">
        <v>12</v>
      </c>
      <c r="AG82" s="335">
        <v>223</v>
      </c>
    </row>
    <row r="83">
      <c r="A83" s="321" t="s">
        <v>794</v>
      </c>
      <c r="B83" s="354" t="s">
        <v>770</v>
      </c>
      <c r="C83" s="323" t="s">
        <v>775</v>
      </c>
      <c r="D83" s="324">
        <v>5</v>
      </c>
      <c r="E83" s="328">
        <v>12</v>
      </c>
      <c r="F83" s="328">
        <v>14</v>
      </c>
      <c r="G83" s="328">
        <v>32925.52000000002</v>
      </c>
      <c r="H83" s="355">
        <v>12141.099999999999</v>
      </c>
      <c r="I83" s="326">
        <f t="shared" si="1"/>
      </c>
      <c r="J83" s="326">
        <f t="shared" si="4"/>
      </c>
      <c r="K83" s="327">
        <f t="shared" si="2"/>
      </c>
      <c r="L83" s="324" t="s">
        <v>764</v>
      </c>
      <c r="M83" s="356">
        <v>10</v>
      </c>
      <c r="N83" s="330"/>
      <c r="O83" s="331"/>
      <c r="P83" s="331"/>
      <c r="Q83" s="325">
        <v>5.376926483613817</v>
      </c>
      <c r="R83" s="334">
        <v>0.23863752231028393</v>
      </c>
      <c r="S83" s="334">
        <v>0.013762670128666946</v>
      </c>
      <c r="T83" s="334">
        <v>0.014506268780437261</v>
      </c>
      <c r="U83" s="334">
        <v>0.1357142857142857</v>
      </c>
      <c r="V83" s="335">
        <v>39152.542372881355</v>
      </c>
      <c r="W83" s="334">
        <v>0.0118</v>
      </c>
      <c r="X83" s="335">
        <v>58.6</v>
      </c>
      <c r="Y83" s="336">
        <v>74.00086550007008</v>
      </c>
      <c r="Z83" s="335">
        <v>164067</v>
      </c>
      <c r="AA83" s="335">
        <v>2258</v>
      </c>
      <c r="AB83" s="335">
        <v>462</v>
      </c>
      <c r="AC83" s="335">
        <v>2380</v>
      </c>
      <c r="AD83" s="335">
        <v>323</v>
      </c>
      <c r="AE83" s="335">
        <v>21</v>
      </c>
      <c r="AF83" s="335">
        <v>5</v>
      </c>
      <c r="AG83" s="335">
        <v>162</v>
      </c>
    </row>
    <row r="84">
      <c r="A84" s="341" t="s">
        <v>794</v>
      </c>
      <c r="B84" s="342" t="s">
        <v>767</v>
      </c>
      <c r="C84" s="343"/>
      <c r="D84" s="343">
        <f>SUM(D80:D83)</f>
      </c>
      <c r="E84" s="343">
        <f>SUM(E80:E83)</f>
      </c>
      <c r="F84" s="343">
        <f>SUM(F80:F83)</f>
      </c>
      <c r="G84" s="343">
        <f>SUM(G80:G83)</f>
      </c>
      <c r="H84" s="343">
        <f>SUM(H80:H83)</f>
      </c>
      <c r="I84" s="344">
        <f t="shared" si="1"/>
      </c>
      <c r="J84" s="344">
        <f t="shared" si="4"/>
      </c>
      <c r="K84" s="344">
        <f t="shared" si="2"/>
      </c>
      <c r="L84" s="343"/>
      <c r="M84" s="345">
        <f>SUM(M80:M83)</f>
      </c>
      <c r="N84" s="343"/>
      <c r="O84" s="343"/>
      <c r="P84" s="343"/>
      <c r="Q84" s="346">
        <f>AVERAGE(Q80:Q83)</f>
      </c>
      <c r="R84" s="347">
        <f>AVERAGE(R80:R83)</f>
      </c>
      <c r="S84" s="347">
        <f>AVERAGE(S80:S83)</f>
      </c>
      <c r="T84" s="347">
        <f>AVERAGE(T80:T83)</f>
      </c>
      <c r="U84" s="347">
        <f>AVERAGE(U80:U83)</f>
      </c>
      <c r="V84" s="348">
        <f>SUM(V80:V83)</f>
      </c>
      <c r="W84" s="347">
        <f>AVERAGE(W80:W83)</f>
      </c>
      <c r="X84" s="348"/>
      <c r="Y84" s="346">
        <f>AVERAGE(Y80:Y83)</f>
      </c>
      <c r="Z84" s="348">
        <f>SUM(Z80:Z83)</f>
      </c>
      <c r="AA84" s="348">
        <f>SUM(AA80:AA83)</f>
      </c>
      <c r="AB84" s="348">
        <f>SUM(AB80:AB83)</f>
      </c>
      <c r="AC84" s="348">
        <f>SUM(AC80:AC83)</f>
      </c>
      <c r="AD84" s="348">
        <f>SUM(AD80:AD83)</f>
      </c>
      <c r="AE84" s="348">
        <f>SUM(AE80:AE83)</f>
      </c>
      <c r="AF84" s="348">
        <f>SUM(AF80:AF83)</f>
      </c>
      <c r="AG84" s="348">
        <f>SUM(AG80:AG83)</f>
      </c>
    </row>
    <row r="85">
      <c r="A85" s="321" t="s">
        <v>795</v>
      </c>
      <c r="B85" s="354" t="s">
        <v>762</v>
      </c>
      <c r="C85" s="323" t="s">
        <v>769</v>
      </c>
      <c r="D85" s="324">
        <v>5</v>
      </c>
      <c r="E85" s="324">
        <v>13</v>
      </c>
      <c r="F85" s="324">
        <v>15</v>
      </c>
      <c r="G85" s="324">
        <v>31395.03</v>
      </c>
      <c r="H85" s="325">
        <v>12939.490000000002</v>
      </c>
      <c r="I85" s="326">
        <f t="shared" si="1"/>
      </c>
      <c r="J85" s="326">
        <f t="shared" si="4"/>
      </c>
      <c r="K85" s="327">
        <f t="shared" si="2"/>
      </c>
      <c r="L85" s="328" t="s">
        <v>788</v>
      </c>
      <c r="M85" s="329">
        <v>10</v>
      </c>
      <c r="N85" s="330"/>
      <c r="O85" s="331"/>
      <c r="P85" s="331"/>
      <c r="Q85" s="332">
        <v>5.028950641274777</v>
      </c>
      <c r="R85" s="333">
        <v>0.32073185743111066</v>
      </c>
      <c r="S85" s="334">
        <v>0.0224987320963257</v>
      </c>
      <c r="T85" s="334">
        <v>0.025532956751368463</v>
      </c>
      <c r="U85" s="334">
        <v>0.08664383561643836</v>
      </c>
      <c r="V85" s="335">
        <v>36679.53667953668</v>
      </c>
      <c r="W85" s="334">
        <v>0.01036</v>
      </c>
      <c r="X85" s="335">
        <v>35.2</v>
      </c>
      <c r="Y85" s="336">
        <v>113.14501320368656</v>
      </c>
      <c r="Z85" s="335">
        <v>114362</v>
      </c>
      <c r="AA85" s="335">
        <v>2573</v>
      </c>
      <c r="AB85" s="335">
        <v>380</v>
      </c>
      <c r="AC85" s="335">
        <v>2920</v>
      </c>
      <c r="AD85" s="335">
        <v>253</v>
      </c>
      <c r="AE85" s="335">
        <v>19</v>
      </c>
      <c r="AF85" s="337">
        <v>4</v>
      </c>
      <c r="AG85" s="335">
        <v>87</v>
      </c>
    </row>
    <row r="86">
      <c r="A86" s="321" t="s">
        <v>795</v>
      </c>
      <c r="B86" s="354" t="s">
        <v>765</v>
      </c>
      <c r="C86" s="323" t="s">
        <v>771</v>
      </c>
      <c r="D86" s="324">
        <v>5</v>
      </c>
      <c r="E86" s="339">
        <v>18</v>
      </c>
      <c r="F86" s="339">
        <v>21</v>
      </c>
      <c r="G86" s="339">
        <v>50150.140000000014</v>
      </c>
      <c r="H86" s="340">
        <v>15169.670000000002</v>
      </c>
      <c r="I86" s="326">
        <f t="shared" si="1"/>
      </c>
      <c r="J86" s="326">
        <f t="shared" si="4"/>
      </c>
      <c r="K86" s="326">
        <f t="shared" si="2"/>
      </c>
      <c r="L86" s="328"/>
      <c r="M86" s="329"/>
      <c r="N86" s="330"/>
      <c r="O86" s="331"/>
      <c r="P86" s="331"/>
      <c r="Q86" s="325">
        <v>8.339565695437054</v>
      </c>
      <c r="R86" s="334">
        <v>0.3537087665744103</v>
      </c>
      <c r="S86" s="333">
        <v>0.015289697316107558</v>
      </c>
      <c r="T86" s="334">
        <v>0.01612184686767141</v>
      </c>
      <c r="U86" s="333">
        <v>0.14233576642335766</v>
      </c>
      <c r="V86" s="335">
        <v>42080.37825059102</v>
      </c>
      <c r="W86" s="334">
        <v>0.008459999999999999</v>
      </c>
      <c r="X86" s="335">
        <v>41.2</v>
      </c>
      <c r="Y86" s="336">
        <v>127.50943523102659</v>
      </c>
      <c r="Z86" s="335">
        <v>118969</v>
      </c>
      <c r="AA86" s="335">
        <v>1819</v>
      </c>
      <c r="AB86" s="335">
        <v>356</v>
      </c>
      <c r="AC86" s="335">
        <v>1918</v>
      </c>
      <c r="AD86" s="335">
        <v>273</v>
      </c>
      <c r="AE86" s="335">
        <v>16</v>
      </c>
      <c r="AF86" s="335">
        <v>2</v>
      </c>
      <c r="AG86" s="335">
        <v>68</v>
      </c>
    </row>
    <row r="87">
      <c r="A87" s="321" t="s">
        <v>795</v>
      </c>
      <c r="B87" s="354" t="s">
        <v>774</v>
      </c>
      <c r="C87" s="323" t="s">
        <v>773</v>
      </c>
      <c r="D87" s="321">
        <v>5</v>
      </c>
      <c r="E87" s="351">
        <v>6</v>
      </c>
      <c r="F87" s="351">
        <v>8</v>
      </c>
      <c r="G87" s="351">
        <v>20965.25</v>
      </c>
      <c r="H87" s="351">
        <v>11184.85</v>
      </c>
      <c r="I87" s="352">
        <f t="shared" si="1"/>
      </c>
      <c r="J87" s="326">
        <f t="shared" si="4"/>
      </c>
      <c r="K87" s="326">
        <f t="shared" si="2"/>
      </c>
      <c r="L87" s="353"/>
      <c r="M87" s="353"/>
      <c r="N87" s="330"/>
      <c r="O87" s="331"/>
      <c r="P87" s="331"/>
      <c r="Q87" s="325">
        <v>7.994889206576126</v>
      </c>
      <c r="R87" s="334">
        <v>0.2918973766662942</v>
      </c>
      <c r="S87" s="334">
        <v>0.013724028330946261</v>
      </c>
      <c r="T87" s="334">
        <v>0.014724636543781514</v>
      </c>
      <c r="U87" s="334">
        <v>0.15856095936042638</v>
      </c>
      <c r="V87" s="335">
        <v>29755.434782608696</v>
      </c>
      <c r="W87" s="334">
        <v>0.00736</v>
      </c>
      <c r="X87" s="335">
        <v>44</v>
      </c>
      <c r="Y87" s="336">
        <v>109.72208597382723</v>
      </c>
      <c r="Z87" s="335">
        <v>101938</v>
      </c>
      <c r="AA87" s="335">
        <v>1399</v>
      </c>
      <c r="AB87" s="335">
        <v>219</v>
      </c>
      <c r="AC87" s="335">
        <v>1501</v>
      </c>
      <c r="AD87" s="335">
        <v>238</v>
      </c>
      <c r="AE87" s="335">
        <v>10</v>
      </c>
      <c r="AF87" s="335">
        <v>1</v>
      </c>
      <c r="AG87" s="335">
        <v>62</v>
      </c>
    </row>
    <row r="88">
      <c r="A88" s="321" t="s">
        <v>795</v>
      </c>
      <c r="B88" s="354" t="s">
        <v>772</v>
      </c>
      <c r="C88" s="323" t="s">
        <v>775</v>
      </c>
      <c r="D88" s="324">
        <v>5</v>
      </c>
      <c r="E88" s="328">
        <v>8</v>
      </c>
      <c r="F88" s="328">
        <v>9</v>
      </c>
      <c r="G88" s="328">
        <v>22373.160000000003</v>
      </c>
      <c r="H88" s="355">
        <v>9935.420000000002</v>
      </c>
      <c r="I88" s="326">
        <f t="shared" si="1"/>
      </c>
      <c r="J88" s="326">
        <f t="shared" si="4"/>
      </c>
      <c r="K88" s="327">
        <f t="shared" si="2"/>
      </c>
      <c r="L88" s="324" t="s">
        <v>776</v>
      </c>
      <c r="M88" s="356">
        <v>10</v>
      </c>
      <c r="N88" s="330"/>
      <c r="O88" s="331"/>
      <c r="P88" s="331"/>
      <c r="Q88" s="325">
        <v>5.174697916666668</v>
      </c>
      <c r="R88" s="334">
        <v>0.32274237100874087</v>
      </c>
      <c r="S88" s="334">
        <v>0.016887583228518906</v>
      </c>
      <c r="T88" s="334">
        <v>0.018884188120640674</v>
      </c>
      <c r="U88" s="334">
        <v>0.09222170470423847</v>
      </c>
      <c r="V88" s="335">
        <v>36693.54838709677</v>
      </c>
      <c r="W88" s="334">
        <v>0.0074399999999999996</v>
      </c>
      <c r="X88" s="335">
        <v>46.6</v>
      </c>
      <c r="Y88" s="336">
        <v>87.38814175015173</v>
      </c>
      <c r="Z88" s="335">
        <v>113693</v>
      </c>
      <c r="AA88" s="335">
        <v>1920</v>
      </c>
      <c r="AB88" s="335">
        <v>273</v>
      </c>
      <c r="AC88" s="335">
        <v>2147</v>
      </c>
      <c r="AD88" s="335">
        <v>198</v>
      </c>
      <c r="AE88" s="335">
        <v>16</v>
      </c>
      <c r="AF88" s="335">
        <v>3</v>
      </c>
      <c r="AG88" s="335">
        <v>81</v>
      </c>
    </row>
    <row r="89">
      <c r="A89" s="341" t="s">
        <v>795</v>
      </c>
      <c r="B89" s="342" t="s">
        <v>767</v>
      </c>
      <c r="C89" s="343"/>
      <c r="D89" s="343">
        <f>SUM(D85:D88)</f>
      </c>
      <c r="E89" s="343">
        <f>SUM(E85:E88)</f>
      </c>
      <c r="F89" s="343">
        <f>SUM(F85:F88)</f>
      </c>
      <c r="G89" s="343">
        <f>SUM(G85:G88)</f>
      </c>
      <c r="H89" s="343">
        <f>SUM(H85:H88)</f>
      </c>
      <c r="I89" s="344">
        <f t="shared" si="1"/>
      </c>
      <c r="J89" s="344">
        <f t="shared" si="4"/>
      </c>
      <c r="K89" s="344">
        <f t="shared" si="2"/>
      </c>
      <c r="L89" s="343"/>
      <c r="M89" s="345">
        <f>SUM(M85:M88)</f>
      </c>
      <c r="N89" s="343"/>
      <c r="O89" s="343"/>
      <c r="P89" s="343"/>
      <c r="Q89" s="346">
        <f>AVERAGE(Q85:Q88)</f>
      </c>
      <c r="R89" s="347">
        <f>AVERAGE(R85:R88)</f>
      </c>
      <c r="S89" s="347">
        <f>AVERAGE(S85:S88)</f>
      </c>
      <c r="T89" s="347">
        <f>AVERAGE(T85:T88)</f>
      </c>
      <c r="U89" s="347">
        <f>AVERAGE(U85:U88)</f>
      </c>
      <c r="V89" s="348">
        <f>SUM(V85:V88)</f>
      </c>
      <c r="W89" s="347">
        <f>AVERAGE(W85:W88)</f>
      </c>
      <c r="X89" s="348"/>
      <c r="Y89" s="346">
        <f>AVERAGE(Y85:Y88)</f>
      </c>
      <c r="Z89" s="348">
        <f>SUM(Z85:Z88)</f>
      </c>
      <c r="AA89" s="348">
        <f>SUM(AA85:AA88)</f>
      </c>
      <c r="AB89" s="348">
        <f>SUM(AB85:AB88)</f>
      </c>
      <c r="AC89" s="348">
        <f>SUM(AC85:AC88)</f>
      </c>
      <c r="AD89" s="348">
        <f>SUM(AD85:AD88)</f>
      </c>
      <c r="AE89" s="348">
        <f>SUM(AE85:AE88)</f>
      </c>
      <c r="AF89" s="348">
        <f>SUM(AF85:AF88)</f>
      </c>
      <c r="AG89" s="348">
        <f>SUM(AG85:AG88)</f>
      </c>
    </row>
    <row r="90">
      <c r="A90" s="321" t="s">
        <v>796</v>
      </c>
      <c r="B90" s="354" t="s">
        <v>762</v>
      </c>
      <c r="C90" s="323" t="s">
        <v>769</v>
      </c>
      <c r="D90" s="324">
        <v>5</v>
      </c>
      <c r="E90" s="324">
        <v>14</v>
      </c>
      <c r="F90" s="324">
        <v>18</v>
      </c>
      <c r="G90" s="324">
        <v>51012.03999999999</v>
      </c>
      <c r="H90" s="325">
        <v>14205.32</v>
      </c>
      <c r="I90" s="326">
        <f t="shared" si="1"/>
      </c>
      <c r="J90" s="326">
        <f t="shared" si="4"/>
      </c>
      <c r="K90" s="327">
        <f t="shared" si="2"/>
      </c>
      <c r="L90" s="328" t="s">
        <v>788</v>
      </c>
      <c r="M90" s="329">
        <v>10</v>
      </c>
      <c r="N90" s="330"/>
      <c r="O90" s="331"/>
      <c r="P90" s="331"/>
      <c r="Q90" s="332">
        <v>4.768486069150722</v>
      </c>
      <c r="R90" s="333">
        <v>0.32041611150414095</v>
      </c>
      <c r="S90" s="334">
        <v>0.025660461871086112</v>
      </c>
      <c r="T90" s="334">
        <v>0.027607177004642828</v>
      </c>
      <c r="U90" s="334">
        <v>0.08174726989079563</v>
      </c>
      <c r="V90" s="335">
        <v>37198.06763285024</v>
      </c>
      <c r="W90" s="334">
        <v>0.01242</v>
      </c>
      <c r="X90" s="335">
        <v>41.2</v>
      </c>
      <c r="Y90" s="336">
        <v>122.36155496024737</v>
      </c>
      <c r="Z90" s="335">
        <v>116093</v>
      </c>
      <c r="AA90" s="335">
        <v>2979</v>
      </c>
      <c r="AB90" s="335">
        <v>462</v>
      </c>
      <c r="AC90" s="335">
        <v>3205</v>
      </c>
      <c r="AD90" s="335">
        <v>262</v>
      </c>
      <c r="AE90" s="335">
        <v>23</v>
      </c>
      <c r="AF90" s="337">
        <v>5</v>
      </c>
      <c r="AG90" s="335">
        <v>106</v>
      </c>
    </row>
    <row r="91">
      <c r="A91" s="321" t="s">
        <v>796</v>
      </c>
      <c r="B91" s="354" t="s">
        <v>765</v>
      </c>
      <c r="C91" s="323" t="s">
        <v>771</v>
      </c>
      <c r="D91" s="324">
        <v>5</v>
      </c>
      <c r="E91" s="339">
        <v>18</v>
      </c>
      <c r="F91" s="339">
        <v>22</v>
      </c>
      <c r="G91" s="339">
        <v>55623.94000000002</v>
      </c>
      <c r="H91" s="340">
        <v>15350.470000000001</v>
      </c>
      <c r="I91" s="326">
        <f t="shared" si="1"/>
      </c>
      <c r="J91" s="326">
        <f t="shared" si="4"/>
      </c>
      <c r="K91" s="326">
        <f t="shared" si="2"/>
      </c>
      <c r="L91" s="328"/>
      <c r="M91" s="329"/>
      <c r="N91" s="330"/>
      <c r="O91" s="331"/>
      <c r="P91" s="331"/>
      <c r="Q91" s="325">
        <v>7.982563702548102</v>
      </c>
      <c r="R91" s="334">
        <v>0.2500965476880971</v>
      </c>
      <c r="S91" s="333">
        <v>0.016632358283312287</v>
      </c>
      <c r="T91" s="334">
        <v>0.017289695376152502</v>
      </c>
      <c r="U91" s="333">
        <v>0.13856928464232116</v>
      </c>
      <c r="V91" s="335">
        <v>28915.662650602408</v>
      </c>
      <c r="W91" s="334">
        <v>0.01494</v>
      </c>
      <c r="X91" s="335">
        <v>48.6</v>
      </c>
      <c r="Y91" s="336">
        <v>132.76885952014393</v>
      </c>
      <c r="Z91" s="335">
        <v>115618</v>
      </c>
      <c r="AA91" s="335">
        <v>1923</v>
      </c>
      <c r="AB91" s="335">
        <v>432</v>
      </c>
      <c r="AC91" s="335">
        <v>1999</v>
      </c>
      <c r="AD91" s="335">
        <v>277</v>
      </c>
      <c r="AE91" s="335">
        <v>24</v>
      </c>
      <c r="AF91" s="335">
        <v>5</v>
      </c>
      <c r="AG91" s="335">
        <v>104</v>
      </c>
    </row>
    <row r="92">
      <c r="A92" s="321" t="s">
        <v>796</v>
      </c>
      <c r="B92" s="354" t="s">
        <v>774</v>
      </c>
      <c r="C92" s="323" t="s">
        <v>773</v>
      </c>
      <c r="D92" s="321">
        <v>5</v>
      </c>
      <c r="E92" s="351">
        <v>22</v>
      </c>
      <c r="F92" s="351">
        <v>26</v>
      </c>
      <c r="G92" s="351">
        <v>67302.35</v>
      </c>
      <c r="H92" s="351">
        <v>13595.58</v>
      </c>
      <c r="I92" s="352">
        <f t="shared" si="1"/>
      </c>
      <c r="J92" s="326">
        <f t="shared" si="4"/>
      </c>
      <c r="K92" s="326">
        <f t="shared" si="2"/>
      </c>
      <c r="L92" s="353"/>
      <c r="M92" s="353"/>
      <c r="N92" s="330"/>
      <c r="O92" s="331"/>
      <c r="P92" s="331"/>
      <c r="Q92" s="325">
        <v>7.876929316338354</v>
      </c>
      <c r="R92" s="334">
        <v>0.23474670446268647</v>
      </c>
      <c r="S92" s="334">
        <v>0.015310512449770696</v>
      </c>
      <c r="T92" s="334">
        <v>0.015958060195328784</v>
      </c>
      <c r="U92" s="334">
        <v>0.15619788771539744</v>
      </c>
      <c r="V92" s="335">
        <v>26463.700234192034</v>
      </c>
      <c r="W92" s="334">
        <v>0.01708</v>
      </c>
      <c r="X92" s="335">
        <v>51.2</v>
      </c>
      <c r="Y92" s="336">
        <v>120.59982436376217</v>
      </c>
      <c r="Z92" s="335">
        <v>112733</v>
      </c>
      <c r="AA92" s="335">
        <v>1726</v>
      </c>
      <c r="AB92" s="335">
        <v>452</v>
      </c>
      <c r="AC92" s="335">
        <v>1799</v>
      </c>
      <c r="AD92" s="335">
        <v>281</v>
      </c>
      <c r="AE92" s="335">
        <v>18</v>
      </c>
      <c r="AF92" s="335">
        <v>4</v>
      </c>
      <c r="AG92" s="335">
        <v>106</v>
      </c>
    </row>
    <row r="93">
      <c r="A93" s="321" t="s">
        <v>796</v>
      </c>
      <c r="B93" s="354" t="s">
        <v>770</v>
      </c>
      <c r="C93" s="323" t="s">
        <v>775</v>
      </c>
      <c r="D93" s="324">
        <v>5</v>
      </c>
      <c r="E93" s="328">
        <v>16</v>
      </c>
      <c r="F93" s="328">
        <v>18</v>
      </c>
      <c r="G93" s="328">
        <v>43543.79000000001</v>
      </c>
      <c r="H93" s="355">
        <v>12644.16</v>
      </c>
      <c r="I93" s="326">
        <f t="shared" si="1"/>
      </c>
      <c r="J93" s="326">
        <f t="shared" si="4"/>
      </c>
      <c r="K93" s="327">
        <f t="shared" si="2"/>
      </c>
      <c r="L93" s="324" t="s">
        <v>776</v>
      </c>
      <c r="M93" s="356">
        <v>10</v>
      </c>
      <c r="N93" s="330"/>
      <c r="O93" s="331"/>
      <c r="P93" s="331"/>
      <c r="Q93" s="325">
        <v>5.736914700544465</v>
      </c>
      <c r="R93" s="334">
        <v>0.29762497387842746</v>
      </c>
      <c r="S93" s="334">
        <v>0.015616917855295509</v>
      </c>
      <c r="T93" s="334">
        <v>0.016757718116049855</v>
      </c>
      <c r="U93" s="334">
        <v>0.10486257928118393</v>
      </c>
      <c r="V93" s="335">
        <v>42003.51493848859</v>
      </c>
      <c r="W93" s="334">
        <v>0.011379999999999998</v>
      </c>
      <c r="X93" s="335">
        <v>54.6</v>
      </c>
      <c r="Y93" s="336">
        <v>89.59292562124014</v>
      </c>
      <c r="Z93" s="335">
        <v>141129</v>
      </c>
      <c r="AA93" s="335">
        <v>2204</v>
      </c>
      <c r="AB93" s="335">
        <v>478</v>
      </c>
      <c r="AC93" s="335">
        <v>2365</v>
      </c>
      <c r="AD93" s="335">
        <v>248</v>
      </c>
      <c r="AE93" s="335">
        <v>23</v>
      </c>
      <c r="AF93" s="335">
        <v>1</v>
      </c>
      <c r="AG93" s="335">
        <v>133</v>
      </c>
    </row>
    <row r="94">
      <c r="A94" s="341" t="s">
        <v>796</v>
      </c>
      <c r="B94" s="342" t="s">
        <v>767</v>
      </c>
      <c r="C94" s="343"/>
      <c r="D94" s="343">
        <f>SUM(D90:D93)</f>
      </c>
      <c r="E94" s="343">
        <f>SUM(E90:E93)</f>
      </c>
      <c r="F94" s="343">
        <f>SUM(F90:F93)</f>
      </c>
      <c r="G94" s="343">
        <f>SUM(G90:G93)</f>
      </c>
      <c r="H94" s="343">
        <f>SUM(H90:H93)</f>
      </c>
      <c r="I94" s="344">
        <f t="shared" si="1"/>
      </c>
      <c r="J94" s="344">
        <f t="shared" si="4"/>
      </c>
      <c r="K94" s="344">
        <f t="shared" si="2"/>
      </c>
      <c r="L94" s="343"/>
      <c r="M94" s="345">
        <f>SUM(M90:M93)</f>
      </c>
      <c r="N94" s="343"/>
      <c r="O94" s="343"/>
      <c r="P94" s="343"/>
      <c r="Q94" s="346">
        <f>AVERAGE(Q90:Q93)</f>
      </c>
      <c r="R94" s="347">
        <f>AVERAGE(R90:R93)</f>
      </c>
      <c r="S94" s="347">
        <f>AVERAGE(S90:S93)</f>
      </c>
      <c r="T94" s="347">
        <f>AVERAGE(T90:T93)</f>
      </c>
      <c r="U94" s="347">
        <f>AVERAGE(U90:U93)</f>
      </c>
      <c r="V94" s="348">
        <f>SUM(V90:V93)</f>
      </c>
      <c r="W94" s="347">
        <f>AVERAGE(W90:W93)</f>
      </c>
      <c r="X94" s="348"/>
      <c r="Y94" s="346">
        <f>AVERAGE(Y90:Y93)</f>
      </c>
      <c r="Z94" s="348">
        <f>SUM(Z90:Z93)</f>
      </c>
      <c r="AA94" s="348">
        <f>SUM(AA90:AA93)</f>
      </c>
      <c r="AB94" s="348">
        <f>SUM(AB90:AB93)</f>
      </c>
      <c r="AC94" s="348">
        <f>SUM(AC90:AC93)</f>
      </c>
      <c r="AD94" s="348">
        <f>SUM(AD90:AD93)</f>
      </c>
      <c r="AE94" s="348">
        <f>SUM(AE90:AE93)</f>
      </c>
      <c r="AF94" s="348">
        <f>SUM(AF90:AF93)</f>
      </c>
      <c r="AG94" s="348">
        <f>SUM(AG90:AG93)</f>
      </c>
    </row>
    <row r="95">
      <c r="A95" s="321" t="s">
        <v>797</v>
      </c>
      <c r="B95" s="354" t="s">
        <v>765</v>
      </c>
      <c r="C95" s="323" t="s">
        <v>769</v>
      </c>
      <c r="D95" s="324">
        <v>5</v>
      </c>
      <c r="E95" s="324">
        <v>22</v>
      </c>
      <c r="F95" s="324">
        <v>27</v>
      </c>
      <c r="G95" s="324">
        <v>71052.19</v>
      </c>
      <c r="H95" s="325">
        <v>17925.04</v>
      </c>
      <c r="I95" s="326">
        <f t="shared" si="1"/>
      </c>
      <c r="J95" s="326">
        <f t="shared" si="4"/>
      </c>
      <c r="K95" s="327">
        <f t="shared" si="2"/>
      </c>
      <c r="L95" s="328" t="s">
        <v>798</v>
      </c>
      <c r="M95" s="329">
        <v>10</v>
      </c>
      <c r="N95" s="359"/>
      <c r="O95" s="331"/>
      <c r="P95" s="331"/>
      <c r="Q95" s="332">
        <v>6.213185441941075</v>
      </c>
      <c r="R95" s="333">
        <v>0.285891252399521</v>
      </c>
      <c r="S95" s="334">
        <v>0.017409092554822047</v>
      </c>
      <c r="T95" s="334">
        <v>0.018272004248180644</v>
      </c>
      <c r="U95" s="334">
        <v>0.11591809775429326</v>
      </c>
      <c r="V95" s="335">
        <v>47377.32656514382</v>
      </c>
      <c r="W95" s="334">
        <v>0.01182</v>
      </c>
      <c r="X95" s="335">
        <v>43.2</v>
      </c>
      <c r="Y95" s="336">
        <v>108.16592041902508</v>
      </c>
      <c r="Z95" s="335">
        <v>165718</v>
      </c>
      <c r="AA95" s="335">
        <v>2885</v>
      </c>
      <c r="AB95" s="335">
        <v>560</v>
      </c>
      <c r="AC95" s="335">
        <v>3028</v>
      </c>
      <c r="AD95" s="335">
        <v>351</v>
      </c>
      <c r="AE95" s="335">
        <v>23</v>
      </c>
      <c r="AF95" s="337">
        <v>8</v>
      </c>
      <c r="AG95" s="335">
        <v>164</v>
      </c>
    </row>
    <row r="96">
      <c r="A96" s="321" t="s">
        <v>797</v>
      </c>
      <c r="B96" s="354" t="s">
        <v>762</v>
      </c>
      <c r="C96" s="323" t="s">
        <v>771</v>
      </c>
      <c r="D96" s="324">
        <v>5</v>
      </c>
      <c r="E96" s="339">
        <v>16</v>
      </c>
      <c r="F96" s="339">
        <v>21</v>
      </c>
      <c r="G96" s="339">
        <v>54761.880000000005</v>
      </c>
      <c r="H96" s="340">
        <v>19966.74</v>
      </c>
      <c r="I96" s="326">
        <f t="shared" si="1"/>
      </c>
      <c r="J96" s="326">
        <f t="shared" si="4"/>
      </c>
      <c r="K96" s="326">
        <f t="shared" si="2"/>
      </c>
      <c r="L96" s="328"/>
      <c r="M96" s="329"/>
      <c r="N96" s="359"/>
      <c r="O96" s="331"/>
      <c r="P96" s="331"/>
      <c r="Q96" s="325">
        <v>7.0829159276339135</v>
      </c>
      <c r="R96" s="334">
        <v>0.179679967085035</v>
      </c>
      <c r="S96" s="333">
        <v>0.011212492442803958</v>
      </c>
      <c r="T96" s="334">
        <v>0.011395456136443187</v>
      </c>
      <c r="U96" s="333">
        <v>0.14136125654450263</v>
      </c>
      <c r="V96" s="335">
        <v>45174.41860465116</v>
      </c>
      <c r="W96" s="334">
        <v>0.0172</v>
      </c>
      <c r="X96" s="335">
        <v>51.2</v>
      </c>
      <c r="Y96" s="336">
        <v>79.41714131161103</v>
      </c>
      <c r="Z96" s="335">
        <v>251416</v>
      </c>
      <c r="AA96" s="335">
        <v>2819</v>
      </c>
      <c r="AB96" s="335">
        <v>777</v>
      </c>
      <c r="AC96" s="335">
        <v>2865</v>
      </c>
      <c r="AD96" s="335">
        <v>405</v>
      </c>
      <c r="AE96" s="335">
        <v>30</v>
      </c>
      <c r="AF96" s="335">
        <v>8</v>
      </c>
      <c r="AG96" s="335">
        <v>244</v>
      </c>
    </row>
    <row r="97">
      <c r="A97" s="321" t="s">
        <v>797</v>
      </c>
      <c r="B97" s="354" t="s">
        <v>774</v>
      </c>
      <c r="C97" s="323" t="s">
        <v>773</v>
      </c>
      <c r="D97" s="321">
        <v>5</v>
      </c>
      <c r="E97" s="351">
        <v>18</v>
      </c>
      <c r="F97" s="351">
        <v>22</v>
      </c>
      <c r="G97" s="351">
        <v>52011.44</v>
      </c>
      <c r="H97" s="351">
        <v>13987.57</v>
      </c>
      <c r="I97" s="352">
        <f t="shared" si="1"/>
      </c>
      <c r="J97" s="326">
        <f t="shared" si="4"/>
      </c>
      <c r="K97" s="326">
        <f t="shared" si="2"/>
      </c>
      <c r="L97" s="353"/>
      <c r="M97" s="353"/>
      <c r="N97" s="359"/>
      <c r="O97" s="331"/>
      <c r="P97" s="331"/>
      <c r="Q97" s="325">
        <v>9.419239057239057</v>
      </c>
      <c r="R97" s="334">
        <v>0.2440370167827488</v>
      </c>
      <c r="S97" s="334">
        <v>0.010805658235585179</v>
      </c>
      <c r="T97" s="334">
        <v>0.011009401286491836</v>
      </c>
      <c r="U97" s="334">
        <v>0.2002643754130866</v>
      </c>
      <c r="V97" s="335">
        <v>33537.5191424196</v>
      </c>
      <c r="W97" s="334">
        <v>0.013059999999999999</v>
      </c>
      <c r="X97" s="335">
        <v>54.4</v>
      </c>
      <c r="Y97" s="336">
        <v>101.7810780918008</v>
      </c>
      <c r="Z97" s="335">
        <v>137428</v>
      </c>
      <c r="AA97" s="335">
        <v>1485</v>
      </c>
      <c r="AB97" s="335">
        <v>438</v>
      </c>
      <c r="AC97" s="335">
        <v>1513</v>
      </c>
      <c r="AD97" s="335">
        <v>303</v>
      </c>
      <c r="AE97" s="335">
        <v>22</v>
      </c>
      <c r="AF97" s="335">
        <v>5</v>
      </c>
      <c r="AG97" s="335">
        <v>106</v>
      </c>
    </row>
    <row r="98">
      <c r="A98" s="321" t="s">
        <v>797</v>
      </c>
      <c r="B98" s="354" t="s">
        <v>772</v>
      </c>
      <c r="C98" s="323" t="s">
        <v>775</v>
      </c>
      <c r="D98" s="324">
        <v>5</v>
      </c>
      <c r="E98" s="328">
        <v>18</v>
      </c>
      <c r="F98" s="328">
        <v>21</v>
      </c>
      <c r="G98" s="328">
        <v>53622.67999999999</v>
      </c>
      <c r="H98" s="355">
        <v>15324.689999999999</v>
      </c>
      <c r="I98" s="326">
        <f t="shared" si="1"/>
      </c>
      <c r="J98" s="326">
        <f t="shared" si="4"/>
      </c>
      <c r="K98" s="327">
        <f t="shared" si="2"/>
      </c>
      <c r="L98" s="324" t="s">
        <v>776</v>
      </c>
      <c r="M98" s="356">
        <v>10</v>
      </c>
      <c r="N98" s="359"/>
      <c r="O98" s="331"/>
      <c r="P98" s="331"/>
      <c r="Q98" s="325">
        <v>4.849585443037975</v>
      </c>
      <c r="R98" s="334">
        <v>0.23040296030714738</v>
      </c>
      <c r="S98" s="334">
        <v>0.013274020305890557</v>
      </c>
      <c r="T98" s="334">
        <v>0.01395872451787162</v>
      </c>
      <c r="U98" s="334">
        <v>0.09479386096900391</v>
      </c>
      <c r="V98" s="335">
        <v>54849.4983277592</v>
      </c>
      <c r="W98" s="334">
        <v>0.01196</v>
      </c>
      <c r="X98" s="335">
        <v>56.6</v>
      </c>
      <c r="Y98" s="336">
        <v>64.37349564603733</v>
      </c>
      <c r="Z98" s="335">
        <v>238059</v>
      </c>
      <c r="AA98" s="335">
        <v>3160</v>
      </c>
      <c r="AB98" s="335">
        <v>656</v>
      </c>
      <c r="AC98" s="335">
        <v>3323</v>
      </c>
      <c r="AD98" s="335">
        <v>315</v>
      </c>
      <c r="AE98" s="335">
        <v>40</v>
      </c>
      <c r="AF98" s="335">
        <v>5</v>
      </c>
      <c r="AG98" s="335">
        <v>144</v>
      </c>
    </row>
    <row r="99">
      <c r="A99" s="341" t="s">
        <v>797</v>
      </c>
      <c r="B99" s="342" t="s">
        <v>767</v>
      </c>
      <c r="C99" s="343"/>
      <c r="D99" s="343">
        <f>SUM(D95:D98)</f>
      </c>
      <c r="E99" s="343">
        <f>SUM(E95:E98)</f>
      </c>
      <c r="F99" s="343">
        <f>SUM(F95:F98)</f>
      </c>
      <c r="G99" s="343">
        <f>SUM(G95:G98)</f>
      </c>
      <c r="H99" s="343">
        <f>SUM(H95:H98)</f>
      </c>
      <c r="I99" s="344">
        <f t="shared" si="1"/>
      </c>
      <c r="J99" s="344">
        <f t="shared" si="4"/>
      </c>
      <c r="K99" s="344">
        <f t="shared" si="2"/>
      </c>
      <c r="L99" s="343"/>
      <c r="M99" s="345">
        <f>SUM(M95:M98)</f>
      </c>
      <c r="N99" s="343"/>
      <c r="O99" s="343"/>
      <c r="P99" s="343"/>
      <c r="Q99" s="346">
        <f>AVERAGE(Q95:Q98)</f>
      </c>
      <c r="R99" s="347">
        <f>AVERAGE(R95:R98)</f>
      </c>
      <c r="S99" s="347">
        <f>AVERAGE(S95:S98)</f>
      </c>
      <c r="T99" s="347">
        <f>AVERAGE(T95:T98)</f>
      </c>
      <c r="U99" s="347">
        <f>AVERAGE(U95:U98)</f>
      </c>
      <c r="V99" s="348">
        <f>SUM(V95:V98)</f>
      </c>
      <c r="W99" s="347">
        <f>AVERAGE(W95:W98)</f>
      </c>
      <c r="X99" s="348"/>
      <c r="Y99" s="346">
        <f>AVERAGE(Y95:Y98)</f>
      </c>
      <c r="Z99" s="348">
        <f>SUM(Z95:Z98)</f>
      </c>
      <c r="AA99" s="348">
        <f>SUM(AA95:AA98)</f>
      </c>
      <c r="AB99" s="348">
        <f>SUM(AB95:AB98)</f>
      </c>
      <c r="AC99" s="348">
        <f>SUM(AC95:AC98)</f>
      </c>
      <c r="AD99" s="348">
        <f>SUM(AD95:AD98)</f>
      </c>
      <c r="AE99" s="348">
        <f>SUM(AE95:AE98)</f>
      </c>
      <c r="AF99" s="348">
        <f>SUM(AF95:AF98)</f>
      </c>
      <c r="AG99" s="348">
        <f>SUM(AG95:AG98)</f>
      </c>
    </row>
    <row r="100">
      <c r="A100" s="321" t="s">
        <v>799</v>
      </c>
      <c r="B100" s="354" t="s">
        <v>765</v>
      </c>
      <c r="C100" s="323" t="s">
        <v>769</v>
      </c>
      <c r="D100" s="324">
        <v>5</v>
      </c>
      <c r="E100" s="324">
        <v>15</v>
      </c>
      <c r="F100" s="324">
        <v>23</v>
      </c>
      <c r="G100" s="324">
        <v>53544.08</v>
      </c>
      <c r="H100" s="325">
        <v>15099.739999999998</v>
      </c>
      <c r="I100" s="326">
        <f t="shared" si="1"/>
      </c>
      <c r="J100" s="326">
        <f t="shared" si="4"/>
      </c>
      <c r="K100" s="327">
        <f t="shared" si="2"/>
      </c>
      <c r="L100" s="328" t="s">
        <v>800</v>
      </c>
      <c r="M100" s="329">
        <v>10</v>
      </c>
      <c r="N100" s="359"/>
      <c r="O100" s="331"/>
      <c r="P100" s="331"/>
      <c r="Q100" s="332">
        <v>5.772071865443424</v>
      </c>
      <c r="R100" s="333">
        <v>0.27932914217011895</v>
      </c>
      <c r="S100" s="334">
        <v>0.016528612316848948</v>
      </c>
      <c r="T100" s="334">
        <v>0.017015119636572713</v>
      </c>
      <c r="U100" s="334">
        <v>0.11956925362049758</v>
      </c>
      <c r="V100" s="335">
        <v>44209.702660406896</v>
      </c>
      <c r="W100" s="334">
        <v>0.012779999999999996</v>
      </c>
      <c r="X100" s="335">
        <v>44.6</v>
      </c>
      <c r="Y100" s="336">
        <v>95.40433812890548</v>
      </c>
      <c r="Z100" s="335">
        <v>158271</v>
      </c>
      <c r="AA100" s="335">
        <v>2616</v>
      </c>
      <c r="AB100" s="335">
        <v>565</v>
      </c>
      <c r="AC100" s="335">
        <v>2693</v>
      </c>
      <c r="AD100" s="335">
        <v>322</v>
      </c>
      <c r="AE100" s="335">
        <v>18</v>
      </c>
      <c r="AF100" s="337">
        <v>5</v>
      </c>
      <c r="AG100" s="335">
        <v>175</v>
      </c>
    </row>
    <row r="101">
      <c r="A101" s="321" t="s">
        <v>799</v>
      </c>
      <c r="B101" s="354" t="s">
        <v>770</v>
      </c>
      <c r="C101" s="323" t="s">
        <v>771</v>
      </c>
      <c r="D101" s="324">
        <v>5</v>
      </c>
      <c r="E101" s="339">
        <v>12</v>
      </c>
      <c r="F101" s="339">
        <v>14</v>
      </c>
      <c r="G101" s="339">
        <v>33447.81</v>
      </c>
      <c r="H101" s="340">
        <v>12837.46</v>
      </c>
      <c r="I101" s="326">
        <f t="shared" si="1"/>
      </c>
      <c r="J101" s="326">
        <f t="shared" si="4"/>
      </c>
      <c r="K101" s="326">
        <f t="shared" si="2"/>
      </c>
      <c r="L101" s="328"/>
      <c r="M101" s="329"/>
      <c r="N101" s="359"/>
      <c r="O101" s="331"/>
      <c r="P101" s="331"/>
      <c r="Q101" s="325">
        <v>5.835209090909091</v>
      </c>
      <c r="R101" s="334">
        <v>0.23244159149317972</v>
      </c>
      <c r="S101" s="333">
        <v>0.019262424263650053</v>
      </c>
      <c r="T101" s="334">
        <v>0.01972647357545617</v>
      </c>
      <c r="U101" s="333">
        <v>0.13670661340434975</v>
      </c>
      <c r="V101" s="335">
        <v>26547.619047619042</v>
      </c>
      <c r="W101" s="334">
        <v>0.016800000000000002</v>
      </c>
      <c r="X101" s="335">
        <v>47.8</v>
      </c>
      <c r="Y101" s="336">
        <v>112.40027317619864</v>
      </c>
      <c r="Z101" s="335">
        <v>114212</v>
      </c>
      <c r="AA101" s="335">
        <v>2200</v>
      </c>
      <c r="AB101" s="335">
        <v>446</v>
      </c>
      <c r="AC101" s="335">
        <v>2253</v>
      </c>
      <c r="AD101" s="335">
        <v>308</v>
      </c>
      <c r="AE101" s="335">
        <v>21</v>
      </c>
      <c r="AF101" s="335">
        <v>5</v>
      </c>
      <c r="AG101" s="335">
        <v>93</v>
      </c>
    </row>
    <row r="102">
      <c r="A102" s="321" t="s">
        <v>799</v>
      </c>
      <c r="B102" s="357" t="s">
        <v>762</v>
      </c>
      <c r="C102" s="323" t="s">
        <v>773</v>
      </c>
      <c r="D102" s="321">
        <v>5</v>
      </c>
      <c r="E102" s="351">
        <v>19</v>
      </c>
      <c r="F102" s="351">
        <v>23</v>
      </c>
      <c r="G102" s="351">
        <v>54939.340000000026</v>
      </c>
      <c r="H102" s="351">
        <v>15839.999999999998</v>
      </c>
      <c r="I102" s="352">
        <f t="shared" si="1"/>
      </c>
      <c r="J102" s="326">
        <f t="shared" si="4"/>
      </c>
      <c r="K102" s="326">
        <f t="shared" si="2"/>
      </c>
      <c r="L102" s="353"/>
      <c r="M102" s="353"/>
      <c r="N102" s="359"/>
      <c r="O102" s="331"/>
      <c r="P102" s="331"/>
      <c r="Q102" s="325">
        <v>8.684210526315788</v>
      </c>
      <c r="R102" s="334">
        <v>0.17347893855921034</v>
      </c>
      <c r="S102" s="334">
        <v>0.012070197728897007</v>
      </c>
      <c r="T102" s="334">
        <v>0.012487096005717463</v>
      </c>
      <c r="U102" s="334">
        <v>0.1685214626391097</v>
      </c>
      <c r="V102" s="335">
        <v>26215.44327931363</v>
      </c>
      <c r="W102" s="334">
        <v>0.020980000000000002</v>
      </c>
      <c r="X102" s="335">
        <v>55</v>
      </c>
      <c r="Y102" s="336">
        <v>104.82013817200031</v>
      </c>
      <c r="Z102" s="335">
        <v>151116</v>
      </c>
      <c r="AA102" s="335">
        <v>1824</v>
      </c>
      <c r="AB102" s="335">
        <v>550</v>
      </c>
      <c r="AC102" s="335">
        <v>1887</v>
      </c>
      <c r="AD102" s="335">
        <v>318</v>
      </c>
      <c r="AE102" s="335">
        <v>15</v>
      </c>
      <c r="AF102" s="335">
        <v>6</v>
      </c>
      <c r="AG102" s="335">
        <v>131</v>
      </c>
    </row>
    <row r="103">
      <c r="A103" s="321" t="s">
        <v>799</v>
      </c>
      <c r="B103" s="354" t="s">
        <v>772</v>
      </c>
      <c r="C103" s="323" t="s">
        <v>775</v>
      </c>
      <c r="D103" s="324">
        <v>5</v>
      </c>
      <c r="E103" s="328">
        <v>12</v>
      </c>
      <c r="F103" s="328">
        <v>14</v>
      </c>
      <c r="G103" s="328">
        <v>28522.380000000005</v>
      </c>
      <c r="H103" s="355">
        <v>12780.519999999999</v>
      </c>
      <c r="I103" s="326">
        <f t="shared" si="1"/>
      </c>
      <c r="J103" s="326">
        <f t="shared" si="4"/>
      </c>
      <c r="K103" s="327">
        <f t="shared" si="2"/>
      </c>
      <c r="L103" s="324" t="s">
        <v>776</v>
      </c>
      <c r="M103" s="356">
        <v>10</v>
      </c>
      <c r="N103" s="359"/>
      <c r="O103" s="331"/>
      <c r="P103" s="331"/>
      <c r="Q103" s="325">
        <v>5.1742995951417</v>
      </c>
      <c r="R103" s="334">
        <v>0.27874794867582037</v>
      </c>
      <c r="S103" s="334">
        <v>0.015996269695811825</v>
      </c>
      <c r="T103" s="334">
        <v>0.016799321291876872</v>
      </c>
      <c r="U103" s="334">
        <v>0.07286044718581342</v>
      </c>
      <c r="V103" s="335">
        <v>43041.7495029821</v>
      </c>
      <c r="W103" s="334">
        <v>0.010060000000000001</v>
      </c>
      <c r="X103" s="335">
        <v>56.4</v>
      </c>
      <c r="Y103" s="336">
        <v>82.76949181081658</v>
      </c>
      <c r="Z103" s="335">
        <v>154411</v>
      </c>
      <c r="AA103" s="335">
        <v>2470</v>
      </c>
      <c r="AB103" s="335">
        <v>433</v>
      </c>
      <c r="AC103" s="335">
        <v>2594</v>
      </c>
      <c r="AD103" s="335">
        <v>189</v>
      </c>
      <c r="AE103" s="335">
        <v>17</v>
      </c>
      <c r="AF103" s="335">
        <v>3</v>
      </c>
      <c r="AG103" s="335">
        <v>138</v>
      </c>
    </row>
    <row r="104">
      <c r="A104" s="341" t="s">
        <v>799</v>
      </c>
      <c r="B104" s="342" t="s">
        <v>767</v>
      </c>
      <c r="C104" s="343"/>
      <c r="D104" s="343">
        <f>SUM(D100:D103)</f>
      </c>
      <c r="E104" s="343">
        <f>SUM(E100:E103)</f>
      </c>
      <c r="F104" s="343">
        <f>SUM(F100:F103)</f>
      </c>
      <c r="G104" s="343">
        <f>SUM(G100:G103)</f>
      </c>
      <c r="H104" s="343">
        <f>SUM(H100:H103)</f>
      </c>
      <c r="I104" s="344">
        <f t="shared" si="1"/>
      </c>
      <c r="J104" s="344">
        <f t="shared" si="4"/>
      </c>
      <c r="K104" s="344">
        <f t="shared" si="2"/>
      </c>
      <c r="L104" s="343"/>
      <c r="M104" s="345">
        <f>SUM(M100:M103)</f>
      </c>
      <c r="N104" s="343"/>
      <c r="O104" s="343"/>
      <c r="P104" s="343"/>
      <c r="Q104" s="346">
        <f>AVERAGE(Q100:Q103)</f>
      </c>
      <c r="R104" s="347">
        <f>AVERAGE(R100:R103)</f>
      </c>
      <c r="S104" s="347">
        <f>AVERAGE(S100:S103)</f>
      </c>
      <c r="T104" s="347">
        <f>AVERAGE(T100:T103)</f>
      </c>
      <c r="U104" s="347">
        <f>AVERAGE(U100:U103)</f>
      </c>
      <c r="V104" s="348">
        <f>SUM(V100:V103)</f>
      </c>
      <c r="W104" s="347">
        <f>AVERAGE(W100:W103)</f>
      </c>
      <c r="X104" s="348"/>
      <c r="Y104" s="346">
        <f>AVERAGE(Y100:Y103)</f>
      </c>
      <c r="Z104" s="348">
        <f>SUM(Z100:Z103)</f>
      </c>
      <c r="AA104" s="348">
        <f>SUM(AA100:AA103)</f>
      </c>
      <c r="AB104" s="348">
        <f>SUM(AB100:AB103)</f>
      </c>
      <c r="AC104" s="348">
        <f>SUM(AC100:AC103)</f>
      </c>
      <c r="AD104" s="348">
        <f>SUM(AD100:AD103)</f>
      </c>
      <c r="AE104" s="348">
        <f>SUM(AE100:AE103)</f>
      </c>
      <c r="AF104" s="348">
        <f>SUM(AF100:AF103)</f>
      </c>
      <c r="AG104" s="348">
        <f>SUM(AG100:AG103)</f>
      </c>
    </row>
    <row r="105">
      <c r="A105" s="321" t="s">
        <v>801</v>
      </c>
      <c r="B105" s="354" t="s">
        <v>770</v>
      </c>
      <c r="C105" s="323" t="s">
        <v>769</v>
      </c>
      <c r="D105" s="324">
        <v>5</v>
      </c>
      <c r="E105" s="339">
        <v>10</v>
      </c>
      <c r="F105" s="339">
        <v>15</v>
      </c>
      <c r="G105" s="339">
        <v>35463.3</v>
      </c>
      <c r="H105" s="340">
        <v>14321.95</v>
      </c>
      <c r="I105" s="326">
        <f t="shared" si="1"/>
      </c>
      <c r="J105" s="326">
        <f t="shared" si="4"/>
      </c>
      <c r="K105" s="327">
        <f t="shared" si="2"/>
      </c>
      <c r="L105" s="328" t="s">
        <v>800</v>
      </c>
      <c r="M105" s="329">
        <v>10</v>
      </c>
      <c r="N105" s="359"/>
      <c r="O105" s="331"/>
      <c r="P105" s="331"/>
      <c r="Q105" s="332">
        <v>5.376107357357357</v>
      </c>
      <c r="R105" s="333">
        <v>0.2510967599203865</v>
      </c>
      <c r="S105" s="334">
        <v>0.02066878733804019</v>
      </c>
      <c r="T105" s="334">
        <v>0.02212739545348747</v>
      </c>
      <c r="U105" s="334">
        <v>0.08906030855539972</v>
      </c>
      <c r="V105" s="335">
        <v>32363.86138613862</v>
      </c>
      <c r="W105" s="334">
        <v>0.016159999999999997</v>
      </c>
      <c r="X105" s="335">
        <v>40.8</v>
      </c>
      <c r="Y105" s="336">
        <v>111.11761967569247</v>
      </c>
      <c r="Z105" s="335">
        <v>128890</v>
      </c>
      <c r="AA105" s="335">
        <v>2664</v>
      </c>
      <c r="AB105" s="335">
        <v>523</v>
      </c>
      <c r="AC105" s="335">
        <v>2852</v>
      </c>
      <c r="AD105" s="335">
        <v>254</v>
      </c>
      <c r="AE105" s="335">
        <v>33</v>
      </c>
      <c r="AF105" s="337">
        <v>6</v>
      </c>
      <c r="AG105" s="335">
        <v>139</v>
      </c>
    </row>
    <row r="106">
      <c r="A106" s="321" t="s">
        <v>801</v>
      </c>
      <c r="B106" s="354" t="s">
        <v>765</v>
      </c>
      <c r="C106" s="323" t="s">
        <v>771</v>
      </c>
      <c r="D106" s="321">
        <v>5</v>
      </c>
      <c r="E106" s="338">
        <v>12</v>
      </c>
      <c r="F106" s="338">
        <v>14</v>
      </c>
      <c r="G106" s="338">
        <v>33796.40999999999</v>
      </c>
      <c r="H106" s="360">
        <v>14022.81</v>
      </c>
      <c r="I106" s="352">
        <f t="shared" si="1"/>
      </c>
      <c r="J106" s="326">
        <f t="shared" si="4"/>
      </c>
      <c r="K106" s="326">
        <f t="shared" si="2"/>
      </c>
      <c r="L106" s="328"/>
      <c r="M106" s="329"/>
      <c r="N106" s="359"/>
      <c r="O106" s="331"/>
      <c r="P106" s="331"/>
      <c r="Q106" s="325">
        <v>7.700609555189456</v>
      </c>
      <c r="R106" s="334">
        <v>0.23133603229451008</v>
      </c>
      <c r="S106" s="333">
        <v>0.01549088496252754</v>
      </c>
      <c r="T106" s="334">
        <v>0.01591622502190501</v>
      </c>
      <c r="U106" s="333">
        <v>0.11117049706039552</v>
      </c>
      <c r="V106" s="335">
        <v>27194.244604316544</v>
      </c>
      <c r="W106" s="334">
        <v>0.013900000000000001</v>
      </c>
      <c r="X106" s="335">
        <v>47.4</v>
      </c>
      <c r="Y106" s="336">
        <v>119.28925676078025</v>
      </c>
      <c r="Z106" s="335">
        <v>117553</v>
      </c>
      <c r="AA106" s="335">
        <v>1821</v>
      </c>
      <c r="AB106" s="335">
        <v>378</v>
      </c>
      <c r="AC106" s="335">
        <v>1871</v>
      </c>
      <c r="AD106" s="335">
        <v>208</v>
      </c>
      <c r="AE106" s="335">
        <v>18</v>
      </c>
      <c r="AF106" s="335">
        <v>3</v>
      </c>
      <c r="AG106" s="335">
        <v>80</v>
      </c>
    </row>
    <row r="107">
      <c r="A107" s="321" t="s">
        <v>801</v>
      </c>
      <c r="B107" s="361" t="s">
        <v>774</v>
      </c>
      <c r="C107" s="323" t="s">
        <v>773</v>
      </c>
      <c r="D107" s="321">
        <v>5</v>
      </c>
      <c r="E107" s="362">
        <v>12</v>
      </c>
      <c r="F107" s="362">
        <v>17</v>
      </c>
      <c r="G107" s="362">
        <v>45900.88000000002</v>
      </c>
      <c r="H107" s="362">
        <v>11460.449999999999</v>
      </c>
      <c r="I107" s="352">
        <f t="shared" si="1"/>
      </c>
      <c r="J107" s="326">
        <f t="shared" si="4"/>
      </c>
      <c r="K107" s="326">
        <f t="shared" si="2"/>
      </c>
      <c r="L107" s="353"/>
      <c r="M107" s="353"/>
      <c r="N107" s="359"/>
      <c r="O107" s="331"/>
      <c r="P107" s="331"/>
      <c r="Q107" s="325">
        <v>8.244928057553956</v>
      </c>
      <c r="R107" s="334">
        <v>0.238812985616392</v>
      </c>
      <c r="S107" s="334">
        <v>0.013778200705761072</v>
      </c>
      <c r="T107" s="334">
        <v>0.013877324451845684</v>
      </c>
      <c r="U107" s="334">
        <v>0.15642857142857142</v>
      </c>
      <c r="V107" s="335">
        <v>24092.40924092409</v>
      </c>
      <c r="W107" s="334">
        <v>0.01212</v>
      </c>
      <c r="X107" s="335">
        <v>40.4</v>
      </c>
      <c r="Y107" s="336">
        <v>113.60027358153918</v>
      </c>
      <c r="Z107" s="335">
        <v>100884</v>
      </c>
      <c r="AA107" s="335">
        <v>1390</v>
      </c>
      <c r="AB107" s="335">
        <v>292</v>
      </c>
      <c r="AC107" s="335">
        <v>1400</v>
      </c>
      <c r="AD107" s="335">
        <v>219</v>
      </c>
      <c r="AE107" s="335">
        <v>16</v>
      </c>
      <c r="AF107" s="335">
        <v>5</v>
      </c>
      <c r="AG107" s="335">
        <v>75</v>
      </c>
    </row>
    <row r="108">
      <c r="A108" s="321" t="s">
        <v>801</v>
      </c>
      <c r="B108" s="354" t="s">
        <v>762</v>
      </c>
      <c r="C108" s="323" t="s">
        <v>775</v>
      </c>
      <c r="D108" s="324">
        <v>5</v>
      </c>
      <c r="E108" s="328">
        <v>9</v>
      </c>
      <c r="F108" s="328">
        <v>11</v>
      </c>
      <c r="G108" s="328">
        <v>22680.67999999999</v>
      </c>
      <c r="H108" s="355">
        <v>13539.519999999997</v>
      </c>
      <c r="I108" s="326">
        <f t="shared" si="1"/>
      </c>
      <c r="J108" s="326">
        <f t="shared" si="4"/>
      </c>
      <c r="K108" s="327">
        <f t="shared" si="2"/>
      </c>
      <c r="L108" s="324" t="s">
        <v>776</v>
      </c>
      <c r="M108" s="356">
        <v>10</v>
      </c>
      <c r="N108" s="359"/>
      <c r="O108" s="331"/>
      <c r="P108" s="331"/>
      <c r="Q108" s="325">
        <v>4.88086517664023</v>
      </c>
      <c r="R108" s="334">
        <v>0.22197359467602348</v>
      </c>
      <c r="S108" s="334">
        <v>0.015761184531993953</v>
      </c>
      <c r="T108" s="334">
        <v>0.016710037385938795</v>
      </c>
      <c r="U108" s="334">
        <v>0.10438626317579054</v>
      </c>
      <c r="V108" s="335">
        <v>39067.796610169484</v>
      </c>
      <c r="W108" s="334">
        <v>0.011800000000000001</v>
      </c>
      <c r="X108" s="335">
        <v>50.6</v>
      </c>
      <c r="Y108" s="336">
        <v>76.92821672480993</v>
      </c>
      <c r="Z108" s="335">
        <v>176002</v>
      </c>
      <c r="AA108" s="335">
        <v>2774</v>
      </c>
      <c r="AB108" s="335">
        <v>461</v>
      </c>
      <c r="AC108" s="335">
        <v>2941</v>
      </c>
      <c r="AD108" s="335">
        <v>307</v>
      </c>
      <c r="AE108" s="335">
        <v>15</v>
      </c>
      <c r="AF108" s="335">
        <v>4</v>
      </c>
      <c r="AG108" s="335">
        <v>130</v>
      </c>
    </row>
    <row r="109">
      <c r="A109" s="341" t="s">
        <v>801</v>
      </c>
      <c r="B109" s="342" t="s">
        <v>767</v>
      </c>
      <c r="C109" s="343"/>
      <c r="D109" s="343">
        <f>SUM(D105:D108)</f>
      </c>
      <c r="E109" s="343">
        <f>SUM(E105:E108)</f>
      </c>
      <c r="F109" s="343">
        <f>SUM(F105:F108)</f>
      </c>
      <c r="G109" s="343">
        <f>SUM(G105:G108)</f>
      </c>
      <c r="H109" s="343">
        <f>SUM(H105:H108)</f>
      </c>
      <c r="I109" s="344">
        <f t="shared" si="1"/>
      </c>
      <c r="J109" s="344">
        <f t="shared" si="4"/>
      </c>
      <c r="K109" s="344">
        <f t="shared" si="2"/>
      </c>
      <c r="L109" s="343"/>
      <c r="M109" s="345">
        <f>SUM(M105:M108)</f>
      </c>
      <c r="N109" s="343"/>
      <c r="O109" s="343"/>
      <c r="P109" s="343"/>
      <c r="Q109" s="346">
        <f>AVERAGE(Q105:Q108)</f>
      </c>
      <c r="R109" s="347">
        <f>AVERAGE(R105:R108)</f>
      </c>
      <c r="S109" s="347">
        <f>AVERAGE(S105:S108)</f>
      </c>
      <c r="T109" s="347">
        <f>AVERAGE(T105:T108)</f>
      </c>
      <c r="U109" s="347">
        <f>AVERAGE(U105:U108)</f>
      </c>
      <c r="V109" s="348">
        <f>SUM(V105:V108)</f>
      </c>
      <c r="W109" s="347">
        <f>AVERAGE(W105:W108)</f>
      </c>
      <c r="X109" s="348"/>
      <c r="Y109" s="346">
        <f>AVERAGE(Y105:Y108)</f>
      </c>
      <c r="Z109" s="348">
        <f>SUM(Z105:Z108)</f>
      </c>
      <c r="AA109" s="348">
        <f>SUM(AA105:AA108)</f>
      </c>
      <c r="AB109" s="348">
        <f>SUM(AB105:AB108)</f>
      </c>
      <c r="AC109" s="348">
        <f>SUM(AC105:AC108)</f>
      </c>
      <c r="AD109" s="348">
        <f>SUM(AD105:AD108)</f>
      </c>
      <c r="AE109" s="348">
        <f>SUM(AE105:AE108)</f>
      </c>
      <c r="AF109" s="348">
        <f>SUM(AF105:AF108)</f>
      </c>
      <c r="AG109" s="348">
        <f>SUM(AG105:AG108)</f>
      </c>
    </row>
    <row r="110">
      <c r="A110" s="321" t="s">
        <v>802</v>
      </c>
      <c r="B110" s="354" t="s">
        <v>770</v>
      </c>
      <c r="C110" s="323" t="s">
        <v>769</v>
      </c>
      <c r="D110" s="324">
        <v>5</v>
      </c>
      <c r="E110" s="339">
        <v>21</v>
      </c>
      <c r="F110" s="339">
        <v>27</v>
      </c>
      <c r="G110" s="339">
        <v>68799.95</v>
      </c>
      <c r="H110" s="340">
        <v>15514.56</v>
      </c>
      <c r="I110" s="326">
        <f t="shared" si="1"/>
      </c>
      <c r="J110" s="326">
        <f t="shared" si="4"/>
      </c>
      <c r="K110" s="327">
        <f t="shared" si="2"/>
      </c>
      <c r="L110" s="328" t="s">
        <v>803</v>
      </c>
      <c r="M110" s="329">
        <v>10</v>
      </c>
      <c r="N110" s="359"/>
      <c r="O110" s="331"/>
      <c r="P110" s="331"/>
      <c r="Q110" s="332">
        <v>4.928386277001271</v>
      </c>
      <c r="R110" s="333">
        <v>0.2356801985763841</v>
      </c>
      <c r="S110" s="334">
        <v>0.02029017267272106</v>
      </c>
      <c r="T110" s="334">
        <v>0.021263430637645103</v>
      </c>
      <c r="U110" s="334">
        <v>0.10942709912094574</v>
      </c>
      <c r="V110" s="335">
        <v>36565.547128927414</v>
      </c>
      <c r="W110" s="334">
        <v>0.018459999999999997</v>
      </c>
      <c r="X110" s="335">
        <v>44.2</v>
      </c>
      <c r="Y110" s="336">
        <v>99.99780855822468</v>
      </c>
      <c r="Z110" s="335">
        <v>155149</v>
      </c>
      <c r="AA110" s="335">
        <v>3148</v>
      </c>
      <c r="AB110" s="335">
        <v>675</v>
      </c>
      <c r="AC110" s="335">
        <v>3299</v>
      </c>
      <c r="AD110" s="335">
        <v>361</v>
      </c>
      <c r="AE110" s="335">
        <v>41</v>
      </c>
      <c r="AF110" s="337">
        <v>14</v>
      </c>
      <c r="AG110" s="335">
        <v>197</v>
      </c>
    </row>
    <row r="111">
      <c r="A111" s="321" t="s">
        <v>802</v>
      </c>
      <c r="B111" s="361" t="s">
        <v>774</v>
      </c>
      <c r="C111" s="323" t="s">
        <v>771</v>
      </c>
      <c r="D111" s="321">
        <v>5</v>
      </c>
      <c r="E111" s="338">
        <v>11</v>
      </c>
      <c r="F111" s="338">
        <v>17</v>
      </c>
      <c r="G111" s="338">
        <v>49007.11</v>
      </c>
      <c r="H111" s="360">
        <v>15283.46</v>
      </c>
      <c r="I111" s="352">
        <f t="shared" si="1"/>
      </c>
      <c r="J111" s="326">
        <f t="shared" si="4"/>
      </c>
      <c r="K111" s="326">
        <f t="shared" si="2"/>
      </c>
      <c r="L111" s="328"/>
      <c r="M111" s="329"/>
      <c r="N111" s="359"/>
      <c r="O111" s="331"/>
      <c r="P111" s="331"/>
      <c r="Q111" s="325">
        <v>6.829070598748882</v>
      </c>
      <c r="R111" s="334">
        <v>0.18280070792620823</v>
      </c>
      <c r="S111" s="333">
        <v>0.015227908305946234</v>
      </c>
      <c r="T111" s="334">
        <v>0.015636163220314764</v>
      </c>
      <c r="U111" s="333">
        <v>0.11357702349869452</v>
      </c>
      <c r="V111" s="335">
        <v>26865.671641791047</v>
      </c>
      <c r="W111" s="334">
        <v>0.01876</v>
      </c>
      <c r="X111" s="335">
        <v>49.8</v>
      </c>
      <c r="Y111" s="336">
        <v>103.99246089258132</v>
      </c>
      <c r="Z111" s="335">
        <v>146967</v>
      </c>
      <c r="AA111" s="335">
        <v>2238</v>
      </c>
      <c r="AB111" s="335">
        <v>504</v>
      </c>
      <c r="AC111" s="335">
        <v>2298</v>
      </c>
      <c r="AD111" s="335">
        <v>261</v>
      </c>
      <c r="AE111" s="335">
        <v>26</v>
      </c>
      <c r="AF111" s="335">
        <v>7</v>
      </c>
      <c r="AG111" s="335">
        <v>141</v>
      </c>
    </row>
    <row r="112">
      <c r="A112" s="321" t="s">
        <v>802</v>
      </c>
      <c r="B112" s="354" t="s">
        <v>772</v>
      </c>
      <c r="C112" s="323" t="s">
        <v>773</v>
      </c>
      <c r="D112" s="321">
        <v>5</v>
      </c>
      <c r="E112" s="362">
        <v>13</v>
      </c>
      <c r="F112" s="362">
        <v>15</v>
      </c>
      <c r="G112" s="362">
        <v>38485.94</v>
      </c>
      <c r="H112" s="362">
        <v>12890.880000000001</v>
      </c>
      <c r="I112" s="352">
        <f t="shared" si="1"/>
      </c>
      <c r="J112" s="326">
        <f t="shared" si="4"/>
      </c>
      <c r="K112" s="326">
        <f t="shared" si="2"/>
      </c>
      <c r="L112" s="353"/>
      <c r="M112" s="353"/>
      <c r="N112" s="359"/>
      <c r="O112" s="331"/>
      <c r="P112" s="331"/>
      <c r="Q112" s="325">
        <v>4.730598165137615</v>
      </c>
      <c r="R112" s="334">
        <v>0.26841205127940454</v>
      </c>
      <c r="S112" s="334">
        <v>0.02192506054535068</v>
      </c>
      <c r="T112" s="334">
        <v>0.023027347992951797</v>
      </c>
      <c r="U112" s="334">
        <v>0.09993011879804332</v>
      </c>
      <c r="V112" s="335">
        <v>33360.12861736335</v>
      </c>
      <c r="W112" s="334">
        <v>0.012439999999999998</v>
      </c>
      <c r="X112" s="335">
        <v>50.4</v>
      </c>
      <c r="Y112" s="336">
        <v>103.71865118636704</v>
      </c>
      <c r="Z112" s="335">
        <v>124287</v>
      </c>
      <c r="AA112" s="335">
        <v>2725</v>
      </c>
      <c r="AB112" s="335">
        <v>415</v>
      </c>
      <c r="AC112" s="335">
        <v>2862</v>
      </c>
      <c r="AD112" s="335">
        <v>286</v>
      </c>
      <c r="AE112" s="335">
        <v>27</v>
      </c>
      <c r="AF112" s="335">
        <v>4</v>
      </c>
      <c r="AG112" s="335">
        <v>86</v>
      </c>
    </row>
    <row r="113">
      <c r="A113" s="321" t="s">
        <v>802</v>
      </c>
      <c r="B113" s="354" t="s">
        <v>765</v>
      </c>
      <c r="C113" s="323" t="s">
        <v>775</v>
      </c>
      <c r="D113" s="324">
        <v>5</v>
      </c>
      <c r="E113" s="328">
        <v>16</v>
      </c>
      <c r="F113" s="328">
        <v>19</v>
      </c>
      <c r="G113" s="328">
        <v>43729.10999999997</v>
      </c>
      <c r="H113" s="355">
        <v>9727.71</v>
      </c>
      <c r="I113" s="326">
        <f t="shared" si="1"/>
      </c>
      <c r="J113" s="326">
        <f t="shared" si="4"/>
      </c>
      <c r="K113" s="327">
        <f t="shared" si="2"/>
      </c>
      <c r="L113" s="324" t="s">
        <v>776</v>
      </c>
      <c r="M113" s="356">
        <v>10</v>
      </c>
      <c r="N113" s="359"/>
      <c r="O113" s="331"/>
      <c r="P113" s="331"/>
      <c r="Q113" s="325">
        <v>3.2425699999999997</v>
      </c>
      <c r="R113" s="334">
        <v>0.2833947972078969</v>
      </c>
      <c r="S113" s="334">
        <v>0.025480303725220404</v>
      </c>
      <c r="T113" s="334">
        <v>0.0273063921588612</v>
      </c>
      <c r="U113" s="334">
        <v>0.07433903576982892</v>
      </c>
      <c r="V113" s="335">
        <v>33366.33663366336</v>
      </c>
      <c r="W113" s="334">
        <v>0.010100000000000001</v>
      </c>
      <c r="X113" s="335">
        <v>49.4</v>
      </c>
      <c r="Y113" s="336">
        <v>82.62166845028791</v>
      </c>
      <c r="Z113" s="335">
        <v>117738</v>
      </c>
      <c r="AA113" s="335">
        <v>3000</v>
      </c>
      <c r="AB113" s="335">
        <v>337</v>
      </c>
      <c r="AC113" s="335">
        <v>3215</v>
      </c>
      <c r="AD113" s="335">
        <v>239</v>
      </c>
      <c r="AE113" s="335">
        <v>13</v>
      </c>
      <c r="AF113" s="335">
        <v>2</v>
      </c>
      <c r="AG113" s="335">
        <v>55</v>
      </c>
    </row>
    <row r="114">
      <c r="A114" s="341" t="s">
        <v>802</v>
      </c>
      <c r="B114" s="342" t="s">
        <v>767</v>
      </c>
      <c r="C114" s="343"/>
      <c r="D114" s="343">
        <f>SUM(D110:D113)</f>
      </c>
      <c r="E114" s="343">
        <f>SUM(E110:E113)</f>
      </c>
      <c r="F114" s="343">
        <f>SUM(F110:F113)</f>
      </c>
      <c r="G114" s="343">
        <f>SUM(G110:G113)</f>
      </c>
      <c r="H114" s="343">
        <f>SUM(H110:H113)</f>
      </c>
      <c r="I114" s="344">
        <f t="shared" si="1"/>
      </c>
      <c r="J114" s="344">
        <f t="shared" si="4"/>
      </c>
      <c r="K114" s="344">
        <f t="shared" si="2"/>
      </c>
      <c r="L114" s="343"/>
      <c r="M114" s="345">
        <f>SUM(M110:M113)</f>
      </c>
      <c r="N114" s="343"/>
      <c r="O114" s="343"/>
      <c r="P114" s="343"/>
      <c r="Q114" s="346">
        <f>AVERAGE(Q110:Q113)</f>
      </c>
      <c r="R114" s="347">
        <f>AVERAGE(R110:R113)</f>
      </c>
      <c r="S114" s="347">
        <f>AVERAGE(S110:S113)</f>
      </c>
      <c r="T114" s="347">
        <f>AVERAGE(T110:T113)</f>
      </c>
      <c r="U114" s="347">
        <f>AVERAGE(U110:U113)</f>
      </c>
      <c r="V114" s="348">
        <f>SUM(V110:V113)</f>
      </c>
      <c r="W114" s="347">
        <f>AVERAGE(W110:W113)</f>
      </c>
      <c r="X114" s="348"/>
      <c r="Y114" s="346">
        <f>AVERAGE(Y110:Y113)</f>
      </c>
      <c r="Z114" s="348">
        <f>SUM(Z110:Z113)</f>
      </c>
      <c r="AA114" s="348">
        <f>SUM(AA110:AA113)</f>
      </c>
      <c r="AB114" s="348">
        <f>SUM(AB110:AB113)</f>
      </c>
      <c r="AC114" s="348">
        <f>SUM(AC110:AC113)</f>
      </c>
      <c r="AD114" s="348">
        <f>SUM(AD110:AD113)</f>
      </c>
      <c r="AE114" s="348">
        <f>SUM(AE110:AE113)</f>
      </c>
      <c r="AF114" s="348">
        <f>SUM(AF110:AF113)</f>
      </c>
      <c r="AG114" s="348">
        <f>SUM(AG110:AG113)</f>
      </c>
    </row>
    <row r="115">
      <c r="A115" s="321" t="s">
        <v>804</v>
      </c>
      <c r="B115" s="354" t="s">
        <v>770</v>
      </c>
      <c r="C115" s="323" t="s">
        <v>769</v>
      </c>
      <c r="D115" s="324">
        <v>5</v>
      </c>
      <c r="E115" s="339">
        <v>5</v>
      </c>
      <c r="F115" s="339">
        <v>8</v>
      </c>
      <c r="G115" s="339">
        <v>19985.54</v>
      </c>
      <c r="H115" s="340">
        <v>12733.38</v>
      </c>
      <c r="I115" s="326">
        <f t="shared" si="1"/>
      </c>
      <c r="J115" s="326">
        <f t="shared" si="4"/>
      </c>
      <c r="K115" s="327">
        <f t="shared" si="2"/>
      </c>
      <c r="L115" s="328" t="s">
        <v>803</v>
      </c>
      <c r="M115" s="329">
        <v>10</v>
      </c>
      <c r="N115" s="359"/>
      <c r="O115" s="331"/>
      <c r="P115" s="331"/>
      <c r="Q115" s="332">
        <v>4.805049056603774</v>
      </c>
      <c r="R115" s="333">
        <v>0.2802028118893129</v>
      </c>
      <c r="S115" s="334">
        <v>0.021196947639539908</v>
      </c>
      <c r="T115" s="334">
        <v>0.02229278983826329</v>
      </c>
      <c r="U115" s="334">
        <v>0.07822030857552924</v>
      </c>
      <c r="V115" s="335">
        <v>35030.39513677812</v>
      </c>
      <c r="W115" s="334">
        <v>0.01316</v>
      </c>
      <c r="X115" s="335">
        <v>44.4</v>
      </c>
      <c r="Y115" s="336">
        <v>101.85237325825081</v>
      </c>
      <c r="Z115" s="335">
        <v>125018</v>
      </c>
      <c r="AA115" s="335">
        <v>2650</v>
      </c>
      <c r="AB115" s="335">
        <v>461</v>
      </c>
      <c r="AC115" s="335">
        <v>2787</v>
      </c>
      <c r="AD115" s="335">
        <v>218</v>
      </c>
      <c r="AE115" s="335">
        <v>16</v>
      </c>
      <c r="AF115" s="337">
        <v>4</v>
      </c>
      <c r="AG115" s="335">
        <v>105</v>
      </c>
    </row>
    <row r="116">
      <c r="A116" s="321" t="s">
        <v>804</v>
      </c>
      <c r="B116" s="354" t="s">
        <v>765</v>
      </c>
      <c r="C116" s="323" t="s">
        <v>771</v>
      </c>
      <c r="D116" s="321">
        <v>5</v>
      </c>
      <c r="E116" s="338">
        <v>15</v>
      </c>
      <c r="F116" s="338">
        <v>17</v>
      </c>
      <c r="G116" s="338">
        <v>40159.28</v>
      </c>
      <c r="H116" s="360">
        <v>14010.310000000001</v>
      </c>
      <c r="I116" s="352">
        <f t="shared" si="1"/>
      </c>
      <c r="J116" s="326">
        <f t="shared" si="4"/>
      </c>
      <c r="K116" s="326">
        <f t="shared" si="2"/>
      </c>
      <c r="L116" s="328"/>
      <c r="M116" s="329"/>
      <c r="N116" s="359"/>
      <c r="O116" s="331"/>
      <c r="P116" s="331"/>
      <c r="Q116" s="325">
        <v>6.89823239783358</v>
      </c>
      <c r="R116" s="334">
        <v>0.19644821297275264</v>
      </c>
      <c r="S116" s="333">
        <v>0.01772143062814662</v>
      </c>
      <c r="T116" s="334">
        <v>0.018515448445557428</v>
      </c>
      <c r="U116" s="333">
        <v>0.13053722902921772</v>
      </c>
      <c r="V116" s="335">
        <v>22514.34034416826</v>
      </c>
      <c r="W116" s="334">
        <v>0.02092</v>
      </c>
      <c r="X116" s="335">
        <v>56</v>
      </c>
      <c r="Y116" s="336">
        <v>122.24654689504133</v>
      </c>
      <c r="Z116" s="335">
        <v>114607</v>
      </c>
      <c r="AA116" s="335">
        <v>2031</v>
      </c>
      <c r="AB116" s="335">
        <v>471</v>
      </c>
      <c r="AC116" s="335">
        <v>2122</v>
      </c>
      <c r="AD116" s="335">
        <v>277</v>
      </c>
      <c r="AE116" s="335">
        <v>16</v>
      </c>
      <c r="AF116" s="335">
        <v>5</v>
      </c>
      <c r="AG116" s="335">
        <v>98</v>
      </c>
    </row>
    <row r="117">
      <c r="A117" s="321" t="s">
        <v>804</v>
      </c>
      <c r="B117" s="354" t="s">
        <v>762</v>
      </c>
      <c r="C117" s="323" t="s">
        <v>773</v>
      </c>
      <c r="D117" s="321">
        <v>5</v>
      </c>
      <c r="E117" s="362">
        <v>21</v>
      </c>
      <c r="F117" s="362">
        <v>23</v>
      </c>
      <c r="G117" s="362">
        <v>57140.57</v>
      </c>
      <c r="H117" s="362">
        <v>13591.95</v>
      </c>
      <c r="I117" s="352">
        <f t="shared" si="1"/>
      </c>
      <c r="J117" s="326">
        <f t="shared" si="4"/>
      </c>
      <c r="K117" s="326">
        <f t="shared" si="2"/>
      </c>
      <c r="L117" s="353"/>
      <c r="M117" s="353"/>
      <c r="N117" s="359"/>
      <c r="O117" s="331"/>
      <c r="P117" s="331"/>
      <c r="Q117" s="325">
        <v>6.920544806517312</v>
      </c>
      <c r="R117" s="334">
        <v>0.19044351828298894</v>
      </c>
      <c r="S117" s="334">
        <v>0.016746391084507883</v>
      </c>
      <c r="T117" s="334">
        <v>0.0174455784923132</v>
      </c>
      <c r="U117" s="334">
        <v>0.1324535679374389</v>
      </c>
      <c r="V117" s="335">
        <v>22335.02538071066</v>
      </c>
      <c r="W117" s="334">
        <v>0.0197</v>
      </c>
      <c r="X117" s="335">
        <v>56</v>
      </c>
      <c r="Y117" s="336">
        <v>115.89414984779884</v>
      </c>
      <c r="Z117" s="335">
        <v>117279</v>
      </c>
      <c r="AA117" s="335">
        <v>1964</v>
      </c>
      <c r="AB117" s="335">
        <v>440</v>
      </c>
      <c r="AC117" s="335">
        <v>2046</v>
      </c>
      <c r="AD117" s="335">
        <v>271</v>
      </c>
      <c r="AE117" s="335">
        <v>17</v>
      </c>
      <c r="AF117" s="335">
        <v>3</v>
      </c>
      <c r="AG117" s="335">
        <v>107</v>
      </c>
    </row>
    <row r="118">
      <c r="A118" s="321" t="s">
        <v>804</v>
      </c>
      <c r="B118" s="361" t="s">
        <v>774</v>
      </c>
      <c r="C118" s="323" t="s">
        <v>775</v>
      </c>
      <c r="D118" s="324">
        <v>5</v>
      </c>
      <c r="E118" s="328">
        <v>13</v>
      </c>
      <c r="F118" s="328">
        <v>19</v>
      </c>
      <c r="G118" s="328">
        <v>45899.279999999984</v>
      </c>
      <c r="H118" s="355">
        <v>14699.910000000002</v>
      </c>
      <c r="I118" s="326">
        <f t="shared" si="1"/>
      </c>
      <c r="J118" s="326">
        <f t="shared" si="4"/>
      </c>
      <c r="K118" s="327">
        <f t="shared" si="2"/>
      </c>
      <c r="L118" s="324" t="s">
        <v>776</v>
      </c>
      <c r="M118" s="356">
        <v>10</v>
      </c>
      <c r="N118" s="359"/>
      <c r="O118" s="331"/>
      <c r="P118" s="331"/>
      <c r="Q118" s="325">
        <v>4.6269782813975455</v>
      </c>
      <c r="R118" s="334">
        <v>0.2392346421411621</v>
      </c>
      <c r="S118" s="334">
        <v>0.018522189314614863</v>
      </c>
      <c r="T118" s="334">
        <v>0.01951330426062825</v>
      </c>
      <c r="U118" s="334">
        <v>0.07439498057962354</v>
      </c>
      <c r="V118" s="335">
        <v>41034.48275862069</v>
      </c>
      <c r="W118" s="334">
        <v>0.011600000000000001</v>
      </c>
      <c r="X118" s="335">
        <v>56.4</v>
      </c>
      <c r="Y118" s="336">
        <v>85.70176768265667</v>
      </c>
      <c r="Z118" s="335">
        <v>171524</v>
      </c>
      <c r="AA118" s="335">
        <v>3177</v>
      </c>
      <c r="AB118" s="335">
        <v>476</v>
      </c>
      <c r="AC118" s="335">
        <v>3347</v>
      </c>
      <c r="AD118" s="335">
        <v>249</v>
      </c>
      <c r="AE118" s="335">
        <v>18</v>
      </c>
      <c r="AF118" s="335">
        <v>2</v>
      </c>
      <c r="AG118" s="335">
        <v>135</v>
      </c>
    </row>
    <row r="119">
      <c r="A119" s="341" t="s">
        <v>804</v>
      </c>
      <c r="B119" s="342" t="s">
        <v>767</v>
      </c>
      <c r="C119" s="343"/>
      <c r="D119" s="343">
        <f>SUM(D115:D118)</f>
      </c>
      <c r="E119" s="343">
        <f>SUM(E115:E118)</f>
      </c>
      <c r="F119" s="343">
        <f>SUM(F115:F118)</f>
      </c>
      <c r="G119" s="343">
        <f>SUM(G115:G118)</f>
      </c>
      <c r="H119" s="343">
        <f>SUM(H115:H118)</f>
      </c>
      <c r="I119" s="344">
        <f t="shared" si="1"/>
      </c>
      <c r="J119" s="344">
        <f t="shared" si="4"/>
      </c>
      <c r="K119" s="344">
        <f t="shared" si="2"/>
      </c>
      <c r="L119" s="343"/>
      <c r="M119" s="345">
        <f>SUM(M115:M118)</f>
      </c>
      <c r="N119" s="343"/>
      <c r="O119" s="343"/>
      <c r="P119" s="343"/>
      <c r="Q119" s="346">
        <f>AVERAGE(Q115:Q118)</f>
      </c>
      <c r="R119" s="347">
        <f>AVERAGE(R115:R118)</f>
      </c>
      <c r="S119" s="347">
        <f>AVERAGE(S115:S118)</f>
      </c>
      <c r="T119" s="347">
        <f>AVERAGE(T115:T118)</f>
      </c>
      <c r="U119" s="347">
        <f>AVERAGE(U115:U118)</f>
      </c>
      <c r="V119" s="348">
        <f>SUM(V115:V118)</f>
      </c>
      <c r="W119" s="347">
        <f>AVERAGE(W115:W118)</f>
      </c>
      <c r="X119" s="348"/>
      <c r="Y119" s="346">
        <f>AVERAGE(Y115:Y118)</f>
      </c>
      <c r="Z119" s="348">
        <f>SUM(Z115:Z118)</f>
      </c>
      <c r="AA119" s="348">
        <f>SUM(AA115:AA118)</f>
      </c>
      <c r="AB119" s="348">
        <f>SUM(AB115:AB118)</f>
      </c>
      <c r="AC119" s="348">
        <f>SUM(AC115:AC118)</f>
      </c>
      <c r="AD119" s="348">
        <f>SUM(AD115:AD118)</f>
      </c>
      <c r="AE119" s="348">
        <f>SUM(AE115:AE118)</f>
      </c>
      <c r="AF119" s="348">
        <f>SUM(AF115:AF118)</f>
      </c>
      <c r="AG119" s="348">
        <f>SUM(AG115:AG118)</f>
      </c>
    </row>
    <row r="120">
      <c r="A120" s="321" t="s">
        <v>805</v>
      </c>
      <c r="B120" s="354" t="s">
        <v>765</v>
      </c>
      <c r="C120" s="323" t="s">
        <v>769</v>
      </c>
      <c r="D120" s="324">
        <v>5</v>
      </c>
      <c r="E120" s="339">
        <v>15</v>
      </c>
      <c r="F120" s="339">
        <v>21</v>
      </c>
      <c r="G120" s="339">
        <v>52355.19</v>
      </c>
      <c r="H120" s="340">
        <v>13628.36</v>
      </c>
      <c r="I120" s="326">
        <f t="shared" si="1"/>
      </c>
      <c r="J120" s="326">
        <f t="shared" si="4"/>
      </c>
      <c r="K120" s="327">
        <f t="shared" si="2"/>
      </c>
      <c r="L120" s="328" t="s">
        <v>800</v>
      </c>
      <c r="M120" s="329">
        <v>10</v>
      </c>
      <c r="N120" s="359"/>
      <c r="O120" s="331"/>
      <c r="P120" s="331"/>
      <c r="Q120" s="332">
        <v>5.08331219694144</v>
      </c>
      <c r="R120" s="333">
        <v>0.24395558347708526</v>
      </c>
      <c r="S120" s="334">
        <v>0.02031106767578051</v>
      </c>
      <c r="T120" s="334">
        <v>0.02140200156064153</v>
      </c>
      <c r="U120" s="334">
        <v>0.1079646017699115</v>
      </c>
      <c r="V120" s="335">
        <v>32201.405152224823</v>
      </c>
      <c r="W120" s="334">
        <v>0.01708</v>
      </c>
      <c r="X120" s="335">
        <v>47.2</v>
      </c>
      <c r="Y120" s="336">
        <v>103.2474980491981</v>
      </c>
      <c r="Z120" s="335">
        <v>131997</v>
      </c>
      <c r="AA120" s="335">
        <v>2681</v>
      </c>
      <c r="AB120" s="335">
        <v>550</v>
      </c>
      <c r="AC120" s="335">
        <v>2825</v>
      </c>
      <c r="AD120" s="335">
        <v>305</v>
      </c>
      <c r="AE120" s="335">
        <v>26</v>
      </c>
      <c r="AF120" s="337">
        <v>5</v>
      </c>
      <c r="AG120" s="335">
        <v>126</v>
      </c>
    </row>
    <row r="121">
      <c r="A121" s="321" t="s">
        <v>805</v>
      </c>
      <c r="B121" s="354" t="s">
        <v>772</v>
      </c>
      <c r="C121" s="323" t="s">
        <v>771</v>
      </c>
      <c r="D121" s="321">
        <v>5</v>
      </c>
      <c r="E121" s="338">
        <v>14</v>
      </c>
      <c r="F121" s="338">
        <v>22</v>
      </c>
      <c r="G121" s="338">
        <v>51176.540000000015</v>
      </c>
      <c r="H121" s="360">
        <v>14817.17</v>
      </c>
      <c r="I121" s="352">
        <f t="shared" si="1"/>
      </c>
      <c r="J121" s="326">
        <f t="shared" si="4"/>
      </c>
      <c r="K121" s="326">
        <f t="shared" si="2"/>
      </c>
      <c r="L121" s="328"/>
      <c r="M121" s="329"/>
      <c r="N121" s="359"/>
      <c r="O121" s="331"/>
      <c r="P121" s="331"/>
      <c r="Q121" s="325">
        <v>5.865863024544735</v>
      </c>
      <c r="R121" s="334">
        <v>0.2249367650560708</v>
      </c>
      <c r="S121" s="333">
        <v>0.01929746825772739</v>
      </c>
      <c r="T121" s="334">
        <v>0.01969472413635044</v>
      </c>
      <c r="U121" s="333">
        <v>0.126066718386346</v>
      </c>
      <c r="V121" s="335">
        <v>29443.772672309555</v>
      </c>
      <c r="W121" s="334">
        <v>0.01654</v>
      </c>
      <c r="X121" s="335">
        <v>53.8</v>
      </c>
      <c r="Y121" s="336">
        <v>113.1963055203288</v>
      </c>
      <c r="Z121" s="335">
        <v>130898</v>
      </c>
      <c r="AA121" s="335">
        <v>2526</v>
      </c>
      <c r="AB121" s="335">
        <v>487</v>
      </c>
      <c r="AC121" s="335">
        <v>2578</v>
      </c>
      <c r="AD121" s="335">
        <v>325</v>
      </c>
      <c r="AE121" s="335">
        <v>20</v>
      </c>
      <c r="AF121" s="335">
        <v>9</v>
      </c>
      <c r="AG121" s="335">
        <v>94</v>
      </c>
    </row>
    <row r="122">
      <c r="A122" s="321" t="s">
        <v>805</v>
      </c>
      <c r="B122" s="354" t="s">
        <v>762</v>
      </c>
      <c r="C122" s="323" t="s">
        <v>773</v>
      </c>
      <c r="D122" s="321">
        <v>5</v>
      </c>
      <c r="E122" s="362">
        <v>19</v>
      </c>
      <c r="F122" s="362">
        <v>23</v>
      </c>
      <c r="G122" s="362">
        <v>59739.40999999999</v>
      </c>
      <c r="H122" s="362">
        <v>13360.189999999999</v>
      </c>
      <c r="I122" s="352">
        <f t="shared" si="1"/>
      </c>
      <c r="J122" s="326">
        <f t="shared" si="4"/>
      </c>
      <c r="K122" s="326">
        <f t="shared" si="2"/>
      </c>
      <c r="L122" s="353"/>
      <c r="M122" s="353"/>
      <c r="N122" s="359"/>
      <c r="O122" s="331"/>
      <c r="P122" s="331"/>
      <c r="Q122" s="325">
        <v>6.072813636363636</v>
      </c>
      <c r="R122" s="334">
        <v>0.26231196714121463</v>
      </c>
      <c r="S122" s="334">
        <v>0.017127286882055275</v>
      </c>
      <c r="T122" s="334">
        <v>0.017695601401323473</v>
      </c>
      <c r="U122" s="334">
        <v>0.1350637923449186</v>
      </c>
      <c r="V122" s="335">
        <v>33693.97217928902</v>
      </c>
      <c r="W122" s="334">
        <v>0.012940000000000002</v>
      </c>
      <c r="X122" s="335">
        <v>56</v>
      </c>
      <c r="Y122" s="336">
        <v>104.01082133125729</v>
      </c>
      <c r="Z122" s="335">
        <v>128450</v>
      </c>
      <c r="AA122" s="335">
        <v>2200</v>
      </c>
      <c r="AB122" s="335">
        <v>436</v>
      </c>
      <c r="AC122" s="335">
        <v>2273</v>
      </c>
      <c r="AD122" s="335">
        <v>307</v>
      </c>
      <c r="AE122" s="335">
        <v>25</v>
      </c>
      <c r="AF122" s="335">
        <v>7</v>
      </c>
      <c r="AG122" s="335">
        <v>100</v>
      </c>
    </row>
    <row r="123">
      <c r="A123" s="321" t="s">
        <v>805</v>
      </c>
      <c r="B123" s="361" t="s">
        <v>774</v>
      </c>
      <c r="C123" s="323" t="s">
        <v>775</v>
      </c>
      <c r="D123" s="324">
        <v>5</v>
      </c>
      <c r="E123" s="328">
        <v>16</v>
      </c>
      <c r="F123" s="328">
        <v>21</v>
      </c>
      <c r="G123" s="328">
        <v>52933.87999999999</v>
      </c>
      <c r="H123" s="355">
        <v>13062.05</v>
      </c>
      <c r="I123" s="326">
        <f t="shared" si="1"/>
      </c>
      <c r="J123" s="326">
        <f t="shared" si="4"/>
      </c>
      <c r="K123" s="327">
        <f t="shared" si="2"/>
      </c>
      <c r="L123" s="324" t="s">
        <v>776</v>
      </c>
      <c r="M123" s="356">
        <v>10</v>
      </c>
      <c r="N123" s="359"/>
      <c r="O123" s="331"/>
      <c r="P123" s="331"/>
      <c r="Q123" s="325">
        <v>3.7373533619456363</v>
      </c>
      <c r="R123" s="334">
        <v>0.23614947101482753</v>
      </c>
      <c r="S123" s="334">
        <v>0.02157473996110991</v>
      </c>
      <c r="T123" s="334">
        <v>0.022864903237754253</v>
      </c>
      <c r="U123" s="334">
        <v>0.07775377969762419</v>
      </c>
      <c r="V123" s="335">
        <v>38255.03355704698</v>
      </c>
      <c r="W123" s="334">
        <v>0.01192</v>
      </c>
      <c r="X123" s="335">
        <v>57</v>
      </c>
      <c r="Y123" s="336">
        <v>80.63242692675699</v>
      </c>
      <c r="Z123" s="335">
        <v>161995</v>
      </c>
      <c r="AA123" s="335">
        <v>3495</v>
      </c>
      <c r="AB123" s="335">
        <v>456</v>
      </c>
      <c r="AC123" s="335">
        <v>3704</v>
      </c>
      <c r="AD123" s="335">
        <v>288</v>
      </c>
      <c r="AE123" s="335">
        <v>27</v>
      </c>
      <c r="AF123" s="335">
        <v>5</v>
      </c>
      <c r="AG123" s="335">
        <v>112</v>
      </c>
    </row>
    <row r="124">
      <c r="A124" s="341" t="s">
        <v>805</v>
      </c>
      <c r="B124" s="342" t="s">
        <v>767</v>
      </c>
      <c r="C124" s="343"/>
      <c r="D124" s="343">
        <f>SUM(D120:D123)</f>
      </c>
      <c r="E124" s="343">
        <f>SUM(E120:E123)</f>
      </c>
      <c r="F124" s="343">
        <f>SUM(F120:F123)</f>
      </c>
      <c r="G124" s="343">
        <f>SUM(G120:G123)</f>
      </c>
      <c r="H124" s="343">
        <f>SUM(H120:H123)</f>
      </c>
      <c r="I124" s="344">
        <f t="shared" si="1"/>
      </c>
      <c r="J124" s="344">
        <f t="shared" si="4"/>
      </c>
      <c r="K124" s="344">
        <f t="shared" si="2"/>
      </c>
      <c r="L124" s="343"/>
      <c r="M124" s="345">
        <f>SUM(M120:M123)</f>
      </c>
      <c r="N124" s="343"/>
      <c r="O124" s="343"/>
      <c r="P124" s="343"/>
      <c r="Q124" s="346">
        <f>AVERAGE(Q120:Q123)</f>
      </c>
      <c r="R124" s="347">
        <f>AVERAGE(R120:R123)</f>
      </c>
      <c r="S124" s="347">
        <f>AVERAGE(S120:S123)</f>
      </c>
      <c r="T124" s="347">
        <f>AVERAGE(T120:T123)</f>
      </c>
      <c r="U124" s="347">
        <f>AVERAGE(U120:U123)</f>
      </c>
      <c r="V124" s="348">
        <f>SUM(V120:V123)</f>
      </c>
      <c r="W124" s="347">
        <f>AVERAGE(W120:W123)</f>
      </c>
      <c r="X124" s="348"/>
      <c r="Y124" s="346">
        <f>AVERAGE(Y120:Y123)</f>
      </c>
      <c r="Z124" s="348">
        <f>SUM(Z120:Z123)</f>
      </c>
      <c r="AA124" s="348">
        <f>SUM(AA120:AA123)</f>
      </c>
      <c r="AB124" s="348">
        <f>SUM(AB120:AB123)</f>
      </c>
      <c r="AC124" s="348">
        <f>SUM(AC120:AC123)</f>
      </c>
      <c r="AD124" s="348">
        <f>SUM(AD120:AD123)</f>
      </c>
      <c r="AE124" s="348">
        <f>SUM(AE120:AE123)</f>
      </c>
      <c r="AF124" s="348">
        <f>SUM(AF120:AF123)</f>
      </c>
      <c r="AG124" s="348">
        <f>SUM(AG120:AG123)</f>
      </c>
    </row>
    <row r="125">
      <c r="A125" s="321" t="s">
        <v>806</v>
      </c>
      <c r="B125" s="354" t="s">
        <v>762</v>
      </c>
      <c r="C125" s="323" t="s">
        <v>769</v>
      </c>
      <c r="D125" s="324">
        <v>5</v>
      </c>
      <c r="E125" s="339">
        <v>11</v>
      </c>
      <c r="F125" s="339">
        <v>16</v>
      </c>
      <c r="G125" s="339">
        <v>45772.48</v>
      </c>
      <c r="H125" s="340">
        <v>13878.05</v>
      </c>
      <c r="I125" s="326">
        <f t="shared" si="1"/>
      </c>
      <c r="J125" s="326">
        <f t="shared" si="4"/>
      </c>
      <c r="K125" s="327">
        <f t="shared" si="2"/>
      </c>
      <c r="L125" s="328" t="s">
        <v>800</v>
      </c>
      <c r="M125" s="329">
        <v>10</v>
      </c>
      <c r="N125" s="359"/>
      <c r="O125" s="331"/>
      <c r="P125" s="331"/>
      <c r="Q125" s="332">
        <v>4.698053486797563</v>
      </c>
      <c r="R125" s="333">
        <v>0.3041768410427689</v>
      </c>
      <c r="S125" s="334">
        <v>0.020242165925458945</v>
      </c>
      <c r="T125" s="334">
        <v>0.021585248024778493</v>
      </c>
      <c r="U125" s="334">
        <v>0.0838095238095238</v>
      </c>
      <c r="V125" s="335">
        <v>44389.43894389439</v>
      </c>
      <c r="W125" s="334">
        <v>0.01212</v>
      </c>
      <c r="X125" s="335">
        <v>42.4</v>
      </c>
      <c r="Y125" s="336">
        <v>95.0987782064372</v>
      </c>
      <c r="Z125" s="335">
        <v>145933</v>
      </c>
      <c r="AA125" s="335">
        <v>2954</v>
      </c>
      <c r="AB125" s="335">
        <v>538</v>
      </c>
      <c r="AC125" s="335">
        <v>3150</v>
      </c>
      <c r="AD125" s="335">
        <v>264</v>
      </c>
      <c r="AE125" s="335">
        <v>29</v>
      </c>
      <c r="AF125" s="337">
        <v>4</v>
      </c>
      <c r="AG125" s="335">
        <v>130</v>
      </c>
    </row>
    <row r="126">
      <c r="A126" s="321" t="s">
        <v>806</v>
      </c>
      <c r="B126" s="354" t="s">
        <v>772</v>
      </c>
      <c r="C126" s="323" t="s">
        <v>771</v>
      </c>
      <c r="D126" s="321">
        <v>5</v>
      </c>
      <c r="E126" s="338">
        <v>15</v>
      </c>
      <c r="F126" s="338">
        <v>21</v>
      </c>
      <c r="G126" s="338">
        <v>54845.669999999984</v>
      </c>
      <c r="H126" s="360">
        <v>13186.83</v>
      </c>
      <c r="I126" s="352">
        <f t="shared" si="1"/>
      </c>
      <c r="J126" s="326">
        <f t="shared" si="4"/>
      </c>
      <c r="K126" s="326">
        <f t="shared" si="2"/>
      </c>
      <c r="L126" s="328"/>
      <c r="M126" s="329"/>
      <c r="N126" s="359"/>
      <c r="O126" s="331"/>
      <c r="P126" s="331"/>
      <c r="Q126" s="325">
        <v>5.942690401081569</v>
      </c>
      <c r="R126" s="334">
        <v>0.2698864722554457</v>
      </c>
      <c r="S126" s="333">
        <v>0.018496599093091492</v>
      </c>
      <c r="T126" s="334">
        <v>0.01950520138703654</v>
      </c>
      <c r="U126" s="333">
        <v>0.0829059829059829</v>
      </c>
      <c r="V126" s="335">
        <v>32377.74030354131</v>
      </c>
      <c r="W126" s="334">
        <v>0.01186</v>
      </c>
      <c r="X126" s="335">
        <v>52.6</v>
      </c>
      <c r="Y126" s="336">
        <v>109.91956188316884</v>
      </c>
      <c r="Z126" s="335">
        <v>119968</v>
      </c>
      <c r="AA126" s="335">
        <v>2219</v>
      </c>
      <c r="AB126" s="335">
        <v>384</v>
      </c>
      <c r="AC126" s="335">
        <v>2340</v>
      </c>
      <c r="AD126" s="335">
        <v>194</v>
      </c>
      <c r="AE126" s="335">
        <v>17</v>
      </c>
      <c r="AF126" s="335">
        <v>2</v>
      </c>
      <c r="AG126" s="335">
        <v>84</v>
      </c>
    </row>
    <row r="127">
      <c r="A127" s="321" t="s">
        <v>806</v>
      </c>
      <c r="B127" s="354" t="s">
        <v>770</v>
      </c>
      <c r="C127" s="323" t="s">
        <v>773</v>
      </c>
      <c r="D127" s="321">
        <v>5</v>
      </c>
      <c r="E127" s="362">
        <v>9</v>
      </c>
      <c r="F127" s="362">
        <v>12</v>
      </c>
      <c r="G127" s="362">
        <v>28473.839999999997</v>
      </c>
      <c r="H127" s="362">
        <v>11756.09</v>
      </c>
      <c r="I127" s="352">
        <f t="shared" si="1"/>
      </c>
      <c r="J127" s="326">
        <f t="shared" si="4"/>
      </c>
      <c r="K127" s="326">
        <f t="shared" si="2"/>
      </c>
      <c r="L127" s="353"/>
      <c r="M127" s="353"/>
      <c r="N127" s="359"/>
      <c r="O127" s="331"/>
      <c r="P127" s="331"/>
      <c r="Q127" s="325">
        <v>5.255292802860975</v>
      </c>
      <c r="R127" s="334">
        <v>0.2048600899928811</v>
      </c>
      <c r="S127" s="334">
        <v>0.017245499749450718</v>
      </c>
      <c r="T127" s="334">
        <v>0.017931619319276875</v>
      </c>
      <c r="U127" s="334">
        <v>0.0997420464316423</v>
      </c>
      <c r="V127" s="335">
        <v>26573.426573426572</v>
      </c>
      <c r="W127" s="334">
        <v>0.01716</v>
      </c>
      <c r="X127" s="335">
        <v>49.4</v>
      </c>
      <c r="Y127" s="336">
        <v>90.6301507150291</v>
      </c>
      <c r="Z127" s="335">
        <v>129715</v>
      </c>
      <c r="AA127" s="335">
        <v>2237</v>
      </c>
      <c r="AB127" s="335">
        <v>456</v>
      </c>
      <c r="AC127" s="335">
        <v>2326</v>
      </c>
      <c r="AD127" s="335">
        <v>232</v>
      </c>
      <c r="AE127" s="335">
        <v>17</v>
      </c>
      <c r="AF127" s="335">
        <v>4</v>
      </c>
      <c r="AG127" s="335">
        <v>124</v>
      </c>
    </row>
    <row r="128">
      <c r="A128" s="321" t="s">
        <v>806</v>
      </c>
      <c r="B128" s="361" t="s">
        <v>774</v>
      </c>
      <c r="C128" s="323" t="s">
        <v>775</v>
      </c>
      <c r="D128" s="324">
        <v>5</v>
      </c>
      <c r="E128" s="328">
        <v>13</v>
      </c>
      <c r="F128" s="328">
        <v>17</v>
      </c>
      <c r="G128" s="328">
        <v>49115.670000000006</v>
      </c>
      <c r="H128" s="355">
        <v>11473.900000000001</v>
      </c>
      <c r="I128" s="326">
        <f t="shared" si="1"/>
      </c>
      <c r="J128" s="326">
        <f t="shared" si="4"/>
      </c>
      <c r="K128" s="327">
        <f t="shared" si="2"/>
      </c>
      <c r="L128" s="324" t="s">
        <v>776</v>
      </c>
      <c r="M128" s="356">
        <v>10</v>
      </c>
      <c r="N128" s="359"/>
      <c r="O128" s="331"/>
      <c r="P128" s="331"/>
      <c r="Q128" s="325">
        <v>5.070216526734424</v>
      </c>
      <c r="R128" s="334">
        <v>0.23920666823093642</v>
      </c>
      <c r="S128" s="334">
        <v>0.01665072474431609</v>
      </c>
      <c r="T128" s="334">
        <v>0.017136340225148997</v>
      </c>
      <c r="U128" s="334">
        <v>0.11292400171747531</v>
      </c>
      <c r="V128" s="335">
        <v>32510.57827926657</v>
      </c>
      <c r="W128" s="334">
        <v>0.014180000000000002</v>
      </c>
      <c r="X128" s="335">
        <v>52.4</v>
      </c>
      <c r="Y128" s="336">
        <v>84.42277978073727</v>
      </c>
      <c r="Z128" s="335">
        <v>135910</v>
      </c>
      <c r="AA128" s="335">
        <v>2263</v>
      </c>
      <c r="AB128" s="335">
        <v>461</v>
      </c>
      <c r="AC128" s="335">
        <v>2329</v>
      </c>
      <c r="AD128" s="335">
        <v>263</v>
      </c>
      <c r="AE128" s="335">
        <v>24</v>
      </c>
      <c r="AF128" s="335">
        <v>9</v>
      </c>
      <c r="AG128" s="335">
        <v>131</v>
      </c>
    </row>
    <row r="129">
      <c r="A129" s="341" t="s">
        <v>806</v>
      </c>
      <c r="B129" s="342" t="s">
        <v>767</v>
      </c>
      <c r="C129" s="343"/>
      <c r="D129" s="343">
        <f>SUM(D125:D128)</f>
      </c>
      <c r="E129" s="343">
        <f>SUM(E125:E128)</f>
      </c>
      <c r="F129" s="343">
        <f>SUM(F125:F128)</f>
      </c>
      <c r="G129" s="343">
        <f>SUM(G125:G128)</f>
      </c>
      <c r="H129" s="343">
        <f>SUM(H125:H128)</f>
      </c>
      <c r="I129" s="344">
        <f t="shared" si="1"/>
      </c>
      <c r="J129" s="344">
        <f t="shared" si="4"/>
      </c>
      <c r="K129" s="344">
        <f t="shared" si="2"/>
      </c>
      <c r="L129" s="343"/>
      <c r="M129" s="345">
        <f>SUM(M125:M128)</f>
      </c>
      <c r="N129" s="343"/>
      <c r="O129" s="343"/>
      <c r="P129" s="343"/>
      <c r="Q129" s="346">
        <f>AVERAGE(Q125:Q128)</f>
      </c>
      <c r="R129" s="347">
        <f>AVERAGE(R125:R128)</f>
      </c>
      <c r="S129" s="347">
        <f>AVERAGE(S125:S128)</f>
      </c>
      <c r="T129" s="347">
        <f>AVERAGE(T125:T128)</f>
      </c>
      <c r="U129" s="347">
        <f>AVERAGE(U125:U128)</f>
      </c>
      <c r="V129" s="348">
        <f>SUM(V125:V128)</f>
      </c>
      <c r="W129" s="347">
        <f>AVERAGE(W125:W128)</f>
      </c>
      <c r="X129" s="348"/>
      <c r="Y129" s="346">
        <f>AVERAGE(Y125:Y128)</f>
      </c>
      <c r="Z129" s="348">
        <f>SUM(Z125:Z128)</f>
      </c>
      <c r="AA129" s="348">
        <f>SUM(AA125:AA128)</f>
      </c>
      <c r="AB129" s="348">
        <f>SUM(AB125:AB128)</f>
      </c>
      <c r="AC129" s="348">
        <f>SUM(AC125:AC128)</f>
      </c>
      <c r="AD129" s="348">
        <f>SUM(AD125:AD128)</f>
      </c>
      <c r="AE129" s="348">
        <f>SUM(AE125:AE128)</f>
      </c>
      <c r="AF129" s="348">
        <f>SUM(AF125:AF128)</f>
      </c>
      <c r="AG129" s="348">
        <f>SUM(AG125:AG128)</f>
      </c>
    </row>
    <row r="130">
      <c r="A130" s="321" t="s">
        <v>807</v>
      </c>
      <c r="B130" s="354" t="s">
        <v>772</v>
      </c>
      <c r="C130" s="323" t="s">
        <v>769</v>
      </c>
      <c r="D130" s="324">
        <v>5</v>
      </c>
      <c r="E130" s="339">
        <v>14</v>
      </c>
      <c r="F130" s="339">
        <v>23</v>
      </c>
      <c r="G130" s="339">
        <v>55875.15</v>
      </c>
      <c r="H130" s="340">
        <v>13538.6</v>
      </c>
      <c r="I130" s="326">
        <f t="shared" si="1"/>
      </c>
      <c r="J130" s="326">
        <f t="shared" si="4"/>
      </c>
      <c r="K130" s="327">
        <f t="shared" si="2"/>
      </c>
      <c r="L130" s="328" t="s">
        <v>803</v>
      </c>
      <c r="M130" s="329">
        <v>10</v>
      </c>
      <c r="N130" s="359"/>
      <c r="O130" s="331"/>
      <c r="P130" s="331"/>
      <c r="Q130" s="332">
        <v>4.527959866220735</v>
      </c>
      <c r="R130" s="333">
        <v>0.23567746617308483</v>
      </c>
      <c r="S130" s="334">
        <v>0.022120456613572637</v>
      </c>
      <c r="T130" s="334">
        <v>0.023444724751977154</v>
      </c>
      <c r="U130" s="334">
        <v>0.09277374566109182</v>
      </c>
      <c r="V130" s="335">
        <v>31856.2874251497</v>
      </c>
      <c r="W130" s="334">
        <v>0.0167</v>
      </c>
      <c r="X130" s="335">
        <v>40.2</v>
      </c>
      <c r="Y130" s="336">
        <v>100.16053976873394</v>
      </c>
      <c r="Z130" s="335">
        <v>135169</v>
      </c>
      <c r="AA130" s="335">
        <v>2990</v>
      </c>
      <c r="AB130" s="335">
        <v>532</v>
      </c>
      <c r="AC130" s="335">
        <v>3169</v>
      </c>
      <c r="AD130" s="335">
        <v>294</v>
      </c>
      <c r="AE130" s="335">
        <v>25</v>
      </c>
      <c r="AF130" s="337">
        <v>11</v>
      </c>
      <c r="AG130" s="335">
        <v>144</v>
      </c>
    </row>
    <row r="131">
      <c r="A131" s="321" t="s">
        <v>807</v>
      </c>
      <c r="B131" s="354" t="s">
        <v>762</v>
      </c>
      <c r="C131" s="323" t="s">
        <v>771</v>
      </c>
      <c r="D131" s="321">
        <v>5</v>
      </c>
      <c r="E131" s="338">
        <v>14</v>
      </c>
      <c r="F131" s="338">
        <v>21</v>
      </c>
      <c r="G131" s="338">
        <v>49927.45999999999</v>
      </c>
      <c r="H131" s="360">
        <v>13454.579999999998</v>
      </c>
      <c r="I131" s="352">
        <f t="shared" si="1"/>
      </c>
      <c r="J131" s="326">
        <f t="shared" si="4"/>
      </c>
      <c r="K131" s="326">
        <f t="shared" si="2"/>
      </c>
      <c r="L131" s="328"/>
      <c r="M131" s="329"/>
      <c r="N131" s="359"/>
      <c r="O131" s="331"/>
      <c r="P131" s="331"/>
      <c r="Q131" s="325">
        <v>5.478249185667751</v>
      </c>
      <c r="R131" s="334">
        <v>0.2555705317730461</v>
      </c>
      <c r="S131" s="333">
        <v>0.018645045701618537</v>
      </c>
      <c r="T131" s="334">
        <v>0.019001852357960584</v>
      </c>
      <c r="U131" s="333">
        <v>0.09868158210147823</v>
      </c>
      <c r="V131" s="335">
        <v>33664.77272727273</v>
      </c>
      <c r="W131" s="334">
        <v>0.01408</v>
      </c>
      <c r="X131" s="335">
        <v>47.4</v>
      </c>
      <c r="Y131" s="336">
        <v>102.14220643162976</v>
      </c>
      <c r="Z131" s="335">
        <v>131724</v>
      </c>
      <c r="AA131" s="335">
        <v>2456</v>
      </c>
      <c r="AB131" s="335">
        <v>474</v>
      </c>
      <c r="AC131" s="335">
        <v>2503</v>
      </c>
      <c r="AD131" s="335">
        <v>247</v>
      </c>
      <c r="AE131" s="335">
        <v>21</v>
      </c>
      <c r="AF131" s="335">
        <v>3</v>
      </c>
      <c r="AG131" s="335">
        <v>93</v>
      </c>
    </row>
    <row r="132">
      <c r="A132" s="321" t="s">
        <v>807</v>
      </c>
      <c r="B132" s="354" t="s">
        <v>774</v>
      </c>
      <c r="C132" s="323" t="s">
        <v>773</v>
      </c>
      <c r="D132" s="321">
        <v>5</v>
      </c>
      <c r="E132" s="362">
        <v>18</v>
      </c>
      <c r="F132" s="362">
        <v>24</v>
      </c>
      <c r="G132" s="362">
        <v>55062.97</v>
      </c>
      <c r="H132" s="362">
        <v>13186.62</v>
      </c>
      <c r="I132" s="352">
        <f t="shared" si="1"/>
      </c>
      <c r="J132" s="326">
        <f t="shared" si="4"/>
      </c>
      <c r="K132" s="326">
        <f t="shared" si="2"/>
      </c>
      <c r="L132" s="353"/>
      <c r="M132" s="353"/>
      <c r="N132" s="359"/>
      <c r="O132" s="331"/>
      <c r="P132" s="331"/>
      <c r="Q132" s="325">
        <v>6.59990990990991</v>
      </c>
      <c r="R132" s="334">
        <v>0.35449061382129204</v>
      </c>
      <c r="S132" s="334">
        <v>0.018003568274793203</v>
      </c>
      <c r="T132" s="334">
        <v>0.018517183585935952</v>
      </c>
      <c r="U132" s="334">
        <v>0.13527980535279804</v>
      </c>
      <c r="V132" s="335">
        <v>39340.659340659346</v>
      </c>
      <c r="W132" s="334">
        <v>0.009099999999999999</v>
      </c>
      <c r="X132" s="335">
        <v>45.6</v>
      </c>
      <c r="Y132" s="336">
        <v>118.82192867054732</v>
      </c>
      <c r="Z132" s="335">
        <v>110978</v>
      </c>
      <c r="AA132" s="335">
        <v>1998</v>
      </c>
      <c r="AB132" s="335">
        <v>358</v>
      </c>
      <c r="AC132" s="335">
        <v>2055</v>
      </c>
      <c r="AD132" s="335">
        <v>278</v>
      </c>
      <c r="AE132" s="335">
        <v>20</v>
      </c>
      <c r="AF132" s="335">
        <v>8</v>
      </c>
      <c r="AG132" s="335">
        <v>70</v>
      </c>
    </row>
    <row r="133">
      <c r="A133" s="321" t="s">
        <v>807</v>
      </c>
      <c r="B133" s="361" t="s">
        <v>770</v>
      </c>
      <c r="C133" s="323" t="s">
        <v>775</v>
      </c>
      <c r="D133" s="324">
        <v>5</v>
      </c>
      <c r="E133" s="328">
        <v>16</v>
      </c>
      <c r="F133" s="328">
        <v>18</v>
      </c>
      <c r="G133" s="328">
        <v>47435.13000000002</v>
      </c>
      <c r="H133" s="355">
        <v>13570.659999999998</v>
      </c>
      <c r="I133" s="326">
        <f t="shared" si="1"/>
      </c>
      <c r="J133" s="326">
        <f t="shared" si="4"/>
      </c>
      <c r="K133" s="327">
        <f t="shared" si="2"/>
      </c>
      <c r="L133" s="324" t="s">
        <v>776</v>
      </c>
      <c r="M133" s="356">
        <v>10</v>
      </c>
      <c r="N133" s="359"/>
      <c r="O133" s="331"/>
      <c r="P133" s="331"/>
      <c r="Q133" s="325">
        <v>4.266161584407419</v>
      </c>
      <c r="R133" s="334">
        <v>0.2545705598312095</v>
      </c>
      <c r="S133" s="334">
        <v>0.01732948354761386</v>
      </c>
      <c r="T133" s="334">
        <v>0.01812486380475049</v>
      </c>
      <c r="U133" s="334">
        <v>0.0934776074541629</v>
      </c>
      <c r="V133" s="335">
        <v>46728.971962616815</v>
      </c>
      <c r="W133" s="334">
        <v>0.010700000000000001</v>
      </c>
      <c r="X133" s="335">
        <v>53.4</v>
      </c>
      <c r="Y133" s="336">
        <v>73.93037698845063</v>
      </c>
      <c r="Z133" s="335">
        <v>183560</v>
      </c>
      <c r="AA133" s="335">
        <v>3181</v>
      </c>
      <c r="AB133" s="335">
        <v>500</v>
      </c>
      <c r="AC133" s="335">
        <v>3327</v>
      </c>
      <c r="AD133" s="335">
        <v>311</v>
      </c>
      <c r="AE133" s="335">
        <v>31</v>
      </c>
      <c r="AF133" s="335">
        <v>19</v>
      </c>
      <c r="AG133" s="335">
        <v>108</v>
      </c>
    </row>
    <row r="134">
      <c r="A134" s="341" t="s">
        <v>807</v>
      </c>
      <c r="B134" s="342" t="s">
        <v>767</v>
      </c>
      <c r="C134" s="343"/>
      <c r="D134" s="343">
        <f>SUM(D130:D133)</f>
      </c>
      <c r="E134" s="343">
        <f>SUM(E130:E133)</f>
      </c>
      <c r="F134" s="343">
        <f>SUM(F130:F133)</f>
      </c>
      <c r="G134" s="343">
        <f>SUM(G130:G133)</f>
      </c>
      <c r="H134" s="343">
        <f>SUM(H130:H133)</f>
      </c>
      <c r="I134" s="344">
        <f t="shared" si="1"/>
      </c>
      <c r="J134" s="344">
        <f t="shared" si="4"/>
      </c>
      <c r="K134" s="344">
        <f t="shared" si="2"/>
      </c>
      <c r="L134" s="343"/>
      <c r="M134" s="345">
        <f>SUM(M130:M133)</f>
      </c>
      <c r="N134" s="343"/>
      <c r="O134" s="343"/>
      <c r="P134" s="343"/>
      <c r="Q134" s="346">
        <f>AVERAGE(Q130:Q133)</f>
      </c>
      <c r="R134" s="347">
        <f>AVERAGE(R130:R133)</f>
      </c>
      <c r="S134" s="347">
        <f>AVERAGE(S130:S133)</f>
      </c>
      <c r="T134" s="347">
        <f>AVERAGE(T130:T133)</f>
      </c>
      <c r="U134" s="347">
        <f>AVERAGE(U130:U133)</f>
      </c>
      <c r="V134" s="348">
        <f>SUM(V130:V133)</f>
      </c>
      <c r="W134" s="347">
        <f>AVERAGE(W130:W133)</f>
      </c>
      <c r="X134" s="348"/>
      <c r="Y134" s="346">
        <f>AVERAGE(Y130:Y133)</f>
      </c>
      <c r="Z134" s="348">
        <f>SUM(Z130:Z133)</f>
      </c>
      <c r="AA134" s="348">
        <f>SUM(AA130:AA133)</f>
      </c>
      <c r="AB134" s="348">
        <f>SUM(AB130:AB133)</f>
      </c>
      <c r="AC134" s="348">
        <f>SUM(AC130:AC133)</f>
      </c>
      <c r="AD134" s="348">
        <f>SUM(AD130:AD133)</f>
      </c>
      <c r="AE134" s="348">
        <f>SUM(AE130:AE133)</f>
      </c>
      <c r="AF134" s="348">
        <f>SUM(AF130:AF133)</f>
      </c>
      <c r="AG134" s="348">
        <f>SUM(AG130:AG133)</f>
      </c>
    </row>
    <row r="135">
      <c r="A135" s="321" t="s">
        <v>808</v>
      </c>
      <c r="B135" s="354" t="s">
        <v>762</v>
      </c>
      <c r="C135" s="323" t="s">
        <v>769</v>
      </c>
      <c r="D135" s="324">
        <v>5</v>
      </c>
      <c r="E135" s="339">
        <v>12</v>
      </c>
      <c r="F135" s="339">
        <v>13</v>
      </c>
      <c r="G135" s="339">
        <v>35485.35</v>
      </c>
      <c r="H135" s="340">
        <v>14307.81</v>
      </c>
      <c r="I135" s="326">
        <f t="shared" si="1"/>
      </c>
      <c r="J135" s="326">
        <f t="shared" si="4"/>
      </c>
      <c r="K135" s="327">
        <f t="shared" si="2"/>
      </c>
      <c r="L135" s="328" t="s">
        <v>803</v>
      </c>
      <c r="M135" s="329">
        <v>10</v>
      </c>
      <c r="N135" s="330"/>
      <c r="O135" s="331"/>
      <c r="P135" s="331"/>
      <c r="Q135" s="332">
        <v>4.479589855979963</v>
      </c>
      <c r="R135" s="333">
        <v>0.2691232172810446</v>
      </c>
      <c r="S135" s="334">
        <v>0.01839236664958338</v>
      </c>
      <c r="T135" s="334">
        <v>0.01884728116596318</v>
      </c>
      <c r="U135" s="334">
        <v>0.09135349831958448</v>
      </c>
      <c r="V135" s="335">
        <v>46735.66878980892</v>
      </c>
      <c r="W135" s="334">
        <v>0.012559999999999998</v>
      </c>
      <c r="X135" s="335">
        <v>42</v>
      </c>
      <c r="Y135" s="336">
        <v>82.39025907093787</v>
      </c>
      <c r="Z135" s="335">
        <v>173659</v>
      </c>
      <c r="AA135" s="335">
        <v>3194</v>
      </c>
      <c r="AB135" s="335">
        <v>587</v>
      </c>
      <c r="AC135" s="335">
        <v>3273</v>
      </c>
      <c r="AD135" s="335">
        <v>299</v>
      </c>
      <c r="AE135" s="335">
        <v>16</v>
      </c>
      <c r="AF135" s="337">
        <v>7</v>
      </c>
      <c r="AG135" s="335">
        <v>146</v>
      </c>
    </row>
    <row r="136">
      <c r="A136" s="321" t="s">
        <v>808</v>
      </c>
      <c r="B136" s="354" t="s">
        <v>765</v>
      </c>
      <c r="C136" s="323" t="s">
        <v>771</v>
      </c>
      <c r="D136" s="321">
        <v>5</v>
      </c>
      <c r="E136" s="338">
        <v>7</v>
      </c>
      <c r="F136" s="338">
        <v>11</v>
      </c>
      <c r="G136" s="338">
        <v>24157</v>
      </c>
      <c r="H136" s="360">
        <v>12589.41</v>
      </c>
      <c r="I136" s="352">
        <f t="shared" si="1"/>
      </c>
      <c r="J136" s="326">
        <f t="shared" si="4"/>
      </c>
      <c r="K136" s="326">
        <f t="shared" si="2"/>
      </c>
      <c r="L136" s="328"/>
      <c r="M136" s="329"/>
      <c r="N136" s="330"/>
      <c r="O136" s="331"/>
      <c r="P136" s="331"/>
      <c r="Q136" s="325">
        <v>7.306680208937899</v>
      </c>
      <c r="R136" s="334">
        <v>0.2165733413992137</v>
      </c>
      <c r="S136" s="333">
        <v>0.014438587817284406</v>
      </c>
      <c r="T136" s="334">
        <v>0.01438830834723002</v>
      </c>
      <c r="U136" s="333">
        <v>0.10716365754222482</v>
      </c>
      <c r="V136" s="335">
        <v>25844.346549192367</v>
      </c>
      <c r="W136" s="334">
        <v>0.013619999999999998</v>
      </c>
      <c r="X136" s="335">
        <v>44.8</v>
      </c>
      <c r="Y136" s="336">
        <v>105.49814384956383</v>
      </c>
      <c r="Z136" s="335">
        <v>119333</v>
      </c>
      <c r="AA136" s="335">
        <v>1723</v>
      </c>
      <c r="AB136" s="335">
        <v>352</v>
      </c>
      <c r="AC136" s="335">
        <v>1717</v>
      </c>
      <c r="AD136" s="335">
        <v>184</v>
      </c>
      <c r="AE136" s="335">
        <v>6</v>
      </c>
      <c r="AF136" s="335">
        <v>5</v>
      </c>
      <c r="AG136" s="335">
        <v>107</v>
      </c>
    </row>
    <row r="137">
      <c r="A137" s="321" t="s">
        <v>808</v>
      </c>
      <c r="B137" s="354" t="s">
        <v>774</v>
      </c>
      <c r="C137" s="323" t="s">
        <v>773</v>
      </c>
      <c r="D137" s="321">
        <v>5</v>
      </c>
      <c r="E137" s="362">
        <v>10</v>
      </c>
      <c r="F137" s="362">
        <v>16</v>
      </c>
      <c r="G137" s="362">
        <v>39506.94</v>
      </c>
      <c r="H137" s="362">
        <v>10313.970000000001</v>
      </c>
      <c r="I137" s="352">
        <f t="shared" si="1"/>
      </c>
      <c r="J137" s="326">
        <f t="shared" si="4"/>
      </c>
      <c r="K137" s="326">
        <f t="shared" si="2"/>
      </c>
      <c r="L137" s="353"/>
      <c r="M137" s="353"/>
      <c r="N137" s="330"/>
      <c r="O137" s="331"/>
      <c r="P137" s="331"/>
      <c r="Q137" s="325">
        <v>7.340903914590748</v>
      </c>
      <c r="R137" s="334">
        <v>0.22967920799927505</v>
      </c>
      <c r="S137" s="334">
        <v>0.01485483495802584</v>
      </c>
      <c r="T137" s="334">
        <v>0.015140301537290393</v>
      </c>
      <c r="U137" s="334">
        <v>0.13337988826815642</v>
      </c>
      <c r="V137" s="335">
        <v>21723.51885098743</v>
      </c>
      <c r="W137" s="334">
        <v>0.01114</v>
      </c>
      <c r="X137" s="335">
        <v>47.4</v>
      </c>
      <c r="Y137" s="336">
        <v>109.04791609397138</v>
      </c>
      <c r="Z137" s="335">
        <v>94582</v>
      </c>
      <c r="AA137" s="335">
        <v>1405</v>
      </c>
      <c r="AB137" s="335">
        <v>242</v>
      </c>
      <c r="AC137" s="335">
        <v>1432</v>
      </c>
      <c r="AD137" s="335">
        <v>191</v>
      </c>
      <c r="AE137" s="335">
        <v>15</v>
      </c>
      <c r="AF137" s="335">
        <v>1</v>
      </c>
      <c r="AG137" s="335">
        <v>46</v>
      </c>
    </row>
    <row r="138">
      <c r="A138" s="321" t="s">
        <v>808</v>
      </c>
      <c r="B138" s="361" t="s">
        <v>770</v>
      </c>
      <c r="C138" s="323" t="s">
        <v>775</v>
      </c>
      <c r="D138" s="324">
        <v>5</v>
      </c>
      <c r="E138" s="328">
        <v>10</v>
      </c>
      <c r="F138" s="328">
        <v>13</v>
      </c>
      <c r="G138" s="328">
        <v>28693.679999999993</v>
      </c>
      <c r="H138" s="355">
        <v>11008.95</v>
      </c>
      <c r="I138" s="326">
        <f t="shared" si="1"/>
      </c>
      <c r="J138" s="326">
        <f t="shared" si="4"/>
      </c>
      <c r="K138" s="327">
        <f t="shared" si="2"/>
      </c>
      <c r="L138" s="324" t="s">
        <v>776</v>
      </c>
      <c r="M138" s="356">
        <v>10</v>
      </c>
      <c r="N138" s="330"/>
      <c r="O138" s="331"/>
      <c r="P138" s="331"/>
      <c r="Q138" s="325">
        <v>3.885968937522062</v>
      </c>
      <c r="R138" s="334">
        <v>0.2252685775977216</v>
      </c>
      <c r="S138" s="334">
        <v>0.020488157656843246</v>
      </c>
      <c r="T138" s="334">
        <v>0.021695895859699874</v>
      </c>
      <c r="U138" s="334">
        <v>0.07966666666666666</v>
      </c>
      <c r="V138" s="335">
        <v>31149.012567324953</v>
      </c>
      <c r="W138" s="334">
        <v>0.01114</v>
      </c>
      <c r="X138" s="335">
        <v>48.2</v>
      </c>
      <c r="Y138" s="336">
        <v>79.61634424154765</v>
      </c>
      <c r="Z138" s="335">
        <v>138275</v>
      </c>
      <c r="AA138" s="335">
        <v>2833</v>
      </c>
      <c r="AB138" s="335">
        <v>347</v>
      </c>
      <c r="AC138" s="335">
        <v>3000</v>
      </c>
      <c r="AD138" s="335">
        <v>239</v>
      </c>
      <c r="AE138" s="335">
        <v>20</v>
      </c>
      <c r="AF138" s="335">
        <v>3</v>
      </c>
      <c r="AG138" s="335">
        <v>77</v>
      </c>
    </row>
    <row r="139">
      <c r="A139" s="341" t="s">
        <v>808</v>
      </c>
      <c r="B139" s="342" t="s">
        <v>767</v>
      </c>
      <c r="C139" s="343"/>
      <c r="D139" s="343">
        <f>SUM(D135:D138)</f>
      </c>
      <c r="E139" s="343">
        <f>SUM(E135:E138)</f>
      </c>
      <c r="F139" s="343">
        <f>SUM(F135:F138)</f>
      </c>
      <c r="G139" s="343">
        <f>SUM(G135:G138)</f>
      </c>
      <c r="H139" s="343">
        <f>SUM(H135:H138)</f>
      </c>
      <c r="I139" s="344">
        <f t="shared" si="1"/>
      </c>
      <c r="J139" s="344">
        <f t="shared" si="4"/>
      </c>
      <c r="K139" s="344">
        <f t="shared" si="2"/>
      </c>
      <c r="L139" s="343"/>
      <c r="M139" s="345">
        <f>SUM(M135:M138)</f>
      </c>
      <c r="N139" s="343"/>
      <c r="O139" s="343"/>
      <c r="P139" s="343"/>
      <c r="Q139" s="346">
        <f>AVERAGE(Q135:Q138)</f>
      </c>
      <c r="R139" s="347">
        <f>AVERAGE(R135:R138)</f>
      </c>
      <c r="S139" s="347">
        <f>AVERAGE(S135:S138)</f>
      </c>
      <c r="T139" s="347">
        <f>AVERAGE(T135:T138)</f>
      </c>
      <c r="U139" s="347">
        <f>AVERAGE(U135:U138)</f>
      </c>
      <c r="V139" s="348">
        <f>SUM(V135:V138)</f>
      </c>
      <c r="W139" s="347">
        <f>AVERAGE(W135:W138)</f>
      </c>
      <c r="X139" s="348"/>
      <c r="Y139" s="346">
        <f>AVERAGE(Y135:Y138)</f>
      </c>
      <c r="Z139" s="348">
        <f>SUM(Z135:Z138)</f>
      </c>
      <c r="AA139" s="348">
        <f>SUM(AA135:AA138)</f>
      </c>
      <c r="AB139" s="348">
        <f>SUM(AB135:AB138)</f>
      </c>
      <c r="AC139" s="348">
        <f>SUM(AC135:AC138)</f>
      </c>
      <c r="AD139" s="348">
        <f>SUM(AD135:AD138)</f>
      </c>
      <c r="AE139" s="348">
        <f>SUM(AE135:AE138)</f>
      </c>
      <c r="AF139" s="348">
        <f>SUM(AF135:AF138)</f>
      </c>
      <c r="AG139" s="348">
        <f>SUM(AG135:AG138)</f>
      </c>
    </row>
    <row r="140">
      <c r="A140" s="321" t="s">
        <v>809</v>
      </c>
      <c r="B140" s="354" t="s">
        <v>772</v>
      </c>
      <c r="C140" s="323" t="s">
        <v>769</v>
      </c>
      <c r="D140" s="324">
        <v>5</v>
      </c>
      <c r="E140" s="339">
        <v>17</v>
      </c>
      <c r="F140" s="339">
        <v>23</v>
      </c>
      <c r="G140" s="339">
        <v>54024.3</v>
      </c>
      <c r="H140" s="340">
        <v>15761.23</v>
      </c>
      <c r="I140" s="326">
        <f t="shared" si="1"/>
      </c>
      <c r="J140" s="326">
        <f t="shared" si="4"/>
      </c>
      <c r="K140" s="327">
        <f t="shared" si="2"/>
      </c>
      <c r="L140" s="328" t="s">
        <v>810</v>
      </c>
      <c r="M140" s="329">
        <v>1</v>
      </c>
      <c r="N140" s="330"/>
      <c r="O140" s="331"/>
      <c r="P140" s="331"/>
      <c r="Q140" s="332">
        <v>4.189587985114302</v>
      </c>
      <c r="R140" s="333">
        <v>0.26608346872111616</v>
      </c>
      <c r="S140" s="334">
        <v>0.01921574035765182</v>
      </c>
      <c r="T140" s="334">
        <v>0.019752064849292816</v>
      </c>
      <c r="U140" s="334">
        <v>0.06180501680889579</v>
      </c>
      <c r="V140" s="335">
        <v>52093.023255813954</v>
      </c>
      <c r="W140" s="334">
        <v>0.0129</v>
      </c>
      <c r="X140" s="335">
        <v>45.6</v>
      </c>
      <c r="Y140" s="336">
        <v>80.50603492749404</v>
      </c>
      <c r="Z140" s="335">
        <v>195777</v>
      </c>
      <c r="AA140" s="335">
        <v>3762</v>
      </c>
      <c r="AB140" s="335">
        <v>672</v>
      </c>
      <c r="AC140" s="335">
        <v>3867</v>
      </c>
      <c r="AD140" s="335">
        <v>239</v>
      </c>
      <c r="AE140" s="335">
        <v>32</v>
      </c>
      <c r="AF140" s="337">
        <v>8</v>
      </c>
      <c r="AG140" s="335">
        <v>156</v>
      </c>
    </row>
    <row customHeight="true" ht="16.071428571428573" r="141">
      <c r="A141" s="321" t="s">
        <v>809</v>
      </c>
      <c r="B141" s="354" t="s">
        <v>762</v>
      </c>
      <c r="C141" s="323" t="s">
        <v>771</v>
      </c>
      <c r="D141" s="321">
        <v>5</v>
      </c>
      <c r="E141" s="338">
        <v>17</v>
      </c>
      <c r="F141" s="338">
        <v>20</v>
      </c>
      <c r="G141" s="338">
        <v>46646.310000000005</v>
      </c>
      <c r="H141" s="360">
        <v>13821.009999999998</v>
      </c>
      <c r="I141" s="352">
        <f t="shared" si="1"/>
      </c>
      <c r="J141" s="326">
        <f t="shared" si="4"/>
      </c>
      <c r="K141" s="326">
        <f t="shared" si="2"/>
      </c>
      <c r="L141" s="328" t="s">
        <v>811</v>
      </c>
      <c r="M141" s="329">
        <v>9</v>
      </c>
      <c r="N141" s="330"/>
      <c r="O141" s="331"/>
      <c r="P141" s="331"/>
      <c r="Q141" s="325">
        <v>6.714082524271844</v>
      </c>
      <c r="R141" s="334">
        <v>0.24306984054237174</v>
      </c>
      <c r="S141" s="333">
        <v>0.01459626448998101</v>
      </c>
      <c r="T141" s="334">
        <v>0.014667120142844997</v>
      </c>
      <c r="U141" s="333">
        <v>0.14541062801932367</v>
      </c>
      <c r="V141" s="335">
        <v>34304.93273542601</v>
      </c>
      <c r="W141" s="334">
        <v>0.01338</v>
      </c>
      <c r="X141" s="335">
        <v>57.4</v>
      </c>
      <c r="Y141" s="336">
        <v>98.00052433183117</v>
      </c>
      <c r="Z141" s="335">
        <v>141132</v>
      </c>
      <c r="AA141" s="335">
        <v>2060</v>
      </c>
      <c r="AB141" s="335">
        <v>459</v>
      </c>
      <c r="AC141" s="335">
        <v>2070</v>
      </c>
      <c r="AD141" s="335">
        <v>301</v>
      </c>
      <c r="AE141" s="335">
        <v>22</v>
      </c>
      <c r="AF141" s="335">
        <v>9</v>
      </c>
      <c r="AG141" s="335">
        <v>102</v>
      </c>
    </row>
    <row customHeight="true" ht="16.071428571428573" r="142">
      <c r="A142" s="321" t="s">
        <v>809</v>
      </c>
      <c r="B142" s="354" t="s">
        <v>774</v>
      </c>
      <c r="C142" s="323" t="s">
        <v>773</v>
      </c>
      <c r="D142" s="321">
        <v>5</v>
      </c>
      <c r="E142" s="362">
        <v>7</v>
      </c>
      <c r="F142" s="362">
        <v>9</v>
      </c>
      <c r="G142" s="362">
        <v>27882.869999999988</v>
      </c>
      <c r="H142" s="362">
        <v>10917.02</v>
      </c>
      <c r="I142" s="352">
        <f t="shared" si="1"/>
      </c>
      <c r="J142" s="326">
        <f t="shared" si="4"/>
      </c>
      <c r="K142" s="326">
        <f t="shared" si="2"/>
      </c>
      <c r="L142" s="353"/>
      <c r="M142" s="353"/>
      <c r="N142" s="330"/>
      <c r="O142" s="331"/>
      <c r="P142" s="331"/>
      <c r="Q142" s="325">
        <v>4.085711077844311</v>
      </c>
      <c r="R142" s="334">
        <v>0.3205471229129439</v>
      </c>
      <c r="S142" s="334">
        <v>0.02027637180430873</v>
      </c>
      <c r="T142" s="334">
        <v>0.02149811426706835</v>
      </c>
      <c r="U142" s="334">
        <v>0.07553829862336746</v>
      </c>
      <c r="V142" s="335">
        <v>42241.37931034483</v>
      </c>
      <c r="W142" s="334">
        <v>0.006959999999999999</v>
      </c>
      <c r="X142" s="335">
        <v>39.6</v>
      </c>
      <c r="Y142" s="336">
        <v>82.84339689935423</v>
      </c>
      <c r="Z142" s="335">
        <v>131779</v>
      </c>
      <c r="AA142" s="335">
        <v>2672</v>
      </c>
      <c r="AB142" s="335">
        <v>294</v>
      </c>
      <c r="AC142" s="335">
        <v>2833</v>
      </c>
      <c r="AD142" s="335">
        <v>214</v>
      </c>
      <c r="AE142" s="335">
        <v>12</v>
      </c>
      <c r="AF142" s="335">
        <v>3</v>
      </c>
      <c r="AG142" s="335">
        <v>31</v>
      </c>
    </row>
    <row customHeight="true" ht="16.071428571428573" r="143">
      <c r="A143" s="321" t="s">
        <v>809</v>
      </c>
      <c r="B143" s="361" t="s">
        <v>765</v>
      </c>
      <c r="C143" s="323" t="s">
        <v>775</v>
      </c>
      <c r="D143" s="324">
        <v>5</v>
      </c>
      <c r="E143" s="328">
        <v>9</v>
      </c>
      <c r="F143" s="328">
        <v>12</v>
      </c>
      <c r="G143" s="328">
        <v>26698.830000000016</v>
      </c>
      <c r="H143" s="355">
        <v>9318.929999999998</v>
      </c>
      <c r="I143" s="326">
        <f t="shared" si="1"/>
      </c>
      <c r="J143" s="326">
        <f t="shared" si="4"/>
      </c>
      <c r="K143" s="327">
        <f t="shared" si="2"/>
      </c>
      <c r="L143" s="324" t="s">
        <v>776</v>
      </c>
      <c r="M143" s="356">
        <v>10</v>
      </c>
      <c r="N143" s="330"/>
      <c r="O143" s="331"/>
      <c r="P143" s="331"/>
      <c r="Q143" s="325">
        <v>5.100673234811165</v>
      </c>
      <c r="R143" s="334">
        <v>0.2803890826366279</v>
      </c>
      <c r="S143" s="334">
        <v>0.016653905053598775</v>
      </c>
      <c r="T143" s="334">
        <v>0.017656603223218843</v>
      </c>
      <c r="U143" s="334">
        <v>0.11925658234383067</v>
      </c>
      <c r="V143" s="335">
        <v>30759.803921568626</v>
      </c>
      <c r="W143" s="334">
        <v>0.00816</v>
      </c>
      <c r="X143" s="335">
        <v>49.2</v>
      </c>
      <c r="Y143" s="336">
        <v>84.94612776197768</v>
      </c>
      <c r="Z143" s="335">
        <v>109704</v>
      </c>
      <c r="AA143" s="335">
        <v>1827</v>
      </c>
      <c r="AB143" s="335">
        <v>251</v>
      </c>
      <c r="AC143" s="335">
        <v>1937</v>
      </c>
      <c r="AD143" s="335">
        <v>231</v>
      </c>
      <c r="AE143" s="335">
        <v>17</v>
      </c>
      <c r="AF143" s="335">
        <v>3</v>
      </c>
      <c r="AG143" s="335">
        <v>36</v>
      </c>
    </row>
    <row customHeight="true" ht="16.071428571428573" r="144">
      <c r="A144" s="341" t="s">
        <v>809</v>
      </c>
      <c r="B144" s="342" t="s">
        <v>767</v>
      </c>
      <c r="C144" s="343"/>
      <c r="D144" s="343">
        <f>SUM(D140:D143)</f>
      </c>
      <c r="E144" s="343">
        <f>SUM(E140:E143)</f>
      </c>
      <c r="F144" s="343">
        <f>SUM(F140:F143)</f>
      </c>
      <c r="G144" s="343">
        <f>SUM(G140:G143)</f>
      </c>
      <c r="H144" s="343">
        <f>SUM(H140:H143)</f>
      </c>
      <c r="I144" s="344">
        <f t="shared" si="1"/>
      </c>
      <c r="J144" s="344">
        <f t="shared" si="4"/>
      </c>
      <c r="K144" s="344">
        <f t="shared" si="2"/>
      </c>
      <c r="L144" s="343"/>
      <c r="M144" s="345">
        <f>SUM(M140:M143)</f>
      </c>
      <c r="N144" s="343"/>
      <c r="O144" s="343"/>
      <c r="P144" s="343"/>
      <c r="Q144" s="346">
        <f>AVERAGE(Q140:Q143)</f>
      </c>
      <c r="R144" s="347">
        <f>AVERAGE(R140:R143)</f>
      </c>
      <c r="S144" s="347">
        <f>AVERAGE(S140:S143)</f>
      </c>
      <c r="T144" s="347">
        <f>AVERAGE(T140:T143)</f>
      </c>
      <c r="U144" s="347">
        <f>AVERAGE(U140:U143)</f>
      </c>
      <c r="V144" s="348">
        <f>SUM(V140:V143)</f>
      </c>
      <c r="W144" s="347">
        <f>AVERAGE(W140:W143)</f>
      </c>
      <c r="X144" s="348"/>
      <c r="Y144" s="346">
        <f>AVERAGE(Y140:Y143)</f>
      </c>
      <c r="Z144" s="348">
        <f>SUM(Z140:Z143)</f>
      </c>
      <c r="AA144" s="348">
        <f>SUM(AA140:AA143)</f>
      </c>
      <c r="AB144" s="348">
        <f>SUM(AB140:AB143)</f>
      </c>
      <c r="AC144" s="348">
        <f>SUM(AC140:AC143)</f>
      </c>
      <c r="AD144" s="348">
        <f>SUM(AD140:AD143)</f>
      </c>
      <c r="AE144" s="348">
        <f>SUM(AE140:AE143)</f>
      </c>
      <c r="AF144" s="348">
        <f>SUM(AF140:AF143)</f>
      </c>
      <c r="AG144" s="348">
        <f>SUM(AG140:AG143)</f>
      </c>
    </row>
    <row customHeight="true" ht="16.071428571428573" r="145">
      <c r="A145" s="321" t="s">
        <v>812</v>
      </c>
      <c r="B145" s="354" t="s">
        <v>772</v>
      </c>
      <c r="C145" s="323" t="s">
        <v>769</v>
      </c>
      <c r="D145" s="324">
        <v>5</v>
      </c>
      <c r="E145" s="339">
        <v>11</v>
      </c>
      <c r="F145" s="339">
        <v>16</v>
      </c>
      <c r="G145" s="339">
        <v>40481.03</v>
      </c>
      <c r="H145" s="340">
        <v>12938.77</v>
      </c>
      <c r="I145" s="326">
        <f t="shared" si="1"/>
      </c>
      <c r="J145" s="326">
        <f t="shared" si="4"/>
      </c>
      <c r="K145" s="327">
        <f t="shared" si="2"/>
      </c>
      <c r="L145" s="328" t="s">
        <v>813</v>
      </c>
      <c r="M145" s="329">
        <v>10</v>
      </c>
      <c r="N145" s="330"/>
      <c r="O145" s="331"/>
      <c r="P145" s="331"/>
      <c r="Q145" s="332">
        <v>4.944123041650745</v>
      </c>
      <c r="R145" s="333">
        <v>0.18694396496398924</v>
      </c>
      <c r="S145" s="334">
        <v>0.024300332423347632</v>
      </c>
      <c r="T145" s="334">
        <v>0.02547031403792226</v>
      </c>
      <c r="U145" s="334">
        <v>0.10390083849799489</v>
      </c>
      <c r="V145" s="335">
        <v>20132.743362831858</v>
      </c>
      <c r="W145" s="334">
        <v>0.022600000000000002</v>
      </c>
      <c r="X145" s="335">
        <v>42.8</v>
      </c>
      <c r="Y145" s="336">
        <v>120.14383345404572</v>
      </c>
      <c r="Z145" s="335">
        <v>107694</v>
      </c>
      <c r="AA145" s="335">
        <v>2617</v>
      </c>
      <c r="AB145" s="335">
        <v>455</v>
      </c>
      <c r="AC145" s="335">
        <v>2743</v>
      </c>
      <c r="AD145" s="335">
        <v>285</v>
      </c>
      <c r="AE145" s="335">
        <v>27</v>
      </c>
      <c r="AF145" s="337">
        <v>8</v>
      </c>
      <c r="AG145" s="335">
        <v>92</v>
      </c>
    </row>
    <row customHeight="true" ht="16.071428571428573" r="146">
      <c r="A146" s="321" t="s">
        <v>812</v>
      </c>
      <c r="B146" s="361" t="s">
        <v>765</v>
      </c>
      <c r="C146" s="323" t="s">
        <v>771</v>
      </c>
      <c r="D146" s="321">
        <v>5</v>
      </c>
      <c r="E146" s="338">
        <v>10</v>
      </c>
      <c r="F146" s="338">
        <v>13</v>
      </c>
      <c r="G146" s="338">
        <v>32219.609999999993</v>
      </c>
      <c r="H146" s="360">
        <v>9679.24</v>
      </c>
      <c r="I146" s="352">
        <f t="shared" si="1"/>
      </c>
      <c r="J146" s="326">
        <f t="shared" si="4"/>
      </c>
      <c r="K146" s="326">
        <f t="shared" si="2"/>
      </c>
      <c r="L146" s="328"/>
      <c r="M146" s="329"/>
      <c r="N146" s="330"/>
      <c r="O146" s="331"/>
      <c r="P146" s="331"/>
      <c r="Q146" s="325">
        <v>7.544224473889321</v>
      </c>
      <c r="R146" s="334">
        <v>0.24845868295941087</v>
      </c>
      <c r="S146" s="333">
        <v>0.01492224845601833</v>
      </c>
      <c r="T146" s="334">
        <v>0.01542237057886228</v>
      </c>
      <c r="U146" s="333">
        <v>0.17420814479638008</v>
      </c>
      <c r="V146" s="335">
        <v>21362.229102167188</v>
      </c>
      <c r="W146" s="334">
        <v>0.012919999999999997</v>
      </c>
      <c r="X146" s="335">
        <v>55.2</v>
      </c>
      <c r="Y146" s="336">
        <v>112.57679200735063</v>
      </c>
      <c r="Z146" s="335">
        <v>85979</v>
      </c>
      <c r="AA146" s="335">
        <v>1283</v>
      </c>
      <c r="AB146" s="335">
        <v>276</v>
      </c>
      <c r="AC146" s="335">
        <v>1326</v>
      </c>
      <c r="AD146" s="335">
        <v>231</v>
      </c>
      <c r="AE146" s="335">
        <v>10</v>
      </c>
      <c r="AF146" s="335">
        <v>5</v>
      </c>
      <c r="AG146" s="335">
        <v>38</v>
      </c>
    </row>
    <row customHeight="true" ht="16.071428571428573" r="147">
      <c r="A147" s="321" t="s">
        <v>812</v>
      </c>
      <c r="B147" s="361" t="s">
        <v>770</v>
      </c>
      <c r="C147" s="323" t="s">
        <v>773</v>
      </c>
      <c r="D147" s="321">
        <v>5</v>
      </c>
      <c r="E147" s="362">
        <v>10</v>
      </c>
      <c r="F147" s="362">
        <v>13</v>
      </c>
      <c r="G147" s="362">
        <v>29117.1</v>
      </c>
      <c r="H147" s="362">
        <v>9081.27</v>
      </c>
      <c r="I147" s="352">
        <f t="shared" si="1"/>
      </c>
      <c r="J147" s="326">
        <f t="shared" si="4"/>
      </c>
      <c r="K147" s="326">
        <f t="shared" si="2"/>
      </c>
      <c r="L147" s="353"/>
      <c r="M147" s="353"/>
      <c r="N147" s="330"/>
      <c r="O147" s="331"/>
      <c r="P147" s="331"/>
      <c r="Q147" s="325">
        <v>4.747135389440669</v>
      </c>
      <c r="R147" s="334">
        <v>0.27562221041752466</v>
      </c>
      <c r="S147" s="334">
        <v>0.02070480767149382</v>
      </c>
      <c r="T147" s="334">
        <v>0.021484079052752344</v>
      </c>
      <c r="U147" s="334">
        <v>0.10277078085642317</v>
      </c>
      <c r="V147" s="335">
        <v>25465.838509316774</v>
      </c>
      <c r="W147" s="334">
        <v>0.009659999999999998</v>
      </c>
      <c r="X147" s="335">
        <v>56.2</v>
      </c>
      <c r="Y147" s="336">
        <v>98.28852522891097</v>
      </c>
      <c r="Z147" s="335">
        <v>92394</v>
      </c>
      <c r="AA147" s="335">
        <v>1913</v>
      </c>
      <c r="AB147" s="335">
        <v>246</v>
      </c>
      <c r="AC147" s="335">
        <v>1985</v>
      </c>
      <c r="AD147" s="335">
        <v>204</v>
      </c>
      <c r="AE147" s="335">
        <v>11</v>
      </c>
      <c r="AF147" s="335">
        <v>7</v>
      </c>
      <c r="AG147" s="335">
        <v>32</v>
      </c>
    </row>
    <row customHeight="true" ht="16.071428571428573" r="148">
      <c r="A148" s="321" t="s">
        <v>812</v>
      </c>
      <c r="B148" s="354" t="s">
        <v>762</v>
      </c>
      <c r="C148" s="323" t="s">
        <v>775</v>
      </c>
      <c r="D148" s="324">
        <v>5</v>
      </c>
      <c r="E148" s="328">
        <v>12</v>
      </c>
      <c r="F148" s="328">
        <v>17</v>
      </c>
      <c r="G148" s="328">
        <v>38575.20000000001</v>
      </c>
      <c r="H148" s="355">
        <v>9488.03</v>
      </c>
      <c r="I148" s="326">
        <f t="shared" si="1"/>
      </c>
      <c r="J148" s="326">
        <f t="shared" si="4"/>
      </c>
      <c r="K148" s="327">
        <f t="shared" si="2"/>
      </c>
      <c r="L148" s="324" t="s">
        <v>776</v>
      </c>
      <c r="M148" s="356">
        <v>10</v>
      </c>
      <c r="N148" s="330"/>
      <c r="O148" s="331"/>
      <c r="P148" s="331"/>
      <c r="Q148" s="325">
        <v>4.8706519507186865</v>
      </c>
      <c r="R148" s="334">
        <v>0.2566007456103083</v>
      </c>
      <c r="S148" s="334">
        <v>0.020500515670055355</v>
      </c>
      <c r="T148" s="334">
        <v>0.021058281240133862</v>
      </c>
      <c r="U148" s="334">
        <v>0.11944027986006997</v>
      </c>
      <c r="V148" s="335">
        <v>24382.716049382718</v>
      </c>
      <c r="W148" s="334">
        <v>0.00972</v>
      </c>
      <c r="X148" s="335">
        <v>59.8</v>
      </c>
      <c r="Y148" s="336">
        <v>99.85087663909411</v>
      </c>
      <c r="Z148" s="335">
        <v>95022</v>
      </c>
      <c r="AA148" s="335">
        <v>1948</v>
      </c>
      <c r="AB148" s="335">
        <v>237</v>
      </c>
      <c r="AC148" s="335">
        <v>2001</v>
      </c>
      <c r="AD148" s="335">
        <v>239</v>
      </c>
      <c r="AE148" s="335">
        <v>12</v>
      </c>
      <c r="AF148" s="335">
        <v>4</v>
      </c>
      <c r="AG148" s="335">
        <v>55</v>
      </c>
    </row>
    <row customHeight="true" ht="16.071428571428573" r="149">
      <c r="A149" s="341" t="s">
        <v>812</v>
      </c>
      <c r="B149" s="342" t="s">
        <v>767</v>
      </c>
      <c r="C149" s="343"/>
      <c r="D149" s="343">
        <f>SUM(D145:D148)</f>
      </c>
      <c r="E149" s="343">
        <f>SUM(E145:E148)</f>
      </c>
      <c r="F149" s="343">
        <f>SUM(F145:F148)</f>
      </c>
      <c r="G149" s="343">
        <f>SUM(G145:G148)</f>
      </c>
      <c r="H149" s="343">
        <f>SUM(H145:H148)</f>
      </c>
      <c r="I149" s="344">
        <f t="shared" si="1"/>
      </c>
      <c r="J149" s="344">
        <f t="shared" si="4"/>
      </c>
      <c r="K149" s="344">
        <f t="shared" si="2"/>
      </c>
      <c r="L149" s="343"/>
      <c r="M149" s="345">
        <f>SUM(M145:M148)</f>
      </c>
      <c r="N149" s="343"/>
      <c r="O149" s="343"/>
      <c r="P149" s="343"/>
      <c r="Q149" s="346">
        <f>AVERAGE(Q145:Q148)</f>
      </c>
      <c r="R149" s="347">
        <f>AVERAGE(R145:R148)</f>
      </c>
      <c r="S149" s="347">
        <f>AVERAGE(S145:S148)</f>
      </c>
      <c r="T149" s="347">
        <f>AVERAGE(T145:T148)</f>
      </c>
      <c r="U149" s="347">
        <f>AVERAGE(U145:U148)</f>
      </c>
      <c r="V149" s="348">
        <f>SUM(V145:V148)</f>
      </c>
      <c r="W149" s="347">
        <f>AVERAGE(W145:W148)</f>
      </c>
      <c r="X149" s="348"/>
      <c r="Y149" s="346">
        <f>AVERAGE(Y145:Y148)</f>
      </c>
      <c r="Z149" s="348">
        <f>SUM(Z145:Z148)</f>
      </c>
      <c r="AA149" s="348">
        <f>SUM(AA145:AA148)</f>
      </c>
      <c r="AB149" s="348">
        <f>SUM(AB145:AB148)</f>
      </c>
      <c r="AC149" s="348">
        <f>SUM(AC145:AC148)</f>
      </c>
      <c r="AD149" s="348">
        <f>SUM(AD145:AD148)</f>
      </c>
      <c r="AE149" s="348">
        <f>SUM(AE145:AE148)</f>
      </c>
      <c r="AF149" s="348">
        <f>SUM(AF145:AF148)</f>
      </c>
      <c r="AG149" s="348">
        <f>SUM(AG145:AG148)</f>
      </c>
    </row>
    <row customHeight="true" ht="16.071428571428573" r="150">
      <c r="A150" s="321" t="s">
        <v>814</v>
      </c>
      <c r="B150" s="354" t="s">
        <v>774</v>
      </c>
      <c r="C150" s="323" t="s">
        <v>769</v>
      </c>
      <c r="D150" s="363">
        <f t="shared" ref="D150:D151" si="3">5-1</f>
      </c>
      <c r="E150" s="339">
        <v>7</v>
      </c>
      <c r="F150" s="339">
        <v>9</v>
      </c>
      <c r="G150" s="339">
        <v>21099.029999999995</v>
      </c>
      <c r="H150" s="340">
        <v>12412.79</v>
      </c>
      <c r="I150" s="326">
        <f t="shared" si="1"/>
      </c>
      <c r="J150" s="326">
        <f t="shared" si="4"/>
      </c>
      <c r="K150" s="327">
        <f t="shared" si="2"/>
      </c>
      <c r="L150" s="328" t="s">
        <v>803</v>
      </c>
      <c r="M150" s="329">
        <v>10</v>
      </c>
      <c r="N150" s="330"/>
      <c r="O150" s="331"/>
      <c r="P150" s="331"/>
      <c r="Q150" s="332">
        <v>4.873494307027876</v>
      </c>
      <c r="R150" s="333">
        <v>0.2573351802867142</v>
      </c>
      <c r="S150" s="334">
        <v>0.024066899744873853</v>
      </c>
      <c r="T150" s="334">
        <v>0.025134649910233394</v>
      </c>
      <c r="U150" s="334">
        <v>0.07894736842105263</v>
      </c>
      <c r="V150" s="335">
        <v>27233.782129742962</v>
      </c>
      <c r="W150" s="334">
        <v>0.01634</v>
      </c>
      <c r="X150" s="335">
        <v>39.8</v>
      </c>
      <c r="Y150" s="336">
        <v>117.28989889445337</v>
      </c>
      <c r="Z150" s="335">
        <v>105830</v>
      </c>
      <c r="AA150" s="335">
        <v>2547</v>
      </c>
      <c r="AB150" s="335">
        <v>445</v>
      </c>
      <c r="AC150" s="335">
        <v>2660</v>
      </c>
      <c r="AD150" s="335">
        <v>210</v>
      </c>
      <c r="AE150" s="335">
        <v>13</v>
      </c>
      <c r="AF150" s="337">
        <v>2</v>
      </c>
      <c r="AG150" s="335">
        <v>71</v>
      </c>
    </row>
    <row customHeight="true" ht="16.071428571428573" r="151">
      <c r="A151" s="321" t="s">
        <v>814</v>
      </c>
      <c r="B151" s="361" t="s">
        <v>770</v>
      </c>
      <c r="C151" s="323" t="s">
        <v>771</v>
      </c>
      <c r="D151" s="364">
        <f t="shared" si="3"/>
      </c>
      <c r="E151" s="338">
        <v>8</v>
      </c>
      <c r="F151" s="338">
        <v>10</v>
      </c>
      <c r="G151" s="338">
        <v>25978.120000000003</v>
      </c>
      <c r="H151" s="360">
        <v>9936.34</v>
      </c>
      <c r="I151" s="352">
        <f t="shared" si="1"/>
      </c>
      <c r="J151" s="326">
        <f t="shared" si="4"/>
      </c>
      <c r="K151" s="326">
        <f t="shared" si="2"/>
      </c>
      <c r="L151" s="328"/>
      <c r="M151" s="329"/>
      <c r="N151" s="330"/>
      <c r="O151" s="331"/>
      <c r="P151" s="331"/>
      <c r="Q151" s="325">
        <v>6.895447605829285</v>
      </c>
      <c r="R151" s="334">
        <v>0.22503377091308557</v>
      </c>
      <c r="S151" s="333">
        <v>0.019182385750988407</v>
      </c>
      <c r="T151" s="334">
        <v>0.020021032733856046</v>
      </c>
      <c r="U151" s="333">
        <v>0.14960106382978725</v>
      </c>
      <c r="V151" s="335">
        <v>16904.7619047619</v>
      </c>
      <c r="W151" s="334">
        <v>0.016800000000000002</v>
      </c>
      <c r="X151" s="335">
        <v>44.2</v>
      </c>
      <c r="Y151" s="336">
        <v>132.2711359007468</v>
      </c>
      <c r="Z151" s="335">
        <v>75121</v>
      </c>
      <c r="AA151" s="335">
        <v>1441</v>
      </c>
      <c r="AB151" s="335">
        <v>284</v>
      </c>
      <c r="AC151" s="335">
        <v>1504</v>
      </c>
      <c r="AD151" s="335">
        <v>225</v>
      </c>
      <c r="AE151" s="335">
        <v>11</v>
      </c>
      <c r="AF151" s="335">
        <v>6</v>
      </c>
      <c r="AG151" s="335">
        <v>42</v>
      </c>
    </row>
    <row r="152">
      <c r="A152" s="321" t="s">
        <v>814</v>
      </c>
      <c r="B152" s="361" t="s">
        <v>765</v>
      </c>
      <c r="C152" s="323" t="s">
        <v>773</v>
      </c>
      <c r="D152" s="364">
        <f t="shared" ref="D152:D153" si="0">5-0.5</f>
      </c>
      <c r="E152" s="362">
        <v>11</v>
      </c>
      <c r="F152" s="362">
        <v>14</v>
      </c>
      <c r="G152" s="362">
        <v>35415.33</v>
      </c>
      <c r="H152" s="362">
        <v>9425.12</v>
      </c>
      <c r="I152" s="352">
        <f t="shared" si="1"/>
      </c>
      <c r="J152" s="326">
        <f t="shared" si="4"/>
      </c>
      <c r="K152" s="326">
        <f t="shared" si="2"/>
      </c>
      <c r="L152" s="353"/>
      <c r="M152" s="353"/>
      <c r="N152" s="330"/>
      <c r="O152" s="331"/>
      <c r="P152" s="331"/>
      <c r="Q152" s="325">
        <v>6.6141192982456145</v>
      </c>
      <c r="R152" s="334">
        <v>0.22728612580439442</v>
      </c>
      <c r="S152" s="334">
        <v>0.018046198267564966</v>
      </c>
      <c r="T152" s="334">
        <v>0.01809685426270199</v>
      </c>
      <c r="U152" s="334">
        <v>0.2092372288313506</v>
      </c>
      <c r="V152" s="335">
        <v>17947.4216380182</v>
      </c>
      <c r="W152" s="334">
        <v>0.01978</v>
      </c>
      <c r="X152" s="335">
        <v>51.6</v>
      </c>
      <c r="Y152" s="336">
        <v>119.35970822146803</v>
      </c>
      <c r="Z152" s="335">
        <v>78964</v>
      </c>
      <c r="AA152" s="335">
        <v>1425</v>
      </c>
      <c r="AB152" s="335">
        <v>355</v>
      </c>
      <c r="AC152" s="335">
        <v>1429</v>
      </c>
      <c r="AD152" s="335">
        <v>299</v>
      </c>
      <c r="AE152" s="335">
        <v>11</v>
      </c>
      <c r="AF152" s="335">
        <v>7</v>
      </c>
      <c r="AG152" s="335">
        <v>62</v>
      </c>
    </row>
    <row r="153">
      <c r="A153" s="321" t="s">
        <v>814</v>
      </c>
      <c r="B153" s="354" t="s">
        <v>762</v>
      </c>
      <c r="C153" s="323" t="s">
        <v>775</v>
      </c>
      <c r="D153" s="363">
        <f t="shared" si="0"/>
      </c>
      <c r="E153" s="328">
        <v>12</v>
      </c>
      <c r="F153" s="328">
        <v>14</v>
      </c>
      <c r="G153" s="328">
        <v>30929.820000000007</v>
      </c>
      <c r="H153" s="355">
        <v>7196.93</v>
      </c>
      <c r="I153" s="326">
        <f t="shared" si="1"/>
      </c>
      <c r="J153" s="326">
        <f t="shared" si="4"/>
      </c>
      <c r="K153" s="327">
        <f t="shared" si="2"/>
      </c>
      <c r="L153" s="324" t="s">
        <v>776</v>
      </c>
      <c r="M153" s="356">
        <v>10</v>
      </c>
      <c r="N153" s="330"/>
      <c r="O153" s="331"/>
      <c r="P153" s="331"/>
      <c r="Q153" s="325">
        <v>4.942946428571429</v>
      </c>
      <c r="R153" s="334">
        <v>0.29639333767055587</v>
      </c>
      <c r="S153" s="334">
        <v>0.021512048815803084</v>
      </c>
      <c r="T153" s="334">
        <v>0.022236011997104146</v>
      </c>
      <c r="U153" s="334">
        <v>0.12358803986710963</v>
      </c>
      <c r="V153" s="335">
        <v>20060.79027355623</v>
      </c>
      <c r="W153" s="334">
        <v>0.01316</v>
      </c>
      <c r="X153" s="335">
        <v>54.2</v>
      </c>
      <c r="Y153" s="336">
        <v>106.33290486532808</v>
      </c>
      <c r="Z153" s="335">
        <v>67683</v>
      </c>
      <c r="AA153" s="335">
        <v>1456</v>
      </c>
      <c r="AB153" s="335">
        <v>264</v>
      </c>
      <c r="AC153" s="335">
        <v>1505</v>
      </c>
      <c r="AD153" s="335">
        <v>186</v>
      </c>
      <c r="AE153" s="335">
        <v>17</v>
      </c>
      <c r="AF153" s="335">
        <v>1</v>
      </c>
      <c r="AG153" s="335">
        <v>32</v>
      </c>
    </row>
    <row r="154">
      <c r="A154" s="341" t="s">
        <v>814</v>
      </c>
      <c r="B154" s="342" t="s">
        <v>767</v>
      </c>
      <c r="C154" s="343"/>
      <c r="D154" s="343">
        <f>SUM(D150:D153)</f>
      </c>
      <c r="E154" s="343">
        <f>SUM(E150:E153)</f>
      </c>
      <c r="F154" s="343">
        <f>SUM(F150:F153)</f>
      </c>
      <c r="G154" s="343">
        <f>SUM(G150:G153)</f>
      </c>
      <c r="H154" s="343">
        <f>SUM(H150:H153)</f>
      </c>
      <c r="I154" s="344">
        <f t="shared" si="1"/>
      </c>
      <c r="J154" s="344">
        <f t="shared" si="4"/>
      </c>
      <c r="K154" s="344">
        <f t="shared" si="2"/>
      </c>
      <c r="L154" s="343"/>
      <c r="M154" s="345">
        <f>SUM(M150:M153)</f>
      </c>
      <c r="N154" s="343"/>
      <c r="O154" s="343"/>
      <c r="P154" s="343"/>
      <c r="Q154" s="346">
        <f>AVERAGE(Q150:Q153)</f>
      </c>
      <c r="R154" s="347">
        <f>AVERAGE(R150:R153)</f>
      </c>
      <c r="S154" s="347">
        <f>AVERAGE(S150:S153)</f>
      </c>
      <c r="T154" s="347">
        <f>AVERAGE(T150:T153)</f>
      </c>
      <c r="U154" s="347">
        <f>AVERAGE(U150:U153)</f>
      </c>
      <c r="V154" s="348">
        <f>SUM(V150:V153)</f>
      </c>
      <c r="W154" s="347">
        <f>AVERAGE(W150:W153)</f>
      </c>
      <c r="X154" s="348"/>
      <c r="Y154" s="346">
        <f>AVERAGE(Y150:Y153)</f>
      </c>
      <c r="Z154" s="348">
        <f>SUM(Z150:Z153)</f>
      </c>
      <c r="AA154" s="348">
        <f>SUM(AA150:AA153)</f>
      </c>
      <c r="AB154" s="348">
        <f>SUM(AB150:AB153)</f>
      </c>
      <c r="AC154" s="348">
        <f>SUM(AC150:AC153)</f>
      </c>
      <c r="AD154" s="348">
        <f>SUM(AD150:AD153)</f>
      </c>
      <c r="AE154" s="348">
        <f>SUM(AE150:AE153)</f>
      </c>
      <c r="AF154" s="348">
        <f>SUM(AF150:AF153)</f>
      </c>
      <c r="AG154" s="348">
        <f>SUM(AG150:AG153)</f>
      </c>
    </row>
    <row r="155">
      <c r="P155" s="365"/>
    </row>
    <row r="156">
      <c r="H156" s="366"/>
      <c r="P156" s="365"/>
    </row>
    <row r="157"/>
    <row r="158"/>
    <row r="159"/>
    <row r="160">
      <c r="R160" s="366"/>
      <c r="S160" s="366"/>
    </row>
    <row r="161">
      <c r="R161" s="365"/>
      <c r="S161" s="365"/>
    </row>
    <row r="162">
      <c r="R162" s="365"/>
      <c r="S162" s="365"/>
    </row>
    <row r="163">
      <c r="R163" s="365"/>
      <c r="S163" s="365"/>
    </row>
    <row r="164">
      <c r="R164" s="365"/>
      <c r="S164" s="365"/>
    </row>
    <row r="165">
      <c r="R165" s="365"/>
      <c r="S165" s="365"/>
    </row>
    <row r="166">
      <c r="R166" s="365"/>
      <c r="S166" s="365"/>
    </row>
    <row r="167"/>
    <row r="168"/>
    <row r="169"/>
    <row r="170">
      <c r="P170" s="366"/>
    </row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>
      <c r="F189">
        <f>F58+F53+F43+F48+F33+F28+F38</f>
      </c>
      <c r="G189">
        <f>G58+G53+G43+G48+G33+G28+G38</f>
      </c>
      <c r="H189">
        <f>H58+H53+H43+H48+H33+H28+H38</f>
      </c>
    </row>
    <row r="190">
      <c r="F190">
        <f>F55+F50+F45+F40+F35+F30+F25</f>
      </c>
      <c r="G190">
        <f>G55+G50+G45+G40+G35+G30+G25</f>
      </c>
      <c r="H190">
        <f>H55+H50+H45+H40+H35+H30+H25</f>
      </c>
    </row>
    <row r="191"/>
    <row r="192">
      <c r="G192" s="367"/>
      <c r="H192" s="368"/>
      <c r="I192" s="369"/>
      <c r="J192" s="370"/>
    </row>
    <row r="193">
      <c r="G193" s="370"/>
      <c r="H193" s="370"/>
      <c r="I193" s="370"/>
      <c r="J193" s="370"/>
    </row>
    <row r="194"/>
    <row r="195">
      <c r="B195" s="371"/>
      <c r="D195" s="371"/>
      <c r="F195" s="371"/>
      <c r="J195" s="366"/>
      <c r="K195" s="366"/>
    </row>
    <row r="196">
      <c r="E196" s="371"/>
    </row>
  </sheetData>
  <autoFilter ref="A1:AG193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</cols>
  <sheetData>
    <row r="1">
      <c r="A1" s="372" t="s">
        <v>815</v>
      </c>
      <c r="B1" s="373" t="s">
        <v>816</v>
      </c>
      <c r="C1" s="373" t="s">
        <v>817</v>
      </c>
      <c r="D1" s="373" t="s">
        <v>818</v>
      </c>
      <c r="E1" s="372" t="s">
        <v>819</v>
      </c>
      <c r="F1" s="373" t="s">
        <v>820</v>
      </c>
      <c r="G1" s="373" t="s">
        <v>821</v>
      </c>
      <c r="H1" s="373" t="s">
        <v>822</v>
      </c>
      <c r="I1" s="374" t="s">
        <v>823</v>
      </c>
      <c r="J1" s="374" t="s">
        <v>824</v>
      </c>
      <c r="K1" s="374" t="s">
        <v>825</v>
      </c>
      <c r="L1" s="373" t="s">
        <v>826</v>
      </c>
      <c r="M1" s="375" t="s">
        <v>827</v>
      </c>
      <c r="N1" s="373" t="s">
        <v>828</v>
      </c>
      <c r="O1" s="373" t="s">
        <v>829</v>
      </c>
      <c r="P1" s="373"/>
      <c r="Q1" s="373" t="s">
        <v>830</v>
      </c>
      <c r="R1" s="376" t="s">
        <v>831</v>
      </c>
      <c r="S1" s="376" t="s">
        <v>832</v>
      </c>
      <c r="T1" s="376" t="s">
        <v>833</v>
      </c>
      <c r="U1" s="376" t="s">
        <v>834</v>
      </c>
      <c r="V1" s="377" t="s">
        <v>835</v>
      </c>
      <c r="W1" s="376" t="s">
        <v>836</v>
      </c>
      <c r="X1" s="377" t="s">
        <v>837</v>
      </c>
      <c r="Y1" s="378" t="s">
        <v>838</v>
      </c>
      <c r="Z1" s="379" t="s">
        <v>839</v>
      </c>
      <c r="AA1" s="377" t="s">
        <v>840</v>
      </c>
      <c r="AB1" s="377" t="s">
        <v>841</v>
      </c>
      <c r="AC1" s="377" t="s">
        <v>842</v>
      </c>
      <c r="AD1" s="377" t="s">
        <v>843</v>
      </c>
      <c r="AE1" s="377" t="s">
        <v>844</v>
      </c>
      <c r="AF1" s="377" t="s">
        <v>845</v>
      </c>
      <c r="AG1" s="377" t="s">
        <v>846</v>
      </c>
    </row>
    <row r="2">
      <c r="A2" s="380" t="s">
        <v>847</v>
      </c>
      <c r="B2" s="381" t="s">
        <v>848</v>
      </c>
      <c r="C2" s="382" t="s">
        <v>849</v>
      </c>
      <c r="D2" s="383">
        <v>4</v>
      </c>
      <c r="E2" s="383">
        <v>5</v>
      </c>
      <c r="F2" s="383">
        <v>7</v>
      </c>
      <c r="G2" s="383">
        <v>15839.599999999999</v>
      </c>
      <c r="H2" s="384">
        <v>9956.91</v>
      </c>
      <c r="I2" s="385">
        <f t="shared" ref="I2:I165" si="22">G2/H2</f>
      </c>
      <c r="J2" s="385">
        <f t="shared" ref="J2:J3" si="1">G2/F2</f>
      </c>
      <c r="K2" s="385">
        <f t="shared" ref="K2:K3" si="23">H2/F2</f>
      </c>
      <c r="L2" s="383" t="s">
        <v>850</v>
      </c>
      <c r="M2" s="386">
        <v>10</v>
      </c>
      <c r="N2" s="387"/>
      <c r="O2" s="387"/>
      <c r="P2" s="387"/>
      <c r="Q2" s="388">
        <v>3.395944747612551</v>
      </c>
      <c r="R2" s="389">
        <v>0.23889294165462258</v>
      </c>
      <c r="S2" s="390">
        <v>0.024810662153585784</v>
      </c>
      <c r="T2" s="390">
        <v>0.026088428178548763</v>
      </c>
      <c r="U2" s="390">
        <v>0.05416801816412585</v>
      </c>
      <c r="V2" s="391">
        <v>28231.173380035023</v>
      </c>
      <c r="W2" s="390">
        <v>0.014275000000000001</v>
      </c>
      <c r="X2" s="391">
        <v>30.75</v>
      </c>
      <c r="Y2" s="392">
        <v>84.25563782525914</v>
      </c>
      <c r="Z2" s="391">
        <v>118175</v>
      </c>
      <c r="AA2" s="391">
        <v>2932</v>
      </c>
      <c r="AB2" s="391">
        <v>403</v>
      </c>
      <c r="AC2" s="391">
        <v>3083</v>
      </c>
      <c r="AD2" s="391">
        <v>167</v>
      </c>
      <c r="AE2" s="391">
        <v>26</v>
      </c>
      <c r="AF2" s="391">
        <v>2</v>
      </c>
      <c r="AG2" s="391">
        <v>126</v>
      </c>
    </row>
    <row r="3">
      <c r="A3" s="380" t="s">
        <v>847</v>
      </c>
      <c r="B3" s="381" t="s">
        <v>851</v>
      </c>
      <c r="C3" s="382" t="s">
        <v>852</v>
      </c>
      <c r="D3" s="383">
        <v>4</v>
      </c>
      <c r="E3" s="393">
        <v>17</v>
      </c>
      <c r="F3" s="393">
        <v>19</v>
      </c>
      <c r="G3" s="393">
        <v>39593.53</v>
      </c>
      <c r="H3" s="394">
        <v>13610.760000000002</v>
      </c>
      <c r="I3" s="385">
        <f t="shared" si="22"/>
      </c>
      <c r="J3" s="385">
        <f t="shared" si="1"/>
      </c>
      <c r="K3" s="385">
        <f t="shared" si="23"/>
      </c>
      <c r="L3" s="393"/>
      <c r="M3" s="393"/>
      <c r="N3" s="387"/>
      <c r="O3" s="387"/>
      <c r="P3" s="387"/>
      <c r="Q3" s="384">
        <v>7.466132748217225</v>
      </c>
      <c r="R3" s="390">
        <v>0.13105573652069802</v>
      </c>
      <c r="S3" s="389">
        <v>0.01219340900426067</v>
      </c>
      <c r="T3" s="390">
        <v>0.012320493354826196</v>
      </c>
      <c r="U3" s="389">
        <v>0.18566775244299674</v>
      </c>
      <c r="V3" s="391">
        <v>19593.75</v>
      </c>
      <c r="W3" s="390">
        <v>0.032</v>
      </c>
      <c r="X3" s="391">
        <v>63.75</v>
      </c>
      <c r="Y3" s="392">
        <v>91.03761027911737</v>
      </c>
      <c r="Z3" s="391">
        <v>149507</v>
      </c>
      <c r="AA3" s="391">
        <v>1823</v>
      </c>
      <c r="AB3" s="391">
        <v>627</v>
      </c>
      <c r="AC3" s="391">
        <v>1842</v>
      </c>
      <c r="AD3" s="391">
        <v>342</v>
      </c>
      <c r="AE3" s="391">
        <v>31</v>
      </c>
      <c r="AF3" s="391">
        <v>5</v>
      </c>
      <c r="AG3" s="391">
        <v>206</v>
      </c>
    </row>
    <row r="4">
      <c r="A4" s="380" t="s">
        <v>847</v>
      </c>
      <c r="B4" s="395" t="s">
        <v>853</v>
      </c>
      <c r="C4" s="382" t="s">
        <v>854</v>
      </c>
      <c r="D4" s="380">
        <v>4</v>
      </c>
      <c r="E4" s="396">
        <v>14</v>
      </c>
      <c r="F4" s="396">
        <v>16</v>
      </c>
      <c r="G4" s="397">
        <v>33112.320000000014</v>
      </c>
      <c r="H4" s="397">
        <v>12618.560000000001</v>
      </c>
      <c r="I4" s="398">
        <f t="shared" si="22"/>
      </c>
      <c r="J4" s="385">
        <f>G5/F5</f>
      </c>
      <c r="K4" s="399">
        <f>H5/F5</f>
      </c>
      <c r="L4" s="400"/>
      <c r="M4" s="400"/>
      <c r="N4" s="401"/>
      <c r="O4" s="387"/>
      <c r="P4" s="387"/>
      <c r="Q4" s="384">
        <v>7.344912689173459</v>
      </c>
      <c r="R4" s="390">
        <v>0.1705669535910212</v>
      </c>
      <c r="S4" s="390">
        <v>0.014347034556477877</v>
      </c>
      <c r="T4" s="390">
        <v>0.01448065071067092</v>
      </c>
      <c r="U4" s="390">
        <v>0.17935409457900808</v>
      </c>
      <c r="V4" s="391">
        <v>20424.710424710425</v>
      </c>
      <c r="W4" s="390">
        <v>0.0259</v>
      </c>
      <c r="X4" s="391">
        <v>71.75</v>
      </c>
      <c r="Y4" s="392">
        <v>105.37771616588446</v>
      </c>
      <c r="Z4" s="391">
        <v>119746</v>
      </c>
      <c r="AA4" s="391">
        <v>1718</v>
      </c>
      <c r="AB4" s="391">
        <v>529</v>
      </c>
      <c r="AC4" s="391">
        <v>1734</v>
      </c>
      <c r="AD4" s="391">
        <v>311</v>
      </c>
      <c r="AE4" s="391">
        <v>24</v>
      </c>
      <c r="AF4" s="391">
        <v>9</v>
      </c>
      <c r="AG4" s="391">
        <v>137</v>
      </c>
    </row>
    <row r="5">
      <c r="A5" s="380" t="s">
        <v>847</v>
      </c>
      <c r="B5" s="381" t="s">
        <v>855</v>
      </c>
      <c r="C5" s="382" t="s">
        <v>856</v>
      </c>
      <c r="D5" s="383">
        <v>4</v>
      </c>
      <c r="E5" s="402">
        <v>19</v>
      </c>
      <c r="F5" s="402">
        <v>21</v>
      </c>
      <c r="G5" s="402">
        <v>39674.97</v>
      </c>
      <c r="H5" s="403">
        <v>13267.960000000001</v>
      </c>
      <c r="I5" s="385">
        <f t="shared" si="22"/>
      </c>
      <c r="J5" s="385">
        <f t="shared" ref="J5:J9" si="2">G5/F5</f>
      </c>
      <c r="K5" s="399">
        <f t="shared" ref="K5:K9" si="24">H5/F5</f>
      </c>
      <c r="L5" s="404"/>
      <c r="M5" s="404"/>
      <c r="N5" s="401"/>
      <c r="O5" s="387"/>
      <c r="P5" s="387"/>
      <c r="Q5" s="384">
        <v>7.156396979503776</v>
      </c>
      <c r="R5" s="390">
        <v>0.18910026415683143</v>
      </c>
      <c r="S5" s="390">
        <v>0.014080121511296754</v>
      </c>
      <c r="T5" s="390">
        <v>0.014080121511296754</v>
      </c>
      <c r="U5" s="390">
        <v>0.15156418554476808</v>
      </c>
      <c r="V5" s="391">
        <v>24899.777282850777</v>
      </c>
      <c r="W5" s="390">
        <v>0.02245</v>
      </c>
      <c r="X5" s="391">
        <v>72.5</v>
      </c>
      <c r="Y5" s="392">
        <v>100.76293905449023</v>
      </c>
      <c r="Z5" s="391">
        <v>131675</v>
      </c>
      <c r="AA5" s="391">
        <v>1854</v>
      </c>
      <c r="AB5" s="391">
        <v>559</v>
      </c>
      <c r="AC5" s="391">
        <v>1854</v>
      </c>
      <c r="AD5" s="391">
        <v>281</v>
      </c>
      <c r="AE5" s="391">
        <v>29</v>
      </c>
      <c r="AF5" s="391">
        <v>5</v>
      </c>
      <c r="AG5" s="391">
        <v>120</v>
      </c>
    </row>
    <row r="6">
      <c r="A6" s="380" t="s">
        <v>847</v>
      </c>
      <c r="B6" s="381" t="s">
        <v>857</v>
      </c>
      <c r="C6" s="382" t="s">
        <v>858</v>
      </c>
      <c r="D6" s="383">
        <v>4</v>
      </c>
      <c r="E6" s="383">
        <v>13</v>
      </c>
      <c r="F6" s="383">
        <v>17</v>
      </c>
      <c r="G6" s="383">
        <v>33976.82999999998</v>
      </c>
      <c r="H6" s="384">
        <v>10988.75</v>
      </c>
      <c r="I6" s="385">
        <f t="shared" si="22"/>
      </c>
      <c r="J6" s="385">
        <f t="shared" si="2"/>
      </c>
      <c r="K6" s="399">
        <f t="shared" si="24"/>
      </c>
      <c r="L6" s="383" t="s">
        <v>859</v>
      </c>
      <c r="M6" s="386">
        <v>10</v>
      </c>
      <c r="N6" s="401"/>
      <c r="O6" s="387"/>
      <c r="P6" s="387"/>
      <c r="Q6" s="392">
        <v>4.5615400581154</v>
      </c>
      <c r="R6" s="390">
        <v>0.26543860809227915</v>
      </c>
      <c r="S6" s="390">
        <v>0.01962605401442014</v>
      </c>
      <c r="T6" s="390">
        <v>0.0208236588048393</v>
      </c>
      <c r="U6" s="390">
        <v>0.09115805946791862</v>
      </c>
      <c r="V6" s="391">
        <v>32581.261950286807</v>
      </c>
      <c r="W6" s="390">
        <v>0.013075</v>
      </c>
      <c r="X6" s="391">
        <v>73.25</v>
      </c>
      <c r="Y6" s="392">
        <v>89.52503156951404</v>
      </c>
      <c r="Z6" s="391">
        <v>122745</v>
      </c>
      <c r="AA6" s="391">
        <v>2409</v>
      </c>
      <c r="AB6" s="391">
        <v>426</v>
      </c>
      <c r="AC6" s="391">
        <v>2556</v>
      </c>
      <c r="AD6" s="391">
        <v>233</v>
      </c>
      <c r="AE6" s="391">
        <v>30</v>
      </c>
      <c r="AF6" s="391">
        <v>1</v>
      </c>
      <c r="AG6" s="405">
        <v>142</v>
      </c>
    </row>
    <row r="7">
      <c r="A7" s="406" t="s">
        <v>847</v>
      </c>
      <c r="B7" s="407" t="s">
        <v>860</v>
      </c>
      <c r="C7" s="408"/>
      <c r="D7" s="408">
        <f>SUM(D2:D6)</f>
      </c>
      <c r="E7" s="408">
        <f>SUM(E2:E6)</f>
      </c>
      <c r="F7" s="408">
        <f>SUM(F2:F6)</f>
      </c>
      <c r="G7" s="408">
        <f>SUM(G2:G6)</f>
      </c>
      <c r="H7" s="408">
        <f>SUM(H2:H6)</f>
      </c>
      <c r="I7" s="409">
        <f t="shared" si="22"/>
      </c>
      <c r="J7" s="409">
        <f t="shared" si="2"/>
      </c>
      <c r="K7" s="409">
        <f t="shared" si="24"/>
      </c>
      <c r="L7" s="408"/>
      <c r="M7" s="410">
        <f>SUM(M2:M6)</f>
      </c>
      <c r="N7" s="408"/>
      <c r="O7" s="408"/>
      <c r="P7" s="408"/>
      <c r="Q7" s="411">
        <f>AVERAGE(Q2:Q6)</f>
      </c>
      <c r="R7" s="412">
        <f>AVERAGE(R2:R6)</f>
      </c>
      <c r="S7" s="412">
        <f>AVERAGE(S2:S6)</f>
      </c>
      <c r="T7" s="412">
        <f>AVERAGE(T2:T6)</f>
      </c>
      <c r="U7" s="412">
        <f>AVERAGE(U2:U6)</f>
      </c>
      <c r="V7" s="413">
        <f>SUM(V2:V6)</f>
      </c>
      <c r="W7" s="412">
        <f>AVERAGE(W2:W6)</f>
      </c>
      <c r="X7" s="413"/>
      <c r="Y7" s="411">
        <f>AVERAGE(Y2:Y6)</f>
      </c>
      <c r="Z7" s="413">
        <f>SUM(Z2:Z6)</f>
      </c>
      <c r="AA7" s="413">
        <f>SUM(AA2:AA6)</f>
      </c>
      <c r="AB7" s="413">
        <f>SUM(AB2:AB6)</f>
      </c>
      <c r="AC7" s="413">
        <f>SUM(AC2:AC6)</f>
      </c>
      <c r="AD7" s="413">
        <f>SUM(AD2:AD6)</f>
      </c>
      <c r="AE7" s="413">
        <f>SUM(AE2:AE6)</f>
      </c>
      <c r="AF7" s="413">
        <f>SUM(AF2:AF6)</f>
      </c>
      <c r="AG7" s="413">
        <f>SUM(AG2:AG6)</f>
      </c>
    </row>
    <row r="8">
      <c r="A8" s="380" t="s">
        <v>861</v>
      </c>
      <c r="B8" s="395" t="s">
        <v>853</v>
      </c>
      <c r="C8" s="382" t="s">
        <v>849</v>
      </c>
      <c r="D8" s="383">
        <v>4</v>
      </c>
      <c r="E8" s="383">
        <v>13</v>
      </c>
      <c r="F8" s="383">
        <v>14</v>
      </c>
      <c r="G8" s="383">
        <v>30701.410000000003</v>
      </c>
      <c r="H8" s="384">
        <v>13615.08</v>
      </c>
      <c r="I8" s="385">
        <f t="shared" si="22"/>
      </c>
      <c r="J8" s="385">
        <f t="shared" si="2"/>
      </c>
      <c r="K8" s="385">
        <f t="shared" si="24"/>
      </c>
      <c r="L8" s="383" t="s">
        <v>862</v>
      </c>
      <c r="M8" s="386">
        <v>10</v>
      </c>
      <c r="N8" s="387"/>
      <c r="O8" s="387"/>
      <c r="P8" s="387"/>
      <c r="Q8" s="388">
        <v>5.232544196771714</v>
      </c>
      <c r="R8" s="389">
        <v>0.2200018515639701</v>
      </c>
      <c r="S8" s="390">
        <v>0.016527035867859932</v>
      </c>
      <c r="T8" s="390">
        <v>0.016527035867859932</v>
      </c>
      <c r="U8" s="390">
        <v>0.08762490392006149</v>
      </c>
      <c r="V8" s="391">
        <v>34636.87150837989</v>
      </c>
      <c r="W8" s="390">
        <v>0.0179</v>
      </c>
      <c r="X8" s="391">
        <v>44.5</v>
      </c>
      <c r="Y8" s="392">
        <v>86.47844562020846</v>
      </c>
      <c r="Z8" s="391">
        <v>157439</v>
      </c>
      <c r="AA8" s="391">
        <v>2602</v>
      </c>
      <c r="AB8" s="391">
        <v>620</v>
      </c>
      <c r="AC8" s="391">
        <v>2602</v>
      </c>
      <c r="AD8" s="391">
        <v>228</v>
      </c>
      <c r="AE8" s="391">
        <v>27</v>
      </c>
      <c r="AF8" s="391">
        <v>4</v>
      </c>
      <c r="AG8" s="391">
        <v>240</v>
      </c>
    </row>
    <row r="9">
      <c r="A9" s="380" t="s">
        <v>861</v>
      </c>
      <c r="B9" s="381" t="s">
        <v>848</v>
      </c>
      <c r="C9" s="382" t="s">
        <v>852</v>
      </c>
      <c r="D9" s="383">
        <v>4</v>
      </c>
      <c r="E9" s="393">
        <v>17</v>
      </c>
      <c r="F9" s="393">
        <v>20</v>
      </c>
      <c r="G9" s="393">
        <v>35402.48000000001</v>
      </c>
      <c r="H9" s="394">
        <v>13597.73</v>
      </c>
      <c r="I9" s="385">
        <f t="shared" si="22"/>
      </c>
      <c r="J9" s="385">
        <f t="shared" si="2"/>
      </c>
      <c r="K9" s="385">
        <f t="shared" si="24"/>
      </c>
      <c r="L9" s="393"/>
      <c r="M9" s="393"/>
      <c r="N9" s="387"/>
      <c r="O9" s="387"/>
      <c r="P9" s="387"/>
      <c r="Q9" s="384">
        <v>6.948252427184466</v>
      </c>
      <c r="R9" s="390">
        <v>0.168103386251754</v>
      </c>
      <c r="S9" s="389">
        <v>0.010961313341212186</v>
      </c>
      <c r="T9" s="390">
        <v>0.010199566476416653</v>
      </c>
      <c r="U9" s="389">
        <v>0.10323997803404723</v>
      </c>
      <c r="V9" s="391">
        <v>30012.674271229404</v>
      </c>
      <c r="W9" s="390">
        <v>0.019725</v>
      </c>
      <c r="X9" s="391">
        <v>60</v>
      </c>
      <c r="Y9" s="392">
        <v>76.16197202820705</v>
      </c>
      <c r="Z9" s="391">
        <v>178537</v>
      </c>
      <c r="AA9" s="391">
        <v>1957</v>
      </c>
      <c r="AB9" s="391">
        <v>592</v>
      </c>
      <c r="AC9" s="391">
        <v>1821</v>
      </c>
      <c r="AD9" s="391">
        <v>188</v>
      </c>
      <c r="AE9" s="391">
        <v>31</v>
      </c>
      <c r="AF9" s="391">
        <v>4</v>
      </c>
      <c r="AG9" s="391">
        <v>286</v>
      </c>
    </row>
    <row r="10">
      <c r="A10" s="380" t="s">
        <v>861</v>
      </c>
      <c r="B10" s="381" t="s">
        <v>863</v>
      </c>
      <c r="C10" s="382" t="s">
        <v>854</v>
      </c>
      <c r="D10" s="380">
        <v>4</v>
      </c>
      <c r="E10" s="396">
        <v>19</v>
      </c>
      <c r="F10" s="396">
        <v>22</v>
      </c>
      <c r="G10" s="397">
        <v>40558.54000000001</v>
      </c>
      <c r="H10" s="397">
        <v>13924.54</v>
      </c>
      <c r="I10" s="398">
        <f t="shared" si="22"/>
      </c>
      <c r="J10" s="385">
        <f>G11/F11</f>
      </c>
      <c r="K10" s="399">
        <f>H11/F11</f>
      </c>
      <c r="L10" s="400"/>
      <c r="M10" s="400"/>
      <c r="N10" s="401"/>
      <c r="O10" s="387"/>
      <c r="P10" s="387"/>
      <c r="Q10" s="384">
        <v>8.025671469740635</v>
      </c>
      <c r="R10" s="390">
        <v>0.14259884245074153</v>
      </c>
      <c r="S10" s="390">
        <v>0.010071516474330694</v>
      </c>
      <c r="T10" s="390">
        <v>0.009276243991919567</v>
      </c>
      <c r="U10" s="390">
        <v>0.17709637046307886</v>
      </c>
      <c r="V10" s="391">
        <v>24565.217391304344</v>
      </c>
      <c r="W10" s="390">
        <v>0.023000000000000003</v>
      </c>
      <c r="X10" s="391">
        <v>63.25</v>
      </c>
      <c r="Y10" s="392">
        <v>80.83068242505863</v>
      </c>
      <c r="Z10" s="391">
        <v>172268</v>
      </c>
      <c r="AA10" s="391">
        <v>1735</v>
      </c>
      <c r="AB10" s="391">
        <v>565</v>
      </c>
      <c r="AC10" s="391">
        <v>1598</v>
      </c>
      <c r="AD10" s="391">
        <v>283</v>
      </c>
      <c r="AE10" s="391">
        <v>28</v>
      </c>
      <c r="AF10" s="391">
        <v>13</v>
      </c>
      <c r="AG10" s="391">
        <v>249</v>
      </c>
    </row>
    <row r="11">
      <c r="A11" s="380" t="s">
        <v>861</v>
      </c>
      <c r="B11" s="381" t="s">
        <v>851</v>
      </c>
      <c r="C11" s="382" t="s">
        <v>856</v>
      </c>
      <c r="D11" s="383">
        <v>4</v>
      </c>
      <c r="E11" s="402">
        <v>9</v>
      </c>
      <c r="F11" s="402">
        <v>14</v>
      </c>
      <c r="G11" s="402">
        <v>26204.179999999993</v>
      </c>
      <c r="H11" s="403">
        <v>13712.970000000001</v>
      </c>
      <c r="I11" s="385">
        <f t="shared" si="22"/>
      </c>
      <c r="J11" s="385">
        <f t="shared" ref="J11:J15" si="3">G11/F11</f>
      </c>
      <c r="K11" s="399">
        <f t="shared" ref="K11:K15" si="25">H11/F11</f>
      </c>
      <c r="L11" s="404"/>
      <c r="M11" s="404"/>
      <c r="N11" s="401"/>
      <c r="O11" s="387"/>
      <c r="P11" s="387"/>
      <c r="Q11" s="384">
        <v>7.787035775127769</v>
      </c>
      <c r="R11" s="390">
        <v>0.1769086974212609</v>
      </c>
      <c r="S11" s="390">
        <v>0.01139363354037267</v>
      </c>
      <c r="T11" s="390">
        <v>0.010837215320910974</v>
      </c>
      <c r="U11" s="390">
        <v>0.16955223880597015</v>
      </c>
      <c r="V11" s="391">
        <v>27343.008273430085</v>
      </c>
      <c r="W11" s="390">
        <v>0.018432499999999997</v>
      </c>
      <c r="X11" s="391">
        <v>66.75</v>
      </c>
      <c r="Y11" s="392">
        <v>88.72263198757764</v>
      </c>
      <c r="Z11" s="391">
        <v>154560</v>
      </c>
      <c r="AA11" s="391">
        <v>1761</v>
      </c>
      <c r="AB11" s="391">
        <v>504</v>
      </c>
      <c r="AC11" s="391">
        <v>1675</v>
      </c>
      <c r="AD11" s="391">
        <v>284</v>
      </c>
      <c r="AE11" s="391">
        <v>19</v>
      </c>
      <c r="AF11" s="391">
        <v>9</v>
      </c>
      <c r="AG11" s="391">
        <v>199</v>
      </c>
    </row>
    <row r="12">
      <c r="A12" s="380" t="s">
        <v>861</v>
      </c>
      <c r="B12" s="381" t="s">
        <v>857</v>
      </c>
      <c r="C12" s="382" t="s">
        <v>858</v>
      </c>
      <c r="D12" s="383">
        <v>4</v>
      </c>
      <c r="E12" s="383">
        <v>8</v>
      </c>
      <c r="F12" s="383">
        <v>13</v>
      </c>
      <c r="G12" s="383">
        <v>25030.119999999995</v>
      </c>
      <c r="H12" s="384">
        <v>11642.250000000002</v>
      </c>
      <c r="I12" s="385">
        <f t="shared" si="22"/>
      </c>
      <c r="J12" s="385">
        <f t="shared" si="3"/>
      </c>
      <c r="K12" s="399">
        <f t="shared" si="25"/>
      </c>
      <c r="L12" s="383" t="s">
        <v>859</v>
      </c>
      <c r="M12" s="386">
        <v>10</v>
      </c>
      <c r="N12" s="401"/>
      <c r="O12" s="387"/>
      <c r="P12" s="387"/>
      <c r="Q12" s="392">
        <v>5.112977602108038</v>
      </c>
      <c r="R12" s="390">
        <v>0.2135797693741141</v>
      </c>
      <c r="S12" s="390">
        <v>0.01721556886227545</v>
      </c>
      <c r="T12" s="390">
        <v>0.01768432831307083</v>
      </c>
      <c r="U12" s="390">
        <v>0.08294142796066695</v>
      </c>
      <c r="V12" s="391">
        <v>28248.914616497827</v>
      </c>
      <c r="W12" s="390">
        <v>0.017275000000000002</v>
      </c>
      <c r="X12" s="391">
        <v>66.75</v>
      </c>
      <c r="Y12" s="392">
        <v>88.02281800036292</v>
      </c>
      <c r="Z12" s="391">
        <v>132264</v>
      </c>
      <c r="AA12" s="391">
        <v>2277</v>
      </c>
      <c r="AB12" s="391">
        <v>488</v>
      </c>
      <c r="AC12" s="391">
        <v>2339</v>
      </c>
      <c r="AD12" s="391">
        <v>194</v>
      </c>
      <c r="AE12" s="391">
        <v>20</v>
      </c>
      <c r="AF12" s="391">
        <v>5</v>
      </c>
      <c r="AG12" s="405">
        <v>199</v>
      </c>
    </row>
    <row r="13">
      <c r="A13" s="406" t="s">
        <v>861</v>
      </c>
      <c r="B13" s="407" t="s">
        <v>860</v>
      </c>
      <c r="C13" s="408"/>
      <c r="D13" s="408">
        <f>SUM(D8:D12)</f>
      </c>
      <c r="E13" s="408">
        <f>SUM(E8:E12)</f>
      </c>
      <c r="F13" s="408">
        <f>SUM(F8:F12)</f>
      </c>
      <c r="G13" s="408">
        <f>SUM(G8:G12)</f>
      </c>
      <c r="H13" s="408">
        <f>SUM(H8:H12)</f>
      </c>
      <c r="I13" s="409">
        <f t="shared" si="22"/>
      </c>
      <c r="J13" s="409">
        <f t="shared" si="3"/>
      </c>
      <c r="K13" s="409">
        <f t="shared" si="25"/>
      </c>
      <c r="L13" s="408"/>
      <c r="M13" s="410">
        <f>SUM(M8:M12)</f>
      </c>
      <c r="N13" s="408"/>
      <c r="O13" s="408"/>
      <c r="P13" s="408"/>
      <c r="Q13" s="411">
        <f>AVERAGE(Q8:Q12)</f>
      </c>
      <c r="R13" s="412">
        <f>AVERAGE(R8:R12)</f>
      </c>
      <c r="S13" s="412">
        <f>AVERAGE(S8:S12)</f>
      </c>
      <c r="T13" s="412">
        <f>AVERAGE(T8:T12)</f>
      </c>
      <c r="U13" s="412">
        <f>AVERAGE(U8:U12)</f>
      </c>
      <c r="V13" s="413">
        <f>SUM(V8:V12)</f>
      </c>
      <c r="W13" s="412">
        <f>AVERAGE(W8:W12)</f>
      </c>
      <c r="X13" s="413"/>
      <c r="Y13" s="411">
        <f>AVERAGE(Y8:Y12)</f>
      </c>
      <c r="Z13" s="413">
        <f>SUM(Z8:Z12)</f>
      </c>
      <c r="AA13" s="413">
        <f>SUM(AA8:AA12)</f>
      </c>
      <c r="AB13" s="413">
        <f>SUM(AB8:AB12)</f>
      </c>
      <c r="AC13" s="413">
        <f>SUM(AC8:AC12)</f>
      </c>
      <c r="AD13" s="413">
        <f>SUM(AD8:AD12)</f>
      </c>
      <c r="AE13" s="413">
        <f>SUM(AE8:AE12)</f>
      </c>
      <c r="AF13" s="413">
        <f>SUM(AF8:AF12)</f>
      </c>
      <c r="AG13" s="413">
        <f>SUM(AG8:AG12)</f>
      </c>
    </row>
    <row r="14">
      <c r="A14" s="380" t="s">
        <v>864</v>
      </c>
      <c r="B14" s="395" t="s">
        <v>863</v>
      </c>
      <c r="C14" s="382" t="s">
        <v>865</v>
      </c>
      <c r="D14" s="383">
        <v>3</v>
      </c>
      <c r="E14" s="383">
        <v>8</v>
      </c>
      <c r="F14" s="383">
        <v>10</v>
      </c>
      <c r="G14" s="383">
        <v>20051.24</v>
      </c>
      <c r="H14" s="384">
        <v>10403.98</v>
      </c>
      <c r="I14" s="385">
        <f t="shared" si="22"/>
      </c>
      <c r="J14" s="385">
        <f t="shared" si="3"/>
      </c>
      <c r="K14" s="385">
        <f t="shared" si="25"/>
      </c>
      <c r="L14" s="383" t="s">
        <v>850</v>
      </c>
      <c r="M14" s="386">
        <v>9</v>
      </c>
      <c r="N14" s="387"/>
      <c r="O14" s="387"/>
      <c r="P14" s="387"/>
      <c r="Q14" s="388">
        <v>5.283890299644489</v>
      </c>
      <c r="R14" s="389">
        <v>0.1460702474862793</v>
      </c>
      <c r="S14" s="390">
        <v>0.017477675797546558</v>
      </c>
      <c r="T14" s="390">
        <v>0.0179570026096682</v>
      </c>
      <c r="U14" s="390">
        <v>0.09045971329708354</v>
      </c>
      <c r="V14" s="391">
        <v>16455.981941309255</v>
      </c>
      <c r="W14" s="390">
        <v>0.02953333333333333</v>
      </c>
      <c r="X14" s="391">
        <v>47.666666666666664</v>
      </c>
      <c r="Y14" s="392">
        <v>92.35012160698751</v>
      </c>
      <c r="Z14" s="391">
        <v>112658</v>
      </c>
      <c r="AA14" s="391">
        <v>1969</v>
      </c>
      <c r="AB14" s="391">
        <v>486</v>
      </c>
      <c r="AC14" s="391">
        <v>2023</v>
      </c>
      <c r="AD14" s="391">
        <v>183</v>
      </c>
      <c r="AE14" s="391">
        <v>24</v>
      </c>
      <c r="AF14" s="391">
        <v>5</v>
      </c>
      <c r="AG14" s="391">
        <v>149</v>
      </c>
    </row>
    <row r="15">
      <c r="A15" s="380" t="s">
        <v>864</v>
      </c>
      <c r="B15" s="381" t="s">
        <v>851</v>
      </c>
      <c r="C15" s="382" t="s">
        <v>852</v>
      </c>
      <c r="D15" s="383">
        <v>4</v>
      </c>
      <c r="E15" s="393">
        <v>17</v>
      </c>
      <c r="F15" s="393">
        <v>18</v>
      </c>
      <c r="G15" s="393">
        <v>34176.31</v>
      </c>
      <c r="H15" s="394">
        <v>13507.29</v>
      </c>
      <c r="I15" s="385">
        <f t="shared" si="22"/>
      </c>
      <c r="J15" s="385">
        <f t="shared" si="3"/>
      </c>
      <c r="K15" s="385">
        <f t="shared" si="25"/>
      </c>
      <c r="L15" s="393"/>
      <c r="M15" s="393"/>
      <c r="N15" s="387"/>
      <c r="O15" s="387"/>
      <c r="P15" s="387"/>
      <c r="Q15" s="384">
        <v>8.816768929503917</v>
      </c>
      <c r="R15" s="390">
        <v>0.11862416952429822</v>
      </c>
      <c r="S15" s="389">
        <v>0.011044784727629264</v>
      </c>
      <c r="T15" s="390">
        <v>0.010943853274504716</v>
      </c>
      <c r="U15" s="389">
        <v>0.2075098814229249</v>
      </c>
      <c r="V15" s="391">
        <v>16454.121306376357</v>
      </c>
      <c r="W15" s="390">
        <v>0.032150000000000005</v>
      </c>
      <c r="X15" s="391">
        <v>69.75</v>
      </c>
      <c r="Y15" s="392">
        <v>97.37931481962107</v>
      </c>
      <c r="Z15" s="391">
        <v>138708</v>
      </c>
      <c r="AA15" s="391">
        <v>1532</v>
      </c>
      <c r="AB15" s="391">
        <v>529</v>
      </c>
      <c r="AC15" s="391">
        <v>1518</v>
      </c>
      <c r="AD15" s="391">
        <v>315</v>
      </c>
      <c r="AE15" s="391">
        <v>21</v>
      </c>
      <c r="AF15" s="391">
        <v>5</v>
      </c>
      <c r="AG15" s="391">
        <v>174</v>
      </c>
    </row>
    <row r="16">
      <c r="A16" s="380" t="s">
        <v>864</v>
      </c>
      <c r="B16" s="395" t="s">
        <v>853</v>
      </c>
      <c r="C16" s="382" t="s">
        <v>854</v>
      </c>
      <c r="D16" s="380">
        <v>4</v>
      </c>
      <c r="E16" s="396">
        <v>19</v>
      </c>
      <c r="F16" s="396">
        <v>21</v>
      </c>
      <c r="G16" s="397">
        <v>41859.7</v>
      </c>
      <c r="H16" s="397">
        <v>13684.03</v>
      </c>
      <c r="I16" s="398">
        <f t="shared" si="22"/>
      </c>
      <c r="J16" s="385">
        <f>G17/F17</f>
      </c>
      <c r="K16" s="399">
        <f>H17/F17</f>
      </c>
      <c r="L16" s="400"/>
      <c r="M16" s="400"/>
      <c r="N16" s="401"/>
      <c r="O16" s="387"/>
      <c r="P16" s="387"/>
      <c r="Q16" s="384">
        <v>8.743789137380192</v>
      </c>
      <c r="R16" s="390">
        <v>0.12256142874419994</v>
      </c>
      <c r="S16" s="390">
        <v>0.011638023989945937</v>
      </c>
      <c r="T16" s="390">
        <v>0.011578532493511708</v>
      </c>
      <c r="U16" s="390">
        <v>0.1907514450867052</v>
      </c>
      <c r="V16" s="391">
        <v>16481.203007518798</v>
      </c>
      <c r="W16" s="390">
        <v>0.03325</v>
      </c>
      <c r="X16" s="391">
        <v>77.25</v>
      </c>
      <c r="Y16" s="392">
        <v>101.76042774385937</v>
      </c>
      <c r="Z16" s="391">
        <v>134473</v>
      </c>
      <c r="AA16" s="391">
        <v>1565</v>
      </c>
      <c r="AB16" s="391">
        <v>548</v>
      </c>
      <c r="AC16" s="391">
        <v>1557</v>
      </c>
      <c r="AD16" s="391">
        <v>297</v>
      </c>
      <c r="AE16" s="391">
        <v>17</v>
      </c>
      <c r="AF16" s="391">
        <v>6</v>
      </c>
      <c r="AG16" s="391">
        <v>166</v>
      </c>
    </row>
    <row r="17">
      <c r="A17" s="380" t="s">
        <v>864</v>
      </c>
      <c r="B17" s="381" t="s">
        <v>848</v>
      </c>
      <c r="C17" s="382" t="s">
        <v>856</v>
      </c>
      <c r="D17" s="383">
        <v>4</v>
      </c>
      <c r="E17" s="402">
        <v>10</v>
      </c>
      <c r="F17" s="402">
        <v>11</v>
      </c>
      <c r="G17" s="402">
        <v>24887.589999999997</v>
      </c>
      <c r="H17" s="403">
        <v>13385.18</v>
      </c>
      <c r="I17" s="385">
        <f t="shared" si="22"/>
      </c>
      <c r="J17" s="385">
        <f t="shared" ref="J17:J21" si="4">G17/F17</f>
      </c>
      <c r="K17" s="399">
        <f t="shared" ref="K17:K21" si="26">H17/F17</f>
      </c>
      <c r="L17" s="404"/>
      <c r="M17" s="404"/>
      <c r="N17" s="401"/>
      <c r="O17" s="387"/>
      <c r="P17" s="387"/>
      <c r="Q17" s="384">
        <v>8.38670426065163</v>
      </c>
      <c r="R17" s="390">
        <v>0.15376520387640255</v>
      </c>
      <c r="S17" s="390">
        <v>0.012973711164219871</v>
      </c>
      <c r="T17" s="390">
        <v>0.01314441789006487</v>
      </c>
      <c r="U17" s="390">
        <v>0.17934446505875076</v>
      </c>
      <c r="V17" s="391">
        <v>18915.88785046729</v>
      </c>
      <c r="W17" s="390">
        <v>0.02675</v>
      </c>
      <c r="X17" s="391">
        <v>75.75</v>
      </c>
      <c r="Y17" s="392">
        <v>108.80667869742639</v>
      </c>
      <c r="Z17" s="391">
        <v>123018</v>
      </c>
      <c r="AA17" s="391">
        <v>1596</v>
      </c>
      <c r="AB17" s="391">
        <v>506</v>
      </c>
      <c r="AC17" s="391">
        <v>1617</v>
      </c>
      <c r="AD17" s="391">
        <v>290</v>
      </c>
      <c r="AE17" s="391">
        <v>18</v>
      </c>
      <c r="AF17" s="391">
        <v>6</v>
      </c>
      <c r="AG17" s="391">
        <v>132</v>
      </c>
    </row>
    <row r="18">
      <c r="A18" s="380" t="s">
        <v>864</v>
      </c>
      <c r="B18" s="381" t="s">
        <v>855</v>
      </c>
      <c r="C18" s="382" t="s">
        <v>858</v>
      </c>
      <c r="D18" s="383">
        <v>4</v>
      </c>
      <c r="E18" s="383">
        <v>10</v>
      </c>
      <c r="F18" s="383">
        <v>12</v>
      </c>
      <c r="G18" s="383">
        <v>23346.20000000001</v>
      </c>
      <c r="H18" s="384">
        <v>9573.98</v>
      </c>
      <c r="I18" s="385">
        <f t="shared" si="22"/>
      </c>
      <c r="J18" s="385">
        <f t="shared" si="4"/>
      </c>
      <c r="K18" s="399">
        <f t="shared" si="26"/>
      </c>
      <c r="L18" s="383" t="s">
        <v>859</v>
      </c>
      <c r="M18" s="386">
        <v>10</v>
      </c>
      <c r="N18" s="401"/>
      <c r="O18" s="387"/>
      <c r="P18" s="387"/>
      <c r="Q18" s="392">
        <v>6.010031387319523</v>
      </c>
      <c r="R18" s="390">
        <v>0.20024108027487533</v>
      </c>
      <c r="S18" s="390">
        <v>0.017979481044232005</v>
      </c>
      <c r="T18" s="390">
        <v>0.01854380876062347</v>
      </c>
      <c r="U18" s="390">
        <v>0.1393791844187462</v>
      </c>
      <c r="V18" s="391">
        <v>17741.55995343423</v>
      </c>
      <c r="W18" s="390">
        <v>0.021474999999999998</v>
      </c>
      <c r="X18" s="391">
        <v>76.5</v>
      </c>
      <c r="Y18" s="392">
        <v>108.05724540355074</v>
      </c>
      <c r="Z18" s="391">
        <v>88601</v>
      </c>
      <c r="AA18" s="391">
        <v>1593</v>
      </c>
      <c r="AB18" s="391">
        <v>381</v>
      </c>
      <c r="AC18" s="391">
        <v>1643</v>
      </c>
      <c r="AD18" s="391">
        <v>229</v>
      </c>
      <c r="AE18" s="391">
        <v>21</v>
      </c>
      <c r="AF18" s="391">
        <v>1</v>
      </c>
      <c r="AG18" s="405">
        <v>109</v>
      </c>
    </row>
    <row r="19">
      <c r="A19" s="406" t="s">
        <v>864</v>
      </c>
      <c r="B19" s="407" t="s">
        <v>860</v>
      </c>
      <c r="C19" s="408"/>
      <c r="D19" s="408">
        <f>SUM(D14:D18)</f>
      </c>
      <c r="E19" s="408">
        <f>SUM(E14:E18)</f>
      </c>
      <c r="F19" s="408">
        <f>SUM(F14:F18)</f>
      </c>
      <c r="G19" s="408">
        <f>SUM(G14:G18)</f>
      </c>
      <c r="H19" s="408">
        <f>SUM(H14:H18)</f>
      </c>
      <c r="I19" s="409">
        <f t="shared" si="22"/>
      </c>
      <c r="J19" s="409">
        <f t="shared" si="4"/>
      </c>
      <c r="K19" s="409">
        <f t="shared" si="26"/>
      </c>
      <c r="L19" s="408"/>
      <c r="M19" s="410">
        <f>SUM(M14:M18)</f>
      </c>
      <c r="N19" s="408"/>
      <c r="O19" s="408"/>
      <c r="P19" s="408"/>
      <c r="Q19" s="411">
        <f>AVERAGE(Q14:Q18)</f>
      </c>
      <c r="R19" s="412">
        <f>AVERAGE(R14:R18)</f>
      </c>
      <c r="S19" s="412">
        <f>AVERAGE(S14:S18)</f>
      </c>
      <c r="T19" s="412">
        <f>AVERAGE(T14:T18)</f>
      </c>
      <c r="U19" s="412">
        <f>AVERAGE(U14:U18)</f>
      </c>
      <c r="V19" s="413">
        <f>SUM(V14:V18)</f>
      </c>
      <c r="W19" s="412">
        <f>AVERAGE(W14:W18)</f>
      </c>
      <c r="X19" s="413"/>
      <c r="Y19" s="411">
        <f>AVERAGE(Y14:Y18)</f>
      </c>
      <c r="Z19" s="413">
        <f>SUM(Z14:Z18)</f>
      </c>
      <c r="AA19" s="413">
        <f>SUM(AA14:AA18)</f>
      </c>
      <c r="AB19" s="413">
        <f>SUM(AB14:AB18)</f>
      </c>
      <c r="AC19" s="413">
        <f>SUM(AC14:AC18)</f>
      </c>
      <c r="AD19" s="413">
        <f>SUM(AD14:AD18)</f>
      </c>
      <c r="AE19" s="413">
        <f>SUM(AE14:AE18)</f>
      </c>
      <c r="AF19" s="413">
        <f>SUM(AF14:AF18)</f>
      </c>
      <c r="AG19" s="413">
        <f>SUM(AG14:AG18)</f>
      </c>
    </row>
    <row r="20">
      <c r="A20" s="380" t="s">
        <v>866</v>
      </c>
      <c r="B20" s="395" t="s">
        <v>863</v>
      </c>
      <c r="C20" s="382" t="s">
        <v>867</v>
      </c>
      <c r="D20" s="383">
        <v>4</v>
      </c>
      <c r="E20" s="383">
        <v>13</v>
      </c>
      <c r="F20" s="383">
        <v>15</v>
      </c>
      <c r="G20" s="383">
        <v>28624.840000000004</v>
      </c>
      <c r="H20" s="384">
        <v>11718.71</v>
      </c>
      <c r="I20" s="385">
        <f t="shared" si="22"/>
      </c>
      <c r="J20" s="385">
        <f t="shared" si="4"/>
      </c>
      <c r="K20" s="399">
        <f t="shared" si="26"/>
      </c>
      <c r="L20" s="396" t="s">
        <v>868</v>
      </c>
      <c r="M20" s="396">
        <v>1</v>
      </c>
      <c r="N20" s="401"/>
      <c r="O20" s="387"/>
      <c r="P20" s="387"/>
      <c r="Q20" s="388">
        <v>4.297290062339567</v>
      </c>
      <c r="R20" s="389">
        <v>0.1595833078581117</v>
      </c>
      <c r="S20" s="390">
        <v>0.024406615830737836</v>
      </c>
      <c r="T20" s="390">
        <v>0.02566856406401031</v>
      </c>
      <c r="U20" s="390">
        <v>0.10390516039051603</v>
      </c>
      <c r="V20" s="391">
        <v>17830.562153602536</v>
      </c>
      <c r="W20" s="390">
        <v>0.031575</v>
      </c>
      <c r="X20" s="391">
        <v>41.5</v>
      </c>
      <c r="Y20" s="392">
        <v>104.88230766476926</v>
      </c>
      <c r="Z20" s="391">
        <v>111732</v>
      </c>
      <c r="AA20" s="391">
        <v>2727</v>
      </c>
      <c r="AB20" s="391">
        <v>563</v>
      </c>
      <c r="AC20" s="391">
        <v>2868</v>
      </c>
      <c r="AD20" s="391">
        <v>298</v>
      </c>
      <c r="AE20" s="391">
        <v>26</v>
      </c>
      <c r="AF20" s="391">
        <v>19</v>
      </c>
      <c r="AG20" s="391">
        <v>176</v>
      </c>
    </row>
    <row r="21">
      <c r="A21" s="380" t="s">
        <v>866</v>
      </c>
      <c r="B21" s="381" t="s">
        <v>853</v>
      </c>
      <c r="C21" s="382" t="s">
        <v>869</v>
      </c>
      <c r="D21" s="383">
        <v>5</v>
      </c>
      <c r="E21" s="393">
        <v>22</v>
      </c>
      <c r="F21" s="393">
        <v>25</v>
      </c>
      <c r="G21" s="393">
        <v>46266.86000000001</v>
      </c>
      <c r="H21" s="394">
        <v>17608.149999999998</v>
      </c>
      <c r="I21" s="385">
        <f t="shared" si="22"/>
      </c>
      <c r="J21" s="385">
        <f t="shared" si="4"/>
      </c>
      <c r="K21" s="385">
        <f t="shared" si="26"/>
      </c>
      <c r="L21" s="402" t="s">
        <v>850</v>
      </c>
      <c r="M21" s="414">
        <v>10</v>
      </c>
      <c r="N21" s="387"/>
      <c r="O21" s="387"/>
      <c r="P21" s="387"/>
      <c r="Q21" s="384">
        <v>9.56444866920152</v>
      </c>
      <c r="R21" s="390">
        <v>0.13062689807791059</v>
      </c>
      <c r="S21" s="389">
        <v>0.012132115508810775</v>
      </c>
      <c r="T21" s="390">
        <v>0.012165065306499018</v>
      </c>
      <c r="U21" s="389">
        <v>0.13001083423618634</v>
      </c>
      <c r="V21" s="391">
        <v>19822.10927573062</v>
      </c>
      <c r="W21" s="390">
        <v>0.03148</v>
      </c>
      <c r="X21" s="391">
        <v>64</v>
      </c>
      <c r="Y21" s="392">
        <v>116.03699603284434</v>
      </c>
      <c r="Z21" s="391">
        <v>151746</v>
      </c>
      <c r="AA21" s="391">
        <v>1841</v>
      </c>
      <c r="AB21" s="391">
        <v>624</v>
      </c>
      <c r="AC21" s="391">
        <v>1846</v>
      </c>
      <c r="AD21" s="391">
        <v>240</v>
      </c>
      <c r="AE21" s="391">
        <v>22</v>
      </c>
      <c r="AF21" s="391">
        <v>3</v>
      </c>
      <c r="AG21" s="391">
        <v>220</v>
      </c>
    </row>
    <row r="22">
      <c r="A22" s="380" t="s">
        <v>866</v>
      </c>
      <c r="B22" s="381" t="s">
        <v>857</v>
      </c>
      <c r="C22" s="382" t="s">
        <v>854</v>
      </c>
      <c r="D22" s="380">
        <v>4</v>
      </c>
      <c r="E22" s="396">
        <v>11</v>
      </c>
      <c r="F22" s="396">
        <v>13</v>
      </c>
      <c r="G22" s="397">
        <v>26212.520000000004</v>
      </c>
      <c r="H22" s="397">
        <v>14850.61</v>
      </c>
      <c r="I22" s="398">
        <f t="shared" si="22"/>
      </c>
      <c r="J22" s="385">
        <f>G23/F23</f>
      </c>
      <c r="K22" s="399">
        <f>H23/F23</f>
      </c>
      <c r="L22" s="400"/>
      <c r="M22" s="400"/>
      <c r="N22" s="401"/>
      <c r="O22" s="387"/>
      <c r="P22" s="387"/>
      <c r="Q22" s="384">
        <v>9.000369696969697</v>
      </c>
      <c r="R22" s="390">
        <v>0.14142774151986373</v>
      </c>
      <c r="S22" s="390">
        <v>0.0123713195324391</v>
      </c>
      <c r="T22" s="390">
        <v>0.012071408755895121</v>
      </c>
      <c r="U22" s="390">
        <v>0.1763975155279503</v>
      </c>
      <c r="V22" s="391">
        <v>18862.642169728784</v>
      </c>
      <c r="W22" s="390">
        <v>0.028575</v>
      </c>
      <c r="X22" s="391">
        <v>71.75</v>
      </c>
      <c r="Y22" s="392">
        <v>111.34644943129419</v>
      </c>
      <c r="Z22" s="391">
        <v>133373</v>
      </c>
      <c r="AA22" s="391">
        <v>1650</v>
      </c>
      <c r="AB22" s="391">
        <v>539</v>
      </c>
      <c r="AC22" s="391">
        <v>1610</v>
      </c>
      <c r="AD22" s="391">
        <v>284</v>
      </c>
      <c r="AE22" s="391">
        <v>27</v>
      </c>
      <c r="AF22" s="391">
        <v>13</v>
      </c>
      <c r="AG22" s="391">
        <v>219</v>
      </c>
    </row>
    <row r="23">
      <c r="A23" s="380" t="s">
        <v>866</v>
      </c>
      <c r="B23" s="381" t="s">
        <v>855</v>
      </c>
      <c r="C23" s="382" t="s">
        <v>856</v>
      </c>
      <c r="D23" s="383">
        <v>4</v>
      </c>
      <c r="E23" s="402">
        <v>14</v>
      </c>
      <c r="F23" s="402">
        <v>20</v>
      </c>
      <c r="G23" s="402">
        <v>40334.38000000002</v>
      </c>
      <c r="H23" s="403">
        <v>14384.48</v>
      </c>
      <c r="I23" s="385">
        <f t="shared" si="22"/>
      </c>
      <c r="J23" s="385">
        <f t="shared" ref="J23:J27" si="5">G23/F23</f>
      </c>
      <c r="K23" s="399">
        <f t="shared" ref="K23:K27" si="27">H23/F23</f>
      </c>
      <c r="L23" s="404"/>
      <c r="M23" s="404"/>
      <c r="N23" s="401"/>
      <c r="O23" s="387"/>
      <c r="P23" s="387"/>
      <c r="Q23" s="384">
        <v>6.559270405836753</v>
      </c>
      <c r="R23" s="390">
        <v>0.1301924882941843</v>
      </c>
      <c r="S23" s="390">
        <v>0.015973952187404397</v>
      </c>
      <c r="T23" s="390">
        <v>0.01624346255262736</v>
      </c>
      <c r="U23" s="390">
        <v>0.09820627802690583</v>
      </c>
      <c r="V23" s="391">
        <v>17873.605947955388</v>
      </c>
      <c r="W23" s="390">
        <v>0.033625</v>
      </c>
      <c r="X23" s="391">
        <v>70.5</v>
      </c>
      <c r="Y23" s="392">
        <v>104.77747184709293</v>
      </c>
      <c r="Z23" s="391">
        <v>137286</v>
      </c>
      <c r="AA23" s="391">
        <v>2193</v>
      </c>
      <c r="AB23" s="391">
        <v>601</v>
      </c>
      <c r="AC23" s="391">
        <v>2230</v>
      </c>
      <c r="AD23" s="391">
        <v>219</v>
      </c>
      <c r="AE23" s="391">
        <v>22</v>
      </c>
      <c r="AF23" s="391">
        <v>8</v>
      </c>
      <c r="AG23" s="391">
        <v>189</v>
      </c>
    </row>
    <row r="24">
      <c r="A24" s="380" t="s">
        <v>866</v>
      </c>
      <c r="B24" s="381" t="s">
        <v>851</v>
      </c>
      <c r="C24" s="382" t="s">
        <v>858</v>
      </c>
      <c r="D24" s="383">
        <v>4</v>
      </c>
      <c r="E24" s="383">
        <v>8</v>
      </c>
      <c r="F24" s="383">
        <v>10</v>
      </c>
      <c r="G24" s="383">
        <v>18741.909999999974</v>
      </c>
      <c r="H24" s="384">
        <v>9690.4</v>
      </c>
      <c r="I24" s="385">
        <f t="shared" si="22"/>
      </c>
      <c r="J24" s="385">
        <f t="shared" si="5"/>
      </c>
      <c r="K24" s="399">
        <f t="shared" si="27"/>
      </c>
      <c r="L24" s="383" t="s">
        <v>859</v>
      </c>
      <c r="M24" s="386">
        <v>10</v>
      </c>
      <c r="N24" s="401"/>
      <c r="O24" s="387"/>
      <c r="P24" s="387"/>
      <c r="Q24" s="392">
        <v>5.097511835875855</v>
      </c>
      <c r="R24" s="390">
        <v>0.1413878299605458</v>
      </c>
      <c r="S24" s="390">
        <v>0.016850596108673493</v>
      </c>
      <c r="T24" s="390">
        <v>0.017444488764791915</v>
      </c>
      <c r="U24" s="390">
        <v>0.08231707317073171</v>
      </c>
      <c r="V24" s="391">
        <v>15950.668036998974</v>
      </c>
      <c r="W24" s="390">
        <v>0.024325</v>
      </c>
      <c r="X24" s="391">
        <v>69</v>
      </c>
      <c r="Y24" s="392">
        <v>85.89611310552674</v>
      </c>
      <c r="Z24" s="391">
        <v>112815</v>
      </c>
      <c r="AA24" s="391">
        <v>1901</v>
      </c>
      <c r="AB24" s="391">
        <v>388</v>
      </c>
      <c r="AC24" s="391">
        <v>1968</v>
      </c>
      <c r="AD24" s="391">
        <v>162</v>
      </c>
      <c r="AE24" s="391">
        <v>17</v>
      </c>
      <c r="AF24" s="391">
        <v>3</v>
      </c>
      <c r="AG24" s="405">
        <v>177</v>
      </c>
    </row>
    <row r="25">
      <c r="A25" s="406" t="s">
        <v>866</v>
      </c>
      <c r="B25" s="407" t="s">
        <v>860</v>
      </c>
      <c r="C25" s="408"/>
      <c r="D25" s="408">
        <f>SUM(D20:D24)</f>
      </c>
      <c r="E25" s="408">
        <f>SUM(E20:E24)</f>
      </c>
      <c r="F25" s="408">
        <f>SUM(F20:F24)</f>
      </c>
      <c r="G25" s="408">
        <f>SUM(G20:G24)</f>
      </c>
      <c r="H25" s="408">
        <f>SUM(H20:H24)</f>
      </c>
      <c r="I25" s="409">
        <f t="shared" si="22"/>
      </c>
      <c r="J25" s="409">
        <f t="shared" si="5"/>
      </c>
      <c r="K25" s="409">
        <f t="shared" si="27"/>
      </c>
      <c r="L25" s="408"/>
      <c r="M25" s="410">
        <f>SUM(M20:M24)</f>
      </c>
      <c r="N25" s="408"/>
      <c r="O25" s="408"/>
      <c r="P25" s="408"/>
      <c r="Q25" s="411">
        <f>AVERAGE(Q20:Q24)</f>
      </c>
      <c r="R25" s="412">
        <f>AVERAGE(R20:R24)</f>
      </c>
      <c r="S25" s="412">
        <f>AVERAGE(S20:S24)</f>
      </c>
      <c r="T25" s="412">
        <f>AVERAGE(T20:T24)</f>
      </c>
      <c r="U25" s="412">
        <f>AVERAGE(U20:U24)</f>
      </c>
      <c r="V25" s="413">
        <f>SUM(V20:V24)</f>
      </c>
      <c r="W25" s="412">
        <f>AVERAGE(W20:W24)</f>
      </c>
      <c r="X25" s="413"/>
      <c r="Y25" s="411">
        <f>AVERAGE(Y20:Y24)</f>
      </c>
      <c r="Z25" s="413">
        <f>SUM(Z20:Z24)</f>
      </c>
      <c r="AA25" s="413">
        <f>SUM(AA20:AA24)</f>
      </c>
      <c r="AB25" s="413">
        <f>SUM(AB20:AB24)</f>
      </c>
      <c r="AC25" s="413">
        <f>SUM(AC20:AC24)</f>
      </c>
      <c r="AD25" s="413">
        <f>SUM(AD20:AD24)</f>
      </c>
      <c r="AE25" s="413">
        <f>SUM(AE20:AE24)</f>
      </c>
      <c r="AF25" s="413">
        <f>SUM(AF20:AF24)</f>
      </c>
      <c r="AG25" s="413">
        <f>SUM(AG20:AG24)</f>
      </c>
    </row>
    <row r="26">
      <c r="A26" s="380" t="s">
        <v>870</v>
      </c>
      <c r="B26" s="381" t="s">
        <v>848</v>
      </c>
      <c r="C26" s="382" t="s">
        <v>871</v>
      </c>
      <c r="D26" s="383">
        <v>5</v>
      </c>
      <c r="E26" s="383">
        <v>16</v>
      </c>
      <c r="F26" s="383">
        <v>20</v>
      </c>
      <c r="G26" s="383">
        <v>41167.100000000006</v>
      </c>
      <c r="H26" s="384">
        <v>12977.93</v>
      </c>
      <c r="I26" s="385">
        <f t="shared" si="22"/>
      </c>
      <c r="J26" s="385">
        <f t="shared" si="5"/>
      </c>
      <c r="K26" s="399">
        <f t="shared" si="27"/>
      </c>
      <c r="L26" s="396" t="s">
        <v>872</v>
      </c>
      <c r="M26" s="396">
        <v>1</v>
      </c>
      <c r="N26" s="401"/>
      <c r="O26" s="387"/>
      <c r="P26" s="387"/>
      <c r="Q26" s="388">
        <v>4.384435810810811</v>
      </c>
      <c r="R26" s="389">
        <v>0.15630152368084194</v>
      </c>
      <c r="S26" s="390">
        <v>0.024322303387866787</v>
      </c>
      <c r="T26" s="390">
        <v>0.025752060411342738</v>
      </c>
      <c r="U26" s="390">
        <v>0.08359923420548819</v>
      </c>
      <c r="V26" s="391">
        <v>19021.739130434784</v>
      </c>
      <c r="W26" s="390">
        <v>0.031279999999999995</v>
      </c>
      <c r="X26" s="391">
        <v>42</v>
      </c>
      <c r="Y26" s="392">
        <v>106.63957797516825</v>
      </c>
      <c r="Z26" s="391">
        <v>121699</v>
      </c>
      <c r="AA26" s="391">
        <v>2960</v>
      </c>
      <c r="AB26" s="391">
        <v>595</v>
      </c>
      <c r="AC26" s="391">
        <v>3134</v>
      </c>
      <c r="AD26" s="391">
        <v>262</v>
      </c>
      <c r="AE26" s="391">
        <v>22</v>
      </c>
      <c r="AF26" s="391">
        <v>8</v>
      </c>
      <c r="AG26" s="391">
        <v>147</v>
      </c>
    </row>
    <row r="27">
      <c r="A27" s="380" t="s">
        <v>870</v>
      </c>
      <c r="B27" s="381" t="s">
        <v>853</v>
      </c>
      <c r="C27" s="382" t="s">
        <v>852</v>
      </c>
      <c r="D27" s="383">
        <v>4</v>
      </c>
      <c r="E27" s="393">
        <v>14</v>
      </c>
      <c r="F27" s="393">
        <v>17</v>
      </c>
      <c r="G27" s="393">
        <v>35339.16</v>
      </c>
      <c r="H27" s="394">
        <v>10950.24</v>
      </c>
      <c r="I27" s="385">
        <f t="shared" si="22"/>
      </c>
      <c r="J27" s="385">
        <f t="shared" si="5"/>
      </c>
      <c r="K27" s="385">
        <f t="shared" si="27"/>
      </c>
      <c r="L27" s="402" t="s">
        <v>862</v>
      </c>
      <c r="M27" s="414">
        <v>10</v>
      </c>
      <c r="N27" s="387"/>
      <c r="O27" s="387"/>
      <c r="P27" s="387"/>
      <c r="Q27" s="384">
        <v>8.159642324888226</v>
      </c>
      <c r="R27" s="390">
        <v>0.15640329481617293</v>
      </c>
      <c r="S27" s="389">
        <v>0.01269643042980539</v>
      </c>
      <c r="T27" s="390">
        <v>0.01264912629258555</v>
      </c>
      <c r="U27" s="389">
        <v>0.17277486910994763</v>
      </c>
      <c r="V27" s="391">
        <v>16531.67185877466</v>
      </c>
      <c r="W27" s="390">
        <v>0.024075</v>
      </c>
      <c r="X27" s="391">
        <v>62.5</v>
      </c>
      <c r="Y27" s="392">
        <v>103.59833111003888</v>
      </c>
      <c r="Z27" s="391">
        <v>105699</v>
      </c>
      <c r="AA27" s="391">
        <v>1342</v>
      </c>
      <c r="AB27" s="391">
        <v>398</v>
      </c>
      <c r="AC27" s="391">
        <v>1337</v>
      </c>
      <c r="AD27" s="391">
        <v>231</v>
      </c>
      <c r="AE27" s="391">
        <v>16</v>
      </c>
      <c r="AF27" s="391">
        <v>7</v>
      </c>
      <c r="AG27" s="391">
        <v>97</v>
      </c>
    </row>
    <row r="28">
      <c r="A28" s="380" t="s">
        <v>870</v>
      </c>
      <c r="B28" s="381" t="s">
        <v>857</v>
      </c>
      <c r="C28" s="382" t="s">
        <v>854</v>
      </c>
      <c r="D28" s="380">
        <v>4</v>
      </c>
      <c r="E28" s="396">
        <v>10</v>
      </c>
      <c r="F28" s="396">
        <v>11</v>
      </c>
      <c r="G28" s="397">
        <v>22900.820000000007</v>
      </c>
      <c r="H28" s="397">
        <v>12368.130000000001</v>
      </c>
      <c r="I28" s="398">
        <f t="shared" si="22"/>
      </c>
      <c r="J28" s="385">
        <f>G29/F29</f>
      </c>
      <c r="K28" s="399">
        <f>H29/F29</f>
      </c>
      <c r="L28" s="400"/>
      <c r="M28" s="400"/>
      <c r="N28" s="401"/>
      <c r="O28" s="387"/>
      <c r="P28" s="387"/>
      <c r="Q28" s="384">
        <v>6.104703849950642</v>
      </c>
      <c r="R28" s="390">
        <v>0.18455625310897072</v>
      </c>
      <c r="S28" s="390">
        <v>0.021186706544245287</v>
      </c>
      <c r="T28" s="390">
        <v>0.022452052788990443</v>
      </c>
      <c r="U28" s="390">
        <v>0.11551001397298556</v>
      </c>
      <c r="V28" s="391">
        <v>17648.376259798435</v>
      </c>
      <c r="W28" s="390">
        <v>0.022324999999999998</v>
      </c>
      <c r="X28" s="391">
        <v>54.75</v>
      </c>
      <c r="Y28" s="392">
        <v>129.3385690084287</v>
      </c>
      <c r="Z28" s="391">
        <v>95626</v>
      </c>
      <c r="AA28" s="391">
        <v>2026</v>
      </c>
      <c r="AB28" s="391">
        <v>394</v>
      </c>
      <c r="AC28" s="391">
        <v>2147</v>
      </c>
      <c r="AD28" s="391">
        <v>248</v>
      </c>
      <c r="AE28" s="391">
        <v>19</v>
      </c>
      <c r="AF28" s="391">
        <v>3</v>
      </c>
      <c r="AG28" s="391">
        <v>81</v>
      </c>
    </row>
    <row r="29">
      <c r="A29" s="380" t="s">
        <v>870</v>
      </c>
      <c r="B29" s="381" t="s">
        <v>855</v>
      </c>
      <c r="C29" s="382" t="s">
        <v>856</v>
      </c>
      <c r="D29" s="383">
        <v>4</v>
      </c>
      <c r="E29" s="402">
        <v>16</v>
      </c>
      <c r="F29" s="402">
        <v>18</v>
      </c>
      <c r="G29" s="402">
        <v>41132.859999999986</v>
      </c>
      <c r="H29" s="403">
        <v>10872.14</v>
      </c>
      <c r="I29" s="385">
        <f t="shared" si="22"/>
      </c>
      <c r="J29" s="385">
        <f t="shared" ref="J29:J33" si="6">G29/F29</f>
      </c>
      <c r="K29" s="399">
        <f t="shared" ref="K29:K33" si="28">H29/F29</f>
      </c>
      <c r="L29" s="404"/>
      <c r="M29" s="404"/>
      <c r="N29" s="401"/>
      <c r="O29" s="387"/>
      <c r="P29" s="387"/>
      <c r="Q29" s="384">
        <v>4.6756817204301075</v>
      </c>
      <c r="R29" s="390">
        <v>0.23752534188333294</v>
      </c>
      <c r="S29" s="390">
        <v>0.026538066430772743</v>
      </c>
      <c r="T29" s="390">
        <v>0.02823878552676635</v>
      </c>
      <c r="U29" s="390">
        <v>0.07437348423605497</v>
      </c>
      <c r="V29" s="391">
        <v>20809.5952023988</v>
      </c>
      <c r="W29" s="390">
        <v>0.016675000000000002</v>
      </c>
      <c r="X29" s="391">
        <v>47.5</v>
      </c>
      <c r="Y29" s="392">
        <v>124.08355210592397</v>
      </c>
      <c r="Z29" s="391">
        <v>87610</v>
      </c>
      <c r="AA29" s="391">
        <v>2325</v>
      </c>
      <c r="AB29" s="391">
        <v>347</v>
      </c>
      <c r="AC29" s="391">
        <v>2474</v>
      </c>
      <c r="AD29" s="391">
        <v>184</v>
      </c>
      <c r="AE29" s="391">
        <v>19</v>
      </c>
      <c r="AF29" s="391">
        <v>5</v>
      </c>
      <c r="AG29" s="391">
        <v>78</v>
      </c>
    </row>
    <row r="30">
      <c r="A30" s="380" t="s">
        <v>870</v>
      </c>
      <c r="B30" s="381" t="s">
        <v>851</v>
      </c>
      <c r="C30" s="382" t="s">
        <v>858</v>
      </c>
      <c r="D30" s="383">
        <v>4</v>
      </c>
      <c r="E30" s="383">
        <v>7</v>
      </c>
      <c r="F30" s="383">
        <v>10</v>
      </c>
      <c r="G30" s="383">
        <v>19635.25</v>
      </c>
      <c r="H30" s="384">
        <v>8261.69</v>
      </c>
      <c r="I30" s="385">
        <f t="shared" si="22"/>
      </c>
      <c r="J30" s="385">
        <f t="shared" si="6"/>
      </c>
      <c r="K30" s="399">
        <f t="shared" si="28"/>
      </c>
      <c r="L30" s="383" t="s">
        <v>859</v>
      </c>
      <c r="M30" s="386">
        <v>10</v>
      </c>
      <c r="N30" s="401"/>
      <c r="O30" s="387"/>
      <c r="P30" s="387"/>
      <c r="Q30" s="392">
        <v>3.860574766355141</v>
      </c>
      <c r="R30" s="390">
        <v>0.14182295975942125</v>
      </c>
      <c r="S30" s="390">
        <v>0.02505121451565701</v>
      </c>
      <c r="T30" s="390">
        <v>0.02704126426690079</v>
      </c>
      <c r="U30" s="390">
        <v>0.1277056277056277</v>
      </c>
      <c r="V30" s="391">
        <v>12115.22633744856</v>
      </c>
      <c r="W30" s="390">
        <v>0.030375000000000003</v>
      </c>
      <c r="X30" s="391">
        <v>48.25</v>
      </c>
      <c r="Y30" s="392">
        <v>96.71208662569506</v>
      </c>
      <c r="Z30" s="391">
        <v>85425</v>
      </c>
      <c r="AA30" s="391">
        <v>2140</v>
      </c>
      <c r="AB30" s="391">
        <v>368</v>
      </c>
      <c r="AC30" s="391">
        <v>2310</v>
      </c>
      <c r="AD30" s="391">
        <v>295</v>
      </c>
      <c r="AE30" s="391">
        <v>14</v>
      </c>
      <c r="AF30" s="391">
        <v>6</v>
      </c>
      <c r="AG30" s="405">
        <v>84</v>
      </c>
    </row>
    <row r="31">
      <c r="A31" s="406" t="s">
        <v>870</v>
      </c>
      <c r="B31" s="407" t="s">
        <v>860</v>
      </c>
      <c r="C31" s="408"/>
      <c r="D31" s="408">
        <f>SUM(D26:D30)</f>
      </c>
      <c r="E31" s="408">
        <f>SUM(E26:E30)</f>
      </c>
      <c r="F31" s="408">
        <f>SUM(F26:F30)</f>
      </c>
      <c r="G31" s="408">
        <f>SUM(G26:G30)</f>
      </c>
      <c r="H31" s="408">
        <f>SUM(H26:H30)</f>
      </c>
      <c r="I31" s="409">
        <f t="shared" si="22"/>
      </c>
      <c r="J31" s="409">
        <f t="shared" si="6"/>
      </c>
      <c r="K31" s="409">
        <f t="shared" si="28"/>
      </c>
      <c r="L31" s="408"/>
      <c r="M31" s="410">
        <f>SUM(M26:M30)</f>
      </c>
      <c r="N31" s="408"/>
      <c r="O31" s="408"/>
      <c r="P31" s="408"/>
      <c r="Q31" s="411">
        <f>AVERAGE(Q26:Q30)</f>
      </c>
      <c r="R31" s="412">
        <f>AVERAGE(R26:R30)</f>
      </c>
      <c r="S31" s="412">
        <f>AVERAGE(S26:S30)</f>
      </c>
      <c r="T31" s="412">
        <f>AVERAGE(T26:T30)</f>
      </c>
      <c r="U31" s="412">
        <f>AVERAGE(U26:U30)</f>
      </c>
      <c r="V31" s="413">
        <f>SUM(V26:V30)</f>
      </c>
      <c r="W31" s="412">
        <f>AVERAGE(W26:W30)</f>
      </c>
      <c r="X31" s="413"/>
      <c r="Y31" s="411">
        <f>AVERAGE(Y26:Y30)</f>
      </c>
      <c r="Z31" s="413">
        <f>SUM(Z26:Z30)</f>
      </c>
      <c r="AA31" s="413">
        <f>SUM(AA26:AA30)</f>
      </c>
      <c r="AB31" s="413">
        <f>SUM(AB26:AB30)</f>
      </c>
      <c r="AC31" s="413">
        <f>SUM(AC26:AC30)</f>
      </c>
      <c r="AD31" s="413">
        <f>SUM(AD26:AD30)</f>
      </c>
      <c r="AE31" s="413">
        <f>SUM(AE26:AE30)</f>
      </c>
      <c r="AF31" s="413">
        <f>SUM(AF26:AF30)</f>
      </c>
      <c r="AG31" s="413">
        <f>SUM(AG26:AG30)</f>
      </c>
    </row>
    <row r="32">
      <c r="A32" s="380" t="s">
        <v>873</v>
      </c>
      <c r="B32" s="381" t="s">
        <v>848</v>
      </c>
      <c r="C32" s="382" t="s">
        <v>849</v>
      </c>
      <c r="D32" s="383">
        <v>4</v>
      </c>
      <c r="E32" s="383">
        <v>16</v>
      </c>
      <c r="F32" s="383">
        <v>20</v>
      </c>
      <c r="G32" s="383">
        <v>41364.590000000004</v>
      </c>
      <c r="H32" s="384">
        <v>12981.030000000002</v>
      </c>
      <c r="I32" s="385">
        <f t="shared" si="22"/>
      </c>
      <c r="J32" s="385">
        <f t="shared" si="6"/>
      </c>
      <c r="K32" s="399">
        <f t="shared" si="28"/>
      </c>
      <c r="L32" s="402" t="s">
        <v>850</v>
      </c>
      <c r="M32" s="414">
        <v>10</v>
      </c>
      <c r="N32" s="401"/>
      <c r="O32" s="387"/>
      <c r="P32" s="387"/>
      <c r="Q32" s="388">
        <v>3.802293497363797</v>
      </c>
      <c r="R32" s="389">
        <v>0.135529997370256</v>
      </c>
      <c r="S32" s="390">
        <v>0.02444945751423354</v>
      </c>
      <c r="T32" s="390">
        <v>0.02533748701973001</v>
      </c>
      <c r="U32" s="390">
        <v>0.07490107405313737</v>
      </c>
      <c r="V32" s="391">
        <v>18924.7311827957</v>
      </c>
      <c r="W32" s="390">
        <v>0.034875</v>
      </c>
      <c r="X32" s="391">
        <v>47.75</v>
      </c>
      <c r="Y32" s="392">
        <v>92.9640133204426</v>
      </c>
      <c r="Z32" s="391">
        <v>139635</v>
      </c>
      <c r="AA32" s="391">
        <v>3414</v>
      </c>
      <c r="AB32" s="391">
        <v>660</v>
      </c>
      <c r="AC32" s="391">
        <v>3538</v>
      </c>
      <c r="AD32" s="391">
        <v>265</v>
      </c>
      <c r="AE32" s="391">
        <v>26</v>
      </c>
      <c r="AF32" s="391">
        <v>8</v>
      </c>
      <c r="AG32" s="391">
        <v>264</v>
      </c>
    </row>
    <row r="33">
      <c r="A33" s="380" t="s">
        <v>873</v>
      </c>
      <c r="B33" s="395" t="s">
        <v>855</v>
      </c>
      <c r="C33" s="382" t="s">
        <v>852</v>
      </c>
      <c r="D33" s="383">
        <v>4</v>
      </c>
      <c r="E33" s="393">
        <v>11</v>
      </c>
      <c r="F33" s="393">
        <v>13</v>
      </c>
      <c r="G33" s="393">
        <v>27205.860000000008</v>
      </c>
      <c r="H33" s="394">
        <v>11309.289999999999</v>
      </c>
      <c r="I33" s="385">
        <f t="shared" si="22"/>
      </c>
      <c r="J33" s="385">
        <f t="shared" si="6"/>
      </c>
      <c r="K33" s="385">
        <f t="shared" si="28"/>
      </c>
      <c r="L33" s="402"/>
      <c r="M33" s="414"/>
      <c r="N33" s="387"/>
      <c r="O33" s="387"/>
      <c r="P33" s="387"/>
      <c r="Q33" s="384">
        <v>5.445012036591237</v>
      </c>
      <c r="R33" s="390">
        <v>0.17323910011643193</v>
      </c>
      <c r="S33" s="389">
        <v>0.02076979230207698</v>
      </c>
      <c r="T33" s="390">
        <v>0.021559784402155977</v>
      </c>
      <c r="U33" s="389">
        <v>0.07931354359925788</v>
      </c>
      <c r="V33" s="391">
        <v>17324.083250743308</v>
      </c>
      <c r="W33" s="390">
        <v>0.025225</v>
      </c>
      <c r="X33" s="391">
        <v>54.25</v>
      </c>
      <c r="Y33" s="392">
        <v>113.09176908230917</v>
      </c>
      <c r="Z33" s="391">
        <v>100001</v>
      </c>
      <c r="AA33" s="391">
        <v>2077</v>
      </c>
      <c r="AB33" s="391">
        <v>437</v>
      </c>
      <c r="AC33" s="391">
        <v>2156</v>
      </c>
      <c r="AD33" s="391">
        <v>171</v>
      </c>
      <c r="AE33" s="391">
        <v>21</v>
      </c>
      <c r="AF33" s="391">
        <v>2</v>
      </c>
      <c r="AG33" s="391">
        <v>116</v>
      </c>
    </row>
    <row r="34">
      <c r="A34" s="380" t="s">
        <v>873</v>
      </c>
      <c r="B34" s="381" t="s">
        <v>853</v>
      </c>
      <c r="C34" s="382" t="s">
        <v>854</v>
      </c>
      <c r="D34" s="380">
        <v>4</v>
      </c>
      <c r="E34" s="396">
        <v>8</v>
      </c>
      <c r="F34" s="396">
        <v>9</v>
      </c>
      <c r="G34" s="397">
        <v>17631.899999999994</v>
      </c>
      <c r="H34" s="397">
        <v>11255.44</v>
      </c>
      <c r="I34" s="398">
        <f t="shared" si="22"/>
      </c>
      <c r="J34" s="385">
        <f>G35/F35</f>
      </c>
      <c r="K34" s="399">
        <f>H35/F35</f>
      </c>
      <c r="L34" s="400"/>
      <c r="M34" s="400"/>
      <c r="N34" s="401"/>
      <c r="O34" s="387"/>
      <c r="P34" s="387"/>
      <c r="Q34" s="384">
        <v>6.66396684428656</v>
      </c>
      <c r="R34" s="390">
        <v>0.10871529826111952</v>
      </c>
      <c r="S34" s="390">
        <v>0.016839985243825836</v>
      </c>
      <c r="T34" s="390">
        <v>0.017627645891701647</v>
      </c>
      <c r="U34" s="390">
        <v>0.13744343891402716</v>
      </c>
      <c r="V34" s="391">
        <v>10903.818269695505</v>
      </c>
      <c r="W34" s="390">
        <v>0.051725</v>
      </c>
      <c r="X34" s="391">
        <v>59</v>
      </c>
      <c r="Y34" s="392">
        <v>112.22110332313031</v>
      </c>
      <c r="Z34" s="391">
        <v>100297</v>
      </c>
      <c r="AA34" s="391">
        <v>1689</v>
      </c>
      <c r="AB34" s="391">
        <v>564</v>
      </c>
      <c r="AC34" s="391">
        <v>1768</v>
      </c>
      <c r="AD34" s="391">
        <v>243</v>
      </c>
      <c r="AE34" s="391">
        <v>32</v>
      </c>
      <c r="AF34" s="391">
        <v>5</v>
      </c>
      <c r="AG34" s="391">
        <v>180</v>
      </c>
    </row>
    <row r="35">
      <c r="A35" s="380" t="s">
        <v>873</v>
      </c>
      <c r="B35" s="381" t="s">
        <v>851</v>
      </c>
      <c r="C35" s="382" t="s">
        <v>856</v>
      </c>
      <c r="D35" s="383">
        <v>4</v>
      </c>
      <c r="E35" s="402">
        <v>14</v>
      </c>
      <c r="F35" s="402">
        <v>17</v>
      </c>
      <c r="G35" s="402">
        <v>36554.080000000016</v>
      </c>
      <c r="H35" s="403">
        <v>10799.6</v>
      </c>
      <c r="I35" s="385">
        <f t="shared" si="22"/>
      </c>
      <c r="J35" s="385">
        <f t="shared" ref="J35:J39" si="7">G35/F35</f>
      </c>
      <c r="K35" s="399">
        <f t="shared" ref="K35:K39" si="29">H35/F35</f>
      </c>
      <c r="L35" s="404"/>
      <c r="M35" s="404"/>
      <c r="N35" s="401"/>
      <c r="O35" s="387"/>
      <c r="P35" s="387"/>
      <c r="Q35" s="384">
        <v>7.030989583333334</v>
      </c>
      <c r="R35" s="390">
        <v>0.1669034308183775</v>
      </c>
      <c r="S35" s="390">
        <v>0.01794853817569936</v>
      </c>
      <c r="T35" s="390">
        <v>0.018824931641309682</v>
      </c>
      <c r="U35" s="390">
        <v>0.1446306641837368</v>
      </c>
      <c r="V35" s="391">
        <v>14283.261802575109</v>
      </c>
      <c r="W35" s="390">
        <v>0.029124999999999998</v>
      </c>
      <c r="X35" s="391">
        <v>63</v>
      </c>
      <c r="Y35" s="392">
        <v>126.1959849494029</v>
      </c>
      <c r="Z35" s="391">
        <v>85578</v>
      </c>
      <c r="AA35" s="391">
        <v>1536</v>
      </c>
      <c r="AB35" s="391">
        <v>416</v>
      </c>
      <c r="AC35" s="391">
        <v>1611</v>
      </c>
      <c r="AD35" s="391">
        <v>233</v>
      </c>
      <c r="AE35" s="391">
        <v>11</v>
      </c>
      <c r="AF35" s="391">
        <v>7</v>
      </c>
      <c r="AG35" s="391">
        <v>124</v>
      </c>
    </row>
    <row r="36">
      <c r="A36" s="380" t="s">
        <v>873</v>
      </c>
      <c r="B36" s="381" t="s">
        <v>863</v>
      </c>
      <c r="C36" s="382" t="s">
        <v>858</v>
      </c>
      <c r="D36" s="383">
        <v>4</v>
      </c>
      <c r="E36" s="383">
        <v>9</v>
      </c>
      <c r="F36" s="383">
        <v>11</v>
      </c>
      <c r="G36" s="383">
        <v>20957.22999999998</v>
      </c>
      <c r="H36" s="384">
        <v>8255.9</v>
      </c>
      <c r="I36" s="385">
        <f t="shared" si="22"/>
      </c>
      <c r="J36" s="385">
        <f t="shared" si="7"/>
      </c>
      <c r="K36" s="399">
        <f t="shared" si="29"/>
      </c>
      <c r="L36" s="383" t="s">
        <v>859</v>
      </c>
      <c r="M36" s="386">
        <v>10</v>
      </c>
      <c r="N36" s="401"/>
      <c r="O36" s="387"/>
      <c r="P36" s="387"/>
      <c r="Q36" s="392">
        <v>5.179341279799248</v>
      </c>
      <c r="R36" s="390">
        <v>0.2042915626675694</v>
      </c>
      <c r="S36" s="390">
        <v>0.021548402795614617</v>
      </c>
      <c r="T36" s="390">
        <v>0.02311654252227164</v>
      </c>
      <c r="U36" s="390">
        <v>0.11988304093567251</v>
      </c>
      <c r="V36" s="391">
        <v>15112.05976520811</v>
      </c>
      <c r="W36" s="390">
        <v>0.023425</v>
      </c>
      <c r="X36" s="391">
        <v>64.25</v>
      </c>
      <c r="Y36" s="392">
        <v>111.6065321130683</v>
      </c>
      <c r="Z36" s="391">
        <v>73973</v>
      </c>
      <c r="AA36" s="391">
        <v>1594</v>
      </c>
      <c r="AB36" s="391">
        <v>354</v>
      </c>
      <c r="AC36" s="391">
        <v>1710</v>
      </c>
      <c r="AD36" s="391">
        <v>205</v>
      </c>
      <c r="AE36" s="391">
        <v>15</v>
      </c>
      <c r="AF36" s="391">
        <v>9</v>
      </c>
      <c r="AG36" s="405">
        <v>88</v>
      </c>
    </row>
    <row r="37">
      <c r="A37" s="406" t="s">
        <v>873</v>
      </c>
      <c r="B37" s="407" t="s">
        <v>860</v>
      </c>
      <c r="C37" s="408"/>
      <c r="D37" s="408">
        <f>SUM(D32:D36)</f>
      </c>
      <c r="E37" s="408">
        <f>SUM(E32:E36)</f>
      </c>
      <c r="F37" s="408">
        <f>SUM(F32:F36)</f>
      </c>
      <c r="G37" s="408">
        <f>SUM(G32:G36)</f>
      </c>
      <c r="H37" s="408">
        <f>SUM(H32:H36)</f>
      </c>
      <c r="I37" s="409">
        <f t="shared" si="22"/>
      </c>
      <c r="J37" s="409">
        <f t="shared" si="7"/>
      </c>
      <c r="K37" s="409">
        <f t="shared" si="29"/>
      </c>
      <c r="L37" s="408"/>
      <c r="M37" s="410">
        <f>SUM(M32:M36)</f>
      </c>
      <c r="N37" s="408"/>
      <c r="O37" s="408"/>
      <c r="P37" s="408"/>
      <c r="Q37" s="411">
        <f>AVERAGE(Q32:Q36)</f>
      </c>
      <c r="R37" s="412">
        <f>AVERAGE(R32:R36)</f>
      </c>
      <c r="S37" s="412">
        <f>AVERAGE(S32:S36)</f>
      </c>
      <c r="T37" s="412">
        <f>AVERAGE(T32:T36)</f>
      </c>
      <c r="U37" s="412">
        <f>AVERAGE(U32:U36)</f>
      </c>
      <c r="V37" s="413">
        <f>SUM(V32:V36)</f>
      </c>
      <c r="W37" s="412">
        <f>AVERAGE(W32:W36)</f>
      </c>
      <c r="X37" s="413"/>
      <c r="Y37" s="411">
        <f>AVERAGE(Y32:Y36)</f>
      </c>
      <c r="Z37" s="413">
        <f>SUM(Z32:Z36)</f>
      </c>
      <c r="AA37" s="413">
        <f>SUM(AA32:AA36)</f>
      </c>
      <c r="AB37" s="413">
        <f>SUM(AB32:AB36)</f>
      </c>
      <c r="AC37" s="413">
        <f>SUM(AC32:AC36)</f>
      </c>
      <c r="AD37" s="413">
        <f>SUM(AD32:AD36)</f>
      </c>
      <c r="AE37" s="413">
        <f>SUM(AE32:AE36)</f>
      </c>
      <c r="AF37" s="413">
        <f>SUM(AF32:AF36)</f>
      </c>
      <c r="AG37" s="413">
        <f>SUM(AG32:AG36)</f>
      </c>
    </row>
    <row r="38">
      <c r="A38" s="380" t="s">
        <v>874</v>
      </c>
      <c r="B38" s="381" t="s">
        <v>853</v>
      </c>
      <c r="C38" s="382" t="s">
        <v>849</v>
      </c>
      <c r="D38" s="383">
        <v>4</v>
      </c>
      <c r="E38" s="383">
        <v>12</v>
      </c>
      <c r="F38" s="383">
        <v>13</v>
      </c>
      <c r="G38" s="383">
        <v>28004.66</v>
      </c>
      <c r="H38" s="384">
        <v>9963.300000000001</v>
      </c>
      <c r="I38" s="385">
        <f t="shared" si="22"/>
      </c>
      <c r="J38" s="385">
        <f t="shared" si="7"/>
      </c>
      <c r="K38" s="399">
        <f t="shared" si="29"/>
      </c>
      <c r="L38" s="402" t="s">
        <v>850</v>
      </c>
      <c r="M38" s="414">
        <v>10</v>
      </c>
      <c r="N38" s="401"/>
      <c r="O38" s="387"/>
      <c r="P38" s="387"/>
      <c r="Q38" s="388">
        <v>4.130721393034826</v>
      </c>
      <c r="R38" s="389">
        <v>0.16240307317046446</v>
      </c>
      <c r="S38" s="390">
        <v>0.02407497978779682</v>
      </c>
      <c r="T38" s="390">
        <v>0.025592142693163785</v>
      </c>
      <c r="U38" s="390">
        <v>0.09594383775351015</v>
      </c>
      <c r="V38" s="391">
        <v>16270.676691729323</v>
      </c>
      <c r="W38" s="390">
        <v>0.03325</v>
      </c>
      <c r="X38" s="391">
        <v>48</v>
      </c>
      <c r="Y38" s="392">
        <v>99.44703404633337</v>
      </c>
      <c r="Z38" s="391">
        <v>100187</v>
      </c>
      <c r="AA38" s="391">
        <v>2412</v>
      </c>
      <c r="AB38" s="391">
        <v>541</v>
      </c>
      <c r="AC38" s="391">
        <v>2564</v>
      </c>
      <c r="AD38" s="391">
        <v>246</v>
      </c>
      <c r="AE38" s="391">
        <v>17</v>
      </c>
      <c r="AF38" s="391">
        <v>5</v>
      </c>
      <c r="AG38" s="391">
        <v>149</v>
      </c>
    </row>
    <row r="39">
      <c r="A39" s="380" t="s">
        <v>874</v>
      </c>
      <c r="B39" s="395" t="s">
        <v>855</v>
      </c>
      <c r="C39" s="382" t="s">
        <v>852</v>
      </c>
      <c r="D39" s="383">
        <v>4</v>
      </c>
      <c r="E39" s="393">
        <v>5</v>
      </c>
      <c r="F39" s="393">
        <v>9</v>
      </c>
      <c r="G39" s="393">
        <v>18339.76</v>
      </c>
      <c r="H39" s="394">
        <v>7995.9400000000005</v>
      </c>
      <c r="I39" s="385">
        <f t="shared" si="22"/>
      </c>
      <c r="J39" s="385">
        <f t="shared" si="7"/>
      </c>
      <c r="K39" s="385">
        <f t="shared" si="29"/>
      </c>
      <c r="L39" s="402"/>
      <c r="M39" s="414"/>
      <c r="N39" s="387"/>
      <c r="O39" s="387"/>
      <c r="P39" s="387"/>
      <c r="Q39" s="384">
        <v>7.315590118938701</v>
      </c>
      <c r="R39" s="390">
        <v>0.0623171404731524</v>
      </c>
      <c r="S39" s="389">
        <v>0.014815517662048961</v>
      </c>
      <c r="T39" s="390">
        <v>0.01545259847642801</v>
      </c>
      <c r="U39" s="389">
        <v>0.12894736842105264</v>
      </c>
      <c r="V39" s="391">
        <v>4597.384721266345</v>
      </c>
      <c r="W39" s="390">
        <v>0.07265</v>
      </c>
      <c r="X39" s="391">
        <v>59</v>
      </c>
      <c r="Y39" s="392">
        <v>108.38425461544718</v>
      </c>
      <c r="Z39" s="391">
        <v>73774</v>
      </c>
      <c r="AA39" s="391">
        <v>1093</v>
      </c>
      <c r="AB39" s="391">
        <v>334</v>
      </c>
      <c r="AC39" s="391">
        <v>1140</v>
      </c>
      <c r="AD39" s="391">
        <v>147</v>
      </c>
      <c r="AE39" s="391">
        <v>15</v>
      </c>
      <c r="AF39" s="391">
        <v>1</v>
      </c>
      <c r="AG39" s="391">
        <v>94</v>
      </c>
    </row>
    <row r="40">
      <c r="A40" s="380" t="s">
        <v>874</v>
      </c>
      <c r="B40" s="381" t="s">
        <v>848</v>
      </c>
      <c r="C40" s="382" t="s">
        <v>854</v>
      </c>
      <c r="D40" s="380">
        <v>4</v>
      </c>
      <c r="E40" s="396">
        <v>12</v>
      </c>
      <c r="F40" s="396">
        <v>12</v>
      </c>
      <c r="G40" s="397">
        <v>26541.13000000002</v>
      </c>
      <c r="H40" s="397">
        <v>11406.64</v>
      </c>
      <c r="I40" s="398">
        <f t="shared" si="22"/>
      </c>
      <c r="J40" s="385">
        <f>G41/F41</f>
      </c>
      <c r="K40" s="399">
        <f>H41/F41</f>
      </c>
      <c r="L40" s="400"/>
      <c r="M40" s="400"/>
      <c r="N40" s="401"/>
      <c r="O40" s="387"/>
      <c r="P40" s="387"/>
      <c r="Q40" s="384">
        <v>6.344071190211346</v>
      </c>
      <c r="R40" s="390">
        <v>0.13592730752814877</v>
      </c>
      <c r="S40" s="390">
        <v>0.01622787620603446</v>
      </c>
      <c r="T40" s="390">
        <v>0.017121402204030797</v>
      </c>
      <c r="U40" s="390">
        <v>0.13020558777016342</v>
      </c>
      <c r="V40" s="391">
        <v>15060.3378921963</v>
      </c>
      <c r="W40" s="390">
        <v>0.031075</v>
      </c>
      <c r="X40" s="391">
        <v>61</v>
      </c>
      <c r="Y40" s="392">
        <v>102.95080191701942</v>
      </c>
      <c r="Z40" s="391">
        <v>110797</v>
      </c>
      <c r="AA40" s="391">
        <v>1798</v>
      </c>
      <c r="AB40" s="391">
        <v>468</v>
      </c>
      <c r="AC40" s="391">
        <v>1897</v>
      </c>
      <c r="AD40" s="391">
        <v>247</v>
      </c>
      <c r="AE40" s="391">
        <v>19</v>
      </c>
      <c r="AF40" s="391">
        <v>4</v>
      </c>
      <c r="AG40" s="391">
        <v>130</v>
      </c>
    </row>
    <row r="41">
      <c r="A41" s="380" t="s">
        <v>874</v>
      </c>
      <c r="B41" s="381" t="s">
        <v>851</v>
      </c>
      <c r="C41" s="382" t="s">
        <v>856</v>
      </c>
      <c r="D41" s="383">
        <v>4</v>
      </c>
      <c r="E41" s="402">
        <v>12</v>
      </c>
      <c r="F41" s="402">
        <v>14</v>
      </c>
      <c r="G41" s="402">
        <v>24640</v>
      </c>
      <c r="H41" s="403">
        <v>9114.51</v>
      </c>
      <c r="I41" s="385">
        <f t="shared" si="22"/>
      </c>
      <c r="J41" s="385">
        <f t="shared" ref="J41:J45" si="8">G41/F41</f>
      </c>
      <c r="K41" s="399">
        <f t="shared" ref="K41:K45" si="30">H41/F41</f>
      </c>
      <c r="L41" s="404"/>
      <c r="M41" s="404"/>
      <c r="N41" s="401"/>
      <c r="O41" s="387"/>
      <c r="P41" s="387"/>
      <c r="Q41" s="384">
        <v>7.081981351981352</v>
      </c>
      <c r="R41" s="390">
        <v>0.22052045742474213</v>
      </c>
      <c r="S41" s="390">
        <v>0.017015031927973663</v>
      </c>
      <c r="T41" s="390">
        <v>0.018535411626277448</v>
      </c>
      <c r="U41" s="390">
        <v>0.1875891583452211</v>
      </c>
      <c r="V41" s="391">
        <v>16679.94687915007</v>
      </c>
      <c r="W41" s="390">
        <v>0.018824999999999998</v>
      </c>
      <c r="X41" s="391">
        <v>61</v>
      </c>
      <c r="Y41" s="392">
        <v>120.5001388172768</v>
      </c>
      <c r="Z41" s="391">
        <v>75639</v>
      </c>
      <c r="AA41" s="391">
        <v>1287</v>
      </c>
      <c r="AB41" s="391">
        <v>314</v>
      </c>
      <c r="AC41" s="391">
        <v>1402</v>
      </c>
      <c r="AD41" s="391">
        <v>263</v>
      </c>
      <c r="AE41" s="391">
        <v>20</v>
      </c>
      <c r="AF41" s="391">
        <v>4</v>
      </c>
      <c r="AG41" s="391">
        <v>82</v>
      </c>
    </row>
    <row r="42">
      <c r="A42" s="380" t="s">
        <v>874</v>
      </c>
      <c r="B42" s="381" t="s">
        <v>863</v>
      </c>
      <c r="C42" s="382" t="s">
        <v>858</v>
      </c>
      <c r="D42" s="383">
        <v>4</v>
      </c>
      <c r="E42" s="383">
        <v>13</v>
      </c>
      <c r="F42" s="383">
        <v>14</v>
      </c>
      <c r="G42" s="383">
        <v>27084.929999999993</v>
      </c>
      <c r="H42" s="384">
        <v>7619.1799999999985</v>
      </c>
      <c r="I42" s="385">
        <f t="shared" si="22"/>
      </c>
      <c r="J42" s="385">
        <f t="shared" si="8"/>
      </c>
      <c r="K42" s="399">
        <f t="shared" si="30"/>
      </c>
      <c r="L42" s="383" t="s">
        <v>859</v>
      </c>
      <c r="M42" s="386">
        <v>10</v>
      </c>
      <c r="N42" s="401"/>
      <c r="O42" s="387"/>
      <c r="P42" s="387"/>
      <c r="Q42" s="392">
        <v>5.32786013986014</v>
      </c>
      <c r="R42" s="390">
        <v>0.18566117047508024</v>
      </c>
      <c r="S42" s="390">
        <v>0.020444927370467804</v>
      </c>
      <c r="T42" s="390">
        <v>0.02300411757977811</v>
      </c>
      <c r="U42" s="390">
        <v>0.1454319453076445</v>
      </c>
      <c r="V42" s="391">
        <v>12985.884907709013</v>
      </c>
      <c r="W42" s="390">
        <v>0.023025</v>
      </c>
      <c r="X42" s="391">
        <v>63.25</v>
      </c>
      <c r="Y42" s="392">
        <v>108.92771359945098</v>
      </c>
      <c r="Z42" s="391">
        <v>69944</v>
      </c>
      <c r="AA42" s="391">
        <v>1430</v>
      </c>
      <c r="AB42" s="391">
        <v>299</v>
      </c>
      <c r="AC42" s="391">
        <v>1609</v>
      </c>
      <c r="AD42" s="391">
        <v>234</v>
      </c>
      <c r="AE42" s="391">
        <v>23</v>
      </c>
      <c r="AF42" s="391">
        <v>5</v>
      </c>
      <c r="AG42" s="405">
        <v>87</v>
      </c>
    </row>
    <row r="43">
      <c r="A43" s="406" t="s">
        <v>874</v>
      </c>
      <c r="B43" s="407" t="s">
        <v>860</v>
      </c>
      <c r="C43" s="408"/>
      <c r="D43" s="408">
        <f>SUM(D38:D42)</f>
      </c>
      <c r="E43" s="408">
        <f>SUM(E38:E42)</f>
      </c>
      <c r="F43" s="408">
        <f>SUM(F38:F42)</f>
      </c>
      <c r="G43" s="408">
        <f>SUM(G38:G42)</f>
      </c>
      <c r="H43" s="408">
        <f>SUM(H38:H42)</f>
      </c>
      <c r="I43" s="409">
        <f t="shared" si="22"/>
      </c>
      <c r="J43" s="409">
        <f t="shared" si="8"/>
      </c>
      <c r="K43" s="409">
        <f t="shared" si="30"/>
      </c>
      <c r="L43" s="408"/>
      <c r="M43" s="410">
        <f>SUM(M38:M42)</f>
      </c>
      <c r="N43" s="408"/>
      <c r="O43" s="408"/>
      <c r="P43" s="408"/>
      <c r="Q43" s="411">
        <f>AVERAGE(Q38:Q42)</f>
      </c>
      <c r="R43" s="412">
        <f>AVERAGE(R38:R42)</f>
      </c>
      <c r="S43" s="412">
        <f>AVERAGE(S38:S42)</f>
      </c>
      <c r="T43" s="412">
        <f>AVERAGE(T38:T42)</f>
      </c>
      <c r="U43" s="412">
        <f>AVERAGE(U38:U42)</f>
      </c>
      <c r="V43" s="413">
        <f>SUM(V38:V42)</f>
      </c>
      <c r="W43" s="412">
        <f>AVERAGE(W38:W42)</f>
      </c>
      <c r="X43" s="413"/>
      <c r="Y43" s="411">
        <f>AVERAGE(Y38:Y42)</f>
      </c>
      <c r="Z43" s="413">
        <f>SUM(Z38:Z42)</f>
      </c>
      <c r="AA43" s="413">
        <f>SUM(AA38:AA42)</f>
      </c>
      <c r="AB43" s="413">
        <f>SUM(AB38:AB42)</f>
      </c>
      <c r="AC43" s="413">
        <f>SUM(AC38:AC42)</f>
      </c>
      <c r="AD43" s="413">
        <f>SUM(AD38:AD42)</f>
      </c>
      <c r="AE43" s="413">
        <f>SUM(AE38:AE42)</f>
      </c>
      <c r="AF43" s="413">
        <f>SUM(AF38:AF42)</f>
      </c>
      <c r="AG43" s="413">
        <f>SUM(AG38:AG42)</f>
      </c>
    </row>
    <row r="44">
      <c r="A44" s="380" t="s">
        <v>875</v>
      </c>
      <c r="B44" s="381" t="s">
        <v>853</v>
      </c>
      <c r="C44" s="382" t="s">
        <v>849</v>
      </c>
      <c r="D44" s="383">
        <v>4</v>
      </c>
      <c r="E44" s="383">
        <v>11</v>
      </c>
      <c r="F44" s="383">
        <v>13</v>
      </c>
      <c r="G44" s="383">
        <v>25226.31</v>
      </c>
      <c r="H44" s="384">
        <v>9375.58</v>
      </c>
      <c r="I44" s="385">
        <f t="shared" si="22"/>
      </c>
      <c r="J44" s="385">
        <f t="shared" si="8"/>
      </c>
      <c r="K44" s="399">
        <f t="shared" si="30"/>
      </c>
      <c r="L44" s="402" t="s">
        <v>850</v>
      </c>
      <c r="M44" s="414">
        <v>10</v>
      </c>
      <c r="N44" s="401"/>
      <c r="O44" s="387"/>
      <c r="P44" s="387"/>
      <c r="Q44" s="388">
        <v>4.060450411433521</v>
      </c>
      <c r="R44" s="389">
        <v>0.12049383956219897</v>
      </c>
      <c r="S44" s="390">
        <v>0.01928505804727303</v>
      </c>
      <c r="T44" s="390">
        <v>0.02087196191430719</v>
      </c>
      <c r="U44" s="390">
        <v>0.08563425370148059</v>
      </c>
      <c r="V44" s="391">
        <v>14426.727410782083</v>
      </c>
      <c r="W44" s="390">
        <v>0.032924999999999996</v>
      </c>
      <c r="X44" s="391">
        <v>45</v>
      </c>
      <c r="Y44" s="392">
        <v>78.30602188256911</v>
      </c>
      <c r="Z44" s="391">
        <v>119730</v>
      </c>
      <c r="AA44" s="391">
        <v>2309</v>
      </c>
      <c r="AB44" s="391">
        <v>475</v>
      </c>
      <c r="AC44" s="391">
        <v>2499</v>
      </c>
      <c r="AD44" s="391">
        <v>214</v>
      </c>
      <c r="AE44" s="391">
        <v>20</v>
      </c>
      <c r="AF44" s="391">
        <v>7</v>
      </c>
      <c r="AG44" s="391">
        <v>237</v>
      </c>
    </row>
    <row r="45">
      <c r="A45" s="380" t="s">
        <v>875</v>
      </c>
      <c r="B45" s="395" t="s">
        <v>851</v>
      </c>
      <c r="C45" s="382" t="s">
        <v>852</v>
      </c>
      <c r="D45" s="383">
        <v>4</v>
      </c>
      <c r="E45" s="393">
        <v>11</v>
      </c>
      <c r="F45" s="393">
        <v>14</v>
      </c>
      <c r="G45" s="393">
        <v>25770.850000000002</v>
      </c>
      <c r="H45" s="394">
        <v>12959.41</v>
      </c>
      <c r="I45" s="385">
        <f t="shared" si="22"/>
      </c>
      <c r="J45" s="385">
        <f t="shared" si="8"/>
      </c>
      <c r="K45" s="385">
        <f t="shared" si="30"/>
      </c>
      <c r="L45" s="402"/>
      <c r="M45" s="414"/>
      <c r="N45" s="387"/>
      <c r="O45" s="387"/>
      <c r="P45" s="387"/>
      <c r="Q45" s="384">
        <v>6.200674641148325</v>
      </c>
      <c r="R45" s="390">
        <v>0.14172131162061608</v>
      </c>
      <c r="S45" s="389">
        <v>0.014479299451310757</v>
      </c>
      <c r="T45" s="390">
        <v>0.014326885772875908</v>
      </c>
      <c r="U45" s="389">
        <v>0.14313346228239845</v>
      </c>
      <c r="V45" s="391">
        <v>20456.62100456621</v>
      </c>
      <c r="W45" s="390">
        <v>0.027375</v>
      </c>
      <c r="X45" s="391">
        <v>57.5</v>
      </c>
      <c r="Y45" s="392">
        <v>89.78142492933549</v>
      </c>
      <c r="Z45" s="391">
        <v>144344</v>
      </c>
      <c r="AA45" s="391">
        <v>2090</v>
      </c>
      <c r="AB45" s="391">
        <v>560</v>
      </c>
      <c r="AC45" s="391">
        <v>2068</v>
      </c>
      <c r="AD45" s="391">
        <v>296</v>
      </c>
      <c r="AE45" s="391">
        <v>20</v>
      </c>
      <c r="AF45" s="391">
        <v>8</v>
      </c>
      <c r="AG45" s="391">
        <v>210</v>
      </c>
    </row>
    <row r="46">
      <c r="A46" s="380" t="s">
        <v>875</v>
      </c>
      <c r="B46" s="395" t="s">
        <v>855</v>
      </c>
      <c r="C46" s="382" t="s">
        <v>854</v>
      </c>
      <c r="D46" s="380">
        <v>4</v>
      </c>
      <c r="E46" s="396">
        <v>13</v>
      </c>
      <c r="F46" s="396">
        <v>18</v>
      </c>
      <c r="G46" s="397">
        <v>34530.23999999999</v>
      </c>
      <c r="H46" s="397">
        <v>11771.2</v>
      </c>
      <c r="I46" s="398">
        <f t="shared" si="22"/>
      </c>
      <c r="J46" s="385">
        <f>G47/F47</f>
      </c>
      <c r="K46" s="399">
        <f>H47/F47</f>
      </c>
      <c r="L46" s="400"/>
      <c r="M46" s="400"/>
      <c r="N46" s="401"/>
      <c r="O46" s="387"/>
      <c r="P46" s="387"/>
      <c r="Q46" s="384">
        <v>6.386977753662507</v>
      </c>
      <c r="R46" s="390">
        <v>0.17344389112714928</v>
      </c>
      <c r="S46" s="390">
        <v>0.017007807164873295</v>
      </c>
      <c r="T46" s="390">
        <v>0.017755301674018568</v>
      </c>
      <c r="U46" s="390">
        <v>0.1314968814968815</v>
      </c>
      <c r="V46" s="391">
        <v>18794.72693032015</v>
      </c>
      <c r="W46" s="390">
        <v>0.02655</v>
      </c>
      <c r="X46" s="391">
        <v>59.75</v>
      </c>
      <c r="Y46" s="392">
        <v>108.62848600062753</v>
      </c>
      <c r="Z46" s="391">
        <v>108362</v>
      </c>
      <c r="AA46" s="391">
        <v>1843</v>
      </c>
      <c r="AB46" s="391">
        <v>499</v>
      </c>
      <c r="AC46" s="391">
        <v>1924</v>
      </c>
      <c r="AD46" s="391">
        <v>253</v>
      </c>
      <c r="AE46" s="391">
        <v>24</v>
      </c>
      <c r="AF46" s="391">
        <v>10</v>
      </c>
      <c r="AG46" s="391">
        <v>133</v>
      </c>
    </row>
    <row r="47">
      <c r="A47" s="380" t="s">
        <v>875</v>
      </c>
      <c r="B47" s="381" t="s">
        <v>848</v>
      </c>
      <c r="C47" s="382" t="s">
        <v>856</v>
      </c>
      <c r="D47" s="383">
        <v>4</v>
      </c>
      <c r="E47" s="402">
        <v>14</v>
      </c>
      <c r="F47" s="402">
        <v>19</v>
      </c>
      <c r="G47" s="402">
        <v>39651.149999999994</v>
      </c>
      <c r="H47" s="403">
        <v>11272.68</v>
      </c>
      <c r="I47" s="385">
        <f t="shared" si="22"/>
      </c>
      <c r="J47" s="385">
        <f t="shared" ref="J47:J51" si="9">G47/F47</f>
      </c>
      <c r="K47" s="399">
        <f t="shared" ref="K47:K51" si="31">H47/F47</f>
      </c>
      <c r="L47" s="404"/>
      <c r="M47" s="404"/>
      <c r="N47" s="401"/>
      <c r="O47" s="387"/>
      <c r="P47" s="387"/>
      <c r="Q47" s="384">
        <v>7.175480585614259</v>
      </c>
      <c r="R47" s="390">
        <v>0.18025061048303664</v>
      </c>
      <c r="S47" s="390">
        <v>0.017158897286906373</v>
      </c>
      <c r="T47" s="390">
        <v>0.017726855694875268</v>
      </c>
      <c r="U47" s="390">
        <v>0.18853974121996303</v>
      </c>
      <c r="V47" s="391">
        <v>16503.024893384903</v>
      </c>
      <c r="W47" s="390">
        <v>0.0252075</v>
      </c>
      <c r="X47" s="391">
        <v>60.75</v>
      </c>
      <c r="Y47" s="392">
        <v>123.12333435274586</v>
      </c>
      <c r="Z47" s="391">
        <v>91556</v>
      </c>
      <c r="AA47" s="391">
        <v>1571</v>
      </c>
      <c r="AB47" s="391">
        <v>416</v>
      </c>
      <c r="AC47" s="391">
        <v>1623</v>
      </c>
      <c r="AD47" s="391">
        <v>306</v>
      </c>
      <c r="AE47" s="391">
        <v>10</v>
      </c>
      <c r="AF47" s="391">
        <v>5</v>
      </c>
      <c r="AG47" s="391">
        <v>80</v>
      </c>
    </row>
    <row r="48">
      <c r="A48" s="380" t="s">
        <v>875</v>
      </c>
      <c r="B48" s="381" t="s">
        <v>863</v>
      </c>
      <c r="C48" s="382" t="s">
        <v>858</v>
      </c>
      <c r="D48" s="383">
        <v>4</v>
      </c>
      <c r="E48" s="383">
        <v>13</v>
      </c>
      <c r="F48" s="383">
        <v>14</v>
      </c>
      <c r="G48" s="383">
        <v>28168.639999999985</v>
      </c>
      <c r="H48" s="384">
        <v>7091.06</v>
      </c>
      <c r="I48" s="385">
        <f t="shared" si="22"/>
      </c>
      <c r="J48" s="385">
        <f t="shared" si="9"/>
      </c>
      <c r="K48" s="399">
        <f t="shared" si="31"/>
      </c>
      <c r="L48" s="383" t="s">
        <v>859</v>
      </c>
      <c r="M48" s="386">
        <v>10</v>
      </c>
      <c r="N48" s="401"/>
      <c r="O48" s="387"/>
      <c r="P48" s="387"/>
      <c r="Q48" s="392">
        <v>5.0613418986438266</v>
      </c>
      <c r="R48" s="390">
        <v>0.22511729241089187</v>
      </c>
      <c r="S48" s="390">
        <v>0.023075782781282427</v>
      </c>
      <c r="T48" s="390">
        <v>0.025711132706339665</v>
      </c>
      <c r="U48" s="390">
        <v>0.14990390775144138</v>
      </c>
      <c r="V48" s="391">
        <v>13667.546174142479</v>
      </c>
      <c r="W48" s="390">
        <v>0.01895</v>
      </c>
      <c r="X48" s="391">
        <v>62.5</v>
      </c>
      <c r="Y48" s="392">
        <v>116.79442623490851</v>
      </c>
      <c r="Z48" s="391">
        <v>60713</v>
      </c>
      <c r="AA48" s="391">
        <v>1401</v>
      </c>
      <c r="AB48" s="391">
        <v>259</v>
      </c>
      <c r="AC48" s="391">
        <v>1561</v>
      </c>
      <c r="AD48" s="391">
        <v>234</v>
      </c>
      <c r="AE48" s="391">
        <v>23</v>
      </c>
      <c r="AF48" s="391">
        <v>0</v>
      </c>
      <c r="AG48" s="405">
        <v>64</v>
      </c>
    </row>
    <row r="49">
      <c r="A49" s="406" t="s">
        <v>875</v>
      </c>
      <c r="B49" s="407" t="s">
        <v>860</v>
      </c>
      <c r="C49" s="408"/>
      <c r="D49" s="408">
        <f>SUM(D44:D48)</f>
      </c>
      <c r="E49" s="408">
        <f>SUM(E44:E48)</f>
      </c>
      <c r="F49" s="408">
        <f>SUM(F44:F48)</f>
      </c>
      <c r="G49" s="408">
        <f>SUM(G44:G48)</f>
      </c>
      <c r="H49" s="408">
        <f>SUM(H44:H48)</f>
      </c>
      <c r="I49" s="409">
        <f t="shared" si="22"/>
      </c>
      <c r="J49" s="409">
        <f t="shared" si="9"/>
      </c>
      <c r="K49" s="409">
        <f t="shared" si="31"/>
      </c>
      <c r="L49" s="408"/>
      <c r="M49" s="410">
        <f>SUM(M44:M48)</f>
      </c>
      <c r="N49" s="408"/>
      <c r="O49" s="408"/>
      <c r="P49" s="408"/>
      <c r="Q49" s="411">
        <f>AVERAGE(Q44:Q48)</f>
      </c>
      <c r="R49" s="412">
        <f>AVERAGE(R44:R48)</f>
      </c>
      <c r="S49" s="412">
        <f>AVERAGE(S44:S48)</f>
      </c>
      <c r="T49" s="412">
        <f>AVERAGE(T44:T48)</f>
      </c>
      <c r="U49" s="412">
        <f>AVERAGE(U44:U48)</f>
      </c>
      <c r="V49" s="413">
        <f>SUM(V44:V48)</f>
      </c>
      <c r="W49" s="412">
        <f>AVERAGE(W44:W48)</f>
      </c>
      <c r="X49" s="413"/>
      <c r="Y49" s="411">
        <f>AVERAGE(Y44:Y48)</f>
      </c>
      <c r="Z49" s="413">
        <f>SUM(Z44:Z48)</f>
      </c>
      <c r="AA49" s="413">
        <f>SUM(AA44:AA48)</f>
      </c>
      <c r="AB49" s="413">
        <f>SUM(AB44:AB48)</f>
      </c>
      <c r="AC49" s="413">
        <f>SUM(AC44:AC48)</f>
      </c>
      <c r="AD49" s="413">
        <f>SUM(AD44:AD48)</f>
      </c>
      <c r="AE49" s="413">
        <f>SUM(AE44:AE48)</f>
      </c>
      <c r="AF49" s="413">
        <f>SUM(AF44:AF48)</f>
      </c>
      <c r="AG49" s="413">
        <f>SUM(AG44:AG48)</f>
      </c>
    </row>
    <row r="50">
      <c r="A50" s="380" t="s">
        <v>876</v>
      </c>
      <c r="B50" s="395" t="s">
        <v>851</v>
      </c>
      <c r="C50" s="382" t="s">
        <v>849</v>
      </c>
      <c r="D50" s="383">
        <v>4</v>
      </c>
      <c r="E50" s="383">
        <v>13</v>
      </c>
      <c r="F50" s="383">
        <v>19</v>
      </c>
      <c r="G50" s="383">
        <v>48918.69</v>
      </c>
      <c r="H50" s="384">
        <v>11167.76</v>
      </c>
      <c r="I50" s="385">
        <f t="shared" si="22"/>
      </c>
      <c r="J50" s="385">
        <f t="shared" si="9"/>
      </c>
      <c r="K50" s="399">
        <f t="shared" si="31"/>
      </c>
      <c r="L50" s="402" t="s">
        <v>862</v>
      </c>
      <c r="M50" s="414">
        <v>10</v>
      </c>
      <c r="N50" s="401"/>
      <c r="O50" s="387"/>
      <c r="P50" s="387"/>
      <c r="Q50" s="388">
        <v>4.6943085329970575</v>
      </c>
      <c r="R50" s="389">
        <v>0.15513111681993622</v>
      </c>
      <c r="S50" s="390">
        <v>0.022143415614877694</v>
      </c>
      <c r="T50" s="390">
        <v>0.024749618377452622</v>
      </c>
      <c r="U50" s="390">
        <v>0.11508085746521249</v>
      </c>
      <c r="V50" s="391">
        <v>16666.666666666668</v>
      </c>
      <c r="W50" s="390">
        <v>0.0297</v>
      </c>
      <c r="X50" s="391">
        <v>45</v>
      </c>
      <c r="Y50" s="392">
        <v>103.94802487062064</v>
      </c>
      <c r="Z50" s="391">
        <v>107436</v>
      </c>
      <c r="AA50" s="391">
        <v>2379</v>
      </c>
      <c r="AB50" s="391">
        <v>495</v>
      </c>
      <c r="AC50" s="391">
        <v>2659</v>
      </c>
      <c r="AD50" s="391">
        <v>306</v>
      </c>
      <c r="AE50" s="391">
        <v>25</v>
      </c>
      <c r="AF50" s="391">
        <v>4</v>
      </c>
      <c r="AG50" s="391">
        <v>134</v>
      </c>
    </row>
    <row r="51">
      <c r="A51" s="380" t="s">
        <v>876</v>
      </c>
      <c r="B51" s="381" t="s">
        <v>853</v>
      </c>
      <c r="C51" s="382" t="s">
        <v>852</v>
      </c>
      <c r="D51" s="383">
        <v>4</v>
      </c>
      <c r="E51" s="393">
        <v>10</v>
      </c>
      <c r="F51" s="393">
        <v>12</v>
      </c>
      <c r="G51" s="393">
        <v>27398.28</v>
      </c>
      <c r="H51" s="394">
        <v>10682.6</v>
      </c>
      <c r="I51" s="385">
        <f t="shared" si="22"/>
      </c>
      <c r="J51" s="385">
        <f t="shared" si="9"/>
      </c>
      <c r="K51" s="385">
        <f t="shared" si="31"/>
      </c>
      <c r="L51" s="402"/>
      <c r="M51" s="414"/>
      <c r="N51" s="387"/>
      <c r="O51" s="387"/>
      <c r="P51" s="387"/>
      <c r="Q51" s="384">
        <v>7.5870738636363635</v>
      </c>
      <c r="R51" s="390">
        <v>0.16480965684796126</v>
      </c>
      <c r="S51" s="389">
        <v>0.016578944269784637</v>
      </c>
      <c r="T51" s="390">
        <v>0.017132360733335687</v>
      </c>
      <c r="U51" s="389">
        <v>0.14845360824742268</v>
      </c>
      <c r="V51" s="391">
        <v>13996.789727126807</v>
      </c>
      <c r="W51" s="390">
        <v>0.031149999999999997</v>
      </c>
      <c r="X51" s="391">
        <v>53.5</v>
      </c>
      <c r="Y51" s="392">
        <v>125.78567475596688</v>
      </c>
      <c r="Z51" s="391">
        <v>84927</v>
      </c>
      <c r="AA51" s="391">
        <v>1408</v>
      </c>
      <c r="AB51" s="391">
        <v>436</v>
      </c>
      <c r="AC51" s="391">
        <v>1455</v>
      </c>
      <c r="AD51" s="391">
        <v>216</v>
      </c>
      <c r="AE51" s="391">
        <v>18</v>
      </c>
      <c r="AF51" s="391">
        <v>6</v>
      </c>
      <c r="AG51" s="391">
        <v>105</v>
      </c>
    </row>
    <row r="52">
      <c r="A52" s="380" t="s">
        <v>876</v>
      </c>
      <c r="B52" s="395" t="s">
        <v>855</v>
      </c>
      <c r="C52" s="382" t="s">
        <v>854</v>
      </c>
      <c r="D52" s="380">
        <v>4</v>
      </c>
      <c r="E52" s="396">
        <v>12</v>
      </c>
      <c r="F52" s="396">
        <v>15</v>
      </c>
      <c r="G52" s="397">
        <v>30693.320000000007</v>
      </c>
      <c r="H52" s="397">
        <v>12382.920000000002</v>
      </c>
      <c r="I52" s="398">
        <f t="shared" si="22"/>
      </c>
      <c r="J52" s="385">
        <f>G53/F53</f>
      </c>
      <c r="K52" s="399">
        <f>H53/F53</f>
      </c>
      <c r="L52" s="400"/>
      <c r="M52" s="400"/>
      <c r="N52" s="401"/>
      <c r="O52" s="387"/>
      <c r="P52" s="387"/>
      <c r="Q52" s="384">
        <v>8.701981728742096</v>
      </c>
      <c r="R52" s="390">
        <v>0.15708581019073523</v>
      </c>
      <c r="S52" s="390">
        <v>0.014510043846232282</v>
      </c>
      <c r="T52" s="390">
        <v>0.014724176608544916</v>
      </c>
      <c r="U52" s="390">
        <v>0.13850415512465375</v>
      </c>
      <c r="V52" s="391">
        <v>15405.405405405403</v>
      </c>
      <c r="W52" s="390">
        <v>0.029600000000000005</v>
      </c>
      <c r="X52" s="391">
        <v>68.5</v>
      </c>
      <c r="Y52" s="392">
        <v>126.26613643316001</v>
      </c>
      <c r="Z52" s="391">
        <v>98070</v>
      </c>
      <c r="AA52" s="391">
        <v>1423</v>
      </c>
      <c r="AB52" s="391">
        <v>456</v>
      </c>
      <c r="AC52" s="391">
        <v>1444</v>
      </c>
      <c r="AD52" s="391">
        <v>200</v>
      </c>
      <c r="AE52" s="391">
        <v>28</v>
      </c>
      <c r="AF52" s="391">
        <v>6</v>
      </c>
      <c r="AG52" s="391">
        <v>103</v>
      </c>
    </row>
    <row r="53">
      <c r="A53" s="380" t="s">
        <v>876</v>
      </c>
      <c r="B53" s="381" t="s">
        <v>863</v>
      </c>
      <c r="C53" s="382" t="s">
        <v>856</v>
      </c>
      <c r="D53" s="383">
        <v>4</v>
      </c>
      <c r="E53" s="402">
        <v>10</v>
      </c>
      <c r="F53" s="402">
        <v>16</v>
      </c>
      <c r="G53" s="402">
        <v>35002.57999999999</v>
      </c>
      <c r="H53" s="403">
        <v>11379.37</v>
      </c>
      <c r="I53" s="385">
        <f t="shared" si="22"/>
      </c>
      <c r="J53" s="385">
        <f t="shared" ref="J53:J57" si="10">G53/F53</f>
      </c>
      <c r="K53" s="399">
        <f t="shared" ref="K53:K57" si="32">H53/F53</f>
      </c>
      <c r="L53" s="404"/>
      <c r="M53" s="404"/>
      <c r="N53" s="401"/>
      <c r="O53" s="387"/>
      <c r="P53" s="387"/>
      <c r="Q53" s="384">
        <v>8.422923760177646</v>
      </c>
      <c r="R53" s="390">
        <v>0.1888039798018805</v>
      </c>
      <c r="S53" s="390">
        <v>0.01465419993057966</v>
      </c>
      <c r="T53" s="390">
        <v>0.015467719541825756</v>
      </c>
      <c r="U53" s="390">
        <v>0.211781206171108</v>
      </c>
      <c r="V53" s="391">
        <v>17406.216505894965</v>
      </c>
      <c r="W53" s="390">
        <v>0.023325</v>
      </c>
      <c r="X53" s="391">
        <v>70.5</v>
      </c>
      <c r="Y53" s="392">
        <v>123.43120878167304</v>
      </c>
      <c r="Z53" s="391">
        <v>92192</v>
      </c>
      <c r="AA53" s="391">
        <v>1351</v>
      </c>
      <c r="AB53" s="391">
        <v>406</v>
      </c>
      <c r="AC53" s="391">
        <v>1426</v>
      </c>
      <c r="AD53" s="391">
        <v>302</v>
      </c>
      <c r="AE53" s="391">
        <v>14</v>
      </c>
      <c r="AF53" s="391">
        <v>6</v>
      </c>
      <c r="AG53" s="391">
        <v>83</v>
      </c>
    </row>
    <row r="54">
      <c r="A54" s="380" t="s">
        <v>876</v>
      </c>
      <c r="B54" s="381" t="s">
        <v>848</v>
      </c>
      <c r="C54" s="382" t="s">
        <v>858</v>
      </c>
      <c r="D54" s="383">
        <v>4</v>
      </c>
      <c r="E54" s="383">
        <v>11</v>
      </c>
      <c r="F54" s="383">
        <v>14</v>
      </c>
      <c r="G54" s="383">
        <v>25357.359999999986</v>
      </c>
      <c r="H54" s="384">
        <v>7954.51</v>
      </c>
      <c r="I54" s="385">
        <f t="shared" si="22"/>
      </c>
      <c r="J54" s="385">
        <f t="shared" si="10"/>
      </c>
      <c r="K54" s="399">
        <f t="shared" si="32"/>
      </c>
      <c r="L54" s="383" t="s">
        <v>850</v>
      </c>
      <c r="M54" s="386">
        <v>10</v>
      </c>
      <c r="N54" s="401"/>
      <c r="O54" s="387"/>
      <c r="P54" s="387"/>
      <c r="Q54" s="392">
        <v>4.571557471264368</v>
      </c>
      <c r="R54" s="390">
        <v>0.2675</v>
      </c>
      <c r="S54" s="390">
        <v>0.0221</v>
      </c>
      <c r="T54" s="390">
        <v>0.0238</v>
      </c>
      <c r="U54" s="390">
        <v>0.1134</v>
      </c>
      <c r="V54" s="391">
        <v>21027</v>
      </c>
      <c r="W54" s="390">
        <v>0.0141</v>
      </c>
      <c r="X54" s="391">
        <v>70.5</v>
      </c>
      <c r="Y54" s="392">
        <v>101.19</v>
      </c>
      <c r="Z54" s="391">
        <v>78613</v>
      </c>
      <c r="AA54" s="391">
        <v>1740</v>
      </c>
      <c r="AB54" s="391">
        <v>297</v>
      </c>
      <c r="AC54" s="391">
        <v>1870</v>
      </c>
      <c r="AD54" s="391">
        <v>212</v>
      </c>
      <c r="AE54" s="391">
        <v>21</v>
      </c>
      <c r="AF54" s="391">
        <v>3</v>
      </c>
      <c r="AG54" s="405">
        <v>73</v>
      </c>
    </row>
    <row r="55">
      <c r="A55" s="406" t="s">
        <v>876</v>
      </c>
      <c r="B55" s="407" t="s">
        <v>860</v>
      </c>
      <c r="C55" s="408"/>
      <c r="D55" s="408">
        <f>SUM(D50:D54)</f>
      </c>
      <c r="E55" s="408">
        <f>SUM(E50:E54)</f>
      </c>
      <c r="F55" s="408">
        <f>SUM(F50:F54)</f>
      </c>
      <c r="G55" s="408">
        <f>SUM(G50:G54)</f>
      </c>
      <c r="H55" s="408">
        <f>SUM(H50:H54)</f>
      </c>
      <c r="I55" s="409">
        <f t="shared" si="22"/>
      </c>
      <c r="J55" s="409">
        <f t="shared" si="10"/>
      </c>
      <c r="K55" s="409">
        <f t="shared" si="32"/>
      </c>
      <c r="L55" s="408"/>
      <c r="M55" s="410">
        <f>SUM(M50:M54)</f>
      </c>
      <c r="N55" s="408"/>
      <c r="O55" s="408"/>
      <c r="P55" s="408"/>
      <c r="Q55" s="411">
        <f>AVERAGE(Q50:Q54)</f>
      </c>
      <c r="R55" s="412">
        <f>AVERAGE(R50:R54)</f>
      </c>
      <c r="S55" s="412">
        <f>AVERAGE(S50:S54)</f>
      </c>
      <c r="T55" s="412">
        <f>AVERAGE(T50:T54)</f>
      </c>
      <c r="U55" s="412">
        <f>AVERAGE(U50:U54)</f>
      </c>
      <c r="V55" s="413">
        <f>SUM(V50:V54)</f>
      </c>
      <c r="W55" s="412">
        <f>AVERAGE(W50:W54)</f>
      </c>
      <c r="X55" s="413"/>
      <c r="Y55" s="411">
        <f>AVERAGE(Y50:Y54)</f>
      </c>
      <c r="Z55" s="413">
        <f>SUM(Z50:Z54)</f>
      </c>
      <c r="AA55" s="413">
        <f>SUM(AA50:AA54)</f>
      </c>
      <c r="AB55" s="413">
        <f>SUM(AB50:AB54)</f>
      </c>
      <c r="AC55" s="413">
        <f>SUM(AC50:AC54)</f>
      </c>
      <c r="AD55" s="413">
        <f>SUM(AD50:AD54)</f>
      </c>
      <c r="AE55" s="413">
        <f>SUM(AE50:AE54)</f>
      </c>
      <c r="AF55" s="413">
        <f>SUM(AF50:AF54)</f>
      </c>
      <c r="AG55" s="413">
        <f>SUM(AG50:AG54)</f>
      </c>
    </row>
    <row r="56">
      <c r="A56" s="380" t="s">
        <v>877</v>
      </c>
      <c r="B56" s="395" t="s">
        <v>851</v>
      </c>
      <c r="C56" s="382" t="s">
        <v>849</v>
      </c>
      <c r="D56" s="383">
        <v>4</v>
      </c>
      <c r="E56" s="383">
        <v>12</v>
      </c>
      <c r="F56" s="383">
        <v>14</v>
      </c>
      <c r="G56" s="383">
        <v>28322.870000000003</v>
      </c>
      <c r="H56" s="384">
        <v>11530.91</v>
      </c>
      <c r="I56" s="385">
        <f t="shared" si="22"/>
      </c>
      <c r="J56" s="385">
        <f t="shared" si="10"/>
      </c>
      <c r="K56" s="399">
        <f t="shared" si="32"/>
      </c>
      <c r="L56" s="402" t="s">
        <v>859</v>
      </c>
      <c r="M56" s="414">
        <v>10</v>
      </c>
      <c r="N56" s="401"/>
      <c r="O56" s="387"/>
      <c r="P56" s="387"/>
      <c r="Q56" s="388">
        <v>4.550477505919495</v>
      </c>
      <c r="R56" s="389">
        <v>0.17303757031792488</v>
      </c>
      <c r="S56" s="390">
        <v>0.020526030149125577</v>
      </c>
      <c r="T56" s="390">
        <v>0.02334491668894235</v>
      </c>
      <c r="U56" s="390">
        <v>0.11450381679389313</v>
      </c>
      <c r="V56" s="391">
        <v>21362.007168458782</v>
      </c>
      <c r="W56" s="390">
        <v>0.0279</v>
      </c>
      <c r="X56" s="391">
        <v>51.5</v>
      </c>
      <c r="Y56" s="392">
        <v>93.40323847942132</v>
      </c>
      <c r="Z56" s="391">
        <v>123453</v>
      </c>
      <c r="AA56" s="391">
        <v>2534</v>
      </c>
      <c r="AB56" s="391">
        <v>596</v>
      </c>
      <c r="AC56" s="391">
        <v>2882</v>
      </c>
      <c r="AD56" s="391">
        <v>330</v>
      </c>
      <c r="AE56" s="391">
        <v>32</v>
      </c>
      <c r="AF56" s="391">
        <v>5</v>
      </c>
      <c r="AG56" s="391">
        <v>163</v>
      </c>
    </row>
    <row r="57">
      <c r="A57" s="380" t="s">
        <v>877</v>
      </c>
      <c r="B57" s="381" t="s">
        <v>853</v>
      </c>
      <c r="C57" s="382" t="s">
        <v>852</v>
      </c>
      <c r="D57" s="383">
        <v>4</v>
      </c>
      <c r="E57" s="393">
        <v>8</v>
      </c>
      <c r="F57" s="393">
        <v>11</v>
      </c>
      <c r="G57" s="393">
        <v>23402.200000000004</v>
      </c>
      <c r="H57" s="394">
        <v>9981.77</v>
      </c>
      <c r="I57" s="385">
        <f t="shared" si="22"/>
      </c>
      <c r="J57" s="385">
        <f t="shared" si="10"/>
      </c>
      <c r="K57" s="385">
        <f t="shared" si="32"/>
      </c>
      <c r="L57" s="402"/>
      <c r="M57" s="414"/>
      <c r="N57" s="387"/>
      <c r="O57" s="387"/>
      <c r="P57" s="387"/>
      <c r="Q57" s="384">
        <v>8.725323426573427</v>
      </c>
      <c r="R57" s="390">
        <v>0.1526198777445854</v>
      </c>
      <c r="S57" s="389">
        <v>0.013179267997649851</v>
      </c>
      <c r="T57" s="390">
        <v>0.013098625623538357</v>
      </c>
      <c r="U57" s="389">
        <v>0.23131046613896217</v>
      </c>
      <c r="V57" s="391">
        <v>13247.863247863246</v>
      </c>
      <c r="W57" s="390">
        <v>0.035100000000000006</v>
      </c>
      <c r="X57" s="391">
        <v>69</v>
      </c>
      <c r="Y57" s="392">
        <v>114.9933758049837</v>
      </c>
      <c r="Z57" s="391">
        <v>86803</v>
      </c>
      <c r="AA57" s="391">
        <v>1144</v>
      </c>
      <c r="AB57" s="391">
        <v>465</v>
      </c>
      <c r="AC57" s="391">
        <v>1137</v>
      </c>
      <c r="AD57" s="391">
        <v>263</v>
      </c>
      <c r="AE57" s="391">
        <v>13</v>
      </c>
      <c r="AF57" s="391">
        <v>3</v>
      </c>
      <c r="AG57" s="391">
        <v>99</v>
      </c>
    </row>
    <row r="58">
      <c r="A58" s="380" t="s">
        <v>877</v>
      </c>
      <c r="B58" s="395" t="s">
        <v>855</v>
      </c>
      <c r="C58" s="382" t="s">
        <v>854</v>
      </c>
      <c r="D58" s="380">
        <v>4</v>
      </c>
      <c r="E58" s="396">
        <v>8</v>
      </c>
      <c r="F58" s="396">
        <v>12</v>
      </c>
      <c r="G58" s="397">
        <v>28514.130000000005</v>
      </c>
      <c r="H58" s="397">
        <v>9324.36</v>
      </c>
      <c r="I58" s="398">
        <f t="shared" si="22"/>
      </c>
      <c r="J58" s="385">
        <f>G59/F59</f>
      </c>
      <c r="K58" s="399">
        <f>H59/F59</f>
      </c>
      <c r="L58" s="400"/>
      <c r="M58" s="400"/>
      <c r="N58" s="401"/>
      <c r="O58" s="387"/>
      <c r="P58" s="387"/>
      <c r="Q58" s="384">
        <v>7.642918032786886</v>
      </c>
      <c r="R58" s="390">
        <v>0.18308753503640834</v>
      </c>
      <c r="S58" s="390">
        <v>0.015926892950391645</v>
      </c>
      <c r="T58" s="390">
        <v>0.01622715404699739</v>
      </c>
      <c r="U58" s="390">
        <v>0.17216411906677392</v>
      </c>
      <c r="V58" s="391">
        <v>14024.505183788879</v>
      </c>
      <c r="W58" s="390">
        <v>0.026525</v>
      </c>
      <c r="X58" s="391">
        <v>74.5</v>
      </c>
      <c r="Y58" s="392">
        <v>121.72793733681462</v>
      </c>
      <c r="Z58" s="391">
        <v>76600</v>
      </c>
      <c r="AA58" s="391">
        <v>1220</v>
      </c>
      <c r="AB58" s="391">
        <v>372</v>
      </c>
      <c r="AC58" s="391">
        <v>1243</v>
      </c>
      <c r="AD58" s="391">
        <v>214</v>
      </c>
      <c r="AE58" s="391">
        <v>16</v>
      </c>
      <c r="AF58" s="391">
        <v>7</v>
      </c>
      <c r="AG58" s="391">
        <v>78</v>
      </c>
    </row>
    <row r="59">
      <c r="A59" s="380" t="s">
        <v>877</v>
      </c>
      <c r="B59" s="381" t="s">
        <v>848</v>
      </c>
      <c r="C59" s="382" t="s">
        <v>856</v>
      </c>
      <c r="D59" s="383">
        <v>4</v>
      </c>
      <c r="E59" s="402">
        <v>12</v>
      </c>
      <c r="F59" s="402">
        <v>17</v>
      </c>
      <c r="G59" s="402">
        <v>36233.76999999999</v>
      </c>
      <c r="H59" s="403">
        <v>10250.279999999999</v>
      </c>
      <c r="I59" s="385">
        <f t="shared" si="22"/>
      </c>
      <c r="J59" s="385">
        <f t="shared" ref="J59:J63" si="11">G59/F59</f>
      </c>
      <c r="K59" s="399">
        <f t="shared" ref="K59:K63" si="33">H59/F59</f>
      </c>
      <c r="L59" s="404"/>
      <c r="M59" s="404"/>
      <c r="N59" s="401"/>
      <c r="O59" s="387"/>
      <c r="P59" s="387"/>
      <c r="Q59" s="384">
        <v>7.730226244343891</v>
      </c>
      <c r="R59" s="390">
        <v>0.17992099263263628</v>
      </c>
      <c r="S59" s="390">
        <v>0.01644773564544338</v>
      </c>
      <c r="T59" s="390">
        <v>0.017241593172825264</v>
      </c>
      <c r="U59" s="390">
        <v>0.17266187050359713</v>
      </c>
      <c r="V59" s="391">
        <v>14505.050505050503</v>
      </c>
      <c r="W59" s="390">
        <v>0.02475</v>
      </c>
      <c r="X59" s="391">
        <v>74.75</v>
      </c>
      <c r="Y59" s="392">
        <v>127.14471774643692</v>
      </c>
      <c r="Z59" s="391">
        <v>80619</v>
      </c>
      <c r="AA59" s="391">
        <v>1326</v>
      </c>
      <c r="AB59" s="391">
        <v>359</v>
      </c>
      <c r="AC59" s="391">
        <v>1390</v>
      </c>
      <c r="AD59" s="391">
        <v>240</v>
      </c>
      <c r="AE59" s="391">
        <v>16</v>
      </c>
      <c r="AF59" s="391">
        <v>8</v>
      </c>
      <c r="AG59" s="391">
        <v>80</v>
      </c>
    </row>
    <row r="60">
      <c r="A60" s="380" t="s">
        <v>877</v>
      </c>
      <c r="B60" s="381" t="s">
        <v>863</v>
      </c>
      <c r="C60" s="382" t="s">
        <v>858</v>
      </c>
      <c r="D60" s="383">
        <v>4</v>
      </c>
      <c r="E60" s="383">
        <v>12</v>
      </c>
      <c r="F60" s="383">
        <v>14</v>
      </c>
      <c r="G60" s="383">
        <v>27640.78</v>
      </c>
      <c r="H60" s="384">
        <v>8029.490000000001</v>
      </c>
      <c r="I60" s="385">
        <f t="shared" si="22"/>
      </c>
      <c r="J60" s="385">
        <f t="shared" si="11"/>
      </c>
      <c r="K60" s="399">
        <f t="shared" si="33"/>
      </c>
      <c r="L60" s="383" t="s">
        <v>850</v>
      </c>
      <c r="M60" s="386">
        <v>10</v>
      </c>
      <c r="N60" s="401"/>
      <c r="O60" s="387"/>
      <c r="P60" s="387"/>
      <c r="Q60" s="392">
        <v>5.912731958762887</v>
      </c>
      <c r="R60" s="390">
        <v>0.171</v>
      </c>
      <c r="S60" s="390">
        <v>0.0187</v>
      </c>
      <c r="T60" s="390">
        <v>0.0209</v>
      </c>
      <c r="U60" s="390">
        <v>0.1341</v>
      </c>
      <c r="V60" s="391">
        <v>12393</v>
      </c>
      <c r="W60" s="390">
        <v>0.0262</v>
      </c>
      <c r="X60" s="391">
        <v>76</v>
      </c>
      <c r="Y60" s="392">
        <v>110.77</v>
      </c>
      <c r="Z60" s="391">
        <v>72486</v>
      </c>
      <c r="AA60" s="391">
        <v>1358</v>
      </c>
      <c r="AB60" s="391">
        <v>325</v>
      </c>
      <c r="AC60" s="391">
        <v>1514</v>
      </c>
      <c r="AD60" s="391">
        <v>203</v>
      </c>
      <c r="AE60" s="391">
        <v>18</v>
      </c>
      <c r="AF60" s="391">
        <v>2</v>
      </c>
      <c r="AG60" s="405">
        <v>92</v>
      </c>
    </row>
    <row r="61">
      <c r="A61" s="406" t="s">
        <v>877</v>
      </c>
      <c r="B61" s="407" t="s">
        <v>860</v>
      </c>
      <c r="C61" s="408"/>
      <c r="D61" s="408">
        <f>SUM(D56:D60)</f>
      </c>
      <c r="E61" s="408">
        <f>SUM(E56:E60)</f>
      </c>
      <c r="F61" s="408">
        <f>SUM(F56:F60)</f>
      </c>
      <c r="G61" s="408">
        <f>SUM(G56:G60)</f>
      </c>
      <c r="H61" s="408">
        <f>SUM(H56:H60)</f>
      </c>
      <c r="I61" s="409">
        <f t="shared" si="22"/>
      </c>
      <c r="J61" s="409">
        <f t="shared" si="11"/>
      </c>
      <c r="K61" s="409">
        <f t="shared" si="33"/>
      </c>
      <c r="L61" s="408"/>
      <c r="M61" s="410">
        <f>SUM(M56:M60)</f>
      </c>
      <c r="N61" s="408"/>
      <c r="O61" s="408"/>
      <c r="P61" s="408"/>
      <c r="Q61" s="411">
        <f>AVERAGE(Q56:Q60)</f>
      </c>
      <c r="R61" s="412">
        <f>AVERAGE(R56:R60)</f>
      </c>
      <c r="S61" s="412">
        <f>AVERAGE(S56:S60)</f>
      </c>
      <c r="T61" s="412">
        <f>AVERAGE(T56:T60)</f>
      </c>
      <c r="U61" s="412">
        <f>AVERAGE(U56:U60)</f>
      </c>
      <c r="V61" s="413">
        <f>SUM(V56:V60)</f>
      </c>
      <c r="W61" s="412">
        <f>AVERAGE(W56:W60)</f>
      </c>
      <c r="X61" s="413"/>
      <c r="Y61" s="411">
        <f>AVERAGE(Y56:Y60)</f>
      </c>
      <c r="Z61" s="413">
        <f>SUM(Z56:Z60)</f>
      </c>
      <c r="AA61" s="413">
        <f>SUM(AA56:AA60)</f>
      </c>
      <c r="AB61" s="413">
        <f>SUM(AB56:AB60)</f>
      </c>
      <c r="AC61" s="413">
        <f>SUM(AC56:AC60)</f>
      </c>
      <c r="AD61" s="413">
        <f>SUM(AD56:AD60)</f>
      </c>
      <c r="AE61" s="413">
        <f>SUM(AE56:AE60)</f>
      </c>
      <c r="AF61" s="413">
        <f>SUM(AF56:AF60)</f>
      </c>
      <c r="AG61" s="413">
        <f>SUM(AG56:AG60)</f>
      </c>
    </row>
    <row r="62">
      <c r="A62" s="380" t="s">
        <v>878</v>
      </c>
      <c r="B62" s="381" t="s">
        <v>853</v>
      </c>
      <c r="C62" s="382" t="s">
        <v>879</v>
      </c>
      <c r="D62" s="383">
        <v>5</v>
      </c>
      <c r="E62" s="383">
        <v>17</v>
      </c>
      <c r="F62" s="383">
        <v>22</v>
      </c>
      <c r="G62" s="383">
        <v>52477.76</v>
      </c>
      <c r="H62" s="384">
        <v>13941.89</v>
      </c>
      <c r="I62" s="385">
        <f t="shared" si="22"/>
      </c>
      <c r="J62" s="385">
        <f t="shared" si="11"/>
      </c>
      <c r="K62" s="399">
        <f t="shared" si="33"/>
      </c>
      <c r="L62" s="402" t="s">
        <v>859</v>
      </c>
      <c r="M62" s="414">
        <v>10</v>
      </c>
      <c r="N62" s="401"/>
      <c r="O62" s="387"/>
      <c r="P62" s="387"/>
      <c r="Q62" s="388">
        <v>4.940428773919206</v>
      </c>
      <c r="R62" s="389">
        <v>0.13112698577527115</v>
      </c>
      <c r="S62" s="390">
        <v>0.018127043467648173</v>
      </c>
      <c r="T62" s="390">
        <v>0.020259636816783253</v>
      </c>
      <c r="U62" s="390">
        <v>0.1322130627774255</v>
      </c>
      <c r="V62" s="391">
        <v>20413.718018508436</v>
      </c>
      <c r="W62" s="390">
        <v>0.03674</v>
      </c>
      <c r="X62" s="391">
        <v>53.4</v>
      </c>
      <c r="Y62" s="392">
        <v>89.55536713365322</v>
      </c>
      <c r="Z62" s="391">
        <v>155679</v>
      </c>
      <c r="AA62" s="391">
        <v>2822</v>
      </c>
      <c r="AB62" s="391">
        <v>750</v>
      </c>
      <c r="AC62" s="391">
        <v>3154</v>
      </c>
      <c r="AD62" s="391">
        <v>417</v>
      </c>
      <c r="AE62" s="391">
        <v>51</v>
      </c>
      <c r="AF62" s="391">
        <v>12</v>
      </c>
      <c r="AG62" s="391">
        <v>203</v>
      </c>
    </row>
    <row r="63">
      <c r="A63" s="380" t="s">
        <v>878</v>
      </c>
      <c r="B63" s="381" t="s">
        <v>851</v>
      </c>
      <c r="C63" s="382" t="s">
        <v>880</v>
      </c>
      <c r="D63" s="383">
        <v>5</v>
      </c>
      <c r="E63" s="393">
        <v>17</v>
      </c>
      <c r="F63" s="393">
        <v>21</v>
      </c>
      <c r="G63" s="393">
        <v>48300.91000000001</v>
      </c>
      <c r="H63" s="394">
        <v>12907.820000000002</v>
      </c>
      <c r="I63" s="385">
        <f t="shared" si="22"/>
      </c>
      <c r="J63" s="385">
        <f t="shared" si="11"/>
      </c>
      <c r="K63" s="385">
        <f t="shared" si="33"/>
      </c>
      <c r="L63" s="402"/>
      <c r="M63" s="414"/>
      <c r="N63" s="387"/>
      <c r="O63" s="387"/>
      <c r="P63" s="387"/>
      <c r="Q63" s="384">
        <v>8.057315855181026</v>
      </c>
      <c r="R63" s="390">
        <v>0.11141976907270358</v>
      </c>
      <c r="S63" s="389">
        <v>0.013202897714629503</v>
      </c>
      <c r="T63" s="390">
        <v>0.013425418462628876</v>
      </c>
      <c r="U63" s="389">
        <v>0.25659914057704114</v>
      </c>
      <c r="V63" s="391">
        <v>13519.340519974634</v>
      </c>
      <c r="W63" s="390">
        <v>0.039425</v>
      </c>
      <c r="X63" s="391">
        <v>78</v>
      </c>
      <c r="Y63" s="392">
        <v>106.3799170904176</v>
      </c>
      <c r="Z63" s="391">
        <v>121337</v>
      </c>
      <c r="AA63" s="391">
        <v>1602</v>
      </c>
      <c r="AB63" s="391">
        <v>533</v>
      </c>
      <c r="AC63" s="391">
        <v>1629</v>
      </c>
      <c r="AD63" s="391">
        <v>418</v>
      </c>
      <c r="AE63" s="391">
        <v>31</v>
      </c>
      <c r="AF63" s="391">
        <v>9</v>
      </c>
      <c r="AG63" s="391">
        <v>169</v>
      </c>
    </row>
    <row r="64">
      <c r="A64" s="380" t="s">
        <v>878</v>
      </c>
      <c r="B64" s="381" t="s">
        <v>848</v>
      </c>
      <c r="C64" s="382" t="s">
        <v>881</v>
      </c>
      <c r="D64" s="380">
        <v>5</v>
      </c>
      <c r="E64" s="396">
        <v>17</v>
      </c>
      <c r="F64" s="396">
        <v>23</v>
      </c>
      <c r="G64" s="397">
        <v>60678.91999999999</v>
      </c>
      <c r="H64" s="397">
        <v>16075.2</v>
      </c>
      <c r="I64" s="398">
        <f t="shared" si="22"/>
      </c>
      <c r="J64" s="385">
        <f>G65/F65</f>
      </c>
      <c r="K64" s="399">
        <f>H65/F65</f>
      </c>
      <c r="L64" s="400"/>
      <c r="M64" s="400"/>
      <c r="N64" s="401"/>
      <c r="O64" s="387"/>
      <c r="P64" s="387"/>
      <c r="Q64" s="384">
        <v>6.417245508982036</v>
      </c>
      <c r="R64" s="390">
        <v>0.14801874720739863</v>
      </c>
      <c r="S64" s="390">
        <v>0.016280399828422134</v>
      </c>
      <c r="T64" s="390">
        <v>0.016956312635669997</v>
      </c>
      <c r="U64" s="390">
        <v>0.20045994633959371</v>
      </c>
      <c r="V64" s="391">
        <v>22775.052557813597</v>
      </c>
      <c r="W64" s="390">
        <v>0.02854</v>
      </c>
      <c r="X64" s="391">
        <v>78.6</v>
      </c>
      <c r="Y64" s="392">
        <v>104.47532268337385</v>
      </c>
      <c r="Z64" s="391">
        <v>153866</v>
      </c>
      <c r="AA64" s="391">
        <v>2505</v>
      </c>
      <c r="AB64" s="391">
        <v>650</v>
      </c>
      <c r="AC64" s="391">
        <v>2609</v>
      </c>
      <c r="AD64" s="391">
        <v>523</v>
      </c>
      <c r="AE64" s="391">
        <v>32</v>
      </c>
      <c r="AF64" s="391">
        <v>13</v>
      </c>
      <c r="AG64" s="391">
        <v>207</v>
      </c>
    </row>
    <row r="65">
      <c r="A65" s="380" t="s">
        <v>878</v>
      </c>
      <c r="B65" s="381" t="s">
        <v>855</v>
      </c>
      <c r="C65" s="382" t="s">
        <v>882</v>
      </c>
      <c r="D65" s="383">
        <v>5</v>
      </c>
      <c r="E65" s="402">
        <v>19</v>
      </c>
      <c r="F65" s="402">
        <v>23</v>
      </c>
      <c r="G65" s="402">
        <v>59855.17</v>
      </c>
      <c r="H65" s="403">
        <v>13878.589999999998</v>
      </c>
      <c r="I65" s="385">
        <f t="shared" si="22"/>
      </c>
      <c r="J65" s="385">
        <f t="shared" ref="J65:J68" si="12">G65/F65</f>
      </c>
      <c r="K65" s="399">
        <f t="shared" ref="K65:K68" si="34">H65/F65</f>
      </c>
      <c r="L65" s="383" t="s">
        <v>850</v>
      </c>
      <c r="M65" s="386">
        <v>10</v>
      </c>
      <c r="N65" s="401"/>
      <c r="O65" s="387"/>
      <c r="P65" s="387"/>
      <c r="Q65" s="384">
        <v>5.317467432950191</v>
      </c>
      <c r="R65" s="390">
        <v>0.12309795102565911</v>
      </c>
      <c r="S65" s="390">
        <v>0.012898124583034765</v>
      </c>
      <c r="T65" s="390">
        <v>0.014044624545971189</v>
      </c>
      <c r="U65" s="390">
        <v>0.13406052076002814</v>
      </c>
      <c r="V65" s="391">
        <v>24909.48587979725</v>
      </c>
      <c r="W65" s="390">
        <v>0.02762</v>
      </c>
      <c r="X65" s="391">
        <v>78.8</v>
      </c>
      <c r="Y65" s="392">
        <v>68.58535741642163</v>
      </c>
      <c r="Z65" s="391">
        <v>202355</v>
      </c>
      <c r="AA65" s="391">
        <v>2610</v>
      </c>
      <c r="AB65" s="391">
        <v>688</v>
      </c>
      <c r="AC65" s="391">
        <v>2842</v>
      </c>
      <c r="AD65" s="391">
        <v>381</v>
      </c>
      <c r="AE65" s="391">
        <v>48</v>
      </c>
      <c r="AF65" s="391">
        <v>15</v>
      </c>
      <c r="AG65" s="391">
        <v>312</v>
      </c>
    </row>
    <row r="66">
      <c r="A66" s="406" t="s">
        <v>878</v>
      </c>
      <c r="B66" s="407" t="s">
        <v>860</v>
      </c>
      <c r="C66" s="408"/>
      <c r="D66" s="408">
        <f>SUM(D62:D65)</f>
      </c>
      <c r="E66" s="408">
        <f>SUM(E62:E65)</f>
      </c>
      <c r="F66" s="408">
        <f>SUM(F62:F65)</f>
      </c>
      <c r="G66" s="408">
        <f>SUM(G62:G65)</f>
      </c>
      <c r="H66" s="408">
        <f>SUM(H62:H65)</f>
      </c>
      <c r="I66" s="409">
        <f t="shared" si="22"/>
      </c>
      <c r="J66" s="409">
        <f t="shared" si="12"/>
      </c>
      <c r="K66" s="409">
        <f t="shared" si="34"/>
      </c>
      <c r="L66" s="408"/>
      <c r="M66" s="410">
        <f>SUM(M62:M65)</f>
      </c>
      <c r="N66" s="408"/>
      <c r="O66" s="408"/>
      <c r="P66" s="408"/>
      <c r="Q66" s="411">
        <f>AVERAGE(Q62:Q65)</f>
      </c>
      <c r="R66" s="412">
        <f>AVERAGE(R62:R65)</f>
      </c>
      <c r="S66" s="412">
        <f>AVERAGE(S62:S65)</f>
      </c>
      <c r="T66" s="412">
        <f>AVERAGE(T62:T65)</f>
      </c>
      <c r="U66" s="412">
        <f>AVERAGE(U62:U65)</f>
      </c>
      <c r="V66" s="413">
        <f>SUM(V62:V65)</f>
      </c>
      <c r="W66" s="412">
        <f>AVERAGE(W62:W65)</f>
      </c>
      <c r="X66" s="413"/>
      <c r="Y66" s="411">
        <f>AVERAGE(Y62:Y65)</f>
      </c>
      <c r="Z66" s="413">
        <f>SUM(Z62:Z65)</f>
      </c>
      <c r="AA66" s="413">
        <f>SUM(AA62:AA65)</f>
      </c>
      <c r="AB66" s="413">
        <f>SUM(AB62:AB65)</f>
      </c>
      <c r="AC66" s="413">
        <f>SUM(AC62:AC65)</f>
      </c>
      <c r="AD66" s="413">
        <f>SUM(AD62:AD65)</f>
      </c>
      <c r="AE66" s="413">
        <f>SUM(AE62:AE65)</f>
      </c>
      <c r="AF66" s="413">
        <f>SUM(AF62:AF65)</f>
      </c>
      <c r="AG66" s="413">
        <f>SUM(AG62:AG65)</f>
      </c>
    </row>
    <row r="67">
      <c r="A67" s="380" t="s">
        <v>883</v>
      </c>
      <c r="B67" s="381" t="s">
        <v>851</v>
      </c>
      <c r="C67" s="382" t="s">
        <v>879</v>
      </c>
      <c r="D67" s="383">
        <v>5</v>
      </c>
      <c r="E67" s="383">
        <v>15</v>
      </c>
      <c r="F67" s="383">
        <v>17</v>
      </c>
      <c r="G67" s="383">
        <v>45860.37</v>
      </c>
      <c r="H67" s="384">
        <v>11935.05</v>
      </c>
      <c r="I67" s="385">
        <f t="shared" si="22"/>
      </c>
      <c r="J67" s="385">
        <f t="shared" si="12"/>
      </c>
      <c r="K67" s="399">
        <f t="shared" si="34"/>
      </c>
      <c r="L67" s="402" t="s">
        <v>859</v>
      </c>
      <c r="M67" s="414">
        <v>10</v>
      </c>
      <c r="N67" s="401"/>
      <c r="O67" s="387"/>
      <c r="P67" s="387"/>
      <c r="Q67" s="388">
        <v>7.207155797101449</v>
      </c>
      <c r="R67" s="389">
        <v>0.11411617026132603</v>
      </c>
      <c r="S67" s="390">
        <v>0.015232908970490839</v>
      </c>
      <c r="T67" s="390">
        <v>0.018581205386709838</v>
      </c>
      <c r="U67" s="390">
        <v>0.18217821782178217</v>
      </c>
      <c r="V67" s="391">
        <v>12405.797101449276</v>
      </c>
      <c r="W67" s="390">
        <v>0.034499999999999996</v>
      </c>
      <c r="X67" s="391">
        <v>46</v>
      </c>
      <c r="Y67" s="392">
        <v>109.78594819339172</v>
      </c>
      <c r="Z67" s="391">
        <v>108712</v>
      </c>
      <c r="AA67" s="391">
        <v>1656</v>
      </c>
      <c r="AB67" s="391">
        <v>428</v>
      </c>
      <c r="AC67" s="391">
        <v>2020</v>
      </c>
      <c r="AD67" s="391">
        <v>368</v>
      </c>
      <c r="AE67" s="391">
        <v>31</v>
      </c>
      <c r="AF67" s="391">
        <v>4</v>
      </c>
      <c r="AG67" s="391">
        <v>164</v>
      </c>
    </row>
    <row r="68">
      <c r="A68" s="380" t="s">
        <v>883</v>
      </c>
      <c r="B68" s="381" t="s">
        <v>863</v>
      </c>
      <c r="C68" s="382" t="s">
        <v>880</v>
      </c>
      <c r="D68" s="383">
        <v>5</v>
      </c>
      <c r="E68" s="393">
        <v>15</v>
      </c>
      <c r="F68" s="393">
        <v>21</v>
      </c>
      <c r="G68" s="393">
        <v>51420.780000000006</v>
      </c>
      <c r="H68" s="394">
        <v>14001.130000000001</v>
      </c>
      <c r="I68" s="385">
        <f t="shared" si="22"/>
      </c>
      <c r="J68" s="385">
        <f t="shared" si="12"/>
      </c>
      <c r="K68" s="385">
        <f t="shared" si="34"/>
      </c>
      <c r="L68" s="402"/>
      <c r="M68" s="414"/>
      <c r="N68" s="387"/>
      <c r="O68" s="387"/>
      <c r="P68" s="387"/>
      <c r="Q68" s="384">
        <v>7.96877063175868</v>
      </c>
      <c r="R68" s="390">
        <v>0.13227387300829416</v>
      </c>
      <c r="S68" s="389">
        <v>0.01511840022027948</v>
      </c>
      <c r="T68" s="390">
        <v>0.0153421215667378</v>
      </c>
      <c r="U68" s="389">
        <v>0.2417274256870443</v>
      </c>
      <c r="V68" s="391">
        <v>15372.340425531915</v>
      </c>
      <c r="W68" s="390">
        <v>0.0376</v>
      </c>
      <c r="X68" s="391">
        <v>67.6</v>
      </c>
      <c r="Y68" s="392">
        <v>120.47506367453707</v>
      </c>
      <c r="Z68" s="391">
        <v>116216</v>
      </c>
      <c r="AA68" s="391">
        <v>1757</v>
      </c>
      <c r="AB68" s="391">
        <v>578</v>
      </c>
      <c r="AC68" s="391">
        <v>1783</v>
      </c>
      <c r="AD68" s="391">
        <v>431</v>
      </c>
      <c r="AE68" s="391">
        <v>37</v>
      </c>
      <c r="AF68" s="391">
        <v>14</v>
      </c>
      <c r="AG68" s="391">
        <v>152</v>
      </c>
    </row>
    <row r="69">
      <c r="A69" s="380" t="s">
        <v>883</v>
      </c>
      <c r="B69" s="381" t="s">
        <v>848</v>
      </c>
      <c r="C69" s="382" t="s">
        <v>881</v>
      </c>
      <c r="D69" s="380">
        <v>5</v>
      </c>
      <c r="E69" s="396">
        <v>21</v>
      </c>
      <c r="F69" s="396">
        <v>23</v>
      </c>
      <c r="G69" s="397">
        <v>61142.70000000002</v>
      </c>
      <c r="H69" s="397">
        <v>14560.91</v>
      </c>
      <c r="I69" s="398">
        <f t="shared" si="22"/>
      </c>
      <c r="J69" s="385">
        <f>G70/F70</f>
      </c>
      <c r="K69" s="399">
        <f>H70/F70</f>
      </c>
      <c r="L69" s="400"/>
      <c r="M69" s="400"/>
      <c r="N69" s="401"/>
      <c r="O69" s="387"/>
      <c r="P69" s="387"/>
      <c r="Q69" s="384">
        <v>5.904667477696675</v>
      </c>
      <c r="R69" s="390">
        <v>0.20250967256883526</v>
      </c>
      <c r="S69" s="390">
        <v>0.020107468138713808</v>
      </c>
      <c r="T69" s="390">
        <v>0.021208241941928066</v>
      </c>
      <c r="U69" s="390">
        <v>0.104959630911188</v>
      </c>
      <c r="V69" s="391">
        <v>24835.988753514524</v>
      </c>
      <c r="W69" s="390">
        <v>0.02134</v>
      </c>
      <c r="X69" s="391">
        <v>52.4</v>
      </c>
      <c r="Y69" s="392">
        <v>118.7279131774855</v>
      </c>
      <c r="Z69" s="391">
        <v>122641</v>
      </c>
      <c r="AA69" s="391">
        <v>2466</v>
      </c>
      <c r="AB69" s="391">
        <v>530</v>
      </c>
      <c r="AC69" s="391">
        <v>2601</v>
      </c>
      <c r="AD69" s="391">
        <v>273</v>
      </c>
      <c r="AE69" s="391">
        <v>33</v>
      </c>
      <c r="AF69" s="391">
        <v>5</v>
      </c>
      <c r="AG69" s="391">
        <v>135</v>
      </c>
    </row>
    <row r="70">
      <c r="A70" s="380" t="s">
        <v>883</v>
      </c>
      <c r="B70" s="381" t="s">
        <v>855</v>
      </c>
      <c r="C70" s="382" t="s">
        <v>882</v>
      </c>
      <c r="D70" s="383">
        <v>5</v>
      </c>
      <c r="E70" s="402">
        <v>16</v>
      </c>
      <c r="F70" s="402">
        <v>18</v>
      </c>
      <c r="G70" s="402">
        <v>42534.649999999994</v>
      </c>
      <c r="H70" s="403">
        <v>15786.029999999999</v>
      </c>
      <c r="I70" s="385">
        <f t="shared" si="22"/>
      </c>
      <c r="J70" s="385">
        <f t="shared" ref="J70:J73" si="13">G70/F70</f>
      </c>
      <c r="K70" s="399">
        <f t="shared" ref="K70:K73" si="35">H70/F70</f>
      </c>
      <c r="L70" s="383" t="s">
        <v>850</v>
      </c>
      <c r="M70" s="386">
        <v>10</v>
      </c>
      <c r="N70" s="401"/>
      <c r="O70" s="387"/>
      <c r="P70" s="387"/>
      <c r="Q70" s="384">
        <v>5.538957894736842</v>
      </c>
      <c r="R70" s="390">
        <v>0.1628390404297406</v>
      </c>
      <c r="S70" s="390">
        <v>0.017475228097714117</v>
      </c>
      <c r="T70" s="390">
        <v>0.018493083488668693</v>
      </c>
      <c r="U70" s="390">
        <v>0.11671087533156499</v>
      </c>
      <c r="V70" s="391">
        <v>26557.093425605533</v>
      </c>
      <c r="W70" s="390">
        <v>0.02312</v>
      </c>
      <c r="X70" s="391">
        <v>60.2</v>
      </c>
      <c r="Y70" s="392">
        <v>96.7945526341607</v>
      </c>
      <c r="Z70" s="391">
        <v>163088</v>
      </c>
      <c r="AA70" s="391">
        <v>2850</v>
      </c>
      <c r="AB70" s="391">
        <v>614</v>
      </c>
      <c r="AC70" s="391">
        <v>3016</v>
      </c>
      <c r="AD70" s="391">
        <v>352</v>
      </c>
      <c r="AE70" s="391">
        <v>35</v>
      </c>
      <c r="AF70" s="391">
        <v>9</v>
      </c>
      <c r="AG70" s="391">
        <v>215</v>
      </c>
    </row>
    <row r="71">
      <c r="A71" s="406" t="s">
        <v>883</v>
      </c>
      <c r="B71" s="407" t="s">
        <v>860</v>
      </c>
      <c r="C71" s="408"/>
      <c r="D71" s="408">
        <f>SUM(D67:D70)</f>
      </c>
      <c r="E71" s="408">
        <f>SUM(E67:E70)</f>
      </c>
      <c r="F71" s="408">
        <f>SUM(F67:F70)</f>
      </c>
      <c r="G71" s="408">
        <f>SUM(G67:G70)</f>
      </c>
      <c r="H71" s="408">
        <f>SUM(H67:H70)</f>
      </c>
      <c r="I71" s="409">
        <f t="shared" si="22"/>
      </c>
      <c r="J71" s="409">
        <f t="shared" si="13"/>
      </c>
      <c r="K71" s="409">
        <f t="shared" si="35"/>
      </c>
      <c r="L71" s="408"/>
      <c r="M71" s="410">
        <f>SUM(M67:M70)</f>
      </c>
      <c r="N71" s="408"/>
      <c r="O71" s="408"/>
      <c r="P71" s="408"/>
      <c r="Q71" s="411">
        <f>AVERAGE(Q67:Q70)</f>
      </c>
      <c r="R71" s="412">
        <f>AVERAGE(R67:R70)</f>
      </c>
      <c r="S71" s="412">
        <f>AVERAGE(S67:S70)</f>
      </c>
      <c r="T71" s="412">
        <f>AVERAGE(T67:T70)</f>
      </c>
      <c r="U71" s="412">
        <f>AVERAGE(U67:U70)</f>
      </c>
      <c r="V71" s="413">
        <f>SUM(V67:V70)</f>
      </c>
      <c r="W71" s="412">
        <f>AVERAGE(W67:W70)</f>
      </c>
      <c r="X71" s="413"/>
      <c r="Y71" s="411">
        <f>AVERAGE(Y67:Y70)</f>
      </c>
      <c r="Z71" s="413">
        <f>SUM(Z67:Z70)</f>
      </c>
      <c r="AA71" s="413">
        <f>SUM(AA67:AA70)</f>
      </c>
      <c r="AB71" s="413">
        <f>SUM(AB67:AB70)</f>
      </c>
      <c r="AC71" s="413">
        <f>SUM(AC67:AC70)</f>
      </c>
      <c r="AD71" s="413">
        <f>SUM(AD67:AD70)</f>
      </c>
      <c r="AE71" s="413">
        <f>SUM(AE67:AE70)</f>
      </c>
      <c r="AF71" s="413">
        <f>SUM(AF67:AF70)</f>
      </c>
      <c r="AG71" s="413">
        <f>SUM(AG67:AG70)</f>
      </c>
    </row>
    <row r="72">
      <c r="A72" s="380" t="s">
        <v>884</v>
      </c>
      <c r="B72" s="381" t="s">
        <v>863</v>
      </c>
      <c r="C72" s="382" t="s">
        <v>879</v>
      </c>
      <c r="D72" s="383">
        <v>5</v>
      </c>
      <c r="E72" s="383">
        <v>13</v>
      </c>
      <c r="F72" s="383">
        <v>14</v>
      </c>
      <c r="G72" s="383">
        <v>38648.659999999996</v>
      </c>
      <c r="H72" s="384">
        <v>13689.35</v>
      </c>
      <c r="I72" s="385">
        <f t="shared" si="22"/>
      </c>
      <c r="J72" s="385">
        <f t="shared" si="13"/>
      </c>
      <c r="K72" s="399">
        <f t="shared" si="35"/>
      </c>
      <c r="L72" s="402" t="s">
        <v>859</v>
      </c>
      <c r="M72" s="414">
        <v>10</v>
      </c>
      <c r="N72" s="401"/>
      <c r="O72" s="387"/>
      <c r="P72" s="387"/>
      <c r="Q72" s="388">
        <v>5.692037422037422</v>
      </c>
      <c r="R72" s="389">
        <v>0.1447252885509689</v>
      </c>
      <c r="S72" s="390">
        <v>0.021793500915236422</v>
      </c>
      <c r="T72" s="390">
        <v>0.024231110788915673</v>
      </c>
      <c r="U72" s="390">
        <v>0.11817501869857891</v>
      </c>
      <c r="V72" s="391">
        <v>15971.014492753622</v>
      </c>
      <c r="W72" s="390">
        <v>0.0345</v>
      </c>
      <c r="X72" s="391">
        <v>47.2</v>
      </c>
      <c r="Y72" s="392">
        <v>124.04942276673252</v>
      </c>
      <c r="Z72" s="391">
        <v>110354</v>
      </c>
      <c r="AA72" s="391">
        <v>2405</v>
      </c>
      <c r="AB72" s="391">
        <v>551</v>
      </c>
      <c r="AC72" s="391">
        <v>2674</v>
      </c>
      <c r="AD72" s="391">
        <v>316</v>
      </c>
      <c r="AE72" s="391">
        <v>23</v>
      </c>
      <c r="AF72" s="391">
        <v>10</v>
      </c>
      <c r="AG72" s="391">
        <v>153</v>
      </c>
    </row>
    <row r="73">
      <c r="A73" s="380" t="s">
        <v>884</v>
      </c>
      <c r="B73" s="381" t="s">
        <v>848</v>
      </c>
      <c r="C73" s="382" t="s">
        <v>880</v>
      </c>
      <c r="D73" s="383">
        <v>5</v>
      </c>
      <c r="E73" s="393">
        <v>13</v>
      </c>
      <c r="F73" s="393">
        <v>16</v>
      </c>
      <c r="G73" s="393">
        <v>44836.72</v>
      </c>
      <c r="H73" s="394">
        <v>10037.26</v>
      </c>
      <c r="I73" s="385">
        <f t="shared" si="22"/>
      </c>
      <c r="J73" s="385">
        <f t="shared" si="13"/>
      </c>
      <c r="K73" s="385">
        <f t="shared" si="35"/>
      </c>
      <c r="L73" s="402"/>
      <c r="M73" s="414"/>
      <c r="N73" s="387"/>
      <c r="O73" s="387"/>
      <c r="P73" s="387"/>
      <c r="Q73" s="384">
        <v>7.524182908545727</v>
      </c>
      <c r="R73" s="390">
        <v>0.14554828418005195</v>
      </c>
      <c r="S73" s="389">
        <v>0.015429635541367386</v>
      </c>
      <c r="T73" s="390">
        <v>0.01598482482621419</v>
      </c>
      <c r="U73" s="389">
        <v>0.1939218523878437</v>
      </c>
      <c r="V73" s="391">
        <v>12583.668005354752</v>
      </c>
      <c r="W73" s="390">
        <v>0.02988</v>
      </c>
      <c r="X73" s="391">
        <v>55</v>
      </c>
      <c r="Y73" s="392">
        <v>116.09540002544617</v>
      </c>
      <c r="Z73" s="391">
        <v>86457</v>
      </c>
      <c r="AA73" s="391">
        <v>1334</v>
      </c>
      <c r="AB73" s="391">
        <v>376</v>
      </c>
      <c r="AC73" s="391">
        <v>1382</v>
      </c>
      <c r="AD73" s="391">
        <v>268</v>
      </c>
      <c r="AE73" s="391">
        <v>17</v>
      </c>
      <c r="AF73" s="391">
        <v>3</v>
      </c>
      <c r="AG73" s="391">
        <v>99</v>
      </c>
    </row>
    <row r="74">
      <c r="A74" s="380" t="s">
        <v>884</v>
      </c>
      <c r="B74" s="381" t="s">
        <v>853</v>
      </c>
      <c r="C74" s="382" t="s">
        <v>881</v>
      </c>
      <c r="D74" s="380">
        <v>5</v>
      </c>
      <c r="E74" s="396">
        <v>12</v>
      </c>
      <c r="F74" s="396">
        <v>16</v>
      </c>
      <c r="G74" s="397">
        <v>38458.859999999986</v>
      </c>
      <c r="H74" s="397">
        <v>13510.81</v>
      </c>
      <c r="I74" s="398">
        <f t="shared" si="22"/>
      </c>
      <c r="J74" s="385">
        <f>G75/F75</f>
      </c>
      <c r="K74" s="399">
        <f>H75/F75</f>
      </c>
      <c r="L74" s="400"/>
      <c r="M74" s="400"/>
      <c r="N74" s="401"/>
      <c r="O74" s="387"/>
      <c r="P74" s="387"/>
      <c r="Q74" s="384">
        <v>8.26349235474006</v>
      </c>
      <c r="R74" s="390">
        <v>0.22077641655124106</v>
      </c>
      <c r="S74" s="390">
        <v>0.018221330658642596</v>
      </c>
      <c r="T74" s="390">
        <v>0.01906831605928898</v>
      </c>
      <c r="U74" s="390">
        <v>0.10344827586206896</v>
      </c>
      <c r="V74" s="391">
        <v>19810.26785714286</v>
      </c>
      <c r="W74" s="390">
        <v>0.01792</v>
      </c>
      <c r="X74" s="391">
        <v>51.6</v>
      </c>
      <c r="Y74" s="392">
        <v>150.57182659088375</v>
      </c>
      <c r="Z74" s="391">
        <v>89730</v>
      </c>
      <c r="AA74" s="391">
        <v>1635</v>
      </c>
      <c r="AB74" s="391">
        <v>355</v>
      </c>
      <c r="AC74" s="391">
        <v>1711</v>
      </c>
      <c r="AD74" s="391">
        <v>177</v>
      </c>
      <c r="AE74" s="391">
        <v>23</v>
      </c>
      <c r="AF74" s="391">
        <v>8</v>
      </c>
      <c r="AG74" s="391">
        <v>100</v>
      </c>
    </row>
    <row r="75">
      <c r="A75" s="380" t="s">
        <v>884</v>
      </c>
      <c r="B75" s="381" t="s">
        <v>855</v>
      </c>
      <c r="C75" s="382" t="s">
        <v>882</v>
      </c>
      <c r="D75" s="383">
        <v>5</v>
      </c>
      <c r="E75" s="402">
        <v>18</v>
      </c>
      <c r="F75" s="402">
        <v>21</v>
      </c>
      <c r="G75" s="402">
        <v>55687.16999999998</v>
      </c>
      <c r="H75" s="403">
        <v>9911.08</v>
      </c>
      <c r="I75" s="385">
        <f t="shared" si="22"/>
      </c>
      <c r="J75" s="385">
        <f t="shared" ref="J75:J78" si="14">G75/F75</f>
      </c>
      <c r="K75" s="399">
        <f t="shared" ref="K75:K78" si="36">H75/F75</f>
      </c>
      <c r="L75" s="383" t="s">
        <v>850</v>
      </c>
      <c r="M75" s="386">
        <v>10</v>
      </c>
      <c r="N75" s="401"/>
      <c r="O75" s="387"/>
      <c r="P75" s="387"/>
      <c r="Q75" s="384">
        <v>4.8775</v>
      </c>
      <c r="R75" s="390">
        <v>0.2416</v>
      </c>
      <c r="S75" s="390">
        <v>0.0217</v>
      </c>
      <c r="T75" s="390">
        <v>0.0254</v>
      </c>
      <c r="U75" s="390">
        <v>0.1238</v>
      </c>
      <c r="V75" s="391">
        <v>22649</v>
      </c>
      <c r="W75" s="390">
        <v>0.0151</v>
      </c>
      <c r="X75" s="391">
        <v>62.4</v>
      </c>
      <c r="Y75" s="392">
        <v>105.73</v>
      </c>
      <c r="Z75" s="391">
        <v>93740</v>
      </c>
      <c r="AA75" s="391">
        <v>2032</v>
      </c>
      <c r="AB75" s="391">
        <v>342</v>
      </c>
      <c r="AC75" s="391">
        <v>2382</v>
      </c>
      <c r="AD75" s="391">
        <v>295</v>
      </c>
      <c r="AE75" s="391">
        <v>20</v>
      </c>
      <c r="AF75" s="391">
        <v>5</v>
      </c>
      <c r="AG75" s="391">
        <v>72</v>
      </c>
    </row>
    <row r="76">
      <c r="A76" s="406" t="s">
        <v>884</v>
      </c>
      <c r="B76" s="407" t="s">
        <v>860</v>
      </c>
      <c r="C76" s="408"/>
      <c r="D76" s="408">
        <f>SUM(D72:D75)</f>
      </c>
      <c r="E76" s="408">
        <f>SUM(E72:E75)</f>
      </c>
      <c r="F76" s="408">
        <f>SUM(F72:F75)</f>
      </c>
      <c r="G76" s="408">
        <f>SUM(G72:G75)</f>
      </c>
      <c r="H76" s="408">
        <f>SUM(H72:H75)</f>
      </c>
      <c r="I76" s="409">
        <f t="shared" si="22"/>
      </c>
      <c r="J76" s="409">
        <f t="shared" si="14"/>
      </c>
      <c r="K76" s="409">
        <f t="shared" si="36"/>
      </c>
      <c r="L76" s="408"/>
      <c r="M76" s="410">
        <f>SUM(M72:M75)</f>
      </c>
      <c r="N76" s="408"/>
      <c r="O76" s="408"/>
      <c r="P76" s="408"/>
      <c r="Q76" s="411">
        <f>AVERAGE(Q72:Q75)</f>
      </c>
      <c r="R76" s="412">
        <f>AVERAGE(R72:R75)</f>
      </c>
      <c r="S76" s="412">
        <f>AVERAGE(S72:S75)</f>
      </c>
      <c r="T76" s="412">
        <f>AVERAGE(T72:T75)</f>
      </c>
      <c r="U76" s="412">
        <f>AVERAGE(U72:U75)</f>
      </c>
      <c r="V76" s="413">
        <f>SUM(V72:V75)</f>
      </c>
      <c r="W76" s="412">
        <f>AVERAGE(W72:W75)</f>
      </c>
      <c r="X76" s="413"/>
      <c r="Y76" s="411">
        <f>AVERAGE(Y72:Y75)</f>
      </c>
      <c r="Z76" s="413">
        <f>SUM(Z72:Z75)</f>
      </c>
      <c r="AA76" s="413">
        <f>SUM(AA72:AA75)</f>
      </c>
      <c r="AB76" s="413">
        <f>SUM(AB72:AB75)</f>
      </c>
      <c r="AC76" s="413">
        <f>SUM(AC72:AC75)</f>
      </c>
      <c r="AD76" s="413">
        <f>SUM(AD72:AD75)</f>
      </c>
      <c r="AE76" s="413">
        <f>SUM(AE72:AE75)</f>
      </c>
      <c r="AF76" s="413">
        <f>SUM(AF72:AF75)</f>
      </c>
      <c r="AG76" s="413">
        <f>SUM(AG72:AG75)</f>
      </c>
    </row>
    <row r="77">
      <c r="A77" s="380" t="s">
        <v>885</v>
      </c>
      <c r="B77" s="381" t="s">
        <v>863</v>
      </c>
      <c r="C77" s="382" t="s">
        <v>849</v>
      </c>
      <c r="D77" s="383">
        <v>4</v>
      </c>
      <c r="E77" s="383">
        <v>8</v>
      </c>
      <c r="F77" s="383">
        <v>10</v>
      </c>
      <c r="G77" s="383">
        <v>23983.260000000002</v>
      </c>
      <c r="H77" s="384">
        <v>10584.04</v>
      </c>
      <c r="I77" s="385">
        <f t="shared" si="22"/>
      </c>
      <c r="J77" s="385">
        <f t="shared" si="14"/>
      </c>
      <c r="K77" s="399">
        <f t="shared" si="36"/>
      </c>
      <c r="L77" s="402" t="s">
        <v>859</v>
      </c>
      <c r="M77" s="414">
        <v>10</v>
      </c>
      <c r="N77" s="401"/>
      <c r="O77" s="387"/>
      <c r="P77" s="387"/>
      <c r="Q77" s="388">
        <v>5.472616339193382</v>
      </c>
      <c r="R77" s="389">
        <v>0.14917460929348397</v>
      </c>
      <c r="S77" s="390">
        <v>0.019946163921576717</v>
      </c>
      <c r="T77" s="390">
        <v>0.02210166974350512</v>
      </c>
      <c r="U77" s="390">
        <v>0.09519365375641624</v>
      </c>
      <c r="V77" s="391">
        <v>14464.1192917055</v>
      </c>
      <c r="W77" s="390">
        <v>0.026824999999999998</v>
      </c>
      <c r="X77" s="391">
        <v>36.25</v>
      </c>
      <c r="Y77" s="392">
        <v>109.15770258145028</v>
      </c>
      <c r="Z77" s="391">
        <v>96961</v>
      </c>
      <c r="AA77" s="391">
        <v>1934</v>
      </c>
      <c r="AB77" s="391">
        <v>388</v>
      </c>
      <c r="AC77" s="391">
        <v>2143</v>
      </c>
      <c r="AD77" s="391">
        <v>204</v>
      </c>
      <c r="AE77" s="391">
        <v>14</v>
      </c>
      <c r="AF77" s="391">
        <v>6</v>
      </c>
      <c r="AG77" s="391">
        <v>103</v>
      </c>
    </row>
    <row r="78">
      <c r="A78" s="380" t="s">
        <v>885</v>
      </c>
      <c r="B78" s="381" t="s">
        <v>851</v>
      </c>
      <c r="C78" s="382" t="s">
        <v>852</v>
      </c>
      <c r="D78" s="383">
        <v>4</v>
      </c>
      <c r="E78" s="393">
        <v>11</v>
      </c>
      <c r="F78" s="393">
        <v>13</v>
      </c>
      <c r="G78" s="393">
        <v>39086.509999999995</v>
      </c>
      <c r="H78" s="394">
        <v>10822.57</v>
      </c>
      <c r="I78" s="385">
        <f t="shared" si="22"/>
      </c>
      <c r="J78" s="385">
        <f t="shared" si="14"/>
      </c>
      <c r="K78" s="385">
        <f t="shared" si="36"/>
      </c>
      <c r="L78" s="402"/>
      <c r="M78" s="414"/>
      <c r="N78" s="387"/>
      <c r="O78" s="387"/>
      <c r="P78" s="387"/>
      <c r="Q78" s="384">
        <v>9.811940163191297</v>
      </c>
      <c r="R78" s="390">
        <v>0.15512968788228867</v>
      </c>
      <c r="S78" s="389">
        <v>0.013143939845323355</v>
      </c>
      <c r="T78" s="390">
        <v>0.013656350918169143</v>
      </c>
      <c r="U78" s="389">
        <v>0.21465968586387435</v>
      </c>
      <c r="V78" s="391">
        <v>13018.018018018018</v>
      </c>
      <c r="W78" s="390">
        <v>0.0222</v>
      </c>
      <c r="X78" s="391">
        <v>51</v>
      </c>
      <c r="Y78" s="392">
        <v>128.9675512708986</v>
      </c>
      <c r="Z78" s="391">
        <v>83917</v>
      </c>
      <c r="AA78" s="391">
        <v>1103</v>
      </c>
      <c r="AB78" s="391">
        <v>289</v>
      </c>
      <c r="AC78" s="391">
        <v>1146</v>
      </c>
      <c r="AD78" s="391">
        <v>246</v>
      </c>
      <c r="AE78" s="391">
        <v>7</v>
      </c>
      <c r="AF78" s="391">
        <v>6</v>
      </c>
      <c r="AG78" s="391">
        <v>80</v>
      </c>
    </row>
    <row r="79">
      <c r="A79" s="380" t="s">
        <v>885</v>
      </c>
      <c r="B79" s="395" t="s">
        <v>855</v>
      </c>
      <c r="C79" s="382" t="s">
        <v>854</v>
      </c>
      <c r="D79" s="380">
        <v>4</v>
      </c>
      <c r="E79" s="396">
        <v>15</v>
      </c>
      <c r="F79" s="396">
        <v>17</v>
      </c>
      <c r="G79" s="397">
        <v>44013.91999999999</v>
      </c>
      <c r="H79" s="397">
        <v>10656.77</v>
      </c>
      <c r="I79" s="398">
        <f t="shared" si="22"/>
      </c>
      <c r="J79" s="385">
        <f>G80/F80</f>
      </c>
      <c r="K79" s="399">
        <f>H80/F80</f>
      </c>
      <c r="L79" s="400"/>
      <c r="M79" s="400"/>
      <c r="N79" s="401"/>
      <c r="O79" s="387"/>
      <c r="P79" s="387"/>
      <c r="Q79" s="384">
        <v>8.57342719227675</v>
      </c>
      <c r="R79" s="390">
        <v>0.16067502475317288</v>
      </c>
      <c r="S79" s="390">
        <v>0.015879301975012135</v>
      </c>
      <c r="T79" s="390">
        <v>0.01636475127111066</v>
      </c>
      <c r="U79" s="390">
        <v>0.14754098360655737</v>
      </c>
      <c r="V79" s="391">
        <v>12577.319587628866</v>
      </c>
      <c r="W79" s="390">
        <v>0.0194</v>
      </c>
      <c r="X79" s="391">
        <v>58.5</v>
      </c>
      <c r="Y79" s="392">
        <v>136.14003934694296</v>
      </c>
      <c r="Z79" s="391">
        <v>78278</v>
      </c>
      <c r="AA79" s="391">
        <v>1243</v>
      </c>
      <c r="AB79" s="391">
        <v>244</v>
      </c>
      <c r="AC79" s="391">
        <v>1281</v>
      </c>
      <c r="AD79" s="391">
        <v>189</v>
      </c>
      <c r="AE79" s="391">
        <v>16</v>
      </c>
      <c r="AF79" s="391">
        <v>5</v>
      </c>
      <c r="AG79" s="391">
        <v>48</v>
      </c>
    </row>
    <row r="80">
      <c r="A80" s="380" t="s">
        <v>885</v>
      </c>
      <c r="B80" s="381" t="s">
        <v>853</v>
      </c>
      <c r="C80" s="382" t="s">
        <v>856</v>
      </c>
      <c r="D80" s="383">
        <v>4</v>
      </c>
      <c r="E80" s="402">
        <v>10</v>
      </c>
      <c r="F80" s="402">
        <v>16</v>
      </c>
      <c r="G80" s="402">
        <v>39316.58999999998</v>
      </c>
      <c r="H80" s="403">
        <v>10925.08</v>
      </c>
      <c r="I80" s="385">
        <f t="shared" si="22"/>
      </c>
      <c r="J80" s="385">
        <f t="shared" ref="J80:J84" si="15">G80/F80</f>
      </c>
      <c r="K80" s="399">
        <f t="shared" ref="K80:K84" si="37">H80/F80</f>
      </c>
      <c r="L80" s="404"/>
      <c r="M80" s="404"/>
      <c r="N80" s="401"/>
      <c r="O80" s="387"/>
      <c r="P80" s="387"/>
      <c r="Q80" s="384">
        <v>7.555380359612725</v>
      </c>
      <c r="R80" s="390">
        <v>0.2513191725191623</v>
      </c>
      <c r="S80" s="390">
        <v>0.01753216048110382</v>
      </c>
      <c r="T80" s="390">
        <v>0.018283885204360004</v>
      </c>
      <c r="U80" s="390">
        <v>0.13992042440318303</v>
      </c>
      <c r="V80" s="391">
        <v>20728.05139186295</v>
      </c>
      <c r="W80" s="390">
        <v>0.011675000000000001</v>
      </c>
      <c r="X80" s="391">
        <v>58</v>
      </c>
      <c r="Y80" s="392">
        <v>132.4621409605102</v>
      </c>
      <c r="Z80" s="391">
        <v>82477</v>
      </c>
      <c r="AA80" s="391">
        <v>1446</v>
      </c>
      <c r="AB80" s="391">
        <v>242</v>
      </c>
      <c r="AC80" s="391">
        <v>1508</v>
      </c>
      <c r="AD80" s="391">
        <v>211</v>
      </c>
      <c r="AE80" s="391">
        <v>12</v>
      </c>
      <c r="AF80" s="391">
        <v>3</v>
      </c>
      <c r="AG80" s="391">
        <v>50</v>
      </c>
    </row>
    <row r="81">
      <c r="A81" s="380" t="s">
        <v>885</v>
      </c>
      <c r="B81" s="381" t="s">
        <v>848</v>
      </c>
      <c r="C81" s="382" t="s">
        <v>858</v>
      </c>
      <c r="D81" s="383">
        <v>4</v>
      </c>
      <c r="E81" s="383">
        <v>11</v>
      </c>
      <c r="F81" s="383">
        <v>15</v>
      </c>
      <c r="G81" s="383">
        <v>32772.42000000001</v>
      </c>
      <c r="H81" s="384">
        <v>8557.81</v>
      </c>
      <c r="I81" s="385">
        <f t="shared" si="22"/>
      </c>
      <c r="J81" s="385">
        <f t="shared" si="15"/>
      </c>
      <c r="K81" s="399">
        <f t="shared" si="37"/>
      </c>
      <c r="L81" s="383" t="s">
        <v>850</v>
      </c>
      <c r="M81" s="386">
        <v>10</v>
      </c>
      <c r="N81" s="401"/>
      <c r="O81" s="387"/>
      <c r="P81" s="387"/>
      <c r="Q81" s="392">
        <v>5.571490885416666</v>
      </c>
      <c r="R81" s="390">
        <v>0.186</v>
      </c>
      <c r="S81" s="390">
        <v>0.018</v>
      </c>
      <c r="T81" s="390">
        <v>0.0204</v>
      </c>
      <c r="U81" s="390">
        <v>0.084</v>
      </c>
      <c r="V81" s="391">
        <v>15877</v>
      </c>
      <c r="W81" s="390">
        <v>0.0147</v>
      </c>
      <c r="X81" s="391">
        <v>60.5</v>
      </c>
      <c r="Y81" s="392">
        <v>100.23</v>
      </c>
      <c r="Z81" s="391">
        <v>85385</v>
      </c>
      <c r="AA81" s="391">
        <v>1536</v>
      </c>
      <c r="AB81" s="391">
        <v>233</v>
      </c>
      <c r="AC81" s="391">
        <v>1738</v>
      </c>
      <c r="AD81" s="391">
        <v>146</v>
      </c>
      <c r="AE81" s="391">
        <v>9</v>
      </c>
      <c r="AF81" s="391">
        <v>6</v>
      </c>
      <c r="AG81" s="405">
        <v>58</v>
      </c>
    </row>
    <row r="82">
      <c r="A82" s="406" t="s">
        <v>885</v>
      </c>
      <c r="B82" s="407" t="s">
        <v>860</v>
      </c>
      <c r="C82" s="408"/>
      <c r="D82" s="408">
        <f>SUM(D77:D81)</f>
      </c>
      <c r="E82" s="408">
        <f>SUM(E77:E81)</f>
      </c>
      <c r="F82" s="408">
        <f>SUM(F77:F81)</f>
      </c>
      <c r="G82" s="408">
        <f>SUM(G77:G81)</f>
      </c>
      <c r="H82" s="408">
        <f>SUM(H77:H81)</f>
      </c>
      <c r="I82" s="409">
        <f t="shared" si="22"/>
      </c>
      <c r="J82" s="409">
        <f t="shared" si="15"/>
      </c>
      <c r="K82" s="409">
        <f t="shared" si="37"/>
      </c>
      <c r="L82" s="408"/>
      <c r="M82" s="410">
        <f>SUM(M77:M81)</f>
      </c>
      <c r="N82" s="408"/>
      <c r="O82" s="408"/>
      <c r="P82" s="408"/>
      <c r="Q82" s="411">
        <f>AVERAGE(Q77:Q81)</f>
      </c>
      <c r="R82" s="412">
        <f>AVERAGE(R77:R81)</f>
      </c>
      <c r="S82" s="412">
        <f>AVERAGE(S77:S81)</f>
      </c>
      <c r="T82" s="412">
        <f>AVERAGE(T77:T81)</f>
      </c>
      <c r="U82" s="412">
        <f>AVERAGE(U77:U81)</f>
      </c>
      <c r="V82" s="413">
        <f>SUM(V77:V81)</f>
      </c>
      <c r="W82" s="412">
        <f>AVERAGE(W77:W81)</f>
      </c>
      <c r="X82" s="413"/>
      <c r="Y82" s="411">
        <f>AVERAGE(Y77:Y81)</f>
      </c>
      <c r="Z82" s="413">
        <f>SUM(Z77:Z81)</f>
      </c>
      <c r="AA82" s="413">
        <f>SUM(AA77:AA81)</f>
      </c>
      <c r="AB82" s="413">
        <f>SUM(AB77:AB81)</f>
      </c>
      <c r="AC82" s="413">
        <f>SUM(AC77:AC81)</f>
      </c>
      <c r="AD82" s="413">
        <f>SUM(AD77:AD81)</f>
      </c>
      <c r="AE82" s="413">
        <f>SUM(AE77:AE81)</f>
      </c>
      <c r="AF82" s="413">
        <f>SUM(AF77:AF81)</f>
      </c>
      <c r="AG82" s="413">
        <f>SUM(AG77:AG81)</f>
      </c>
    </row>
    <row r="83">
      <c r="A83" s="380" t="s">
        <v>886</v>
      </c>
      <c r="B83" s="381" t="s">
        <v>863</v>
      </c>
      <c r="C83" s="382" t="s">
        <v>849</v>
      </c>
      <c r="D83" s="383">
        <v>4</v>
      </c>
      <c r="E83" s="383">
        <v>6</v>
      </c>
      <c r="F83" s="383">
        <v>8</v>
      </c>
      <c r="G83" s="383">
        <v>20720.480000000003</v>
      </c>
      <c r="H83" s="384">
        <v>9082.44</v>
      </c>
      <c r="I83" s="385">
        <f t="shared" si="22"/>
      </c>
      <c r="J83" s="385">
        <f t="shared" si="15"/>
      </c>
      <c r="K83" s="399">
        <f t="shared" si="37"/>
      </c>
      <c r="L83" s="402" t="s">
        <v>859</v>
      </c>
      <c r="M83" s="414">
        <v>10</v>
      </c>
      <c r="N83" s="401"/>
      <c r="O83" s="387"/>
      <c r="P83" s="387"/>
      <c r="Q83" s="388">
        <v>4.836230031948882</v>
      </c>
      <c r="R83" s="389">
        <v>0.1731215381275698</v>
      </c>
      <c r="S83" s="390">
        <v>0.02340070276870935</v>
      </c>
      <c r="T83" s="390">
        <v>0.02703915069653849</v>
      </c>
      <c r="U83" s="390">
        <v>0.05944700460829493</v>
      </c>
      <c r="V83" s="391">
        <v>13893.695920889988</v>
      </c>
      <c r="W83" s="390">
        <v>0.020225</v>
      </c>
      <c r="X83" s="391">
        <v>23.75</v>
      </c>
      <c r="Y83" s="392">
        <v>113.1711814987415</v>
      </c>
      <c r="Z83" s="391">
        <v>80254</v>
      </c>
      <c r="AA83" s="391">
        <v>1878</v>
      </c>
      <c r="AB83" s="391">
        <v>281</v>
      </c>
      <c r="AC83" s="391">
        <v>2170</v>
      </c>
      <c r="AD83" s="391">
        <v>129</v>
      </c>
      <c r="AE83" s="391">
        <v>7</v>
      </c>
      <c r="AF83" s="391">
        <v>2</v>
      </c>
      <c r="AG83" s="391">
        <v>76</v>
      </c>
    </row>
    <row r="84">
      <c r="A84" s="380" t="s">
        <v>886</v>
      </c>
      <c r="B84" s="381" t="s">
        <v>851</v>
      </c>
      <c r="C84" s="382" t="s">
        <v>852</v>
      </c>
      <c r="D84" s="383">
        <v>4</v>
      </c>
      <c r="E84" s="393">
        <v>13</v>
      </c>
      <c r="F84" s="393">
        <v>17</v>
      </c>
      <c r="G84" s="393">
        <v>41021.56999999999</v>
      </c>
      <c r="H84" s="394">
        <v>9622.55</v>
      </c>
      <c r="I84" s="385">
        <f t="shared" si="22"/>
      </c>
      <c r="J84" s="385">
        <f t="shared" si="15"/>
      </c>
      <c r="K84" s="385">
        <f t="shared" si="37"/>
      </c>
      <c r="L84" s="402"/>
      <c r="M84" s="414"/>
      <c r="N84" s="387"/>
      <c r="O84" s="387"/>
      <c r="P84" s="387"/>
      <c r="Q84" s="384">
        <v>9.452406679764243</v>
      </c>
      <c r="R84" s="390">
        <v>0.1844444471769548</v>
      </c>
      <c r="S84" s="389">
        <v>0.015334096523468097</v>
      </c>
      <c r="T84" s="390">
        <v>0.016403566909682473</v>
      </c>
      <c r="U84" s="389">
        <v>0.22130394857667585</v>
      </c>
      <c r="V84" s="391">
        <v>12244.897959183674</v>
      </c>
      <c r="W84" s="390">
        <v>0.01715</v>
      </c>
      <c r="X84" s="391">
        <v>41.75</v>
      </c>
      <c r="Y84" s="392">
        <v>144.9441164065795</v>
      </c>
      <c r="Z84" s="391">
        <v>66388</v>
      </c>
      <c r="AA84" s="391">
        <v>1018</v>
      </c>
      <c r="AB84" s="391">
        <v>210</v>
      </c>
      <c r="AC84" s="391">
        <v>1089</v>
      </c>
      <c r="AD84" s="391">
        <v>241</v>
      </c>
      <c r="AE84" s="391">
        <v>12</v>
      </c>
      <c r="AF84" s="391">
        <v>5</v>
      </c>
      <c r="AG84" s="391">
        <v>38</v>
      </c>
    </row>
    <row r="85">
      <c r="A85" s="380" t="s">
        <v>886</v>
      </c>
      <c r="B85" s="381" t="s">
        <v>853</v>
      </c>
      <c r="C85" s="382" t="s">
        <v>854</v>
      </c>
      <c r="D85" s="380">
        <v>4</v>
      </c>
      <c r="E85" s="396">
        <v>12</v>
      </c>
      <c r="F85" s="396">
        <v>14</v>
      </c>
      <c r="G85" s="397">
        <v>32953.729999999996</v>
      </c>
      <c r="H85" s="397">
        <v>11834.11</v>
      </c>
      <c r="I85" s="398">
        <f t="shared" si="22"/>
      </c>
      <c r="J85" s="385">
        <f>G86/F86</f>
      </c>
      <c r="K85" s="399">
        <f>H86/F86</f>
      </c>
      <c r="L85" s="400"/>
      <c r="M85" s="400"/>
      <c r="N85" s="401"/>
      <c r="O85" s="387"/>
      <c r="P85" s="387"/>
      <c r="Q85" s="384">
        <v>9.384702616970658</v>
      </c>
      <c r="R85" s="390">
        <v>0.15288437970147487</v>
      </c>
      <c r="S85" s="390">
        <v>0.012822729075360226</v>
      </c>
      <c r="T85" s="390">
        <v>0.013270151818671765</v>
      </c>
      <c r="U85" s="390">
        <v>0.14482758620689656</v>
      </c>
      <c r="V85" s="391">
        <v>15034.802784222738</v>
      </c>
      <c r="W85" s="390">
        <v>0.02155</v>
      </c>
      <c r="X85" s="391">
        <v>54.5</v>
      </c>
      <c r="Y85" s="392">
        <v>120.33749911023888</v>
      </c>
      <c r="Z85" s="391">
        <v>98341</v>
      </c>
      <c r="AA85" s="391">
        <v>1261</v>
      </c>
      <c r="AB85" s="391">
        <v>324</v>
      </c>
      <c r="AC85" s="391">
        <v>1305</v>
      </c>
      <c r="AD85" s="391">
        <v>189</v>
      </c>
      <c r="AE85" s="391">
        <v>11</v>
      </c>
      <c r="AF85" s="391">
        <v>1</v>
      </c>
      <c r="AG85" s="391">
        <v>84</v>
      </c>
    </row>
    <row r="86">
      <c r="A86" s="380" t="s">
        <v>886</v>
      </c>
      <c r="B86" s="381" t="s">
        <v>855</v>
      </c>
      <c r="C86" s="382" t="s">
        <v>856</v>
      </c>
      <c r="D86" s="383">
        <v>4</v>
      </c>
      <c r="E86" s="402">
        <v>10</v>
      </c>
      <c r="F86" s="402">
        <v>12</v>
      </c>
      <c r="G86" s="402">
        <v>30785.12999999999</v>
      </c>
      <c r="H86" s="403">
        <v>11750.24</v>
      </c>
      <c r="I86" s="385">
        <f t="shared" si="22"/>
      </c>
      <c r="J86" s="385">
        <f t="shared" ref="J86:J90" si="16">G86/F86</f>
      </c>
      <c r="K86" s="399">
        <f t="shared" ref="K86:K90" si="38">H86/F86</f>
      </c>
      <c r="L86" s="404"/>
      <c r="M86" s="404"/>
      <c r="N86" s="401"/>
      <c r="O86" s="387"/>
      <c r="P86" s="387"/>
      <c r="Q86" s="384">
        <v>10.740621572212065</v>
      </c>
      <c r="R86" s="390">
        <v>0.11116355231667878</v>
      </c>
      <c r="S86" s="390">
        <v>0.01311593334132598</v>
      </c>
      <c r="T86" s="390">
        <v>0.013487591415897374</v>
      </c>
      <c r="U86" s="390">
        <v>0.15911111111111112</v>
      </c>
      <c r="V86" s="391">
        <v>9272.151898734177</v>
      </c>
      <c r="W86" s="390">
        <v>0.0316</v>
      </c>
      <c r="X86" s="391">
        <v>62.25</v>
      </c>
      <c r="Y86" s="392">
        <v>140.8732765855413</v>
      </c>
      <c r="Z86" s="391">
        <v>83410</v>
      </c>
      <c r="AA86" s="391">
        <v>1094</v>
      </c>
      <c r="AB86" s="391">
        <v>293</v>
      </c>
      <c r="AC86" s="391">
        <v>1125</v>
      </c>
      <c r="AD86" s="391">
        <v>179</v>
      </c>
      <c r="AE86" s="391">
        <v>12</v>
      </c>
      <c r="AF86" s="391">
        <v>4</v>
      </c>
      <c r="AG86" s="391">
        <v>60</v>
      </c>
    </row>
    <row r="87">
      <c r="A87" s="380" t="s">
        <v>886</v>
      </c>
      <c r="B87" s="381" t="s">
        <v>848</v>
      </c>
      <c r="C87" s="382" t="s">
        <v>858</v>
      </c>
      <c r="D87" s="383">
        <v>4</v>
      </c>
      <c r="E87" s="383">
        <v>12</v>
      </c>
      <c r="F87" s="383">
        <v>12</v>
      </c>
      <c r="G87" s="383">
        <v>33474.869999999995</v>
      </c>
      <c r="H87" s="384">
        <v>7965.969999999999</v>
      </c>
      <c r="I87" s="385">
        <f t="shared" si="22"/>
      </c>
      <c r="J87" s="385">
        <f t="shared" si="16"/>
      </c>
      <c r="K87" s="399">
        <f t="shared" si="38"/>
      </c>
      <c r="L87" s="383" t="s">
        <v>850</v>
      </c>
      <c r="M87" s="386">
        <v>10</v>
      </c>
      <c r="N87" s="401"/>
      <c r="O87" s="387"/>
      <c r="P87" s="387"/>
      <c r="Q87" s="392">
        <v>6.638308333333333</v>
      </c>
      <c r="R87" s="390">
        <v>0.18858109457423028</v>
      </c>
      <c r="S87" s="390">
        <v>0.017603825898161868</v>
      </c>
      <c r="T87" s="390">
        <v>0.01940821805272346</v>
      </c>
      <c r="U87" s="390">
        <v>0.13529856386999245</v>
      </c>
      <c r="V87" s="391">
        <v>12855.007473841555</v>
      </c>
      <c r="W87" s="390">
        <v>0.016725</v>
      </c>
      <c r="X87" s="391">
        <v>66.75</v>
      </c>
      <c r="Y87" s="392">
        <v>116.85962415831706</v>
      </c>
      <c r="Z87" s="391">
        <v>68167</v>
      </c>
      <c r="AA87" s="391">
        <v>1200</v>
      </c>
      <c r="AB87" s="391">
        <v>215</v>
      </c>
      <c r="AC87" s="391">
        <v>1323</v>
      </c>
      <c r="AD87" s="391">
        <v>179</v>
      </c>
      <c r="AE87" s="391">
        <v>5</v>
      </c>
      <c r="AF87" s="391">
        <v>0</v>
      </c>
      <c r="AG87" s="405">
        <v>53</v>
      </c>
    </row>
    <row r="88">
      <c r="A88" s="406" t="s">
        <v>886</v>
      </c>
      <c r="B88" s="407" t="s">
        <v>860</v>
      </c>
      <c r="C88" s="408"/>
      <c r="D88" s="408">
        <f>SUM(D83:D87)</f>
      </c>
      <c r="E88" s="408">
        <f>SUM(E83:E87)</f>
      </c>
      <c r="F88" s="408">
        <f>SUM(F83:F87)</f>
      </c>
      <c r="G88" s="408">
        <f>SUM(G83:G87)</f>
      </c>
      <c r="H88" s="408">
        <f>SUM(H83:H87)</f>
      </c>
      <c r="I88" s="409">
        <f t="shared" si="22"/>
      </c>
      <c r="J88" s="409">
        <f t="shared" si="16"/>
      </c>
      <c r="K88" s="409">
        <f t="shared" si="38"/>
      </c>
      <c r="L88" s="408"/>
      <c r="M88" s="410">
        <f>SUM(M83:M87)</f>
      </c>
      <c r="N88" s="408"/>
      <c r="O88" s="408"/>
      <c r="P88" s="408"/>
      <c r="Q88" s="411">
        <f>AVERAGE(Q83:Q87)</f>
      </c>
      <c r="R88" s="412">
        <f>AVERAGE(R83:R87)</f>
      </c>
      <c r="S88" s="412">
        <f>AVERAGE(S83:S87)</f>
      </c>
      <c r="T88" s="412">
        <f>AVERAGE(T83:T87)</f>
      </c>
      <c r="U88" s="412">
        <f>AVERAGE(U83:U87)</f>
      </c>
      <c r="V88" s="413">
        <f>SUM(V83:V87)</f>
      </c>
      <c r="W88" s="412">
        <f>AVERAGE(W83:W87)</f>
      </c>
      <c r="X88" s="413"/>
      <c r="Y88" s="411">
        <f>AVERAGE(Y83:Y87)</f>
      </c>
      <c r="Z88" s="413">
        <f>SUM(Z83:Z87)</f>
      </c>
      <c r="AA88" s="413">
        <f>SUM(AA83:AA87)</f>
      </c>
      <c r="AB88" s="413">
        <f>SUM(AB83:AB87)</f>
      </c>
      <c r="AC88" s="413">
        <f>SUM(AC83:AC87)</f>
      </c>
      <c r="AD88" s="413">
        <f>SUM(AD83:AD87)</f>
      </c>
      <c r="AE88" s="413">
        <f>SUM(AE83:AE87)</f>
      </c>
      <c r="AF88" s="413">
        <f>SUM(AF83:AF87)</f>
      </c>
      <c r="AG88" s="413">
        <f>SUM(AG83:AG87)</f>
      </c>
    </row>
    <row r="89">
      <c r="A89" s="380" t="s">
        <v>887</v>
      </c>
      <c r="B89" s="381" t="s">
        <v>853</v>
      </c>
      <c r="C89" s="382" t="s">
        <v>879</v>
      </c>
      <c r="D89" s="383">
        <v>5</v>
      </c>
      <c r="E89" s="383">
        <v>16</v>
      </c>
      <c r="F89" s="383">
        <v>20</v>
      </c>
      <c r="G89" s="383">
        <v>47204.250000000015</v>
      </c>
      <c r="H89" s="384">
        <v>16694.29</v>
      </c>
      <c r="I89" s="385">
        <f t="shared" si="22"/>
      </c>
      <c r="J89" s="385">
        <f t="shared" si="16"/>
      </c>
      <c r="K89" s="399">
        <f t="shared" si="38"/>
      </c>
      <c r="L89" s="402" t="s">
        <v>859</v>
      </c>
      <c r="M89" s="414">
        <v>10</v>
      </c>
      <c r="N89" s="401"/>
      <c r="O89" s="387"/>
      <c r="P89" s="387"/>
      <c r="Q89" s="388">
        <v>5.392212532299742</v>
      </c>
      <c r="R89" s="389">
        <v>0.14273850719775275</v>
      </c>
      <c r="S89" s="390">
        <v>0.01874648049360888</v>
      </c>
      <c r="T89" s="390">
        <v>0.019915107992079975</v>
      </c>
      <c r="U89" s="390">
        <v>0.12648221343873517</v>
      </c>
      <c r="V89" s="391">
        <v>23573.407202216065</v>
      </c>
      <c r="W89" s="390">
        <v>0.0361</v>
      </c>
      <c r="X89" s="391">
        <v>53.6</v>
      </c>
      <c r="Y89" s="392">
        <v>101.08500705415045</v>
      </c>
      <c r="Z89" s="391">
        <v>165151</v>
      </c>
      <c r="AA89" s="391">
        <v>3096</v>
      </c>
      <c r="AB89" s="391">
        <v>851</v>
      </c>
      <c r="AC89" s="391">
        <v>3289</v>
      </c>
      <c r="AD89" s="391">
        <v>416</v>
      </c>
      <c r="AE89" s="391">
        <v>39</v>
      </c>
      <c r="AF89" s="391">
        <v>8</v>
      </c>
      <c r="AG89" s="391">
        <v>296</v>
      </c>
    </row>
    <row r="90">
      <c r="A90" s="380" t="s">
        <v>887</v>
      </c>
      <c r="B90" s="381" t="s">
        <v>851</v>
      </c>
      <c r="C90" s="382" t="s">
        <v>880</v>
      </c>
      <c r="D90" s="383">
        <v>5</v>
      </c>
      <c r="E90" s="393">
        <v>17</v>
      </c>
      <c r="F90" s="393">
        <v>20</v>
      </c>
      <c r="G90" s="393">
        <v>57964.94</v>
      </c>
      <c r="H90" s="394">
        <v>14965.130000000001</v>
      </c>
      <c r="I90" s="385">
        <f t="shared" si="22"/>
      </c>
      <c r="J90" s="385">
        <f t="shared" si="16"/>
      </c>
      <c r="K90" s="385">
        <f t="shared" si="38"/>
      </c>
      <c r="L90" s="402"/>
      <c r="M90" s="414"/>
      <c r="N90" s="387"/>
      <c r="O90" s="387"/>
      <c r="P90" s="387"/>
      <c r="Q90" s="384">
        <v>8.517433124644281</v>
      </c>
      <c r="R90" s="390">
        <v>0.13159261023215135</v>
      </c>
      <c r="S90" s="389">
        <v>0.013672087775270406</v>
      </c>
      <c r="T90" s="390">
        <v>0.013913314138977511</v>
      </c>
      <c r="U90" s="389">
        <v>0.21085011185682326</v>
      </c>
      <c r="V90" s="391">
        <v>16910.96634093377</v>
      </c>
      <c r="W90" s="390">
        <v>0.03684</v>
      </c>
      <c r="X90" s="391">
        <v>60.2</v>
      </c>
      <c r="Y90" s="392">
        <v>116.4510933001323</v>
      </c>
      <c r="Z90" s="391">
        <v>128510</v>
      </c>
      <c r="AA90" s="391">
        <v>1757</v>
      </c>
      <c r="AB90" s="391">
        <v>623</v>
      </c>
      <c r="AC90" s="391">
        <v>1788</v>
      </c>
      <c r="AD90" s="391">
        <v>377</v>
      </c>
      <c r="AE90" s="391">
        <v>18</v>
      </c>
      <c r="AF90" s="391">
        <v>9</v>
      </c>
      <c r="AG90" s="391">
        <v>139</v>
      </c>
    </row>
    <row r="91">
      <c r="A91" s="380" t="s">
        <v>887</v>
      </c>
      <c r="B91" s="381" t="s">
        <v>863</v>
      </c>
      <c r="C91" s="382" t="s">
        <v>881</v>
      </c>
      <c r="D91" s="380">
        <v>5</v>
      </c>
      <c r="E91" s="396">
        <v>15</v>
      </c>
      <c r="F91" s="396">
        <v>19</v>
      </c>
      <c r="G91" s="397">
        <v>47515.03</v>
      </c>
      <c r="H91" s="397">
        <v>13173.2</v>
      </c>
      <c r="I91" s="398">
        <f t="shared" si="22"/>
      </c>
      <c r="J91" s="385">
        <f>G92/F92</f>
      </c>
      <c r="K91" s="399">
        <f>H92/F92</f>
      </c>
      <c r="L91" s="400"/>
      <c r="M91" s="400"/>
      <c r="N91" s="401"/>
      <c r="O91" s="387"/>
      <c r="P91" s="387"/>
      <c r="Q91" s="384">
        <v>7.97409200968523</v>
      </c>
      <c r="R91" s="390">
        <v>0.1785520897960799</v>
      </c>
      <c r="S91" s="390">
        <v>0.01787317833147605</v>
      </c>
      <c r="T91" s="390">
        <v>0.018587239935518075</v>
      </c>
      <c r="U91" s="390">
        <v>0.19674039580908032</v>
      </c>
      <c r="V91" s="391">
        <v>16503.39110776187</v>
      </c>
      <c r="W91" s="390">
        <v>0.02654</v>
      </c>
      <c r="X91" s="391">
        <v>64.4</v>
      </c>
      <c r="Y91" s="392">
        <v>142.52236852070237</v>
      </c>
      <c r="Z91" s="391">
        <v>92429</v>
      </c>
      <c r="AA91" s="391">
        <v>1652</v>
      </c>
      <c r="AB91" s="391">
        <v>438</v>
      </c>
      <c r="AC91" s="391">
        <v>1718</v>
      </c>
      <c r="AD91" s="391">
        <v>338</v>
      </c>
      <c r="AE91" s="391">
        <v>30</v>
      </c>
      <c r="AF91" s="391">
        <v>16</v>
      </c>
      <c r="AG91" s="391">
        <v>86</v>
      </c>
    </row>
    <row r="92">
      <c r="A92" s="380" t="s">
        <v>887</v>
      </c>
      <c r="B92" s="381" t="s">
        <v>848</v>
      </c>
      <c r="C92" s="382" t="s">
        <v>882</v>
      </c>
      <c r="D92" s="383">
        <v>5</v>
      </c>
      <c r="E92" s="402">
        <v>20</v>
      </c>
      <c r="F92" s="402">
        <v>25</v>
      </c>
      <c r="G92" s="402">
        <v>64378.95999999998</v>
      </c>
      <c r="H92" s="403">
        <v>12432.3</v>
      </c>
      <c r="I92" s="385">
        <f t="shared" si="22"/>
      </c>
      <c r="J92" s="385">
        <f t="shared" ref="J92:J95" si="17">G92/F92</f>
      </c>
      <c r="K92" s="399">
        <f t="shared" ref="K92:K95" si="39">H92/F92</f>
      </c>
      <c r="L92" s="383" t="s">
        <v>850</v>
      </c>
      <c r="M92" s="386">
        <v>10</v>
      </c>
      <c r="N92" s="401"/>
      <c r="O92" s="387"/>
      <c r="P92" s="387"/>
      <c r="Q92" s="384">
        <v>5.308411614005124</v>
      </c>
      <c r="R92" s="390">
        <v>0.22899042406367293</v>
      </c>
      <c r="S92" s="390">
        <v>0.018337848630533848</v>
      </c>
      <c r="T92" s="390">
        <v>0.020123087523685735</v>
      </c>
      <c r="U92" s="390">
        <v>0.18054474708171206</v>
      </c>
      <c r="V92" s="391">
        <v>29245.283018867925</v>
      </c>
      <c r="W92" s="390">
        <v>0.01908</v>
      </c>
      <c r="X92" s="391">
        <v>65</v>
      </c>
      <c r="Y92" s="392">
        <v>97.34484864619384</v>
      </c>
      <c r="Z92" s="391">
        <v>127714</v>
      </c>
      <c r="AA92" s="391">
        <v>2342</v>
      </c>
      <c r="AB92" s="391">
        <v>558</v>
      </c>
      <c r="AC92" s="391">
        <v>2570</v>
      </c>
      <c r="AD92" s="391">
        <v>464</v>
      </c>
      <c r="AE92" s="391">
        <v>32</v>
      </c>
      <c r="AF92" s="391">
        <v>8</v>
      </c>
      <c r="AG92" s="391">
        <v>130</v>
      </c>
    </row>
    <row r="93">
      <c r="A93" s="406" t="s">
        <v>887</v>
      </c>
      <c r="B93" s="407" t="s">
        <v>860</v>
      </c>
      <c r="C93" s="408"/>
      <c r="D93" s="408">
        <f>SUM(D89:D92)</f>
      </c>
      <c r="E93" s="408">
        <f>SUM(E89:E92)</f>
      </c>
      <c r="F93" s="408">
        <f>SUM(F89:F92)</f>
      </c>
      <c r="G93" s="408">
        <f>SUM(G89:G92)</f>
      </c>
      <c r="H93" s="408">
        <f>SUM(H89:H92)</f>
      </c>
      <c r="I93" s="409">
        <f t="shared" si="22"/>
      </c>
      <c r="J93" s="409">
        <f t="shared" si="17"/>
      </c>
      <c r="K93" s="409">
        <f t="shared" si="39"/>
      </c>
      <c r="L93" s="408"/>
      <c r="M93" s="410">
        <f>SUM(M89:M92)</f>
      </c>
      <c r="N93" s="408"/>
      <c r="O93" s="408"/>
      <c r="P93" s="408"/>
      <c r="Q93" s="411">
        <f>AVERAGE(Q89:Q92)</f>
      </c>
      <c r="R93" s="412">
        <f>AVERAGE(R89:R92)</f>
      </c>
      <c r="S93" s="412">
        <f>AVERAGE(S89:S92)</f>
      </c>
      <c r="T93" s="412">
        <f>AVERAGE(T89:T92)</f>
      </c>
      <c r="U93" s="412">
        <f>AVERAGE(U89:U92)</f>
      </c>
      <c r="V93" s="413">
        <f>SUM(V89:V92)</f>
      </c>
      <c r="W93" s="412">
        <f>AVERAGE(W89:W92)</f>
      </c>
      <c r="X93" s="413"/>
      <c r="Y93" s="411">
        <f>AVERAGE(Y89:Y92)</f>
      </c>
      <c r="Z93" s="413">
        <f>SUM(Z89:Z92)</f>
      </c>
      <c r="AA93" s="413">
        <f>SUM(AA89:AA92)</f>
      </c>
      <c r="AB93" s="413">
        <f>SUM(AB89:AB92)</f>
      </c>
      <c r="AC93" s="413">
        <f>SUM(AC89:AC92)</f>
      </c>
      <c r="AD93" s="413">
        <f>SUM(AD89:AD92)</f>
      </c>
      <c r="AE93" s="413">
        <f>SUM(AE89:AE92)</f>
      </c>
      <c r="AF93" s="413">
        <f>SUM(AF89:AF92)</f>
      </c>
      <c r="AG93" s="413">
        <f>SUM(AG89:AG92)</f>
      </c>
    </row>
    <row r="94">
      <c r="A94" s="380" t="s">
        <v>888</v>
      </c>
      <c r="B94" s="381" t="s">
        <v>853</v>
      </c>
      <c r="C94" s="382" t="s">
        <v>879</v>
      </c>
      <c r="D94" s="383">
        <v>5</v>
      </c>
      <c r="E94" s="383">
        <v>12</v>
      </c>
      <c r="F94" s="383">
        <v>15</v>
      </c>
      <c r="G94" s="383">
        <v>34288.43</v>
      </c>
      <c r="H94" s="384">
        <v>13417.550000000003</v>
      </c>
      <c r="I94" s="385">
        <f t="shared" si="22"/>
      </c>
      <c r="J94" s="385">
        <f t="shared" si="17"/>
      </c>
      <c r="K94" s="399">
        <f t="shared" si="39"/>
      </c>
      <c r="L94" s="402" t="s">
        <v>859</v>
      </c>
      <c r="M94" s="414">
        <v>10</v>
      </c>
      <c r="N94" s="401"/>
      <c r="O94" s="387"/>
      <c r="P94" s="387"/>
      <c r="Q94" s="388">
        <v>5.42781148867314</v>
      </c>
      <c r="R94" s="389">
        <v>0.17728646303196655</v>
      </c>
      <c r="S94" s="390">
        <v>0.021579154118109206</v>
      </c>
      <c r="T94" s="390">
        <v>0.023892453406660557</v>
      </c>
      <c r="U94" s="390">
        <v>0.11508951406649616</v>
      </c>
      <c r="V94" s="391">
        <v>20309.050772626928</v>
      </c>
      <c r="W94" s="390">
        <v>0.027180000000000003</v>
      </c>
      <c r="X94" s="391">
        <v>38</v>
      </c>
      <c r="Y94" s="392">
        <v>117.12758063812146</v>
      </c>
      <c r="Z94" s="391">
        <v>114555</v>
      </c>
      <c r="AA94" s="391">
        <v>2472</v>
      </c>
      <c r="AB94" s="391">
        <v>552</v>
      </c>
      <c r="AC94" s="391">
        <v>2737</v>
      </c>
      <c r="AD94" s="391">
        <v>315</v>
      </c>
      <c r="AE94" s="391">
        <v>30</v>
      </c>
      <c r="AF94" s="391">
        <v>6</v>
      </c>
      <c r="AG94" s="391">
        <v>97</v>
      </c>
    </row>
    <row r="95">
      <c r="A95" s="380" t="s">
        <v>888</v>
      </c>
      <c r="B95" s="381" t="s">
        <v>855</v>
      </c>
      <c r="C95" s="382" t="s">
        <v>880</v>
      </c>
      <c r="D95" s="383">
        <v>5</v>
      </c>
      <c r="E95" s="393">
        <v>9</v>
      </c>
      <c r="F95" s="393">
        <v>9</v>
      </c>
      <c r="G95" s="393">
        <v>25031.690000000002</v>
      </c>
      <c r="H95" s="394">
        <v>14720.899999999998</v>
      </c>
      <c r="I95" s="385">
        <f t="shared" si="22"/>
      </c>
      <c r="J95" s="385">
        <f t="shared" si="17"/>
      </c>
      <c r="K95" s="385">
        <f t="shared" si="39"/>
      </c>
      <c r="L95" s="402"/>
      <c r="M95" s="414"/>
      <c r="N95" s="387"/>
      <c r="O95" s="387"/>
      <c r="P95" s="387"/>
      <c r="Q95" s="384">
        <v>9.485115979381442</v>
      </c>
      <c r="R95" s="390">
        <v>0.13999783191417323</v>
      </c>
      <c r="S95" s="389">
        <v>0.01390755775400111</v>
      </c>
      <c r="T95" s="390">
        <v>0.014176389411617111</v>
      </c>
      <c r="U95" s="389">
        <v>0.16940581542351454</v>
      </c>
      <c r="V95" s="391">
        <v>15622.918054630247</v>
      </c>
      <c r="W95" s="390">
        <v>0.030019999999999998</v>
      </c>
      <c r="X95" s="391">
        <v>58.8</v>
      </c>
      <c r="Y95" s="392">
        <v>131.9147982866462</v>
      </c>
      <c r="Z95" s="391">
        <v>111594</v>
      </c>
      <c r="AA95" s="391">
        <v>1552</v>
      </c>
      <c r="AB95" s="391">
        <v>469</v>
      </c>
      <c r="AC95" s="391">
        <v>1582</v>
      </c>
      <c r="AD95" s="391">
        <v>268</v>
      </c>
      <c r="AE95" s="391">
        <v>37</v>
      </c>
      <c r="AF95" s="391">
        <v>2</v>
      </c>
      <c r="AG95" s="391">
        <v>129</v>
      </c>
    </row>
    <row r="96">
      <c r="A96" s="380" t="s">
        <v>888</v>
      </c>
      <c r="B96" s="381" t="s">
        <v>851</v>
      </c>
      <c r="C96" s="382" t="s">
        <v>881</v>
      </c>
      <c r="D96" s="380">
        <v>5</v>
      </c>
      <c r="E96" s="396">
        <v>24</v>
      </c>
      <c r="F96" s="396">
        <v>27</v>
      </c>
      <c r="G96" s="397">
        <v>73559.34000000001</v>
      </c>
      <c r="H96" s="397">
        <v>14933.640000000001</v>
      </c>
      <c r="I96" s="398">
        <f t="shared" si="22"/>
      </c>
      <c r="J96" s="385">
        <f>G97/F97</f>
      </c>
      <c r="K96" s="399">
        <f>H97/F97</f>
      </c>
      <c r="L96" s="400"/>
      <c r="M96" s="400"/>
      <c r="N96" s="401"/>
      <c r="O96" s="387"/>
      <c r="P96" s="387"/>
      <c r="Q96" s="384">
        <v>8.485022727272728</v>
      </c>
      <c r="R96" s="390">
        <v>0.1811316040404476</v>
      </c>
      <c r="S96" s="390">
        <v>0.016672034556580718</v>
      </c>
      <c r="T96" s="390">
        <v>0.0177708731978099</v>
      </c>
      <c r="U96" s="390">
        <v>0.18976545842217485</v>
      </c>
      <c r="V96" s="391">
        <v>19121.33891213389</v>
      </c>
      <c r="W96" s="390">
        <v>0.0239</v>
      </c>
      <c r="X96" s="391">
        <v>61.8</v>
      </c>
      <c r="Y96" s="392">
        <v>141.4625921224637</v>
      </c>
      <c r="Z96" s="391">
        <v>105566</v>
      </c>
      <c r="AA96" s="391">
        <v>1760</v>
      </c>
      <c r="AB96" s="391">
        <v>457</v>
      </c>
      <c r="AC96" s="391">
        <v>1876</v>
      </c>
      <c r="AD96" s="391">
        <v>356</v>
      </c>
      <c r="AE96" s="391">
        <v>32</v>
      </c>
      <c r="AF96" s="391">
        <v>9</v>
      </c>
      <c r="AG96" s="391">
        <v>93</v>
      </c>
    </row>
    <row r="97">
      <c r="A97" s="380" t="s">
        <v>888</v>
      </c>
      <c r="B97" s="381" t="s">
        <v>863</v>
      </c>
      <c r="C97" s="382" t="s">
        <v>882</v>
      </c>
      <c r="D97" s="383">
        <v>5</v>
      </c>
      <c r="E97" s="402">
        <v>9</v>
      </c>
      <c r="F97" s="402">
        <v>11</v>
      </c>
      <c r="G97" s="402">
        <v>25746.210000000006</v>
      </c>
      <c r="H97" s="403">
        <v>11922.74</v>
      </c>
      <c r="I97" s="385">
        <f t="shared" si="22"/>
      </c>
      <c r="J97" s="385">
        <f t="shared" ref="J97:J100" si="18">G97/F97</f>
      </c>
      <c r="K97" s="399">
        <f t="shared" ref="K97:K100" si="40">H97/F97</f>
      </c>
      <c r="L97" s="383" t="s">
        <v>850</v>
      </c>
      <c r="M97" s="386">
        <v>10</v>
      </c>
      <c r="N97" s="401"/>
      <c r="O97" s="387"/>
      <c r="P97" s="387"/>
      <c r="Q97" s="384">
        <v>5.743131021194605</v>
      </c>
      <c r="R97" s="390">
        <v>0.1879</v>
      </c>
      <c r="S97" s="390">
        <v>0.0193</v>
      </c>
      <c r="T97" s="390">
        <v>0.0217</v>
      </c>
      <c r="U97" s="390">
        <v>0.1238</v>
      </c>
      <c r="V97" s="391">
        <v>20221</v>
      </c>
      <c r="W97" s="390">
        <v>0.0199</v>
      </c>
      <c r="X97" s="391">
        <v>64.2</v>
      </c>
      <c r="Y97" s="392">
        <v>110.77</v>
      </c>
      <c r="Z97" s="391">
        <v>107636</v>
      </c>
      <c r="AA97" s="391">
        <v>2076</v>
      </c>
      <c r="AB97" s="391">
        <v>402</v>
      </c>
      <c r="AC97" s="391">
        <v>2335</v>
      </c>
      <c r="AD97" s="391">
        <v>289</v>
      </c>
      <c r="AE97" s="391">
        <v>22</v>
      </c>
      <c r="AF97" s="391">
        <v>6</v>
      </c>
      <c r="AG97" s="391">
        <v>83</v>
      </c>
    </row>
    <row r="98">
      <c r="A98" s="406" t="s">
        <v>888</v>
      </c>
      <c r="B98" s="407" t="s">
        <v>860</v>
      </c>
      <c r="C98" s="408"/>
      <c r="D98" s="408">
        <f>SUM(D94:D97)</f>
      </c>
      <c r="E98" s="408">
        <f>SUM(E94:E97)</f>
      </c>
      <c r="F98" s="408">
        <f>SUM(F94:F97)</f>
      </c>
      <c r="G98" s="408">
        <f>SUM(G94:G97)</f>
      </c>
      <c r="H98" s="408">
        <f>SUM(H94:H97)</f>
      </c>
      <c r="I98" s="409">
        <f t="shared" si="22"/>
      </c>
      <c r="J98" s="409">
        <f t="shared" si="18"/>
      </c>
      <c r="K98" s="409">
        <f t="shared" si="40"/>
      </c>
      <c r="L98" s="408"/>
      <c r="M98" s="410">
        <f>SUM(M94:M97)</f>
      </c>
      <c r="N98" s="408"/>
      <c r="O98" s="408"/>
      <c r="P98" s="408"/>
      <c r="Q98" s="411">
        <f>AVERAGE(Q94:Q97)</f>
      </c>
      <c r="R98" s="412">
        <f>AVERAGE(R94:R97)</f>
      </c>
      <c r="S98" s="412">
        <f>AVERAGE(S94:S97)</f>
      </c>
      <c r="T98" s="412">
        <f>AVERAGE(T94:T97)</f>
      </c>
      <c r="U98" s="412">
        <f>AVERAGE(U94:U97)</f>
      </c>
      <c r="V98" s="413">
        <f>SUM(V94:V97)</f>
      </c>
      <c r="W98" s="412">
        <f>AVERAGE(W94:W97)</f>
      </c>
      <c r="X98" s="413"/>
      <c r="Y98" s="411">
        <f>AVERAGE(Y94:Y97)</f>
      </c>
      <c r="Z98" s="413">
        <f>SUM(Z94:Z97)</f>
      </c>
      <c r="AA98" s="413">
        <f>SUM(AA94:AA97)</f>
      </c>
      <c r="AB98" s="413">
        <f>SUM(AB94:AB97)</f>
      </c>
      <c r="AC98" s="413">
        <f>SUM(AC94:AC97)</f>
      </c>
      <c r="AD98" s="413">
        <f>SUM(AD94:AD97)</f>
      </c>
      <c r="AE98" s="413">
        <f>SUM(AE94:AE97)</f>
      </c>
      <c r="AF98" s="413">
        <f>SUM(AF94:AF97)</f>
      </c>
      <c r="AG98" s="413">
        <f>SUM(AG94:AG97)</f>
      </c>
    </row>
    <row r="99">
      <c r="A99" s="380" t="s">
        <v>889</v>
      </c>
      <c r="B99" s="381" t="s">
        <v>848</v>
      </c>
      <c r="C99" s="382" t="s">
        <v>879</v>
      </c>
      <c r="D99" s="383">
        <v>5</v>
      </c>
      <c r="E99" s="383">
        <v>9</v>
      </c>
      <c r="F99" s="383">
        <v>13</v>
      </c>
      <c r="G99" s="383">
        <v>35822.31999999999</v>
      </c>
      <c r="H99" s="384">
        <v>13527.800000000001</v>
      </c>
      <c r="I99" s="385">
        <f t="shared" si="22"/>
      </c>
      <c r="J99" s="385">
        <f t="shared" si="18"/>
      </c>
      <c r="K99" s="399">
        <f t="shared" si="40"/>
      </c>
      <c r="L99" s="402" t="s">
        <v>859</v>
      </c>
      <c r="M99" s="414">
        <v>10</v>
      </c>
      <c r="N99" s="401"/>
      <c r="O99" s="387"/>
      <c r="P99" s="387"/>
      <c r="Q99" s="388">
        <v>5.629546400332917</v>
      </c>
      <c r="R99" s="389">
        <v>0.1480130452244897</v>
      </c>
      <c r="S99" s="390">
        <v>0.020552866111291673</v>
      </c>
      <c r="T99" s="390">
        <v>0.023614841170735045</v>
      </c>
      <c r="U99" s="390">
        <v>0.11843534951104673</v>
      </c>
      <c r="V99" s="391">
        <v>17305.389221556885</v>
      </c>
      <c r="W99" s="390">
        <v>0.0334</v>
      </c>
      <c r="X99" s="391">
        <v>45.2</v>
      </c>
      <c r="Y99" s="392">
        <v>115.70331343334645</v>
      </c>
      <c r="Z99" s="391">
        <v>116918</v>
      </c>
      <c r="AA99" s="391">
        <v>2403</v>
      </c>
      <c r="AB99" s="391">
        <v>578</v>
      </c>
      <c r="AC99" s="391">
        <v>2761</v>
      </c>
      <c r="AD99" s="391">
        <v>327</v>
      </c>
      <c r="AE99" s="391">
        <v>37</v>
      </c>
      <c r="AF99" s="391">
        <v>5</v>
      </c>
      <c r="AG99" s="391">
        <v>143</v>
      </c>
    </row>
    <row r="100">
      <c r="A100" s="380" t="s">
        <v>889</v>
      </c>
      <c r="B100" s="381" t="s">
        <v>851</v>
      </c>
      <c r="C100" s="382" t="s">
        <v>880</v>
      </c>
      <c r="D100" s="383">
        <v>5</v>
      </c>
      <c r="E100" s="393">
        <v>17</v>
      </c>
      <c r="F100" s="393">
        <v>19</v>
      </c>
      <c r="G100" s="393">
        <v>54575.259999999995</v>
      </c>
      <c r="H100" s="394">
        <v>10860.85</v>
      </c>
      <c r="I100" s="385">
        <f t="shared" si="22"/>
      </c>
      <c r="J100" s="385">
        <f t="shared" si="18"/>
      </c>
      <c r="K100" s="385">
        <f t="shared" si="40"/>
      </c>
      <c r="L100" s="402"/>
      <c r="M100" s="414"/>
      <c r="N100" s="387"/>
      <c r="O100" s="387"/>
      <c r="P100" s="387"/>
      <c r="Q100" s="384">
        <v>9.8735</v>
      </c>
      <c r="R100" s="390">
        <v>0.11334703979239086</v>
      </c>
      <c r="S100" s="389">
        <v>0.013634448052752919</v>
      </c>
      <c r="T100" s="390">
        <v>0.014130246163762116</v>
      </c>
      <c r="U100" s="389">
        <v>0.2982456140350877</v>
      </c>
      <c r="V100" s="391">
        <v>9144.61247637051</v>
      </c>
      <c r="W100" s="390">
        <v>0.04232</v>
      </c>
      <c r="X100" s="391">
        <v>54.6</v>
      </c>
      <c r="Y100" s="392">
        <v>134.61972284885596</v>
      </c>
      <c r="Z100" s="391">
        <v>80678</v>
      </c>
      <c r="AA100" s="391">
        <v>1100</v>
      </c>
      <c r="AB100" s="391">
        <v>387</v>
      </c>
      <c r="AC100" s="391">
        <v>1140</v>
      </c>
      <c r="AD100" s="391">
        <v>340</v>
      </c>
      <c r="AE100" s="391">
        <v>21</v>
      </c>
      <c r="AF100" s="391">
        <v>3</v>
      </c>
      <c r="AG100" s="391">
        <v>86</v>
      </c>
    </row>
    <row r="101">
      <c r="A101" s="380" t="s">
        <v>889</v>
      </c>
      <c r="B101" s="381" t="s">
        <v>855</v>
      </c>
      <c r="C101" s="382" t="s">
        <v>881</v>
      </c>
      <c r="D101" s="380">
        <v>5</v>
      </c>
      <c r="E101" s="396">
        <v>15</v>
      </c>
      <c r="F101" s="396">
        <v>18</v>
      </c>
      <c r="G101" s="397">
        <v>44068.060000000005</v>
      </c>
      <c r="H101" s="397">
        <v>13882.809999999998</v>
      </c>
      <c r="I101" s="398">
        <f t="shared" si="22"/>
      </c>
      <c r="J101" s="385">
        <f>G102/F102</f>
      </c>
      <c r="K101" s="399">
        <f>H102/F102</f>
      </c>
      <c r="L101" s="400"/>
      <c r="M101" s="400"/>
      <c r="N101" s="401"/>
      <c r="O101" s="387"/>
      <c r="P101" s="387"/>
      <c r="Q101" s="384">
        <v>8.156762632197413</v>
      </c>
      <c r="R101" s="390">
        <v>0.16296404987089483</v>
      </c>
      <c r="S101" s="390">
        <v>0.016630838381864372</v>
      </c>
      <c r="T101" s="390">
        <v>0.01788157123314442</v>
      </c>
      <c r="U101" s="390">
        <v>0.1825136612021858</v>
      </c>
      <c r="V101" s="391">
        <v>16677.740863787378</v>
      </c>
      <c r="W101" s="390">
        <v>0.030099999999999995</v>
      </c>
      <c r="X101" s="391">
        <v>60.4</v>
      </c>
      <c r="Y101" s="392">
        <v>135.65380105530582</v>
      </c>
      <c r="Z101" s="391">
        <v>102340</v>
      </c>
      <c r="AA101" s="391">
        <v>1702</v>
      </c>
      <c r="AB101" s="391">
        <v>502</v>
      </c>
      <c r="AC101" s="391">
        <v>1830</v>
      </c>
      <c r="AD101" s="391">
        <v>334</v>
      </c>
      <c r="AE101" s="391">
        <v>32</v>
      </c>
      <c r="AF101" s="391">
        <v>8</v>
      </c>
      <c r="AG101" s="391">
        <v>149</v>
      </c>
    </row>
    <row r="102">
      <c r="A102" s="380" t="s">
        <v>889</v>
      </c>
      <c r="B102" s="381" t="s">
        <v>863</v>
      </c>
      <c r="C102" s="382" t="s">
        <v>882</v>
      </c>
      <c r="D102" s="383">
        <v>5</v>
      </c>
      <c r="E102" s="402">
        <v>20</v>
      </c>
      <c r="F102" s="402">
        <v>22</v>
      </c>
      <c r="G102" s="402">
        <v>50517.990000000005</v>
      </c>
      <c r="H102" s="403">
        <v>14047.73</v>
      </c>
      <c r="I102" s="385">
        <f t="shared" si="22"/>
      </c>
      <c r="J102" s="385">
        <f t="shared" ref="J102:J145" si="19">G102/F102</f>
      </c>
      <c r="K102" s="399">
        <f t="shared" ref="K102:K145" si="41">H102/F102</f>
      </c>
      <c r="L102" s="383" t="s">
        <v>850</v>
      </c>
      <c r="M102" s="386">
        <v>10</v>
      </c>
      <c r="N102" s="401"/>
      <c r="O102" s="387"/>
      <c r="P102" s="387"/>
      <c r="Q102" s="384">
        <v>5.583358505564388</v>
      </c>
      <c r="R102" s="390">
        <v>0.1553</v>
      </c>
      <c r="S102" s="390">
        <v>0.0188</v>
      </c>
      <c r="T102" s="390">
        <v>0.023</v>
      </c>
      <c r="U102" s="390">
        <v>0.1238</v>
      </c>
      <c r="V102" s="391">
        <v>20736</v>
      </c>
      <c r="W102" s="390">
        <v>0.0231</v>
      </c>
      <c r="X102" s="391">
        <v>62.6</v>
      </c>
      <c r="Y102" s="392">
        <v>105.19</v>
      </c>
      <c r="Z102" s="391">
        <v>133544</v>
      </c>
      <c r="AA102" s="391">
        <v>2516</v>
      </c>
      <c r="AB102" s="391">
        <v>479</v>
      </c>
      <c r="AC102" s="391">
        <v>3070</v>
      </c>
      <c r="AD102" s="391">
        <v>380</v>
      </c>
      <c r="AE102" s="391">
        <v>34</v>
      </c>
      <c r="AF102" s="391">
        <v>9</v>
      </c>
      <c r="AG102" s="391">
        <v>146</v>
      </c>
    </row>
    <row r="103">
      <c r="A103" s="406" t="s">
        <v>889</v>
      </c>
      <c r="B103" s="407" t="s">
        <v>860</v>
      </c>
      <c r="C103" s="408"/>
      <c r="D103" s="408">
        <f>SUM(D99:D102)</f>
      </c>
      <c r="E103" s="408">
        <f>SUM(E99:E102)</f>
      </c>
      <c r="F103" s="408">
        <f>SUM(F99:F102)</f>
      </c>
      <c r="G103" s="408">
        <f>SUM(G99:G102)</f>
      </c>
      <c r="H103" s="408">
        <f>SUM(H99:H102)</f>
      </c>
      <c r="I103" s="409">
        <f t="shared" si="22"/>
      </c>
      <c r="J103" s="409">
        <f t="shared" si="19"/>
      </c>
      <c r="K103" s="409">
        <f t="shared" si="41"/>
      </c>
      <c r="L103" s="408"/>
      <c r="M103" s="410">
        <f>SUM(M99:M102)</f>
      </c>
      <c r="N103" s="408"/>
      <c r="O103" s="408"/>
      <c r="P103" s="408"/>
      <c r="Q103" s="411">
        <f>AVERAGE(Q99:Q102)</f>
      </c>
      <c r="R103" s="412">
        <f>AVERAGE(R99:R102)</f>
      </c>
      <c r="S103" s="412">
        <f>AVERAGE(S99:S102)</f>
      </c>
      <c r="T103" s="412">
        <f>AVERAGE(T99:T102)</f>
      </c>
      <c r="U103" s="412">
        <f>AVERAGE(U99:U102)</f>
      </c>
      <c r="V103" s="413">
        <f>SUM(V99:V102)</f>
      </c>
      <c r="W103" s="412">
        <f>AVERAGE(W99:W102)</f>
      </c>
      <c r="X103" s="413"/>
      <c r="Y103" s="411">
        <f>AVERAGE(Y99:Y102)</f>
      </c>
      <c r="Z103" s="413">
        <f>SUM(Z99:Z102)</f>
      </c>
      <c r="AA103" s="413">
        <f>SUM(AA99:AA102)</f>
      </c>
      <c r="AB103" s="413">
        <f>SUM(AB99:AB102)</f>
      </c>
      <c r="AC103" s="413">
        <f>SUM(AC99:AC102)</f>
      </c>
      <c r="AD103" s="413">
        <f>SUM(AD99:AD102)</f>
      </c>
      <c r="AE103" s="413">
        <f>SUM(AE99:AE102)</f>
      </c>
      <c r="AF103" s="413">
        <f>SUM(AF99:AF102)</f>
      </c>
      <c r="AG103" s="413">
        <f>SUM(AG99:AG102)</f>
      </c>
    </row>
    <row r="104">
      <c r="A104" s="380" t="s">
        <v>890</v>
      </c>
      <c r="B104" s="381" t="s">
        <v>851</v>
      </c>
      <c r="C104" s="382" t="s">
        <v>879</v>
      </c>
      <c r="D104" s="383">
        <v>5</v>
      </c>
      <c r="E104" s="383">
        <v>14</v>
      </c>
      <c r="F104" s="383">
        <v>18</v>
      </c>
      <c r="G104" s="383">
        <v>46342.76999999999</v>
      </c>
      <c r="H104" s="384">
        <v>15088.67</v>
      </c>
      <c r="I104" s="385">
        <f t="shared" si="22"/>
      </c>
      <c r="J104" s="385">
        <f t="shared" si="19"/>
      </c>
      <c r="K104" s="399">
        <f t="shared" si="41"/>
      </c>
      <c r="L104" s="402" t="s">
        <v>859</v>
      </c>
      <c r="M104" s="414">
        <v>10</v>
      </c>
      <c r="N104" s="401"/>
      <c r="O104" s="387"/>
      <c r="P104" s="387"/>
      <c r="Q104" s="388">
        <v>5.394590632820879</v>
      </c>
      <c r="R104" s="389">
        <v>0.12487018735755592</v>
      </c>
      <c r="S104" s="390">
        <v>0.018092201012956267</v>
      </c>
      <c r="T104" s="390">
        <v>0.02190210676791917</v>
      </c>
      <c r="U104" s="390">
        <v>0.13496751329001772</v>
      </c>
      <c r="V104" s="391">
        <v>19304.556354916072</v>
      </c>
      <c r="W104" s="390">
        <v>0.033359999999999994</v>
      </c>
      <c r="X104" s="391">
        <v>41.8</v>
      </c>
      <c r="Y104" s="392">
        <v>97.6000181116063</v>
      </c>
      <c r="Z104" s="391">
        <v>154597</v>
      </c>
      <c r="AA104" s="391">
        <v>2797</v>
      </c>
      <c r="AB104" s="391">
        <v>644</v>
      </c>
      <c r="AC104" s="391">
        <v>3386</v>
      </c>
      <c r="AD104" s="391">
        <v>457</v>
      </c>
      <c r="AE104" s="391">
        <v>33</v>
      </c>
      <c r="AF104" s="391">
        <v>2</v>
      </c>
      <c r="AG104" s="391">
        <v>190</v>
      </c>
    </row>
    <row r="105">
      <c r="A105" s="380" t="s">
        <v>890</v>
      </c>
      <c r="B105" s="381" t="s">
        <v>848</v>
      </c>
      <c r="C105" s="382" t="s">
        <v>880</v>
      </c>
      <c r="D105" s="383">
        <v>5</v>
      </c>
      <c r="E105" s="393">
        <v>12</v>
      </c>
      <c r="F105" s="393">
        <v>17</v>
      </c>
      <c r="G105" s="393">
        <v>46633.19</v>
      </c>
      <c r="H105" s="394">
        <v>11661.08</v>
      </c>
      <c r="I105" s="385">
        <f t="shared" si="22"/>
      </c>
      <c r="J105" s="385">
        <f t="shared" si="19"/>
      </c>
      <c r="K105" s="385">
        <f t="shared" si="41"/>
      </c>
      <c r="L105" s="402"/>
      <c r="M105" s="414"/>
      <c r="N105" s="387"/>
      <c r="O105" s="387"/>
      <c r="P105" s="387"/>
      <c r="Q105" s="384">
        <v>7.292732958098811</v>
      </c>
      <c r="R105" s="390">
        <v>0.133913509866173</v>
      </c>
      <c r="S105" s="389">
        <v>0.013832538906719033</v>
      </c>
      <c r="T105" s="390">
        <v>0.014732216233985311</v>
      </c>
      <c r="U105" s="389">
        <v>0.13211978860833823</v>
      </c>
      <c r="V105" s="391">
        <v>15480</v>
      </c>
      <c r="W105" s="390">
        <v>0.025</v>
      </c>
      <c r="X105" s="391">
        <v>51.6</v>
      </c>
      <c r="Y105" s="392">
        <v>100.87701237921398</v>
      </c>
      <c r="Z105" s="391">
        <v>115597</v>
      </c>
      <c r="AA105" s="391">
        <v>1599</v>
      </c>
      <c r="AB105" s="391">
        <v>387</v>
      </c>
      <c r="AC105" s="391">
        <v>1703</v>
      </c>
      <c r="AD105" s="391">
        <v>225</v>
      </c>
      <c r="AE105" s="391">
        <v>12</v>
      </c>
      <c r="AF105" s="391">
        <v>7</v>
      </c>
      <c r="AG105" s="391">
        <v>115</v>
      </c>
    </row>
    <row r="106">
      <c r="A106" s="380" t="s">
        <v>890</v>
      </c>
      <c r="B106" s="381" t="s">
        <v>855</v>
      </c>
      <c r="C106" s="382" t="s">
        <v>881</v>
      </c>
      <c r="D106" s="380">
        <v>5</v>
      </c>
      <c r="E106" s="396">
        <v>8</v>
      </c>
      <c r="F106" s="396">
        <v>11</v>
      </c>
      <c r="G106" s="396">
        <v>30996.97</v>
      </c>
      <c r="H106" s="396">
        <v>11453</v>
      </c>
      <c r="I106" s="398">
        <f t="shared" si="22"/>
      </c>
      <c r="J106" s="385">
        <f t="shared" si="19"/>
      </c>
      <c r="K106" s="385">
        <f t="shared" si="41"/>
      </c>
      <c r="L106" s="400"/>
      <c r="M106" s="400"/>
      <c r="N106" s="401"/>
      <c r="O106" s="387"/>
      <c r="P106" s="387"/>
      <c r="Q106" s="384">
        <v>4.393172228615267</v>
      </c>
      <c r="R106" s="390">
        <v>0.197428323477937</v>
      </c>
      <c r="S106" s="390">
        <v>0.02391128884323293</v>
      </c>
      <c r="T106" s="390">
        <v>0.027983637230803098</v>
      </c>
      <c r="U106" s="390">
        <v>0.06227466404457555</v>
      </c>
      <c r="V106" s="391">
        <v>21525.215252152517</v>
      </c>
      <c r="W106" s="390">
        <v>0.016260000000000004</v>
      </c>
      <c r="X106" s="391">
        <v>44</v>
      </c>
      <c r="Y106" s="392">
        <v>105.04641009648897</v>
      </c>
      <c r="Z106" s="391">
        <v>109028</v>
      </c>
      <c r="AA106" s="391">
        <v>2607</v>
      </c>
      <c r="AB106" s="391">
        <v>350</v>
      </c>
      <c r="AC106" s="391">
        <v>3051</v>
      </c>
      <c r="AD106" s="391">
        <v>190</v>
      </c>
      <c r="AE106" s="391">
        <v>14</v>
      </c>
      <c r="AF106" s="391">
        <v>4</v>
      </c>
      <c r="AG106" s="391">
        <v>72</v>
      </c>
    </row>
    <row r="107">
      <c r="A107" s="380" t="s">
        <v>890</v>
      </c>
      <c r="B107" s="381" t="s">
        <v>853</v>
      </c>
      <c r="C107" s="382" t="s">
        <v>882</v>
      </c>
      <c r="D107" s="383">
        <v>5</v>
      </c>
      <c r="E107" s="402">
        <v>14</v>
      </c>
      <c r="F107" s="402">
        <v>16</v>
      </c>
      <c r="G107" s="402">
        <v>40649.46</v>
      </c>
      <c r="H107" s="403">
        <v>13946.78</v>
      </c>
      <c r="I107" s="385">
        <f t="shared" si="22"/>
      </c>
      <c r="J107" s="385">
        <f t="shared" si="19"/>
      </c>
      <c r="K107" s="399">
        <f t="shared" si="41"/>
      </c>
      <c r="L107" s="383" t="s">
        <v>891</v>
      </c>
      <c r="M107" s="386">
        <v>10</v>
      </c>
      <c r="N107" s="401"/>
      <c r="O107" s="387"/>
      <c r="P107" s="387"/>
      <c r="Q107" s="384">
        <v>5.6763451363451365</v>
      </c>
      <c r="R107" s="390">
        <v>0.14645131997799987</v>
      </c>
      <c r="S107" s="390">
        <v>0.017031039884657508</v>
      </c>
      <c r="T107" s="390">
        <v>0.018805539766819625</v>
      </c>
      <c r="U107" s="390">
        <v>0.1286398820493918</v>
      </c>
      <c r="V107" s="391">
        <v>21127.94612794613</v>
      </c>
      <c r="W107" s="390">
        <v>0.02376</v>
      </c>
      <c r="X107" s="391">
        <v>49</v>
      </c>
      <c r="Y107" s="392">
        <v>96.67406041617568</v>
      </c>
      <c r="Z107" s="391">
        <v>144266</v>
      </c>
      <c r="AA107" s="391">
        <v>2457</v>
      </c>
      <c r="AB107" s="391">
        <v>502</v>
      </c>
      <c r="AC107" s="391">
        <v>2713</v>
      </c>
      <c r="AD107" s="391">
        <v>349</v>
      </c>
      <c r="AE107" s="391">
        <v>19</v>
      </c>
      <c r="AF107" s="391">
        <v>9</v>
      </c>
      <c r="AG107" s="391">
        <v>155</v>
      </c>
    </row>
    <row r="108">
      <c r="A108" s="406" t="s">
        <v>890</v>
      </c>
      <c r="B108" s="407" t="s">
        <v>860</v>
      </c>
      <c r="C108" s="408"/>
      <c r="D108" s="408">
        <f>SUM(D104:D107)</f>
      </c>
      <c r="E108" s="408">
        <f>SUM(E104:E107)</f>
      </c>
      <c r="F108" s="408">
        <f>SUM(F104:F107)</f>
      </c>
      <c r="G108" s="408">
        <f>SUM(G104:G107)</f>
      </c>
      <c r="H108" s="408">
        <f>SUM(H104:H107)</f>
      </c>
      <c r="I108" s="409">
        <f t="shared" si="22"/>
      </c>
      <c r="J108" s="409">
        <f t="shared" si="19"/>
      </c>
      <c r="K108" s="409">
        <f t="shared" si="41"/>
      </c>
      <c r="L108" s="408"/>
      <c r="M108" s="410">
        <f>SUM(M104:M107)</f>
      </c>
      <c r="N108" s="408"/>
      <c r="O108" s="408"/>
      <c r="P108" s="408"/>
      <c r="Q108" s="411">
        <f>AVERAGE(Q104:Q107)</f>
      </c>
      <c r="R108" s="412">
        <f>AVERAGE(R104:R107)</f>
      </c>
      <c r="S108" s="412">
        <f>AVERAGE(S104:S107)</f>
      </c>
      <c r="T108" s="412">
        <f>AVERAGE(T104:T107)</f>
      </c>
      <c r="U108" s="412">
        <f>AVERAGE(U104:U107)</f>
      </c>
      <c r="V108" s="413">
        <f>SUM(V104:V107)</f>
      </c>
      <c r="W108" s="412">
        <f>AVERAGE(W104:W107)</f>
      </c>
      <c r="X108" s="413"/>
      <c r="Y108" s="411">
        <f>AVERAGE(Y104:Y107)</f>
      </c>
      <c r="Z108" s="413">
        <f>SUM(Z104:Z107)</f>
      </c>
      <c r="AA108" s="413">
        <f>SUM(AA104:AA107)</f>
      </c>
      <c r="AB108" s="413">
        <f>SUM(AB104:AB107)</f>
      </c>
      <c r="AC108" s="413">
        <f>SUM(AC104:AC107)</f>
      </c>
      <c r="AD108" s="413">
        <f>SUM(AD104:AD107)</f>
      </c>
      <c r="AE108" s="413">
        <f>SUM(AE104:AE107)</f>
      </c>
      <c r="AF108" s="413">
        <f>SUM(AF104:AF107)</f>
      </c>
      <c r="AG108" s="413">
        <f>SUM(AG104:AG107)</f>
      </c>
    </row>
    <row r="109">
      <c r="A109" s="380" t="s">
        <v>892</v>
      </c>
      <c r="B109" s="381" t="s">
        <v>851</v>
      </c>
      <c r="C109" s="382" t="s">
        <v>879</v>
      </c>
      <c r="D109" s="383">
        <v>5</v>
      </c>
      <c r="E109" s="383">
        <v>24</v>
      </c>
      <c r="F109" s="383">
        <v>25</v>
      </c>
      <c r="G109" s="383">
        <v>69348.47</v>
      </c>
      <c r="H109" s="384">
        <v>14042.92</v>
      </c>
      <c r="I109" s="385">
        <f t="shared" si="22"/>
      </c>
      <c r="J109" s="385">
        <f t="shared" si="19"/>
      </c>
      <c r="K109" s="399">
        <f t="shared" si="41"/>
      </c>
      <c r="L109" s="402" t="s">
        <v>859</v>
      </c>
      <c r="M109" s="414">
        <v>10</v>
      </c>
      <c r="N109" s="401"/>
      <c r="O109" s="387"/>
      <c r="P109" s="387"/>
      <c r="Q109" s="388">
        <v>6.140323567993004</v>
      </c>
      <c r="R109" s="389">
        <v>0.14199425180851147</v>
      </c>
      <c r="S109" s="390">
        <v>0.0195707610946619</v>
      </c>
      <c r="T109" s="390">
        <v>0.021624535761351385</v>
      </c>
      <c r="U109" s="390">
        <v>0.13019390581717452</v>
      </c>
      <c r="V109" s="391">
        <v>16593.164277839034</v>
      </c>
      <c r="W109" s="390">
        <v>0.03627999999999999</v>
      </c>
      <c r="X109" s="391">
        <v>48</v>
      </c>
      <c r="Y109" s="392">
        <v>120.170805593113</v>
      </c>
      <c r="Z109" s="391">
        <v>116858</v>
      </c>
      <c r="AA109" s="391">
        <v>2287</v>
      </c>
      <c r="AB109" s="391">
        <v>602</v>
      </c>
      <c r="AC109" s="391">
        <v>2527</v>
      </c>
      <c r="AD109" s="391">
        <v>329</v>
      </c>
      <c r="AE109" s="391">
        <v>32</v>
      </c>
      <c r="AF109" s="391">
        <v>11</v>
      </c>
      <c r="AG109" s="391">
        <v>135</v>
      </c>
    </row>
    <row r="110">
      <c r="A110" s="380" t="s">
        <v>892</v>
      </c>
      <c r="B110" s="381" t="s">
        <v>863</v>
      </c>
      <c r="C110" s="382" t="s">
        <v>880</v>
      </c>
      <c r="D110" s="383">
        <v>5</v>
      </c>
      <c r="E110" s="393">
        <v>10</v>
      </c>
      <c r="F110" s="393">
        <v>13</v>
      </c>
      <c r="G110" s="393">
        <v>30608.08</v>
      </c>
      <c r="H110" s="394">
        <v>14041.429999999998</v>
      </c>
      <c r="I110" s="385">
        <f t="shared" si="22"/>
      </c>
      <c r="J110" s="385">
        <f t="shared" si="19"/>
      </c>
      <c r="K110" s="385">
        <f t="shared" si="41"/>
      </c>
      <c r="L110" s="402"/>
      <c r="M110" s="414"/>
      <c r="N110" s="387"/>
      <c r="O110" s="387"/>
      <c r="P110" s="387"/>
      <c r="Q110" s="384">
        <v>6.527861459786145</v>
      </c>
      <c r="R110" s="390">
        <v>0.13692235907504754</v>
      </c>
      <c r="S110" s="389">
        <v>0.014845335210567726</v>
      </c>
      <c r="T110" s="390">
        <v>0.015535494913522989</v>
      </c>
      <c r="U110" s="389">
        <v>0.15237672145713016</v>
      </c>
      <c r="V110" s="391">
        <v>19839.22829581994</v>
      </c>
      <c r="W110" s="390">
        <v>0.031099999999999996</v>
      </c>
      <c r="X110" s="391">
        <v>57</v>
      </c>
      <c r="Y110" s="392">
        <v>96.9082915786713</v>
      </c>
      <c r="Z110" s="391">
        <v>144894</v>
      </c>
      <c r="AA110" s="391">
        <v>2151</v>
      </c>
      <c r="AB110" s="391">
        <v>617</v>
      </c>
      <c r="AC110" s="391">
        <v>2251</v>
      </c>
      <c r="AD110" s="391">
        <v>343</v>
      </c>
      <c r="AE110" s="391">
        <v>24</v>
      </c>
      <c r="AF110" s="391">
        <v>13</v>
      </c>
      <c r="AG110" s="391">
        <v>169</v>
      </c>
    </row>
    <row r="111">
      <c r="A111" s="380" t="s">
        <v>892</v>
      </c>
      <c r="B111" s="381" t="s">
        <v>855</v>
      </c>
      <c r="C111" s="382" t="s">
        <v>881</v>
      </c>
      <c r="D111" s="380">
        <v>5</v>
      </c>
      <c r="E111" s="396">
        <v>22</v>
      </c>
      <c r="F111" s="396">
        <v>26</v>
      </c>
      <c r="G111" s="396">
        <v>63976.42999999999</v>
      </c>
      <c r="H111" s="396">
        <v>20121.159999999996</v>
      </c>
      <c r="I111" s="398">
        <f t="shared" si="22"/>
      </c>
      <c r="J111" s="385">
        <f t="shared" si="19"/>
      </c>
      <c r="K111" s="385">
        <f t="shared" si="41"/>
      </c>
      <c r="L111" s="400"/>
      <c r="M111" s="400"/>
      <c r="N111" s="401"/>
      <c r="O111" s="387"/>
      <c r="P111" s="387"/>
      <c r="Q111" s="384">
        <v>4.931656862745097</v>
      </c>
      <c r="R111" s="390">
        <v>0.15169515293588193</v>
      </c>
      <c r="S111" s="390">
        <v>0.02249855248283658</v>
      </c>
      <c r="T111" s="390">
        <v>0.02572444787559624</v>
      </c>
      <c r="U111" s="390">
        <v>0.07566988210075026</v>
      </c>
      <c r="V111" s="391">
        <v>27509.15750915751</v>
      </c>
      <c r="W111" s="390">
        <v>0.027299999999999998</v>
      </c>
      <c r="X111" s="391">
        <v>53.6</v>
      </c>
      <c r="Y111" s="392">
        <v>110.95514075381178</v>
      </c>
      <c r="Z111" s="391">
        <v>181345</v>
      </c>
      <c r="AA111" s="391">
        <v>4080</v>
      </c>
      <c r="AB111" s="391">
        <v>751</v>
      </c>
      <c r="AC111" s="391">
        <v>4665</v>
      </c>
      <c r="AD111" s="391">
        <v>353</v>
      </c>
      <c r="AE111" s="391">
        <v>46</v>
      </c>
      <c r="AF111" s="391">
        <v>15</v>
      </c>
      <c r="AG111" s="391">
        <v>157</v>
      </c>
    </row>
    <row r="112">
      <c r="A112" s="380" t="s">
        <v>892</v>
      </c>
      <c r="B112" s="381" t="s">
        <v>853</v>
      </c>
      <c r="C112" s="382" t="s">
        <v>882</v>
      </c>
      <c r="D112" s="383">
        <v>5</v>
      </c>
      <c r="E112" s="402">
        <v>13</v>
      </c>
      <c r="F112" s="402">
        <v>18</v>
      </c>
      <c r="G112" s="402">
        <v>47052.830000000016</v>
      </c>
      <c r="H112" s="403">
        <v>17114.54</v>
      </c>
      <c r="I112" s="385">
        <f t="shared" si="22"/>
      </c>
      <c r="J112" s="385">
        <f t="shared" si="19"/>
      </c>
      <c r="K112" s="399">
        <f t="shared" si="41"/>
      </c>
      <c r="L112" s="383" t="s">
        <v>850</v>
      </c>
      <c r="M112" s="386">
        <v>10</v>
      </c>
      <c r="N112" s="401"/>
      <c r="O112" s="387"/>
      <c r="P112" s="387"/>
      <c r="Q112" s="384">
        <v>4.062316638974603</v>
      </c>
      <c r="R112" s="390">
        <v>0.1416</v>
      </c>
      <c r="S112" s="390">
        <v>0.0209</v>
      </c>
      <c r="T112" s="390">
        <v>0.0244</v>
      </c>
      <c r="U112" s="390">
        <v>0.0618</v>
      </c>
      <c r="V112" s="391">
        <v>28520</v>
      </c>
      <c r="W112" s="390">
        <v>0.0251</v>
      </c>
      <c r="X112" s="391">
        <v>53.4</v>
      </c>
      <c r="Y112" s="392">
        <v>84.98</v>
      </c>
      <c r="Z112" s="391">
        <v>201394</v>
      </c>
      <c r="AA112" s="391">
        <v>4213</v>
      </c>
      <c r="AB112" s="391">
        <v>717</v>
      </c>
      <c r="AC112" s="391">
        <v>4918</v>
      </c>
      <c r="AD112" s="391">
        <v>304</v>
      </c>
      <c r="AE112" s="391">
        <v>43</v>
      </c>
      <c r="AF112" s="391">
        <v>7</v>
      </c>
      <c r="AG112" s="391">
        <v>182</v>
      </c>
    </row>
    <row r="113">
      <c r="A113" s="406" t="s">
        <v>892</v>
      </c>
      <c r="B113" s="407" t="s">
        <v>860</v>
      </c>
      <c r="C113" s="408"/>
      <c r="D113" s="408">
        <f>SUM(D109:D112)</f>
      </c>
      <c r="E113" s="408">
        <f>SUM(E109:E112)</f>
      </c>
      <c r="F113" s="408">
        <f>SUM(F109:F112)</f>
      </c>
      <c r="G113" s="408">
        <f>SUM(G109:G112)</f>
      </c>
      <c r="H113" s="408">
        <f>SUM(H109:H112)</f>
      </c>
      <c r="I113" s="409">
        <f t="shared" si="22"/>
      </c>
      <c r="J113" s="409">
        <f t="shared" si="19"/>
      </c>
      <c r="K113" s="409">
        <f t="shared" si="41"/>
      </c>
      <c r="L113" s="408"/>
      <c r="M113" s="410">
        <f>SUM(M109:M112)</f>
      </c>
      <c r="N113" s="408"/>
      <c r="O113" s="408"/>
      <c r="P113" s="408"/>
      <c r="Q113" s="411">
        <f>AVERAGE(Q109:Q112)</f>
      </c>
      <c r="R113" s="412">
        <f>AVERAGE(R109:R112)</f>
      </c>
      <c r="S113" s="412">
        <f>AVERAGE(S109:S112)</f>
      </c>
      <c r="T113" s="412">
        <f>AVERAGE(T109:T112)</f>
      </c>
      <c r="U113" s="412">
        <f>AVERAGE(U109:U112)</f>
      </c>
      <c r="V113" s="413">
        <f>SUM(V109:V112)</f>
      </c>
      <c r="W113" s="412">
        <f>AVERAGE(W109:W112)</f>
      </c>
      <c r="X113" s="413"/>
      <c r="Y113" s="411">
        <f>AVERAGE(Y109:Y112)</f>
      </c>
      <c r="Z113" s="413">
        <f>SUM(Z109:Z112)</f>
      </c>
      <c r="AA113" s="413">
        <f>SUM(AA109:AA112)</f>
      </c>
      <c r="AB113" s="413">
        <f>SUM(AB109:AB112)</f>
      </c>
      <c r="AC113" s="413">
        <f>SUM(AC109:AC112)</f>
      </c>
      <c r="AD113" s="413">
        <f>SUM(AD109:AD112)</f>
      </c>
      <c r="AE113" s="413">
        <f>SUM(AE109:AE112)</f>
      </c>
      <c r="AF113" s="413">
        <f>SUM(AF109:AF112)</f>
      </c>
      <c r="AG113" s="413">
        <f>SUM(AG109:AG112)</f>
      </c>
    </row>
    <row r="114">
      <c r="A114" s="380" t="s">
        <v>893</v>
      </c>
      <c r="B114" s="381" t="s">
        <v>851</v>
      </c>
      <c r="C114" s="382" t="s">
        <v>879</v>
      </c>
      <c r="D114" s="383">
        <v>5</v>
      </c>
      <c r="E114" s="383">
        <v>16</v>
      </c>
      <c r="F114" s="383">
        <v>21</v>
      </c>
      <c r="G114" s="383">
        <v>57155.96000000001</v>
      </c>
      <c r="H114" s="384">
        <v>15103.52</v>
      </c>
      <c r="I114" s="385">
        <f t="shared" si="22"/>
      </c>
      <c r="J114" s="385">
        <f t="shared" si="19"/>
      </c>
      <c r="K114" s="399">
        <f t="shared" si="41"/>
      </c>
      <c r="L114" s="402" t="s">
        <v>859</v>
      </c>
      <c r="M114" s="414">
        <v>10</v>
      </c>
      <c r="N114" s="401"/>
      <c r="O114" s="387"/>
      <c r="P114" s="387"/>
      <c r="Q114" s="388">
        <v>4.791725888324874</v>
      </c>
      <c r="R114" s="389">
        <v>0.16518062404073783</v>
      </c>
      <c r="S114" s="390">
        <v>0.02275779411127637</v>
      </c>
      <c r="T114" s="390">
        <v>0.026187347475126712</v>
      </c>
      <c r="U114" s="390">
        <v>0.10752688172043011</v>
      </c>
      <c r="V114" s="391">
        <v>22877.84679089027</v>
      </c>
      <c r="W114" s="390">
        <v>0.02898</v>
      </c>
      <c r="X114" s="391">
        <v>45</v>
      </c>
      <c r="Y114" s="392">
        <v>109.04911120417034</v>
      </c>
      <c r="Z114" s="391">
        <v>138502</v>
      </c>
      <c r="AA114" s="391">
        <v>3152</v>
      </c>
      <c r="AB114" s="391">
        <v>663</v>
      </c>
      <c r="AC114" s="391">
        <v>3627</v>
      </c>
      <c r="AD114" s="391">
        <v>390</v>
      </c>
      <c r="AE114" s="391">
        <v>29</v>
      </c>
      <c r="AF114" s="391">
        <v>5</v>
      </c>
      <c r="AG114" s="391">
        <v>168</v>
      </c>
    </row>
    <row r="115">
      <c r="A115" s="380" t="s">
        <v>893</v>
      </c>
      <c r="B115" s="381" t="s">
        <v>848</v>
      </c>
      <c r="C115" s="382" t="s">
        <v>880</v>
      </c>
      <c r="D115" s="383">
        <v>5</v>
      </c>
      <c r="E115" s="393">
        <v>16</v>
      </c>
      <c r="F115" s="393">
        <v>18</v>
      </c>
      <c r="G115" s="393">
        <v>42090.90000000001</v>
      </c>
      <c r="H115" s="394">
        <v>13383.02</v>
      </c>
      <c r="I115" s="385">
        <f t="shared" si="22"/>
      </c>
      <c r="J115" s="385">
        <f t="shared" si="19"/>
      </c>
      <c r="K115" s="385">
        <f t="shared" si="41"/>
      </c>
      <c r="L115" s="402"/>
      <c r="M115" s="414"/>
      <c r="N115" s="387"/>
      <c r="O115" s="387"/>
      <c r="P115" s="387"/>
      <c r="Q115" s="384">
        <v>6.681487768347479</v>
      </c>
      <c r="R115" s="390">
        <v>0.15119246612818463</v>
      </c>
      <c r="S115" s="389">
        <v>0.01625838081787042</v>
      </c>
      <c r="T115" s="390">
        <v>0.016891507979025635</v>
      </c>
      <c r="U115" s="389">
        <v>0.1600192215281115</v>
      </c>
      <c r="V115" s="391">
        <v>18626.60944206009</v>
      </c>
      <c r="W115" s="390">
        <v>0.023299999999999998</v>
      </c>
      <c r="X115" s="391">
        <v>55.4</v>
      </c>
      <c r="Y115" s="392">
        <v>108.6301725677365</v>
      </c>
      <c r="Z115" s="391">
        <v>123198</v>
      </c>
      <c r="AA115" s="391">
        <v>2003</v>
      </c>
      <c r="AB115" s="391">
        <v>434</v>
      </c>
      <c r="AC115" s="391">
        <v>2081</v>
      </c>
      <c r="AD115" s="391">
        <v>333</v>
      </c>
      <c r="AE115" s="391">
        <v>18</v>
      </c>
      <c r="AF115" s="391">
        <v>8</v>
      </c>
      <c r="AG115" s="391">
        <v>130</v>
      </c>
    </row>
    <row r="116">
      <c r="A116" s="380" t="s">
        <v>893</v>
      </c>
      <c r="B116" s="381" t="s">
        <v>853</v>
      </c>
      <c r="C116" s="382" t="s">
        <v>881</v>
      </c>
      <c r="D116" s="380">
        <v>5</v>
      </c>
      <c r="E116" s="396">
        <v>30</v>
      </c>
      <c r="F116" s="396">
        <v>31</v>
      </c>
      <c r="G116" s="396">
        <v>75545.6</v>
      </c>
      <c r="H116" s="396">
        <v>19844.010000000002</v>
      </c>
      <c r="I116" s="398">
        <f t="shared" si="22"/>
      </c>
      <c r="J116" s="385">
        <f t="shared" si="19"/>
      </c>
      <c r="K116" s="385">
        <f t="shared" si="41"/>
      </c>
      <c r="L116" s="400"/>
      <c r="M116" s="400"/>
      <c r="N116" s="401"/>
      <c r="O116" s="387"/>
      <c r="P116" s="387"/>
      <c r="Q116" s="384">
        <v>6.765772246846233</v>
      </c>
      <c r="R116" s="390">
        <v>0.11212721500265915</v>
      </c>
      <c r="S116" s="390">
        <v>0.015196340029118115</v>
      </c>
      <c r="T116" s="390">
        <v>0.016413912448771287</v>
      </c>
      <c r="U116" s="390">
        <v>0.13099747474747475</v>
      </c>
      <c r="V116" s="391">
        <v>21641.337386018236</v>
      </c>
      <c r="W116" s="390">
        <v>0.0329</v>
      </c>
      <c r="X116" s="391">
        <v>56.6</v>
      </c>
      <c r="Y116" s="392">
        <v>102.81497562264583</v>
      </c>
      <c r="Z116" s="391">
        <v>193007</v>
      </c>
      <c r="AA116" s="391">
        <v>2933</v>
      </c>
      <c r="AB116" s="391">
        <v>712</v>
      </c>
      <c r="AC116" s="391">
        <v>3168</v>
      </c>
      <c r="AD116" s="391">
        <v>415</v>
      </c>
      <c r="AE116" s="391">
        <v>33</v>
      </c>
      <c r="AF116" s="391">
        <v>7</v>
      </c>
      <c r="AG116" s="391">
        <v>210</v>
      </c>
    </row>
    <row r="117">
      <c r="A117" s="380" t="s">
        <v>893</v>
      </c>
      <c r="B117" s="381" t="s">
        <v>855</v>
      </c>
      <c r="C117" s="382" t="s">
        <v>882</v>
      </c>
      <c r="D117" s="383">
        <v>5</v>
      </c>
      <c r="E117" s="402">
        <v>26</v>
      </c>
      <c r="F117" s="402">
        <v>27</v>
      </c>
      <c r="G117" s="402">
        <v>61412.95999999999</v>
      </c>
      <c r="H117" s="403">
        <v>19388.46</v>
      </c>
      <c r="I117" s="385">
        <f t="shared" si="22"/>
      </c>
      <c r="J117" s="385">
        <f t="shared" si="19"/>
      </c>
      <c r="K117" s="399">
        <f t="shared" si="41"/>
      </c>
      <c r="L117" s="383" t="s">
        <v>850</v>
      </c>
      <c r="M117" s="386">
        <v>10</v>
      </c>
      <c r="N117" s="401"/>
      <c r="O117" s="387"/>
      <c r="P117" s="387"/>
      <c r="Q117" s="384">
        <v>4.96249296135142</v>
      </c>
      <c r="R117" s="390">
        <v>0.1176</v>
      </c>
      <c r="S117" s="390">
        <v>0.0171</v>
      </c>
      <c r="T117" s="390">
        <v>0.0185</v>
      </c>
      <c r="U117" s="390">
        <v>0.0872</v>
      </c>
      <c r="V117" s="391">
        <v>26903</v>
      </c>
      <c r="W117" s="390">
        <v>0.0268</v>
      </c>
      <c r="X117" s="391">
        <v>58.8</v>
      </c>
      <c r="Y117" s="392">
        <v>84.77</v>
      </c>
      <c r="Z117" s="391">
        <v>228708</v>
      </c>
      <c r="AA117" s="391">
        <v>3907</v>
      </c>
      <c r="AB117" s="391">
        <v>721</v>
      </c>
      <c r="AC117" s="391">
        <v>4242</v>
      </c>
      <c r="AD117" s="391">
        <v>370</v>
      </c>
      <c r="AE117" s="391">
        <v>37</v>
      </c>
      <c r="AF117" s="391">
        <v>7</v>
      </c>
      <c r="AG117" s="391">
        <v>255</v>
      </c>
    </row>
    <row r="118">
      <c r="A118" s="406" t="s">
        <v>893</v>
      </c>
      <c r="B118" s="407" t="s">
        <v>860</v>
      </c>
      <c r="C118" s="408"/>
      <c r="D118" s="408">
        <f>SUM(D114:D117)</f>
      </c>
      <c r="E118" s="408">
        <f>SUM(E114:E117)</f>
      </c>
      <c r="F118" s="408">
        <f>SUM(F114:F117)</f>
      </c>
      <c r="G118" s="408">
        <f>SUM(G114:G117)</f>
      </c>
      <c r="H118" s="408">
        <f>SUM(H114:H117)</f>
      </c>
      <c r="I118" s="409">
        <f t="shared" si="22"/>
      </c>
      <c r="J118" s="409">
        <f t="shared" si="19"/>
      </c>
      <c r="K118" s="409">
        <f t="shared" si="41"/>
      </c>
      <c r="L118" s="408"/>
      <c r="M118" s="410">
        <f>SUM(M114:M117)</f>
      </c>
      <c r="N118" s="408"/>
      <c r="O118" s="408"/>
      <c r="P118" s="408"/>
      <c r="Q118" s="411">
        <f>AVERAGE(Q114:Q117)</f>
      </c>
      <c r="R118" s="412">
        <f>AVERAGE(R114:R117)</f>
      </c>
      <c r="S118" s="412">
        <f>AVERAGE(S114:S117)</f>
      </c>
      <c r="T118" s="412">
        <f>AVERAGE(T114:T117)</f>
      </c>
      <c r="U118" s="412">
        <f>AVERAGE(U114:U117)</f>
      </c>
      <c r="V118" s="413">
        <f>SUM(V114:V117)</f>
      </c>
      <c r="W118" s="412">
        <f>AVERAGE(W114:W117)</f>
      </c>
      <c r="X118" s="413"/>
      <c r="Y118" s="411">
        <f>AVERAGE(Y114:Y117)</f>
      </c>
      <c r="Z118" s="413">
        <f>SUM(Z114:Z117)</f>
      </c>
      <c r="AA118" s="413">
        <f>SUM(AA114:AA117)</f>
      </c>
      <c r="AB118" s="413">
        <f>SUM(AB114:AB117)</f>
      </c>
      <c r="AC118" s="413">
        <f>SUM(AC114:AC117)</f>
      </c>
      <c r="AD118" s="413">
        <f>SUM(AD114:AD117)</f>
      </c>
      <c r="AE118" s="413">
        <f>SUM(AE114:AE117)</f>
      </c>
      <c r="AF118" s="413">
        <f>SUM(AF114:AF117)</f>
      </c>
      <c r="AG118" s="413">
        <f>SUM(AG114:AG117)</f>
      </c>
    </row>
    <row r="119">
      <c r="A119" s="380" t="s">
        <v>894</v>
      </c>
      <c r="B119" s="381" t="s">
        <v>863</v>
      </c>
      <c r="C119" s="382" t="s">
        <v>879</v>
      </c>
      <c r="D119" s="383">
        <v>5</v>
      </c>
      <c r="E119" s="383">
        <v>13</v>
      </c>
      <c r="F119" s="383">
        <v>15</v>
      </c>
      <c r="G119" s="383">
        <v>32699.219999999994</v>
      </c>
      <c r="H119" s="384">
        <v>14811.53</v>
      </c>
      <c r="I119" s="385">
        <f t="shared" si="22"/>
      </c>
      <c r="J119" s="385">
        <f t="shared" si="19"/>
      </c>
      <c r="K119" s="399">
        <f t="shared" si="41"/>
      </c>
      <c r="L119" s="402" t="s">
        <v>859</v>
      </c>
      <c r="M119" s="414">
        <v>10</v>
      </c>
      <c r="N119" s="401"/>
      <c r="O119" s="387"/>
      <c r="P119" s="387"/>
      <c r="Q119" s="388">
        <v>5.395821493624773</v>
      </c>
      <c r="R119" s="389">
        <v>0.13564242893514622</v>
      </c>
      <c r="S119" s="390">
        <v>0.01855469410102676</v>
      </c>
      <c r="T119" s="390">
        <v>0.021082728925720388</v>
      </c>
      <c r="U119" s="390">
        <v>0.10676498877845464</v>
      </c>
      <c r="V119" s="391">
        <v>20067.076579094468</v>
      </c>
      <c r="W119" s="390">
        <v>0.03578</v>
      </c>
      <c r="X119" s="391">
        <v>45.6</v>
      </c>
      <c r="Y119" s="392">
        <v>100.11781723795298</v>
      </c>
      <c r="Z119" s="391">
        <v>147941</v>
      </c>
      <c r="AA119" s="391">
        <v>2745</v>
      </c>
      <c r="AB119" s="391">
        <v>718</v>
      </c>
      <c r="AC119" s="391">
        <v>3119</v>
      </c>
      <c r="AD119" s="391">
        <v>333</v>
      </c>
      <c r="AE119" s="391">
        <v>32</v>
      </c>
      <c r="AF119" s="391">
        <v>7</v>
      </c>
      <c r="AG119" s="391">
        <v>212</v>
      </c>
    </row>
    <row r="120">
      <c r="A120" s="380" t="s">
        <v>894</v>
      </c>
      <c r="B120" s="381" t="s">
        <v>848</v>
      </c>
      <c r="C120" s="382" t="s">
        <v>880</v>
      </c>
      <c r="D120" s="383">
        <v>5</v>
      </c>
      <c r="E120" s="393">
        <v>17</v>
      </c>
      <c r="F120" s="393">
        <v>20</v>
      </c>
      <c r="G120" s="393">
        <v>48549.02</v>
      </c>
      <c r="H120" s="394">
        <v>13165.400000000001</v>
      </c>
      <c r="I120" s="385">
        <f t="shared" si="22"/>
      </c>
      <c r="J120" s="385">
        <f t="shared" si="19"/>
      </c>
      <c r="K120" s="385">
        <f t="shared" si="41"/>
      </c>
      <c r="L120" s="402"/>
      <c r="M120" s="414"/>
      <c r="N120" s="387"/>
      <c r="O120" s="387"/>
      <c r="P120" s="387"/>
      <c r="Q120" s="384">
        <v>8.835838926174498</v>
      </c>
      <c r="R120" s="390">
        <v>0.12316835045653109</v>
      </c>
      <c r="S120" s="389">
        <v>0.013621487210429122</v>
      </c>
      <c r="T120" s="390">
        <v>0.013639771085879363</v>
      </c>
      <c r="U120" s="389">
        <v>0.22453083109919572</v>
      </c>
      <c r="V120" s="391">
        <v>13472.89318303811</v>
      </c>
      <c r="W120" s="390">
        <v>0.03726</v>
      </c>
      <c r="X120" s="391">
        <v>54.2</v>
      </c>
      <c r="Y120" s="392">
        <v>120.35726692629771</v>
      </c>
      <c r="Z120" s="391">
        <v>109386</v>
      </c>
      <c r="AA120" s="391">
        <v>1490</v>
      </c>
      <c r="AB120" s="391">
        <v>502</v>
      </c>
      <c r="AC120" s="391">
        <v>1492</v>
      </c>
      <c r="AD120" s="391">
        <v>335</v>
      </c>
      <c r="AE120" s="391">
        <v>27</v>
      </c>
      <c r="AF120" s="391">
        <v>4</v>
      </c>
      <c r="AG120" s="391">
        <v>118</v>
      </c>
    </row>
    <row r="121">
      <c r="A121" s="380" t="s">
        <v>894</v>
      </c>
      <c r="B121" s="381" t="s">
        <v>853</v>
      </c>
      <c r="C121" s="382" t="s">
        <v>881</v>
      </c>
      <c r="D121" s="380">
        <v>5</v>
      </c>
      <c r="E121" s="396">
        <v>25</v>
      </c>
      <c r="F121" s="396">
        <v>31</v>
      </c>
      <c r="G121" s="396">
        <v>81239</v>
      </c>
      <c r="H121" s="396">
        <v>23329.49</v>
      </c>
      <c r="I121" s="398">
        <f t="shared" si="22"/>
      </c>
      <c r="J121" s="385">
        <f t="shared" si="19"/>
      </c>
      <c r="K121" s="385">
        <f t="shared" si="41"/>
      </c>
      <c r="L121" s="400"/>
      <c r="M121" s="400"/>
      <c r="N121" s="401"/>
      <c r="O121" s="387"/>
      <c r="P121" s="387"/>
      <c r="Q121" s="384">
        <v>6.67510443490701</v>
      </c>
      <c r="R121" s="390">
        <v>0.10681830852198013</v>
      </c>
      <c r="S121" s="390">
        <v>0.013700778141476706</v>
      </c>
      <c r="T121" s="390">
        <v>0.014288794370724632</v>
      </c>
      <c r="U121" s="390">
        <v>0.15665294924554185</v>
      </c>
      <c r="V121" s="391">
        <v>27248.81641241452</v>
      </c>
      <c r="W121" s="390">
        <v>0.03802</v>
      </c>
      <c r="X121" s="391">
        <v>67.4</v>
      </c>
      <c r="Y121" s="392">
        <v>91.45412493384818</v>
      </c>
      <c r="Z121" s="391">
        <v>255095</v>
      </c>
      <c r="AA121" s="391">
        <v>3495</v>
      </c>
      <c r="AB121" s="391">
        <v>1036</v>
      </c>
      <c r="AC121" s="391">
        <v>3645</v>
      </c>
      <c r="AD121" s="391">
        <v>571</v>
      </c>
      <c r="AE121" s="391">
        <v>55</v>
      </c>
      <c r="AF121" s="391">
        <v>12</v>
      </c>
      <c r="AG121" s="391">
        <v>219</v>
      </c>
    </row>
    <row r="122">
      <c r="A122" s="380" t="s">
        <v>894</v>
      </c>
      <c r="B122" s="381" t="s">
        <v>855</v>
      </c>
      <c r="C122" s="382" t="s">
        <v>882</v>
      </c>
      <c r="D122" s="383">
        <v>5</v>
      </c>
      <c r="E122" s="402">
        <v>18</v>
      </c>
      <c r="F122" s="402">
        <v>20</v>
      </c>
      <c r="G122" s="402">
        <v>46966.42999999999</v>
      </c>
      <c r="H122" s="403">
        <v>17726.16</v>
      </c>
      <c r="I122" s="385">
        <f t="shared" si="22"/>
      </c>
      <c r="J122" s="385">
        <f t="shared" si="19"/>
      </c>
      <c r="K122" s="399">
        <f t="shared" si="41"/>
      </c>
      <c r="L122" s="383" t="s">
        <v>850</v>
      </c>
      <c r="M122" s="386">
        <v>10</v>
      </c>
      <c r="N122" s="401"/>
      <c r="O122" s="387"/>
      <c r="P122" s="387"/>
      <c r="Q122" s="384">
        <v>5.859887603305785</v>
      </c>
      <c r="R122" s="390">
        <v>0.10976430066641991</v>
      </c>
      <c r="S122" s="390">
        <v>0.013595994462722255</v>
      </c>
      <c r="T122" s="390">
        <v>0.014207252395591752</v>
      </c>
      <c r="U122" s="390">
        <v>0.11420436570705474</v>
      </c>
      <c r="V122" s="391">
        <v>24421.6787838731</v>
      </c>
      <c r="W122" s="390">
        <v>0.03026</v>
      </c>
      <c r="X122" s="391">
        <v>71.4</v>
      </c>
      <c r="Y122" s="392">
        <v>79.67099940672024</v>
      </c>
      <c r="Z122" s="391">
        <v>222492</v>
      </c>
      <c r="AA122" s="391">
        <v>3025</v>
      </c>
      <c r="AB122" s="391">
        <v>739</v>
      </c>
      <c r="AC122" s="391">
        <v>3161</v>
      </c>
      <c r="AD122" s="391">
        <v>361</v>
      </c>
      <c r="AE122" s="391">
        <v>32</v>
      </c>
      <c r="AF122" s="391">
        <v>9</v>
      </c>
      <c r="AG122" s="391">
        <v>178</v>
      </c>
    </row>
    <row r="123">
      <c r="A123" s="406" t="s">
        <v>894</v>
      </c>
      <c r="B123" s="407" t="s">
        <v>860</v>
      </c>
      <c r="C123" s="408"/>
      <c r="D123" s="408">
        <f>SUM(D119:D122)</f>
      </c>
      <c r="E123" s="408">
        <f>SUM(E119:E122)</f>
      </c>
      <c r="F123" s="408">
        <f>SUM(F119:F122)</f>
      </c>
      <c r="G123" s="408">
        <f>SUM(G119:G122)</f>
      </c>
      <c r="H123" s="408">
        <f>SUM(H119:H122)</f>
      </c>
      <c r="I123" s="409">
        <f t="shared" si="22"/>
      </c>
      <c r="J123" s="409">
        <f t="shared" si="19"/>
      </c>
      <c r="K123" s="409">
        <f t="shared" si="41"/>
      </c>
      <c r="L123" s="408"/>
      <c r="M123" s="410">
        <f>SUM(M119:M122)</f>
      </c>
      <c r="N123" s="408"/>
      <c r="O123" s="408"/>
      <c r="P123" s="408"/>
      <c r="Q123" s="411">
        <f>AVERAGE(Q119:Q122)</f>
      </c>
      <c r="R123" s="412">
        <f>AVERAGE(R119:R122)</f>
      </c>
      <c r="S123" s="412">
        <f>AVERAGE(S119:S122)</f>
      </c>
      <c r="T123" s="412">
        <f>AVERAGE(T119:T122)</f>
      </c>
      <c r="U123" s="412">
        <f>AVERAGE(U119:U122)</f>
      </c>
      <c r="V123" s="413">
        <f>SUM(V119:V122)</f>
      </c>
      <c r="W123" s="412">
        <f>AVERAGE(W119:W122)</f>
      </c>
      <c r="X123" s="413"/>
      <c r="Y123" s="411">
        <f>AVERAGE(Y119:Y122)</f>
      </c>
      <c r="Z123" s="413">
        <f>SUM(Z119:Z122)</f>
      </c>
      <c r="AA123" s="413">
        <f>SUM(AA119:AA122)</f>
      </c>
      <c r="AB123" s="413">
        <f>SUM(AB119:AB122)</f>
      </c>
      <c r="AC123" s="413">
        <f>SUM(AC119:AC122)</f>
      </c>
      <c r="AD123" s="413">
        <f>SUM(AD119:AD122)</f>
      </c>
      <c r="AE123" s="413">
        <f>SUM(AE119:AE122)</f>
      </c>
      <c r="AF123" s="413">
        <f>SUM(AF119:AF122)</f>
      </c>
      <c r="AG123" s="413">
        <f>SUM(AG119:AG122)</f>
      </c>
    </row>
    <row r="124">
      <c r="A124" s="380" t="s">
        <v>895</v>
      </c>
      <c r="B124" s="381" t="s">
        <v>851</v>
      </c>
      <c r="C124" s="382" t="s">
        <v>879</v>
      </c>
      <c r="D124" s="383">
        <v>5</v>
      </c>
      <c r="E124" s="383">
        <v>21</v>
      </c>
      <c r="F124" s="383">
        <v>24</v>
      </c>
      <c r="G124" s="383">
        <v>59459.23</v>
      </c>
      <c r="H124" s="384">
        <v>18155.25</v>
      </c>
      <c r="I124" s="385">
        <f t="shared" si="22"/>
      </c>
      <c r="J124" s="385">
        <f t="shared" si="19"/>
      </c>
      <c r="K124" s="399">
        <f t="shared" si="41"/>
      </c>
      <c r="L124" s="402" t="s">
        <v>896</v>
      </c>
      <c r="M124" s="414">
        <v>10</v>
      </c>
      <c r="N124" s="401"/>
      <c r="O124" s="387"/>
      <c r="P124" s="387"/>
      <c r="Q124" s="388">
        <v>6.2582730093071355</v>
      </c>
      <c r="R124" s="389">
        <v>0.11173154039326628</v>
      </c>
      <c r="S124" s="390">
        <v>0.016144920277151684</v>
      </c>
      <c r="T124" s="390">
        <v>0.0171911957035924</v>
      </c>
      <c r="U124" s="390">
        <v>0.16283586921333765</v>
      </c>
      <c r="V124" s="391">
        <v>20076.481835564053</v>
      </c>
      <c r="W124" s="390">
        <v>0.04184</v>
      </c>
      <c r="X124" s="391">
        <v>51.8</v>
      </c>
      <c r="Y124" s="392">
        <v>101.03931880791384</v>
      </c>
      <c r="Z124" s="391">
        <v>179685</v>
      </c>
      <c r="AA124" s="391">
        <v>2901</v>
      </c>
      <c r="AB124" s="391">
        <v>840</v>
      </c>
      <c r="AC124" s="391">
        <v>3089</v>
      </c>
      <c r="AD124" s="391">
        <v>503</v>
      </c>
      <c r="AE124" s="391">
        <v>41</v>
      </c>
      <c r="AF124" s="391">
        <v>9</v>
      </c>
      <c r="AG124" s="391">
        <v>252</v>
      </c>
    </row>
    <row r="125">
      <c r="A125" s="380" t="s">
        <v>895</v>
      </c>
      <c r="B125" s="381" t="s">
        <v>853</v>
      </c>
      <c r="C125" s="382" t="s">
        <v>880</v>
      </c>
      <c r="D125" s="383">
        <v>5</v>
      </c>
      <c r="E125" s="393">
        <v>22</v>
      </c>
      <c r="F125" s="393">
        <v>25</v>
      </c>
      <c r="G125" s="393">
        <v>64854.94000000002</v>
      </c>
      <c r="H125" s="394">
        <v>18700.47</v>
      </c>
      <c r="I125" s="385">
        <f t="shared" si="22"/>
      </c>
      <c r="J125" s="385">
        <f t="shared" si="19"/>
      </c>
      <c r="K125" s="385">
        <f t="shared" si="41"/>
      </c>
      <c r="L125" s="402"/>
      <c r="M125" s="414"/>
      <c r="N125" s="387"/>
      <c r="O125" s="387"/>
      <c r="P125" s="387"/>
      <c r="Q125" s="384">
        <v>8.999263715110684</v>
      </c>
      <c r="R125" s="390">
        <v>0.1078437304034088</v>
      </c>
      <c r="S125" s="389">
        <v>0.010996105325543985</v>
      </c>
      <c r="T125" s="390">
        <v>0.011001397002794006</v>
      </c>
      <c r="U125" s="389">
        <v>0.24627224627224628</v>
      </c>
      <c r="V125" s="391">
        <v>20379.876796714583</v>
      </c>
      <c r="W125" s="390">
        <v>0.038959999999999995</v>
      </c>
      <c r="X125" s="391">
        <v>67.6</v>
      </c>
      <c r="Y125" s="392">
        <v>98.95685166370333</v>
      </c>
      <c r="Z125" s="391">
        <v>188976</v>
      </c>
      <c r="AA125" s="391">
        <v>2078</v>
      </c>
      <c r="AB125" s="391">
        <v>794</v>
      </c>
      <c r="AC125" s="391">
        <v>2079</v>
      </c>
      <c r="AD125" s="391">
        <v>512</v>
      </c>
      <c r="AE125" s="391">
        <v>42</v>
      </c>
      <c r="AF125" s="391">
        <v>12</v>
      </c>
      <c r="AG125" s="391">
        <v>261</v>
      </c>
    </row>
    <row r="126">
      <c r="A126" s="380" t="s">
        <v>895</v>
      </c>
      <c r="B126" s="381" t="s">
        <v>848</v>
      </c>
      <c r="C126" s="382" t="s">
        <v>881</v>
      </c>
      <c r="D126" s="380">
        <v>5</v>
      </c>
      <c r="E126" s="396">
        <v>22</v>
      </c>
      <c r="F126" s="396">
        <v>28</v>
      </c>
      <c r="G126" s="396">
        <v>63703.450000000004</v>
      </c>
      <c r="H126" s="396">
        <v>21840.4</v>
      </c>
      <c r="I126" s="398">
        <f t="shared" si="22"/>
      </c>
      <c r="J126" s="385">
        <f t="shared" si="19"/>
      </c>
      <c r="K126" s="385">
        <f t="shared" si="41"/>
      </c>
      <c r="L126" s="400"/>
      <c r="M126" s="400"/>
      <c r="N126" s="401"/>
      <c r="O126" s="387"/>
      <c r="P126" s="387"/>
      <c r="Q126" s="384">
        <v>7.304481605351171</v>
      </c>
      <c r="R126" s="390">
        <v>0.11395429179401848</v>
      </c>
      <c r="S126" s="390">
        <v>0.01334499718817785</v>
      </c>
      <c r="T126" s="390">
        <v>0.013742222856989833</v>
      </c>
      <c r="U126" s="390">
        <v>0.18187723286781424</v>
      </c>
      <c r="V126" s="391">
        <v>25531.914893617017</v>
      </c>
      <c r="W126" s="390">
        <v>0.03760000000000001</v>
      </c>
      <c r="X126" s="391">
        <v>73.2</v>
      </c>
      <c r="Y126" s="392">
        <v>97.4782864845082</v>
      </c>
      <c r="Z126" s="391">
        <v>224054</v>
      </c>
      <c r="AA126" s="391">
        <v>2990</v>
      </c>
      <c r="AB126" s="391">
        <v>960</v>
      </c>
      <c r="AC126" s="391">
        <v>3079</v>
      </c>
      <c r="AD126" s="391">
        <v>560</v>
      </c>
      <c r="AE126" s="391">
        <v>31</v>
      </c>
      <c r="AF126" s="391">
        <v>11</v>
      </c>
      <c r="AG126" s="391">
        <v>297</v>
      </c>
    </row>
    <row r="127">
      <c r="A127" s="380" t="s">
        <v>895</v>
      </c>
      <c r="B127" s="381" t="s">
        <v>863</v>
      </c>
      <c r="C127" s="382" t="s">
        <v>882</v>
      </c>
      <c r="D127" s="383">
        <v>5</v>
      </c>
      <c r="E127" s="402">
        <v>26</v>
      </c>
      <c r="F127" s="402">
        <v>27</v>
      </c>
      <c r="G127" s="402">
        <v>72223.78</v>
      </c>
      <c r="H127" s="403">
        <v>17645.83</v>
      </c>
      <c r="I127" s="385">
        <f t="shared" si="22"/>
      </c>
      <c r="J127" s="385">
        <f t="shared" si="19"/>
      </c>
      <c r="K127" s="399">
        <f t="shared" si="41"/>
      </c>
      <c r="L127" s="383" t="s">
        <v>897</v>
      </c>
      <c r="M127" s="386">
        <v>10</v>
      </c>
      <c r="N127" s="401"/>
      <c r="O127" s="387"/>
      <c r="P127" s="387"/>
      <c r="Q127" s="384">
        <v>5.25329860077404</v>
      </c>
      <c r="R127" s="390">
        <v>0.1575505930637197</v>
      </c>
      <c r="S127" s="390">
        <v>0.01649204120309907</v>
      </c>
      <c r="T127" s="390">
        <v>0.017910975382228463</v>
      </c>
      <c r="U127" s="390">
        <v>0.14473684210526316</v>
      </c>
      <c r="V127" s="391">
        <v>32088.95949166005</v>
      </c>
      <c r="W127" s="390">
        <v>0.025179999999999998</v>
      </c>
      <c r="X127" s="391">
        <v>72.6</v>
      </c>
      <c r="Y127" s="392">
        <v>86.63761697614817</v>
      </c>
      <c r="Z127" s="391">
        <v>203674</v>
      </c>
      <c r="AA127" s="391">
        <v>3359</v>
      </c>
      <c r="AB127" s="391">
        <v>808</v>
      </c>
      <c r="AC127" s="391">
        <v>3648</v>
      </c>
      <c r="AD127" s="391">
        <v>528</v>
      </c>
      <c r="AE127" s="391">
        <v>50</v>
      </c>
      <c r="AF127" s="391">
        <v>8</v>
      </c>
      <c r="AG127" s="391">
        <v>225</v>
      </c>
    </row>
    <row r="128">
      <c r="A128" s="406" t="s">
        <v>895</v>
      </c>
      <c r="B128" s="407" t="s">
        <v>860</v>
      </c>
      <c r="C128" s="408"/>
      <c r="D128" s="408">
        <f>SUM(D124:D127)</f>
      </c>
      <c r="E128" s="408">
        <f>SUM(E124:E127)</f>
      </c>
      <c r="F128" s="408">
        <f>SUM(F124:F127)</f>
      </c>
      <c r="G128" s="408">
        <f>SUM(G124:G127)</f>
      </c>
      <c r="H128" s="408">
        <f>SUM(H124:H127)</f>
      </c>
      <c r="I128" s="409">
        <f t="shared" si="22"/>
      </c>
      <c r="J128" s="409">
        <f t="shared" si="19"/>
      </c>
      <c r="K128" s="409">
        <f t="shared" si="41"/>
      </c>
      <c r="L128" s="408"/>
      <c r="M128" s="410">
        <f>SUM(M124:M127)</f>
      </c>
      <c r="N128" s="408"/>
      <c r="O128" s="408"/>
      <c r="P128" s="408"/>
      <c r="Q128" s="411">
        <f>AVERAGE(Q124:Q127)</f>
      </c>
      <c r="R128" s="412">
        <f>AVERAGE(R124:R127)</f>
      </c>
      <c r="S128" s="412">
        <f>AVERAGE(S124:S127)</f>
      </c>
      <c r="T128" s="412">
        <f>AVERAGE(T124:T127)</f>
      </c>
      <c r="U128" s="412">
        <f>AVERAGE(U124:U127)</f>
      </c>
      <c r="V128" s="413">
        <f>SUM(V124:V127)</f>
      </c>
      <c r="W128" s="412">
        <f>AVERAGE(W124:W127)</f>
      </c>
      <c r="X128" s="413"/>
      <c r="Y128" s="411">
        <f>AVERAGE(Y124:Y127)</f>
      </c>
      <c r="Z128" s="413">
        <f>SUM(Z124:Z127)</f>
      </c>
      <c r="AA128" s="413">
        <f>SUM(AA124:AA127)</f>
      </c>
      <c r="AB128" s="413">
        <f>SUM(AB124:AB127)</f>
      </c>
      <c r="AC128" s="413">
        <f>SUM(AC124:AC127)</f>
      </c>
      <c r="AD128" s="413">
        <f>SUM(AD124:AD127)</f>
      </c>
      <c r="AE128" s="413">
        <f>SUM(AE124:AE127)</f>
      </c>
      <c r="AF128" s="413">
        <f>SUM(AF124:AF127)</f>
      </c>
      <c r="AG128" s="413">
        <f>SUM(AG124:AG127)</f>
      </c>
    </row>
    <row r="129">
      <c r="A129" s="380" t="s">
        <v>898</v>
      </c>
      <c r="B129" s="381" t="s">
        <v>848</v>
      </c>
      <c r="C129" s="382" t="s">
        <v>879</v>
      </c>
      <c r="D129" s="383">
        <v>5</v>
      </c>
      <c r="E129" s="383">
        <v>24</v>
      </c>
      <c r="F129" s="383">
        <v>33</v>
      </c>
      <c r="G129" s="383">
        <v>77532.20999999999</v>
      </c>
      <c r="H129" s="384">
        <v>18736.45</v>
      </c>
      <c r="I129" s="385">
        <f t="shared" si="22"/>
      </c>
      <c r="J129" s="385">
        <f t="shared" si="19"/>
      </c>
      <c r="K129" s="399">
        <f t="shared" si="41"/>
      </c>
      <c r="L129" s="402" t="s">
        <v>862</v>
      </c>
      <c r="M129" s="414">
        <v>10</v>
      </c>
      <c r="N129" s="401"/>
      <c r="O129" s="387"/>
      <c r="P129" s="387"/>
      <c r="Q129" s="388">
        <v>6.597341549295775</v>
      </c>
      <c r="R129" s="389">
        <v>0.11454022335830961</v>
      </c>
      <c r="S129" s="390">
        <v>0.014165295027183401</v>
      </c>
      <c r="T129" s="390">
        <v>0.015342411092822585</v>
      </c>
      <c r="U129" s="390">
        <v>0.1527958387516255</v>
      </c>
      <c r="V129" s="391">
        <v>22964.169381107495</v>
      </c>
      <c r="W129" s="390">
        <v>0.03684</v>
      </c>
      <c r="X129" s="391">
        <v>49.2</v>
      </c>
      <c r="Y129" s="392">
        <v>93.45328944086988</v>
      </c>
      <c r="Z129" s="391">
        <v>200490</v>
      </c>
      <c r="AA129" s="391">
        <v>2840</v>
      </c>
      <c r="AB129" s="391">
        <v>846</v>
      </c>
      <c r="AC129" s="391">
        <v>3076</v>
      </c>
      <c r="AD129" s="391">
        <v>470</v>
      </c>
      <c r="AE129" s="391">
        <v>35</v>
      </c>
      <c r="AF129" s="391">
        <v>6</v>
      </c>
      <c r="AG129" s="391">
        <v>247</v>
      </c>
    </row>
    <row r="130">
      <c r="A130" s="380" t="s">
        <v>898</v>
      </c>
      <c r="B130" s="381" t="s">
        <v>855</v>
      </c>
      <c r="C130" s="382" t="s">
        <v>880</v>
      </c>
      <c r="D130" s="383">
        <v>5</v>
      </c>
      <c r="E130" s="393">
        <v>22</v>
      </c>
      <c r="F130" s="393">
        <v>25</v>
      </c>
      <c r="G130" s="393">
        <v>65487.24000000002</v>
      </c>
      <c r="H130" s="394">
        <v>19087.47</v>
      </c>
      <c r="I130" s="385">
        <f t="shared" si="22"/>
      </c>
      <c r="J130" s="385">
        <f t="shared" si="19"/>
      </c>
      <c r="K130" s="385">
        <f t="shared" si="41"/>
      </c>
      <c r="L130" s="402"/>
      <c r="M130" s="414"/>
      <c r="N130" s="387"/>
      <c r="O130" s="387"/>
      <c r="P130" s="387"/>
      <c r="Q130" s="384">
        <v>8.353378555798688</v>
      </c>
      <c r="R130" s="390">
        <v>0.12100067570527455</v>
      </c>
      <c r="S130" s="389">
        <v>0.012077039354763692</v>
      </c>
      <c r="T130" s="390">
        <v>0.012013615078064714</v>
      </c>
      <c r="U130" s="389">
        <v>0.14738231412230532</v>
      </c>
      <c r="V130" s="391">
        <v>22893.569844789356</v>
      </c>
      <c r="W130" s="390">
        <v>0.03608</v>
      </c>
      <c r="X130" s="391">
        <v>59</v>
      </c>
      <c r="Y130" s="392">
        <v>100.88408156361984</v>
      </c>
      <c r="Z130" s="391">
        <v>189202</v>
      </c>
      <c r="AA130" s="391">
        <v>2285</v>
      </c>
      <c r="AB130" s="391">
        <v>826</v>
      </c>
      <c r="AC130" s="391">
        <v>2273</v>
      </c>
      <c r="AD130" s="391">
        <v>335</v>
      </c>
      <c r="AE130" s="391">
        <v>37</v>
      </c>
      <c r="AF130" s="391">
        <v>11</v>
      </c>
      <c r="AG130" s="391">
        <v>221</v>
      </c>
    </row>
    <row r="131">
      <c r="A131" s="380" t="s">
        <v>898</v>
      </c>
      <c r="B131" s="381" t="s">
        <v>851</v>
      </c>
      <c r="C131" s="382" t="s">
        <v>881</v>
      </c>
      <c r="D131" s="380">
        <v>5</v>
      </c>
      <c r="E131" s="396">
        <v>16</v>
      </c>
      <c r="F131" s="396">
        <v>20</v>
      </c>
      <c r="G131" s="396">
        <v>49950.110000000015</v>
      </c>
      <c r="H131" s="396">
        <v>21296.030000000002</v>
      </c>
      <c r="I131" s="398">
        <f t="shared" si="22"/>
      </c>
      <c r="J131" s="385">
        <f t="shared" si="19"/>
      </c>
      <c r="K131" s="385">
        <f t="shared" si="41"/>
      </c>
      <c r="L131" s="400"/>
      <c r="M131" s="400"/>
      <c r="N131" s="401"/>
      <c r="O131" s="387"/>
      <c r="P131" s="387"/>
      <c r="Q131" s="384">
        <v>6.478865226650442</v>
      </c>
      <c r="R131" s="390">
        <v>0.13798827059948857</v>
      </c>
      <c r="S131" s="390">
        <v>0.016536201553507466</v>
      </c>
      <c r="T131" s="390">
        <v>0.017497082142713408</v>
      </c>
      <c r="U131" s="390">
        <v>0.12507188039102932</v>
      </c>
      <c r="V131" s="391">
        <v>27428.75647668394</v>
      </c>
      <c r="W131" s="390">
        <v>0.030879999999999998</v>
      </c>
      <c r="X131" s="391">
        <v>61.4</v>
      </c>
      <c r="Y131" s="392">
        <v>107.13582122590253</v>
      </c>
      <c r="Z131" s="391">
        <v>198776</v>
      </c>
      <c r="AA131" s="391">
        <v>3287</v>
      </c>
      <c r="AB131" s="391">
        <v>847</v>
      </c>
      <c r="AC131" s="391">
        <v>3478</v>
      </c>
      <c r="AD131" s="391">
        <v>435</v>
      </c>
      <c r="AE131" s="391">
        <v>25</v>
      </c>
      <c r="AF131" s="391">
        <v>11</v>
      </c>
      <c r="AG131" s="391">
        <v>203</v>
      </c>
    </row>
    <row r="132">
      <c r="A132" s="380" t="s">
        <v>898</v>
      </c>
      <c r="B132" s="381" t="s">
        <v>863</v>
      </c>
      <c r="C132" s="382" t="s">
        <v>882</v>
      </c>
      <c r="D132" s="383">
        <v>5</v>
      </c>
      <c r="E132" s="402">
        <v>22</v>
      </c>
      <c r="F132" s="402">
        <v>22</v>
      </c>
      <c r="G132" s="402">
        <v>55288.19999999999</v>
      </c>
      <c r="H132" s="403">
        <v>15941.35</v>
      </c>
      <c r="I132" s="385">
        <f t="shared" si="22"/>
      </c>
      <c r="J132" s="385">
        <f t="shared" si="19"/>
      </c>
      <c r="K132" s="399">
        <f t="shared" si="41"/>
      </c>
      <c r="L132" s="383" t="s">
        <v>897</v>
      </c>
      <c r="M132" s="386">
        <v>10</v>
      </c>
      <c r="N132" s="401"/>
      <c r="O132" s="387"/>
      <c r="P132" s="387"/>
      <c r="Q132" s="384">
        <v>6.0065373021853805</v>
      </c>
      <c r="R132" s="390">
        <v>0.16732342391299712</v>
      </c>
      <c r="S132" s="390">
        <v>0.01478938775055307</v>
      </c>
      <c r="T132" s="390">
        <v>0.015725566025644597</v>
      </c>
      <c r="U132" s="390">
        <v>0.14068036853295535</v>
      </c>
      <c r="V132" s="391">
        <v>30026.690391459073</v>
      </c>
      <c r="W132" s="390">
        <v>0.02248</v>
      </c>
      <c r="X132" s="391">
        <v>64</v>
      </c>
      <c r="Y132" s="392">
        <v>88.83300920018056</v>
      </c>
      <c r="Z132" s="391">
        <v>179453</v>
      </c>
      <c r="AA132" s="391">
        <v>2654</v>
      </c>
      <c r="AB132" s="391">
        <v>675</v>
      </c>
      <c r="AC132" s="391">
        <v>2822</v>
      </c>
      <c r="AD132" s="391">
        <v>397</v>
      </c>
      <c r="AE132" s="391">
        <v>28</v>
      </c>
      <c r="AF132" s="391">
        <v>5</v>
      </c>
      <c r="AG132" s="391">
        <v>138</v>
      </c>
    </row>
    <row r="133">
      <c r="A133" s="406" t="s">
        <v>898</v>
      </c>
      <c r="B133" s="407" t="s">
        <v>860</v>
      </c>
      <c r="C133" s="408"/>
      <c r="D133" s="408">
        <f>SUM(D129:D132)</f>
      </c>
      <c r="E133" s="408">
        <f>SUM(E129:E132)</f>
      </c>
      <c r="F133" s="408">
        <f>SUM(F129:F132)</f>
      </c>
      <c r="G133" s="408">
        <f>SUM(G129:G132)</f>
      </c>
      <c r="H133" s="408">
        <f>SUM(H129:H132)</f>
      </c>
      <c r="I133" s="409">
        <f t="shared" si="22"/>
      </c>
      <c r="J133" s="409">
        <f t="shared" si="19"/>
      </c>
      <c r="K133" s="409">
        <f t="shared" si="41"/>
      </c>
      <c r="L133" s="408"/>
      <c r="M133" s="410">
        <f>SUM(M129:M132)</f>
      </c>
      <c r="N133" s="408"/>
      <c r="O133" s="408"/>
      <c r="P133" s="408"/>
      <c r="Q133" s="411">
        <f>AVERAGE(Q129:Q132)</f>
      </c>
      <c r="R133" s="412">
        <f>AVERAGE(R129:R132)</f>
      </c>
      <c r="S133" s="412">
        <f>AVERAGE(S129:S132)</f>
      </c>
      <c r="T133" s="412">
        <f>AVERAGE(T129:T132)</f>
      </c>
      <c r="U133" s="412">
        <f>AVERAGE(U129:U132)</f>
      </c>
      <c r="V133" s="413">
        <f>SUM(V129:V132)</f>
      </c>
      <c r="W133" s="412">
        <f>AVERAGE(W129:W132)</f>
      </c>
      <c r="X133" s="413"/>
      <c r="Y133" s="411">
        <f>AVERAGE(Y129:Y132)</f>
      </c>
      <c r="Z133" s="413">
        <f>SUM(Z129:Z132)</f>
      </c>
      <c r="AA133" s="413">
        <f>SUM(AA129:AA132)</f>
      </c>
      <c r="AB133" s="413">
        <f>SUM(AB129:AB132)</f>
      </c>
      <c r="AC133" s="413">
        <f>SUM(AC129:AC132)</f>
      </c>
      <c r="AD133" s="413">
        <f>SUM(AD129:AD132)</f>
      </c>
      <c r="AE133" s="413">
        <f>SUM(AE129:AE132)</f>
      </c>
      <c r="AF133" s="413">
        <f>SUM(AF129:AF132)</f>
      </c>
      <c r="AG133" s="413">
        <f>SUM(AG129:AG132)</f>
      </c>
    </row>
    <row r="134">
      <c r="A134" s="380" t="s">
        <v>899</v>
      </c>
      <c r="B134" s="381" t="s">
        <v>848</v>
      </c>
      <c r="C134" s="382" t="s">
        <v>879</v>
      </c>
      <c r="D134" s="383">
        <v>5</v>
      </c>
      <c r="E134" s="383">
        <v>22</v>
      </c>
      <c r="F134" s="383">
        <v>24</v>
      </c>
      <c r="G134" s="383">
        <v>59723.340000000004</v>
      </c>
      <c r="H134" s="384">
        <v>17653.519999999997</v>
      </c>
      <c r="I134" s="385">
        <f t="shared" si="22"/>
      </c>
      <c r="J134" s="385">
        <f t="shared" si="19"/>
      </c>
      <c r="K134" s="399">
        <f t="shared" si="41"/>
      </c>
      <c r="L134" s="402" t="s">
        <v>862</v>
      </c>
      <c r="M134" s="414">
        <v>10</v>
      </c>
      <c r="N134" s="401"/>
      <c r="O134" s="387"/>
      <c r="P134" s="387"/>
      <c r="Q134" s="388">
        <v>6.574867783985101</v>
      </c>
      <c r="R134" s="389">
        <v>0.12102877501159047</v>
      </c>
      <c r="S134" s="390">
        <v>0.012711864406779662</v>
      </c>
      <c r="T134" s="390">
        <v>0.013658744437079822</v>
      </c>
      <c r="U134" s="390">
        <v>0.1535528596187175</v>
      </c>
      <c r="V134" s="391">
        <v>25563.69785794814</v>
      </c>
      <c r="W134" s="390">
        <v>0.03548</v>
      </c>
      <c r="X134" s="391">
        <v>63.4</v>
      </c>
      <c r="Y134" s="392">
        <v>83.57882776252247</v>
      </c>
      <c r="Z134" s="391">
        <v>211220</v>
      </c>
      <c r="AA134" s="391">
        <v>2685</v>
      </c>
      <c r="AB134" s="391">
        <v>907</v>
      </c>
      <c r="AC134" s="391">
        <v>2885</v>
      </c>
      <c r="AD134" s="391">
        <v>443</v>
      </c>
      <c r="AE134" s="391">
        <v>35</v>
      </c>
      <c r="AF134" s="405">
        <v>16</v>
      </c>
      <c r="AG134" s="391">
        <v>221</v>
      </c>
    </row>
    <row r="135">
      <c r="A135" s="380" t="s">
        <v>899</v>
      </c>
      <c r="B135" s="381" t="s">
        <v>855</v>
      </c>
      <c r="C135" s="382" t="s">
        <v>880</v>
      </c>
      <c r="D135" s="383">
        <v>5</v>
      </c>
      <c r="E135" s="393">
        <v>20</v>
      </c>
      <c r="F135" s="393">
        <v>23</v>
      </c>
      <c r="G135" s="393">
        <v>53035.560000000005</v>
      </c>
      <c r="H135" s="394">
        <v>18183.06</v>
      </c>
      <c r="I135" s="385">
        <f t="shared" si="22"/>
      </c>
      <c r="J135" s="385">
        <f t="shared" si="19"/>
      </c>
      <c r="K135" s="385">
        <f t="shared" si="41"/>
      </c>
      <c r="L135" s="402"/>
      <c r="M135" s="414"/>
      <c r="N135" s="387"/>
      <c r="O135" s="387"/>
      <c r="P135" s="387"/>
      <c r="Q135" s="384">
        <v>7.560523908523909</v>
      </c>
      <c r="R135" s="390">
        <v>0.09139561744745522</v>
      </c>
      <c r="S135" s="389">
        <v>0.010594620311715316</v>
      </c>
      <c r="T135" s="390">
        <v>0.01089417714381371</v>
      </c>
      <c r="U135" s="389">
        <v>0.11160533764658309</v>
      </c>
      <c r="V135" s="391">
        <v>20746.98795180723</v>
      </c>
      <c r="W135" s="390">
        <v>0.041499999999999995</v>
      </c>
      <c r="X135" s="391">
        <v>58.4</v>
      </c>
      <c r="Y135" s="392">
        <v>80.10088016845667</v>
      </c>
      <c r="Z135" s="391">
        <v>227002</v>
      </c>
      <c r="AA135" s="391">
        <v>2405</v>
      </c>
      <c r="AB135" s="391">
        <v>861</v>
      </c>
      <c r="AC135" s="391">
        <v>2473</v>
      </c>
      <c r="AD135" s="391">
        <v>276</v>
      </c>
      <c r="AE135" s="391">
        <v>39</v>
      </c>
      <c r="AF135" s="391">
        <v>9</v>
      </c>
      <c r="AG135" s="391">
        <v>171</v>
      </c>
    </row>
    <row r="136">
      <c r="A136" s="380" t="s">
        <v>899</v>
      </c>
      <c r="B136" s="381" t="s">
        <v>851</v>
      </c>
      <c r="C136" s="382" t="s">
        <v>881</v>
      </c>
      <c r="D136" s="380">
        <v>5</v>
      </c>
      <c r="E136" s="396">
        <v>23</v>
      </c>
      <c r="F136" s="396">
        <v>26</v>
      </c>
      <c r="G136" s="396">
        <v>58080.999999999985</v>
      </c>
      <c r="H136" s="396">
        <v>23716.59</v>
      </c>
      <c r="I136" s="398">
        <f t="shared" si="22"/>
      </c>
      <c r="J136" s="385">
        <f t="shared" si="19"/>
      </c>
      <c r="K136" s="385">
        <f t="shared" si="41"/>
      </c>
      <c r="L136" s="400"/>
      <c r="M136" s="400"/>
      <c r="N136" s="401"/>
      <c r="O136" s="387"/>
      <c r="P136" s="387"/>
      <c r="Q136" s="384">
        <v>6.247784510010537</v>
      </c>
      <c r="R136" s="390">
        <v>0.08448533008223054</v>
      </c>
      <c r="S136" s="390">
        <v>0.010777477457015013</v>
      </c>
      <c r="T136" s="390">
        <v>0.01120335248824585</v>
      </c>
      <c r="U136" s="390">
        <v>0.11708058793715155</v>
      </c>
      <c r="V136" s="391">
        <v>29757.085020242914</v>
      </c>
      <c r="W136" s="390">
        <v>0.03952</v>
      </c>
      <c r="X136" s="391">
        <v>62.4</v>
      </c>
      <c r="Y136" s="392">
        <v>67.33535671292616</v>
      </c>
      <c r="Z136" s="391">
        <v>352216</v>
      </c>
      <c r="AA136" s="391">
        <v>3796</v>
      </c>
      <c r="AB136" s="391">
        <v>1176</v>
      </c>
      <c r="AC136" s="391">
        <v>3946</v>
      </c>
      <c r="AD136" s="391">
        <v>462</v>
      </c>
      <c r="AE136" s="391">
        <v>34</v>
      </c>
      <c r="AF136" s="391">
        <v>11</v>
      </c>
      <c r="AG136" s="391">
        <v>208</v>
      </c>
    </row>
    <row r="137">
      <c r="A137" s="380" t="s">
        <v>899</v>
      </c>
      <c r="B137" s="415" t="s">
        <v>853</v>
      </c>
      <c r="C137" s="382" t="s">
        <v>882</v>
      </c>
      <c r="D137" s="383">
        <v>5</v>
      </c>
      <c r="E137" s="402">
        <v>19</v>
      </c>
      <c r="F137" s="402">
        <v>24</v>
      </c>
      <c r="G137" s="402">
        <v>61098.770000000004</v>
      </c>
      <c r="H137" s="403">
        <v>13000.45</v>
      </c>
      <c r="I137" s="385">
        <f t="shared" si="22"/>
      </c>
      <c r="J137" s="385">
        <f t="shared" si="19"/>
      </c>
      <c r="K137" s="399">
        <f t="shared" si="41"/>
      </c>
      <c r="L137" s="383" t="s">
        <v>897</v>
      </c>
      <c r="M137" s="386">
        <v>10</v>
      </c>
      <c r="N137" s="401"/>
      <c r="O137" s="387"/>
      <c r="P137" s="387"/>
      <c r="Q137" s="384">
        <v>5.3368021346469625</v>
      </c>
      <c r="R137" s="390">
        <v>0.09956693354340594</v>
      </c>
      <c r="S137" s="390">
        <v>0.013218512428983054</v>
      </c>
      <c r="T137" s="390">
        <v>0.014406876231096061</v>
      </c>
      <c r="U137" s="390">
        <v>0.12052730696798493</v>
      </c>
      <c r="V137" s="391">
        <v>18348.89148191365</v>
      </c>
      <c r="W137" s="390">
        <v>0.03428</v>
      </c>
      <c r="X137" s="391">
        <v>64.6</v>
      </c>
      <c r="Y137" s="392">
        <v>70.54458534785417</v>
      </c>
      <c r="Z137" s="391">
        <v>184287</v>
      </c>
      <c r="AA137" s="391">
        <v>2436</v>
      </c>
      <c r="AB137" s="391">
        <v>629</v>
      </c>
      <c r="AC137" s="391">
        <v>2655</v>
      </c>
      <c r="AD137" s="391">
        <v>320</v>
      </c>
      <c r="AE137" s="391">
        <v>27</v>
      </c>
      <c r="AF137" s="391">
        <v>12</v>
      </c>
      <c r="AG137" s="391">
        <v>163</v>
      </c>
    </row>
    <row r="138">
      <c r="A138" s="406" t="s">
        <v>899</v>
      </c>
      <c r="B138" s="407" t="s">
        <v>860</v>
      </c>
      <c r="C138" s="408"/>
      <c r="D138" s="408">
        <f>SUM(D134:D137)</f>
      </c>
      <c r="E138" s="408">
        <f>SUM(E134:E137)</f>
      </c>
      <c r="F138" s="408">
        <f>SUM(F134:F137)</f>
      </c>
      <c r="G138" s="408">
        <f>SUM(G134:G137)</f>
      </c>
      <c r="H138" s="408">
        <f>SUM(H134:H137)</f>
      </c>
      <c r="I138" s="409">
        <f t="shared" si="22"/>
      </c>
      <c r="J138" s="409">
        <f t="shared" si="19"/>
      </c>
      <c r="K138" s="409">
        <f t="shared" si="41"/>
      </c>
      <c r="L138" s="408"/>
      <c r="M138" s="410">
        <f>SUM(M134:M137)</f>
      </c>
      <c r="N138" s="408"/>
      <c r="O138" s="408"/>
      <c r="P138" s="408"/>
      <c r="Q138" s="411">
        <f>AVERAGE(Q134:Q137)</f>
      </c>
      <c r="R138" s="412">
        <f>AVERAGE(R134:R137)</f>
      </c>
      <c r="S138" s="412">
        <f>AVERAGE(S134:S137)</f>
      </c>
      <c r="T138" s="412">
        <f>AVERAGE(T134:T137)</f>
      </c>
      <c r="U138" s="412">
        <f>AVERAGE(U134:U137)</f>
      </c>
      <c r="V138" s="413">
        <f>SUM(V134:V137)</f>
      </c>
      <c r="W138" s="412">
        <f>AVERAGE(W134:W137)</f>
      </c>
      <c r="X138" s="413"/>
      <c r="Y138" s="411">
        <f>AVERAGE(Y134:Y137)</f>
      </c>
      <c r="Z138" s="413">
        <f>SUM(Z134:Z137)</f>
      </c>
      <c r="AA138" s="413">
        <f>SUM(AA134:AA137)</f>
      </c>
      <c r="AB138" s="413">
        <f>SUM(AB134:AB137)</f>
      </c>
      <c r="AC138" s="413">
        <f>SUM(AC134:AC137)</f>
      </c>
      <c r="AD138" s="413">
        <f>SUM(AD134:AD137)</f>
      </c>
      <c r="AE138" s="413">
        <f>SUM(AE134:AE137)</f>
      </c>
      <c r="AF138" s="413">
        <f>SUM(AF134:AF137)</f>
      </c>
      <c r="AG138" s="413">
        <f>SUM(AG134:AG137)</f>
      </c>
    </row>
    <row r="139">
      <c r="A139" s="380" t="s">
        <v>900</v>
      </c>
      <c r="B139" s="381" t="s">
        <v>851</v>
      </c>
      <c r="C139" s="382" t="s">
        <v>879</v>
      </c>
      <c r="D139" s="383">
        <v>5</v>
      </c>
      <c r="E139" s="383">
        <v>18</v>
      </c>
      <c r="F139" s="383">
        <v>23</v>
      </c>
      <c r="G139" s="383">
        <v>54214.909999999996</v>
      </c>
      <c r="H139" s="384">
        <v>18785.63</v>
      </c>
      <c r="I139" s="385">
        <f t="shared" si="22"/>
      </c>
      <c r="J139" s="385">
        <f t="shared" si="19"/>
      </c>
      <c r="K139" s="399">
        <f t="shared" si="41"/>
      </c>
      <c r="L139" s="402" t="s">
        <v>862</v>
      </c>
      <c r="M139" s="414">
        <v>10</v>
      </c>
      <c r="N139" s="401"/>
      <c r="O139" s="387"/>
      <c r="P139" s="387"/>
      <c r="Q139" s="388">
        <v>6.129079934747145</v>
      </c>
      <c r="R139" s="389">
        <v>0.0997365422769876</v>
      </c>
      <c r="S139" s="390">
        <v>0.014184364341479894</v>
      </c>
      <c r="T139" s="390">
        <v>0.01470268369098911</v>
      </c>
      <c r="U139" s="390">
        <v>0.14542020774315392</v>
      </c>
      <c r="V139" s="391">
        <v>21551.37126483831</v>
      </c>
      <c r="W139" s="390">
        <v>0.04886</v>
      </c>
      <c r="X139" s="391">
        <v>59</v>
      </c>
      <c r="Y139" s="392">
        <v>86.93710287250734</v>
      </c>
      <c r="Z139" s="391">
        <v>216083</v>
      </c>
      <c r="AA139" s="391">
        <v>3065</v>
      </c>
      <c r="AB139" s="391">
        <v>1053</v>
      </c>
      <c r="AC139" s="391">
        <v>3177</v>
      </c>
      <c r="AD139" s="391">
        <v>462</v>
      </c>
      <c r="AE139" s="391">
        <v>44</v>
      </c>
      <c r="AF139" s="405">
        <v>12</v>
      </c>
      <c r="AG139" s="391">
        <v>291</v>
      </c>
    </row>
    <row r="140">
      <c r="A140" s="380" t="s">
        <v>900</v>
      </c>
      <c r="B140" s="415" t="s">
        <v>853</v>
      </c>
      <c r="C140" s="382" t="s">
        <v>880</v>
      </c>
      <c r="D140" s="383">
        <v>5</v>
      </c>
      <c r="E140" s="393">
        <v>14</v>
      </c>
      <c r="F140" s="393">
        <v>25</v>
      </c>
      <c r="G140" s="393">
        <v>61574.21</v>
      </c>
      <c r="H140" s="394">
        <v>17439.489999999998</v>
      </c>
      <c r="I140" s="385">
        <f t="shared" si="22"/>
      </c>
      <c r="J140" s="385">
        <f t="shared" si="19"/>
      </c>
      <c r="K140" s="385">
        <f t="shared" si="41"/>
      </c>
      <c r="L140" s="402"/>
      <c r="M140" s="414"/>
      <c r="N140" s="387"/>
      <c r="O140" s="387"/>
      <c r="P140" s="387"/>
      <c r="Q140" s="384">
        <v>7.909065759637187</v>
      </c>
      <c r="R140" s="390">
        <v>0.10165863684282822</v>
      </c>
      <c r="S140" s="389">
        <v>0.012239528403477026</v>
      </c>
      <c r="T140" s="390">
        <v>0.012189571144687323</v>
      </c>
      <c r="U140" s="389">
        <v>0.1830601092896175</v>
      </c>
      <c r="V140" s="391">
        <v>18314.210061782876</v>
      </c>
      <c r="W140" s="390">
        <v>0.04532</v>
      </c>
      <c r="X140" s="391">
        <v>62.6</v>
      </c>
      <c r="Y140" s="392">
        <v>96.80323501004695</v>
      </c>
      <c r="Z140" s="391">
        <v>180154</v>
      </c>
      <c r="AA140" s="391">
        <v>2205</v>
      </c>
      <c r="AB140" s="391">
        <v>830</v>
      </c>
      <c r="AC140" s="391">
        <v>2196</v>
      </c>
      <c r="AD140" s="391">
        <v>402</v>
      </c>
      <c r="AE140" s="391">
        <v>36</v>
      </c>
      <c r="AF140" s="391">
        <v>6</v>
      </c>
      <c r="AG140" s="391">
        <v>242</v>
      </c>
    </row>
    <row r="141">
      <c r="A141" s="380" t="s">
        <v>900</v>
      </c>
      <c r="B141" s="381" t="s">
        <v>863</v>
      </c>
      <c r="C141" s="382" t="s">
        <v>881</v>
      </c>
      <c r="D141" s="380">
        <v>5</v>
      </c>
      <c r="E141" s="396">
        <v>29</v>
      </c>
      <c r="F141" s="396">
        <v>29</v>
      </c>
      <c r="G141" s="396">
        <v>73596.09000000003</v>
      </c>
      <c r="H141" s="396">
        <v>21077.449999999997</v>
      </c>
      <c r="I141" s="398">
        <f t="shared" si="22"/>
      </c>
      <c r="J141" s="385">
        <f t="shared" si="19"/>
      </c>
      <c r="K141" s="385">
        <f t="shared" si="41"/>
      </c>
      <c r="L141" s="400"/>
      <c r="M141" s="400"/>
      <c r="N141" s="401"/>
      <c r="O141" s="387"/>
      <c r="P141" s="387"/>
      <c r="Q141" s="384">
        <v>7.099174806332098</v>
      </c>
      <c r="R141" s="390">
        <v>0.10053477403212806</v>
      </c>
      <c r="S141" s="390">
        <v>0.012892663904883493</v>
      </c>
      <c r="T141" s="390">
        <v>0.01345283690715024</v>
      </c>
      <c r="U141" s="390">
        <v>0.18398967075532602</v>
      </c>
      <c r="V141" s="391">
        <v>23151.750972762642</v>
      </c>
      <c r="W141" s="390">
        <v>0.041120000000000004</v>
      </c>
      <c r="X141" s="391">
        <v>66</v>
      </c>
      <c r="Y141" s="392">
        <v>91.52727478005609</v>
      </c>
      <c r="Z141" s="391">
        <v>230286</v>
      </c>
      <c r="AA141" s="391">
        <v>2969</v>
      </c>
      <c r="AB141" s="391">
        <v>952</v>
      </c>
      <c r="AC141" s="391">
        <v>3098</v>
      </c>
      <c r="AD141" s="391">
        <v>570</v>
      </c>
      <c r="AE141" s="391">
        <v>54</v>
      </c>
      <c r="AF141" s="391">
        <v>14</v>
      </c>
      <c r="AG141" s="391">
        <v>284</v>
      </c>
    </row>
    <row r="142">
      <c r="A142" s="380" t="s">
        <v>900</v>
      </c>
      <c r="B142" s="381" t="s">
        <v>848</v>
      </c>
      <c r="C142" s="382" t="s">
        <v>882</v>
      </c>
      <c r="D142" s="383">
        <v>5</v>
      </c>
      <c r="E142" s="402">
        <v>26</v>
      </c>
      <c r="F142" s="402">
        <v>31</v>
      </c>
      <c r="G142" s="402">
        <v>72832.18000000001</v>
      </c>
      <c r="H142" s="403">
        <v>20214.999999999996</v>
      </c>
      <c r="I142" s="385">
        <f t="shared" si="22"/>
      </c>
      <c r="J142" s="385">
        <f t="shared" si="19"/>
      </c>
      <c r="K142" s="399">
        <f t="shared" si="41"/>
      </c>
      <c r="L142" s="383" t="s">
        <v>897</v>
      </c>
      <c r="M142" s="386">
        <v>10</v>
      </c>
      <c r="N142" s="401"/>
      <c r="O142" s="387"/>
      <c r="P142" s="387"/>
      <c r="Q142" s="384">
        <v>6.005644682115269</v>
      </c>
      <c r="R142" s="390">
        <v>0.11824035680631415</v>
      </c>
      <c r="S142" s="390">
        <v>0.013819095477386936</v>
      </c>
      <c r="T142" s="390">
        <v>0.014697671363352711</v>
      </c>
      <c r="U142" s="390">
        <v>0.12988826815642457</v>
      </c>
      <c r="V142" s="391">
        <v>28800.513149454775</v>
      </c>
      <c r="W142" s="390">
        <v>0.031180000000000003</v>
      </c>
      <c r="X142" s="391">
        <v>67</v>
      </c>
      <c r="Y142" s="392">
        <v>82.99257726541201</v>
      </c>
      <c r="Z142" s="391">
        <v>243576</v>
      </c>
      <c r="AA142" s="391">
        <v>3366</v>
      </c>
      <c r="AB142" s="391">
        <v>898</v>
      </c>
      <c r="AC142" s="391">
        <v>3580</v>
      </c>
      <c r="AD142" s="391">
        <v>465</v>
      </c>
      <c r="AE142" s="391">
        <v>43</v>
      </c>
      <c r="AF142" s="391">
        <v>11</v>
      </c>
      <c r="AG142" s="391">
        <v>291</v>
      </c>
    </row>
    <row r="143">
      <c r="A143" s="406" t="s">
        <v>900</v>
      </c>
      <c r="B143" s="407" t="s">
        <v>860</v>
      </c>
      <c r="C143" s="408"/>
      <c r="D143" s="408">
        <f>SUM(D139:D142)</f>
      </c>
      <c r="E143" s="408">
        <f>SUM(E139:E142)</f>
      </c>
      <c r="F143" s="408">
        <f>SUM(F139:F142)</f>
      </c>
      <c r="G143" s="408">
        <f>SUM(G139:G142)</f>
      </c>
      <c r="H143" s="408">
        <f>SUM(H139:H142)</f>
      </c>
      <c r="I143" s="409">
        <f t="shared" si="22"/>
      </c>
      <c r="J143" s="409">
        <f t="shared" si="19"/>
      </c>
      <c r="K143" s="409">
        <f t="shared" si="41"/>
      </c>
      <c r="L143" s="408"/>
      <c r="M143" s="410">
        <f>SUM(M139:M142)</f>
      </c>
      <c r="N143" s="408"/>
      <c r="O143" s="408"/>
      <c r="P143" s="408"/>
      <c r="Q143" s="411">
        <f>AVERAGE(Q139:Q142)</f>
      </c>
      <c r="R143" s="412">
        <f>AVERAGE(R139:R142)</f>
      </c>
      <c r="S143" s="412">
        <f>AVERAGE(S139:S142)</f>
      </c>
      <c r="T143" s="412">
        <f>AVERAGE(T139:T142)</f>
      </c>
      <c r="U143" s="412">
        <f>AVERAGE(U139:U142)</f>
      </c>
      <c r="V143" s="413">
        <f>SUM(V139:V142)</f>
      </c>
      <c r="W143" s="412">
        <f>AVERAGE(W139:W142)</f>
      </c>
      <c r="X143" s="413"/>
      <c r="Y143" s="411">
        <f>AVERAGE(Y139:Y142)</f>
      </c>
      <c r="Z143" s="413">
        <f>SUM(Z139:Z142)</f>
      </c>
      <c r="AA143" s="413">
        <f>SUM(AA139:AA142)</f>
      </c>
      <c r="AB143" s="413">
        <f>SUM(AB139:AB142)</f>
      </c>
      <c r="AC143" s="413">
        <f>SUM(AC139:AC142)</f>
      </c>
      <c r="AD143" s="413">
        <f>SUM(AD139:AD142)</f>
      </c>
      <c r="AE143" s="413">
        <f>SUM(AE139:AE142)</f>
      </c>
      <c r="AF143" s="413">
        <f>SUM(AF139:AF142)</f>
      </c>
      <c r="AG143" s="413">
        <f>SUM(AG139:AG142)</f>
      </c>
    </row>
    <row r="144">
      <c r="A144" s="380" t="s">
        <v>901</v>
      </c>
      <c r="B144" s="395" t="s">
        <v>851</v>
      </c>
      <c r="C144" s="382" t="s">
        <v>849</v>
      </c>
      <c r="D144" s="383">
        <v>4</v>
      </c>
      <c r="E144" s="383">
        <v>16</v>
      </c>
      <c r="F144" s="383">
        <v>18</v>
      </c>
      <c r="G144" s="383">
        <v>48448.08</v>
      </c>
      <c r="H144" s="384">
        <v>15372.439999999999</v>
      </c>
      <c r="I144" s="385">
        <f t="shared" si="22"/>
      </c>
      <c r="J144" s="385">
        <f t="shared" si="19"/>
      </c>
      <c r="K144" s="399">
        <f t="shared" si="41"/>
      </c>
      <c r="L144" s="402" t="s">
        <v>850</v>
      </c>
      <c r="M144" s="414">
        <v>10</v>
      </c>
      <c r="N144" s="401"/>
      <c r="O144" s="387"/>
      <c r="P144" s="387"/>
      <c r="Q144" s="388">
        <v>5.553627167630057</v>
      </c>
      <c r="R144" s="389">
        <v>0.13562008404025236</v>
      </c>
      <c r="S144" s="390">
        <v>0.01456696435619596</v>
      </c>
      <c r="T144" s="390">
        <v>0.015603702787615975</v>
      </c>
      <c r="U144" s="390">
        <v>0.13018549747048905</v>
      </c>
      <c r="V144" s="391">
        <v>25770.392749244715</v>
      </c>
      <c r="W144" s="390">
        <v>0.0331</v>
      </c>
      <c r="X144" s="391">
        <v>60.75</v>
      </c>
      <c r="Y144" s="392">
        <v>80.89948899846857</v>
      </c>
      <c r="Z144" s="391">
        <v>190019</v>
      </c>
      <c r="AA144" s="391">
        <v>2768</v>
      </c>
      <c r="AB144" s="391">
        <v>853</v>
      </c>
      <c r="AC144" s="391">
        <v>2965</v>
      </c>
      <c r="AD144" s="391">
        <v>386</v>
      </c>
      <c r="AE144" s="391">
        <v>42</v>
      </c>
      <c r="AF144" s="391">
        <v>10</v>
      </c>
      <c r="AG144" s="391">
        <v>289</v>
      </c>
    </row>
    <row r="145">
      <c r="A145" s="380" t="s">
        <v>901</v>
      </c>
      <c r="B145" s="381" t="s">
        <v>863</v>
      </c>
      <c r="C145" s="382" t="s">
        <v>852</v>
      </c>
      <c r="D145" s="383">
        <v>4</v>
      </c>
      <c r="E145" s="393">
        <v>13</v>
      </c>
      <c r="F145" s="393">
        <v>14</v>
      </c>
      <c r="G145" s="393">
        <v>38011.55999999999</v>
      </c>
      <c r="H145" s="394">
        <v>14080.560000000001</v>
      </c>
      <c r="I145" s="385">
        <f t="shared" si="22"/>
      </c>
      <c r="J145" s="385">
        <f t="shared" si="19"/>
      </c>
      <c r="K145" s="385">
        <f t="shared" si="41"/>
      </c>
      <c r="L145" s="402"/>
      <c r="M145" s="414"/>
      <c r="N145" s="387"/>
      <c r="O145" s="387"/>
      <c r="P145" s="387"/>
      <c r="Q145" s="384">
        <v>8.134350086655113</v>
      </c>
      <c r="R145" s="390">
        <v>0.14384830117778544</v>
      </c>
      <c r="S145" s="389">
        <v>0.013444346927838574</v>
      </c>
      <c r="T145" s="390">
        <v>0.01380162015642354</v>
      </c>
      <c r="U145" s="389">
        <v>0.19077096229600451</v>
      </c>
      <c r="V145" s="391">
        <v>18520.90032154341</v>
      </c>
      <c r="W145" s="390">
        <v>0.031099999999999996</v>
      </c>
      <c r="X145" s="391">
        <v>63.25</v>
      </c>
      <c r="Y145" s="392">
        <v>109.36102459748511</v>
      </c>
      <c r="Z145" s="391">
        <v>128753</v>
      </c>
      <c r="AA145" s="391">
        <v>1731</v>
      </c>
      <c r="AB145" s="391">
        <v>576</v>
      </c>
      <c r="AC145" s="391">
        <v>1777</v>
      </c>
      <c r="AD145" s="391">
        <v>339</v>
      </c>
      <c r="AE145" s="391">
        <v>31</v>
      </c>
      <c r="AF145" s="391">
        <v>15</v>
      </c>
      <c r="AG145" s="391">
        <v>166</v>
      </c>
    </row>
    <row r="146">
      <c r="A146" s="380" t="s">
        <v>901</v>
      </c>
      <c r="B146" s="395" t="s">
        <v>855</v>
      </c>
      <c r="C146" s="382" t="s">
        <v>854</v>
      </c>
      <c r="D146" s="380">
        <v>4</v>
      </c>
      <c r="E146" s="396">
        <v>17</v>
      </c>
      <c r="F146" s="396">
        <v>19</v>
      </c>
      <c r="G146" s="397">
        <v>50224.99</v>
      </c>
      <c r="H146" s="397">
        <v>14911.78</v>
      </c>
      <c r="I146" s="398">
        <f t="shared" si="22"/>
      </c>
      <c r="J146" s="385">
        <f>G147/F147</f>
      </c>
      <c r="K146" s="399">
        <f>H147/F147</f>
      </c>
      <c r="L146" s="400"/>
      <c r="M146" s="400"/>
      <c r="N146" s="401"/>
      <c r="O146" s="387"/>
      <c r="P146" s="387"/>
      <c r="Q146" s="384">
        <v>7.463353353353353</v>
      </c>
      <c r="R146" s="390">
        <v>0.13429255977386506</v>
      </c>
      <c r="S146" s="390">
        <v>0.01485170593919572</v>
      </c>
      <c r="T146" s="390">
        <v>0.015557868133501821</v>
      </c>
      <c r="U146" s="390">
        <v>0.12374581939799331</v>
      </c>
      <c r="V146" s="391">
        <v>18066.378066378067</v>
      </c>
      <c r="W146" s="390">
        <v>0.03465</v>
      </c>
      <c r="X146" s="391">
        <v>66.5</v>
      </c>
      <c r="Y146" s="392">
        <v>110.84352932431428</v>
      </c>
      <c r="Z146" s="391">
        <v>134530</v>
      </c>
      <c r="AA146" s="391">
        <v>1998</v>
      </c>
      <c r="AB146" s="391">
        <v>626</v>
      </c>
      <c r="AC146" s="391">
        <v>2093</v>
      </c>
      <c r="AD146" s="391">
        <v>259</v>
      </c>
      <c r="AE146" s="391">
        <v>21</v>
      </c>
      <c r="AF146" s="391">
        <v>6</v>
      </c>
      <c r="AG146" s="391">
        <v>127</v>
      </c>
    </row>
    <row r="147">
      <c r="A147" s="380" t="s">
        <v>901</v>
      </c>
      <c r="B147" s="381" t="s">
        <v>853</v>
      </c>
      <c r="C147" s="382" t="s">
        <v>856</v>
      </c>
      <c r="D147" s="383">
        <v>4</v>
      </c>
      <c r="E147" s="402">
        <v>17</v>
      </c>
      <c r="F147" s="402">
        <v>20</v>
      </c>
      <c r="G147" s="402">
        <v>53448.390000000014</v>
      </c>
      <c r="H147" s="403">
        <v>16956.949999999997</v>
      </c>
      <c r="I147" s="385">
        <f t="shared" si="22"/>
      </c>
      <c r="J147" s="385">
        <f t="shared" ref="J147:J151" si="20">G147/F147</f>
      </c>
      <c r="K147" s="399">
        <f t="shared" ref="K147:K151" si="42">H147/F147</f>
      </c>
      <c r="L147" s="404"/>
      <c r="M147" s="404"/>
      <c r="N147" s="401"/>
      <c r="O147" s="387"/>
      <c r="P147" s="387"/>
      <c r="Q147" s="384">
        <v>7.48320829655781</v>
      </c>
      <c r="R147" s="390">
        <v>0.14825709703252815</v>
      </c>
      <c r="S147" s="390">
        <v>0.01581816785686862</v>
      </c>
      <c r="T147" s="390">
        <v>0.016746595184743078</v>
      </c>
      <c r="U147" s="390">
        <v>0.1433930804501876</v>
      </c>
      <c r="V147" s="391">
        <v>21238.273921200755</v>
      </c>
      <c r="W147" s="390">
        <v>0.026649999999999997</v>
      </c>
      <c r="X147" s="391">
        <v>66.5</v>
      </c>
      <c r="Y147" s="392">
        <v>118.37064494286331</v>
      </c>
      <c r="Z147" s="391">
        <v>143253</v>
      </c>
      <c r="AA147" s="391">
        <v>2266</v>
      </c>
      <c r="AB147" s="391">
        <v>566</v>
      </c>
      <c r="AC147" s="391">
        <v>2399</v>
      </c>
      <c r="AD147" s="391">
        <v>344</v>
      </c>
      <c r="AE147" s="391">
        <v>25</v>
      </c>
      <c r="AF147" s="391">
        <v>13</v>
      </c>
      <c r="AG147" s="391">
        <v>148</v>
      </c>
    </row>
    <row r="148">
      <c r="A148" s="380" t="s">
        <v>901</v>
      </c>
      <c r="B148" s="381" t="s">
        <v>848</v>
      </c>
      <c r="C148" s="382" t="s">
        <v>858</v>
      </c>
      <c r="D148" s="383">
        <v>4</v>
      </c>
      <c r="E148" s="383">
        <v>10</v>
      </c>
      <c r="F148" s="383">
        <v>11</v>
      </c>
      <c r="G148" s="383">
        <v>26490.209999999977</v>
      </c>
      <c r="H148" s="384">
        <v>12367.46</v>
      </c>
      <c r="I148" s="385">
        <f t="shared" si="22"/>
      </c>
      <c r="J148" s="385">
        <f t="shared" si="20"/>
      </c>
      <c r="K148" s="399">
        <f t="shared" si="42"/>
      </c>
      <c r="L148" s="383" t="s">
        <v>897</v>
      </c>
      <c r="M148" s="386">
        <v>10</v>
      </c>
      <c r="N148" s="401"/>
      <c r="O148" s="387"/>
      <c r="P148" s="387"/>
      <c r="Q148" s="392">
        <v>5.997798254122211</v>
      </c>
      <c r="R148" s="390">
        <v>0.17330277946526026</v>
      </c>
      <c r="S148" s="390">
        <v>0.014871765282866456</v>
      </c>
      <c r="T148" s="390">
        <v>0.01579493984940715</v>
      </c>
      <c r="U148" s="390">
        <v>0.12054794520547946</v>
      </c>
      <c r="V148" s="391">
        <v>24028.776978417267</v>
      </c>
      <c r="W148" s="390">
        <v>0.02085</v>
      </c>
      <c r="X148" s="391">
        <v>68</v>
      </c>
      <c r="Y148" s="392">
        <v>89.19784784929175</v>
      </c>
      <c r="Z148" s="391">
        <v>138652</v>
      </c>
      <c r="AA148" s="391">
        <v>2062</v>
      </c>
      <c r="AB148" s="391">
        <v>501</v>
      </c>
      <c r="AC148" s="391">
        <v>2190</v>
      </c>
      <c r="AD148" s="391">
        <v>264</v>
      </c>
      <c r="AE148" s="391">
        <v>21</v>
      </c>
      <c r="AF148" s="391">
        <v>5</v>
      </c>
      <c r="AG148" s="405">
        <v>140</v>
      </c>
    </row>
    <row r="149">
      <c r="A149" s="406" t="s">
        <v>901</v>
      </c>
      <c r="B149" s="407" t="s">
        <v>860</v>
      </c>
      <c r="C149" s="408"/>
      <c r="D149" s="408">
        <f>SUM(D144:D148)</f>
      </c>
      <c r="E149" s="408">
        <f>SUM(E144:E148)</f>
      </c>
      <c r="F149" s="408">
        <f>SUM(F144:F148)</f>
      </c>
      <c r="G149" s="408">
        <f>SUM(G144:G148)</f>
      </c>
      <c r="H149" s="408">
        <f>SUM(H144:H148)</f>
      </c>
      <c r="I149" s="409">
        <f t="shared" si="22"/>
      </c>
      <c r="J149" s="409">
        <f t="shared" si="20"/>
      </c>
      <c r="K149" s="409">
        <f t="shared" si="42"/>
      </c>
      <c r="L149" s="408"/>
      <c r="M149" s="410">
        <f>SUM(M144:M148)</f>
      </c>
      <c r="N149" s="408"/>
      <c r="O149" s="408"/>
      <c r="P149" s="408"/>
      <c r="Q149" s="411">
        <f>AVERAGE(Q144:Q148)</f>
      </c>
      <c r="R149" s="412">
        <f>AVERAGE(R144:R148)</f>
      </c>
      <c r="S149" s="412">
        <f>AVERAGE(S144:S148)</f>
      </c>
      <c r="T149" s="412">
        <f>AVERAGE(T144:T148)</f>
      </c>
      <c r="U149" s="412">
        <f>AVERAGE(U144:U148)</f>
      </c>
      <c r="V149" s="413">
        <f>SUM(V144:V148)</f>
      </c>
      <c r="W149" s="412">
        <f>AVERAGE(W144:W148)</f>
      </c>
      <c r="X149" s="413"/>
      <c r="Y149" s="411">
        <f>AVERAGE(Y144:Y148)</f>
      </c>
      <c r="Z149" s="413">
        <f>SUM(Z144:Z148)</f>
      </c>
      <c r="AA149" s="413">
        <f>SUM(AA144:AA148)</f>
      </c>
      <c r="AB149" s="413">
        <f>SUM(AB144:AB148)</f>
      </c>
      <c r="AC149" s="413">
        <f>SUM(AC144:AC148)</f>
      </c>
      <c r="AD149" s="413">
        <f>SUM(AD144:AD148)</f>
      </c>
      <c r="AE149" s="413">
        <f>SUM(AE144:AE148)</f>
      </c>
      <c r="AF149" s="413">
        <f>SUM(AF144:AF148)</f>
      </c>
      <c r="AG149" s="413">
        <f>SUM(AG144:AG148)</f>
      </c>
    </row>
    <row r="150">
      <c r="A150" s="380" t="s">
        <v>902</v>
      </c>
      <c r="B150" s="395" t="s">
        <v>863</v>
      </c>
      <c r="C150" s="382" t="s">
        <v>849</v>
      </c>
      <c r="D150" s="383">
        <v>4</v>
      </c>
      <c r="E150" s="383">
        <v>14</v>
      </c>
      <c r="F150" s="383">
        <v>15</v>
      </c>
      <c r="G150" s="383">
        <v>39342.27</v>
      </c>
      <c r="H150" s="384">
        <v>13972.919999999998</v>
      </c>
      <c r="I150" s="385">
        <f t="shared" si="22"/>
      </c>
      <c r="J150" s="385">
        <f t="shared" si="20"/>
      </c>
      <c r="K150" s="399">
        <f t="shared" si="42"/>
      </c>
      <c r="L150" s="402" t="s">
        <v>850</v>
      </c>
      <c r="M150" s="414">
        <v>10</v>
      </c>
      <c r="N150" s="401"/>
      <c r="O150" s="387"/>
      <c r="P150" s="387"/>
      <c r="Q150" s="388">
        <v>5.717234042553191</v>
      </c>
      <c r="R150" s="389">
        <v>0.14612856038650313</v>
      </c>
      <c r="S150" s="390">
        <v>0.016140856046546952</v>
      </c>
      <c r="T150" s="390">
        <v>0.016933369436721107</v>
      </c>
      <c r="U150" s="390">
        <v>0.11622464898595944</v>
      </c>
      <c r="V150" s="391">
        <v>22126.34822804314</v>
      </c>
      <c r="W150" s="390">
        <v>0.03245</v>
      </c>
      <c r="X150" s="391">
        <v>55.5</v>
      </c>
      <c r="Y150" s="392">
        <v>92.28105166526875</v>
      </c>
      <c r="Z150" s="391">
        <v>151417</v>
      </c>
      <c r="AA150" s="391">
        <v>2444</v>
      </c>
      <c r="AB150" s="391">
        <v>718</v>
      </c>
      <c r="AC150" s="391">
        <v>2564</v>
      </c>
      <c r="AD150" s="391">
        <v>298</v>
      </c>
      <c r="AE150" s="391">
        <v>31</v>
      </c>
      <c r="AF150" s="391">
        <v>6</v>
      </c>
      <c r="AG150" s="391">
        <v>228</v>
      </c>
    </row>
    <row r="151">
      <c r="A151" s="380" t="s">
        <v>902</v>
      </c>
      <c r="B151" s="381" t="s">
        <v>853</v>
      </c>
      <c r="C151" s="382" t="s">
        <v>852</v>
      </c>
      <c r="D151" s="383">
        <v>4</v>
      </c>
      <c r="E151" s="393">
        <v>20</v>
      </c>
      <c r="F151" s="393">
        <v>21</v>
      </c>
      <c r="G151" s="393">
        <v>53009.23999999999</v>
      </c>
      <c r="H151" s="394">
        <v>15441.710000000001</v>
      </c>
      <c r="I151" s="385">
        <f t="shared" si="22"/>
      </c>
      <c r="J151" s="385">
        <f t="shared" si="20"/>
      </c>
      <c r="K151" s="385">
        <f t="shared" si="42"/>
      </c>
      <c r="L151" s="402"/>
      <c r="M151" s="414"/>
      <c r="N151" s="387"/>
      <c r="O151" s="387"/>
      <c r="P151" s="387"/>
      <c r="Q151" s="384">
        <v>8.48912039582188</v>
      </c>
      <c r="R151" s="390">
        <v>0.10605584166272498</v>
      </c>
      <c r="S151" s="389">
        <v>0.011936478771572938</v>
      </c>
      <c r="T151" s="390">
        <v>0.011962727213071725</v>
      </c>
      <c r="U151" s="389">
        <v>0.2002194185408667</v>
      </c>
      <c r="V151" s="391">
        <v>16161.84971098266</v>
      </c>
      <c r="W151" s="390">
        <v>0.04325</v>
      </c>
      <c r="X151" s="391">
        <v>58</v>
      </c>
      <c r="Y151" s="392">
        <v>101.33020539405474</v>
      </c>
      <c r="Z151" s="391">
        <v>152390</v>
      </c>
      <c r="AA151" s="391">
        <v>1819</v>
      </c>
      <c r="AB151" s="391">
        <v>699</v>
      </c>
      <c r="AC151" s="391">
        <v>1823</v>
      </c>
      <c r="AD151" s="391">
        <v>365</v>
      </c>
      <c r="AE151" s="391">
        <v>44</v>
      </c>
      <c r="AF151" s="391">
        <v>6</v>
      </c>
      <c r="AG151" s="391">
        <v>225</v>
      </c>
    </row>
    <row r="152">
      <c r="A152" s="380" t="s">
        <v>902</v>
      </c>
      <c r="B152" s="395" t="s">
        <v>855</v>
      </c>
      <c r="C152" s="382" t="s">
        <v>854</v>
      </c>
      <c r="D152" s="380">
        <v>4</v>
      </c>
      <c r="E152" s="396">
        <v>9</v>
      </c>
      <c r="F152" s="396">
        <v>11</v>
      </c>
      <c r="G152" s="397">
        <v>29464.530000000002</v>
      </c>
      <c r="H152" s="397">
        <v>11675.14</v>
      </c>
      <c r="I152" s="398">
        <f t="shared" si="22"/>
      </c>
      <c r="J152" s="385">
        <f>G153/F153</f>
      </c>
      <c r="K152" s="399">
        <f>H153/F153</f>
      </c>
      <c r="L152" s="400"/>
      <c r="M152" s="400"/>
      <c r="N152" s="401"/>
      <c r="O152" s="387"/>
      <c r="P152" s="387"/>
      <c r="Q152" s="384">
        <v>7.586185834957765</v>
      </c>
      <c r="R152" s="390">
        <v>0.13547553176955884</v>
      </c>
      <c r="S152" s="390">
        <v>0.013731140871334124</v>
      </c>
      <c r="T152" s="390">
        <v>0.014070181386675708</v>
      </c>
      <c r="U152" s="390">
        <v>0.09575142675967026</v>
      </c>
      <c r="V152" s="391">
        <v>15184.233076263925</v>
      </c>
      <c r="W152" s="390">
        <v>0.029175</v>
      </c>
      <c r="X152" s="391">
        <v>63</v>
      </c>
      <c r="Y152" s="392">
        <v>104.16698637592455</v>
      </c>
      <c r="Z152" s="391">
        <v>112081</v>
      </c>
      <c r="AA152" s="391">
        <v>1539</v>
      </c>
      <c r="AB152" s="391">
        <v>443</v>
      </c>
      <c r="AC152" s="391">
        <v>1577</v>
      </c>
      <c r="AD152" s="391">
        <v>151</v>
      </c>
      <c r="AE152" s="391">
        <v>22</v>
      </c>
      <c r="AF152" s="391">
        <v>2</v>
      </c>
      <c r="AG152" s="391">
        <v>104</v>
      </c>
    </row>
    <row r="153">
      <c r="A153" s="380" t="s">
        <v>902</v>
      </c>
      <c r="B153" s="395" t="s">
        <v>851</v>
      </c>
      <c r="C153" s="382" t="s">
        <v>856</v>
      </c>
      <c r="D153" s="383">
        <v>4</v>
      </c>
      <c r="E153" s="402">
        <v>18</v>
      </c>
      <c r="F153" s="402">
        <v>20</v>
      </c>
      <c r="G153" s="402">
        <v>50040.44</v>
      </c>
      <c r="H153" s="403">
        <v>14630.02</v>
      </c>
      <c r="I153" s="385">
        <f t="shared" si="22"/>
      </c>
      <c r="J153" s="385">
        <f t="shared" ref="J153:J165" si="21">G153/F153</f>
      </c>
      <c r="K153" s="399">
        <f t="shared" ref="K153:K165" si="43">H153/F153</f>
      </c>
      <c r="L153" s="404"/>
      <c r="M153" s="404"/>
      <c r="N153" s="401"/>
      <c r="O153" s="387"/>
      <c r="P153" s="387"/>
      <c r="Q153" s="384">
        <v>7.047215799614643</v>
      </c>
      <c r="R153" s="390">
        <v>0.17372583762245872</v>
      </c>
      <c r="S153" s="390">
        <v>0.01640354620016119</v>
      </c>
      <c r="T153" s="390">
        <v>0.017233205328782062</v>
      </c>
      <c r="U153" s="390">
        <v>0.16001834021091244</v>
      </c>
      <c r="V153" s="391">
        <v>21986.39455782313</v>
      </c>
      <c r="W153" s="390">
        <v>0.018375</v>
      </c>
      <c r="X153" s="391">
        <v>63</v>
      </c>
      <c r="Y153" s="392">
        <v>115.59932995148469</v>
      </c>
      <c r="Z153" s="391">
        <v>126558</v>
      </c>
      <c r="AA153" s="391">
        <v>2076</v>
      </c>
      <c r="AB153" s="391">
        <v>404</v>
      </c>
      <c r="AC153" s="391">
        <v>2181</v>
      </c>
      <c r="AD153" s="391">
        <v>349</v>
      </c>
      <c r="AE153" s="391">
        <v>19</v>
      </c>
      <c r="AF153" s="391">
        <v>11</v>
      </c>
      <c r="AG153" s="391">
        <v>91</v>
      </c>
    </row>
    <row r="154">
      <c r="A154" s="380" t="s">
        <v>902</v>
      </c>
      <c r="B154" s="381" t="s">
        <v>848</v>
      </c>
      <c r="C154" s="382" t="s">
        <v>858</v>
      </c>
      <c r="D154" s="383">
        <v>4</v>
      </c>
      <c r="E154" s="383">
        <v>16</v>
      </c>
      <c r="F154" s="383">
        <v>19</v>
      </c>
      <c r="G154" s="383">
        <v>47619.28</v>
      </c>
      <c r="H154" s="384">
        <v>14740.55</v>
      </c>
      <c r="I154" s="385">
        <f t="shared" si="22"/>
      </c>
      <c r="J154" s="385">
        <f t="shared" si="21"/>
      </c>
      <c r="K154" s="399">
        <f t="shared" si="43"/>
      </c>
      <c r="L154" s="383" t="s">
        <v>859</v>
      </c>
      <c r="M154" s="386">
        <v>10</v>
      </c>
      <c r="N154" s="401"/>
      <c r="O154" s="387"/>
      <c r="P154" s="387"/>
      <c r="Q154" s="392">
        <v>5.532035298535487</v>
      </c>
      <c r="R154" s="390">
        <v>0.2027579716287556</v>
      </c>
      <c r="S154" s="390">
        <v>0.018070286152447258</v>
      </c>
      <c r="T154" s="390">
        <v>0.01971242255833995</v>
      </c>
      <c r="U154" s="390">
        <v>0.11772805507745267</v>
      </c>
      <c r="V154" s="391">
        <v>29880.239520958086</v>
      </c>
      <c r="W154" s="390">
        <v>0.0167</v>
      </c>
      <c r="X154" s="391">
        <v>63.25</v>
      </c>
      <c r="Y154" s="392">
        <v>99.96546084997523</v>
      </c>
      <c r="Z154" s="391">
        <v>147369</v>
      </c>
      <c r="AA154" s="391">
        <v>2663</v>
      </c>
      <c r="AB154" s="391">
        <v>499</v>
      </c>
      <c r="AC154" s="391">
        <v>2905</v>
      </c>
      <c r="AD154" s="391">
        <v>342</v>
      </c>
      <c r="AE154" s="391">
        <v>26</v>
      </c>
      <c r="AF154" s="391">
        <v>4</v>
      </c>
      <c r="AG154" s="405">
        <v>121</v>
      </c>
    </row>
    <row r="155">
      <c r="A155" s="406" t="s">
        <v>902</v>
      </c>
      <c r="B155" s="407" t="s">
        <v>860</v>
      </c>
      <c r="C155" s="408"/>
      <c r="D155" s="408">
        <f>SUM(D150:D154)</f>
      </c>
      <c r="E155" s="408">
        <f>SUM(E150:E154)</f>
      </c>
      <c r="F155" s="408">
        <f>SUM(F150:F154)</f>
      </c>
      <c r="G155" s="408">
        <f>SUM(G150:G154)</f>
      </c>
      <c r="H155" s="408">
        <f>SUM(H150:H154)</f>
      </c>
      <c r="I155" s="409">
        <f t="shared" si="22"/>
      </c>
      <c r="J155" s="409">
        <f t="shared" si="21"/>
      </c>
      <c r="K155" s="409">
        <f t="shared" si="43"/>
      </c>
      <c r="L155" s="408"/>
      <c r="M155" s="410">
        <f>SUM(M150:M154)</f>
      </c>
      <c r="N155" s="408"/>
      <c r="O155" s="408"/>
      <c r="P155" s="408"/>
      <c r="Q155" s="411">
        <f>AVERAGE(Q150:Q154)</f>
      </c>
      <c r="R155" s="412">
        <f>AVERAGE(R150:R154)</f>
      </c>
      <c r="S155" s="412">
        <f>AVERAGE(S150:S154)</f>
      </c>
      <c r="T155" s="412">
        <f>AVERAGE(T150:T154)</f>
      </c>
      <c r="U155" s="412">
        <f>AVERAGE(U150:U154)</f>
      </c>
      <c r="V155" s="413">
        <f>SUM(V150:V154)</f>
      </c>
      <c r="W155" s="412">
        <f>AVERAGE(W150:W154)</f>
      </c>
      <c r="X155" s="413"/>
      <c r="Y155" s="411">
        <f>AVERAGE(Y150:Y154)</f>
      </c>
      <c r="Z155" s="413">
        <f>SUM(Z150:Z154)</f>
      </c>
      <c r="AA155" s="413">
        <f>SUM(AA150:AA154)</f>
      </c>
      <c r="AB155" s="413">
        <f>SUM(AB150:AB154)</f>
      </c>
      <c r="AC155" s="413">
        <f>SUM(AC150:AC154)</f>
      </c>
      <c r="AD155" s="413">
        <f>SUM(AD150:AD154)</f>
      </c>
      <c r="AE155" s="413">
        <f>SUM(AE150:AE154)</f>
      </c>
      <c r="AF155" s="413">
        <f>SUM(AF150:AF154)</f>
      </c>
      <c r="AG155" s="413">
        <f>SUM(AG150:AG154)</f>
      </c>
    </row>
    <row r="156">
      <c r="A156" s="380" t="s">
        <v>903</v>
      </c>
      <c r="B156" s="415" t="s">
        <v>853</v>
      </c>
      <c r="C156" s="382" t="s">
        <v>879</v>
      </c>
      <c r="D156" s="383">
        <v>5</v>
      </c>
      <c r="E156" s="383">
        <v>21</v>
      </c>
      <c r="F156" s="383">
        <v>25</v>
      </c>
      <c r="G156" s="383">
        <v>58517.06</v>
      </c>
      <c r="H156" s="384">
        <v>20516.809999999998</v>
      </c>
      <c r="I156" s="385">
        <f t="shared" si="22"/>
      </c>
      <c r="J156" s="385">
        <f t="shared" si="21"/>
      </c>
      <c r="K156" s="399">
        <f t="shared" si="43"/>
      </c>
      <c r="L156" s="402" t="s">
        <v>850</v>
      </c>
      <c r="M156" s="414">
        <v>10</v>
      </c>
      <c r="N156" s="401"/>
      <c r="O156" s="387"/>
      <c r="P156" s="387"/>
      <c r="Q156" s="388">
        <v>6.514989286807469</v>
      </c>
      <c r="R156" s="389">
        <v>0.13983182712554149</v>
      </c>
      <c r="S156" s="390">
        <v>0.014236969055182963</v>
      </c>
      <c r="T156" s="390">
        <v>0.014860136050864371</v>
      </c>
      <c r="U156" s="390">
        <v>0.12023460410557185</v>
      </c>
      <c r="V156" s="391">
        <v>32087.62886597938</v>
      </c>
      <c r="W156" s="390">
        <v>0.03104</v>
      </c>
      <c r="X156" s="391">
        <v>61.4</v>
      </c>
      <c r="Y156" s="392">
        <v>92.75370087112645</v>
      </c>
      <c r="Z156" s="391">
        <v>229473</v>
      </c>
      <c r="AA156" s="391">
        <v>3267</v>
      </c>
      <c r="AB156" s="391">
        <v>996</v>
      </c>
      <c r="AC156" s="391">
        <v>3410</v>
      </c>
      <c r="AD156" s="391">
        <v>410</v>
      </c>
      <c r="AE156" s="391">
        <v>45</v>
      </c>
      <c r="AF156" s="405">
        <v>12</v>
      </c>
      <c r="AG156" s="391">
        <v>315</v>
      </c>
    </row>
    <row r="157">
      <c r="A157" s="380" t="s">
        <v>903</v>
      </c>
      <c r="B157" s="381" t="s">
        <v>851</v>
      </c>
      <c r="C157" s="382" t="s">
        <v>880</v>
      </c>
      <c r="D157" s="383">
        <v>5</v>
      </c>
      <c r="E157" s="393">
        <v>21</v>
      </c>
      <c r="F157" s="393">
        <v>21</v>
      </c>
      <c r="G157" s="393">
        <v>54529.18000000001</v>
      </c>
      <c r="H157" s="394">
        <v>18373.879999999997</v>
      </c>
      <c r="I157" s="385">
        <f t="shared" si="22"/>
      </c>
      <c r="J157" s="385">
        <f t="shared" si="21"/>
      </c>
      <c r="K157" s="385">
        <f t="shared" si="43"/>
      </c>
      <c r="L157" s="402"/>
      <c r="M157" s="414"/>
      <c r="N157" s="387"/>
      <c r="O157" s="387"/>
      <c r="P157" s="387"/>
      <c r="Q157" s="384">
        <v>6.920482109227871</v>
      </c>
      <c r="R157" s="390">
        <v>0.1538706846055173</v>
      </c>
      <c r="S157" s="389">
        <v>0.012194673844147016</v>
      </c>
      <c r="T157" s="390">
        <v>0.012497818278690783</v>
      </c>
      <c r="U157" s="389">
        <v>0.13671444321940462</v>
      </c>
      <c r="V157" s="391">
        <v>33500.41771094402</v>
      </c>
      <c r="W157" s="390">
        <v>0.023940000000000003</v>
      </c>
      <c r="X157" s="391">
        <v>60.4</v>
      </c>
      <c r="Y157" s="392">
        <v>84.39302216628849</v>
      </c>
      <c r="Z157" s="391">
        <v>217718</v>
      </c>
      <c r="AA157" s="391">
        <v>2655</v>
      </c>
      <c r="AB157" s="391">
        <v>802</v>
      </c>
      <c r="AC157" s="391">
        <v>2721</v>
      </c>
      <c r="AD157" s="391">
        <v>372</v>
      </c>
      <c r="AE157" s="391">
        <v>23</v>
      </c>
      <c r="AF157" s="391">
        <v>12</v>
      </c>
      <c r="AG157" s="391">
        <v>259</v>
      </c>
    </row>
    <row r="158">
      <c r="A158" s="380" t="s">
        <v>903</v>
      </c>
      <c r="B158" s="416" t="s">
        <v>848</v>
      </c>
      <c r="C158" s="382" t="s">
        <v>881</v>
      </c>
      <c r="D158" s="380">
        <v>5</v>
      </c>
      <c r="E158" s="396">
        <v>29</v>
      </c>
      <c r="F158" s="396">
        <v>35</v>
      </c>
      <c r="G158" s="396">
        <v>91296.90999999999</v>
      </c>
      <c r="H158" s="396">
        <v>26437.940000000002</v>
      </c>
      <c r="I158" s="398">
        <f t="shared" si="22"/>
      </c>
      <c r="J158" s="385">
        <f t="shared" si="21"/>
      </c>
      <c r="K158" s="385">
        <f t="shared" si="43"/>
      </c>
      <c r="L158" s="400"/>
      <c r="M158" s="400"/>
      <c r="N158" s="401"/>
      <c r="O158" s="387"/>
      <c r="P158" s="387"/>
      <c r="Q158" s="384">
        <v>5.4407799958839265</v>
      </c>
      <c r="R158" s="390">
        <v>0.20976358373586346</v>
      </c>
      <c r="S158" s="390">
        <v>0.01375404072713274</v>
      </c>
      <c r="T158" s="390">
        <v>0.014838172770452731</v>
      </c>
      <c r="U158" s="390">
        <v>0.11560473101869516</v>
      </c>
      <c r="V158" s="391">
        <v>74104.85933503837</v>
      </c>
      <c r="W158" s="390">
        <v>0.015639999999999998</v>
      </c>
      <c r="X158" s="391">
        <v>57.4</v>
      </c>
      <c r="Y158" s="392">
        <v>74.83270965075663</v>
      </c>
      <c r="Z158" s="391">
        <v>353278</v>
      </c>
      <c r="AA158" s="391">
        <v>4859</v>
      </c>
      <c r="AB158" s="391">
        <v>1159</v>
      </c>
      <c r="AC158" s="391">
        <v>5242</v>
      </c>
      <c r="AD158" s="391">
        <v>606</v>
      </c>
      <c r="AE158" s="391">
        <v>55</v>
      </c>
      <c r="AF158" s="391">
        <v>8</v>
      </c>
      <c r="AG158" s="391">
        <v>333</v>
      </c>
    </row>
    <row r="159">
      <c r="A159" s="380" t="s">
        <v>903</v>
      </c>
      <c r="B159" s="396" t="s">
        <v>855</v>
      </c>
      <c r="C159" s="382" t="s">
        <v>882</v>
      </c>
      <c r="D159" s="383">
        <v>5</v>
      </c>
      <c r="E159" s="402">
        <v>24</v>
      </c>
      <c r="F159" s="402">
        <v>26</v>
      </c>
      <c r="G159" s="402">
        <v>58260.94</v>
      </c>
      <c r="H159" s="403">
        <v>19073.17</v>
      </c>
      <c r="I159" s="385">
        <f t="shared" si="22"/>
      </c>
      <c r="J159" s="385">
        <f t="shared" si="21"/>
      </c>
      <c r="K159" s="399">
        <f t="shared" si="43"/>
      </c>
      <c r="L159" s="383" t="s">
        <v>859</v>
      </c>
      <c r="M159" s="386">
        <v>10</v>
      </c>
      <c r="N159" s="401"/>
      <c r="O159" s="387"/>
      <c r="P159" s="387"/>
      <c r="Q159" s="384">
        <v>5.44001711351968</v>
      </c>
      <c r="R159" s="390">
        <v>0.23927261459517815</v>
      </c>
      <c r="S159" s="390">
        <v>0.012967990590254403</v>
      </c>
      <c r="T159" s="390">
        <v>0.013630075677435105</v>
      </c>
      <c r="U159" s="390">
        <v>0.0814111261872456</v>
      </c>
      <c r="V159" s="391">
        <v>64689.26553672317</v>
      </c>
      <c r="W159" s="390">
        <v>0.01062</v>
      </c>
      <c r="X159" s="391">
        <v>57.6</v>
      </c>
      <c r="Y159" s="392">
        <v>70.54609073894613</v>
      </c>
      <c r="Z159" s="391">
        <v>270358</v>
      </c>
      <c r="AA159" s="391">
        <v>3506</v>
      </c>
      <c r="AB159" s="391">
        <v>687</v>
      </c>
      <c r="AC159" s="391">
        <v>3685</v>
      </c>
      <c r="AD159" s="391">
        <v>300</v>
      </c>
      <c r="AE159" s="391">
        <v>49</v>
      </c>
      <c r="AF159" s="391">
        <v>7</v>
      </c>
      <c r="AG159" s="391">
        <v>274</v>
      </c>
    </row>
    <row r="160">
      <c r="A160" s="406" t="s">
        <v>903</v>
      </c>
      <c r="B160" s="407" t="s">
        <v>860</v>
      </c>
      <c r="C160" s="408"/>
      <c r="D160" s="408">
        <f>SUM(D156:D159)</f>
      </c>
      <c r="E160" s="408">
        <f>SUM(E156:E159)</f>
      </c>
      <c r="F160" s="408">
        <f>SUM(F156:F159)</f>
      </c>
      <c r="G160" s="408">
        <f>SUM(G156:G159)</f>
      </c>
      <c r="H160" s="408">
        <f>SUM(H156:H159)</f>
      </c>
      <c r="I160" s="409">
        <f t="shared" si="22"/>
      </c>
      <c r="J160" s="409">
        <f t="shared" si="21"/>
      </c>
      <c r="K160" s="409">
        <f t="shared" si="43"/>
      </c>
      <c r="L160" s="408"/>
      <c r="M160" s="410">
        <f>SUM(M156:M159)</f>
      </c>
      <c r="N160" s="408"/>
      <c r="O160" s="408"/>
      <c r="P160" s="408"/>
      <c r="Q160" s="411">
        <f>AVERAGE(Q156:Q159)</f>
      </c>
      <c r="R160" s="412">
        <f>AVERAGE(R156:R159)</f>
      </c>
      <c r="S160" s="412">
        <f>AVERAGE(S156:S159)</f>
      </c>
      <c r="T160" s="412">
        <f>AVERAGE(T156:T159)</f>
      </c>
      <c r="U160" s="412">
        <f>AVERAGE(U156:U159)</f>
      </c>
      <c r="V160" s="413">
        <f>SUM(V156:V159)</f>
      </c>
      <c r="W160" s="412">
        <f>AVERAGE(W156:W159)</f>
      </c>
      <c r="X160" s="413"/>
      <c r="Y160" s="411">
        <f>AVERAGE(Y156:Y159)</f>
      </c>
      <c r="Z160" s="413">
        <f>SUM(Z156:Z159)</f>
      </c>
      <c r="AA160" s="413">
        <f>SUM(AA156:AA159)</f>
      </c>
      <c r="AB160" s="413">
        <f>SUM(AB156:AB159)</f>
      </c>
      <c r="AC160" s="413">
        <f>SUM(AC156:AC159)</f>
      </c>
      <c r="AD160" s="413">
        <f>SUM(AD156:AD159)</f>
      </c>
      <c r="AE160" s="413">
        <f>SUM(AE156:AE159)</f>
      </c>
      <c r="AF160" s="413">
        <f>SUM(AF156:AF159)</f>
      </c>
      <c r="AG160" s="413">
        <f>SUM(AG156:AG159)</f>
      </c>
    </row>
    <row r="161">
      <c r="A161" s="380" t="s">
        <v>904</v>
      </c>
      <c r="B161" s="415" t="s">
        <v>853</v>
      </c>
      <c r="C161" s="382" t="s">
        <v>879</v>
      </c>
      <c r="D161" s="383">
        <v>5</v>
      </c>
      <c r="E161" s="383">
        <v>18</v>
      </c>
      <c r="F161" s="383">
        <v>21</v>
      </c>
      <c r="G161" s="383">
        <v>52108.84</v>
      </c>
      <c r="H161" s="384">
        <v>21371.980000000003</v>
      </c>
      <c r="I161" s="385">
        <f t="shared" si="22"/>
      </c>
      <c r="J161" s="385">
        <f t="shared" si="21"/>
      </c>
      <c r="K161" s="399">
        <f t="shared" si="43"/>
      </c>
      <c r="L161" s="402" t="s">
        <v>850</v>
      </c>
      <c r="M161" s="414">
        <v>10</v>
      </c>
      <c r="N161" s="401"/>
      <c r="O161" s="387"/>
      <c r="P161" s="387"/>
      <c r="Q161" s="388">
        <v>5.447866428753506</v>
      </c>
      <c r="R161" s="389">
        <v>0.13507273662871225</v>
      </c>
      <c r="S161" s="390">
        <v>0.014140860707295358</v>
      </c>
      <c r="T161" s="390">
        <v>0.014941082750889435</v>
      </c>
      <c r="U161" s="390">
        <v>0.09360675512665863</v>
      </c>
      <c r="V161" s="391">
        <v>37472.283813747235</v>
      </c>
      <c r="W161" s="390">
        <v>0.027059999999999994</v>
      </c>
      <c r="X161" s="391">
        <v>47.4</v>
      </c>
      <c r="Y161" s="392">
        <v>77.03752032095393</v>
      </c>
      <c r="Z161" s="391">
        <v>277423</v>
      </c>
      <c r="AA161" s="391">
        <v>3923</v>
      </c>
      <c r="AB161" s="391">
        <v>1014</v>
      </c>
      <c r="AC161" s="391">
        <v>4145</v>
      </c>
      <c r="AD161" s="391">
        <v>388</v>
      </c>
      <c r="AE161" s="391">
        <v>40</v>
      </c>
      <c r="AF161" s="405">
        <v>10</v>
      </c>
      <c r="AG161" s="391">
        <v>276</v>
      </c>
    </row>
    <row r="162">
      <c r="A162" s="380" t="s">
        <v>904</v>
      </c>
      <c r="B162" s="381" t="s">
        <v>851</v>
      </c>
      <c r="C162" s="382" t="s">
        <v>880</v>
      </c>
      <c r="D162" s="417">
        <f t="shared" ref="D162:D163" si="0">5-0.5</f>
      </c>
      <c r="E162" s="393">
        <v>24</v>
      </c>
      <c r="F162" s="393">
        <v>29</v>
      </c>
      <c r="G162" s="393">
        <v>65440.77000000001</v>
      </c>
      <c r="H162" s="394">
        <v>18139.34</v>
      </c>
      <c r="I162" s="385">
        <f t="shared" si="22"/>
      </c>
      <c r="J162" s="385">
        <f t="shared" si="21"/>
      </c>
      <c r="K162" s="385">
        <f t="shared" si="43"/>
      </c>
      <c r="L162" s="402"/>
      <c r="M162" s="414"/>
      <c r="N162" s="387"/>
      <c r="O162" s="387"/>
      <c r="P162" s="387"/>
      <c r="Q162" s="384">
        <v>7.495595041322314</v>
      </c>
      <c r="R162" s="390">
        <v>0.14396221039619272</v>
      </c>
      <c r="S162" s="389">
        <v>0.011805108392358874</v>
      </c>
      <c r="T162" s="390">
        <v>0.01188315869577943</v>
      </c>
      <c r="U162" s="389">
        <v>0.19745484400656815</v>
      </c>
      <c r="V162" s="391">
        <v>29511.67728237792</v>
      </c>
      <c r="W162" s="390">
        <v>0.028259999999999997</v>
      </c>
      <c r="X162" s="391">
        <v>58.8</v>
      </c>
      <c r="Y162" s="392">
        <v>88.48631192803762</v>
      </c>
      <c r="Z162" s="391">
        <v>204996</v>
      </c>
      <c r="AA162" s="391">
        <v>2420</v>
      </c>
      <c r="AB162" s="391">
        <v>834</v>
      </c>
      <c r="AC162" s="391">
        <v>2436</v>
      </c>
      <c r="AD162" s="391">
        <v>481</v>
      </c>
      <c r="AE162" s="391">
        <v>37</v>
      </c>
      <c r="AF162" s="391">
        <v>10</v>
      </c>
      <c r="AG162" s="391">
        <v>211</v>
      </c>
    </row>
    <row r="163">
      <c r="A163" s="380" t="s">
        <v>904</v>
      </c>
      <c r="B163" s="416" t="s">
        <v>848</v>
      </c>
      <c r="C163" s="382" t="s">
        <v>881</v>
      </c>
      <c r="D163" s="417">
        <f t="shared" si="0"/>
      </c>
      <c r="E163" s="396">
        <v>19</v>
      </c>
      <c r="F163" s="396">
        <v>23</v>
      </c>
      <c r="G163" s="396">
        <v>51978.479999999996</v>
      </c>
      <c r="H163" s="396">
        <v>24753.320000000003</v>
      </c>
      <c r="I163" s="398">
        <f t="shared" si="22"/>
      </c>
      <c r="J163" s="385">
        <f t="shared" si="21"/>
      </c>
      <c r="K163" s="385">
        <f t="shared" si="43"/>
      </c>
      <c r="L163" s="400"/>
      <c r="M163" s="400"/>
      <c r="N163" s="401"/>
      <c r="O163" s="387"/>
      <c r="P163" s="387"/>
      <c r="Q163" s="384">
        <v>6.317845839714141</v>
      </c>
      <c r="R163" s="390">
        <v>0.16801853244766993</v>
      </c>
      <c r="S163" s="390">
        <v>0.013693124429890015</v>
      </c>
      <c r="T163" s="390">
        <v>0.014808006179031136</v>
      </c>
      <c r="U163" s="390">
        <v>0.11163559122020297</v>
      </c>
      <c r="V163" s="391">
        <v>48074.97467071935</v>
      </c>
      <c r="W163" s="390">
        <v>0.01974</v>
      </c>
      <c r="X163" s="391">
        <v>60</v>
      </c>
      <c r="Y163" s="392">
        <v>86.51104921206868</v>
      </c>
      <c r="Z163" s="391">
        <v>286129</v>
      </c>
      <c r="AA163" s="391">
        <v>3918</v>
      </c>
      <c r="AB163" s="391">
        <v>949</v>
      </c>
      <c r="AC163" s="391">
        <v>4237</v>
      </c>
      <c r="AD163" s="391">
        <v>473</v>
      </c>
      <c r="AE163" s="391">
        <v>34</v>
      </c>
      <c r="AF163" s="391">
        <v>12</v>
      </c>
      <c r="AG163" s="391">
        <v>227</v>
      </c>
    </row>
    <row r="164">
      <c r="A164" s="380" t="s">
        <v>904</v>
      </c>
      <c r="B164" s="396" t="s">
        <v>863</v>
      </c>
      <c r="C164" s="382" t="s">
        <v>882</v>
      </c>
      <c r="D164" s="383">
        <v>5</v>
      </c>
      <c r="E164" s="402">
        <v>28</v>
      </c>
      <c r="F164" s="402">
        <v>34</v>
      </c>
      <c r="G164" s="402">
        <v>79403.68000000005</v>
      </c>
      <c r="H164" s="403">
        <v>20142.09</v>
      </c>
      <c r="I164" s="385">
        <f t="shared" si="22"/>
      </c>
      <c r="J164" s="385">
        <f t="shared" si="21"/>
      </c>
      <c r="K164" s="399">
        <f t="shared" si="43"/>
      </c>
      <c r="L164" s="383" t="s">
        <v>897</v>
      </c>
      <c r="M164" s="386">
        <v>10</v>
      </c>
      <c r="N164" s="401"/>
      <c r="O164" s="387"/>
      <c r="P164" s="387"/>
      <c r="Q164" s="384">
        <v>5.146165048543689</v>
      </c>
      <c r="R164" s="390">
        <v>0.18578704034968133</v>
      </c>
      <c r="S164" s="390">
        <v>0.015447459299457325</v>
      </c>
      <c r="T164" s="390">
        <v>0.016959052787370497</v>
      </c>
      <c r="U164" s="390">
        <v>0.10030253665347917</v>
      </c>
      <c r="V164" s="391">
        <v>47073.791348600505</v>
      </c>
      <c r="W164" s="390">
        <v>0.01572</v>
      </c>
      <c r="X164" s="391">
        <v>59.4</v>
      </c>
      <c r="Y164" s="392">
        <v>79.49517513566848</v>
      </c>
      <c r="Z164" s="391">
        <v>253375</v>
      </c>
      <c r="AA164" s="391">
        <v>3914</v>
      </c>
      <c r="AB164" s="391">
        <v>740</v>
      </c>
      <c r="AC164" s="391">
        <v>4297</v>
      </c>
      <c r="AD164" s="391">
        <v>431</v>
      </c>
      <c r="AE164" s="391">
        <v>39</v>
      </c>
      <c r="AF164" s="391">
        <v>5</v>
      </c>
      <c r="AG164" s="391">
        <v>195</v>
      </c>
    </row>
    <row r="165">
      <c r="A165" s="406" t="s">
        <v>904</v>
      </c>
      <c r="B165" s="407" t="s">
        <v>860</v>
      </c>
      <c r="C165" s="408"/>
      <c r="D165" s="408">
        <f>SUM(D161:D164)</f>
      </c>
      <c r="E165" s="408">
        <f>SUM(E161:E164)</f>
      </c>
      <c r="F165" s="408">
        <f>SUM(F161:F164)</f>
      </c>
      <c r="G165" s="408">
        <f>SUM(G161:G164)</f>
      </c>
      <c r="H165" s="408">
        <f>SUM(H161:H164)</f>
      </c>
      <c r="I165" s="409">
        <f t="shared" si="22"/>
      </c>
      <c r="J165" s="409">
        <f t="shared" si="21"/>
      </c>
      <c r="K165" s="409">
        <f t="shared" si="43"/>
      </c>
      <c r="L165" s="408"/>
      <c r="M165" s="410">
        <f>SUM(M161:M164)</f>
      </c>
      <c r="N165" s="408"/>
      <c r="O165" s="408"/>
      <c r="P165" s="408"/>
      <c r="Q165" s="411">
        <f>AVERAGE(Q161:Q164)</f>
      </c>
      <c r="R165" s="412">
        <f>AVERAGE(R161:R164)</f>
      </c>
      <c r="S165" s="412">
        <f>AVERAGE(S161:S164)</f>
      </c>
      <c r="T165" s="412">
        <f>AVERAGE(T161:T164)</f>
      </c>
      <c r="U165" s="412">
        <f>AVERAGE(U161:U164)</f>
      </c>
      <c r="V165" s="413">
        <f>SUM(V161:V164)</f>
      </c>
      <c r="W165" s="412">
        <f>AVERAGE(W161:W164)</f>
      </c>
      <c r="X165" s="413"/>
      <c r="Y165" s="411">
        <f>AVERAGE(Y161:Y164)</f>
      </c>
      <c r="Z165" s="413">
        <f>SUM(Z161:Z164)</f>
      </c>
      <c r="AA165" s="413">
        <f>SUM(AA161:AA164)</f>
      </c>
      <c r="AB165" s="413">
        <f>SUM(AB161:AB164)</f>
      </c>
      <c r="AC165" s="413">
        <f>SUM(AC161:AC164)</f>
      </c>
      <c r="AD165" s="413">
        <f>SUM(AD161:AD164)</f>
      </c>
      <c r="AE165" s="413">
        <f>SUM(AE161:AE164)</f>
      </c>
      <c r="AF165" s="413">
        <f>SUM(AF161:AF164)</f>
      </c>
      <c r="AG165" s="413">
        <f>SUM(AG161:AG164)</f>
      </c>
    </row>
    <row r="166"/>
    <row r="167"/>
    <row r="168"/>
    <row r="169"/>
    <row r="170"/>
    <row r="171"/>
    <row r="172"/>
    <row r="173"/>
    <row r="174"/>
    <row r="175">
      <c r="F175" s="418"/>
      <c r="G175" s="419"/>
    </row>
  </sheetData>
  <autoFilter ref="A1:AG170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25" min="25" style="0" width="11.211267605633802"/>
    <col collapsed="false" customWidth="true" hidden="false" max="29" min="29" style="0" width="11.211267605633802"/>
    <col collapsed="false" customWidth="true" hidden="false" max="33" min="33" style="0" width="11.211267605633802"/>
    <col collapsed="false" customWidth="true" hidden="false" max="5" min="5" style="0" width="11.211267605633802"/>
    <col collapsed="false" customWidth="true" hidden="false" max="13" min="13" style="0" width="11.211267605633802"/>
    <col collapsed="false" customWidth="true" hidden="false" max="21" min="21" style="0" width="11.211267605633802"/>
    <col collapsed="false" customWidth="true" hidden="false" max="26" min="26" style="0" width="11.211267605633802"/>
    <col collapsed="false" customWidth="true" hidden="false" max="30" min="30" style="0" width="11.211267605633802"/>
    <col collapsed="false" customWidth="true" hidden="false" max="6" min="6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7" min="27" style="0" width="11.211267605633802"/>
    <col collapsed="false" customWidth="true" hidden="false" max="3" min="3" style="0" width="11.211267605633802"/>
    <col collapsed="false" customWidth="true" hidden="false" max="11" min="11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28" min="28" style="0" width="11.211267605633802"/>
    <col collapsed="false" customWidth="true" hidden="false" max="31" min="31" style="0" width="11.211267605633802"/>
    <col collapsed="false" customWidth="true" hidden="false" max="32" min="32" style="0" width="11.211267605633802"/>
  </cols>
  <sheetData>
    <row r="1">
      <c r="A1" s="420" t="s">
        <v>905</v>
      </c>
      <c r="B1" s="421" t="s">
        <v>906</v>
      </c>
      <c r="C1" s="421" t="s">
        <v>907</v>
      </c>
      <c r="D1" s="421" t="s">
        <v>908</v>
      </c>
      <c r="E1" s="420" t="s">
        <v>909</v>
      </c>
      <c r="F1" s="421" t="s">
        <v>910</v>
      </c>
      <c r="G1" s="421" t="s">
        <v>911</v>
      </c>
      <c r="H1" s="421" t="s">
        <v>912</v>
      </c>
      <c r="I1" s="422" t="s">
        <v>913</v>
      </c>
      <c r="J1" s="422" t="s">
        <v>914</v>
      </c>
      <c r="K1" s="422" t="s">
        <v>915</v>
      </c>
      <c r="L1" s="421" t="s">
        <v>916</v>
      </c>
      <c r="M1" s="423" t="s">
        <v>917</v>
      </c>
      <c r="N1" s="421" t="s">
        <v>918</v>
      </c>
      <c r="O1" s="421" t="s">
        <v>919</v>
      </c>
      <c r="P1" s="421"/>
      <c r="Q1" s="421" t="s">
        <v>920</v>
      </c>
      <c r="R1" s="424" t="s">
        <v>921</v>
      </c>
      <c r="S1" s="424" t="s">
        <v>922</v>
      </c>
      <c r="T1" s="424" t="s">
        <v>923</v>
      </c>
      <c r="U1" s="424" t="s">
        <v>924</v>
      </c>
      <c r="V1" s="425" t="s">
        <v>925</v>
      </c>
      <c r="W1" s="424" t="s">
        <v>926</v>
      </c>
      <c r="X1" s="425" t="s">
        <v>927</v>
      </c>
      <c r="Y1" s="426" t="s">
        <v>928</v>
      </c>
      <c r="Z1" s="427" t="s">
        <v>929</v>
      </c>
      <c r="AA1" s="425" t="s">
        <v>930</v>
      </c>
      <c r="AB1" s="425" t="s">
        <v>931</v>
      </c>
      <c r="AC1" s="425" t="s">
        <v>932</v>
      </c>
      <c r="AD1" s="425" t="s">
        <v>933</v>
      </c>
      <c r="AE1" s="425" t="s">
        <v>934</v>
      </c>
      <c r="AF1" s="425" t="s">
        <v>935</v>
      </c>
      <c r="AG1" s="425" t="s">
        <v>936</v>
      </c>
    </row>
    <row r="2">
      <c r="A2" s="428" t="s">
        <v>937</v>
      </c>
      <c r="B2" s="428" t="s">
        <v>938</v>
      </c>
      <c r="C2" s="428" t="s">
        <v>939</v>
      </c>
      <c r="D2" s="428">
        <v>5</v>
      </c>
      <c r="E2" s="428">
        <v>20</v>
      </c>
      <c r="F2" s="428">
        <v>22</v>
      </c>
      <c r="G2" s="428">
        <v>49625.16</v>
      </c>
      <c r="H2" s="429">
        <v>13252.36</v>
      </c>
      <c r="I2" s="430">
        <f t="shared" ref="I2:I188" si="0">G2/H2</f>
      </c>
      <c r="J2" s="430">
        <f t="shared" ref="J2:J165" si="1">G2/F2</f>
      </c>
      <c r="K2" s="430">
        <f t="shared" ref="K2:K165" si="6">H2/F2</f>
      </c>
      <c r="L2" s="428" t="s">
        <v>940</v>
      </c>
      <c r="M2" s="431">
        <v>10</v>
      </c>
      <c r="N2" s="432"/>
      <c r="O2" s="432"/>
      <c r="P2" s="432"/>
      <c r="Q2" s="433">
        <v>3.225203212460453</v>
      </c>
      <c r="R2" s="434">
        <v>0.25506714378638906</v>
      </c>
      <c r="S2" s="435">
        <v>0.01997491590020806</v>
      </c>
      <c r="T2" s="435">
        <v>0.021336068602096175</v>
      </c>
      <c r="U2" s="435">
        <v>0.07177033492822966</v>
      </c>
      <c r="V2" s="436">
        <v>52469.35201401052</v>
      </c>
      <c r="W2" s="435">
        <v>0.014274999999999998</v>
      </c>
      <c r="X2" s="436">
        <v>44.5</v>
      </c>
      <c r="Y2" s="437">
        <v>64.42316292997842</v>
      </c>
      <c r="Z2" s="436">
        <v>205708</v>
      </c>
      <c r="AA2" s="436">
        <v>4109</v>
      </c>
      <c r="AB2" s="436">
        <v>749</v>
      </c>
      <c r="AC2" s="436">
        <v>4389</v>
      </c>
      <c r="AD2" s="436">
        <v>315</v>
      </c>
      <c r="AE2" s="436">
        <v>37</v>
      </c>
      <c r="AF2" s="436">
        <v>9</v>
      </c>
      <c r="AG2" s="436">
        <v>212</v>
      </c>
    </row>
    <row r="3">
      <c r="A3" s="428" t="s">
        <v>937</v>
      </c>
      <c r="B3" s="428" t="s">
        <v>941</v>
      </c>
      <c r="C3" s="428" t="s">
        <v>942</v>
      </c>
      <c r="D3" s="428">
        <v>3</v>
      </c>
      <c r="E3" s="428">
        <v>17</v>
      </c>
      <c r="F3" s="428">
        <v>21</v>
      </c>
      <c r="G3" s="428">
        <v>41679.82999999999</v>
      </c>
      <c r="H3" s="429">
        <v>14794.99</v>
      </c>
      <c r="I3" s="430">
        <f t="shared" si="0"/>
      </c>
      <c r="J3" s="430">
        <f t="shared" si="1"/>
      </c>
      <c r="K3" s="430">
        <f t="shared" si="6"/>
      </c>
      <c r="L3" s="438"/>
      <c r="M3" s="438"/>
      <c r="N3" s="432"/>
      <c r="O3" s="432"/>
      <c r="P3" s="432"/>
      <c r="Q3" s="429">
        <v>4.591865301055245</v>
      </c>
      <c r="R3" s="435">
        <v>0.28517369358870626</v>
      </c>
      <c r="S3" s="434">
        <v>0.018871460868954044</v>
      </c>
      <c r="T3" s="435">
        <v>0.019820305270186373</v>
      </c>
      <c r="U3" s="434">
        <v>0.08333333333333333</v>
      </c>
      <c r="V3" s="436">
        <v>48688.84540117417</v>
      </c>
      <c r="W3" s="435">
        <v>0.012775</v>
      </c>
      <c r="X3" s="436">
        <v>52.75</v>
      </c>
      <c r="Y3" s="437">
        <v>86.65520634437195</v>
      </c>
      <c r="Z3" s="436">
        <v>170734</v>
      </c>
      <c r="AA3" s="436">
        <v>3222</v>
      </c>
      <c r="AB3" s="436">
        <v>622</v>
      </c>
      <c r="AC3" s="436">
        <v>3384</v>
      </c>
      <c r="AD3" s="436">
        <v>282</v>
      </c>
      <c r="AE3" s="436">
        <v>35</v>
      </c>
      <c r="AF3" s="436">
        <v>5</v>
      </c>
      <c r="AG3" s="436">
        <v>129</v>
      </c>
    </row>
    <row r="4">
      <c r="A4" s="428" t="s">
        <v>937</v>
      </c>
      <c r="B4" s="428" t="s">
        <v>943</v>
      </c>
      <c r="C4" s="428" t="s">
        <v>944</v>
      </c>
      <c r="D4" s="428">
        <v>5</v>
      </c>
      <c r="E4" s="428">
        <v>20</v>
      </c>
      <c r="F4" s="428">
        <v>28</v>
      </c>
      <c r="G4" s="428">
        <v>57338.40000000002</v>
      </c>
      <c r="H4" s="429">
        <v>18636.949999999997</v>
      </c>
      <c r="I4" s="430">
        <f t="shared" si="0"/>
      </c>
      <c r="J4" s="430">
        <f t="shared" si="1"/>
      </c>
      <c r="K4" s="439">
        <f t="shared" si="6"/>
      </c>
      <c r="L4" s="440"/>
      <c r="M4" s="440"/>
      <c r="N4" s="441"/>
      <c r="O4" s="432"/>
      <c r="P4" s="432"/>
      <c r="Q4" s="429">
        <v>4.329140534262485</v>
      </c>
      <c r="R4" s="435">
        <v>0.26648705936127404</v>
      </c>
      <c r="S4" s="435">
        <v>0.020959512356618436</v>
      </c>
      <c r="T4" s="435">
        <v>0.02205495725330581</v>
      </c>
      <c r="U4" s="435">
        <v>0.07350993377483443</v>
      </c>
      <c r="V4" s="436">
        <v>54735.37604456824</v>
      </c>
      <c r="W4" s="435">
        <v>0.014360000000000001</v>
      </c>
      <c r="X4" s="436">
        <v>53.2</v>
      </c>
      <c r="Y4" s="437">
        <v>90.73667452141228</v>
      </c>
      <c r="Z4" s="436">
        <v>205396</v>
      </c>
      <c r="AA4" s="436">
        <v>4305</v>
      </c>
      <c r="AB4" s="436">
        <v>786</v>
      </c>
      <c r="AC4" s="436">
        <v>4530</v>
      </c>
      <c r="AD4" s="436">
        <v>333</v>
      </c>
      <c r="AE4" s="436">
        <v>38</v>
      </c>
      <c r="AF4" s="436">
        <v>8</v>
      </c>
      <c r="AG4" s="436">
        <v>171</v>
      </c>
    </row>
    <row customHeight="true" ht="16.071428571428573" r="5">
      <c r="A5" s="428" t="s">
        <v>937</v>
      </c>
      <c r="B5" s="428" t="s">
        <v>945</v>
      </c>
      <c r="C5" s="428" t="s">
        <v>946</v>
      </c>
      <c r="D5" s="428">
        <v>2</v>
      </c>
      <c r="E5" s="428">
        <v>7</v>
      </c>
      <c r="F5" s="428">
        <v>7</v>
      </c>
      <c r="G5" s="428">
        <v>11759.5</v>
      </c>
      <c r="H5" s="429">
        <v>5848.38</v>
      </c>
      <c r="I5" s="430">
        <f t="shared" si="0"/>
      </c>
      <c r="J5" s="430">
        <f t="shared" si="1"/>
      </c>
      <c r="K5" s="439">
        <f t="shared" si="6"/>
      </c>
      <c r="L5" s="440"/>
      <c r="M5" s="440"/>
      <c r="N5" s="441"/>
      <c r="O5" s="432"/>
      <c r="P5" s="432"/>
      <c r="Q5" s="429">
        <v>5.007174657534247</v>
      </c>
      <c r="R5" s="435">
        <v>0.25690794638886083</v>
      </c>
      <c r="S5" s="435">
        <v>0.01668380756484973</v>
      </c>
      <c r="T5" s="435">
        <v>0.017398011655810765</v>
      </c>
      <c r="U5" s="435">
        <v>0.07307060755336617</v>
      </c>
      <c r="V5" s="436">
        <v>17985.61151079137</v>
      </c>
      <c r="W5" s="435">
        <v>0.0139</v>
      </c>
      <c r="X5" s="436">
        <v>52</v>
      </c>
      <c r="Y5" s="437">
        <v>83.53873842989373</v>
      </c>
      <c r="Z5" s="436">
        <v>70008</v>
      </c>
      <c r="AA5" s="436">
        <v>1168</v>
      </c>
      <c r="AB5" s="436">
        <v>250</v>
      </c>
      <c r="AC5" s="436">
        <v>1218</v>
      </c>
      <c r="AD5" s="436">
        <v>89</v>
      </c>
      <c r="AE5" s="436">
        <v>9</v>
      </c>
      <c r="AF5" s="436">
        <v>1</v>
      </c>
      <c r="AG5" s="436">
        <v>70</v>
      </c>
    </row>
    <row r="6">
      <c r="A6" s="428" t="s">
        <v>937</v>
      </c>
      <c r="B6" s="428" t="s">
        <v>947</v>
      </c>
      <c r="C6" s="428" t="s">
        <v>948</v>
      </c>
      <c r="D6" s="428">
        <v>5</v>
      </c>
      <c r="E6" s="428">
        <v>20</v>
      </c>
      <c r="F6" s="428">
        <v>22</v>
      </c>
      <c r="G6" s="428">
        <v>45774.909999999974</v>
      </c>
      <c r="H6" s="429">
        <v>16974.77</v>
      </c>
      <c r="I6" s="430">
        <f t="shared" si="0"/>
      </c>
      <c r="J6" s="430">
        <f t="shared" si="1"/>
      </c>
      <c r="K6" s="439">
        <f t="shared" si="6"/>
      </c>
      <c r="L6" s="442" t="s">
        <v>949</v>
      </c>
      <c r="M6" s="442">
        <v>10</v>
      </c>
      <c r="N6" s="441"/>
      <c r="O6" s="432"/>
      <c r="P6" s="432"/>
      <c r="Q6" s="437">
        <v>3.364005152596116</v>
      </c>
      <c r="R6" s="435">
        <v>0.3037312740783775</v>
      </c>
      <c r="S6" s="435">
        <v>0.020992112357306886</v>
      </c>
      <c r="T6" s="435">
        <v>0.02244400439311745</v>
      </c>
      <c r="U6" s="435">
        <v>0.08841519925857275</v>
      </c>
      <c r="V6" s="436">
        <v>73009.70873786407</v>
      </c>
      <c r="W6" s="435">
        <v>0.0103</v>
      </c>
      <c r="X6" s="436">
        <v>53.8</v>
      </c>
      <c r="Y6" s="437">
        <v>70.61757413385696</v>
      </c>
      <c r="Z6" s="436">
        <v>240376</v>
      </c>
      <c r="AA6" s="436">
        <v>5046</v>
      </c>
      <c r="AB6" s="436">
        <v>752</v>
      </c>
      <c r="AC6" s="436">
        <v>5395</v>
      </c>
      <c r="AD6" s="436">
        <v>477</v>
      </c>
      <c r="AE6" s="436">
        <v>32</v>
      </c>
      <c r="AF6" s="436">
        <v>11</v>
      </c>
      <c r="AG6" s="436">
        <v>201</v>
      </c>
    </row>
    <row r="7">
      <c r="A7" s="443" t="s">
        <v>937</v>
      </c>
      <c r="B7" s="444" t="s">
        <v>950</v>
      </c>
      <c r="C7" s="444"/>
      <c r="D7" s="444">
        <f>SUM(D2:D6)</f>
      </c>
      <c r="E7" s="444">
        <f>SUM(E2:E6)</f>
      </c>
      <c r="F7" s="444">
        <f>SUM(F2:F6)</f>
      </c>
      <c r="G7" s="444">
        <f>SUM(G2:G6)</f>
      </c>
      <c r="H7" s="444">
        <f>SUM(H2:H6)</f>
      </c>
      <c r="I7" s="445">
        <f t="shared" si="0"/>
      </c>
      <c r="J7" s="445">
        <f t="shared" si="1"/>
      </c>
      <c r="K7" s="445">
        <f t="shared" si="6"/>
      </c>
      <c r="L7" s="444"/>
      <c r="M7" s="446">
        <f>SUM(M2:M6)</f>
      </c>
      <c r="N7" s="444"/>
      <c r="O7" s="444"/>
      <c r="P7" s="444"/>
      <c r="Q7" s="447">
        <f>AVERAGE(Q2:Q6)</f>
      </c>
      <c r="R7" s="448">
        <f>AVERAGE(R2:R6)</f>
      </c>
      <c r="S7" s="448">
        <f>AVERAGE(S2:S6)</f>
      </c>
      <c r="T7" s="448">
        <f>AVERAGE(T2:T6)</f>
      </c>
      <c r="U7" s="448">
        <f>AVERAGE(U2:U6)</f>
      </c>
      <c r="V7" s="449">
        <f>SUM(V2:V6)</f>
      </c>
      <c r="W7" s="448">
        <f>AVERAGE(W2:W6)</f>
      </c>
      <c r="X7" s="449"/>
      <c r="Y7" s="447">
        <f>AVERAGE(Y2:Y6)</f>
      </c>
      <c r="Z7" s="449">
        <f>SUM(Z2:Z6)</f>
      </c>
      <c r="AA7" s="449">
        <f>SUM(AA2:AA6)</f>
      </c>
      <c r="AB7" s="449">
        <f>SUM(AB2:AB6)</f>
      </c>
      <c r="AC7" s="449">
        <f>SUM(AC2:AC6)</f>
      </c>
      <c r="AD7" s="449">
        <f>SUM(AD2:AD6)</f>
      </c>
      <c r="AE7" s="449">
        <f>SUM(AE2:AE6)</f>
      </c>
      <c r="AF7" s="449">
        <f>SUM(AF2:AF6)</f>
      </c>
      <c r="AG7" s="449">
        <f>SUM(AG2:AG6)</f>
      </c>
    </row>
    <row r="8">
      <c r="A8" s="428" t="s">
        <v>951</v>
      </c>
      <c r="B8" s="428" t="s">
        <v>938</v>
      </c>
      <c r="C8" s="428" t="s">
        <v>952</v>
      </c>
      <c r="D8" s="428">
        <v>4</v>
      </c>
      <c r="E8" s="428">
        <v>14</v>
      </c>
      <c r="F8" s="428">
        <v>17</v>
      </c>
      <c r="G8" s="428">
        <v>35373.22</v>
      </c>
      <c r="H8" s="429">
        <v>13332.099999999999</v>
      </c>
      <c r="I8" s="430">
        <f t="shared" si="0"/>
      </c>
      <c r="J8" s="430">
        <f t="shared" si="1"/>
      </c>
      <c r="K8" s="430">
        <f t="shared" si="6"/>
      </c>
      <c r="L8" s="428" t="s">
        <v>940</v>
      </c>
      <c r="M8" s="431">
        <v>10</v>
      </c>
      <c r="N8" s="432"/>
      <c r="O8" s="432"/>
      <c r="P8" s="432"/>
      <c r="Q8" s="433">
        <v>2.987250728209724</v>
      </c>
      <c r="R8" s="434">
        <v>0.26156620679712067</v>
      </c>
      <c r="S8" s="435">
        <v>0.024656368779280475</v>
      </c>
      <c r="T8" s="435">
        <v>0.02605409705648369</v>
      </c>
      <c r="U8" s="435">
        <v>0.07273112807463952</v>
      </c>
      <c r="V8" s="436">
        <v>47345.57595993322</v>
      </c>
      <c r="W8" s="435">
        <v>0.014975</v>
      </c>
      <c r="X8" s="436">
        <v>36.75</v>
      </c>
      <c r="Y8" s="437">
        <v>73.6547555909131</v>
      </c>
      <c r="Z8" s="436">
        <v>181008</v>
      </c>
      <c r="AA8" s="436">
        <v>4463</v>
      </c>
      <c r="AB8" s="436">
        <v>709</v>
      </c>
      <c r="AC8" s="436">
        <v>4716</v>
      </c>
      <c r="AD8" s="436">
        <v>343</v>
      </c>
      <c r="AE8" s="436">
        <v>34</v>
      </c>
      <c r="AF8" s="436">
        <v>12</v>
      </c>
      <c r="AG8" s="436">
        <v>207</v>
      </c>
    </row>
    <row r="9">
      <c r="A9" s="428" t="s">
        <v>951</v>
      </c>
      <c r="B9" s="428" t="s">
        <v>943</v>
      </c>
      <c r="C9" s="428" t="s">
        <v>953</v>
      </c>
      <c r="D9" s="428">
        <v>4</v>
      </c>
      <c r="E9" s="428">
        <v>13</v>
      </c>
      <c r="F9" s="428">
        <v>14</v>
      </c>
      <c r="G9" s="428">
        <v>28237.1</v>
      </c>
      <c r="H9" s="429">
        <v>13756.060000000001</v>
      </c>
      <c r="I9" s="430">
        <f t="shared" si="0"/>
      </c>
      <c r="J9" s="430">
        <f t="shared" si="1"/>
      </c>
      <c r="K9" s="430">
        <f t="shared" si="6"/>
      </c>
      <c r="L9" s="438"/>
      <c r="M9" s="438"/>
      <c r="N9" s="432"/>
      <c r="O9" s="432"/>
      <c r="P9" s="432"/>
      <c r="Q9" s="429">
        <v>5.533411102172165</v>
      </c>
      <c r="R9" s="435">
        <v>0.2422349403042269</v>
      </c>
      <c r="S9" s="434">
        <v>0.016221436308350844</v>
      </c>
      <c r="T9" s="435">
        <v>0.016586842757774674</v>
      </c>
      <c r="U9" s="434">
        <v>0.08811959087332809</v>
      </c>
      <c r="V9" s="436">
        <v>37123.47354138399</v>
      </c>
      <c r="W9" s="435">
        <v>0.018425</v>
      </c>
      <c r="X9" s="436">
        <v>45.75</v>
      </c>
      <c r="Y9" s="437">
        <v>89.75987576180721</v>
      </c>
      <c r="Z9" s="436">
        <v>153254</v>
      </c>
      <c r="AA9" s="436">
        <v>2486</v>
      </c>
      <c r="AB9" s="436">
        <v>684</v>
      </c>
      <c r="AC9" s="436">
        <v>2542</v>
      </c>
      <c r="AD9" s="436">
        <v>224</v>
      </c>
      <c r="AE9" s="436">
        <v>27</v>
      </c>
      <c r="AF9" s="436">
        <v>6</v>
      </c>
      <c r="AG9" s="436">
        <v>199</v>
      </c>
    </row>
    <row r="10">
      <c r="A10" s="428" t="s">
        <v>951</v>
      </c>
      <c r="B10" s="428" t="s">
        <v>941</v>
      </c>
      <c r="C10" s="428" t="s">
        <v>954</v>
      </c>
      <c r="D10" s="428">
        <v>4</v>
      </c>
      <c r="E10" s="428">
        <v>11</v>
      </c>
      <c r="F10" s="428">
        <v>16</v>
      </c>
      <c r="G10" s="428">
        <v>30093.799999999996</v>
      </c>
      <c r="H10" s="429">
        <v>14184.96</v>
      </c>
      <c r="I10" s="430">
        <f t="shared" si="0"/>
      </c>
      <c r="J10" s="430">
        <f t="shared" si="1"/>
      </c>
      <c r="K10" s="439">
        <f t="shared" si="6"/>
      </c>
      <c r="L10" s="440"/>
      <c r="M10" s="440"/>
      <c r="N10" s="441"/>
      <c r="O10" s="432"/>
      <c r="P10" s="432"/>
      <c r="Q10" s="429">
        <v>5.436933691069375</v>
      </c>
      <c r="R10" s="435">
        <v>0.2179433534365183</v>
      </c>
      <c r="S10" s="435">
        <v>0.017234545718777663</v>
      </c>
      <c r="T10" s="435">
        <v>0.017974395899116143</v>
      </c>
      <c r="U10" s="435">
        <v>0.11650128629180448</v>
      </c>
      <c r="V10" s="436">
        <v>32992.70072992701</v>
      </c>
      <c r="W10" s="435">
        <v>0.017124999999999998</v>
      </c>
      <c r="X10" s="436">
        <v>50</v>
      </c>
      <c r="Y10" s="437">
        <v>93.70308226869773</v>
      </c>
      <c r="Z10" s="436">
        <v>151382</v>
      </c>
      <c r="AA10" s="436">
        <v>2609</v>
      </c>
      <c r="AB10" s="436">
        <v>565</v>
      </c>
      <c r="AC10" s="436">
        <v>2721</v>
      </c>
      <c r="AD10" s="436">
        <v>317</v>
      </c>
      <c r="AE10" s="436">
        <v>28</v>
      </c>
      <c r="AF10" s="436">
        <v>5</v>
      </c>
      <c r="AG10" s="436">
        <v>158</v>
      </c>
    </row>
    <row r="11">
      <c r="A11" s="428" t="s">
        <v>951</v>
      </c>
      <c r="B11" s="428" t="s">
        <v>955</v>
      </c>
      <c r="C11" s="428" t="s">
        <v>956</v>
      </c>
      <c r="D11" s="428">
        <v>4</v>
      </c>
      <c r="E11" s="428">
        <v>15</v>
      </c>
      <c r="F11" s="428">
        <v>20</v>
      </c>
      <c r="G11" s="428">
        <v>37441.81</v>
      </c>
      <c r="H11" s="429">
        <v>12742.88</v>
      </c>
      <c r="I11" s="430">
        <f t="shared" si="0"/>
      </c>
      <c r="J11" s="430">
        <f t="shared" si="1"/>
      </c>
      <c r="K11" s="439">
        <f t="shared" si="6"/>
      </c>
      <c r="L11" s="440"/>
      <c r="M11" s="440"/>
      <c r="N11" s="441"/>
      <c r="O11" s="432"/>
      <c r="P11" s="432"/>
      <c r="Q11" s="429">
        <v>4.67628623853211</v>
      </c>
      <c r="R11" s="435">
        <v>0.26039061037213485</v>
      </c>
      <c r="S11" s="435">
        <v>0.019568558174271476</v>
      </c>
      <c r="T11" s="435">
        <v>0.020538009680152815</v>
      </c>
      <c r="U11" s="435">
        <v>0.11783216783216784</v>
      </c>
      <c r="V11" s="436">
        <v>36260.43405676127</v>
      </c>
      <c r="W11" s="435">
        <v>0.014975</v>
      </c>
      <c r="X11" s="436">
        <v>50.5</v>
      </c>
      <c r="Y11" s="437">
        <v>91.50817929826073</v>
      </c>
      <c r="Z11" s="436">
        <v>139254</v>
      </c>
      <c r="AA11" s="436">
        <v>2725</v>
      </c>
      <c r="AB11" s="436">
        <v>543</v>
      </c>
      <c r="AC11" s="436">
        <v>2860</v>
      </c>
      <c r="AD11" s="436">
        <v>337</v>
      </c>
      <c r="AE11" s="436">
        <v>30</v>
      </c>
      <c r="AF11" s="436">
        <v>2</v>
      </c>
      <c r="AG11" s="436">
        <v>136</v>
      </c>
    </row>
    <row r="12">
      <c r="A12" s="428" t="s">
        <v>951</v>
      </c>
      <c r="B12" s="428" t="s">
        <v>957</v>
      </c>
      <c r="C12" s="428" t="s">
        <v>958</v>
      </c>
      <c r="D12" s="428">
        <v>4</v>
      </c>
      <c r="E12" s="428">
        <v>12</v>
      </c>
      <c r="F12" s="428">
        <v>15</v>
      </c>
      <c r="G12" s="428">
        <v>30440.589999999997</v>
      </c>
      <c r="H12" s="429">
        <v>10588.92</v>
      </c>
      <c r="I12" s="430">
        <f t="shared" si="0"/>
      </c>
      <c r="J12" s="430">
        <f t="shared" si="1"/>
      </c>
      <c r="K12" s="439">
        <f t="shared" si="6"/>
      </c>
      <c r="L12" s="428" t="s">
        <v>949</v>
      </c>
      <c r="M12" s="442">
        <v>10</v>
      </c>
      <c r="N12" s="441"/>
      <c r="O12" s="432"/>
      <c r="P12" s="432"/>
      <c r="Q12" s="437">
        <v>3.710196215837421</v>
      </c>
      <c r="R12" s="435">
        <v>0.2657</v>
      </c>
      <c r="S12" s="435">
        <v>0.0195</v>
      </c>
      <c r="T12" s="435">
        <v>0.0207</v>
      </c>
      <c r="U12" s="435">
        <v>0.0634</v>
      </c>
      <c r="V12" s="436">
        <v>38793</v>
      </c>
      <c r="W12" s="435">
        <v>0.0124</v>
      </c>
      <c r="X12" s="436">
        <v>54</v>
      </c>
      <c r="Y12" s="437">
        <v>72.53</v>
      </c>
      <c r="Z12" s="436">
        <v>145997</v>
      </c>
      <c r="AA12" s="436">
        <v>2854</v>
      </c>
      <c r="AB12" s="436">
        <v>482</v>
      </c>
      <c r="AC12" s="436">
        <v>3029</v>
      </c>
      <c r="AD12" s="436">
        <v>192</v>
      </c>
      <c r="AE12" s="436">
        <v>29</v>
      </c>
      <c r="AF12" s="436">
        <v>5</v>
      </c>
      <c r="AG12" s="436">
        <v>142</v>
      </c>
    </row>
    <row r="13">
      <c r="A13" s="443" t="s">
        <v>951</v>
      </c>
      <c r="B13" s="444" t="s">
        <v>950</v>
      </c>
      <c r="C13" s="444"/>
      <c r="D13" s="444">
        <f>SUM(D8:D12)</f>
      </c>
      <c r="E13" s="444">
        <f>SUM(E8:E12)</f>
      </c>
      <c r="F13" s="444">
        <f>SUM(F8:F12)</f>
      </c>
      <c r="G13" s="444">
        <f>SUM(G8:G12)</f>
      </c>
      <c r="H13" s="444">
        <f>SUM(H8:H12)</f>
      </c>
      <c r="I13" s="445">
        <f t="shared" si="0"/>
      </c>
      <c r="J13" s="445">
        <f t="shared" si="1"/>
      </c>
      <c r="K13" s="445">
        <f t="shared" si="6"/>
      </c>
      <c r="L13" s="444"/>
      <c r="M13" s="446">
        <f>SUM(M8:M12)</f>
      </c>
      <c r="N13" s="444"/>
      <c r="O13" s="444"/>
      <c r="P13" s="444"/>
      <c r="Q13" s="447">
        <f>AVERAGE(Q8:Q12)</f>
      </c>
      <c r="R13" s="448">
        <f>AVERAGE(R8:R12)</f>
      </c>
      <c r="S13" s="448">
        <f>AVERAGE(S8:S12)</f>
      </c>
      <c r="T13" s="448">
        <f>AVERAGE(T8:T12)</f>
      </c>
      <c r="U13" s="448">
        <f>AVERAGE(U8:U12)</f>
      </c>
      <c r="V13" s="449">
        <f>SUM(V8:V12)</f>
      </c>
      <c r="W13" s="448">
        <f>AVERAGE(W8:W12)</f>
      </c>
      <c r="X13" s="449"/>
      <c r="Y13" s="447">
        <f>AVERAGE(Y8:Y12)</f>
      </c>
      <c r="Z13" s="449">
        <f>SUM(Z8:Z12)</f>
      </c>
      <c r="AA13" s="449">
        <f>SUM(AA8:AA12)</f>
      </c>
      <c r="AB13" s="449">
        <f>SUM(AB8:AB12)</f>
      </c>
      <c r="AC13" s="449">
        <f>SUM(AC8:AC12)</f>
      </c>
      <c r="AD13" s="449">
        <f>SUM(AD8:AD12)</f>
      </c>
      <c r="AE13" s="449">
        <f>SUM(AE8:AE12)</f>
      </c>
      <c r="AF13" s="449">
        <f>SUM(AF8:AF12)</f>
      </c>
      <c r="AG13" s="449">
        <f>SUM(AG8:AG12)</f>
      </c>
    </row>
    <row r="14">
      <c r="A14" s="428" t="s">
        <v>959</v>
      </c>
      <c r="B14" s="428" t="s">
        <v>938</v>
      </c>
      <c r="C14" s="428" t="s">
        <v>939</v>
      </c>
      <c r="D14" s="428">
        <v>5</v>
      </c>
      <c r="E14" s="428">
        <v>22</v>
      </c>
      <c r="F14" s="428">
        <v>27</v>
      </c>
      <c r="G14" s="428">
        <v>54819.08000000001</v>
      </c>
      <c r="H14" s="429">
        <v>17349.6</v>
      </c>
      <c r="I14" s="430">
        <f t="shared" si="0"/>
      </c>
      <c r="J14" s="430">
        <f t="shared" si="1"/>
      </c>
      <c r="K14" s="430">
        <f t="shared" si="6"/>
      </c>
      <c r="L14" s="428" t="s">
        <v>940</v>
      </c>
      <c r="M14" s="431">
        <v>10</v>
      </c>
      <c r="N14" s="432"/>
      <c r="O14" s="432"/>
      <c r="P14" s="432"/>
      <c r="Q14" s="433">
        <v>2.7543419590411173</v>
      </c>
      <c r="R14" s="434">
        <v>0.25204557409939626</v>
      </c>
      <c r="S14" s="435">
        <v>0.028216522276673327</v>
      </c>
      <c r="T14" s="435">
        <v>0.02971716284861896</v>
      </c>
      <c r="U14" s="435">
        <v>0.050497437443473014</v>
      </c>
      <c r="V14" s="436">
        <v>56266.149870801026</v>
      </c>
      <c r="W14" s="435">
        <v>0.015480000000000002</v>
      </c>
      <c r="X14" s="436">
        <v>33.6</v>
      </c>
      <c r="Y14" s="437">
        <v>77.71795124485973</v>
      </c>
      <c r="Z14" s="436">
        <v>223238</v>
      </c>
      <c r="AA14" s="436">
        <v>6299</v>
      </c>
      <c r="AB14" s="436">
        <v>871</v>
      </c>
      <c r="AC14" s="436">
        <v>6634</v>
      </c>
      <c r="AD14" s="436">
        <v>335</v>
      </c>
      <c r="AE14" s="436">
        <v>65</v>
      </c>
      <c r="AF14" s="436">
        <v>10</v>
      </c>
      <c r="AG14" s="436">
        <v>215</v>
      </c>
    </row>
    <row r="15">
      <c r="A15" s="428" t="s">
        <v>959</v>
      </c>
      <c r="B15" s="428" t="s">
        <v>955</v>
      </c>
      <c r="C15" s="428" t="s">
        <v>960</v>
      </c>
      <c r="D15" s="428">
        <v>4</v>
      </c>
      <c r="E15" s="428">
        <v>10</v>
      </c>
      <c r="F15" s="428">
        <v>14</v>
      </c>
      <c r="G15" s="428">
        <v>27509.65</v>
      </c>
      <c r="H15" s="429">
        <v>13990.880000000001</v>
      </c>
      <c r="I15" s="430">
        <f t="shared" si="0"/>
      </c>
      <c r="J15" s="430">
        <f t="shared" si="1"/>
      </c>
      <c r="K15" s="430">
        <f t="shared" si="6"/>
      </c>
      <c r="L15" s="438"/>
      <c r="M15" s="438"/>
      <c r="N15" s="432"/>
      <c r="O15" s="432"/>
      <c r="P15" s="432"/>
      <c r="Q15" s="429">
        <v>4.802911088225198</v>
      </c>
      <c r="R15" s="435">
        <v>0.25325031784962587</v>
      </c>
      <c r="S15" s="434">
        <v>0.019184541724567145</v>
      </c>
      <c r="T15" s="435">
        <v>0.019803610355569313</v>
      </c>
      <c r="U15" s="434">
        <v>0.07482540738277353</v>
      </c>
      <c r="V15" s="436">
        <v>38453.78151260504</v>
      </c>
      <c r="W15" s="435">
        <v>0.014875</v>
      </c>
      <c r="X15" s="436">
        <v>42.75</v>
      </c>
      <c r="Y15" s="437">
        <v>92.14164817144251</v>
      </c>
      <c r="Z15" s="436">
        <v>151841</v>
      </c>
      <c r="AA15" s="436">
        <v>2913</v>
      </c>
      <c r="AB15" s="436">
        <v>572</v>
      </c>
      <c r="AC15" s="436">
        <v>3007</v>
      </c>
      <c r="AD15" s="436">
        <v>225</v>
      </c>
      <c r="AE15" s="436">
        <v>18</v>
      </c>
      <c r="AF15" s="436">
        <v>5</v>
      </c>
      <c r="AG15" s="436">
        <v>169</v>
      </c>
    </row>
    <row r="16">
      <c r="A16" s="428" t="s">
        <v>959</v>
      </c>
      <c r="B16" s="428" t="s">
        <v>943</v>
      </c>
      <c r="C16" s="428" t="s">
        <v>961</v>
      </c>
      <c r="D16" s="428">
        <v>5</v>
      </c>
      <c r="E16" s="428">
        <v>13</v>
      </c>
      <c r="F16" s="428">
        <v>18</v>
      </c>
      <c r="G16" s="428">
        <v>36498.649999999994</v>
      </c>
      <c r="H16" s="429">
        <v>17925.62</v>
      </c>
      <c r="I16" s="430">
        <f t="shared" si="0"/>
      </c>
      <c r="J16" s="430">
        <f t="shared" si="1"/>
      </c>
      <c r="K16" s="439">
        <f t="shared" si="6"/>
      </c>
      <c r="L16" s="440"/>
      <c r="M16" s="440"/>
      <c r="N16" s="441"/>
      <c r="O16" s="432"/>
      <c r="P16" s="432"/>
      <c r="Q16" s="429">
        <v>5.542863327149041</v>
      </c>
      <c r="R16" s="435">
        <v>0.21542806828547081</v>
      </c>
      <c r="S16" s="435">
        <v>0.016332343494333677</v>
      </c>
      <c r="T16" s="435">
        <v>0.01682221279518413</v>
      </c>
      <c r="U16" s="435">
        <v>0.11347943560492345</v>
      </c>
      <c r="V16" s="436">
        <v>42657.34265734265</v>
      </c>
      <c r="W16" s="435">
        <v>0.020020000000000003</v>
      </c>
      <c r="X16" s="436">
        <v>47</v>
      </c>
      <c r="Y16" s="437">
        <v>90.52794780114336</v>
      </c>
      <c r="Z16" s="436">
        <v>198012</v>
      </c>
      <c r="AA16" s="436">
        <v>3234</v>
      </c>
      <c r="AB16" s="436">
        <v>854</v>
      </c>
      <c r="AC16" s="436">
        <v>3331</v>
      </c>
      <c r="AD16" s="436">
        <v>378</v>
      </c>
      <c r="AE16" s="436">
        <v>29</v>
      </c>
      <c r="AF16" s="436">
        <v>5</v>
      </c>
      <c r="AG16" s="436">
        <v>185</v>
      </c>
    </row>
    <row r="17">
      <c r="A17" s="428" t="s">
        <v>959</v>
      </c>
      <c r="B17" s="428" t="s">
        <v>945</v>
      </c>
      <c r="C17" s="428" t="s">
        <v>962</v>
      </c>
      <c r="D17" s="428">
        <v>3</v>
      </c>
      <c r="E17" s="428">
        <v>18</v>
      </c>
      <c r="F17" s="428">
        <v>19</v>
      </c>
      <c r="G17" s="428">
        <v>42657.95000000001</v>
      </c>
      <c r="H17" s="429">
        <v>10493.74</v>
      </c>
      <c r="I17" s="430">
        <f t="shared" si="0"/>
      </c>
      <c r="J17" s="430">
        <f t="shared" si="1"/>
      </c>
      <c r="K17" s="439">
        <f t="shared" si="6"/>
      </c>
      <c r="L17" s="440"/>
      <c r="M17" s="440"/>
      <c r="N17" s="441"/>
      <c r="O17" s="432"/>
      <c r="P17" s="432"/>
      <c r="Q17" s="429">
        <v>5.381405128205128</v>
      </c>
      <c r="R17" s="435">
        <v>0.22307302938108234</v>
      </c>
      <c r="S17" s="435">
        <v>0.016771596656001652</v>
      </c>
      <c r="T17" s="435">
        <v>0.017098427770323735</v>
      </c>
      <c r="U17" s="435">
        <v>0.10412474849094568</v>
      </c>
      <c r="V17" s="436">
        <v>25936.25498007968</v>
      </c>
      <c r="W17" s="435">
        <v>0.016733333333333333</v>
      </c>
      <c r="X17" s="436">
        <v>51.333333333333336</v>
      </c>
      <c r="Y17" s="437">
        <v>90.25475625279526</v>
      </c>
      <c r="Z17" s="436">
        <v>116268</v>
      </c>
      <c r="AA17" s="436">
        <v>1950</v>
      </c>
      <c r="AB17" s="436">
        <v>434</v>
      </c>
      <c r="AC17" s="436">
        <v>1988</v>
      </c>
      <c r="AD17" s="436">
        <v>207</v>
      </c>
      <c r="AE17" s="436">
        <v>19</v>
      </c>
      <c r="AF17" s="436">
        <v>9</v>
      </c>
      <c r="AG17" s="436">
        <v>100</v>
      </c>
    </row>
    <row r="18">
      <c r="A18" s="428" t="s">
        <v>959</v>
      </c>
      <c r="B18" s="428" t="s">
        <v>957</v>
      </c>
      <c r="C18" s="428" t="s">
        <v>963</v>
      </c>
      <c r="D18" s="428">
        <v>3</v>
      </c>
      <c r="E18" s="428">
        <v>11</v>
      </c>
      <c r="F18" s="428">
        <v>11</v>
      </c>
      <c r="G18" s="428">
        <v>21711.02000000002</v>
      </c>
      <c r="H18" s="429">
        <v>8640.15</v>
      </c>
      <c r="I18" s="430">
        <f t="shared" si="0"/>
      </c>
      <c r="J18" s="430">
        <f t="shared" si="1"/>
      </c>
      <c r="K18" s="439">
        <f t="shared" si="6"/>
      </c>
      <c r="L18" s="428" t="s">
        <v>949</v>
      </c>
      <c r="M18" s="442">
        <v>10</v>
      </c>
      <c r="N18" s="441"/>
      <c r="O18" s="432"/>
      <c r="P18" s="432"/>
      <c r="Q18" s="437">
        <v>3.410560600078958</v>
      </c>
      <c r="R18" s="435">
        <v>0.2331842932525672</v>
      </c>
      <c r="S18" s="435">
        <v>0.02105026967281914</v>
      </c>
      <c r="T18" s="435">
        <v>0.022346693703202</v>
      </c>
      <c r="U18" s="435">
        <v>0.06396429899590926</v>
      </c>
      <c r="V18" s="436">
        <v>28059.299191374663</v>
      </c>
      <c r="W18" s="435">
        <v>0.012366666666666666</v>
      </c>
      <c r="X18" s="436">
        <v>53</v>
      </c>
      <c r="Y18" s="437">
        <v>71.79322036715394</v>
      </c>
      <c r="Z18" s="436">
        <v>120331</v>
      </c>
      <c r="AA18" s="436">
        <v>2533</v>
      </c>
      <c r="AB18" s="436">
        <v>347</v>
      </c>
      <c r="AC18" s="436">
        <v>2689</v>
      </c>
      <c r="AD18" s="436">
        <v>172</v>
      </c>
      <c r="AE18" s="436">
        <v>24</v>
      </c>
      <c r="AF18" s="436">
        <v>1</v>
      </c>
      <c r="AG18" s="436">
        <v>105</v>
      </c>
    </row>
    <row r="19">
      <c r="A19" s="443" t="s">
        <v>959</v>
      </c>
      <c r="B19" s="444" t="s">
        <v>950</v>
      </c>
      <c r="C19" s="444"/>
      <c r="D19" s="444">
        <f>SUM(D14:D18)</f>
      </c>
      <c r="E19" s="444">
        <f>SUM(E14:E18)</f>
      </c>
      <c r="F19" s="444">
        <f>SUM(F14:F18)</f>
      </c>
      <c r="G19" s="444">
        <f>SUM(G14:G18)</f>
      </c>
      <c r="H19" s="444">
        <f>SUM(H14:H18)</f>
      </c>
      <c r="I19" s="445">
        <f t="shared" si="0"/>
      </c>
      <c r="J19" s="445">
        <f t="shared" si="1"/>
      </c>
      <c r="K19" s="445">
        <f t="shared" si="6"/>
      </c>
      <c r="L19" s="444"/>
      <c r="M19" s="446">
        <f>SUM(M14:M18)</f>
      </c>
      <c r="N19" s="444"/>
      <c r="O19" s="444"/>
      <c r="P19" s="444"/>
      <c r="Q19" s="447">
        <f>AVERAGE(Q14:Q18)</f>
      </c>
      <c r="R19" s="448">
        <f>AVERAGE(R14:R18)</f>
      </c>
      <c r="S19" s="448">
        <f>AVERAGE(S14:S18)</f>
      </c>
      <c r="T19" s="448">
        <f>AVERAGE(T14:T18)</f>
      </c>
      <c r="U19" s="448">
        <f>AVERAGE(U14:U18)</f>
      </c>
      <c r="V19" s="449">
        <f>SUM(V14:V18)</f>
      </c>
      <c r="W19" s="448">
        <f>AVERAGE(W14:W18)</f>
      </c>
      <c r="X19" s="449"/>
      <c r="Y19" s="447">
        <f>AVERAGE(Y14:Y18)</f>
      </c>
      <c r="Z19" s="449">
        <f>SUM(Z14:Z18)</f>
      </c>
      <c r="AA19" s="449">
        <f>SUM(AA14:AA18)</f>
      </c>
      <c r="AB19" s="449">
        <f>SUM(AB14:AB18)</f>
      </c>
      <c r="AC19" s="449">
        <f>SUM(AC14:AC18)</f>
      </c>
      <c r="AD19" s="449">
        <f>SUM(AD14:AD18)</f>
      </c>
      <c r="AE19" s="449">
        <f>SUM(AE14:AE18)</f>
      </c>
      <c r="AF19" s="449">
        <f>SUM(AF14:AF18)</f>
      </c>
      <c r="AG19" s="449">
        <f>SUM(AG14:AG18)</f>
      </c>
    </row>
    <row r="20">
      <c r="A20" s="428" t="s">
        <v>964</v>
      </c>
      <c r="B20" s="428" t="s">
        <v>947</v>
      </c>
      <c r="C20" s="428" t="s">
        <v>952</v>
      </c>
      <c r="D20" s="428">
        <v>4</v>
      </c>
      <c r="E20" s="428">
        <v>11</v>
      </c>
      <c r="F20" s="428">
        <v>18</v>
      </c>
      <c r="G20" s="428">
        <v>34345.61</v>
      </c>
      <c r="H20" s="429">
        <v>12874.380000000001</v>
      </c>
      <c r="I20" s="430">
        <f t="shared" si="0"/>
      </c>
      <c r="J20" s="430">
        <f t="shared" si="1"/>
      </c>
      <c r="K20" s="430">
        <f t="shared" si="6"/>
      </c>
      <c r="L20" s="428" t="s">
        <v>940</v>
      </c>
      <c r="M20" s="431">
        <v>10</v>
      </c>
      <c r="N20" s="432"/>
      <c r="O20" s="432"/>
      <c r="P20" s="432"/>
      <c r="Q20" s="433">
        <v>2.919360544217687</v>
      </c>
      <c r="R20" s="434">
        <v>0.24743828912861277</v>
      </c>
      <c r="S20" s="435">
        <v>0.023846216238137725</v>
      </c>
      <c r="T20" s="435">
        <v>0.025219671776570148</v>
      </c>
      <c r="U20" s="435">
        <v>0.07096912521440824</v>
      </c>
      <c r="V20" s="436">
        <v>45760</v>
      </c>
      <c r="W20" s="435">
        <v>0.015625</v>
      </c>
      <c r="X20" s="436">
        <v>39.75</v>
      </c>
      <c r="Y20" s="437">
        <v>69.6157028145024</v>
      </c>
      <c r="Z20" s="436">
        <v>184935</v>
      </c>
      <c r="AA20" s="436">
        <v>4410</v>
      </c>
      <c r="AB20" s="436">
        <v>715</v>
      </c>
      <c r="AC20" s="436">
        <v>4664</v>
      </c>
      <c r="AD20" s="436">
        <v>331</v>
      </c>
      <c r="AE20" s="436">
        <v>30</v>
      </c>
      <c r="AF20" s="436">
        <v>10</v>
      </c>
      <c r="AG20" s="436">
        <v>178</v>
      </c>
    </row>
    <row r="21">
      <c r="A21" s="428" t="s">
        <v>964</v>
      </c>
      <c r="B21" s="428" t="s">
        <v>938</v>
      </c>
      <c r="C21" s="428" t="s">
        <v>953</v>
      </c>
      <c r="D21" s="428">
        <v>4</v>
      </c>
      <c r="E21" s="428">
        <v>15</v>
      </c>
      <c r="F21" s="428">
        <v>19</v>
      </c>
      <c r="G21" s="428">
        <v>37176.71999999999</v>
      </c>
      <c r="H21" s="429">
        <v>13927.279999999999</v>
      </c>
      <c r="I21" s="430">
        <f t="shared" si="0"/>
      </c>
      <c r="J21" s="430">
        <f t="shared" si="1"/>
      </c>
      <c r="K21" s="430">
        <f t="shared" si="6"/>
      </c>
      <c r="L21" s="438"/>
      <c r="M21" s="438"/>
      <c r="N21" s="432"/>
      <c r="O21" s="432"/>
      <c r="P21" s="432"/>
      <c r="Q21" s="429">
        <v>5.517939778129952</v>
      </c>
      <c r="R21" s="435">
        <v>0.2592168148621428</v>
      </c>
      <c r="S21" s="434">
        <v>0.01610762240261398</v>
      </c>
      <c r="T21" s="435">
        <v>0.016790473273089294</v>
      </c>
      <c r="U21" s="434">
        <v>0.1337894336754086</v>
      </c>
      <c r="V21" s="436">
        <v>40618.23802163833</v>
      </c>
      <c r="W21" s="435">
        <v>0.016175</v>
      </c>
      <c r="X21" s="436">
        <v>50.25</v>
      </c>
      <c r="Y21" s="437">
        <v>88.88089038648083</v>
      </c>
      <c r="Z21" s="436">
        <v>156696</v>
      </c>
      <c r="AA21" s="436">
        <v>2524</v>
      </c>
      <c r="AB21" s="436">
        <v>657</v>
      </c>
      <c r="AC21" s="436">
        <v>2631</v>
      </c>
      <c r="AD21" s="436">
        <v>352</v>
      </c>
      <c r="AE21" s="436">
        <v>33</v>
      </c>
      <c r="AF21" s="436">
        <v>14</v>
      </c>
      <c r="AG21" s="436">
        <v>142</v>
      </c>
    </row>
    <row r="22">
      <c r="A22" s="428" t="s">
        <v>964</v>
      </c>
      <c r="B22" s="428" t="s">
        <v>955</v>
      </c>
      <c r="C22" s="428" t="s">
        <v>954</v>
      </c>
      <c r="D22" s="428">
        <v>4</v>
      </c>
      <c r="E22" s="428">
        <v>13</v>
      </c>
      <c r="F22" s="428">
        <v>14</v>
      </c>
      <c r="G22" s="428">
        <v>26293.430000000008</v>
      </c>
      <c r="H22" s="429">
        <v>13032.260000000002</v>
      </c>
      <c r="I22" s="430">
        <f t="shared" si="0"/>
      </c>
      <c r="J22" s="430">
        <f t="shared" si="1"/>
      </c>
      <c r="K22" s="439">
        <f t="shared" si="6"/>
      </c>
      <c r="L22" s="440"/>
      <c r="M22" s="440"/>
      <c r="N22" s="441"/>
      <c r="O22" s="432"/>
      <c r="P22" s="432"/>
      <c r="Q22" s="429">
        <v>5.883638826185103</v>
      </c>
      <c r="R22" s="435">
        <v>0.21438092981001558</v>
      </c>
      <c r="S22" s="435">
        <v>0.013385546027544614</v>
      </c>
      <c r="T22" s="435">
        <v>0.013657487143228364</v>
      </c>
      <c r="U22" s="435">
        <v>0.09070796460176991</v>
      </c>
      <c r="V22" s="436">
        <v>35475.11312217195</v>
      </c>
      <c r="W22" s="435">
        <v>0.016575</v>
      </c>
      <c r="X22" s="436">
        <v>53</v>
      </c>
      <c r="Y22" s="437">
        <v>78.75571831734925</v>
      </c>
      <c r="Z22" s="436">
        <v>165477</v>
      </c>
      <c r="AA22" s="436">
        <v>2215</v>
      </c>
      <c r="AB22" s="436">
        <v>588</v>
      </c>
      <c r="AC22" s="436">
        <v>2260</v>
      </c>
      <c r="AD22" s="436">
        <v>205</v>
      </c>
      <c r="AE22" s="436">
        <v>25</v>
      </c>
      <c r="AF22" s="436">
        <v>6</v>
      </c>
      <c r="AG22" s="436">
        <v>165</v>
      </c>
    </row>
    <row r="23">
      <c r="A23" s="428" t="s">
        <v>964</v>
      </c>
      <c r="B23" s="428" t="s">
        <v>943</v>
      </c>
      <c r="C23" s="428" t="s">
        <v>956</v>
      </c>
      <c r="D23" s="428">
        <v>4</v>
      </c>
      <c r="E23" s="428">
        <v>15</v>
      </c>
      <c r="F23" s="428">
        <v>17</v>
      </c>
      <c r="G23" s="428">
        <v>36415.44000000002</v>
      </c>
      <c r="H23" s="429">
        <v>14075.18</v>
      </c>
      <c r="I23" s="430">
        <f t="shared" si="0"/>
      </c>
      <c r="J23" s="430">
        <f t="shared" si="1"/>
      </c>
      <c r="K23" s="439">
        <f t="shared" si="6"/>
      </c>
      <c r="L23" s="440"/>
      <c r="M23" s="440"/>
      <c r="N23" s="441"/>
      <c r="O23" s="432"/>
      <c r="P23" s="432"/>
      <c r="Q23" s="429">
        <v>5.981801954951126</v>
      </c>
      <c r="R23" s="435">
        <v>0.2100119384526901</v>
      </c>
      <c r="S23" s="435">
        <v>0.013583097615886395</v>
      </c>
      <c r="T23" s="435">
        <v>0.013854413207873924</v>
      </c>
      <c r="U23" s="435">
        <v>0.10958333333333334</v>
      </c>
      <c r="V23" s="436">
        <v>36380.3680981595</v>
      </c>
      <c r="W23" s="435">
        <v>0.016300000000000002</v>
      </c>
      <c r="X23" s="436">
        <v>53.25</v>
      </c>
      <c r="Y23" s="437">
        <v>81.25139987300122</v>
      </c>
      <c r="Z23" s="436">
        <v>173230</v>
      </c>
      <c r="AA23" s="436">
        <v>2353</v>
      </c>
      <c r="AB23" s="436">
        <v>593</v>
      </c>
      <c r="AC23" s="436">
        <v>2400</v>
      </c>
      <c r="AD23" s="436">
        <v>263</v>
      </c>
      <c r="AE23" s="436">
        <v>15</v>
      </c>
      <c r="AF23" s="436">
        <v>4</v>
      </c>
      <c r="AG23" s="436">
        <v>170</v>
      </c>
    </row>
    <row r="24">
      <c r="A24" s="428" t="s">
        <v>964</v>
      </c>
      <c r="B24" s="428" t="s">
        <v>957</v>
      </c>
      <c r="C24" s="428" t="s">
        <v>958</v>
      </c>
      <c r="D24" s="428">
        <v>4</v>
      </c>
      <c r="E24" s="428">
        <v>21</v>
      </c>
      <c r="F24" s="428">
        <v>23</v>
      </c>
      <c r="G24" s="428">
        <v>49759.01999999999</v>
      </c>
      <c r="H24" s="429">
        <v>13785.92</v>
      </c>
      <c r="I24" s="430">
        <f t="shared" si="0"/>
      </c>
      <c r="J24" s="430">
        <f t="shared" si="1"/>
      </c>
      <c r="K24" s="439">
        <f t="shared" si="6"/>
      </c>
      <c r="L24" s="428" t="s">
        <v>949</v>
      </c>
      <c r="M24" s="442">
        <v>10</v>
      </c>
      <c r="N24" s="441"/>
      <c r="O24" s="432"/>
      <c r="P24" s="432"/>
      <c r="Q24" s="437">
        <v>4.084717037037037</v>
      </c>
      <c r="R24" s="435">
        <v>0.2758554986095115</v>
      </c>
      <c r="S24" s="435">
        <v>0.017113042420063077</v>
      </c>
      <c r="T24" s="435">
        <v>0.01777221146142847</v>
      </c>
      <c r="U24" s="435">
        <v>0.06818830242510698</v>
      </c>
      <c r="V24" s="436">
        <v>54403.66972477063</v>
      </c>
      <c r="W24" s="435">
        <v>0.010900000000000002</v>
      </c>
      <c r="X24" s="436">
        <v>54.75</v>
      </c>
      <c r="Y24" s="437">
        <v>69.90193592876919</v>
      </c>
      <c r="Z24" s="436">
        <v>197218</v>
      </c>
      <c r="AA24" s="436">
        <v>3375</v>
      </c>
      <c r="AB24" s="436">
        <v>593</v>
      </c>
      <c r="AC24" s="436">
        <v>3505</v>
      </c>
      <c r="AD24" s="436">
        <v>239</v>
      </c>
      <c r="AE24" s="436">
        <v>38</v>
      </c>
      <c r="AF24" s="436">
        <v>4</v>
      </c>
      <c r="AG24" s="436">
        <v>157</v>
      </c>
    </row>
    <row r="25">
      <c r="A25" s="443" t="s">
        <v>964</v>
      </c>
      <c r="B25" s="444" t="s">
        <v>950</v>
      </c>
      <c r="C25" s="444"/>
      <c r="D25" s="444">
        <f>SUM(D20:D24)</f>
      </c>
      <c r="E25" s="444">
        <f>SUM(E20:E24)</f>
      </c>
      <c r="F25" s="444">
        <f>SUM(F20:F24)</f>
      </c>
      <c r="G25" s="444">
        <f>SUM(G20:G24)</f>
      </c>
      <c r="H25" s="444">
        <f>SUM(H20:H24)</f>
      </c>
      <c r="I25" s="445">
        <f t="shared" si="0"/>
      </c>
      <c r="J25" s="445">
        <f t="shared" si="1"/>
      </c>
      <c r="K25" s="445">
        <f t="shared" si="6"/>
      </c>
      <c r="L25" s="444"/>
      <c r="M25" s="446">
        <f>SUM(M20:M24)</f>
      </c>
      <c r="N25" s="444"/>
      <c r="O25" s="444"/>
      <c r="P25" s="444"/>
      <c r="Q25" s="447">
        <f>AVERAGE(Q20:Q24)</f>
      </c>
      <c r="R25" s="448">
        <f>AVERAGE(R20:R24)</f>
      </c>
      <c r="S25" s="448">
        <f>AVERAGE(S20:S24)</f>
      </c>
      <c r="T25" s="448">
        <f>AVERAGE(T20:T24)</f>
      </c>
      <c r="U25" s="448">
        <f>AVERAGE(U20:U24)</f>
      </c>
      <c r="V25" s="449">
        <f>SUM(V20:V24)</f>
      </c>
      <c r="W25" s="448">
        <f>AVERAGE(W20:W24)</f>
      </c>
      <c r="X25" s="449"/>
      <c r="Y25" s="447">
        <f>AVERAGE(Y20:Y24)</f>
      </c>
      <c r="Z25" s="449">
        <f>SUM(Z20:Z24)</f>
      </c>
      <c r="AA25" s="449">
        <f>SUM(AA20:AA24)</f>
      </c>
      <c r="AB25" s="449">
        <f>SUM(AB20:AB24)</f>
      </c>
      <c r="AC25" s="449">
        <f>SUM(AC20:AC24)</f>
      </c>
      <c r="AD25" s="449">
        <f>SUM(AD20:AD24)</f>
      </c>
      <c r="AE25" s="449">
        <f>SUM(AE20:AE24)</f>
      </c>
      <c r="AF25" s="449">
        <f>SUM(AF20:AF24)</f>
      </c>
      <c r="AG25" s="449">
        <f>SUM(AG20:AG24)</f>
      </c>
    </row>
    <row r="26">
      <c r="A26" s="428" t="s">
        <v>965</v>
      </c>
      <c r="B26" s="428" t="s">
        <v>955</v>
      </c>
      <c r="C26" s="428" t="s">
        <v>952</v>
      </c>
      <c r="D26" s="428">
        <v>4</v>
      </c>
      <c r="E26" s="428">
        <v>8</v>
      </c>
      <c r="F26" s="428">
        <v>9</v>
      </c>
      <c r="G26" s="428">
        <v>17521.170000000002</v>
      </c>
      <c r="H26" s="429">
        <v>13271.060000000001</v>
      </c>
      <c r="I26" s="430">
        <f t="shared" si="0"/>
      </c>
      <c r="J26" s="430">
        <f t="shared" si="1"/>
      </c>
      <c r="K26" s="430">
        <f t="shared" si="6"/>
      </c>
      <c r="L26" s="428" t="s">
        <v>940</v>
      </c>
      <c r="M26" s="431">
        <v>10</v>
      </c>
      <c r="N26" s="432"/>
      <c r="O26" s="432"/>
      <c r="P26" s="432"/>
      <c r="Q26" s="433">
        <v>3.2535082127972546</v>
      </c>
      <c r="R26" s="434">
        <v>0.2670967453921082</v>
      </c>
      <c r="S26" s="435">
        <v>0.022260423488321326</v>
      </c>
      <c r="T26" s="435">
        <v>0.023357345557738485</v>
      </c>
      <c r="U26" s="435">
        <v>0.07359813084112149</v>
      </c>
      <c r="V26" s="436">
        <v>48942.80762564991</v>
      </c>
      <c r="W26" s="435">
        <v>0.014425</v>
      </c>
      <c r="X26" s="436">
        <v>37.5</v>
      </c>
      <c r="Y26" s="437">
        <v>72.42447063959835</v>
      </c>
      <c r="Z26" s="436">
        <v>183240</v>
      </c>
      <c r="AA26" s="436">
        <v>4079</v>
      </c>
      <c r="AB26" s="436">
        <v>706</v>
      </c>
      <c r="AC26" s="436">
        <v>4280</v>
      </c>
      <c r="AD26" s="436">
        <v>315</v>
      </c>
      <c r="AE26" s="436">
        <v>32</v>
      </c>
      <c r="AF26" s="436">
        <v>9</v>
      </c>
      <c r="AG26" s="436">
        <v>230</v>
      </c>
    </row>
    <row r="27">
      <c r="A27" s="428" t="s">
        <v>965</v>
      </c>
      <c r="B27" s="428" t="s">
        <v>947</v>
      </c>
      <c r="C27" s="428" t="s">
        <v>953</v>
      </c>
      <c r="D27" s="428">
        <v>4</v>
      </c>
      <c r="E27" s="428">
        <v>15</v>
      </c>
      <c r="F27" s="428">
        <v>20</v>
      </c>
      <c r="G27" s="428">
        <v>44684.45</v>
      </c>
      <c r="H27" s="429">
        <v>13008.349999999999</v>
      </c>
      <c r="I27" s="430">
        <f t="shared" si="0"/>
      </c>
      <c r="J27" s="430">
        <f t="shared" si="1"/>
      </c>
      <c r="K27" s="430">
        <f t="shared" si="6"/>
      </c>
      <c r="L27" s="438"/>
      <c r="M27" s="438"/>
      <c r="N27" s="432"/>
      <c r="O27" s="432"/>
      <c r="P27" s="432"/>
      <c r="Q27" s="429">
        <v>4.689383561643835</v>
      </c>
      <c r="R27" s="435">
        <v>0.2666353808491296</v>
      </c>
      <c r="S27" s="434">
        <v>0.018304069257213743</v>
      </c>
      <c r="T27" s="435">
        <v>0.018937519382914002</v>
      </c>
      <c r="U27" s="434">
        <v>0.12229965156794426</v>
      </c>
      <c r="V27" s="436">
        <v>40408.85860306644</v>
      </c>
      <c r="W27" s="435">
        <v>0.014675</v>
      </c>
      <c r="X27" s="436">
        <v>50.25</v>
      </c>
      <c r="Y27" s="437">
        <v>85.83480148596841</v>
      </c>
      <c r="Z27" s="436">
        <v>151551</v>
      </c>
      <c r="AA27" s="436">
        <v>2774</v>
      </c>
      <c r="AB27" s="436">
        <v>593</v>
      </c>
      <c r="AC27" s="436">
        <v>2870</v>
      </c>
      <c r="AD27" s="436">
        <v>351</v>
      </c>
      <c r="AE27" s="436">
        <v>37</v>
      </c>
      <c r="AF27" s="436">
        <v>8</v>
      </c>
      <c r="AG27" s="436">
        <v>150</v>
      </c>
    </row>
    <row r="28">
      <c r="A28" s="428" t="s">
        <v>965</v>
      </c>
      <c r="B28" s="428" t="s">
        <v>938</v>
      </c>
      <c r="C28" s="428" t="s">
        <v>944</v>
      </c>
      <c r="D28" s="428">
        <v>5</v>
      </c>
      <c r="E28" s="428">
        <v>23</v>
      </c>
      <c r="F28" s="428">
        <v>30</v>
      </c>
      <c r="G28" s="428">
        <v>65969.54000000001</v>
      </c>
      <c r="H28" s="429">
        <v>18176.739999999998</v>
      </c>
      <c r="I28" s="430">
        <f t="shared" si="0"/>
      </c>
      <c r="J28" s="430">
        <f t="shared" si="1"/>
      </c>
      <c r="K28" s="439">
        <f t="shared" si="6"/>
      </c>
      <c r="L28" s="440"/>
      <c r="M28" s="440"/>
      <c r="N28" s="441"/>
      <c r="O28" s="432"/>
      <c r="P28" s="432"/>
      <c r="Q28" s="429">
        <v>5.365035419126327</v>
      </c>
      <c r="R28" s="435">
        <v>0.26530926950458866</v>
      </c>
      <c r="S28" s="435">
        <v>0.015847919843578973</v>
      </c>
      <c r="T28" s="435">
        <v>0.016264231787521868</v>
      </c>
      <c r="U28" s="435">
        <v>0.12970951970089156</v>
      </c>
      <c r="V28" s="436">
        <v>56718.346253229975</v>
      </c>
      <c r="W28" s="435">
        <v>0.015479999999999999</v>
      </c>
      <c r="X28" s="436">
        <v>56.2</v>
      </c>
      <c r="Y28" s="437">
        <v>85.02465128027616</v>
      </c>
      <c r="Z28" s="436">
        <v>213782</v>
      </c>
      <c r="AA28" s="436">
        <v>3388</v>
      </c>
      <c r="AB28" s="436">
        <v>878</v>
      </c>
      <c r="AC28" s="436">
        <v>3477</v>
      </c>
      <c r="AD28" s="436">
        <v>451</v>
      </c>
      <c r="AE28" s="436">
        <v>35</v>
      </c>
      <c r="AF28" s="436">
        <v>8</v>
      </c>
      <c r="AG28" s="436">
        <v>169</v>
      </c>
    </row>
    <row r="29">
      <c r="A29" s="428" t="s">
        <v>965</v>
      </c>
      <c r="B29" s="428" t="s">
        <v>945</v>
      </c>
      <c r="C29" s="428" t="s">
        <v>966</v>
      </c>
      <c r="D29" s="428">
        <v>3</v>
      </c>
      <c r="E29" s="428">
        <v>9</v>
      </c>
      <c r="F29" s="428">
        <v>11</v>
      </c>
      <c r="G29" s="428">
        <v>21420.600000000006</v>
      </c>
      <c r="H29" s="429">
        <v>9543.66</v>
      </c>
      <c r="I29" s="430">
        <f t="shared" si="0"/>
      </c>
      <c r="J29" s="430">
        <f t="shared" si="1"/>
      </c>
      <c r="K29" s="439">
        <f t="shared" si="6"/>
      </c>
      <c r="L29" s="440"/>
      <c r="M29" s="440"/>
      <c r="N29" s="441"/>
      <c r="O29" s="432"/>
      <c r="P29" s="432"/>
      <c r="Q29" s="429">
        <v>6.032654867256637</v>
      </c>
      <c r="R29" s="435">
        <v>0.21806162645888985</v>
      </c>
      <c r="S29" s="435">
        <v>0.014494878232028</v>
      </c>
      <c r="T29" s="435">
        <v>0.015007971266790054</v>
      </c>
      <c r="U29" s="435">
        <v>0.11477411477411477</v>
      </c>
      <c r="V29" s="436">
        <v>23799.682034976155</v>
      </c>
      <c r="W29" s="435">
        <v>0.020966666666666665</v>
      </c>
      <c r="X29" s="436">
        <v>60.666666666666664</v>
      </c>
      <c r="Y29" s="437">
        <v>87.442597716736</v>
      </c>
      <c r="Z29" s="436">
        <v>109142</v>
      </c>
      <c r="AA29" s="436">
        <v>1582</v>
      </c>
      <c r="AB29" s="436">
        <v>499</v>
      </c>
      <c r="AC29" s="436">
        <v>1638</v>
      </c>
      <c r="AD29" s="436">
        <v>188</v>
      </c>
      <c r="AE29" s="436">
        <v>23</v>
      </c>
      <c r="AF29" s="436">
        <v>6</v>
      </c>
      <c r="AG29" s="436">
        <v>99</v>
      </c>
    </row>
    <row r="30">
      <c r="A30" s="428" t="s">
        <v>965</v>
      </c>
      <c r="B30" s="428" t="s">
        <v>957</v>
      </c>
      <c r="C30" s="428" t="s">
        <v>958</v>
      </c>
      <c r="D30" s="428">
        <v>4</v>
      </c>
      <c r="E30" s="428">
        <v>9</v>
      </c>
      <c r="F30" s="428">
        <v>11</v>
      </c>
      <c r="G30" s="428">
        <v>19187.28</v>
      </c>
      <c r="H30" s="429">
        <v>13507.52</v>
      </c>
      <c r="I30" s="430">
        <f t="shared" si="0"/>
      </c>
      <c r="J30" s="430">
        <f t="shared" si="1"/>
      </c>
      <c r="K30" s="439">
        <f t="shared" si="6"/>
      </c>
      <c r="L30" s="428" t="s">
        <v>949</v>
      </c>
      <c r="M30" s="442">
        <v>10</v>
      </c>
      <c r="N30" s="441"/>
      <c r="O30" s="432"/>
      <c r="P30" s="432"/>
      <c r="Q30" s="437">
        <v>3.403255228017133</v>
      </c>
      <c r="R30" s="435">
        <v>0.21165787477844714</v>
      </c>
      <c r="S30" s="435">
        <v>0.021098683790852453</v>
      </c>
      <c r="T30" s="435">
        <v>0.02233728125199345</v>
      </c>
      <c r="U30" s="435">
        <v>0.0649690623512613</v>
      </c>
      <c r="V30" s="436">
        <v>39816.23277182236</v>
      </c>
      <c r="W30" s="435">
        <v>0.016325</v>
      </c>
      <c r="X30" s="436">
        <v>60.75</v>
      </c>
      <c r="Y30" s="437">
        <v>71.80420591549895</v>
      </c>
      <c r="Z30" s="436">
        <v>188116</v>
      </c>
      <c r="AA30" s="436">
        <v>3969</v>
      </c>
      <c r="AB30" s="436">
        <v>650</v>
      </c>
      <c r="AC30" s="436">
        <v>4202</v>
      </c>
      <c r="AD30" s="436">
        <v>273</v>
      </c>
      <c r="AE30" s="436">
        <v>35</v>
      </c>
      <c r="AF30" s="436">
        <v>9</v>
      </c>
      <c r="AG30" s="436">
        <v>166</v>
      </c>
    </row>
    <row r="31">
      <c r="A31" s="443" t="s">
        <v>965</v>
      </c>
      <c r="B31" s="444" t="s">
        <v>950</v>
      </c>
      <c r="C31" s="444"/>
      <c r="D31" s="444">
        <f>SUM(D26:D30)</f>
      </c>
      <c r="E31" s="444">
        <f>SUM(E26:E30)</f>
      </c>
      <c r="F31" s="444">
        <f>SUM(F26:F30)</f>
      </c>
      <c r="G31" s="444">
        <f>SUM(G26:G30)</f>
      </c>
      <c r="H31" s="444">
        <f>SUM(H26:H30)</f>
      </c>
      <c r="I31" s="445">
        <f t="shared" si="0"/>
      </c>
      <c r="J31" s="445">
        <f t="shared" si="1"/>
      </c>
      <c r="K31" s="445">
        <f t="shared" si="6"/>
      </c>
      <c r="L31" s="444"/>
      <c r="M31" s="446">
        <f>SUM(M26:M30)</f>
      </c>
      <c r="N31" s="444"/>
      <c r="O31" s="444"/>
      <c r="P31" s="444"/>
      <c r="Q31" s="447">
        <f>AVERAGE(Q26:Q30)</f>
      </c>
      <c r="R31" s="448">
        <f>AVERAGE(R26:R30)</f>
      </c>
      <c r="S31" s="448">
        <f>AVERAGE(S26:S30)</f>
      </c>
      <c r="T31" s="448">
        <f>AVERAGE(T26:T30)</f>
      </c>
      <c r="U31" s="448">
        <f>AVERAGE(U26:U30)</f>
      </c>
      <c r="V31" s="449">
        <f>SUM(V26:V30)</f>
      </c>
      <c r="W31" s="448">
        <f>AVERAGE(W26:W30)</f>
      </c>
      <c r="X31" s="449"/>
      <c r="Y31" s="447">
        <f>AVERAGE(Y26:Y30)</f>
      </c>
      <c r="Z31" s="449">
        <f>SUM(Z26:Z30)</f>
      </c>
      <c r="AA31" s="449">
        <f>SUM(AA26:AA30)</f>
      </c>
      <c r="AB31" s="449">
        <f>SUM(AB26:AB30)</f>
      </c>
      <c r="AC31" s="449">
        <f>SUM(AC26:AC30)</f>
      </c>
      <c r="AD31" s="449">
        <f>SUM(AD26:AD30)</f>
      </c>
      <c r="AE31" s="449">
        <f>SUM(AE26:AE30)</f>
      </c>
      <c r="AF31" s="449">
        <f>SUM(AF26:AF30)</f>
      </c>
      <c r="AG31" s="449">
        <f>SUM(AG26:AG30)</f>
      </c>
    </row>
    <row r="32">
      <c r="A32" s="428" t="s">
        <v>967</v>
      </c>
      <c r="B32" s="428" t="s">
        <v>947</v>
      </c>
      <c r="C32" s="428" t="s">
        <v>952</v>
      </c>
      <c r="D32" s="428">
        <v>4</v>
      </c>
      <c r="E32" s="428">
        <v>14</v>
      </c>
      <c r="F32" s="428">
        <v>16</v>
      </c>
      <c r="G32" s="428">
        <v>32499.559999999998</v>
      </c>
      <c r="H32" s="429">
        <v>13487.480000000001</v>
      </c>
      <c r="I32" s="430">
        <f t="shared" si="0"/>
      </c>
      <c r="J32" s="430">
        <f t="shared" si="1"/>
      </c>
      <c r="K32" s="430">
        <f t="shared" si="6"/>
      </c>
      <c r="L32" s="428" t="s">
        <v>940</v>
      </c>
      <c r="M32" s="431">
        <v>10</v>
      </c>
      <c r="N32" s="432"/>
      <c r="O32" s="432"/>
      <c r="P32" s="432"/>
      <c r="Q32" s="433">
        <v>3.124271484827427</v>
      </c>
      <c r="R32" s="434">
        <v>0.2051915617046412</v>
      </c>
      <c r="S32" s="435">
        <v>0.027542602670681836</v>
      </c>
      <c r="T32" s="435">
        <v>0.029156751031970345</v>
      </c>
      <c r="U32" s="435">
        <v>0.06323851203501094</v>
      </c>
      <c r="V32" s="436">
        <v>32161.520190023755</v>
      </c>
      <c r="W32" s="435">
        <v>0.02105</v>
      </c>
      <c r="X32" s="436">
        <v>40.75</v>
      </c>
      <c r="Y32" s="437">
        <v>86.05056814194297</v>
      </c>
      <c r="Z32" s="436">
        <v>156739</v>
      </c>
      <c r="AA32" s="436">
        <v>4317</v>
      </c>
      <c r="AB32" s="436">
        <v>677</v>
      </c>
      <c r="AC32" s="436">
        <v>4570</v>
      </c>
      <c r="AD32" s="436">
        <v>289</v>
      </c>
      <c r="AE32" s="436">
        <v>37</v>
      </c>
      <c r="AF32" s="436">
        <v>9</v>
      </c>
      <c r="AG32" s="436">
        <v>166</v>
      </c>
    </row>
    <row r="33">
      <c r="A33" s="428" t="s">
        <v>967</v>
      </c>
      <c r="B33" s="428" t="s">
        <v>943</v>
      </c>
      <c r="C33" s="428" t="s">
        <v>953</v>
      </c>
      <c r="D33" s="428">
        <v>4</v>
      </c>
      <c r="E33" s="428">
        <v>11</v>
      </c>
      <c r="F33" s="428">
        <v>14</v>
      </c>
      <c r="G33" s="428">
        <v>24632.96</v>
      </c>
      <c r="H33" s="429">
        <v>12754.650000000001</v>
      </c>
      <c r="I33" s="430">
        <f t="shared" si="0"/>
      </c>
      <c r="J33" s="430">
        <f t="shared" si="1"/>
      </c>
      <c r="K33" s="430">
        <f t="shared" si="6"/>
      </c>
      <c r="L33" s="438"/>
      <c r="M33" s="438"/>
      <c r="N33" s="432"/>
      <c r="O33" s="432"/>
      <c r="P33" s="432"/>
      <c r="Q33" s="429">
        <v>6.348755599800897</v>
      </c>
      <c r="R33" s="435">
        <v>0.2050317132725192</v>
      </c>
      <c r="S33" s="434">
        <v>0.014848594594195078</v>
      </c>
      <c r="T33" s="435">
        <v>0.015402922416278022</v>
      </c>
      <c r="U33" s="434">
        <v>0.13771593090211132</v>
      </c>
      <c r="V33" s="436">
        <v>27740.585774058574</v>
      </c>
      <c r="W33" s="435">
        <v>0.0239</v>
      </c>
      <c r="X33" s="436">
        <v>54.25</v>
      </c>
      <c r="Y33" s="437">
        <v>94.27009807906933</v>
      </c>
      <c r="Z33" s="436">
        <v>135299</v>
      </c>
      <c r="AA33" s="436">
        <v>2009</v>
      </c>
      <c r="AB33" s="436">
        <v>663</v>
      </c>
      <c r="AC33" s="436">
        <v>2084</v>
      </c>
      <c r="AD33" s="436">
        <v>287</v>
      </c>
      <c r="AE33" s="436">
        <v>22</v>
      </c>
      <c r="AF33" s="436">
        <v>15</v>
      </c>
      <c r="AG33" s="436">
        <v>135</v>
      </c>
    </row>
    <row r="34">
      <c r="A34" s="428" t="s">
        <v>967</v>
      </c>
      <c r="B34" s="428" t="s">
        <v>955</v>
      </c>
      <c r="C34" s="428" t="s">
        <v>954</v>
      </c>
      <c r="D34" s="428">
        <v>4</v>
      </c>
      <c r="E34" s="428">
        <v>20</v>
      </c>
      <c r="F34" s="428">
        <v>23</v>
      </c>
      <c r="G34" s="428">
        <v>42305.14999999999</v>
      </c>
      <c r="H34" s="429">
        <v>12950.18</v>
      </c>
      <c r="I34" s="430">
        <f t="shared" si="0"/>
      </c>
      <c r="J34" s="430">
        <f t="shared" si="1"/>
      </c>
      <c r="K34" s="439">
        <f t="shared" si="6"/>
      </c>
      <c r="L34" s="440"/>
      <c r="M34" s="440"/>
      <c r="N34" s="441"/>
      <c r="O34" s="432"/>
      <c r="P34" s="432"/>
      <c r="Q34" s="429">
        <v>6.376258000984737</v>
      </c>
      <c r="R34" s="435">
        <v>0.22805212241605619</v>
      </c>
      <c r="S34" s="435">
        <v>0.016690772821406265</v>
      </c>
      <c r="T34" s="435">
        <v>0.017257815324940008</v>
      </c>
      <c r="U34" s="435">
        <v>0.13238095238095238</v>
      </c>
      <c r="V34" s="436">
        <v>27750.29446407538</v>
      </c>
      <c r="W34" s="435">
        <v>0.021225</v>
      </c>
      <c r="X34" s="436">
        <v>58.25</v>
      </c>
      <c r="Y34" s="437">
        <v>106.4246737451103</v>
      </c>
      <c r="Z34" s="436">
        <v>121684</v>
      </c>
      <c r="AA34" s="436">
        <v>2031</v>
      </c>
      <c r="AB34" s="436">
        <v>589</v>
      </c>
      <c r="AC34" s="436">
        <v>2100</v>
      </c>
      <c r="AD34" s="436">
        <v>278</v>
      </c>
      <c r="AE34" s="436">
        <v>32</v>
      </c>
      <c r="AF34" s="436">
        <v>8</v>
      </c>
      <c r="AG34" s="436">
        <v>133</v>
      </c>
    </row>
    <row r="35">
      <c r="A35" s="428" t="s">
        <v>967</v>
      </c>
      <c r="B35" s="428" t="s">
        <v>957</v>
      </c>
      <c r="C35" s="428" t="s">
        <v>956</v>
      </c>
      <c r="D35" s="428">
        <v>4</v>
      </c>
      <c r="E35" s="428">
        <v>9</v>
      </c>
      <c r="F35" s="428">
        <v>13</v>
      </c>
      <c r="G35" s="428">
        <v>26772.559999999983</v>
      </c>
      <c r="H35" s="429">
        <v>13847.89</v>
      </c>
      <c r="I35" s="430">
        <f t="shared" si="0"/>
      </c>
      <c r="J35" s="430">
        <f t="shared" si="1"/>
      </c>
      <c r="K35" s="439">
        <f t="shared" si="6"/>
      </c>
      <c r="L35" s="440"/>
      <c r="M35" s="440"/>
      <c r="N35" s="441"/>
      <c r="O35" s="432"/>
      <c r="P35" s="432"/>
      <c r="Q35" s="429">
        <v>5.930573875802998</v>
      </c>
      <c r="R35" s="435">
        <v>0.25621759968833346</v>
      </c>
      <c r="S35" s="435">
        <v>0.015439956093658046</v>
      </c>
      <c r="T35" s="435">
        <v>0.016187157394978544</v>
      </c>
      <c r="U35" s="435">
        <v>0.10784313725490197</v>
      </c>
      <c r="V35" s="436">
        <v>38748.04381846636</v>
      </c>
      <c r="W35" s="435">
        <v>0.015975</v>
      </c>
      <c r="X35" s="436">
        <v>60.25</v>
      </c>
      <c r="Y35" s="437">
        <v>91.56780025259371</v>
      </c>
      <c r="Z35" s="436">
        <v>151231</v>
      </c>
      <c r="AA35" s="436">
        <v>2335</v>
      </c>
      <c r="AB35" s="436">
        <v>619</v>
      </c>
      <c r="AC35" s="436">
        <v>2448</v>
      </c>
      <c r="AD35" s="436">
        <v>264</v>
      </c>
      <c r="AE35" s="436">
        <v>25</v>
      </c>
      <c r="AF35" s="436">
        <v>8</v>
      </c>
      <c r="AG35" s="436">
        <v>152</v>
      </c>
    </row>
    <row r="36">
      <c r="A36" s="428" t="s">
        <v>967</v>
      </c>
      <c r="B36" s="428" t="s">
        <v>938</v>
      </c>
      <c r="C36" s="428" t="s">
        <v>958</v>
      </c>
      <c r="D36" s="428">
        <v>4</v>
      </c>
      <c r="E36" s="428">
        <v>20</v>
      </c>
      <c r="F36" s="428">
        <v>22</v>
      </c>
      <c r="G36" s="428">
        <v>45731.66999999999</v>
      </c>
      <c r="H36" s="429">
        <v>12407.380000000001</v>
      </c>
      <c r="I36" s="430">
        <f t="shared" si="0"/>
      </c>
      <c r="J36" s="430">
        <f t="shared" si="1"/>
      </c>
      <c r="K36" s="439">
        <f t="shared" si="6"/>
      </c>
      <c r="L36" s="428" t="s">
        <v>968</v>
      </c>
      <c r="M36" s="442">
        <v>10</v>
      </c>
      <c r="N36" s="441"/>
      <c r="O36" s="432"/>
      <c r="P36" s="432"/>
      <c r="Q36" s="437">
        <v>4.190266801756164</v>
      </c>
      <c r="R36" s="435">
        <v>0.2131071067141484</v>
      </c>
      <c r="S36" s="435">
        <v>0.02226650624154008</v>
      </c>
      <c r="T36" s="435">
        <v>0.023417055196270117</v>
      </c>
      <c r="U36" s="435">
        <v>0.11817597944765575</v>
      </c>
      <c r="V36" s="436">
        <v>28338.983050847455</v>
      </c>
      <c r="W36" s="435">
        <v>0.022125000000000002</v>
      </c>
      <c r="X36" s="436">
        <v>63</v>
      </c>
      <c r="Y36" s="437">
        <v>93.30260189502182</v>
      </c>
      <c r="Z36" s="436">
        <v>132980</v>
      </c>
      <c r="AA36" s="436">
        <v>2961</v>
      </c>
      <c r="AB36" s="436">
        <v>627</v>
      </c>
      <c r="AC36" s="436">
        <v>3114</v>
      </c>
      <c r="AD36" s="436">
        <v>368</v>
      </c>
      <c r="AE36" s="436">
        <v>39</v>
      </c>
      <c r="AF36" s="436">
        <v>5</v>
      </c>
      <c r="AG36" s="436">
        <v>160</v>
      </c>
    </row>
    <row r="37">
      <c r="A37" s="443" t="s">
        <v>967</v>
      </c>
      <c r="B37" s="444" t="s">
        <v>950</v>
      </c>
      <c r="C37" s="444"/>
      <c r="D37" s="444">
        <f>SUM(D32:D36)</f>
      </c>
      <c r="E37" s="444">
        <f>SUM(E32:E36)</f>
      </c>
      <c r="F37" s="444">
        <f>SUM(F32:F36)</f>
      </c>
      <c r="G37" s="444">
        <f>SUM(G32:G36)</f>
      </c>
      <c r="H37" s="444">
        <f>SUM(H32:H36)</f>
      </c>
      <c r="I37" s="445">
        <f t="shared" si="0"/>
      </c>
      <c r="J37" s="445">
        <f t="shared" si="1"/>
      </c>
      <c r="K37" s="445">
        <f t="shared" si="6"/>
      </c>
      <c r="L37" s="444"/>
      <c r="M37" s="446">
        <f>SUM(M32:M36)</f>
      </c>
      <c r="N37" s="444"/>
      <c r="O37" s="444"/>
      <c r="P37" s="444"/>
      <c r="Q37" s="447">
        <f>AVERAGE(Q32:Q36)</f>
      </c>
      <c r="R37" s="448">
        <f>AVERAGE(R32:R36)</f>
      </c>
      <c r="S37" s="448">
        <f>AVERAGE(S32:S36)</f>
      </c>
      <c r="T37" s="448">
        <f>AVERAGE(T32:T36)</f>
      </c>
      <c r="U37" s="448">
        <f>AVERAGE(U32:U36)</f>
      </c>
      <c r="V37" s="449">
        <f>SUM(V32:V36)</f>
      </c>
      <c r="W37" s="448">
        <f>AVERAGE(W32:W36)</f>
      </c>
      <c r="X37" s="449"/>
      <c r="Y37" s="447">
        <f>AVERAGE(Y32:Y36)</f>
      </c>
      <c r="Z37" s="449">
        <f>SUM(Z32:Z36)</f>
      </c>
      <c r="AA37" s="449">
        <f>SUM(AA32:AA36)</f>
      </c>
      <c r="AB37" s="449">
        <f>SUM(AB32:AB36)</f>
      </c>
      <c r="AC37" s="449">
        <f>SUM(AC32:AC36)</f>
      </c>
      <c r="AD37" s="449">
        <f>SUM(AD32:AD36)</f>
      </c>
      <c r="AE37" s="449">
        <f>SUM(AE32:AE36)</f>
      </c>
      <c r="AF37" s="449">
        <f>SUM(AF32:AF36)</f>
      </c>
      <c r="AG37" s="449">
        <f>SUM(AG32:AG36)</f>
      </c>
    </row>
    <row r="38">
      <c r="A38" s="450" t="s">
        <v>969</v>
      </c>
      <c r="B38" s="451" t="s">
        <v>943</v>
      </c>
      <c r="C38" s="452" t="s">
        <v>952</v>
      </c>
      <c r="D38" s="428">
        <v>4</v>
      </c>
      <c r="E38" s="428">
        <v>16</v>
      </c>
      <c r="F38" s="428">
        <v>21</v>
      </c>
      <c r="G38" s="428">
        <v>46928.42999999999</v>
      </c>
      <c r="H38" s="429">
        <v>13780.46</v>
      </c>
      <c r="I38" s="430">
        <f t="shared" si="0"/>
      </c>
      <c r="J38" s="430">
        <f t="shared" si="1"/>
      </c>
      <c r="K38" s="430">
        <f t="shared" si="6"/>
      </c>
      <c r="L38" s="428" t="s">
        <v>940</v>
      </c>
      <c r="M38" s="431">
        <v>10</v>
      </c>
      <c r="N38" s="432"/>
      <c r="O38" s="432"/>
      <c r="P38" s="432"/>
      <c r="Q38" s="433">
        <v>3.9016024915062286</v>
      </c>
      <c r="R38" s="434">
        <v>0.2202893615161452</v>
      </c>
      <c r="S38" s="435">
        <v>0.022456051117398353</v>
      </c>
      <c r="T38" s="435">
        <v>0.023212639476110245</v>
      </c>
      <c r="U38" s="435">
        <v>0.08079978088195015</v>
      </c>
      <c r="V38" s="436">
        <v>34648.2122260669</v>
      </c>
      <c r="W38" s="435">
        <v>0.021675</v>
      </c>
      <c r="X38" s="436">
        <v>45.5</v>
      </c>
      <c r="Y38" s="437">
        <v>87.61458498903264</v>
      </c>
      <c r="Z38" s="436">
        <v>157285</v>
      </c>
      <c r="AA38" s="436">
        <v>3532</v>
      </c>
      <c r="AB38" s="436">
        <v>751</v>
      </c>
      <c r="AC38" s="436">
        <v>3651</v>
      </c>
      <c r="AD38" s="436">
        <v>295</v>
      </c>
      <c r="AE38" s="436">
        <v>42</v>
      </c>
      <c r="AF38" s="436">
        <v>7</v>
      </c>
      <c r="AG38" s="436">
        <v>173</v>
      </c>
    </row>
    <row r="39">
      <c r="A39" s="428" t="s">
        <v>969</v>
      </c>
      <c r="B39" s="453" t="s">
        <v>955</v>
      </c>
      <c r="C39" s="428" t="s">
        <v>953</v>
      </c>
      <c r="D39" s="428">
        <v>4</v>
      </c>
      <c r="E39" s="428">
        <v>15</v>
      </c>
      <c r="F39" s="428">
        <v>16</v>
      </c>
      <c r="G39" s="428">
        <v>32008.08</v>
      </c>
      <c r="H39" s="429">
        <v>13215.35</v>
      </c>
      <c r="I39" s="430">
        <f t="shared" si="0"/>
      </c>
      <c r="J39" s="430">
        <f t="shared" si="1"/>
      </c>
      <c r="K39" s="430">
        <f t="shared" si="6"/>
      </c>
      <c r="L39" s="438"/>
      <c r="M39" s="438"/>
      <c r="N39" s="432"/>
      <c r="O39" s="432"/>
      <c r="P39" s="432"/>
      <c r="Q39" s="429">
        <v>6.555233134920635</v>
      </c>
      <c r="R39" s="435">
        <v>0.25161917827201064</v>
      </c>
      <c r="S39" s="434">
        <v>0.015360819243692998</v>
      </c>
      <c r="T39" s="435">
        <v>0.015749411397179277</v>
      </c>
      <c r="U39" s="434">
        <v>0.14078374455732948</v>
      </c>
      <c r="V39" s="436">
        <v>33023.25581395349</v>
      </c>
      <c r="W39" s="435">
        <v>0.0172</v>
      </c>
      <c r="X39" s="436">
        <v>57</v>
      </c>
      <c r="Y39" s="437">
        <v>100.69375128578287</v>
      </c>
      <c r="Z39" s="436">
        <v>131243</v>
      </c>
      <c r="AA39" s="436">
        <v>2016</v>
      </c>
      <c r="AB39" s="436">
        <v>568</v>
      </c>
      <c r="AC39" s="436">
        <v>2067</v>
      </c>
      <c r="AD39" s="436">
        <v>291</v>
      </c>
      <c r="AE39" s="436">
        <v>29</v>
      </c>
      <c r="AF39" s="436">
        <v>9</v>
      </c>
      <c r="AG39" s="436">
        <v>97</v>
      </c>
    </row>
    <row r="40">
      <c r="A40" s="428" t="s">
        <v>969</v>
      </c>
      <c r="B40" s="428" t="s">
        <v>947</v>
      </c>
      <c r="C40" s="428" t="s">
        <v>954</v>
      </c>
      <c r="D40" s="428">
        <v>4</v>
      </c>
      <c r="E40" s="428">
        <v>13</v>
      </c>
      <c r="F40" s="428">
        <v>18</v>
      </c>
      <c r="G40" s="428">
        <v>40926.18000000001</v>
      </c>
      <c r="H40" s="429">
        <v>14374.83</v>
      </c>
      <c r="I40" s="430">
        <f t="shared" si="0"/>
      </c>
      <c r="J40" s="430">
        <f t="shared" si="1"/>
      </c>
      <c r="K40" s="439">
        <f t="shared" si="6"/>
      </c>
      <c r="L40" s="440"/>
      <c r="M40" s="440"/>
      <c r="N40" s="441"/>
      <c r="O40" s="432"/>
      <c r="P40" s="432"/>
      <c r="Q40" s="429">
        <v>6.357731092436975</v>
      </c>
      <c r="R40" s="435">
        <v>0.20068053939549108</v>
      </c>
      <c r="S40" s="435">
        <v>0.017194308615405676</v>
      </c>
      <c r="T40" s="435">
        <v>0.017810292250013307</v>
      </c>
      <c r="U40" s="435">
        <v>0.13791631084543127</v>
      </c>
      <c r="V40" s="436">
        <v>26388.88888888889</v>
      </c>
      <c r="W40" s="435">
        <v>0.0252</v>
      </c>
      <c r="X40" s="436">
        <v>62.25</v>
      </c>
      <c r="Y40" s="437">
        <v>109.3167904971216</v>
      </c>
      <c r="Z40" s="436">
        <v>131497</v>
      </c>
      <c r="AA40" s="436">
        <v>2261</v>
      </c>
      <c r="AB40" s="436">
        <v>665</v>
      </c>
      <c r="AC40" s="436">
        <v>2342</v>
      </c>
      <c r="AD40" s="436">
        <v>323</v>
      </c>
      <c r="AE40" s="436">
        <v>33</v>
      </c>
      <c r="AF40" s="436">
        <v>11</v>
      </c>
      <c r="AG40" s="436">
        <v>143</v>
      </c>
    </row>
    <row r="41">
      <c r="A41" s="428" t="s">
        <v>969</v>
      </c>
      <c r="B41" s="428" t="s">
        <v>957</v>
      </c>
      <c r="C41" s="428" t="s">
        <v>956</v>
      </c>
      <c r="D41" s="428">
        <v>4</v>
      </c>
      <c r="E41" s="428">
        <v>18</v>
      </c>
      <c r="F41" s="428">
        <v>23</v>
      </c>
      <c r="G41" s="428">
        <v>37099.34</v>
      </c>
      <c r="H41" s="429">
        <v>13663.919999999998</v>
      </c>
      <c r="I41" s="430">
        <f t="shared" si="0"/>
      </c>
      <c r="J41" s="430">
        <f t="shared" si="1"/>
      </c>
      <c r="K41" s="439">
        <f t="shared" si="6"/>
      </c>
      <c r="L41" s="440"/>
      <c r="M41" s="440"/>
      <c r="N41" s="441"/>
      <c r="O41" s="432"/>
      <c r="P41" s="432"/>
      <c r="Q41" s="429">
        <v>6.379047619047618</v>
      </c>
      <c r="R41" s="435">
        <v>0.1447802370303015</v>
      </c>
      <c r="S41" s="435">
        <v>0.013699944355968302</v>
      </c>
      <c r="T41" s="435">
        <v>0.014038925238725687</v>
      </c>
      <c r="U41" s="435">
        <v>0.13075170842824602</v>
      </c>
      <c r="V41" s="436">
        <v>22636.53483992467</v>
      </c>
      <c r="W41" s="435">
        <v>0.02655</v>
      </c>
      <c r="X41" s="436">
        <v>68.25</v>
      </c>
      <c r="Y41" s="437">
        <v>87.39259742502445</v>
      </c>
      <c r="Z41" s="436">
        <v>156351</v>
      </c>
      <c r="AA41" s="436">
        <v>2142</v>
      </c>
      <c r="AB41" s="436">
        <v>601</v>
      </c>
      <c r="AC41" s="436">
        <v>2195</v>
      </c>
      <c r="AD41" s="436">
        <v>287</v>
      </c>
      <c r="AE41" s="436">
        <v>37</v>
      </c>
      <c r="AF41" s="436">
        <v>13</v>
      </c>
      <c r="AG41" s="436">
        <v>172</v>
      </c>
    </row>
    <row r="42">
      <c r="A42" s="428" t="s">
        <v>969</v>
      </c>
      <c r="B42" s="428" t="s">
        <v>938</v>
      </c>
      <c r="C42" s="428" t="s">
        <v>958</v>
      </c>
      <c r="D42" s="428">
        <v>4</v>
      </c>
      <c r="E42" s="428">
        <v>20</v>
      </c>
      <c r="F42" s="428">
        <v>27</v>
      </c>
      <c r="G42" s="428">
        <v>52419.859999999986</v>
      </c>
      <c r="H42" s="429">
        <v>13437.609999999999</v>
      </c>
      <c r="I42" s="430">
        <f t="shared" si="0"/>
      </c>
      <c r="J42" s="430">
        <f t="shared" si="1"/>
      </c>
      <c r="K42" s="439">
        <f t="shared" si="6"/>
      </c>
      <c r="L42" s="428" t="s">
        <v>949</v>
      </c>
      <c r="M42" s="442">
        <v>10</v>
      </c>
      <c r="N42" s="441"/>
      <c r="O42" s="432"/>
      <c r="P42" s="432"/>
      <c r="Q42" s="437">
        <v>4.90781957633309</v>
      </c>
      <c r="R42" s="435">
        <v>0.1687</v>
      </c>
      <c r="S42" s="435">
        <v>0.0168</v>
      </c>
      <c r="T42" s="435">
        <v>0.0173</v>
      </c>
      <c r="U42" s="435">
        <v>0.1088</v>
      </c>
      <c r="V42" s="436">
        <v>27492</v>
      </c>
      <c r="W42" s="435">
        <v>0.0222</v>
      </c>
      <c r="X42" s="436">
        <v>69.5</v>
      </c>
      <c r="Y42" s="437">
        <v>82.48</v>
      </c>
      <c r="Z42" s="436">
        <v>162917</v>
      </c>
      <c r="AA42" s="436">
        <v>2738</v>
      </c>
      <c r="AB42" s="436">
        <v>611</v>
      </c>
      <c r="AC42" s="436">
        <v>2813</v>
      </c>
      <c r="AD42" s="436">
        <v>306</v>
      </c>
      <c r="AE42" s="436">
        <v>25</v>
      </c>
      <c r="AF42" s="436">
        <v>4</v>
      </c>
      <c r="AG42" s="436">
        <v>157</v>
      </c>
    </row>
    <row r="43">
      <c r="A43" s="443" t="s">
        <v>969</v>
      </c>
      <c r="B43" s="444" t="s">
        <v>950</v>
      </c>
      <c r="C43" s="444"/>
      <c r="D43" s="444">
        <f>SUM(D38:D42)</f>
      </c>
      <c r="E43" s="444">
        <f>SUM(E38:E42)</f>
      </c>
      <c r="F43" s="444">
        <f>SUM(F38:F42)</f>
      </c>
      <c r="G43" s="444">
        <f>SUM(G38:G42)</f>
      </c>
      <c r="H43" s="444">
        <f>SUM(H38:H42)</f>
      </c>
      <c r="I43" s="445">
        <f t="shared" si="0"/>
      </c>
      <c r="J43" s="445">
        <f t="shared" si="1"/>
      </c>
      <c r="K43" s="445">
        <f t="shared" si="6"/>
      </c>
      <c r="L43" s="444"/>
      <c r="M43" s="446">
        <f>SUM(M38:M42)</f>
      </c>
      <c r="N43" s="444"/>
      <c r="O43" s="444"/>
      <c r="P43" s="444"/>
      <c r="Q43" s="447">
        <f>AVERAGE(Q38:Q42)</f>
      </c>
      <c r="R43" s="448">
        <f>AVERAGE(R38:R42)</f>
      </c>
      <c r="S43" s="448">
        <f>AVERAGE(S38:S42)</f>
      </c>
      <c r="T43" s="448">
        <f>AVERAGE(T38:T42)</f>
      </c>
      <c r="U43" s="448">
        <f>AVERAGE(U38:U42)</f>
      </c>
      <c r="V43" s="449">
        <f>SUM(V38:V42)</f>
      </c>
      <c r="W43" s="448">
        <f>AVERAGE(W38:W42)</f>
      </c>
      <c r="X43" s="449"/>
      <c r="Y43" s="447">
        <f>AVERAGE(Y38:Y42)</f>
      </c>
      <c r="Z43" s="449">
        <f>SUM(Z38:Z42)</f>
      </c>
      <c r="AA43" s="449">
        <f>SUM(AA38:AA42)</f>
      </c>
      <c r="AB43" s="449">
        <f>SUM(AB38:AB42)</f>
      </c>
      <c r="AC43" s="449">
        <f>SUM(AC38:AC42)</f>
      </c>
      <c r="AD43" s="449">
        <f>SUM(AD38:AD42)</f>
      </c>
      <c r="AE43" s="449">
        <f>SUM(AE38:AE42)</f>
      </c>
      <c r="AF43" s="449">
        <f>SUM(AF38:AF42)</f>
      </c>
      <c r="AG43" s="449">
        <f>SUM(AG38:AG42)</f>
      </c>
    </row>
    <row r="44">
      <c r="A44" s="450" t="s">
        <v>970</v>
      </c>
      <c r="B44" s="451" t="s">
        <v>943</v>
      </c>
      <c r="C44" s="452" t="s">
        <v>952</v>
      </c>
      <c r="D44" s="428">
        <v>4</v>
      </c>
      <c r="E44" s="428">
        <v>14</v>
      </c>
      <c r="F44" s="428">
        <v>16</v>
      </c>
      <c r="G44" s="428">
        <v>32894.41000000001</v>
      </c>
      <c r="H44" s="429">
        <v>13521.77</v>
      </c>
      <c r="I44" s="430">
        <f t="shared" si="0"/>
      </c>
      <c r="J44" s="430">
        <f t="shared" si="1"/>
      </c>
      <c r="K44" s="430">
        <f t="shared" si="6"/>
      </c>
      <c r="L44" s="428" t="s">
        <v>971</v>
      </c>
      <c r="M44" s="431">
        <v>10</v>
      </c>
      <c r="N44" s="432"/>
      <c r="O44" s="432"/>
      <c r="P44" s="432"/>
      <c r="Q44" s="433">
        <v>3.9934347312463085</v>
      </c>
      <c r="R44" s="434">
        <v>0.20646153980452142</v>
      </c>
      <c r="S44" s="435">
        <v>0.024501787342431653</v>
      </c>
      <c r="T44" s="435">
        <v>0.025702997235770006</v>
      </c>
      <c r="U44" s="435">
        <v>0.0731981981981982</v>
      </c>
      <c r="V44" s="436">
        <v>28531.74603174603</v>
      </c>
      <c r="W44" s="435">
        <v>0.0252</v>
      </c>
      <c r="X44" s="436">
        <v>41.75</v>
      </c>
      <c r="Y44" s="437">
        <v>97.84628855087774</v>
      </c>
      <c r="Z44" s="436">
        <v>138194</v>
      </c>
      <c r="AA44" s="436">
        <v>3386</v>
      </c>
      <c r="AB44" s="436">
        <v>719</v>
      </c>
      <c r="AC44" s="436">
        <v>3552</v>
      </c>
      <c r="AD44" s="436">
        <v>260</v>
      </c>
      <c r="AE44" s="436">
        <v>30</v>
      </c>
      <c r="AF44" s="436">
        <v>4</v>
      </c>
      <c r="AG44" s="436">
        <v>166</v>
      </c>
    </row>
    <row r="45">
      <c r="A45" s="428" t="s">
        <v>970</v>
      </c>
      <c r="B45" s="453" t="s">
        <v>955</v>
      </c>
      <c r="C45" s="428" t="s">
        <v>953</v>
      </c>
      <c r="D45" s="428">
        <v>4</v>
      </c>
      <c r="E45" s="428">
        <v>13</v>
      </c>
      <c r="F45" s="428">
        <v>16</v>
      </c>
      <c r="G45" s="428">
        <v>30220.15</v>
      </c>
      <c r="H45" s="429">
        <v>12632.92</v>
      </c>
      <c r="I45" s="430">
        <f t="shared" si="0"/>
      </c>
      <c r="J45" s="430">
        <f t="shared" si="1"/>
      </c>
      <c r="K45" s="430">
        <f t="shared" si="6"/>
      </c>
      <c r="L45" s="438"/>
      <c r="M45" s="438"/>
      <c r="N45" s="432"/>
      <c r="O45" s="432"/>
      <c r="P45" s="432"/>
      <c r="Q45" s="429">
        <v>7.185961319681456</v>
      </c>
      <c r="R45" s="435">
        <v>0.22651827603895283</v>
      </c>
      <c r="S45" s="434">
        <v>0.016319634618419464</v>
      </c>
      <c r="T45" s="435">
        <v>0.01689518487231139</v>
      </c>
      <c r="U45" s="434">
        <v>0.13076923076923078</v>
      </c>
      <c r="V45" s="436">
        <v>24401.228249744116</v>
      </c>
      <c r="W45" s="435">
        <v>0.024425</v>
      </c>
      <c r="X45" s="436">
        <v>55.75</v>
      </c>
      <c r="Y45" s="437">
        <v>117.27226311929671</v>
      </c>
      <c r="Z45" s="436">
        <v>107723</v>
      </c>
      <c r="AA45" s="436">
        <v>1758</v>
      </c>
      <c r="AB45" s="436">
        <v>596</v>
      </c>
      <c r="AC45" s="436">
        <v>1820</v>
      </c>
      <c r="AD45" s="436">
        <v>238</v>
      </c>
      <c r="AE45" s="436">
        <v>28</v>
      </c>
      <c r="AF45" s="436">
        <v>5</v>
      </c>
      <c r="AG45" s="436">
        <v>122</v>
      </c>
    </row>
    <row r="46">
      <c r="A46" s="428" t="s">
        <v>970</v>
      </c>
      <c r="B46" s="428" t="s">
        <v>947</v>
      </c>
      <c r="C46" s="428" t="s">
        <v>954</v>
      </c>
      <c r="D46" s="428">
        <v>4</v>
      </c>
      <c r="E46" s="428">
        <v>21</v>
      </c>
      <c r="F46" s="428">
        <v>23</v>
      </c>
      <c r="G46" s="428">
        <v>41910.34999999999</v>
      </c>
      <c r="H46" s="429">
        <v>13988.68</v>
      </c>
      <c r="I46" s="430">
        <f t="shared" si="0"/>
      </c>
      <c r="J46" s="430">
        <f t="shared" si="1"/>
      </c>
      <c r="K46" s="439">
        <f t="shared" si="6"/>
      </c>
      <c r="L46" s="440"/>
      <c r="M46" s="440"/>
      <c r="N46" s="441"/>
      <c r="O46" s="432"/>
      <c r="P46" s="432"/>
      <c r="Q46" s="429">
        <v>6.413883539660707</v>
      </c>
      <c r="R46" s="435">
        <v>0.20904532686151908</v>
      </c>
      <c r="S46" s="435">
        <v>0.016589840719273424</v>
      </c>
      <c r="T46" s="435">
        <v>0.017259215310422467</v>
      </c>
      <c r="U46" s="435">
        <v>0.15204936095196123</v>
      </c>
      <c r="V46" s="436">
        <v>27482.35294117647</v>
      </c>
      <c r="W46" s="435">
        <v>0.02125</v>
      </c>
      <c r="X46" s="436">
        <v>61.5</v>
      </c>
      <c r="Y46" s="437">
        <v>106.40530631494074</v>
      </c>
      <c r="Z46" s="436">
        <v>131466</v>
      </c>
      <c r="AA46" s="436">
        <v>2181</v>
      </c>
      <c r="AB46" s="436">
        <v>584</v>
      </c>
      <c r="AC46" s="436">
        <v>2269</v>
      </c>
      <c r="AD46" s="436">
        <v>345</v>
      </c>
      <c r="AE46" s="436">
        <v>27</v>
      </c>
      <c r="AF46" s="436">
        <v>4</v>
      </c>
      <c r="AG46" s="436">
        <v>121</v>
      </c>
    </row>
    <row r="47">
      <c r="A47" s="428" t="s">
        <v>970</v>
      </c>
      <c r="B47" s="428" t="s">
        <v>938</v>
      </c>
      <c r="C47" s="428" t="s">
        <v>956</v>
      </c>
      <c r="D47" s="428">
        <v>4</v>
      </c>
      <c r="E47" s="428">
        <v>17</v>
      </c>
      <c r="F47" s="428">
        <v>18</v>
      </c>
      <c r="G47" s="428">
        <v>40173.26999999999</v>
      </c>
      <c r="H47" s="429">
        <v>13673.54</v>
      </c>
      <c r="I47" s="430">
        <f t="shared" si="0"/>
      </c>
      <c r="J47" s="430">
        <f t="shared" si="1"/>
      </c>
      <c r="K47" s="439">
        <f t="shared" si="6"/>
      </c>
      <c r="L47" s="440"/>
      <c r="M47" s="440"/>
      <c r="N47" s="441"/>
      <c r="O47" s="432"/>
      <c r="P47" s="432"/>
      <c r="Q47" s="429">
        <v>5.60850697292863</v>
      </c>
      <c r="R47" s="435">
        <v>0.20070149157604883</v>
      </c>
      <c r="S47" s="435">
        <v>0.015359608890680913</v>
      </c>
      <c r="T47" s="435">
        <v>0.015907716344942292</v>
      </c>
      <c r="U47" s="435">
        <v>0.1299009900990099</v>
      </c>
      <c r="V47" s="436">
        <v>31856.94635488308</v>
      </c>
      <c r="W47" s="435">
        <v>0.018175</v>
      </c>
      <c r="X47" s="436">
        <v>64</v>
      </c>
      <c r="Y47" s="437">
        <v>86.1444735648405</v>
      </c>
      <c r="Z47" s="436">
        <v>158728</v>
      </c>
      <c r="AA47" s="436">
        <v>2438</v>
      </c>
      <c r="AB47" s="436">
        <v>579</v>
      </c>
      <c r="AC47" s="436">
        <v>2525</v>
      </c>
      <c r="AD47" s="436">
        <v>328</v>
      </c>
      <c r="AE47" s="436">
        <v>20</v>
      </c>
      <c r="AF47" s="436">
        <v>11</v>
      </c>
      <c r="AG47" s="436">
        <v>141</v>
      </c>
    </row>
    <row r="48">
      <c r="A48" s="428" t="s">
        <v>970</v>
      </c>
      <c r="B48" s="428" t="s">
        <v>945</v>
      </c>
      <c r="C48" s="428" t="s">
        <v>958</v>
      </c>
      <c r="D48" s="428">
        <v>4</v>
      </c>
      <c r="E48" s="428">
        <v>17</v>
      </c>
      <c r="F48" s="428">
        <v>19</v>
      </c>
      <c r="G48" s="428">
        <v>36627.34</v>
      </c>
      <c r="H48" s="429">
        <v>11928.34</v>
      </c>
      <c r="I48" s="430">
        <f t="shared" si="0"/>
      </c>
      <c r="J48" s="430">
        <f t="shared" si="1"/>
      </c>
      <c r="K48" s="439">
        <f t="shared" si="6"/>
      </c>
      <c r="L48" s="428" t="s">
        <v>949</v>
      </c>
      <c r="M48" s="442">
        <v>10</v>
      </c>
      <c r="N48" s="441"/>
      <c r="O48" s="432"/>
      <c r="P48" s="432"/>
      <c r="Q48" s="437">
        <v>4.559762996941896</v>
      </c>
      <c r="R48" s="435">
        <v>0.1528</v>
      </c>
      <c r="S48" s="435">
        <v>0.0166</v>
      </c>
      <c r="T48" s="435">
        <v>0.0178</v>
      </c>
      <c r="U48" s="435">
        <v>0.1006</v>
      </c>
      <c r="V48" s="436">
        <v>24089</v>
      </c>
      <c r="W48" s="435">
        <v>0.0224</v>
      </c>
      <c r="X48" s="436">
        <v>66.25</v>
      </c>
      <c r="Y48" s="437">
        <v>75.65</v>
      </c>
      <c r="Z48" s="436">
        <v>157674</v>
      </c>
      <c r="AA48" s="436">
        <v>2616</v>
      </c>
      <c r="AB48" s="436">
        <v>539</v>
      </c>
      <c r="AC48" s="436">
        <v>2804</v>
      </c>
      <c r="AD48" s="436">
        <v>282</v>
      </c>
      <c r="AE48" s="436">
        <v>29</v>
      </c>
      <c r="AF48" s="436">
        <v>2</v>
      </c>
      <c r="AG48" s="436">
        <v>165</v>
      </c>
    </row>
    <row r="49">
      <c r="A49" s="443" t="s">
        <v>970</v>
      </c>
      <c r="B49" s="444" t="s">
        <v>950</v>
      </c>
      <c r="C49" s="444"/>
      <c r="D49" s="444">
        <f>SUM(D44:D48)</f>
      </c>
      <c r="E49" s="444">
        <f>SUM(E44:E48)</f>
      </c>
      <c r="F49" s="444">
        <f>SUM(F44:F48)</f>
      </c>
      <c r="G49" s="444">
        <f>SUM(G44:G48)</f>
      </c>
      <c r="H49" s="444">
        <f>SUM(H44:H48)</f>
      </c>
      <c r="I49" s="445">
        <f t="shared" si="0"/>
      </c>
      <c r="J49" s="445">
        <f t="shared" si="1"/>
      </c>
      <c r="K49" s="445">
        <f t="shared" si="6"/>
      </c>
      <c r="L49" s="444"/>
      <c r="M49" s="446">
        <f>SUM(M44:M48)</f>
      </c>
      <c r="N49" s="444"/>
      <c r="O49" s="444"/>
      <c r="P49" s="444"/>
      <c r="Q49" s="447">
        <f>AVERAGE(Q44:Q48)</f>
      </c>
      <c r="R49" s="448">
        <f>AVERAGE(R44:R48)</f>
      </c>
      <c r="S49" s="448">
        <f>AVERAGE(S44:S48)</f>
      </c>
      <c r="T49" s="448">
        <f>AVERAGE(T44:T48)</f>
      </c>
      <c r="U49" s="448">
        <f>AVERAGE(U44:U48)</f>
      </c>
      <c r="V49" s="449">
        <f>SUM(V44:V48)</f>
      </c>
      <c r="W49" s="448">
        <f>AVERAGE(W44:W48)</f>
      </c>
      <c r="X49" s="449"/>
      <c r="Y49" s="447">
        <f>AVERAGE(Y44:Y48)</f>
      </c>
      <c r="Z49" s="449">
        <f>SUM(Z44:Z48)</f>
      </c>
      <c r="AA49" s="449">
        <f>SUM(AA44:AA48)</f>
      </c>
      <c r="AB49" s="449">
        <f>SUM(AB44:AB48)</f>
      </c>
      <c r="AC49" s="449">
        <f>SUM(AC44:AC48)</f>
      </c>
      <c r="AD49" s="449">
        <f>SUM(AD44:AD48)</f>
      </c>
      <c r="AE49" s="449">
        <f>SUM(AE44:AE48)</f>
      </c>
      <c r="AF49" s="449">
        <f>SUM(AF44:AF48)</f>
      </c>
      <c r="AG49" s="449">
        <f>SUM(AG44:AG48)</f>
      </c>
    </row>
    <row r="50">
      <c r="A50" s="450" t="s">
        <v>972</v>
      </c>
      <c r="B50" s="451" t="s">
        <v>943</v>
      </c>
      <c r="C50" s="452" t="s">
        <v>952</v>
      </c>
      <c r="D50" s="428">
        <v>4</v>
      </c>
      <c r="E50" s="428">
        <v>15</v>
      </c>
      <c r="F50" s="428">
        <v>16</v>
      </c>
      <c r="G50" s="428">
        <v>31879.019999999997</v>
      </c>
      <c r="H50" s="429">
        <v>13185.09</v>
      </c>
      <c r="I50" s="430">
        <f t="shared" si="0"/>
      </c>
      <c r="J50" s="430">
        <f t="shared" si="1"/>
      </c>
      <c r="K50" s="430">
        <f t="shared" si="6"/>
      </c>
      <c r="L50" s="428" t="s">
        <v>973</v>
      </c>
      <c r="M50" s="431">
        <v>1</v>
      </c>
      <c r="N50" s="432"/>
      <c r="O50" s="432"/>
      <c r="P50" s="432"/>
      <c r="Q50" s="433">
        <v>3.620252608456892</v>
      </c>
      <c r="R50" s="434">
        <v>0.21076463533026407</v>
      </c>
      <c r="S50" s="435">
        <v>0.02847848865395743</v>
      </c>
      <c r="T50" s="435">
        <v>0.03040989631390457</v>
      </c>
      <c r="U50" s="435">
        <v>0.07714065312419645</v>
      </c>
      <c r="V50" s="436">
        <v>26953.846153846152</v>
      </c>
      <c r="W50" s="435">
        <v>0.024375</v>
      </c>
      <c r="X50" s="436">
        <v>38</v>
      </c>
      <c r="Y50" s="437">
        <v>103.09932283439937</v>
      </c>
      <c r="Z50" s="436">
        <v>127886</v>
      </c>
      <c r="AA50" s="436">
        <v>3642</v>
      </c>
      <c r="AB50" s="436">
        <v>657</v>
      </c>
      <c r="AC50" s="436">
        <v>3889</v>
      </c>
      <c r="AD50" s="436">
        <v>300</v>
      </c>
      <c r="AE50" s="436">
        <v>25</v>
      </c>
      <c r="AF50" s="436">
        <v>5</v>
      </c>
      <c r="AG50" s="436">
        <v>162</v>
      </c>
    </row>
    <row r="51">
      <c r="A51" s="428" t="s">
        <v>972</v>
      </c>
      <c r="B51" s="453" t="s">
        <v>955</v>
      </c>
      <c r="C51" s="428" t="s">
        <v>953</v>
      </c>
      <c r="D51" s="428">
        <v>4</v>
      </c>
      <c r="E51" s="428">
        <v>14</v>
      </c>
      <c r="F51" s="428">
        <v>15</v>
      </c>
      <c r="G51" s="428">
        <v>31745.199999999997</v>
      </c>
      <c r="H51" s="429">
        <v>13505.92</v>
      </c>
      <c r="I51" s="430">
        <f t="shared" si="0"/>
      </c>
      <c r="J51" s="430">
        <f t="shared" si="1"/>
      </c>
      <c r="K51" s="430">
        <f t="shared" si="6"/>
      </c>
      <c r="L51" s="438"/>
      <c r="M51" s="438"/>
      <c r="N51" s="432"/>
      <c r="O51" s="432"/>
      <c r="P51" s="432"/>
      <c r="Q51" s="429">
        <v>5.890065416484954</v>
      </c>
      <c r="R51" s="435">
        <v>0.2037744532620031</v>
      </c>
      <c r="S51" s="434">
        <v>0.01900570253961939</v>
      </c>
      <c r="T51" s="435">
        <v>0.0196604999668457</v>
      </c>
      <c r="U51" s="434">
        <v>0.11298482293423272</v>
      </c>
      <c r="V51" s="436">
        <v>24584.980237154152</v>
      </c>
      <c r="W51" s="435">
        <v>0.0253</v>
      </c>
      <c r="X51" s="436">
        <v>52.5</v>
      </c>
      <c r="Y51" s="437">
        <v>111.94483124461242</v>
      </c>
      <c r="Z51" s="436">
        <v>120648</v>
      </c>
      <c r="AA51" s="436">
        <v>2293</v>
      </c>
      <c r="AB51" s="436">
        <v>622</v>
      </c>
      <c r="AC51" s="436">
        <v>2372</v>
      </c>
      <c r="AD51" s="436">
        <v>268</v>
      </c>
      <c r="AE51" s="436">
        <v>23</v>
      </c>
      <c r="AF51" s="436">
        <v>4</v>
      </c>
      <c r="AG51" s="436">
        <v>123</v>
      </c>
    </row>
    <row r="52">
      <c r="A52" s="428" t="s">
        <v>972</v>
      </c>
      <c r="B52" s="428" t="s">
        <v>947</v>
      </c>
      <c r="C52" s="428" t="s">
        <v>954</v>
      </c>
      <c r="D52" s="428">
        <v>4</v>
      </c>
      <c r="E52" s="428">
        <v>21</v>
      </c>
      <c r="F52" s="428">
        <v>27</v>
      </c>
      <c r="G52" s="428">
        <v>61221.63000000001</v>
      </c>
      <c r="H52" s="429">
        <v>13854.74</v>
      </c>
      <c r="I52" s="430">
        <f t="shared" si="0"/>
      </c>
      <c r="J52" s="430">
        <f t="shared" si="1"/>
      </c>
      <c r="K52" s="439">
        <f t="shared" si="6"/>
      </c>
      <c r="L52" s="454" t="s">
        <v>974</v>
      </c>
      <c r="M52" s="454">
        <v>9</v>
      </c>
      <c r="N52" s="441"/>
      <c r="O52" s="432"/>
      <c r="P52" s="432"/>
      <c r="Q52" s="429">
        <v>7.104974358974359</v>
      </c>
      <c r="R52" s="435">
        <v>0.1492671366870898</v>
      </c>
      <c r="S52" s="435">
        <v>0.013037983993367343</v>
      </c>
      <c r="T52" s="435">
        <v>0.013619678663840656</v>
      </c>
      <c r="U52" s="435">
        <v>0.16053019145802652</v>
      </c>
      <c r="V52" s="436">
        <v>22324.840764331213</v>
      </c>
      <c r="W52" s="435">
        <v>0.0314</v>
      </c>
      <c r="X52" s="436">
        <v>60.25</v>
      </c>
      <c r="Y52" s="437">
        <v>92.6345419655931</v>
      </c>
      <c r="Z52" s="436">
        <v>149563</v>
      </c>
      <c r="AA52" s="436">
        <v>1950</v>
      </c>
      <c r="AB52" s="436">
        <v>701</v>
      </c>
      <c r="AC52" s="436">
        <v>2037</v>
      </c>
      <c r="AD52" s="436">
        <v>327</v>
      </c>
      <c r="AE52" s="436">
        <v>28</v>
      </c>
      <c r="AF52" s="436">
        <v>4</v>
      </c>
      <c r="AG52" s="436">
        <v>158</v>
      </c>
    </row>
    <row r="53">
      <c r="A53" s="428" t="s">
        <v>972</v>
      </c>
      <c r="B53" s="428" t="s">
        <v>938</v>
      </c>
      <c r="C53" s="428" t="s">
        <v>956</v>
      </c>
      <c r="D53" s="428">
        <v>4</v>
      </c>
      <c r="E53" s="428">
        <v>16</v>
      </c>
      <c r="F53" s="428">
        <v>20</v>
      </c>
      <c r="G53" s="428">
        <v>38647.28</v>
      </c>
      <c r="H53" s="429">
        <v>14279.9</v>
      </c>
      <c r="I53" s="430">
        <f t="shared" si="0"/>
      </c>
      <c r="J53" s="430">
        <f t="shared" si="1"/>
      </c>
      <c r="K53" s="439">
        <f t="shared" si="6"/>
      </c>
      <c r="L53" s="440"/>
      <c r="M53" s="440"/>
      <c r="N53" s="441"/>
      <c r="O53" s="432"/>
      <c r="P53" s="432"/>
      <c r="Q53" s="429">
        <v>5.9105546357615895</v>
      </c>
      <c r="R53" s="435">
        <v>0.16203064868487466</v>
      </c>
      <c r="S53" s="435">
        <v>0.016885776389267467</v>
      </c>
      <c r="T53" s="435">
        <v>0.017507810370494623</v>
      </c>
      <c r="U53" s="435">
        <v>0.1093812375249501</v>
      </c>
      <c r="V53" s="436">
        <v>23183.18318318318</v>
      </c>
      <c r="W53" s="435">
        <v>0.024975000000000004</v>
      </c>
      <c r="X53" s="436">
        <v>64.75</v>
      </c>
      <c r="Y53" s="437">
        <v>99.80430391601843</v>
      </c>
      <c r="Z53" s="436">
        <v>143079</v>
      </c>
      <c r="AA53" s="436">
        <v>2416</v>
      </c>
      <c r="AB53" s="436">
        <v>579</v>
      </c>
      <c r="AC53" s="436">
        <v>2505</v>
      </c>
      <c r="AD53" s="436">
        <v>274</v>
      </c>
      <c r="AE53" s="436">
        <v>29</v>
      </c>
      <c r="AF53" s="436">
        <v>8</v>
      </c>
      <c r="AG53" s="436">
        <v>129</v>
      </c>
    </row>
    <row r="54">
      <c r="A54" s="428" t="s">
        <v>972</v>
      </c>
      <c r="B54" s="428" t="s">
        <v>945</v>
      </c>
      <c r="C54" s="428" t="s">
        <v>958</v>
      </c>
      <c r="D54" s="428">
        <v>4</v>
      </c>
      <c r="E54" s="428">
        <v>12</v>
      </c>
      <c r="F54" s="428">
        <v>13</v>
      </c>
      <c r="G54" s="428">
        <v>26026.339999999997</v>
      </c>
      <c r="H54" s="429">
        <v>10993.619999999999</v>
      </c>
      <c r="I54" s="430">
        <f t="shared" si="0"/>
      </c>
      <c r="J54" s="430">
        <f t="shared" si="1"/>
      </c>
      <c r="K54" s="439">
        <f t="shared" si="6"/>
      </c>
      <c r="L54" s="428" t="s">
        <v>949</v>
      </c>
      <c r="M54" s="442">
        <v>10</v>
      </c>
      <c r="N54" s="441"/>
      <c r="O54" s="432"/>
      <c r="P54" s="432"/>
      <c r="Q54" s="437">
        <v>4.738629310344827</v>
      </c>
      <c r="R54" s="435">
        <v>0.1739</v>
      </c>
      <c r="S54" s="435">
        <v>0.0175</v>
      </c>
      <c r="T54" s="435">
        <v>0.0192</v>
      </c>
      <c r="U54" s="435">
        <v>0.0554</v>
      </c>
      <c r="V54" s="436">
        <v>23053</v>
      </c>
      <c r="W54" s="435">
        <v>0.0197</v>
      </c>
      <c r="X54" s="436">
        <v>65.25</v>
      </c>
      <c r="Y54" s="437">
        <v>82.91</v>
      </c>
      <c r="Z54" s="436">
        <v>132603</v>
      </c>
      <c r="AA54" s="436">
        <v>2320</v>
      </c>
      <c r="AB54" s="436">
        <v>453</v>
      </c>
      <c r="AC54" s="436">
        <v>2545</v>
      </c>
      <c r="AD54" s="436">
        <v>141</v>
      </c>
      <c r="AE54" s="436">
        <v>19</v>
      </c>
      <c r="AF54" s="436">
        <v>4</v>
      </c>
      <c r="AG54" s="436">
        <v>129</v>
      </c>
    </row>
    <row r="55">
      <c r="A55" s="443" t="s">
        <v>972</v>
      </c>
      <c r="B55" s="444" t="s">
        <v>950</v>
      </c>
      <c r="C55" s="444"/>
      <c r="D55" s="444">
        <f>SUM(D50:D54)</f>
      </c>
      <c r="E55" s="444">
        <f>SUM(E50:E54)</f>
      </c>
      <c r="F55" s="444">
        <f>SUM(F50:F54)</f>
      </c>
      <c r="G55" s="444">
        <f>SUM(G50:G54)</f>
      </c>
      <c r="H55" s="444">
        <f>SUM(H50:H54)</f>
      </c>
      <c r="I55" s="445">
        <f t="shared" si="0"/>
      </c>
      <c r="J55" s="445">
        <f t="shared" si="1"/>
      </c>
      <c r="K55" s="445">
        <f t="shared" si="6"/>
      </c>
      <c r="L55" s="444"/>
      <c r="M55" s="446">
        <f>SUM(M50:M54)</f>
      </c>
      <c r="N55" s="444"/>
      <c r="O55" s="444"/>
      <c r="P55" s="444"/>
      <c r="Q55" s="447">
        <f>AVERAGE(Q50:Q54)</f>
      </c>
      <c r="R55" s="448">
        <f>AVERAGE(R50:R54)</f>
      </c>
      <c r="S55" s="448">
        <f>AVERAGE(S50:S54)</f>
      </c>
      <c r="T55" s="448">
        <f>AVERAGE(T50:T54)</f>
      </c>
      <c r="U55" s="448">
        <f>AVERAGE(U50:U54)</f>
      </c>
      <c r="V55" s="449">
        <f>SUM(V50:V54)</f>
      </c>
      <c r="W55" s="448">
        <f>AVERAGE(W50:W54)</f>
      </c>
      <c r="X55" s="449"/>
      <c r="Y55" s="447">
        <f>AVERAGE(Y50:Y54)</f>
      </c>
      <c r="Z55" s="449">
        <f>SUM(Z50:Z54)</f>
      </c>
      <c r="AA55" s="449">
        <f>SUM(AA50:AA54)</f>
      </c>
      <c r="AB55" s="449">
        <f>SUM(AB50:AB54)</f>
      </c>
      <c r="AC55" s="449">
        <f>SUM(AC50:AC54)</f>
      </c>
      <c r="AD55" s="449">
        <f>SUM(AD50:AD54)</f>
      </c>
      <c r="AE55" s="449">
        <f>SUM(AE50:AE54)</f>
      </c>
      <c r="AF55" s="449">
        <f>SUM(AF50:AF54)</f>
      </c>
      <c r="AG55" s="449">
        <f>SUM(AG50:AG54)</f>
      </c>
    </row>
    <row r="56">
      <c r="A56" s="450" t="s">
        <v>975</v>
      </c>
      <c r="B56" s="453" t="s">
        <v>955</v>
      </c>
      <c r="C56" s="452" t="s">
        <v>952</v>
      </c>
      <c r="D56" s="428">
        <v>4</v>
      </c>
      <c r="E56" s="428">
        <v>18</v>
      </c>
      <c r="F56" s="428">
        <v>20</v>
      </c>
      <c r="G56" s="428">
        <v>39549.91</v>
      </c>
      <c r="H56" s="429">
        <v>13266.669999999998</v>
      </c>
      <c r="I56" s="430">
        <f t="shared" si="0"/>
      </c>
      <c r="J56" s="430">
        <f t="shared" si="1"/>
      </c>
      <c r="K56" s="430">
        <f t="shared" si="6"/>
      </c>
      <c r="L56" s="428" t="s">
        <v>940</v>
      </c>
      <c r="M56" s="431">
        <v>10</v>
      </c>
      <c r="N56" s="432"/>
      <c r="O56" s="432"/>
      <c r="P56" s="432"/>
      <c r="Q56" s="433">
        <v>4.123926018029219</v>
      </c>
      <c r="R56" s="434">
        <v>0.17983131646497982</v>
      </c>
      <c r="S56" s="435">
        <v>0.02382962962962963</v>
      </c>
      <c r="T56" s="435">
        <v>0.026125925925925927</v>
      </c>
      <c r="U56" s="435">
        <v>0.0697476609016161</v>
      </c>
      <c r="V56" s="436">
        <v>24277.227722772277</v>
      </c>
      <c r="W56" s="435">
        <v>0.02525</v>
      </c>
      <c r="X56" s="436">
        <v>48</v>
      </c>
      <c r="Y56" s="437">
        <v>98.27162962962962</v>
      </c>
      <c r="Z56" s="436">
        <v>135000</v>
      </c>
      <c r="AA56" s="436">
        <v>3217</v>
      </c>
      <c r="AB56" s="436">
        <v>613</v>
      </c>
      <c r="AC56" s="436">
        <v>3527</v>
      </c>
      <c r="AD56" s="436">
        <v>246</v>
      </c>
      <c r="AE56" s="436">
        <v>43</v>
      </c>
      <c r="AF56" s="436">
        <v>7</v>
      </c>
      <c r="AG56" s="436">
        <v>139</v>
      </c>
    </row>
    <row r="57">
      <c r="A57" s="428" t="s">
        <v>975</v>
      </c>
      <c r="B57" s="451" t="s">
        <v>943</v>
      </c>
      <c r="C57" s="428" t="s">
        <v>953</v>
      </c>
      <c r="D57" s="428">
        <v>4</v>
      </c>
      <c r="E57" s="428">
        <v>18</v>
      </c>
      <c r="F57" s="428">
        <v>20</v>
      </c>
      <c r="G57" s="428">
        <v>45804.149999999994</v>
      </c>
      <c r="H57" s="429">
        <v>13369.230000000001</v>
      </c>
      <c r="I57" s="430">
        <f t="shared" si="0"/>
      </c>
      <c r="J57" s="430">
        <f t="shared" si="1"/>
      </c>
      <c r="K57" s="430">
        <f t="shared" si="6"/>
      </c>
      <c r="L57" s="438"/>
      <c r="M57" s="438"/>
      <c r="N57" s="432"/>
      <c r="O57" s="432"/>
      <c r="P57" s="432"/>
      <c r="Q57" s="429">
        <v>7.670240963855423</v>
      </c>
      <c r="R57" s="435">
        <v>0.16734155552952465</v>
      </c>
      <c r="S57" s="434">
        <v>0.013714582464533288</v>
      </c>
      <c r="T57" s="435">
        <v>0.01421815864223273</v>
      </c>
      <c r="U57" s="434">
        <v>0.1732152739346984</v>
      </c>
      <c r="V57" s="436">
        <v>21267.605633802817</v>
      </c>
      <c r="W57" s="435">
        <v>0.0284</v>
      </c>
      <c r="X57" s="436">
        <v>66.75</v>
      </c>
      <c r="Y57" s="437">
        <v>105.19415222163647</v>
      </c>
      <c r="Z57" s="436">
        <v>127091</v>
      </c>
      <c r="AA57" s="436">
        <v>1743</v>
      </c>
      <c r="AB57" s="436">
        <v>604</v>
      </c>
      <c r="AC57" s="436">
        <v>1807</v>
      </c>
      <c r="AD57" s="436">
        <v>313</v>
      </c>
      <c r="AE57" s="436">
        <v>17</v>
      </c>
      <c r="AF57" s="436">
        <v>6</v>
      </c>
      <c r="AG57" s="436">
        <v>114</v>
      </c>
    </row>
    <row r="58">
      <c r="A58" s="428" t="s">
        <v>975</v>
      </c>
      <c r="B58" s="428" t="s">
        <v>938</v>
      </c>
      <c r="C58" s="428" t="s">
        <v>954</v>
      </c>
      <c r="D58" s="428">
        <v>4</v>
      </c>
      <c r="E58" s="428">
        <v>18</v>
      </c>
      <c r="F58" s="428">
        <v>21</v>
      </c>
      <c r="G58" s="428">
        <v>42420.28</v>
      </c>
      <c r="H58" s="429">
        <v>13088.12</v>
      </c>
      <c r="I58" s="430">
        <f t="shared" si="0"/>
      </c>
      <c r="J58" s="430">
        <f t="shared" si="1"/>
      </c>
      <c r="K58" s="439">
        <f t="shared" si="6"/>
      </c>
      <c r="L58" s="454"/>
      <c r="M58" s="454"/>
      <c r="N58" s="441"/>
      <c r="O58" s="432"/>
      <c r="P58" s="432"/>
      <c r="Q58" s="429">
        <v>7.384209085933224</v>
      </c>
      <c r="R58" s="435">
        <v>0.1504467363056303</v>
      </c>
      <c r="S58" s="435">
        <v>0.01344064267900626</v>
      </c>
      <c r="T58" s="435">
        <v>0.01392618313703276</v>
      </c>
      <c r="U58" s="435">
        <v>0.17062863180137347</v>
      </c>
      <c r="V58" s="436">
        <v>20450.375312760632</v>
      </c>
      <c r="W58" s="435">
        <v>0.029975</v>
      </c>
      <c r="X58" s="436">
        <v>72.5</v>
      </c>
      <c r="Y58" s="437">
        <v>99.2485157910999</v>
      </c>
      <c r="Z58" s="436">
        <v>135931</v>
      </c>
      <c r="AA58" s="436">
        <v>1827</v>
      </c>
      <c r="AB58" s="436">
        <v>613</v>
      </c>
      <c r="AC58" s="436">
        <v>1893</v>
      </c>
      <c r="AD58" s="436">
        <v>323</v>
      </c>
      <c r="AE58" s="436">
        <v>22</v>
      </c>
      <c r="AF58" s="436">
        <v>4</v>
      </c>
      <c r="AG58" s="436">
        <v>163</v>
      </c>
    </row>
    <row r="59">
      <c r="A59" s="428" t="s">
        <v>975</v>
      </c>
      <c r="B59" s="428" t="s">
        <v>947</v>
      </c>
      <c r="C59" s="428" t="s">
        <v>976</v>
      </c>
      <c r="D59" s="428">
        <v>3</v>
      </c>
      <c r="E59" s="428">
        <v>6</v>
      </c>
      <c r="F59" s="428">
        <v>8</v>
      </c>
      <c r="G59" s="428">
        <v>15990.99000000002</v>
      </c>
      <c r="H59" s="429">
        <v>9728.28</v>
      </c>
      <c r="I59" s="430">
        <f t="shared" si="0"/>
      </c>
      <c r="J59" s="430">
        <f t="shared" si="1"/>
      </c>
      <c r="K59" s="439">
        <f t="shared" si="6"/>
      </c>
      <c r="L59" s="440"/>
      <c r="M59" s="440"/>
      <c r="N59" s="441"/>
      <c r="O59" s="432"/>
      <c r="P59" s="432"/>
      <c r="Q59" s="429">
        <v>7.826444086886565</v>
      </c>
      <c r="R59" s="435">
        <v>0.13569183092601833</v>
      </c>
      <c r="S59" s="435">
        <v>0.011561607649449824</v>
      </c>
      <c r="T59" s="435">
        <v>0.011961566723405048</v>
      </c>
      <c r="U59" s="435">
        <v>0.15318818040435458</v>
      </c>
      <c r="V59" s="436">
        <v>14588.364434687157</v>
      </c>
      <c r="W59" s="435">
        <v>0.030366666666666667</v>
      </c>
      <c r="X59" s="436">
        <v>75.33333333333333</v>
      </c>
      <c r="Y59" s="437">
        <v>90.48627582293905</v>
      </c>
      <c r="Z59" s="436">
        <v>107511</v>
      </c>
      <c r="AA59" s="436">
        <v>1243</v>
      </c>
      <c r="AB59" s="436">
        <v>443</v>
      </c>
      <c r="AC59" s="436">
        <v>1286</v>
      </c>
      <c r="AD59" s="436">
        <v>197</v>
      </c>
      <c r="AE59" s="436">
        <v>14</v>
      </c>
      <c r="AF59" s="436">
        <v>3</v>
      </c>
      <c r="AG59" s="436">
        <v>108</v>
      </c>
    </row>
    <row r="60">
      <c r="A60" s="428" t="s">
        <v>975</v>
      </c>
      <c r="B60" s="428" t="s">
        <v>957</v>
      </c>
      <c r="C60" s="428" t="s">
        <v>958</v>
      </c>
      <c r="D60" s="428">
        <v>5</v>
      </c>
      <c r="E60" s="428">
        <v>10</v>
      </c>
      <c r="F60" s="428">
        <v>13</v>
      </c>
      <c r="G60" s="428">
        <v>25700.04999999999</v>
      </c>
      <c r="H60" s="429">
        <v>13866.31</v>
      </c>
      <c r="I60" s="430">
        <f t="shared" si="0"/>
      </c>
      <c r="J60" s="430">
        <f t="shared" si="1"/>
      </c>
      <c r="K60" s="439">
        <f t="shared" si="6"/>
      </c>
      <c r="L60" s="428" t="s">
        <v>949</v>
      </c>
      <c r="M60" s="442">
        <v>10</v>
      </c>
      <c r="N60" s="441"/>
      <c r="O60" s="432"/>
      <c r="P60" s="432"/>
      <c r="Q60" s="437">
        <v>5.7848602419691275</v>
      </c>
      <c r="R60" s="435">
        <v>0.1573</v>
      </c>
      <c r="S60" s="435">
        <v>0.0166</v>
      </c>
      <c r="T60" s="435">
        <v>0.0178</v>
      </c>
      <c r="U60" s="435">
        <v>0.1068</v>
      </c>
      <c r="V60" s="436">
        <v>22716</v>
      </c>
      <c r="W60" s="435">
        <v>0.0245</v>
      </c>
      <c r="X60" s="436">
        <v>76.2</v>
      </c>
      <c r="Y60" s="437">
        <v>96.03</v>
      </c>
      <c r="Z60" s="436">
        <v>144400</v>
      </c>
      <c r="AA60" s="436">
        <v>2397</v>
      </c>
      <c r="AB60" s="436">
        <v>557</v>
      </c>
      <c r="AC60" s="436">
        <v>2574</v>
      </c>
      <c r="AD60" s="436">
        <v>275</v>
      </c>
      <c r="AE60" s="436">
        <v>32</v>
      </c>
      <c r="AF60" s="436">
        <v>8</v>
      </c>
      <c r="AG60" s="436">
        <v>142</v>
      </c>
    </row>
    <row r="61">
      <c r="A61" s="443" t="s">
        <v>975</v>
      </c>
      <c r="B61" s="444" t="s">
        <v>950</v>
      </c>
      <c r="C61" s="444"/>
      <c r="D61" s="444">
        <f>SUM(D56:D60)</f>
      </c>
      <c r="E61" s="444">
        <f>SUM(E56:E60)</f>
      </c>
      <c r="F61" s="444">
        <f>SUM(F56:F60)</f>
      </c>
      <c r="G61" s="444">
        <f>SUM(G56:G60)</f>
      </c>
      <c r="H61" s="444">
        <f>SUM(H56:H60)</f>
      </c>
      <c r="I61" s="445">
        <f t="shared" si="0"/>
      </c>
      <c r="J61" s="445">
        <f t="shared" si="1"/>
      </c>
      <c r="K61" s="445">
        <f t="shared" si="6"/>
      </c>
      <c r="L61" s="444"/>
      <c r="M61" s="446">
        <f>SUM(M56:M60)</f>
      </c>
      <c r="N61" s="444"/>
      <c r="O61" s="444"/>
      <c r="P61" s="444"/>
      <c r="Q61" s="447">
        <f>AVERAGE(Q56:Q60)</f>
      </c>
      <c r="R61" s="448">
        <f>AVERAGE(R56:R60)</f>
      </c>
      <c r="S61" s="448">
        <f>AVERAGE(S56:S60)</f>
      </c>
      <c r="T61" s="448">
        <f>AVERAGE(T56:T60)</f>
      </c>
      <c r="U61" s="448">
        <f>AVERAGE(U56:U60)</f>
      </c>
      <c r="V61" s="449">
        <f>SUM(V56:V60)</f>
      </c>
      <c r="W61" s="448">
        <f>AVERAGE(W56:W60)</f>
      </c>
      <c r="X61" s="449"/>
      <c r="Y61" s="447">
        <f>AVERAGE(Y56:Y60)</f>
      </c>
      <c r="Z61" s="449">
        <f>SUM(Z56:Z60)</f>
      </c>
      <c r="AA61" s="449">
        <f>SUM(AA56:AA60)</f>
      </c>
      <c r="AB61" s="449">
        <f>SUM(AB56:AB60)</f>
      </c>
      <c r="AC61" s="449">
        <f>SUM(AC56:AC60)</f>
      </c>
      <c r="AD61" s="449">
        <f>SUM(AD56:AD60)</f>
      </c>
      <c r="AE61" s="449">
        <f>SUM(AE56:AE60)</f>
      </c>
      <c r="AF61" s="449">
        <f>SUM(AF56:AF60)</f>
      </c>
      <c r="AG61" s="449">
        <f>SUM(AG56:AG60)</f>
      </c>
    </row>
    <row r="62">
      <c r="A62" s="450" t="s">
        <v>977</v>
      </c>
      <c r="B62" s="453" t="s">
        <v>955</v>
      </c>
      <c r="C62" s="452" t="s">
        <v>952</v>
      </c>
      <c r="D62" s="428">
        <v>4</v>
      </c>
      <c r="E62" s="428">
        <v>19</v>
      </c>
      <c r="F62" s="428">
        <v>20</v>
      </c>
      <c r="G62" s="428">
        <v>39801.18000000001</v>
      </c>
      <c r="H62" s="429">
        <v>12929.05</v>
      </c>
      <c r="I62" s="430">
        <f t="shared" si="0"/>
      </c>
      <c r="J62" s="430">
        <f t="shared" si="1"/>
      </c>
      <c r="K62" s="430">
        <f t="shared" si="6"/>
      </c>
      <c r="L62" s="428" t="s">
        <v>940</v>
      </c>
      <c r="M62" s="431">
        <v>10</v>
      </c>
      <c r="N62" s="432"/>
      <c r="O62" s="432"/>
      <c r="P62" s="432"/>
      <c r="Q62" s="433">
        <v>4.271242153947803</v>
      </c>
      <c r="R62" s="434">
        <v>0.1388007541015438</v>
      </c>
      <c r="S62" s="435">
        <v>0.023226370793241562</v>
      </c>
      <c r="T62" s="435">
        <v>0.024331292297776346</v>
      </c>
      <c r="U62" s="435">
        <v>0.08293913591926837</v>
      </c>
      <c r="V62" s="436">
        <v>18089.347079037798</v>
      </c>
      <c r="W62" s="435">
        <v>0.036375000000000005</v>
      </c>
      <c r="X62" s="436">
        <v>49</v>
      </c>
      <c r="Y62" s="437">
        <v>99.20545401531542</v>
      </c>
      <c r="Z62" s="436">
        <v>130326</v>
      </c>
      <c r="AA62" s="436">
        <v>3027</v>
      </c>
      <c r="AB62" s="436">
        <v>658</v>
      </c>
      <c r="AC62" s="436">
        <v>3171</v>
      </c>
      <c r="AD62" s="436">
        <v>263</v>
      </c>
      <c r="AE62" s="436">
        <v>33</v>
      </c>
      <c r="AF62" s="436">
        <v>4</v>
      </c>
      <c r="AG62" s="436">
        <v>183</v>
      </c>
    </row>
    <row r="63">
      <c r="A63" s="428" t="s">
        <v>977</v>
      </c>
      <c r="B63" s="428" t="s">
        <v>938</v>
      </c>
      <c r="C63" s="428" t="s">
        <v>953</v>
      </c>
      <c r="D63" s="428">
        <v>4</v>
      </c>
      <c r="E63" s="428">
        <v>17</v>
      </c>
      <c r="F63" s="428">
        <v>17</v>
      </c>
      <c r="G63" s="428">
        <v>38062.83</v>
      </c>
      <c r="H63" s="429">
        <v>13794.439999999999</v>
      </c>
      <c r="I63" s="430">
        <f t="shared" si="0"/>
      </c>
      <c r="J63" s="430">
        <f t="shared" si="1"/>
      </c>
      <c r="K63" s="430">
        <f t="shared" si="6"/>
      </c>
      <c r="L63" s="438"/>
      <c r="M63" s="438"/>
      <c r="N63" s="432"/>
      <c r="O63" s="432"/>
      <c r="P63" s="432"/>
      <c r="Q63" s="429">
        <v>7.517405994550408</v>
      </c>
      <c r="R63" s="435">
        <v>0.17602193596683843</v>
      </c>
      <c r="S63" s="434">
        <v>0.015835756880140148</v>
      </c>
      <c r="T63" s="435">
        <v>0.016638332024474227</v>
      </c>
      <c r="U63" s="434">
        <v>0.14730290456431536</v>
      </c>
      <c r="V63" s="436">
        <v>20396.893874029338</v>
      </c>
      <c r="W63" s="435">
        <v>0.028974999999999997</v>
      </c>
      <c r="X63" s="436">
        <v>60.5</v>
      </c>
      <c r="Y63" s="437">
        <v>119.04381369900842</v>
      </c>
      <c r="Z63" s="436">
        <v>115877</v>
      </c>
      <c r="AA63" s="436">
        <v>1835</v>
      </c>
      <c r="AB63" s="436">
        <v>591</v>
      </c>
      <c r="AC63" s="436">
        <v>1928</v>
      </c>
      <c r="AD63" s="436">
        <v>284</v>
      </c>
      <c r="AE63" s="436">
        <v>26</v>
      </c>
      <c r="AF63" s="436">
        <v>10</v>
      </c>
      <c r="AG63" s="436">
        <v>123</v>
      </c>
    </row>
    <row r="64">
      <c r="A64" s="428" t="s">
        <v>977</v>
      </c>
      <c r="B64" s="428" t="s">
        <v>943</v>
      </c>
      <c r="C64" s="428" t="s">
        <v>954</v>
      </c>
      <c r="D64" s="428">
        <v>4</v>
      </c>
      <c r="E64" s="428">
        <v>11</v>
      </c>
      <c r="F64" s="428">
        <v>13</v>
      </c>
      <c r="G64" s="428">
        <v>25037.660000000003</v>
      </c>
      <c r="H64" s="429">
        <v>13197.17</v>
      </c>
      <c r="I64" s="430">
        <f t="shared" si="0"/>
      </c>
      <c r="J64" s="430">
        <f t="shared" si="1"/>
      </c>
      <c r="K64" s="439">
        <f t="shared" si="6"/>
      </c>
      <c r="L64" s="454"/>
      <c r="M64" s="454"/>
      <c r="N64" s="441"/>
      <c r="O64" s="432"/>
      <c r="P64" s="432"/>
      <c r="Q64" s="429">
        <v>8.46515073765234</v>
      </c>
      <c r="R64" s="435">
        <v>0.1179376962753017</v>
      </c>
      <c r="S64" s="435">
        <v>0.011886517684911975</v>
      </c>
      <c r="T64" s="435">
        <v>0.012252491289065776</v>
      </c>
      <c r="U64" s="435">
        <v>0.16365899191039204</v>
      </c>
      <c r="V64" s="436">
        <v>15468.354430379746</v>
      </c>
      <c r="W64" s="435">
        <v>0.0395</v>
      </c>
      <c r="X64" s="436">
        <v>68.25</v>
      </c>
      <c r="Y64" s="437">
        <v>100.6211639485502</v>
      </c>
      <c r="Z64" s="436">
        <v>131157</v>
      </c>
      <c r="AA64" s="436">
        <v>1559</v>
      </c>
      <c r="AB64" s="436">
        <v>611</v>
      </c>
      <c r="AC64" s="436">
        <v>1607</v>
      </c>
      <c r="AD64" s="436">
        <v>263</v>
      </c>
      <c r="AE64" s="436">
        <v>19</v>
      </c>
      <c r="AF64" s="436">
        <v>5</v>
      </c>
      <c r="AG64" s="436">
        <v>146</v>
      </c>
    </row>
    <row r="65">
      <c r="A65" s="428" t="s">
        <v>977</v>
      </c>
      <c r="B65" s="428" t="s">
        <v>957</v>
      </c>
      <c r="C65" s="428" t="s">
        <v>956</v>
      </c>
      <c r="D65" s="428">
        <v>4</v>
      </c>
      <c r="E65" s="428">
        <v>9</v>
      </c>
      <c r="F65" s="428">
        <v>16</v>
      </c>
      <c r="G65" s="428">
        <v>34245.51999999999</v>
      </c>
      <c r="H65" s="429">
        <v>13202.03</v>
      </c>
      <c r="I65" s="430">
        <f t="shared" si="0"/>
      </c>
      <c r="J65" s="430">
        <f t="shared" si="1"/>
      </c>
      <c r="K65" s="439">
        <f t="shared" si="6"/>
      </c>
      <c r="L65" s="440"/>
      <c r="M65" s="440"/>
      <c r="N65" s="441"/>
      <c r="O65" s="432"/>
      <c r="P65" s="432"/>
      <c r="Q65" s="429">
        <v>8.045112736136502</v>
      </c>
      <c r="R65" s="435">
        <v>0.15837111589532393</v>
      </c>
      <c r="S65" s="435">
        <v>0.013726933565322135</v>
      </c>
      <c r="T65" s="435">
        <v>0.014128452645843441</v>
      </c>
      <c r="U65" s="435">
        <v>0.1409117821195974</v>
      </c>
      <c r="V65" s="436">
        <v>18932.633420822396</v>
      </c>
      <c r="W65" s="435">
        <v>0.028575</v>
      </c>
      <c r="X65" s="436">
        <v>74</v>
      </c>
      <c r="Y65" s="437">
        <v>110.43472805447276</v>
      </c>
      <c r="Z65" s="436">
        <v>119546</v>
      </c>
      <c r="AA65" s="436">
        <v>1641</v>
      </c>
      <c r="AB65" s="436">
        <v>541</v>
      </c>
      <c r="AC65" s="436">
        <v>1689</v>
      </c>
      <c r="AD65" s="436">
        <v>238</v>
      </c>
      <c r="AE65" s="436">
        <v>20</v>
      </c>
      <c r="AF65" s="436">
        <v>7</v>
      </c>
      <c r="AG65" s="436">
        <v>151</v>
      </c>
    </row>
    <row r="66">
      <c r="A66" s="428" t="s">
        <v>977</v>
      </c>
      <c r="B66" s="428" t="s">
        <v>945</v>
      </c>
      <c r="C66" s="428" t="s">
        <v>958</v>
      </c>
      <c r="D66" s="428">
        <v>4</v>
      </c>
      <c r="E66" s="428">
        <v>7</v>
      </c>
      <c r="F66" s="428">
        <v>11</v>
      </c>
      <c r="G66" s="428">
        <v>20462.609999999986</v>
      </c>
      <c r="H66" s="429">
        <v>9814.8</v>
      </c>
      <c r="I66" s="430">
        <f t="shared" si="0"/>
      </c>
      <c r="J66" s="430">
        <f t="shared" si="1"/>
      </c>
      <c r="K66" s="439">
        <f t="shared" si="6"/>
      </c>
      <c r="L66" s="428" t="s">
        <v>949</v>
      </c>
      <c r="M66" s="442">
        <v>10</v>
      </c>
      <c r="N66" s="441"/>
      <c r="O66" s="432"/>
      <c r="P66" s="432"/>
      <c r="Q66" s="437">
        <v>5.937471264367816</v>
      </c>
      <c r="R66" s="435">
        <v>0.1653</v>
      </c>
      <c r="S66" s="435">
        <v>0.0182</v>
      </c>
      <c r="T66" s="435">
        <v>0.0193</v>
      </c>
      <c r="U66" s="435">
        <v>0.1206</v>
      </c>
      <c r="V66" s="436">
        <v>15008</v>
      </c>
      <c r="W66" s="435">
        <v>0.0319</v>
      </c>
      <c r="X66" s="436">
        <v>77</v>
      </c>
      <c r="Y66" s="437">
        <v>108.09</v>
      </c>
      <c r="Z66" s="436">
        <v>90800</v>
      </c>
      <c r="AA66" s="436">
        <v>1653</v>
      </c>
      <c r="AB66" s="436">
        <v>478</v>
      </c>
      <c r="AC66" s="436">
        <v>1749</v>
      </c>
      <c r="AD66" s="436">
        <v>211</v>
      </c>
      <c r="AE66" s="436">
        <v>22</v>
      </c>
      <c r="AF66" s="436">
        <v>10</v>
      </c>
      <c r="AG66" s="436">
        <v>106</v>
      </c>
    </row>
    <row r="67">
      <c r="A67" s="443" t="s">
        <v>977</v>
      </c>
      <c r="B67" s="444" t="s">
        <v>950</v>
      </c>
      <c r="C67" s="444"/>
      <c r="D67" s="444">
        <f>SUM(D62:D66)</f>
      </c>
      <c r="E67" s="444">
        <f>SUM(E62:E66)</f>
      </c>
      <c r="F67" s="444">
        <f>SUM(F62:F66)</f>
      </c>
      <c r="G67" s="444">
        <f>SUM(G62:G66)</f>
      </c>
      <c r="H67" s="444">
        <f>SUM(H62:H66)</f>
      </c>
      <c r="I67" s="445">
        <f t="shared" si="0"/>
      </c>
      <c r="J67" s="445">
        <f t="shared" si="1"/>
      </c>
      <c r="K67" s="445">
        <f t="shared" si="6"/>
      </c>
      <c r="L67" s="444"/>
      <c r="M67" s="446">
        <f>SUM(M62:M66)</f>
      </c>
      <c r="N67" s="444"/>
      <c r="O67" s="444"/>
      <c r="P67" s="444"/>
      <c r="Q67" s="447">
        <f>AVERAGE(Q62:Q66)</f>
      </c>
      <c r="R67" s="448">
        <f>AVERAGE(R62:R66)</f>
      </c>
      <c r="S67" s="448">
        <f>AVERAGE(S62:S66)</f>
      </c>
      <c r="T67" s="448">
        <f>AVERAGE(T62:T66)</f>
      </c>
      <c r="U67" s="448">
        <f>AVERAGE(U62:U66)</f>
      </c>
      <c r="V67" s="449">
        <f>SUM(V62:V66)</f>
      </c>
      <c r="W67" s="448">
        <f>AVERAGE(W62:W66)</f>
      </c>
      <c r="X67" s="449"/>
      <c r="Y67" s="447">
        <f>AVERAGE(Y62:Y66)</f>
      </c>
      <c r="Z67" s="449">
        <f>SUM(Z62:Z66)</f>
      </c>
      <c r="AA67" s="449">
        <f>SUM(AA62:AA66)</f>
      </c>
      <c r="AB67" s="449">
        <f>SUM(AB62:AB66)</f>
      </c>
      <c r="AC67" s="449">
        <f>SUM(AC62:AC66)</f>
      </c>
      <c r="AD67" s="449">
        <f>SUM(AD62:AD66)</f>
      </c>
      <c r="AE67" s="449">
        <f>SUM(AE62:AE66)</f>
      </c>
      <c r="AF67" s="449">
        <f>SUM(AF62:AF66)</f>
      </c>
      <c r="AG67" s="449">
        <f>SUM(AG62:AG66)</f>
      </c>
    </row>
    <row r="68">
      <c r="A68" s="450" t="s">
        <v>978</v>
      </c>
      <c r="B68" s="453" t="s">
        <v>955</v>
      </c>
      <c r="C68" s="452" t="s">
        <v>939</v>
      </c>
      <c r="D68" s="428">
        <v>5</v>
      </c>
      <c r="E68" s="428">
        <v>11</v>
      </c>
      <c r="F68" s="428">
        <v>14</v>
      </c>
      <c r="G68" s="428">
        <v>24185.459999999995</v>
      </c>
      <c r="H68" s="429">
        <v>14636.640000000001</v>
      </c>
      <c r="I68" s="430">
        <f t="shared" si="0"/>
      </c>
      <c r="J68" s="430">
        <f t="shared" si="1"/>
      </c>
      <c r="K68" s="430">
        <f t="shared" si="6"/>
      </c>
      <c r="L68" s="428" t="s">
        <v>940</v>
      </c>
      <c r="M68" s="431">
        <v>10</v>
      </c>
      <c r="N68" s="432"/>
      <c r="O68" s="432"/>
      <c r="P68" s="432"/>
      <c r="Q68" s="433">
        <v>5.535794251134645</v>
      </c>
      <c r="R68" s="434">
        <v>0.061405812497893786</v>
      </c>
      <c r="S68" s="435">
        <v>0.02241190780941402</v>
      </c>
      <c r="T68" s="435">
        <v>0.023971586718995023</v>
      </c>
      <c r="U68" s="435">
        <v>0.0983026874115983</v>
      </c>
      <c r="V68" s="436">
        <v>7244.227917814023</v>
      </c>
      <c r="W68" s="435">
        <v>0.09441999999999999</v>
      </c>
      <c r="X68" s="436">
        <v>55.8</v>
      </c>
      <c r="Y68" s="437">
        <v>124.06771040831379</v>
      </c>
      <c r="Z68" s="436">
        <v>117973</v>
      </c>
      <c r="AA68" s="436">
        <v>2644</v>
      </c>
      <c r="AB68" s="436">
        <v>684</v>
      </c>
      <c r="AC68" s="436">
        <v>2828</v>
      </c>
      <c r="AD68" s="436">
        <v>278</v>
      </c>
      <c r="AE68" s="436">
        <v>28</v>
      </c>
      <c r="AF68" s="436">
        <v>5</v>
      </c>
      <c r="AG68" s="436">
        <v>170</v>
      </c>
    </row>
    <row r="69">
      <c r="A69" s="428" t="s">
        <v>978</v>
      </c>
      <c r="B69" s="428" t="s">
        <v>943</v>
      </c>
      <c r="C69" s="428" t="s">
        <v>960</v>
      </c>
      <c r="D69" s="428">
        <v>4</v>
      </c>
      <c r="E69" s="428">
        <v>21</v>
      </c>
      <c r="F69" s="428">
        <v>24</v>
      </c>
      <c r="G69" s="428">
        <v>47941.080000000016</v>
      </c>
      <c r="H69" s="429">
        <v>12620.15</v>
      </c>
      <c r="I69" s="430">
        <f t="shared" si="0"/>
      </c>
      <c r="J69" s="430">
        <f t="shared" si="1"/>
      </c>
      <c r="K69" s="430">
        <f t="shared" si="6"/>
      </c>
      <c r="L69" s="438"/>
      <c r="M69" s="438"/>
      <c r="N69" s="432"/>
      <c r="O69" s="432"/>
      <c r="P69" s="432"/>
      <c r="Q69" s="429">
        <v>6.602234432234432</v>
      </c>
      <c r="R69" s="435">
        <v>0.027393929847569904</v>
      </c>
      <c r="S69" s="434">
        <v>0.020285547476248608</v>
      </c>
      <c r="T69" s="435">
        <v>0.021081683562443606</v>
      </c>
      <c r="U69" s="434">
        <v>0.1470292044310171</v>
      </c>
      <c r="V69" s="436">
        <v>2580.645161290323</v>
      </c>
      <c r="W69" s="435">
        <v>0.20304999999999998</v>
      </c>
      <c r="X69" s="436">
        <v>74.25</v>
      </c>
      <c r="Y69" s="437">
        <v>133.92994002441486</v>
      </c>
      <c r="Z69" s="436">
        <v>94205</v>
      </c>
      <c r="AA69" s="436">
        <v>1911</v>
      </c>
      <c r="AB69" s="436">
        <v>524</v>
      </c>
      <c r="AC69" s="436">
        <v>1986</v>
      </c>
      <c r="AD69" s="436">
        <v>292</v>
      </c>
      <c r="AE69" s="436">
        <v>20</v>
      </c>
      <c r="AF69" s="436">
        <v>11</v>
      </c>
      <c r="AG69" s="436">
        <v>128</v>
      </c>
    </row>
    <row r="70">
      <c r="A70" s="428" t="s">
        <v>978</v>
      </c>
      <c r="B70" s="428" t="s">
        <v>957</v>
      </c>
      <c r="C70" s="428" t="s">
        <v>979</v>
      </c>
      <c r="D70" s="428">
        <v>4</v>
      </c>
      <c r="E70" s="428">
        <v>14</v>
      </c>
      <c r="F70" s="428">
        <v>14</v>
      </c>
      <c r="G70" s="428">
        <v>30217.190000000002</v>
      </c>
      <c r="H70" s="429">
        <v>12784.12</v>
      </c>
      <c r="I70" s="430">
        <f t="shared" si="0"/>
      </c>
      <c r="J70" s="430">
        <f t="shared" si="1"/>
      </c>
      <c r="K70" s="439">
        <f t="shared" si="6"/>
      </c>
      <c r="L70" s="454"/>
      <c r="M70" s="454"/>
      <c r="N70" s="441"/>
      <c r="O70" s="432"/>
      <c r="P70" s="432"/>
      <c r="Q70" s="429">
        <v>7.190168728908887</v>
      </c>
      <c r="R70" s="435">
        <v>0.16938137136313342</v>
      </c>
      <c r="S70" s="435">
        <v>0.015958210669921733</v>
      </c>
      <c r="T70" s="435">
        <v>0.016353127019458607</v>
      </c>
      <c r="U70" s="435">
        <v>0.15422612513721184</v>
      </c>
      <c r="V70" s="436">
        <v>18871.79487179487</v>
      </c>
      <c r="W70" s="435">
        <v>0.029249999999999998</v>
      </c>
      <c r="X70" s="436">
        <v>72.25</v>
      </c>
      <c r="Y70" s="437">
        <v>114.74222732821138</v>
      </c>
      <c r="Z70" s="436">
        <v>111416</v>
      </c>
      <c r="AA70" s="436">
        <v>1778</v>
      </c>
      <c r="AB70" s="436">
        <v>552</v>
      </c>
      <c r="AC70" s="436">
        <v>1822</v>
      </c>
      <c r="AD70" s="436">
        <v>281</v>
      </c>
      <c r="AE70" s="436">
        <v>26</v>
      </c>
      <c r="AF70" s="436">
        <v>5</v>
      </c>
      <c r="AG70" s="436">
        <v>129</v>
      </c>
    </row>
    <row r="71">
      <c r="A71" s="428" t="s">
        <v>978</v>
      </c>
      <c r="B71" s="428" t="s">
        <v>947</v>
      </c>
      <c r="C71" s="428" t="s">
        <v>980</v>
      </c>
      <c r="D71" s="428">
        <v>4</v>
      </c>
      <c r="E71" s="428">
        <v>15</v>
      </c>
      <c r="F71" s="428">
        <v>21</v>
      </c>
      <c r="G71" s="428">
        <v>42022.629999999976</v>
      </c>
      <c r="H71" s="429">
        <v>13836.869999999999</v>
      </c>
      <c r="I71" s="430">
        <f t="shared" si="0"/>
      </c>
      <c r="J71" s="430">
        <f t="shared" si="1"/>
      </c>
      <c r="K71" s="439">
        <f t="shared" si="6"/>
      </c>
      <c r="L71" s="440"/>
      <c r="M71" s="440"/>
      <c r="N71" s="441"/>
      <c r="O71" s="432"/>
      <c r="P71" s="432"/>
      <c r="Q71" s="429">
        <v>7.240580847723705</v>
      </c>
      <c r="R71" s="435">
        <v>0.18749853020219967</v>
      </c>
      <c r="S71" s="435">
        <v>0.016296005730463553</v>
      </c>
      <c r="T71" s="435">
        <v>0.01705495105229048</v>
      </c>
      <c r="U71" s="435">
        <v>0.167</v>
      </c>
      <c r="V71" s="436">
        <v>21987.57763975155</v>
      </c>
      <c r="W71" s="435">
        <v>0.02415</v>
      </c>
      <c r="X71" s="436">
        <v>75.5</v>
      </c>
      <c r="Y71" s="437">
        <v>117.99254698639015</v>
      </c>
      <c r="Z71" s="436">
        <v>117268</v>
      </c>
      <c r="AA71" s="436">
        <v>1911</v>
      </c>
      <c r="AB71" s="436">
        <v>531</v>
      </c>
      <c r="AC71" s="436">
        <v>2000</v>
      </c>
      <c r="AD71" s="436">
        <v>334</v>
      </c>
      <c r="AE71" s="436">
        <v>30</v>
      </c>
      <c r="AF71" s="436">
        <v>5</v>
      </c>
      <c r="AG71" s="436">
        <v>148</v>
      </c>
    </row>
    <row r="72">
      <c r="A72" s="428" t="s">
        <v>978</v>
      </c>
      <c r="B72" s="428" t="s">
        <v>945</v>
      </c>
      <c r="C72" s="428" t="s">
        <v>963</v>
      </c>
      <c r="D72" s="428">
        <v>3</v>
      </c>
      <c r="E72" s="428">
        <v>10</v>
      </c>
      <c r="F72" s="428">
        <v>12</v>
      </c>
      <c r="G72" s="428">
        <v>20940.589999999997</v>
      </c>
      <c r="H72" s="429">
        <v>6179.26</v>
      </c>
      <c r="I72" s="430">
        <f t="shared" si="0"/>
      </c>
      <c r="J72" s="430">
        <f t="shared" si="1"/>
      </c>
      <c r="K72" s="439">
        <f t="shared" si="6"/>
      </c>
      <c r="L72" s="428" t="s">
        <v>949</v>
      </c>
      <c r="M72" s="442">
        <v>10</v>
      </c>
      <c r="N72" s="441"/>
      <c r="O72" s="432"/>
      <c r="P72" s="432"/>
      <c r="Q72" s="437">
        <v>4.5942453531598515</v>
      </c>
      <c r="R72" s="435">
        <v>0.2035</v>
      </c>
      <c r="S72" s="435">
        <v>0.0238</v>
      </c>
      <c r="T72" s="435">
        <v>0.0255</v>
      </c>
      <c r="U72" s="435">
        <v>0.1008</v>
      </c>
      <c r="V72" s="436">
        <v>11503</v>
      </c>
      <c r="W72" s="435">
        <v>0.0197</v>
      </c>
      <c r="X72" s="436">
        <v>77</v>
      </c>
      <c r="Y72" s="437">
        <v>109.31</v>
      </c>
      <c r="Z72" s="436">
        <v>56530</v>
      </c>
      <c r="AA72" s="436">
        <v>1345</v>
      </c>
      <c r="AB72" s="436">
        <v>227</v>
      </c>
      <c r="AC72" s="436">
        <v>1439</v>
      </c>
      <c r="AD72" s="436">
        <v>145</v>
      </c>
      <c r="AE72" s="436">
        <v>15</v>
      </c>
      <c r="AF72" s="436">
        <v>3</v>
      </c>
      <c r="AG72" s="436">
        <v>60</v>
      </c>
    </row>
    <row r="73">
      <c r="A73" s="443" t="s">
        <v>978</v>
      </c>
      <c r="B73" s="444" t="s">
        <v>950</v>
      </c>
      <c r="C73" s="444"/>
      <c r="D73" s="444">
        <f>SUM(D68:D72)</f>
      </c>
      <c r="E73" s="444">
        <f>SUM(E68:E72)</f>
      </c>
      <c r="F73" s="444">
        <f>SUM(F68:F72)</f>
      </c>
      <c r="G73" s="444">
        <f>SUM(G68:G72)</f>
      </c>
      <c r="H73" s="444">
        <f>SUM(H68:H72)</f>
      </c>
      <c r="I73" s="445">
        <f t="shared" si="0"/>
      </c>
      <c r="J73" s="445">
        <f t="shared" si="1"/>
      </c>
      <c r="K73" s="445">
        <f t="shared" si="6"/>
      </c>
      <c r="L73" s="444"/>
      <c r="M73" s="446">
        <f>SUM(M68:M72)</f>
      </c>
      <c r="N73" s="444"/>
      <c r="O73" s="444"/>
      <c r="P73" s="444"/>
      <c r="Q73" s="447">
        <f>AVERAGE(Q68:Q72)</f>
      </c>
      <c r="R73" s="448">
        <f>AVERAGE(R68:R72)</f>
      </c>
      <c r="S73" s="448">
        <f>AVERAGE(S68:S72)</f>
      </c>
      <c r="T73" s="448">
        <f>AVERAGE(T68:T72)</f>
      </c>
      <c r="U73" s="448">
        <f>AVERAGE(U68:U72)</f>
      </c>
      <c r="V73" s="449">
        <f>SUM(V68:V72)</f>
      </c>
      <c r="W73" s="448">
        <f>AVERAGE(W68:W72)</f>
      </c>
      <c r="X73" s="449"/>
      <c r="Y73" s="447">
        <f>AVERAGE(Y68:Y72)</f>
      </c>
      <c r="Z73" s="449">
        <f>SUM(Z68:Z72)</f>
      </c>
      <c r="AA73" s="449">
        <f>SUM(AA68:AA72)</f>
      </c>
      <c r="AB73" s="449">
        <f>SUM(AB68:AB72)</f>
      </c>
      <c r="AC73" s="449">
        <f>SUM(AC68:AC72)</f>
      </c>
      <c r="AD73" s="449">
        <f>SUM(AD68:AD72)</f>
      </c>
      <c r="AE73" s="449">
        <f>SUM(AE68:AE72)</f>
      </c>
      <c r="AF73" s="449">
        <f>SUM(AF68:AF72)</f>
      </c>
      <c r="AG73" s="449">
        <f>SUM(AG68:AG72)</f>
      </c>
    </row>
    <row r="74">
      <c r="A74" s="450" t="s">
        <v>981</v>
      </c>
      <c r="B74" s="428" t="s">
        <v>938</v>
      </c>
      <c r="C74" s="452" t="s">
        <v>952</v>
      </c>
      <c r="D74" s="428">
        <v>4</v>
      </c>
      <c r="E74" s="428">
        <v>15</v>
      </c>
      <c r="F74" s="428">
        <v>19</v>
      </c>
      <c r="G74" s="428">
        <v>37945.88000000001</v>
      </c>
      <c r="H74" s="429">
        <v>11650.79</v>
      </c>
      <c r="I74" s="430">
        <f t="shared" si="0"/>
      </c>
      <c r="J74" s="430">
        <f t="shared" si="1"/>
      </c>
      <c r="K74" s="430">
        <f t="shared" si="6"/>
      </c>
      <c r="L74" s="428" t="s">
        <v>940</v>
      </c>
      <c r="M74" s="431">
        <v>10</v>
      </c>
      <c r="N74" s="432"/>
      <c r="O74" s="432"/>
      <c r="P74" s="432"/>
      <c r="Q74" s="433">
        <v>5.288601906491149</v>
      </c>
      <c r="R74" s="434">
        <v>0.17171398809842855</v>
      </c>
      <c r="S74" s="435">
        <v>0.021229233319199785</v>
      </c>
      <c r="T74" s="435">
        <v>0.02278071155995837</v>
      </c>
      <c r="U74" s="435">
        <v>0.09771573604060914</v>
      </c>
      <c r="V74" s="436">
        <v>17819.103972950128</v>
      </c>
      <c r="W74" s="435">
        <v>0.029575</v>
      </c>
      <c r="X74" s="436">
        <v>50.25</v>
      </c>
      <c r="Y74" s="437">
        <v>112.2729638052654</v>
      </c>
      <c r="Z74" s="436">
        <v>103772</v>
      </c>
      <c r="AA74" s="436">
        <v>2203</v>
      </c>
      <c r="AB74" s="436">
        <v>527</v>
      </c>
      <c r="AC74" s="436">
        <v>2364</v>
      </c>
      <c r="AD74" s="436">
        <v>231</v>
      </c>
      <c r="AE74" s="436">
        <v>27</v>
      </c>
      <c r="AF74" s="436">
        <v>7</v>
      </c>
      <c r="AG74" s="436">
        <v>124</v>
      </c>
    </row>
    <row r="75">
      <c r="A75" s="428" t="s">
        <v>981</v>
      </c>
      <c r="B75" s="453" t="s">
        <v>955</v>
      </c>
      <c r="C75" s="428" t="s">
        <v>953</v>
      </c>
      <c r="D75" s="428">
        <v>4</v>
      </c>
      <c r="E75" s="428">
        <v>13</v>
      </c>
      <c r="F75" s="428">
        <v>18</v>
      </c>
      <c r="G75" s="428">
        <v>31090.409999999996</v>
      </c>
      <c r="H75" s="429">
        <v>14379.160000000002</v>
      </c>
      <c r="I75" s="430">
        <f t="shared" si="0"/>
      </c>
      <c r="J75" s="430">
        <f t="shared" si="1"/>
      </c>
      <c r="K75" s="430">
        <f t="shared" si="6"/>
      </c>
      <c r="L75" s="438"/>
      <c r="M75" s="438"/>
      <c r="N75" s="432"/>
      <c r="O75" s="432"/>
      <c r="P75" s="432"/>
      <c r="Q75" s="429">
        <v>7.5008659363588945</v>
      </c>
      <c r="R75" s="435">
        <v>0.1592153689453395</v>
      </c>
      <c r="S75" s="434">
        <v>0.014802745882334772</v>
      </c>
      <c r="T75" s="435">
        <v>0.015358717558666595</v>
      </c>
      <c r="U75" s="434">
        <v>0.13273001508295626</v>
      </c>
      <c r="V75" s="436">
        <v>20618.867924528302</v>
      </c>
      <c r="W75" s="435">
        <v>0.033125</v>
      </c>
      <c r="X75" s="436">
        <v>62</v>
      </c>
      <c r="Y75" s="437">
        <v>111.03341235338179</v>
      </c>
      <c r="Z75" s="436">
        <v>129503</v>
      </c>
      <c r="AA75" s="436">
        <v>1917</v>
      </c>
      <c r="AB75" s="436">
        <v>683</v>
      </c>
      <c r="AC75" s="436">
        <v>1989</v>
      </c>
      <c r="AD75" s="436">
        <v>264</v>
      </c>
      <c r="AE75" s="436">
        <v>19</v>
      </c>
      <c r="AF75" s="436">
        <v>6</v>
      </c>
      <c r="AG75" s="436">
        <v>179</v>
      </c>
    </row>
    <row r="76">
      <c r="A76" s="428" t="s">
        <v>981</v>
      </c>
      <c r="B76" s="438" t="s">
        <v>947</v>
      </c>
      <c r="C76" s="428" t="s">
        <v>954</v>
      </c>
      <c r="D76" s="428">
        <v>4</v>
      </c>
      <c r="E76" s="428">
        <v>10</v>
      </c>
      <c r="F76" s="428">
        <v>16</v>
      </c>
      <c r="G76" s="428">
        <v>36975.600000000006</v>
      </c>
      <c r="H76" s="429">
        <v>13179.94</v>
      </c>
      <c r="I76" s="430">
        <f t="shared" si="0"/>
      </c>
      <c r="J76" s="430">
        <f t="shared" si="1"/>
      </c>
      <c r="K76" s="439">
        <f t="shared" si="6"/>
      </c>
      <c r="L76" s="454"/>
      <c r="M76" s="454"/>
      <c r="N76" s="441"/>
      <c r="O76" s="432"/>
      <c r="P76" s="432"/>
      <c r="Q76" s="429">
        <v>7.108921251348436</v>
      </c>
      <c r="R76" s="435">
        <v>0.17040836895644068</v>
      </c>
      <c r="S76" s="435">
        <v>0.01440895313592912</v>
      </c>
      <c r="T76" s="435">
        <v>0.014921893215201678</v>
      </c>
      <c r="U76" s="435">
        <v>0.1640625</v>
      </c>
      <c r="V76" s="436">
        <v>21926.44483362522</v>
      </c>
      <c r="W76" s="435">
        <v>0.02855</v>
      </c>
      <c r="X76" s="436">
        <v>69.5</v>
      </c>
      <c r="Y76" s="437">
        <v>102.43211315769021</v>
      </c>
      <c r="Z76" s="436">
        <v>128670</v>
      </c>
      <c r="AA76" s="436">
        <v>1854</v>
      </c>
      <c r="AB76" s="436">
        <v>626</v>
      </c>
      <c r="AC76" s="436">
        <v>1920</v>
      </c>
      <c r="AD76" s="436">
        <v>315</v>
      </c>
      <c r="AE76" s="436">
        <v>27</v>
      </c>
      <c r="AF76" s="436">
        <v>8</v>
      </c>
      <c r="AG76" s="436">
        <v>137</v>
      </c>
    </row>
    <row r="77">
      <c r="A77" s="450" t="s">
        <v>981</v>
      </c>
      <c r="B77" s="451" t="s">
        <v>945</v>
      </c>
      <c r="C77" s="452" t="s">
        <v>956</v>
      </c>
      <c r="D77" s="428">
        <v>4</v>
      </c>
      <c r="E77" s="428">
        <v>20</v>
      </c>
      <c r="F77" s="428">
        <v>23</v>
      </c>
      <c r="G77" s="428">
        <v>47398.880000000005</v>
      </c>
      <c r="H77" s="429">
        <v>11746.75</v>
      </c>
      <c r="I77" s="430">
        <f t="shared" si="0"/>
      </c>
      <c r="J77" s="430">
        <f t="shared" si="1"/>
      </c>
      <c r="K77" s="439">
        <f t="shared" si="6"/>
      </c>
      <c r="L77" s="440"/>
      <c r="M77" s="440"/>
      <c r="N77" s="441"/>
      <c r="O77" s="432"/>
      <c r="P77" s="432"/>
      <c r="Q77" s="429">
        <v>5.669222972972974</v>
      </c>
      <c r="R77" s="435">
        <v>0.12989493027284027</v>
      </c>
      <c r="S77" s="435">
        <v>0.018270154925975893</v>
      </c>
      <c r="T77" s="435">
        <v>0.018905025174368876</v>
      </c>
      <c r="U77" s="435">
        <v>0.14412313432835822</v>
      </c>
      <c r="V77" s="436">
        <v>14731.254147312542</v>
      </c>
      <c r="W77" s="435">
        <v>0.037675</v>
      </c>
      <c r="X77" s="436">
        <v>73.25</v>
      </c>
      <c r="Y77" s="437">
        <v>103.57758202611785</v>
      </c>
      <c r="Z77" s="436">
        <v>113409</v>
      </c>
      <c r="AA77" s="436">
        <v>2072</v>
      </c>
      <c r="AB77" s="436">
        <v>555</v>
      </c>
      <c r="AC77" s="436">
        <v>2144</v>
      </c>
      <c r="AD77" s="436">
        <v>309</v>
      </c>
      <c r="AE77" s="436">
        <v>29</v>
      </c>
      <c r="AF77" s="436">
        <v>8</v>
      </c>
      <c r="AG77" s="436">
        <v>106</v>
      </c>
    </row>
    <row r="78">
      <c r="A78" s="428" t="s">
        <v>981</v>
      </c>
      <c r="B78" s="453" t="s">
        <v>943</v>
      </c>
      <c r="C78" s="428" t="s">
        <v>958</v>
      </c>
      <c r="D78" s="428">
        <v>4</v>
      </c>
      <c r="E78" s="428">
        <v>8</v>
      </c>
      <c r="F78" s="428">
        <v>13</v>
      </c>
      <c r="G78" s="428">
        <v>25852.179999999993</v>
      </c>
      <c r="H78" s="429">
        <v>10920.05</v>
      </c>
      <c r="I78" s="430">
        <f t="shared" si="0"/>
      </c>
      <c r="J78" s="430">
        <f t="shared" si="1"/>
      </c>
      <c r="K78" s="439">
        <f t="shared" si="6"/>
      </c>
      <c r="L78" s="428" t="s">
        <v>949</v>
      </c>
      <c r="M78" s="442">
        <v>10</v>
      </c>
      <c r="N78" s="441"/>
      <c r="O78" s="432"/>
      <c r="P78" s="432"/>
      <c r="Q78" s="437">
        <v>5.479202207727044</v>
      </c>
      <c r="R78" s="435">
        <v>0.2474</v>
      </c>
      <c r="S78" s="435">
        <v>0.0177</v>
      </c>
      <c r="T78" s="435">
        <v>0.0188</v>
      </c>
      <c r="U78" s="435">
        <v>0.095</v>
      </c>
      <c r="V78" s="436">
        <v>27848</v>
      </c>
      <c r="W78" s="435">
        <v>0.0158</v>
      </c>
      <c r="X78" s="436">
        <v>74.75</v>
      </c>
      <c r="Y78" s="437">
        <v>97</v>
      </c>
      <c r="Z78" s="436">
        <v>112574</v>
      </c>
      <c r="AA78" s="436">
        <v>1993</v>
      </c>
      <c r="AB78" s="436">
        <v>440</v>
      </c>
      <c r="AC78" s="436">
        <v>2115</v>
      </c>
      <c r="AD78" s="436">
        <v>201</v>
      </c>
      <c r="AE78" s="436">
        <v>20</v>
      </c>
      <c r="AF78" s="436">
        <v>7</v>
      </c>
      <c r="AG78" s="436">
        <v>125</v>
      </c>
    </row>
    <row r="79">
      <c r="A79" s="443" t="s">
        <v>981</v>
      </c>
      <c r="B79" s="444" t="s">
        <v>950</v>
      </c>
      <c r="C79" s="444"/>
      <c r="D79" s="444">
        <f>SUM(D74:D78)</f>
      </c>
      <c r="E79" s="444">
        <f>SUM(E74:E78)</f>
      </c>
      <c r="F79" s="444">
        <f>SUM(F74:F78)</f>
      </c>
      <c r="G79" s="444">
        <f>SUM(G74:G78)</f>
      </c>
      <c r="H79" s="444">
        <f>SUM(H74:H78)</f>
      </c>
      <c r="I79" s="445">
        <f t="shared" si="0"/>
      </c>
      <c r="J79" s="445">
        <f t="shared" si="1"/>
      </c>
      <c r="K79" s="445">
        <f t="shared" si="6"/>
      </c>
      <c r="L79" s="444"/>
      <c r="M79" s="446">
        <f>SUM(M74:M78)</f>
      </c>
      <c r="N79" s="444"/>
      <c r="O79" s="444"/>
      <c r="P79" s="444"/>
      <c r="Q79" s="447">
        <f>AVERAGE(Q74:Q78)</f>
      </c>
      <c r="R79" s="448">
        <f>AVERAGE(R74:R78)</f>
      </c>
      <c r="S79" s="448">
        <f>AVERAGE(S74:S78)</f>
      </c>
      <c r="T79" s="448">
        <f>AVERAGE(T74:T78)</f>
      </c>
      <c r="U79" s="448">
        <f>AVERAGE(U74:U78)</f>
      </c>
      <c r="V79" s="449">
        <f>SUM(V74:V78)</f>
      </c>
      <c r="W79" s="448">
        <f>AVERAGE(W74:W78)</f>
      </c>
      <c r="X79" s="449"/>
      <c r="Y79" s="447">
        <f>AVERAGE(Y74:Y78)</f>
      </c>
      <c r="Z79" s="449">
        <f>SUM(Z74:Z78)</f>
      </c>
      <c r="AA79" s="449">
        <f>SUM(AA74:AA78)</f>
      </c>
      <c r="AB79" s="449">
        <f>SUM(AB74:AB78)</f>
      </c>
      <c r="AC79" s="449">
        <f>SUM(AC74:AC78)</f>
      </c>
      <c r="AD79" s="449">
        <f>SUM(AD74:AD78)</f>
      </c>
      <c r="AE79" s="449">
        <f>SUM(AE74:AE78)</f>
      </c>
      <c r="AF79" s="449">
        <f>SUM(AF74:AF78)</f>
      </c>
      <c r="AG79" s="449">
        <f>SUM(AG74:AG78)</f>
      </c>
    </row>
    <row r="80">
      <c r="A80" s="450" t="s">
        <v>982</v>
      </c>
      <c r="B80" s="428" t="s">
        <v>938</v>
      </c>
      <c r="C80" s="452" t="s">
        <v>952</v>
      </c>
      <c r="D80" s="428">
        <v>4</v>
      </c>
      <c r="E80" s="428">
        <v>17</v>
      </c>
      <c r="F80" s="428">
        <v>19</v>
      </c>
      <c r="G80" s="428">
        <v>35438.659999999996</v>
      </c>
      <c r="H80" s="429">
        <v>12437.869999999999</v>
      </c>
      <c r="I80" s="430">
        <f t="shared" si="0"/>
      </c>
      <c r="J80" s="430">
        <f t="shared" si="1"/>
      </c>
      <c r="K80" s="430">
        <f t="shared" si="6"/>
      </c>
      <c r="L80" s="428" t="s">
        <v>940</v>
      </c>
      <c r="M80" s="431">
        <v>10</v>
      </c>
      <c r="N80" s="432"/>
      <c r="O80" s="432"/>
      <c r="P80" s="432"/>
      <c r="Q80" s="433">
        <v>5.450425065731814</v>
      </c>
      <c r="R80" s="434">
        <v>0.1783972436232132</v>
      </c>
      <c r="S80" s="435">
        <v>0.02027561328843437</v>
      </c>
      <c r="T80" s="435">
        <v>0.021643906209739758</v>
      </c>
      <c r="U80" s="435">
        <v>0.12889983579638753</v>
      </c>
      <c r="V80" s="436">
        <v>20078.43137254902</v>
      </c>
      <c r="W80" s="435">
        <v>0.0255</v>
      </c>
      <c r="X80" s="436">
        <v>50.75</v>
      </c>
      <c r="Y80" s="437">
        <v>110.51071089036773</v>
      </c>
      <c r="Z80" s="436">
        <v>112549</v>
      </c>
      <c r="AA80" s="436">
        <v>2282</v>
      </c>
      <c r="AB80" s="436">
        <v>512</v>
      </c>
      <c r="AC80" s="436">
        <v>2436</v>
      </c>
      <c r="AD80" s="436">
        <v>314</v>
      </c>
      <c r="AE80" s="436">
        <v>30</v>
      </c>
      <c r="AF80" s="436">
        <v>10</v>
      </c>
      <c r="AG80" s="436">
        <v>142</v>
      </c>
    </row>
    <row r="81">
      <c r="A81" s="428" t="s">
        <v>982</v>
      </c>
      <c r="B81" s="438" t="s">
        <v>947</v>
      </c>
      <c r="C81" s="428" t="s">
        <v>953</v>
      </c>
      <c r="D81" s="428">
        <v>4</v>
      </c>
      <c r="E81" s="428">
        <v>16</v>
      </c>
      <c r="F81" s="428">
        <v>19</v>
      </c>
      <c r="G81" s="428">
        <v>40464.44999999999</v>
      </c>
      <c r="H81" s="429">
        <v>12493.810000000001</v>
      </c>
      <c r="I81" s="430">
        <f t="shared" si="0"/>
      </c>
      <c r="J81" s="430">
        <f t="shared" si="1"/>
      </c>
      <c r="K81" s="430">
        <f t="shared" si="6"/>
      </c>
      <c r="L81" s="438"/>
      <c r="M81" s="438"/>
      <c r="N81" s="432"/>
      <c r="O81" s="432"/>
      <c r="P81" s="432"/>
      <c r="Q81" s="429">
        <v>6.944863813229572</v>
      </c>
      <c r="R81" s="435">
        <v>0.21528339906653116</v>
      </c>
      <c r="S81" s="434">
        <v>0.015007674853176722</v>
      </c>
      <c r="T81" s="435">
        <v>0.01566671115856914</v>
      </c>
      <c r="U81" s="434">
        <v>0.1794462193823216</v>
      </c>
      <c r="V81" s="436">
        <v>25806.451612903224</v>
      </c>
      <c r="W81" s="435">
        <v>0.022475000000000002</v>
      </c>
      <c r="X81" s="436">
        <v>75.25</v>
      </c>
      <c r="Y81" s="437">
        <v>104.22625800854246</v>
      </c>
      <c r="Z81" s="436">
        <v>119872</v>
      </c>
      <c r="AA81" s="436">
        <v>1799</v>
      </c>
      <c r="AB81" s="436">
        <v>580</v>
      </c>
      <c r="AC81" s="436">
        <v>1878</v>
      </c>
      <c r="AD81" s="436">
        <v>337</v>
      </c>
      <c r="AE81" s="436">
        <v>32</v>
      </c>
      <c r="AF81" s="436">
        <v>6</v>
      </c>
      <c r="AG81" s="436">
        <v>128</v>
      </c>
    </row>
    <row r="82">
      <c r="A82" s="428" t="s">
        <v>982</v>
      </c>
      <c r="B82" s="438" t="s">
        <v>955</v>
      </c>
      <c r="C82" s="428" t="s">
        <v>954</v>
      </c>
      <c r="D82" s="428">
        <v>4</v>
      </c>
      <c r="E82" s="428">
        <v>8</v>
      </c>
      <c r="F82" s="428">
        <v>9</v>
      </c>
      <c r="G82" s="428">
        <v>16693.99000000002</v>
      </c>
      <c r="H82" s="429">
        <v>13546.39</v>
      </c>
      <c r="I82" s="430">
        <f t="shared" si="0"/>
      </c>
      <c r="J82" s="430">
        <f t="shared" si="1"/>
      </c>
      <c r="K82" s="439">
        <f t="shared" si="6"/>
      </c>
      <c r="L82" s="454"/>
      <c r="M82" s="454"/>
      <c r="N82" s="441"/>
      <c r="O82" s="432"/>
      <c r="P82" s="432"/>
      <c r="Q82" s="429">
        <v>7.402398907103825</v>
      </c>
      <c r="R82" s="435">
        <v>0.21037571627838822</v>
      </c>
      <c r="S82" s="435">
        <v>0.01465395056093401</v>
      </c>
      <c r="T82" s="435">
        <v>0.015142415579631809</v>
      </c>
      <c r="U82" s="435">
        <v>0.1195134849286092</v>
      </c>
      <c r="V82" s="436">
        <v>26271.9298245614</v>
      </c>
      <c r="W82" s="435">
        <v>0.0228</v>
      </c>
      <c r="X82" s="436">
        <v>68.25</v>
      </c>
      <c r="Y82" s="437">
        <v>108.47438761701139</v>
      </c>
      <c r="Z82" s="436">
        <v>124881</v>
      </c>
      <c r="AA82" s="436">
        <v>1830</v>
      </c>
      <c r="AB82" s="436">
        <v>599</v>
      </c>
      <c r="AC82" s="436">
        <v>1891</v>
      </c>
      <c r="AD82" s="436">
        <v>226</v>
      </c>
      <c r="AE82" s="436">
        <v>15</v>
      </c>
      <c r="AF82" s="436">
        <v>5</v>
      </c>
      <c r="AG82" s="436">
        <v>179</v>
      </c>
    </row>
    <row r="83">
      <c r="A83" s="450" t="s">
        <v>982</v>
      </c>
      <c r="B83" s="455" t="s">
        <v>943</v>
      </c>
      <c r="C83" s="452" t="s">
        <v>956</v>
      </c>
      <c r="D83" s="428">
        <v>4</v>
      </c>
      <c r="E83" s="428">
        <v>10</v>
      </c>
      <c r="F83" s="428">
        <v>13</v>
      </c>
      <c r="G83" s="428">
        <v>26119.209999999992</v>
      </c>
      <c r="H83" s="429">
        <v>13086.75</v>
      </c>
      <c r="I83" s="430">
        <f t="shared" si="0"/>
      </c>
      <c r="J83" s="430">
        <f t="shared" si="1"/>
      </c>
      <c r="K83" s="439">
        <f t="shared" si="6"/>
      </c>
      <c r="L83" s="440"/>
      <c r="M83" s="440"/>
      <c r="N83" s="441"/>
      <c r="O83" s="432"/>
      <c r="P83" s="432"/>
      <c r="Q83" s="429">
        <v>6.884139926354551</v>
      </c>
      <c r="R83" s="435">
        <v>0.24274709578818449</v>
      </c>
      <c r="S83" s="435">
        <v>0.015782351329586306</v>
      </c>
      <c r="T83" s="435">
        <v>0.01618085362512557</v>
      </c>
      <c r="U83" s="435">
        <v>0.1487942534633145</v>
      </c>
      <c r="V83" s="436">
        <v>29239.130434782608</v>
      </c>
      <c r="W83" s="435">
        <v>0.0184</v>
      </c>
      <c r="X83" s="436">
        <v>53.25</v>
      </c>
      <c r="Y83" s="437">
        <v>108.6479149197599</v>
      </c>
      <c r="Z83" s="436">
        <v>120451</v>
      </c>
      <c r="AA83" s="436">
        <v>1901</v>
      </c>
      <c r="AB83" s="436">
        <v>538</v>
      </c>
      <c r="AC83" s="436">
        <v>1949</v>
      </c>
      <c r="AD83" s="436">
        <v>290</v>
      </c>
      <c r="AE83" s="436">
        <v>20</v>
      </c>
      <c r="AF83" s="436">
        <v>5</v>
      </c>
      <c r="AG83" s="436">
        <v>150</v>
      </c>
    </row>
    <row r="84">
      <c r="A84" s="428" t="s">
        <v>982</v>
      </c>
      <c r="B84" s="453" t="s">
        <v>957</v>
      </c>
      <c r="C84" s="428" t="s">
        <v>958</v>
      </c>
      <c r="D84" s="428">
        <v>4</v>
      </c>
      <c r="E84" s="428">
        <v>6</v>
      </c>
      <c r="F84" s="428">
        <v>6</v>
      </c>
      <c r="G84" s="428">
        <v>10656.089999999997</v>
      </c>
      <c r="H84" s="429">
        <v>9701.259999999998</v>
      </c>
      <c r="I84" s="430">
        <f t="shared" si="0"/>
      </c>
      <c r="J84" s="430">
        <f t="shared" si="1"/>
      </c>
      <c r="K84" s="439">
        <f t="shared" si="6"/>
      </c>
      <c r="L84" s="428" t="s">
        <v>968</v>
      </c>
      <c r="M84" s="442">
        <v>10</v>
      </c>
      <c r="N84" s="441"/>
      <c r="O84" s="432"/>
      <c r="P84" s="432"/>
      <c r="Q84" s="437">
        <v>6.48905016722408</v>
      </c>
      <c r="R84" s="435">
        <v>0.1959979315072468</v>
      </c>
      <c r="S84" s="435">
        <v>0.015776366053903465</v>
      </c>
      <c r="T84" s="435">
        <v>0.017011038179861125</v>
      </c>
      <c r="U84" s="435">
        <v>0.10173697270471464</v>
      </c>
      <c r="V84" s="436">
        <v>18573.15598548972</v>
      </c>
      <c r="W84" s="435">
        <v>0.020675000000000002</v>
      </c>
      <c r="X84" s="436">
        <v>59.5</v>
      </c>
      <c r="Y84" s="437">
        <v>102.37363078027056</v>
      </c>
      <c r="Z84" s="436">
        <v>94762</v>
      </c>
      <c r="AA84" s="436">
        <v>1495</v>
      </c>
      <c r="AB84" s="436">
        <v>384</v>
      </c>
      <c r="AC84" s="436">
        <v>1612</v>
      </c>
      <c r="AD84" s="436">
        <v>164</v>
      </c>
      <c r="AE84" s="436">
        <v>17</v>
      </c>
      <c r="AF84" s="436">
        <v>2</v>
      </c>
      <c r="AG84" s="456">
        <v>109</v>
      </c>
    </row>
    <row r="85">
      <c r="A85" s="443" t="s">
        <v>982</v>
      </c>
      <c r="B85" s="444" t="s">
        <v>950</v>
      </c>
      <c r="C85" s="444"/>
      <c r="D85" s="444">
        <f>SUM(D80:D84)</f>
      </c>
      <c r="E85" s="444">
        <f>SUM(E80:E84)</f>
      </c>
      <c r="F85" s="444">
        <f>SUM(F80:F84)</f>
      </c>
      <c r="G85" s="444">
        <f>SUM(G80:G84)</f>
      </c>
      <c r="H85" s="444">
        <f>SUM(H80:H84)</f>
      </c>
      <c r="I85" s="445">
        <f t="shared" si="0"/>
      </c>
      <c r="J85" s="445">
        <f t="shared" si="1"/>
      </c>
      <c r="K85" s="445">
        <f t="shared" si="6"/>
      </c>
      <c r="L85" s="444"/>
      <c r="M85" s="446">
        <f>SUM(M80:M84)</f>
      </c>
      <c r="N85" s="444"/>
      <c r="O85" s="444"/>
      <c r="P85" s="444"/>
      <c r="Q85" s="447">
        <f>AVERAGE(Q80:Q84)</f>
      </c>
      <c r="R85" s="448">
        <f>AVERAGE(R80:R84)</f>
      </c>
      <c r="S85" s="448">
        <f>AVERAGE(S80:S84)</f>
      </c>
      <c r="T85" s="448">
        <f>AVERAGE(T80:T84)</f>
      </c>
      <c r="U85" s="448">
        <f>AVERAGE(U80:U84)</f>
      </c>
      <c r="V85" s="449">
        <f>SUM(V80:V84)</f>
      </c>
      <c r="W85" s="448">
        <f>AVERAGE(W80:W84)</f>
      </c>
      <c r="X85" s="449"/>
      <c r="Y85" s="447">
        <f>AVERAGE(Y80:Y84)</f>
      </c>
      <c r="Z85" s="449">
        <f>SUM(Z80:Z84)</f>
      </c>
      <c r="AA85" s="449">
        <f>SUM(AA80:AA84)</f>
      </c>
      <c r="AB85" s="449">
        <f>SUM(AB80:AB84)</f>
      </c>
      <c r="AC85" s="449">
        <f>SUM(AC80:AC84)</f>
      </c>
      <c r="AD85" s="449">
        <f>SUM(AD80:AD84)</f>
      </c>
      <c r="AE85" s="449">
        <f>SUM(AE80:AE84)</f>
      </c>
      <c r="AF85" s="449">
        <f>SUM(AF80:AF84)</f>
      </c>
      <c r="AG85" s="449">
        <f>SUM(AG80:AG84)</f>
      </c>
    </row>
    <row r="86">
      <c r="A86" s="450" t="s">
        <v>983</v>
      </c>
      <c r="B86" s="428" t="s">
        <v>938</v>
      </c>
      <c r="C86" s="452" t="s">
        <v>939</v>
      </c>
      <c r="D86" s="428">
        <v>5</v>
      </c>
      <c r="E86" s="428">
        <v>24</v>
      </c>
      <c r="F86" s="428">
        <v>25</v>
      </c>
      <c r="G86" s="428">
        <v>64530.020000000004</v>
      </c>
      <c r="H86" s="429">
        <v>16422.75</v>
      </c>
      <c r="I86" s="430">
        <f t="shared" si="0"/>
      </c>
      <c r="J86" s="430">
        <f t="shared" si="1"/>
      </c>
      <c r="K86" s="430">
        <f t="shared" si="6"/>
      </c>
      <c r="L86" s="428" t="s">
        <v>949</v>
      </c>
      <c r="M86" s="431">
        <v>10</v>
      </c>
      <c r="N86" s="432"/>
      <c r="O86" s="432"/>
      <c r="P86" s="432"/>
      <c r="Q86" s="433">
        <v>4.871773954316227</v>
      </c>
      <c r="R86" s="434">
        <v>0.14142767961448657</v>
      </c>
      <c r="S86" s="435">
        <v>0.0260988053854432</v>
      </c>
      <c r="T86" s="435">
        <v>0.027469166866672345</v>
      </c>
      <c r="U86" s="435">
        <v>0.11443066516347238</v>
      </c>
      <c r="V86" s="436">
        <v>18267.22338204593</v>
      </c>
      <c r="W86" s="435">
        <v>0.03832</v>
      </c>
      <c r="X86" s="436">
        <v>45.4</v>
      </c>
      <c r="Y86" s="437">
        <v>127.14748031557025</v>
      </c>
      <c r="Z86" s="436">
        <v>129163</v>
      </c>
      <c r="AA86" s="436">
        <v>3371</v>
      </c>
      <c r="AB86" s="436">
        <v>700</v>
      </c>
      <c r="AC86" s="436">
        <v>3548</v>
      </c>
      <c r="AD86" s="436">
        <v>406</v>
      </c>
      <c r="AE86" s="436">
        <v>34</v>
      </c>
      <c r="AF86" s="436">
        <v>5</v>
      </c>
      <c r="AG86" s="436">
        <v>129</v>
      </c>
    </row>
    <row r="87">
      <c r="A87" s="428" t="s">
        <v>983</v>
      </c>
      <c r="B87" s="438" t="s">
        <v>947</v>
      </c>
      <c r="C87" s="428" t="s">
        <v>960</v>
      </c>
      <c r="D87" s="428">
        <v>4</v>
      </c>
      <c r="E87" s="428">
        <v>15</v>
      </c>
      <c r="F87" s="428">
        <v>18</v>
      </c>
      <c r="G87" s="428">
        <v>40342.43999999999</v>
      </c>
      <c r="H87" s="429">
        <v>13670.29</v>
      </c>
      <c r="I87" s="430">
        <f t="shared" si="0"/>
      </c>
      <c r="J87" s="430">
        <f t="shared" si="1"/>
      </c>
      <c r="K87" s="430">
        <f t="shared" si="6"/>
      </c>
      <c r="L87" s="438"/>
      <c r="M87" s="438"/>
      <c r="N87" s="432"/>
      <c r="O87" s="432"/>
      <c r="P87" s="432"/>
      <c r="Q87" s="429">
        <v>7.271430851063831</v>
      </c>
      <c r="R87" s="435">
        <v>0.18116069501120666</v>
      </c>
      <c r="S87" s="434">
        <v>0.018970162356336338</v>
      </c>
      <c r="T87" s="435">
        <v>0.019686588700644783</v>
      </c>
      <c r="U87" s="434">
        <v>0.1717068170169144</v>
      </c>
      <c r="V87" s="436">
        <v>17953.568357695614</v>
      </c>
      <c r="W87" s="435">
        <v>0.029075</v>
      </c>
      <c r="X87" s="436">
        <v>60.5</v>
      </c>
      <c r="Y87" s="437">
        <v>137.94022380755376</v>
      </c>
      <c r="Z87" s="436">
        <v>99103</v>
      </c>
      <c r="AA87" s="436">
        <v>1880</v>
      </c>
      <c r="AB87" s="436">
        <v>522</v>
      </c>
      <c r="AC87" s="436">
        <v>1951</v>
      </c>
      <c r="AD87" s="436">
        <v>335</v>
      </c>
      <c r="AE87" s="436">
        <v>27</v>
      </c>
      <c r="AF87" s="436">
        <v>6</v>
      </c>
      <c r="AG87" s="436">
        <v>121</v>
      </c>
    </row>
    <row r="88">
      <c r="A88" s="450" t="s">
        <v>983</v>
      </c>
      <c r="B88" s="438" t="s">
        <v>957</v>
      </c>
      <c r="C88" s="428" t="s">
        <v>979</v>
      </c>
      <c r="D88" s="428">
        <v>4</v>
      </c>
      <c r="E88" s="428">
        <v>6</v>
      </c>
      <c r="F88" s="428">
        <v>9</v>
      </c>
      <c r="G88" s="428">
        <v>16344.910000000003</v>
      </c>
      <c r="H88" s="429">
        <v>11947.350000000002</v>
      </c>
      <c r="I88" s="430">
        <f t="shared" si="0"/>
      </c>
      <c r="J88" s="430">
        <f t="shared" si="1"/>
      </c>
      <c r="K88" s="439">
        <f t="shared" si="6"/>
      </c>
      <c r="L88" s="454"/>
      <c r="M88" s="454"/>
      <c r="N88" s="441"/>
      <c r="O88" s="432"/>
      <c r="P88" s="432"/>
      <c r="Q88" s="429">
        <v>7.9016865079365095</v>
      </c>
      <c r="R88" s="435">
        <v>0.18115770879132062</v>
      </c>
      <c r="S88" s="435">
        <v>0.015624677069339671</v>
      </c>
      <c r="T88" s="435">
        <v>0.016451379559780925</v>
      </c>
      <c r="U88" s="435">
        <v>0.1350502512562814</v>
      </c>
      <c r="V88" s="436">
        <v>17530.631479736097</v>
      </c>
      <c r="W88" s="435">
        <v>0.026525</v>
      </c>
      <c r="X88" s="436">
        <v>66.25</v>
      </c>
      <c r="Y88" s="437">
        <v>123.46129998966624</v>
      </c>
      <c r="Z88" s="436">
        <v>96770</v>
      </c>
      <c r="AA88" s="436">
        <v>1512</v>
      </c>
      <c r="AB88" s="436">
        <v>465</v>
      </c>
      <c r="AC88" s="436">
        <v>1592</v>
      </c>
      <c r="AD88" s="436">
        <v>215</v>
      </c>
      <c r="AE88" s="436">
        <v>22</v>
      </c>
      <c r="AF88" s="436">
        <v>4</v>
      </c>
      <c r="AG88" s="436">
        <v>106</v>
      </c>
    </row>
    <row r="89">
      <c r="A89" s="428" t="s">
        <v>983</v>
      </c>
      <c r="B89" s="455" t="s">
        <v>943</v>
      </c>
      <c r="C89" s="452" t="s">
        <v>980</v>
      </c>
      <c r="D89" s="428">
        <v>4</v>
      </c>
      <c r="E89" s="428">
        <v>15</v>
      </c>
      <c r="F89" s="428">
        <v>19</v>
      </c>
      <c r="G89" s="428">
        <v>40135.140000000014</v>
      </c>
      <c r="H89" s="429">
        <v>11562.07</v>
      </c>
      <c r="I89" s="430">
        <f t="shared" si="0"/>
      </c>
      <c r="J89" s="430">
        <f t="shared" si="1"/>
      </c>
      <c r="K89" s="439">
        <f t="shared" si="6"/>
      </c>
      <c r="L89" s="440"/>
      <c r="M89" s="440"/>
      <c r="N89" s="441"/>
      <c r="O89" s="432"/>
      <c r="P89" s="432"/>
      <c r="Q89" s="429">
        <v>6.788907168037603</v>
      </c>
      <c r="R89" s="435">
        <v>0.22292931869613797</v>
      </c>
      <c r="S89" s="435">
        <v>0.021510268562401264</v>
      </c>
      <c r="T89" s="435">
        <v>0.0219652448657188</v>
      </c>
      <c r="U89" s="435">
        <v>0.18814729574223246</v>
      </c>
      <c r="V89" s="436">
        <v>17639.282341831917</v>
      </c>
      <c r="W89" s="435">
        <v>0.026475</v>
      </c>
      <c r="X89" s="436">
        <v>69.5</v>
      </c>
      <c r="Y89" s="437">
        <v>146.03121642969984</v>
      </c>
      <c r="Z89" s="436">
        <v>79125</v>
      </c>
      <c r="AA89" s="436">
        <v>1702</v>
      </c>
      <c r="AB89" s="436">
        <v>467</v>
      </c>
      <c r="AC89" s="436">
        <v>1738</v>
      </c>
      <c r="AD89" s="436">
        <v>327</v>
      </c>
      <c r="AE89" s="436">
        <v>19</v>
      </c>
      <c r="AF89" s="436">
        <v>9</v>
      </c>
      <c r="AG89" s="436">
        <v>82</v>
      </c>
    </row>
    <row r="90">
      <c r="A90" s="450" t="s">
        <v>983</v>
      </c>
      <c r="B90" s="453" t="s">
        <v>945</v>
      </c>
      <c r="C90" s="428" t="s">
        <v>963</v>
      </c>
      <c r="D90" s="428">
        <v>3</v>
      </c>
      <c r="E90" s="428">
        <v>11</v>
      </c>
      <c r="F90" s="428">
        <v>11</v>
      </c>
      <c r="G90" s="428">
        <v>17780.559999999998</v>
      </c>
      <c r="H90" s="429">
        <v>8229.83</v>
      </c>
      <c r="I90" s="430">
        <f t="shared" si="0"/>
      </c>
      <c r="J90" s="430">
        <f t="shared" si="1"/>
      </c>
      <c r="K90" s="439">
        <f t="shared" si="6"/>
      </c>
      <c r="L90" s="428" t="s">
        <v>940</v>
      </c>
      <c r="M90" s="431">
        <v>10</v>
      </c>
      <c r="N90" s="441"/>
      <c r="O90" s="432"/>
      <c r="P90" s="432"/>
      <c r="Q90" s="437">
        <v>5.156535087719298</v>
      </c>
      <c r="R90" s="435">
        <v>0.1260711400548146</v>
      </c>
      <c r="S90" s="435">
        <v>0.018588399720475192</v>
      </c>
      <c r="T90" s="435">
        <v>0.019648264616818074</v>
      </c>
      <c r="U90" s="435">
        <v>0.13811499703615887</v>
      </c>
      <c r="V90" s="436">
        <v>10824.468085106382</v>
      </c>
      <c r="W90" s="435">
        <v>0.0376</v>
      </c>
      <c r="X90" s="436">
        <v>73</v>
      </c>
      <c r="Y90" s="437">
        <v>95.85173538318192</v>
      </c>
      <c r="Z90" s="436">
        <v>85860</v>
      </c>
      <c r="AA90" s="436">
        <v>1596</v>
      </c>
      <c r="AB90" s="436">
        <v>407</v>
      </c>
      <c r="AC90" s="436">
        <v>1687</v>
      </c>
      <c r="AD90" s="436">
        <v>233</v>
      </c>
      <c r="AE90" s="436">
        <v>24</v>
      </c>
      <c r="AF90" s="436">
        <v>3</v>
      </c>
      <c r="AG90" s="456">
        <v>124</v>
      </c>
    </row>
    <row r="91">
      <c r="A91" s="443" t="s">
        <v>983</v>
      </c>
      <c r="B91" s="444" t="s">
        <v>950</v>
      </c>
      <c r="C91" s="444"/>
      <c r="D91" s="444">
        <f>SUM(D86:D90)</f>
      </c>
      <c r="E91" s="444">
        <f>SUM(E86:E90)</f>
      </c>
      <c r="F91" s="444">
        <f>SUM(F86:F90)</f>
      </c>
      <c r="G91" s="444">
        <f>SUM(G86:G90)</f>
      </c>
      <c r="H91" s="444">
        <f>SUM(H86:H90)</f>
      </c>
      <c r="I91" s="445">
        <f t="shared" si="0"/>
      </c>
      <c r="J91" s="445">
        <f t="shared" si="1"/>
      </c>
      <c r="K91" s="445">
        <f t="shared" si="6"/>
      </c>
      <c r="L91" s="444"/>
      <c r="M91" s="446">
        <f>SUM(M86:M90)</f>
      </c>
      <c r="N91" s="444"/>
      <c r="O91" s="444"/>
      <c r="P91" s="444"/>
      <c r="Q91" s="447">
        <f>AVERAGE(Q86:Q90)</f>
      </c>
      <c r="R91" s="448">
        <f>AVERAGE(R86:R90)</f>
      </c>
      <c r="S91" s="448">
        <f>AVERAGE(S86:S90)</f>
      </c>
      <c r="T91" s="448">
        <f>AVERAGE(T86:T90)</f>
      </c>
      <c r="U91" s="448">
        <f>AVERAGE(U86:U90)</f>
      </c>
      <c r="V91" s="449">
        <f>SUM(V86:V90)</f>
      </c>
      <c r="W91" s="448">
        <f>AVERAGE(W86:W90)</f>
      </c>
      <c r="X91" s="449"/>
      <c r="Y91" s="447">
        <f>AVERAGE(Y86:Y90)</f>
      </c>
      <c r="Z91" s="449">
        <f>SUM(Z86:Z90)</f>
      </c>
      <c r="AA91" s="449">
        <f>SUM(AA86:AA90)</f>
      </c>
      <c r="AB91" s="449">
        <f>SUM(AB86:AB90)</f>
      </c>
      <c r="AC91" s="449">
        <f>SUM(AC86:AC90)</f>
      </c>
      <c r="AD91" s="449">
        <f>SUM(AD86:AD90)</f>
      </c>
      <c r="AE91" s="449">
        <f>SUM(AE86:AE90)</f>
      </c>
      <c r="AF91" s="449">
        <f>SUM(AF86:AF90)</f>
      </c>
      <c r="AG91" s="449">
        <f>SUM(AG86:AG90)</f>
      </c>
    </row>
    <row r="92">
      <c r="A92" s="450" t="s">
        <v>984</v>
      </c>
      <c r="B92" s="451" t="s">
        <v>947</v>
      </c>
      <c r="C92" s="452" t="s">
        <v>952</v>
      </c>
      <c r="D92" s="428">
        <v>4</v>
      </c>
      <c r="E92" s="428">
        <v>20</v>
      </c>
      <c r="F92" s="428">
        <v>22</v>
      </c>
      <c r="G92" s="428">
        <v>45963.35</v>
      </c>
      <c r="H92" s="429">
        <v>13819.92</v>
      </c>
      <c r="I92" s="430">
        <f t="shared" si="0"/>
      </c>
      <c r="J92" s="430">
        <f t="shared" si="1"/>
      </c>
      <c r="K92" s="430">
        <f t="shared" si="6"/>
      </c>
      <c r="L92" s="428" t="s">
        <v>949</v>
      </c>
      <c r="M92" s="431">
        <v>10</v>
      </c>
      <c r="N92" s="432"/>
      <c r="O92" s="432"/>
      <c r="P92" s="432"/>
      <c r="Q92" s="433">
        <v>3.8885537422622396</v>
      </c>
      <c r="R92" s="434">
        <v>0.1368769313858311</v>
      </c>
      <c r="S92" s="435">
        <v>0.02640161054281533</v>
      </c>
      <c r="T92" s="435">
        <v>0.02773134838388566</v>
      </c>
      <c r="U92" s="435">
        <v>0.10688454326279132</v>
      </c>
      <c r="V92" s="436">
        <v>18425.41436464088</v>
      </c>
      <c r="W92" s="435">
        <v>0.0362</v>
      </c>
      <c r="X92" s="436">
        <v>48</v>
      </c>
      <c r="Y92" s="437">
        <v>102.66408147801475</v>
      </c>
      <c r="Z92" s="436">
        <v>134613</v>
      </c>
      <c r="AA92" s="436">
        <v>3554</v>
      </c>
      <c r="AB92" s="436">
        <v>667</v>
      </c>
      <c r="AC92" s="436">
        <v>3733</v>
      </c>
      <c r="AD92" s="436">
        <v>399</v>
      </c>
      <c r="AE92" s="436">
        <v>24</v>
      </c>
      <c r="AF92" s="436">
        <v>6</v>
      </c>
      <c r="AG92" s="436">
        <v>172</v>
      </c>
    </row>
    <row r="93">
      <c r="A93" s="450" t="s">
        <v>984</v>
      </c>
      <c r="B93" s="455" t="s">
        <v>943</v>
      </c>
      <c r="C93" s="452" t="s">
        <v>953</v>
      </c>
      <c r="D93" s="428">
        <v>4</v>
      </c>
      <c r="E93" s="428">
        <v>14</v>
      </c>
      <c r="F93" s="428">
        <v>17</v>
      </c>
      <c r="G93" s="428">
        <v>35674.070000000014</v>
      </c>
      <c r="H93" s="429">
        <v>13910.349999999999</v>
      </c>
      <c r="I93" s="430">
        <f t="shared" si="0"/>
      </c>
      <c r="J93" s="430">
        <f t="shared" si="1"/>
      </c>
      <c r="K93" s="430">
        <f t="shared" si="6"/>
      </c>
      <c r="L93" s="438"/>
      <c r="M93" s="438"/>
      <c r="N93" s="432"/>
      <c r="O93" s="432"/>
      <c r="P93" s="432"/>
      <c r="Q93" s="429">
        <v>7.486733046286329</v>
      </c>
      <c r="R93" s="435">
        <v>0.1427671022415246</v>
      </c>
      <c r="S93" s="434">
        <v>0.015419471024174876</v>
      </c>
      <c r="T93" s="435">
        <v>0.015934006655767365</v>
      </c>
      <c r="U93" s="434">
        <v>0.16302083333333334</v>
      </c>
      <c r="V93" s="436">
        <v>17203.007518796992</v>
      </c>
      <c r="W93" s="435">
        <v>0.03325</v>
      </c>
      <c r="X93" s="436">
        <v>61.75</v>
      </c>
      <c r="Y93" s="437">
        <v>115.44146327294453</v>
      </c>
      <c r="Z93" s="436">
        <v>120497</v>
      </c>
      <c r="AA93" s="436">
        <v>1858</v>
      </c>
      <c r="AB93" s="436">
        <v>572</v>
      </c>
      <c r="AC93" s="436">
        <v>1920</v>
      </c>
      <c r="AD93" s="436">
        <v>313</v>
      </c>
      <c r="AE93" s="436">
        <v>23</v>
      </c>
      <c r="AF93" s="436">
        <v>10</v>
      </c>
      <c r="AG93" s="436">
        <v>109</v>
      </c>
    </row>
    <row r="94">
      <c r="A94" s="450" t="s">
        <v>984</v>
      </c>
      <c r="B94" s="455" t="s">
        <v>938</v>
      </c>
      <c r="C94" s="452" t="s">
        <v>954</v>
      </c>
      <c r="D94" s="428">
        <v>4</v>
      </c>
      <c r="E94" s="428">
        <v>15</v>
      </c>
      <c r="F94" s="428">
        <v>18</v>
      </c>
      <c r="G94" s="428">
        <v>37703.84</v>
      </c>
      <c r="H94" s="429">
        <v>13302.419999999998</v>
      </c>
      <c r="I94" s="430">
        <f t="shared" si="0"/>
      </c>
      <c r="J94" s="430">
        <f t="shared" si="1"/>
      </c>
      <c r="K94" s="439">
        <f t="shared" si="6"/>
      </c>
      <c r="L94" s="454"/>
      <c r="M94" s="454"/>
      <c r="N94" s="441"/>
      <c r="O94" s="432"/>
      <c r="P94" s="432"/>
      <c r="Q94" s="429">
        <v>5.886026548672565</v>
      </c>
      <c r="R94" s="435">
        <v>0.1463076003921249</v>
      </c>
      <c r="S94" s="435">
        <v>0.016777402472068593</v>
      </c>
      <c r="T94" s="435">
        <v>0.01749007089566089</v>
      </c>
      <c r="U94" s="435">
        <v>0.12096774193548387</v>
      </c>
      <c r="V94" s="436">
        <v>19708.365310821184</v>
      </c>
      <c r="W94" s="435">
        <v>0.032575</v>
      </c>
      <c r="X94" s="436">
        <v>64.5</v>
      </c>
      <c r="Y94" s="437">
        <v>98.75223636836047</v>
      </c>
      <c r="Z94" s="436">
        <v>134705</v>
      </c>
      <c r="AA94" s="436">
        <v>2260</v>
      </c>
      <c r="AB94" s="436">
        <v>642</v>
      </c>
      <c r="AC94" s="436">
        <v>2356</v>
      </c>
      <c r="AD94" s="436">
        <v>285</v>
      </c>
      <c r="AE94" s="436">
        <v>21</v>
      </c>
      <c r="AF94" s="436">
        <v>9</v>
      </c>
      <c r="AG94" s="436">
        <v>166</v>
      </c>
    </row>
    <row r="95">
      <c r="A95" s="450" t="s">
        <v>984</v>
      </c>
      <c r="B95" s="457" t="s">
        <v>955</v>
      </c>
      <c r="C95" s="452" t="s">
        <v>956</v>
      </c>
      <c r="D95" s="428">
        <v>4</v>
      </c>
      <c r="E95" s="428">
        <v>14</v>
      </c>
      <c r="F95" s="428">
        <v>20</v>
      </c>
      <c r="G95" s="428">
        <v>39226.56999999998</v>
      </c>
      <c r="H95" s="429">
        <v>13613.73</v>
      </c>
      <c r="I95" s="430">
        <f t="shared" si="0"/>
      </c>
      <c r="J95" s="430">
        <f t="shared" si="1"/>
      </c>
      <c r="K95" s="439">
        <f t="shared" si="6"/>
      </c>
      <c r="L95" s="440"/>
      <c r="M95" s="440"/>
      <c r="N95" s="441"/>
      <c r="O95" s="432"/>
      <c r="P95" s="432"/>
      <c r="Q95" s="429">
        <v>7.5380564784053155</v>
      </c>
      <c r="R95" s="435">
        <v>0.11805043234540104</v>
      </c>
      <c r="S95" s="435">
        <v>0.014257181877748219</v>
      </c>
      <c r="T95" s="435">
        <v>0.014596638589123176</v>
      </c>
      <c r="U95" s="435">
        <v>0.1460248783126014</v>
      </c>
      <c r="V95" s="436">
        <v>14953.802416488985</v>
      </c>
      <c r="W95" s="435">
        <v>0.035175</v>
      </c>
      <c r="X95" s="436">
        <v>66.75</v>
      </c>
      <c r="Y95" s="437">
        <v>107.4714422173628</v>
      </c>
      <c r="Z95" s="436">
        <v>126673</v>
      </c>
      <c r="AA95" s="436">
        <v>1806</v>
      </c>
      <c r="AB95" s="436">
        <v>526</v>
      </c>
      <c r="AC95" s="436">
        <v>1849</v>
      </c>
      <c r="AD95" s="436">
        <v>270</v>
      </c>
      <c r="AE95" s="436">
        <v>22</v>
      </c>
      <c r="AF95" s="436">
        <v>5</v>
      </c>
      <c r="AG95" s="436">
        <v>136</v>
      </c>
    </row>
    <row r="96">
      <c r="A96" s="450" t="s">
        <v>984</v>
      </c>
      <c r="B96" s="455" t="s">
        <v>957</v>
      </c>
      <c r="C96" s="452" t="s">
        <v>958</v>
      </c>
      <c r="D96" s="428">
        <v>4</v>
      </c>
      <c r="E96" s="428">
        <v>14</v>
      </c>
      <c r="F96" s="428">
        <v>17</v>
      </c>
      <c r="G96" s="428">
        <v>35343.76000000001</v>
      </c>
      <c r="H96" s="429">
        <v>10456.470000000001</v>
      </c>
      <c r="I96" s="430">
        <f t="shared" si="0"/>
      </c>
      <c r="J96" s="430">
        <f t="shared" si="1"/>
      </c>
      <c r="K96" s="439">
        <f t="shared" si="6"/>
      </c>
      <c r="L96" s="428" t="s">
        <v>940</v>
      </c>
      <c r="M96" s="431">
        <v>10</v>
      </c>
      <c r="N96" s="441"/>
      <c r="O96" s="432"/>
      <c r="P96" s="432"/>
      <c r="Q96" s="437">
        <v>5.29709726443769</v>
      </c>
      <c r="R96" s="435">
        <v>0.15415494859445714</v>
      </c>
      <c r="S96" s="435">
        <v>0.01722362795567577</v>
      </c>
      <c r="T96" s="435">
        <v>0.018384085158363143</v>
      </c>
      <c r="U96" s="435">
        <v>0.12007593735168486</v>
      </c>
      <c r="V96" s="436">
        <v>17667.698658410733</v>
      </c>
      <c r="W96" s="435">
        <v>0.024225</v>
      </c>
      <c r="X96" s="436">
        <v>69.5</v>
      </c>
      <c r="Y96" s="437">
        <v>91.23523252770266</v>
      </c>
      <c r="Z96" s="436">
        <v>114610</v>
      </c>
      <c r="AA96" s="436">
        <v>1974</v>
      </c>
      <c r="AB96" s="436">
        <v>428</v>
      </c>
      <c r="AC96" s="436">
        <v>2107</v>
      </c>
      <c r="AD96" s="436">
        <v>253</v>
      </c>
      <c r="AE96" s="436">
        <v>32</v>
      </c>
      <c r="AF96" s="436">
        <v>9</v>
      </c>
      <c r="AG96" s="456">
        <v>127</v>
      </c>
    </row>
    <row r="97">
      <c r="A97" s="443" t="s">
        <v>984</v>
      </c>
      <c r="B97" s="458" t="s">
        <v>950</v>
      </c>
      <c r="C97" s="444"/>
      <c r="D97" s="444">
        <f>SUM(D92:D96)</f>
      </c>
      <c r="E97" s="444">
        <f>SUM(E92:E96)</f>
      </c>
      <c r="F97" s="444">
        <f>SUM(F92:F96)</f>
      </c>
      <c r="G97" s="444">
        <f>SUM(G92:G96)</f>
      </c>
      <c r="H97" s="444">
        <f>SUM(H92:H96)</f>
      </c>
      <c r="I97" s="445">
        <f t="shared" si="0"/>
      </c>
      <c r="J97" s="445">
        <f t="shared" si="1"/>
      </c>
      <c r="K97" s="445">
        <f t="shared" si="6"/>
      </c>
      <c r="L97" s="444"/>
      <c r="M97" s="446">
        <f>SUM(M92:M96)</f>
      </c>
      <c r="N97" s="444"/>
      <c r="O97" s="444"/>
      <c r="P97" s="444"/>
      <c r="Q97" s="447">
        <f>AVERAGE(Q92:Q96)</f>
      </c>
      <c r="R97" s="448">
        <f>AVERAGE(R92:R96)</f>
      </c>
      <c r="S97" s="448">
        <f>AVERAGE(S92:S96)</f>
      </c>
      <c r="T97" s="448">
        <f>AVERAGE(T92:T96)</f>
      </c>
      <c r="U97" s="448">
        <f>AVERAGE(U92:U96)</f>
      </c>
      <c r="V97" s="449">
        <f>SUM(V92:V96)</f>
      </c>
      <c r="W97" s="448">
        <f>AVERAGE(W92:W96)</f>
      </c>
      <c r="X97" s="449"/>
      <c r="Y97" s="447">
        <f>AVERAGE(Y92:Y96)</f>
      </c>
      <c r="Z97" s="449">
        <f>SUM(Z92:Z96)</f>
      </c>
      <c r="AA97" s="449">
        <f>SUM(AA92:AA96)</f>
      </c>
      <c r="AB97" s="449">
        <f>SUM(AB92:AB96)</f>
      </c>
      <c r="AC97" s="449">
        <f>SUM(AC92:AC96)</f>
      </c>
      <c r="AD97" s="449">
        <f>SUM(AD92:AD96)</f>
      </c>
      <c r="AE97" s="449">
        <f>SUM(AE92:AE96)</f>
      </c>
      <c r="AF97" s="449">
        <f>SUM(AF92:AF96)</f>
      </c>
      <c r="AG97" s="449">
        <f>SUM(AG92:AG96)</f>
      </c>
    </row>
    <row r="98">
      <c r="A98" s="450" t="s">
        <v>985</v>
      </c>
      <c r="B98" s="451" t="s">
        <v>947</v>
      </c>
      <c r="C98" s="452" t="s">
        <v>952</v>
      </c>
      <c r="D98" s="428">
        <v>4</v>
      </c>
      <c r="E98" s="428">
        <v>10</v>
      </c>
      <c r="F98" s="428">
        <v>11</v>
      </c>
      <c r="G98" s="428">
        <v>22792.579999999998</v>
      </c>
      <c r="H98" s="429">
        <v>11690.47</v>
      </c>
      <c r="I98" s="430">
        <f t="shared" si="0"/>
      </c>
      <c r="J98" s="430">
        <f t="shared" si="1"/>
      </c>
      <c r="K98" s="430">
        <f t="shared" si="6"/>
      </c>
      <c r="L98" s="428" t="s">
        <v>949</v>
      </c>
      <c r="M98" s="431">
        <v>10</v>
      </c>
      <c r="N98" s="432"/>
      <c r="O98" s="432"/>
      <c r="P98" s="432"/>
      <c r="Q98" s="433">
        <v>4.090437368789363</v>
      </c>
      <c r="R98" s="434">
        <v>0.16855076552101056</v>
      </c>
      <c r="S98" s="435">
        <v>0.026126702623640186</v>
      </c>
      <c r="T98" s="435">
        <v>0.027113995794862417</v>
      </c>
      <c r="U98" s="435">
        <v>0.07349966284558328</v>
      </c>
      <c r="V98" s="436">
        <v>18437.768240343346</v>
      </c>
      <c r="W98" s="435">
        <v>0.029125</v>
      </c>
      <c r="X98" s="436">
        <v>53</v>
      </c>
      <c r="Y98" s="437">
        <v>106.86964073498491</v>
      </c>
      <c r="Z98" s="436">
        <v>109390</v>
      </c>
      <c r="AA98" s="436">
        <v>2858</v>
      </c>
      <c r="AB98" s="436">
        <v>537</v>
      </c>
      <c r="AC98" s="436">
        <v>2966</v>
      </c>
      <c r="AD98" s="436">
        <v>218</v>
      </c>
      <c r="AE98" s="436">
        <v>19</v>
      </c>
      <c r="AF98" s="436">
        <v>11</v>
      </c>
      <c r="AG98" s="436">
        <v>97</v>
      </c>
    </row>
    <row r="99">
      <c r="A99" s="450" t="s">
        <v>985</v>
      </c>
      <c r="B99" s="455" t="s">
        <v>943</v>
      </c>
      <c r="C99" s="452" t="s">
        <v>953</v>
      </c>
      <c r="D99" s="428">
        <v>4</v>
      </c>
      <c r="E99" s="428">
        <v>11</v>
      </c>
      <c r="F99" s="428">
        <v>15</v>
      </c>
      <c r="G99" s="428">
        <v>27774.91</v>
      </c>
      <c r="H99" s="429">
        <v>12175.380000000001</v>
      </c>
      <c r="I99" s="430">
        <f t="shared" si="0"/>
      </c>
      <c r="J99" s="430">
        <f t="shared" si="1"/>
      </c>
      <c r="K99" s="430">
        <f t="shared" si="6"/>
      </c>
      <c r="L99" s="438"/>
      <c r="M99" s="438"/>
      <c r="N99" s="432"/>
      <c r="O99" s="432"/>
      <c r="P99" s="432"/>
      <c r="Q99" s="429">
        <v>7.171963048498846</v>
      </c>
      <c r="R99" s="435">
        <v>0.15693271972951914</v>
      </c>
      <c r="S99" s="434">
        <v>0.0166975165818294</v>
      </c>
      <c r="T99" s="435">
        <v>0.01714098411229369</v>
      </c>
      <c r="U99" s="434">
        <v>0.16310461192350956</v>
      </c>
      <c r="V99" s="436">
        <v>16278.317152103562</v>
      </c>
      <c r="W99" s="435">
        <v>0.030899999999999997</v>
      </c>
      <c r="X99" s="436">
        <v>76.75</v>
      </c>
      <c r="Y99" s="437">
        <v>119.75397192657721</v>
      </c>
      <c r="Z99" s="436">
        <v>103728</v>
      </c>
      <c r="AA99" s="436">
        <v>1732</v>
      </c>
      <c r="AB99" s="436">
        <v>503</v>
      </c>
      <c r="AC99" s="436">
        <v>1778</v>
      </c>
      <c r="AD99" s="436">
        <v>290</v>
      </c>
      <c r="AE99" s="436">
        <v>26</v>
      </c>
      <c r="AF99" s="436">
        <v>5</v>
      </c>
      <c r="AG99" s="436">
        <v>80</v>
      </c>
    </row>
    <row r="100">
      <c r="A100" s="450" t="s">
        <v>985</v>
      </c>
      <c r="B100" s="455" t="s">
        <v>945</v>
      </c>
      <c r="C100" s="452" t="s">
        <v>954</v>
      </c>
      <c r="D100" s="428">
        <v>4</v>
      </c>
      <c r="E100" s="428">
        <v>14</v>
      </c>
      <c r="F100" s="428">
        <v>20</v>
      </c>
      <c r="G100" s="428">
        <v>36912.88999999999</v>
      </c>
      <c r="H100" s="429">
        <v>12705.060000000001</v>
      </c>
      <c r="I100" s="430">
        <f t="shared" si="0"/>
      </c>
      <c r="J100" s="430">
        <f t="shared" si="1"/>
      </c>
      <c r="K100" s="439">
        <f t="shared" si="6"/>
      </c>
      <c r="L100" s="454"/>
      <c r="M100" s="454"/>
      <c r="N100" s="441"/>
      <c r="O100" s="432"/>
      <c r="P100" s="432"/>
      <c r="Q100" s="429">
        <v>6.143646034816248</v>
      </c>
      <c r="R100" s="435">
        <v>0.14181265180329092</v>
      </c>
      <c r="S100" s="435">
        <v>0.017043019614306907</v>
      </c>
      <c r="T100" s="435">
        <v>0.017768254491511454</v>
      </c>
      <c r="U100" s="435">
        <v>0.11317254174397032</v>
      </c>
      <c r="V100" s="436">
        <v>17207.54716981132</v>
      </c>
      <c r="W100" s="435">
        <v>0.033125</v>
      </c>
      <c r="X100" s="436">
        <v>75</v>
      </c>
      <c r="Y100" s="437">
        <v>104.70627987473218</v>
      </c>
      <c r="Z100" s="436">
        <v>121340</v>
      </c>
      <c r="AA100" s="436">
        <v>2068</v>
      </c>
      <c r="AB100" s="436">
        <v>570</v>
      </c>
      <c r="AC100" s="436">
        <v>2156</v>
      </c>
      <c r="AD100" s="436">
        <v>244</v>
      </c>
      <c r="AE100" s="436">
        <v>24</v>
      </c>
      <c r="AF100" s="436">
        <v>10</v>
      </c>
      <c r="AG100" s="436">
        <v>130</v>
      </c>
    </row>
    <row r="101">
      <c r="A101" s="450" t="s">
        <v>985</v>
      </c>
      <c r="B101" s="457" t="s">
        <v>938</v>
      </c>
      <c r="C101" s="452" t="s">
        <v>956</v>
      </c>
      <c r="D101" s="428">
        <v>4</v>
      </c>
      <c r="E101" s="428">
        <v>14</v>
      </c>
      <c r="F101" s="428">
        <v>19</v>
      </c>
      <c r="G101" s="428">
        <v>37408.61</v>
      </c>
      <c r="H101" s="429">
        <v>12891.78</v>
      </c>
      <c r="I101" s="430">
        <f t="shared" si="0"/>
      </c>
      <c r="J101" s="430">
        <f t="shared" si="1"/>
      </c>
      <c r="K101" s="439">
        <f t="shared" si="6"/>
      </c>
      <c r="L101" s="440"/>
      <c r="M101" s="440"/>
      <c r="N101" s="441"/>
      <c r="O101" s="432"/>
      <c r="P101" s="432"/>
      <c r="Q101" s="429">
        <v>7.375160183066362</v>
      </c>
      <c r="R101" s="435">
        <v>0.09342827545966305</v>
      </c>
      <c r="S101" s="435">
        <v>0.013249550894799475</v>
      </c>
      <c r="T101" s="435">
        <v>0.013598223286767883</v>
      </c>
      <c r="U101" s="435">
        <v>0.19732441471571907</v>
      </c>
      <c r="V101" s="436">
        <v>12325.898953117887</v>
      </c>
      <c r="W101" s="435">
        <v>0.054925</v>
      </c>
      <c r="X101" s="436">
        <v>77.5</v>
      </c>
      <c r="Y101" s="437">
        <v>97.71756020283638</v>
      </c>
      <c r="Z101" s="436">
        <v>131929</v>
      </c>
      <c r="AA101" s="436">
        <v>1748</v>
      </c>
      <c r="AB101" s="436">
        <v>677</v>
      </c>
      <c r="AC101" s="436">
        <v>1794</v>
      </c>
      <c r="AD101" s="436">
        <v>354</v>
      </c>
      <c r="AE101" s="436">
        <v>22</v>
      </c>
      <c r="AF101" s="436">
        <v>7</v>
      </c>
      <c r="AG101" s="436">
        <v>165</v>
      </c>
    </row>
    <row r="102">
      <c r="A102" s="450" t="s">
        <v>985</v>
      </c>
      <c r="B102" s="455" t="s">
        <v>957</v>
      </c>
      <c r="C102" s="452" t="s">
        <v>958</v>
      </c>
      <c r="D102" s="428">
        <v>4</v>
      </c>
      <c r="E102" s="428">
        <v>10</v>
      </c>
      <c r="F102" s="428">
        <v>12</v>
      </c>
      <c r="G102" s="428">
        <v>23519.959999999992</v>
      </c>
      <c r="H102" s="429">
        <v>11034.849999999999</v>
      </c>
      <c r="I102" s="430">
        <f t="shared" si="0"/>
      </c>
      <c r="J102" s="430">
        <f t="shared" si="1"/>
      </c>
      <c r="K102" s="439">
        <f t="shared" si="6"/>
      </c>
      <c r="L102" s="428" t="s">
        <v>986</v>
      </c>
      <c r="M102" s="431">
        <v>10</v>
      </c>
      <c r="N102" s="441"/>
      <c r="O102" s="432"/>
      <c r="P102" s="432"/>
      <c r="Q102" s="437">
        <v>5.279832535885167</v>
      </c>
      <c r="R102" s="435">
        <v>0.14652432295754303</v>
      </c>
      <c r="S102" s="435">
        <v>0.014628478638221625</v>
      </c>
      <c r="T102" s="435">
        <v>0.015006439330309648</v>
      </c>
      <c r="U102" s="435">
        <v>0.10914179104477612</v>
      </c>
      <c r="V102" s="436">
        <v>20934.223069590087</v>
      </c>
      <c r="W102" s="435">
        <v>0.026225</v>
      </c>
      <c r="X102" s="436">
        <v>79.5</v>
      </c>
      <c r="Y102" s="437">
        <v>77.23591746458368</v>
      </c>
      <c r="Z102" s="436">
        <v>142872</v>
      </c>
      <c r="AA102" s="436">
        <v>2090</v>
      </c>
      <c r="AB102" s="436">
        <v>549</v>
      </c>
      <c r="AC102" s="436">
        <v>2144</v>
      </c>
      <c r="AD102" s="436">
        <v>234</v>
      </c>
      <c r="AE102" s="436">
        <v>24</v>
      </c>
      <c r="AF102" s="436">
        <v>5</v>
      </c>
      <c r="AG102" s="456">
        <v>131</v>
      </c>
    </row>
    <row r="103">
      <c r="A103" s="443" t="s">
        <v>985</v>
      </c>
      <c r="B103" s="458" t="s">
        <v>950</v>
      </c>
      <c r="C103" s="444"/>
      <c r="D103" s="444">
        <f>SUM(D98:D102)</f>
      </c>
      <c r="E103" s="444">
        <f>SUM(E98:E102)</f>
      </c>
      <c r="F103" s="444">
        <f>SUM(F98:F102)</f>
      </c>
      <c r="G103" s="444">
        <f>SUM(G98:G102)</f>
      </c>
      <c r="H103" s="444">
        <f>SUM(H98:H102)</f>
      </c>
      <c r="I103" s="445">
        <f t="shared" si="0"/>
      </c>
      <c r="J103" s="445">
        <f t="shared" si="1"/>
      </c>
      <c r="K103" s="445">
        <f t="shared" si="6"/>
      </c>
      <c r="L103" s="444"/>
      <c r="M103" s="446">
        <f>SUM(M98:M102)</f>
      </c>
      <c r="N103" s="444"/>
      <c r="O103" s="444"/>
      <c r="P103" s="444"/>
      <c r="Q103" s="447">
        <f>AVERAGE(Q98:Q102)</f>
      </c>
      <c r="R103" s="448">
        <f>AVERAGE(R98:R102)</f>
      </c>
      <c r="S103" s="448">
        <f>AVERAGE(S98:S102)</f>
      </c>
      <c r="T103" s="448">
        <f>AVERAGE(T98:T102)</f>
      </c>
      <c r="U103" s="448">
        <f>AVERAGE(U98:U102)</f>
      </c>
      <c r="V103" s="449">
        <f>SUM(V98:V102)</f>
      </c>
      <c r="W103" s="448">
        <f>AVERAGE(W98:W102)</f>
      </c>
      <c r="X103" s="449"/>
      <c r="Y103" s="447">
        <f>AVERAGE(Y98:Y102)</f>
      </c>
      <c r="Z103" s="449">
        <f>SUM(Z98:Z102)</f>
      </c>
      <c r="AA103" s="449">
        <f>SUM(AA98:AA102)</f>
      </c>
      <c r="AB103" s="449">
        <f>SUM(AB98:AB102)</f>
      </c>
      <c r="AC103" s="449">
        <f>SUM(AC98:AC102)</f>
      </c>
      <c r="AD103" s="449">
        <f>SUM(AD98:AD102)</f>
      </c>
      <c r="AE103" s="449">
        <f>SUM(AE98:AE102)</f>
      </c>
      <c r="AF103" s="449">
        <f>SUM(AF98:AF102)</f>
      </c>
      <c r="AG103" s="449">
        <f>SUM(AG98:AG102)</f>
      </c>
    </row>
    <row r="104">
      <c r="A104" s="450" t="s">
        <v>987</v>
      </c>
      <c r="B104" s="451" t="s">
        <v>947</v>
      </c>
      <c r="C104" s="452" t="s">
        <v>952</v>
      </c>
      <c r="D104" s="428">
        <v>4</v>
      </c>
      <c r="E104" s="428">
        <v>11</v>
      </c>
      <c r="F104" s="428">
        <v>14</v>
      </c>
      <c r="G104" s="428">
        <v>30875.93</v>
      </c>
      <c r="H104" s="429">
        <v>12410.279999999999</v>
      </c>
      <c r="I104" s="430">
        <f t="shared" si="0"/>
      </c>
      <c r="J104" s="430">
        <f t="shared" si="1"/>
      </c>
      <c r="K104" s="430">
        <f t="shared" si="6"/>
      </c>
      <c r="L104" s="428" t="s">
        <v>949</v>
      </c>
      <c r="M104" s="431">
        <v>10</v>
      </c>
      <c r="N104" s="432"/>
      <c r="O104" s="432"/>
      <c r="P104" s="432"/>
      <c r="Q104" s="433">
        <v>4.399248493442041</v>
      </c>
      <c r="R104" s="434">
        <v>0.15060631893740817</v>
      </c>
      <c r="S104" s="435">
        <v>0.020753634276970162</v>
      </c>
      <c r="T104" s="435">
        <v>0.021445176858336766</v>
      </c>
      <c r="U104" s="435">
        <v>0.0751286449399657</v>
      </c>
      <c r="V104" s="436">
        <v>20471.615720524016</v>
      </c>
      <c r="W104" s="435">
        <v>0.028625</v>
      </c>
      <c r="X104" s="436">
        <v>44.25</v>
      </c>
      <c r="Y104" s="437">
        <v>91.30039432640808</v>
      </c>
      <c r="Z104" s="436">
        <v>135928</v>
      </c>
      <c r="AA104" s="436">
        <v>2821</v>
      </c>
      <c r="AB104" s="436">
        <v>586</v>
      </c>
      <c r="AC104" s="436">
        <v>2915</v>
      </c>
      <c r="AD104" s="436">
        <v>219</v>
      </c>
      <c r="AE104" s="436">
        <v>29</v>
      </c>
      <c r="AF104" s="436">
        <v>4</v>
      </c>
      <c r="AG104" s="436">
        <v>152</v>
      </c>
    </row>
    <row r="105">
      <c r="A105" s="450" t="s">
        <v>987</v>
      </c>
      <c r="B105" s="459" t="s">
        <v>943</v>
      </c>
      <c r="C105" s="452" t="s">
        <v>953</v>
      </c>
      <c r="D105" s="428">
        <v>4</v>
      </c>
      <c r="E105" s="428">
        <v>13</v>
      </c>
      <c r="F105" s="428">
        <v>17</v>
      </c>
      <c r="G105" s="428">
        <v>32840.35</v>
      </c>
      <c r="H105" s="429">
        <v>13543.49</v>
      </c>
      <c r="I105" s="430">
        <f t="shared" si="0"/>
      </c>
      <c r="J105" s="430">
        <f t="shared" si="1"/>
      </c>
      <c r="K105" s="430">
        <f t="shared" si="6"/>
      </c>
      <c r="L105" s="438"/>
      <c r="M105" s="438"/>
      <c r="N105" s="432"/>
      <c r="O105" s="432"/>
      <c r="P105" s="432"/>
      <c r="Q105" s="429">
        <v>7.094546883184914</v>
      </c>
      <c r="R105" s="435">
        <v>0.1553871148766514</v>
      </c>
      <c r="S105" s="434">
        <v>0.014799596867974262</v>
      </c>
      <c r="T105" s="435">
        <v>0.015156213659973642</v>
      </c>
      <c r="U105" s="434">
        <v>0.16265984654731458</v>
      </c>
      <c r="V105" s="436">
        <v>20043.383947939266</v>
      </c>
      <c r="W105" s="435">
        <v>0.034574999999999995</v>
      </c>
      <c r="X105" s="436">
        <v>61.25</v>
      </c>
      <c r="Y105" s="437">
        <v>104.99643383208</v>
      </c>
      <c r="Z105" s="436">
        <v>128990</v>
      </c>
      <c r="AA105" s="436">
        <v>1909</v>
      </c>
      <c r="AB105" s="436">
        <v>693</v>
      </c>
      <c r="AC105" s="436">
        <v>1955</v>
      </c>
      <c r="AD105" s="436">
        <v>318</v>
      </c>
      <c r="AE105" s="436">
        <v>24</v>
      </c>
      <c r="AF105" s="436">
        <v>10</v>
      </c>
      <c r="AG105" s="436">
        <v>139</v>
      </c>
    </row>
    <row r="106">
      <c r="A106" s="450" t="s">
        <v>987</v>
      </c>
      <c r="B106" s="451" t="s">
        <v>938</v>
      </c>
      <c r="C106" s="452" t="s">
        <v>954</v>
      </c>
      <c r="D106" s="428">
        <v>4</v>
      </c>
      <c r="E106" s="428">
        <v>13</v>
      </c>
      <c r="F106" s="428">
        <v>15</v>
      </c>
      <c r="G106" s="428">
        <v>30922.130000000005</v>
      </c>
      <c r="H106" s="429">
        <v>13776.230000000001</v>
      </c>
      <c r="I106" s="430">
        <f t="shared" si="0"/>
      </c>
      <c r="J106" s="430">
        <f t="shared" si="1"/>
      </c>
      <c r="K106" s="439">
        <f t="shared" si="6"/>
      </c>
      <c r="L106" s="454"/>
      <c r="M106" s="454"/>
      <c r="N106" s="441"/>
      <c r="O106" s="432"/>
      <c r="P106" s="432"/>
      <c r="Q106" s="429">
        <v>6.495124941065535</v>
      </c>
      <c r="R106" s="435">
        <v>0.1494990983199779</v>
      </c>
      <c r="S106" s="435">
        <v>0.016251379183523353</v>
      </c>
      <c r="T106" s="435">
        <v>0.01677240407012382</v>
      </c>
      <c r="U106" s="435">
        <v>0.1489264504339881</v>
      </c>
      <c r="V106" s="436">
        <v>19511.426319936956</v>
      </c>
      <c r="W106" s="435">
        <v>0.031725</v>
      </c>
      <c r="X106" s="436">
        <v>66.5</v>
      </c>
      <c r="Y106" s="437">
        <v>105.5547382616158</v>
      </c>
      <c r="Z106" s="436">
        <v>130512</v>
      </c>
      <c r="AA106" s="436">
        <v>2121</v>
      </c>
      <c r="AB106" s="436">
        <v>619</v>
      </c>
      <c r="AC106" s="436">
        <v>2189</v>
      </c>
      <c r="AD106" s="436">
        <v>326</v>
      </c>
      <c r="AE106" s="436">
        <v>31</v>
      </c>
      <c r="AF106" s="436">
        <v>7</v>
      </c>
      <c r="AG106" s="436">
        <v>173</v>
      </c>
    </row>
    <row r="107">
      <c r="A107" s="450" t="s">
        <v>987</v>
      </c>
      <c r="B107" s="460" t="s">
        <v>945</v>
      </c>
      <c r="C107" s="452" t="s">
        <v>956</v>
      </c>
      <c r="D107" s="428">
        <v>4</v>
      </c>
      <c r="E107" s="428">
        <v>18</v>
      </c>
      <c r="F107" s="428">
        <v>22</v>
      </c>
      <c r="G107" s="428">
        <v>47688.5</v>
      </c>
      <c r="H107" s="429">
        <v>12802.42</v>
      </c>
      <c r="I107" s="430">
        <f t="shared" si="0"/>
      </c>
      <c r="J107" s="430">
        <f t="shared" si="1"/>
      </c>
      <c r="K107" s="439">
        <f t="shared" si="6"/>
      </c>
      <c r="L107" s="440"/>
      <c r="M107" s="440"/>
      <c r="N107" s="441"/>
      <c r="O107" s="432"/>
      <c r="P107" s="432"/>
      <c r="Q107" s="429">
        <v>7.257607709750567</v>
      </c>
      <c r="R107" s="435">
        <v>0.14211404052476037</v>
      </c>
      <c r="S107" s="435">
        <v>0.0137425989404799</v>
      </c>
      <c r="T107" s="435">
        <v>0.014015269554378311</v>
      </c>
      <c r="U107" s="435">
        <v>0.11728738187882157</v>
      </c>
      <c r="V107" s="436">
        <v>18241.75824175824</v>
      </c>
      <c r="W107" s="435">
        <v>0.03185</v>
      </c>
      <c r="X107" s="436">
        <v>69</v>
      </c>
      <c r="Y107" s="437">
        <v>99.7383920224369</v>
      </c>
      <c r="Z107" s="436">
        <v>128360</v>
      </c>
      <c r="AA107" s="436">
        <v>1764</v>
      </c>
      <c r="AB107" s="436">
        <v>581</v>
      </c>
      <c r="AC107" s="436">
        <v>1799</v>
      </c>
      <c r="AD107" s="436">
        <v>211</v>
      </c>
      <c r="AE107" s="436">
        <v>27</v>
      </c>
      <c r="AF107" s="436">
        <v>14</v>
      </c>
      <c r="AG107" s="436">
        <v>157</v>
      </c>
    </row>
    <row r="108">
      <c r="A108" s="450" t="s">
        <v>987</v>
      </c>
      <c r="B108" s="455" t="s">
        <v>955</v>
      </c>
      <c r="C108" s="452" t="s">
        <v>958</v>
      </c>
      <c r="D108" s="428">
        <v>4</v>
      </c>
      <c r="E108" s="428">
        <v>14</v>
      </c>
      <c r="F108" s="428">
        <v>16</v>
      </c>
      <c r="G108" s="428">
        <v>30428.690000000002</v>
      </c>
      <c r="H108" s="429">
        <v>10401.41</v>
      </c>
      <c r="I108" s="430">
        <f t="shared" si="0"/>
      </c>
      <c r="J108" s="430">
        <f t="shared" si="1"/>
      </c>
      <c r="K108" s="439">
        <f t="shared" si="6"/>
      </c>
      <c r="L108" s="428" t="s">
        <v>940</v>
      </c>
      <c r="M108" s="431">
        <v>10</v>
      </c>
      <c r="N108" s="441"/>
      <c r="O108" s="432"/>
      <c r="P108" s="432"/>
      <c r="Q108" s="437">
        <v>5.6011900915455035</v>
      </c>
      <c r="R108" s="435">
        <v>0.16111067834574536</v>
      </c>
      <c r="S108" s="435">
        <v>0.015392521737688883</v>
      </c>
      <c r="T108" s="435">
        <v>0.01605563522127268</v>
      </c>
      <c r="U108" s="435">
        <v>0.11512648425400103</v>
      </c>
      <c r="V108" s="436">
        <v>19436.875567665757</v>
      </c>
      <c r="W108" s="435">
        <v>0.027525</v>
      </c>
      <c r="X108" s="436">
        <v>71.5</v>
      </c>
      <c r="Y108" s="437">
        <v>86.21644024104175</v>
      </c>
      <c r="Z108" s="436">
        <v>120643</v>
      </c>
      <c r="AA108" s="436">
        <v>1857</v>
      </c>
      <c r="AB108" s="436">
        <v>535</v>
      </c>
      <c r="AC108" s="436">
        <v>1937</v>
      </c>
      <c r="AD108" s="436">
        <v>223</v>
      </c>
      <c r="AE108" s="436">
        <v>24</v>
      </c>
      <c r="AF108" s="436">
        <v>2</v>
      </c>
      <c r="AG108" s="456">
        <v>141</v>
      </c>
    </row>
    <row r="109">
      <c r="A109" s="443" t="s">
        <v>987</v>
      </c>
      <c r="B109" s="458" t="s">
        <v>950</v>
      </c>
      <c r="C109" s="444"/>
      <c r="D109" s="444">
        <f>SUM(D104:D108)</f>
      </c>
      <c r="E109" s="444">
        <f>SUM(E104:E108)</f>
      </c>
      <c r="F109" s="444">
        <f>SUM(F104:F108)</f>
      </c>
      <c r="G109" s="444">
        <f>SUM(G104:G108)</f>
      </c>
      <c r="H109" s="444">
        <f>SUM(H104:H108)</f>
      </c>
      <c r="I109" s="445">
        <f t="shared" si="0"/>
      </c>
      <c r="J109" s="445">
        <f t="shared" si="1"/>
      </c>
      <c r="K109" s="445">
        <f t="shared" si="6"/>
      </c>
      <c r="L109" s="444"/>
      <c r="M109" s="446">
        <f>SUM(M104:M108)</f>
      </c>
      <c r="N109" s="444"/>
      <c r="O109" s="444"/>
      <c r="P109" s="444"/>
      <c r="Q109" s="447">
        <f>AVERAGE(Q104:Q108)</f>
      </c>
      <c r="R109" s="448">
        <f>AVERAGE(R104:R108)</f>
      </c>
      <c r="S109" s="448">
        <f>AVERAGE(S104:S108)</f>
      </c>
      <c r="T109" s="448">
        <f>AVERAGE(T104:T108)</f>
      </c>
      <c r="U109" s="448">
        <f>AVERAGE(U104:U108)</f>
      </c>
      <c r="V109" s="449">
        <f>SUM(V104:V108)</f>
      </c>
      <c r="W109" s="448">
        <f>AVERAGE(W104:W108)</f>
      </c>
      <c r="X109" s="449"/>
      <c r="Y109" s="447">
        <f>AVERAGE(Y104:Y108)</f>
      </c>
      <c r="Z109" s="449">
        <f>SUM(Z104:Z108)</f>
      </c>
      <c r="AA109" s="449">
        <f>SUM(AA104:AA108)</f>
      </c>
      <c r="AB109" s="449">
        <f>SUM(AB104:AB108)</f>
      </c>
      <c r="AC109" s="449">
        <f>SUM(AC104:AC108)</f>
      </c>
      <c r="AD109" s="449">
        <f>SUM(AD104:AD108)</f>
      </c>
      <c r="AE109" s="449">
        <f>SUM(AE104:AE108)</f>
      </c>
      <c r="AF109" s="449">
        <f>SUM(AF104:AF108)</f>
      </c>
      <c r="AG109" s="449">
        <f>SUM(AG104:AG108)</f>
      </c>
    </row>
    <row r="110">
      <c r="A110" s="450" t="s">
        <v>988</v>
      </c>
      <c r="B110" s="455" t="s">
        <v>943</v>
      </c>
      <c r="C110" s="452" t="s">
        <v>939</v>
      </c>
      <c r="D110" s="428">
        <v>5</v>
      </c>
      <c r="E110" s="428">
        <v>19</v>
      </c>
      <c r="F110" s="428">
        <v>20</v>
      </c>
      <c r="G110" s="428">
        <v>43667</v>
      </c>
      <c r="H110" s="429">
        <v>16122.77</v>
      </c>
      <c r="I110" s="430">
        <f t="shared" si="0"/>
      </c>
      <c r="J110" s="430">
        <f t="shared" si="1"/>
      </c>
      <c r="K110" s="430">
        <f t="shared" si="6"/>
      </c>
      <c r="L110" s="428" t="s">
        <v>949</v>
      </c>
      <c r="M110" s="431">
        <v>10</v>
      </c>
      <c r="N110" s="432"/>
      <c r="O110" s="432"/>
      <c r="P110" s="432"/>
      <c r="Q110" s="433">
        <v>5.033646581330003</v>
      </c>
      <c r="R110" s="434">
        <v>0.14643358902032583</v>
      </c>
      <c r="S110" s="435">
        <v>0.02023859170236696</v>
      </c>
      <c r="T110" s="435">
        <v>0.02084518077618127</v>
      </c>
      <c r="U110" s="435">
        <v>0.13731433767808426</v>
      </c>
      <c r="V110" s="436">
        <v>23174.872665534807</v>
      </c>
      <c r="W110" s="435">
        <v>0.035339999999999996</v>
      </c>
      <c r="X110" s="436">
        <v>56.6</v>
      </c>
      <c r="Y110" s="437">
        <v>101.87391793355323</v>
      </c>
      <c r="Z110" s="436">
        <v>158262</v>
      </c>
      <c r="AA110" s="436">
        <v>3203</v>
      </c>
      <c r="AB110" s="436">
        <v>819</v>
      </c>
      <c r="AC110" s="436">
        <v>3299</v>
      </c>
      <c r="AD110" s="436">
        <v>453</v>
      </c>
      <c r="AE110" s="436">
        <v>43</v>
      </c>
      <c r="AF110" s="436">
        <v>8</v>
      </c>
      <c r="AG110" s="436">
        <v>183</v>
      </c>
    </row>
    <row r="111">
      <c r="A111" s="450" t="s">
        <v>988</v>
      </c>
      <c r="B111" s="459" t="s">
        <v>938</v>
      </c>
      <c r="C111" s="452" t="s">
        <v>960</v>
      </c>
      <c r="D111" s="428">
        <v>4</v>
      </c>
      <c r="E111" s="428">
        <v>16</v>
      </c>
      <c r="F111" s="428">
        <v>21</v>
      </c>
      <c r="G111" s="428">
        <v>46105.47</v>
      </c>
      <c r="H111" s="429">
        <v>13129.060000000001</v>
      </c>
      <c r="I111" s="430">
        <f t="shared" si="0"/>
      </c>
      <c r="J111" s="430">
        <f t="shared" si="1"/>
      </c>
      <c r="K111" s="430">
        <f t="shared" si="6"/>
      </c>
      <c r="L111" s="438"/>
      <c r="M111" s="438"/>
      <c r="N111" s="432"/>
      <c r="O111" s="432"/>
      <c r="P111" s="432"/>
      <c r="Q111" s="429">
        <v>6.771031459515213</v>
      </c>
      <c r="R111" s="435">
        <v>0.15113186131280779</v>
      </c>
      <c r="S111" s="434">
        <v>0.01559872893286674</v>
      </c>
      <c r="T111" s="435">
        <v>0.01579984715015486</v>
      </c>
      <c r="U111" s="434">
        <v>0.1634419551934827</v>
      </c>
      <c r="V111" s="436">
        <v>18786.446020488573</v>
      </c>
      <c r="W111" s="435">
        <v>0.031725</v>
      </c>
      <c r="X111" s="436">
        <v>69.75</v>
      </c>
      <c r="Y111" s="437">
        <v>105.61948433289086</v>
      </c>
      <c r="Z111" s="436">
        <v>124305</v>
      </c>
      <c r="AA111" s="436">
        <v>1939</v>
      </c>
      <c r="AB111" s="436">
        <v>596</v>
      </c>
      <c r="AC111" s="436">
        <v>1964</v>
      </c>
      <c r="AD111" s="436">
        <v>321</v>
      </c>
      <c r="AE111" s="436">
        <v>21</v>
      </c>
      <c r="AF111" s="436">
        <v>4</v>
      </c>
      <c r="AG111" s="436">
        <v>122</v>
      </c>
    </row>
    <row r="112">
      <c r="A112" s="450" t="s">
        <v>988</v>
      </c>
      <c r="B112" s="459" t="s">
        <v>947</v>
      </c>
      <c r="C112" s="452" t="s">
        <v>979</v>
      </c>
      <c r="D112" s="428">
        <v>4</v>
      </c>
      <c r="E112" s="428">
        <v>9</v>
      </c>
      <c r="F112" s="428">
        <v>10</v>
      </c>
      <c r="G112" s="428">
        <v>20050.130000000005</v>
      </c>
      <c r="H112" s="429">
        <v>12642.67</v>
      </c>
      <c r="I112" s="430">
        <f t="shared" si="0"/>
      </c>
      <c r="J112" s="430">
        <f t="shared" si="1"/>
      </c>
      <c r="K112" s="439">
        <f t="shared" si="6"/>
      </c>
      <c r="L112" s="454"/>
      <c r="M112" s="454"/>
      <c r="N112" s="441"/>
      <c r="O112" s="432"/>
      <c r="P112" s="432"/>
      <c r="Q112" s="429">
        <v>8.236267100977198</v>
      </c>
      <c r="R112" s="435">
        <v>0.13459317403818988</v>
      </c>
      <c r="S112" s="435">
        <v>0.011369022930615631</v>
      </c>
      <c r="T112" s="435">
        <v>0.011606031877703383</v>
      </c>
      <c r="U112" s="435">
        <v>0.17294192724952137</v>
      </c>
      <c r="V112" s="436">
        <v>18172.231985940245</v>
      </c>
      <c r="W112" s="435">
        <v>0.02845</v>
      </c>
      <c r="X112" s="436">
        <v>71.25</v>
      </c>
      <c r="Y112" s="437">
        <v>93.63830953368489</v>
      </c>
      <c r="Z112" s="436">
        <v>135016</v>
      </c>
      <c r="AA112" s="436">
        <v>1535</v>
      </c>
      <c r="AB112" s="436">
        <v>517</v>
      </c>
      <c r="AC112" s="436">
        <v>1567</v>
      </c>
      <c r="AD112" s="436">
        <v>271</v>
      </c>
      <c r="AE112" s="436">
        <v>18</v>
      </c>
      <c r="AF112" s="436">
        <v>1</v>
      </c>
      <c r="AG112" s="436">
        <v>126</v>
      </c>
    </row>
    <row r="113">
      <c r="A113" s="450" t="s">
        <v>988</v>
      </c>
      <c r="B113" s="451" t="s">
        <v>955</v>
      </c>
      <c r="C113" s="452" t="s">
        <v>980</v>
      </c>
      <c r="D113" s="428">
        <v>4</v>
      </c>
      <c r="E113" s="428">
        <v>18</v>
      </c>
      <c r="F113" s="428">
        <v>24</v>
      </c>
      <c r="G113" s="428">
        <v>47561.67999999999</v>
      </c>
      <c r="H113" s="429">
        <v>13441.47</v>
      </c>
      <c r="I113" s="430">
        <f t="shared" si="0"/>
      </c>
      <c r="J113" s="430">
        <f t="shared" si="1"/>
      </c>
      <c r="K113" s="439">
        <f t="shared" si="6"/>
      </c>
      <c r="L113" s="440"/>
      <c r="M113" s="440"/>
      <c r="N113" s="441"/>
      <c r="O113" s="432"/>
      <c r="P113" s="432"/>
      <c r="Q113" s="429">
        <v>7.953532544378698</v>
      </c>
      <c r="R113" s="435">
        <v>0.15081285700595393</v>
      </c>
      <c r="S113" s="435">
        <v>0.011484645233192663</v>
      </c>
      <c r="T113" s="435">
        <v>0.011681719027135024</v>
      </c>
      <c r="U113" s="435">
        <v>0.2344386271087842</v>
      </c>
      <c r="V113" s="436">
        <v>22192.56434699714</v>
      </c>
      <c r="W113" s="435">
        <v>0.026225000000000002</v>
      </c>
      <c r="X113" s="436">
        <v>78</v>
      </c>
      <c r="Y113" s="437">
        <v>91.34349962284152</v>
      </c>
      <c r="Z113" s="436">
        <v>147153</v>
      </c>
      <c r="AA113" s="436">
        <v>1690</v>
      </c>
      <c r="AB113" s="436">
        <v>582</v>
      </c>
      <c r="AC113" s="436">
        <v>1719</v>
      </c>
      <c r="AD113" s="436">
        <v>403</v>
      </c>
      <c r="AE113" s="436">
        <v>16</v>
      </c>
      <c r="AF113" s="436">
        <v>9</v>
      </c>
      <c r="AG113" s="436">
        <v>131</v>
      </c>
    </row>
    <row r="114">
      <c r="A114" s="450" t="s">
        <v>988</v>
      </c>
      <c r="B114" s="460" t="s">
        <v>945</v>
      </c>
      <c r="C114" s="452" t="s">
        <v>963</v>
      </c>
      <c r="D114" s="428">
        <v>3</v>
      </c>
      <c r="E114" s="428">
        <v>5</v>
      </c>
      <c r="F114" s="428">
        <v>6</v>
      </c>
      <c r="G114" s="428">
        <v>11138.98999999999</v>
      </c>
      <c r="H114" s="429">
        <v>7436.26</v>
      </c>
      <c r="I114" s="430">
        <f t="shared" si="0"/>
      </c>
      <c r="J114" s="430">
        <f t="shared" si="1"/>
      </c>
      <c r="K114" s="439">
        <f t="shared" si="6"/>
      </c>
      <c r="L114" s="428" t="s">
        <v>940</v>
      </c>
      <c r="M114" s="431">
        <v>10</v>
      </c>
      <c r="N114" s="441"/>
      <c r="O114" s="432"/>
      <c r="P114" s="432"/>
      <c r="Q114" s="437">
        <v>5.319048640915594</v>
      </c>
      <c r="R114" s="435">
        <v>0.140032077734806</v>
      </c>
      <c r="S114" s="435">
        <v>0.014646565181405776</v>
      </c>
      <c r="T114" s="435">
        <v>0.014992299552640677</v>
      </c>
      <c r="U114" s="435">
        <v>0.11949685534591195</v>
      </c>
      <c r="V114" s="436">
        <v>13365.921787709498</v>
      </c>
      <c r="W114" s="435">
        <v>0.023866666666666665</v>
      </c>
      <c r="X114" s="436">
        <v>82.66666666666667</v>
      </c>
      <c r="Y114" s="437">
        <v>77.90579262223805</v>
      </c>
      <c r="Z114" s="436">
        <v>95449</v>
      </c>
      <c r="AA114" s="436">
        <v>1398</v>
      </c>
      <c r="AB114" s="436">
        <v>319</v>
      </c>
      <c r="AC114" s="436">
        <v>1431</v>
      </c>
      <c r="AD114" s="436">
        <v>171</v>
      </c>
      <c r="AE114" s="436">
        <v>16</v>
      </c>
      <c r="AF114" s="436">
        <v>2</v>
      </c>
      <c r="AG114" s="456">
        <v>92</v>
      </c>
    </row>
    <row r="115">
      <c r="A115" s="443" t="s">
        <v>988</v>
      </c>
      <c r="B115" s="458" t="s">
        <v>950</v>
      </c>
      <c r="C115" s="444"/>
      <c r="D115" s="444">
        <f>SUM(D110:D114)</f>
      </c>
      <c r="E115" s="444">
        <f>SUM(E110:E114)</f>
      </c>
      <c r="F115" s="444">
        <f>SUM(F110:F114)</f>
      </c>
      <c r="G115" s="444">
        <f>SUM(G110:G114)</f>
      </c>
      <c r="H115" s="444">
        <f>SUM(H110:H114)</f>
      </c>
      <c r="I115" s="445">
        <f t="shared" si="0"/>
      </c>
      <c r="J115" s="445">
        <f t="shared" si="1"/>
      </c>
      <c r="K115" s="445">
        <f t="shared" si="6"/>
      </c>
      <c r="L115" s="444"/>
      <c r="M115" s="446">
        <f>SUM(M110:M114)</f>
      </c>
      <c r="N115" s="444"/>
      <c r="O115" s="444"/>
      <c r="P115" s="444"/>
      <c r="Q115" s="447">
        <f>AVERAGE(Q110:Q114)</f>
      </c>
      <c r="R115" s="448">
        <f>AVERAGE(R110:R114)</f>
      </c>
      <c r="S115" s="448">
        <f>AVERAGE(S110:S114)</f>
      </c>
      <c r="T115" s="448">
        <f>AVERAGE(T110:T114)</f>
      </c>
      <c r="U115" s="448">
        <f>AVERAGE(U110:U114)</f>
      </c>
      <c r="V115" s="449">
        <f>SUM(V110:V114)</f>
      </c>
      <c r="W115" s="448">
        <f>AVERAGE(W110:W114)</f>
      </c>
      <c r="X115" s="449"/>
      <c r="Y115" s="447">
        <f>AVERAGE(Y110:Y114)</f>
      </c>
      <c r="Z115" s="449">
        <f>SUM(Z110:Z114)</f>
      </c>
      <c r="AA115" s="449">
        <f>SUM(AA110:AA114)</f>
      </c>
      <c r="AB115" s="449">
        <f>SUM(AB110:AB114)</f>
      </c>
      <c r="AC115" s="449">
        <f>SUM(AC110:AC114)</f>
      </c>
      <c r="AD115" s="449">
        <f>SUM(AD110:AD114)</f>
      </c>
      <c r="AE115" s="449">
        <f>SUM(AE110:AE114)</f>
      </c>
      <c r="AF115" s="449">
        <f>SUM(AF110:AF114)</f>
      </c>
      <c r="AG115" s="449">
        <f>SUM(AG110:AG114)</f>
      </c>
    </row>
    <row r="116">
      <c r="A116" s="450" t="s">
        <v>989</v>
      </c>
      <c r="B116" s="455" t="s">
        <v>943</v>
      </c>
      <c r="C116" s="452" t="s">
        <v>952</v>
      </c>
      <c r="D116" s="428">
        <v>4</v>
      </c>
      <c r="E116" s="428">
        <v>11</v>
      </c>
      <c r="F116" s="428">
        <v>14</v>
      </c>
      <c r="G116" s="428">
        <v>27611.020000000004</v>
      </c>
      <c r="H116" s="429">
        <v>12532.4</v>
      </c>
      <c r="I116" s="430">
        <f t="shared" si="0"/>
      </c>
      <c r="J116" s="430">
        <f t="shared" si="1"/>
      </c>
      <c r="K116" s="430">
        <f t="shared" si="6"/>
      </c>
      <c r="L116" s="428" t="s">
        <v>949</v>
      </c>
      <c r="M116" s="431">
        <v>10</v>
      </c>
      <c r="N116" s="432"/>
      <c r="O116" s="432"/>
      <c r="P116" s="432"/>
      <c r="Q116" s="433">
        <v>4.955476472914195</v>
      </c>
      <c r="R116" s="434">
        <v>0.1670480094760894</v>
      </c>
      <c r="S116" s="435">
        <v>0.02230434092392359</v>
      </c>
      <c r="T116" s="435">
        <v>0.02316864515901434</v>
      </c>
      <c r="U116" s="435">
        <v>0.08108108108108109</v>
      </c>
      <c r="V116" s="436">
        <v>18940.90560245587</v>
      </c>
      <c r="W116" s="435">
        <v>0.032575</v>
      </c>
      <c r="X116" s="436">
        <v>46</v>
      </c>
      <c r="Y116" s="437">
        <v>110.52863669236059</v>
      </c>
      <c r="Z116" s="436">
        <v>113386</v>
      </c>
      <c r="AA116" s="436">
        <v>2529</v>
      </c>
      <c r="AB116" s="436">
        <v>617</v>
      </c>
      <c r="AC116" s="436">
        <v>2627</v>
      </c>
      <c r="AD116" s="436">
        <v>213</v>
      </c>
      <c r="AE116" s="436">
        <v>21</v>
      </c>
      <c r="AF116" s="436">
        <v>3</v>
      </c>
      <c r="AG116" s="436">
        <v>153</v>
      </c>
    </row>
    <row r="117">
      <c r="A117" s="450" t="s">
        <v>989</v>
      </c>
      <c r="B117" s="459" t="s">
        <v>938</v>
      </c>
      <c r="C117" s="452" t="s">
        <v>953</v>
      </c>
      <c r="D117" s="428">
        <v>4</v>
      </c>
      <c r="E117" s="428">
        <v>9</v>
      </c>
      <c r="F117" s="428">
        <v>13</v>
      </c>
      <c r="G117" s="428">
        <v>26763.199999999997</v>
      </c>
      <c r="H117" s="429">
        <v>12319.11</v>
      </c>
      <c r="I117" s="430">
        <f t="shared" si="0"/>
      </c>
      <c r="J117" s="430">
        <f t="shared" si="1"/>
      </c>
      <c r="K117" s="430">
        <f t="shared" si="6"/>
      </c>
      <c r="L117" s="438"/>
      <c r="M117" s="438"/>
      <c r="N117" s="432"/>
      <c r="O117" s="432"/>
      <c r="P117" s="432"/>
      <c r="Q117" s="429">
        <v>8.408948805460751</v>
      </c>
      <c r="R117" s="435">
        <v>0.1534925717626855</v>
      </c>
      <c r="S117" s="434">
        <v>0.015623000469223223</v>
      </c>
      <c r="T117" s="435">
        <v>0.01587894040865077</v>
      </c>
      <c r="U117" s="434">
        <v>0.1511081262592344</v>
      </c>
      <c r="V117" s="436">
        <v>14393.305439330545</v>
      </c>
      <c r="W117" s="435">
        <v>0.03585</v>
      </c>
      <c r="X117" s="436">
        <v>61.5</v>
      </c>
      <c r="Y117" s="437">
        <v>131.37301113338737</v>
      </c>
      <c r="Z117" s="436">
        <v>93772</v>
      </c>
      <c r="AA117" s="436">
        <v>1465</v>
      </c>
      <c r="AB117" s="436">
        <v>516</v>
      </c>
      <c r="AC117" s="436">
        <v>1489</v>
      </c>
      <c r="AD117" s="436">
        <v>225</v>
      </c>
      <c r="AE117" s="436">
        <v>15</v>
      </c>
      <c r="AF117" s="436">
        <v>1</v>
      </c>
      <c r="AG117" s="436">
        <v>121</v>
      </c>
    </row>
    <row r="118">
      <c r="A118" s="450" t="s">
        <v>989</v>
      </c>
      <c r="B118" s="461" t="s">
        <v>955</v>
      </c>
      <c r="C118" s="452" t="s">
        <v>954</v>
      </c>
      <c r="D118" s="428">
        <v>4</v>
      </c>
      <c r="E118" s="428">
        <v>4</v>
      </c>
      <c r="F118" s="428">
        <v>6</v>
      </c>
      <c r="G118" s="428">
        <v>13272.180000000008</v>
      </c>
      <c r="H118" s="429">
        <v>8697.18</v>
      </c>
      <c r="I118" s="430">
        <f t="shared" si="0"/>
      </c>
      <c r="J118" s="430">
        <f t="shared" si="1"/>
      </c>
      <c r="K118" s="439">
        <f t="shared" si="6"/>
      </c>
      <c r="L118" s="454"/>
      <c r="M118" s="454"/>
      <c r="N118" s="441"/>
      <c r="O118" s="432"/>
      <c r="P118" s="432"/>
      <c r="Q118" s="429">
        <v>7.259749582637729</v>
      </c>
      <c r="R118" s="435">
        <v>0.2205228535411464</v>
      </c>
      <c r="S118" s="435">
        <v>0.01662411190053286</v>
      </c>
      <c r="T118" s="435">
        <v>0.016818383658969805</v>
      </c>
      <c r="U118" s="435">
        <v>0.14686468646864687</v>
      </c>
      <c r="V118" s="436">
        <v>15891.758917589174</v>
      </c>
      <c r="W118" s="435">
        <v>0.020325000000000003</v>
      </c>
      <c r="X118" s="436">
        <v>53.5</v>
      </c>
      <c r="Y118" s="437">
        <v>120.68688943161635</v>
      </c>
      <c r="Z118" s="436">
        <v>72064</v>
      </c>
      <c r="AA118" s="436">
        <v>1198</v>
      </c>
      <c r="AB118" s="436">
        <v>323</v>
      </c>
      <c r="AC118" s="436">
        <v>1212</v>
      </c>
      <c r="AD118" s="436">
        <v>178</v>
      </c>
      <c r="AE118" s="436">
        <v>10</v>
      </c>
      <c r="AF118" s="436">
        <v>1</v>
      </c>
      <c r="AG118" s="436">
        <v>59</v>
      </c>
    </row>
    <row r="119">
      <c r="A119" s="450" t="s">
        <v>989</v>
      </c>
      <c r="B119" s="462" t="s">
        <v>945</v>
      </c>
      <c r="C119" s="452" t="s">
        <v>956</v>
      </c>
      <c r="D119" s="428">
        <v>4</v>
      </c>
      <c r="E119" s="428">
        <v>7</v>
      </c>
      <c r="F119" s="428">
        <v>9</v>
      </c>
      <c r="G119" s="428">
        <v>16765.949999999997</v>
      </c>
      <c r="H119" s="429">
        <v>8835.75</v>
      </c>
      <c r="I119" s="430">
        <f t="shared" si="0"/>
      </c>
      <c r="J119" s="430">
        <f t="shared" si="1"/>
      </c>
      <c r="K119" s="439">
        <f t="shared" si="6"/>
      </c>
      <c r="L119" s="440"/>
      <c r="M119" s="440"/>
      <c r="N119" s="441"/>
      <c r="O119" s="432"/>
      <c r="P119" s="432"/>
      <c r="Q119" s="429">
        <v>6.988639240506329</v>
      </c>
      <c r="R119" s="435">
        <v>0.23799017298910694</v>
      </c>
      <c r="S119" s="435">
        <v>0.018148403399954053</v>
      </c>
      <c r="T119" s="435">
        <v>0.01865093039283253</v>
      </c>
      <c r="U119" s="435">
        <v>0.1147036181678214</v>
      </c>
      <c r="V119" s="436">
        <v>16575.53956834532</v>
      </c>
      <c r="W119" s="435">
        <v>0.017375</v>
      </c>
      <c r="X119" s="436">
        <v>49.25</v>
      </c>
      <c r="Y119" s="437">
        <v>126.83264415345738</v>
      </c>
      <c r="Z119" s="436">
        <v>69648</v>
      </c>
      <c r="AA119" s="436">
        <v>1264</v>
      </c>
      <c r="AB119" s="436">
        <v>288</v>
      </c>
      <c r="AC119" s="436">
        <v>1299</v>
      </c>
      <c r="AD119" s="436">
        <v>149</v>
      </c>
      <c r="AE119" s="436">
        <v>10</v>
      </c>
      <c r="AF119" s="436">
        <v>5</v>
      </c>
      <c r="AG119" s="436">
        <v>57</v>
      </c>
    </row>
    <row r="120">
      <c r="A120" s="450" t="s">
        <v>989</v>
      </c>
      <c r="B120" s="455" t="s">
        <v>947</v>
      </c>
      <c r="C120" s="452" t="s">
        <v>958</v>
      </c>
      <c r="D120" s="428">
        <v>4</v>
      </c>
      <c r="E120" s="428">
        <v>10</v>
      </c>
      <c r="F120" s="428">
        <v>15</v>
      </c>
      <c r="G120" s="428">
        <v>29533.97999999998</v>
      </c>
      <c r="H120" s="429">
        <v>7991.14</v>
      </c>
      <c r="I120" s="430">
        <f t="shared" si="0"/>
      </c>
      <c r="J120" s="430">
        <f t="shared" si="1"/>
      </c>
      <c r="K120" s="439">
        <f t="shared" si="6"/>
      </c>
      <c r="L120" s="428" t="s">
        <v>940</v>
      </c>
      <c r="M120" s="431">
        <v>10</v>
      </c>
      <c r="N120" s="441"/>
      <c r="O120" s="432"/>
      <c r="P120" s="432"/>
      <c r="Q120" s="437">
        <v>4.680896309314588</v>
      </c>
      <c r="R120" s="435">
        <v>0.19048701216359248</v>
      </c>
      <c r="S120" s="435">
        <v>0.023536386950886577</v>
      </c>
      <c r="T120" s="435">
        <v>0.025204754157129857</v>
      </c>
      <c r="U120" s="435">
        <v>0.11269146608315099</v>
      </c>
      <c r="V120" s="436">
        <v>13815.261044176708</v>
      </c>
      <c r="W120" s="435">
        <v>0.0249</v>
      </c>
      <c r="X120" s="436">
        <v>56.75</v>
      </c>
      <c r="Y120" s="437">
        <v>110.171386813005</v>
      </c>
      <c r="Z120" s="436">
        <v>72526</v>
      </c>
      <c r="AA120" s="436">
        <v>1707</v>
      </c>
      <c r="AB120" s="436">
        <v>344</v>
      </c>
      <c r="AC120" s="436">
        <v>1828</v>
      </c>
      <c r="AD120" s="436">
        <v>206</v>
      </c>
      <c r="AE120" s="436">
        <v>19</v>
      </c>
      <c r="AF120" s="436">
        <v>3</v>
      </c>
      <c r="AG120" s="456">
        <v>78</v>
      </c>
    </row>
    <row r="121">
      <c r="A121" s="443" t="s">
        <v>989</v>
      </c>
      <c r="B121" s="458" t="s">
        <v>950</v>
      </c>
      <c r="C121" s="444"/>
      <c r="D121" s="444">
        <f>SUM(D116:D120)</f>
      </c>
      <c r="E121" s="444">
        <f>SUM(E116:E120)</f>
      </c>
      <c r="F121" s="444">
        <f>SUM(F116:F120)</f>
      </c>
      <c r="G121" s="444">
        <f>SUM(G116:G120)</f>
      </c>
      <c r="H121" s="444">
        <f>SUM(H116:H120)</f>
      </c>
      <c r="I121" s="445">
        <f t="shared" si="0"/>
      </c>
      <c r="J121" s="445">
        <f t="shared" si="1"/>
      </c>
      <c r="K121" s="445">
        <f t="shared" si="6"/>
      </c>
      <c r="L121" s="444"/>
      <c r="M121" s="446">
        <f>SUM(M116:M120)</f>
      </c>
      <c r="N121" s="444"/>
      <c r="O121" s="444"/>
      <c r="P121" s="444"/>
      <c r="Q121" s="447">
        <f>AVERAGE(Q116:Q120)</f>
      </c>
      <c r="R121" s="448">
        <f>AVERAGE(R116:R120)</f>
      </c>
      <c r="S121" s="448">
        <f>AVERAGE(S116:S120)</f>
      </c>
      <c r="T121" s="448">
        <f>AVERAGE(T116:T120)</f>
      </c>
      <c r="U121" s="448">
        <f>AVERAGE(U116:U120)</f>
      </c>
      <c r="V121" s="449">
        <f>SUM(V116:V120)</f>
      </c>
      <c r="W121" s="448">
        <f>AVERAGE(W116:W120)</f>
      </c>
      <c r="X121" s="449"/>
      <c r="Y121" s="447">
        <f>AVERAGE(Y116:Y120)</f>
      </c>
      <c r="Z121" s="449">
        <f>SUM(Z116:Z120)</f>
      </c>
      <c r="AA121" s="449">
        <f>SUM(AA116:AA120)</f>
      </c>
      <c r="AB121" s="449">
        <f>SUM(AB116:AB120)</f>
      </c>
      <c r="AC121" s="449">
        <f>SUM(AC116:AC120)</f>
      </c>
      <c r="AD121" s="449">
        <f>SUM(AD116:AD120)</f>
      </c>
      <c r="AE121" s="449">
        <f>SUM(AE116:AE120)</f>
      </c>
      <c r="AF121" s="449">
        <f>SUM(AF116:AF120)</f>
      </c>
      <c r="AG121" s="449">
        <f>SUM(AG116:AG120)</f>
      </c>
    </row>
    <row r="122">
      <c r="A122" s="450" t="s">
        <v>990</v>
      </c>
      <c r="B122" s="455" t="s">
        <v>943</v>
      </c>
      <c r="C122" s="452" t="s">
        <v>952</v>
      </c>
      <c r="D122" s="428">
        <v>4</v>
      </c>
      <c r="E122" s="428">
        <v>14</v>
      </c>
      <c r="F122" s="428">
        <v>17</v>
      </c>
      <c r="G122" s="428">
        <v>33351.020000000004</v>
      </c>
      <c r="H122" s="429">
        <v>12607.17</v>
      </c>
      <c r="I122" s="430">
        <f t="shared" si="0"/>
      </c>
      <c r="J122" s="430">
        <f t="shared" si="1"/>
      </c>
      <c r="K122" s="430">
        <f t="shared" si="6"/>
      </c>
      <c r="L122" s="428" t="s">
        <v>949</v>
      </c>
      <c r="M122" s="431">
        <v>10</v>
      </c>
      <c r="N122" s="432"/>
      <c r="O122" s="432"/>
      <c r="P122" s="432"/>
      <c r="Q122" s="433">
        <v>5.2009777227722775</v>
      </c>
      <c r="R122" s="434">
        <v>0.12410563831242782</v>
      </c>
      <c r="S122" s="435">
        <v>0.01979518839727571</v>
      </c>
      <c r="T122" s="435">
        <v>0.0203831642902641</v>
      </c>
      <c r="U122" s="435">
        <v>0.10096153846153846</v>
      </c>
      <c r="V122" s="436">
        <v>15197.231833910037</v>
      </c>
      <c r="W122" s="435">
        <v>0.036125</v>
      </c>
      <c r="X122" s="436">
        <v>45.25</v>
      </c>
      <c r="Y122" s="437">
        <v>102.95433387231124</v>
      </c>
      <c r="Z122" s="436">
        <v>122454</v>
      </c>
      <c r="AA122" s="436">
        <v>2424</v>
      </c>
      <c r="AB122" s="436">
        <v>549</v>
      </c>
      <c r="AC122" s="436">
        <v>2496</v>
      </c>
      <c r="AD122" s="436">
        <v>252</v>
      </c>
      <c r="AE122" s="436">
        <v>22</v>
      </c>
      <c r="AF122" s="436">
        <v>4</v>
      </c>
      <c r="AG122" s="436">
        <v>146</v>
      </c>
    </row>
    <row r="123">
      <c r="A123" s="450" t="s">
        <v>990</v>
      </c>
      <c r="B123" s="459" t="s">
        <v>938</v>
      </c>
      <c r="C123" s="452" t="s">
        <v>953</v>
      </c>
      <c r="D123" s="428">
        <v>4</v>
      </c>
      <c r="E123" s="428">
        <v>23</v>
      </c>
      <c r="F123" s="428">
        <v>27</v>
      </c>
      <c r="G123" s="428">
        <v>52756.17</v>
      </c>
      <c r="H123" s="429">
        <v>14005.269999999999</v>
      </c>
      <c r="I123" s="430">
        <f t="shared" si="0"/>
      </c>
      <c r="J123" s="430">
        <f t="shared" si="1"/>
      </c>
      <c r="K123" s="430">
        <f t="shared" si="6"/>
      </c>
      <c r="L123" s="438"/>
      <c r="M123" s="438"/>
      <c r="N123" s="432"/>
      <c r="O123" s="432"/>
      <c r="P123" s="432"/>
      <c r="Q123" s="429">
        <v>6.12118444055944</v>
      </c>
      <c r="R123" s="435">
        <v>0.1284822351969094</v>
      </c>
      <c r="S123" s="434">
        <v>0.017527866089554527</v>
      </c>
      <c r="T123" s="435">
        <v>0.01801049526946796</v>
      </c>
      <c r="U123" s="434">
        <v>0.15312632922160782</v>
      </c>
      <c r="V123" s="436">
        <v>16771.42857142857</v>
      </c>
      <c r="W123" s="435">
        <v>0.035</v>
      </c>
      <c r="X123" s="436">
        <v>61.75</v>
      </c>
      <c r="Y123" s="437">
        <v>107.29130118359059</v>
      </c>
      <c r="Z123" s="436">
        <v>130535</v>
      </c>
      <c r="AA123" s="436">
        <v>2288</v>
      </c>
      <c r="AB123" s="436">
        <v>587</v>
      </c>
      <c r="AC123" s="436">
        <v>2351</v>
      </c>
      <c r="AD123" s="436">
        <v>360</v>
      </c>
      <c r="AE123" s="436">
        <v>23</v>
      </c>
      <c r="AF123" s="436">
        <v>7</v>
      </c>
      <c r="AG123" s="436">
        <v>103</v>
      </c>
    </row>
    <row r="124">
      <c r="A124" s="450" t="s">
        <v>990</v>
      </c>
      <c r="B124" s="461" t="s">
        <v>955</v>
      </c>
      <c r="C124" s="452" t="s">
        <v>954</v>
      </c>
      <c r="D124" s="428">
        <v>4</v>
      </c>
      <c r="E124" s="428">
        <v>13</v>
      </c>
      <c r="F124" s="428">
        <v>15</v>
      </c>
      <c r="G124" s="428">
        <v>33057.229999999996</v>
      </c>
      <c r="H124" s="429">
        <v>12721.259999999998</v>
      </c>
      <c r="I124" s="430">
        <f t="shared" si="0"/>
      </c>
      <c r="J124" s="430">
        <f t="shared" si="1"/>
      </c>
      <c r="K124" s="439">
        <f t="shared" si="6"/>
      </c>
      <c r="L124" s="454"/>
      <c r="M124" s="454"/>
      <c r="N124" s="441"/>
      <c r="O124" s="432"/>
      <c r="P124" s="432"/>
      <c r="Q124" s="429">
        <v>6.902474226804123</v>
      </c>
      <c r="R124" s="435">
        <v>0.14836858042615392</v>
      </c>
      <c r="S124" s="435">
        <v>0.014125636151818015</v>
      </c>
      <c r="T124" s="435">
        <v>0.01420228094916917</v>
      </c>
      <c r="U124" s="435">
        <v>0.18078791149487317</v>
      </c>
      <c r="V124" s="436">
        <v>19357.945425361155</v>
      </c>
      <c r="W124" s="435">
        <v>0.03115</v>
      </c>
      <c r="X124" s="436">
        <v>68.75</v>
      </c>
      <c r="Y124" s="437">
        <v>97.5018394751364</v>
      </c>
      <c r="Z124" s="436">
        <v>130472</v>
      </c>
      <c r="AA124" s="436">
        <v>1843</v>
      </c>
      <c r="AB124" s="436">
        <v>603</v>
      </c>
      <c r="AC124" s="436">
        <v>1853</v>
      </c>
      <c r="AD124" s="436">
        <v>335</v>
      </c>
      <c r="AE124" s="436">
        <v>18</v>
      </c>
      <c r="AF124" s="436">
        <v>5</v>
      </c>
      <c r="AG124" s="436">
        <v>132</v>
      </c>
    </row>
    <row r="125">
      <c r="A125" s="450" t="s">
        <v>990</v>
      </c>
      <c r="B125" s="462" t="s">
        <v>957</v>
      </c>
      <c r="C125" s="452" t="s">
        <v>956</v>
      </c>
      <c r="D125" s="428">
        <v>4</v>
      </c>
      <c r="E125" s="428">
        <v>13</v>
      </c>
      <c r="F125" s="428">
        <v>17</v>
      </c>
      <c r="G125" s="428">
        <v>38762.56000000001</v>
      </c>
      <c r="H125" s="429">
        <v>13194.740000000002</v>
      </c>
      <c r="I125" s="430">
        <f t="shared" si="0"/>
      </c>
      <c r="J125" s="430">
        <f t="shared" si="1"/>
      </c>
      <c r="K125" s="439">
        <f t="shared" si="6"/>
      </c>
      <c r="L125" s="440"/>
      <c r="M125" s="440"/>
      <c r="N125" s="441"/>
      <c r="O125" s="432"/>
      <c r="P125" s="432"/>
      <c r="Q125" s="429">
        <v>6.893803552769071</v>
      </c>
      <c r="R125" s="435">
        <v>0.1287732824703373</v>
      </c>
      <c r="S125" s="435">
        <v>0.016159126022609268</v>
      </c>
      <c r="T125" s="435">
        <v>0.016446174238266904</v>
      </c>
      <c r="U125" s="435">
        <v>0.14784394250513347</v>
      </c>
      <c r="V125" s="436">
        <v>15252.808988764045</v>
      </c>
      <c r="W125" s="435">
        <v>0.0356</v>
      </c>
      <c r="X125" s="436">
        <v>71</v>
      </c>
      <c r="Y125" s="437">
        <v>111.39784038430692</v>
      </c>
      <c r="Z125" s="436">
        <v>118447</v>
      </c>
      <c r="AA125" s="436">
        <v>1914</v>
      </c>
      <c r="AB125" s="436">
        <v>543</v>
      </c>
      <c r="AC125" s="436">
        <v>1948</v>
      </c>
      <c r="AD125" s="436">
        <v>288</v>
      </c>
      <c r="AE125" s="436">
        <v>37</v>
      </c>
      <c r="AF125" s="436">
        <v>3</v>
      </c>
      <c r="AG125" s="436">
        <v>112</v>
      </c>
    </row>
    <row r="126">
      <c r="A126" s="450" t="s">
        <v>990</v>
      </c>
      <c r="B126" s="455" t="s">
        <v>947</v>
      </c>
      <c r="C126" s="452" t="s">
        <v>958</v>
      </c>
      <c r="D126" s="428">
        <v>4</v>
      </c>
      <c r="E126" s="428">
        <v>7</v>
      </c>
      <c r="F126" s="428">
        <v>8</v>
      </c>
      <c r="G126" s="428">
        <v>19247.10000000001</v>
      </c>
      <c r="H126" s="429">
        <v>9516.18</v>
      </c>
      <c r="I126" s="430">
        <f t="shared" si="0"/>
      </c>
      <c r="J126" s="430">
        <f t="shared" si="1"/>
      </c>
      <c r="K126" s="439">
        <f t="shared" si="6"/>
      </c>
      <c r="L126" s="428" t="s">
        <v>940</v>
      </c>
      <c r="M126" s="431">
        <v>10</v>
      </c>
      <c r="N126" s="441"/>
      <c r="O126" s="432"/>
      <c r="P126" s="432"/>
      <c r="Q126" s="437">
        <v>5.694895272292039</v>
      </c>
      <c r="R126" s="435">
        <v>0.19365399486356497</v>
      </c>
      <c r="S126" s="435">
        <v>0.019606922851276035</v>
      </c>
      <c r="T126" s="435">
        <v>0.020451745379876797</v>
      </c>
      <c r="U126" s="435">
        <v>0.11244979919678715</v>
      </c>
      <c r="V126" s="436">
        <v>16504.161712247325</v>
      </c>
      <c r="W126" s="435">
        <v>0.021025</v>
      </c>
      <c r="X126" s="436">
        <v>73.25</v>
      </c>
      <c r="Y126" s="437">
        <v>111.65937224992665</v>
      </c>
      <c r="Z126" s="436">
        <v>85225</v>
      </c>
      <c r="AA126" s="436">
        <v>1671</v>
      </c>
      <c r="AB126" s="436">
        <v>347</v>
      </c>
      <c r="AC126" s="436">
        <v>1743</v>
      </c>
      <c r="AD126" s="436">
        <v>196</v>
      </c>
      <c r="AE126" s="436">
        <v>16</v>
      </c>
      <c r="AF126" s="436">
        <v>7</v>
      </c>
      <c r="AG126" s="456">
        <v>98</v>
      </c>
    </row>
    <row r="127">
      <c r="A127" s="443" t="s">
        <v>990</v>
      </c>
      <c r="B127" s="458" t="s">
        <v>950</v>
      </c>
      <c r="C127" s="444"/>
      <c r="D127" s="444">
        <f>SUM(D122:D126)</f>
      </c>
      <c r="E127" s="444">
        <f>SUM(E122:E126)</f>
      </c>
      <c r="F127" s="444">
        <f>SUM(F122:F126)</f>
      </c>
      <c r="G127" s="444">
        <f>SUM(G122:G126)</f>
      </c>
      <c r="H127" s="444">
        <f>SUM(H122:H126)</f>
      </c>
      <c r="I127" s="445">
        <f t="shared" si="0"/>
      </c>
      <c r="J127" s="445">
        <f t="shared" si="1"/>
      </c>
      <c r="K127" s="445">
        <f t="shared" si="6"/>
      </c>
      <c r="L127" s="444"/>
      <c r="M127" s="446">
        <f>SUM(M122:M126)</f>
      </c>
      <c r="N127" s="444"/>
      <c r="O127" s="444"/>
      <c r="P127" s="444"/>
      <c r="Q127" s="447">
        <f>AVERAGE(Q122:Q126)</f>
      </c>
      <c r="R127" s="448">
        <f>AVERAGE(R122:R126)</f>
      </c>
      <c r="S127" s="448">
        <f>AVERAGE(S122:S126)</f>
      </c>
      <c r="T127" s="448">
        <f>AVERAGE(T122:T126)</f>
      </c>
      <c r="U127" s="448">
        <f>AVERAGE(U122:U126)</f>
      </c>
      <c r="V127" s="449">
        <f>SUM(V122:V126)</f>
      </c>
      <c r="W127" s="448">
        <f>AVERAGE(W122:W126)</f>
      </c>
      <c r="X127" s="449"/>
      <c r="Y127" s="447">
        <f>AVERAGE(Y122:Y126)</f>
      </c>
      <c r="Z127" s="449">
        <f>SUM(Z122:Z126)</f>
      </c>
      <c r="AA127" s="449">
        <f>SUM(AA122:AA126)</f>
      </c>
      <c r="AB127" s="449">
        <f>SUM(AB122:AB126)</f>
      </c>
      <c r="AC127" s="449">
        <f>SUM(AC122:AC126)</f>
      </c>
      <c r="AD127" s="449">
        <f>SUM(AD122:AD126)</f>
      </c>
      <c r="AE127" s="449">
        <f>SUM(AE122:AE126)</f>
      </c>
      <c r="AF127" s="449">
        <f>SUM(AF122:AF126)</f>
      </c>
      <c r="AG127" s="449">
        <f>SUM(AG122:AG126)</f>
      </c>
    </row>
    <row r="128">
      <c r="A128" s="450" t="s">
        <v>991</v>
      </c>
      <c r="B128" s="459" t="s">
        <v>938</v>
      </c>
      <c r="C128" s="452" t="s">
        <v>939</v>
      </c>
      <c r="D128" s="428">
        <v>5</v>
      </c>
      <c r="E128" s="428">
        <v>12</v>
      </c>
      <c r="F128" s="428">
        <v>16</v>
      </c>
      <c r="G128" s="428">
        <v>33551.189999999995</v>
      </c>
      <c r="H128" s="429">
        <v>13798.14</v>
      </c>
      <c r="I128" s="430">
        <f t="shared" si="0"/>
      </c>
      <c r="J128" s="430">
        <f t="shared" si="1"/>
      </c>
      <c r="K128" s="430">
        <f t="shared" si="6"/>
      </c>
      <c r="L128" s="428" t="s">
        <v>992</v>
      </c>
      <c r="M128" s="431">
        <v>9</v>
      </c>
      <c r="N128" s="432"/>
      <c r="O128" s="432"/>
      <c r="P128" s="432"/>
      <c r="Q128" s="433">
        <v>5.144720357941834</v>
      </c>
      <c r="R128" s="434">
        <v>0.17232569470493908</v>
      </c>
      <c r="S128" s="435">
        <v>0.024297880050733828</v>
      </c>
      <c r="T128" s="435">
        <v>0.02557528537778583</v>
      </c>
      <c r="U128" s="435">
        <v>0.09316330145235566</v>
      </c>
      <c r="V128" s="436">
        <v>19021.310181531175</v>
      </c>
      <c r="W128" s="435">
        <v>0.02534</v>
      </c>
      <c r="X128" s="436">
        <v>43.2</v>
      </c>
      <c r="Y128" s="437">
        <v>125.0057981518391</v>
      </c>
      <c r="Z128" s="436">
        <v>110380</v>
      </c>
      <c r="AA128" s="436">
        <v>2682</v>
      </c>
      <c r="AB128" s="436">
        <v>482</v>
      </c>
      <c r="AC128" s="436">
        <v>2823</v>
      </c>
      <c r="AD128" s="436">
        <v>263</v>
      </c>
      <c r="AE128" s="436">
        <v>29</v>
      </c>
      <c r="AF128" s="436">
        <v>2</v>
      </c>
      <c r="AG128" s="436">
        <v>130</v>
      </c>
    </row>
    <row r="129">
      <c r="A129" s="450" t="s">
        <v>991</v>
      </c>
      <c r="B129" s="455" t="s">
        <v>943</v>
      </c>
      <c r="C129" s="452" t="s">
        <v>960</v>
      </c>
      <c r="D129" s="428">
        <v>4</v>
      </c>
      <c r="E129" s="428">
        <v>17</v>
      </c>
      <c r="F129" s="428">
        <v>19</v>
      </c>
      <c r="G129" s="428">
        <v>32967.24</v>
      </c>
      <c r="H129" s="429">
        <v>13535.12</v>
      </c>
      <c r="I129" s="430">
        <f t="shared" si="0"/>
      </c>
      <c r="J129" s="430">
        <f t="shared" si="1"/>
      </c>
      <c r="K129" s="430">
        <f t="shared" si="6"/>
      </c>
      <c r="L129" s="438" t="s">
        <v>993</v>
      </c>
      <c r="M129" s="438">
        <v>1</v>
      </c>
      <c r="N129" s="432"/>
      <c r="O129" s="432"/>
      <c r="P129" s="432"/>
      <c r="Q129" s="429">
        <v>6.51980732177264</v>
      </c>
      <c r="R129" s="435">
        <v>0.14694618178646107</v>
      </c>
      <c r="S129" s="434">
        <v>0.017423854566208128</v>
      </c>
      <c r="T129" s="435">
        <v>0.01780993226854222</v>
      </c>
      <c r="U129" s="434">
        <v>0.11969839773798303</v>
      </c>
      <c r="V129" s="436">
        <v>17508.196721311477</v>
      </c>
      <c r="W129" s="435">
        <v>0.0305</v>
      </c>
      <c r="X129" s="436">
        <v>56.25</v>
      </c>
      <c r="Y129" s="437">
        <v>113.60017457426541</v>
      </c>
      <c r="Z129" s="436">
        <v>119147</v>
      </c>
      <c r="AA129" s="436">
        <v>2076</v>
      </c>
      <c r="AB129" s="436">
        <v>534</v>
      </c>
      <c r="AC129" s="436">
        <v>2122</v>
      </c>
      <c r="AD129" s="436">
        <v>254</v>
      </c>
      <c r="AE129" s="436">
        <v>20</v>
      </c>
      <c r="AF129" s="436">
        <v>6</v>
      </c>
      <c r="AG129" s="436">
        <v>170</v>
      </c>
    </row>
    <row r="130">
      <c r="A130" s="450" t="s">
        <v>991</v>
      </c>
      <c r="B130" s="455" t="s">
        <v>947</v>
      </c>
      <c r="C130" s="452" t="s">
        <v>979</v>
      </c>
      <c r="D130" s="428">
        <v>4</v>
      </c>
      <c r="E130" s="428">
        <v>16</v>
      </c>
      <c r="F130" s="428">
        <v>17</v>
      </c>
      <c r="G130" s="428">
        <v>29347.440000000002</v>
      </c>
      <c r="H130" s="429">
        <v>11690.050000000001</v>
      </c>
      <c r="I130" s="430">
        <f t="shared" si="0"/>
      </c>
      <c r="J130" s="430">
        <f t="shared" si="1"/>
      </c>
      <c r="K130" s="439">
        <f t="shared" si="6"/>
      </c>
      <c r="L130" s="454"/>
      <c r="M130" s="454"/>
      <c r="N130" s="441"/>
      <c r="O130" s="432"/>
      <c r="P130" s="432"/>
      <c r="Q130" s="429">
        <v>6.405506849315069</v>
      </c>
      <c r="R130" s="435">
        <v>0.15431993165576333</v>
      </c>
      <c r="S130" s="435">
        <v>0.01626806200582976</v>
      </c>
      <c r="T130" s="435">
        <v>0.01698118253211271</v>
      </c>
      <c r="U130" s="435">
        <v>0.15643044619422572</v>
      </c>
      <c r="V130" s="436">
        <v>17312.072892938497</v>
      </c>
      <c r="W130" s="435">
        <v>0.032925</v>
      </c>
      <c r="X130" s="436">
        <v>62</v>
      </c>
      <c r="Y130" s="437">
        <v>104.20518260342477</v>
      </c>
      <c r="Z130" s="436">
        <v>112183</v>
      </c>
      <c r="AA130" s="436">
        <v>1825</v>
      </c>
      <c r="AB130" s="436">
        <v>570</v>
      </c>
      <c r="AC130" s="436">
        <v>1905</v>
      </c>
      <c r="AD130" s="436">
        <v>298</v>
      </c>
      <c r="AE130" s="436">
        <v>30</v>
      </c>
      <c r="AF130" s="436">
        <v>13</v>
      </c>
      <c r="AG130" s="436">
        <v>165</v>
      </c>
    </row>
    <row r="131">
      <c r="A131" s="450" t="s">
        <v>991</v>
      </c>
      <c r="B131" s="461" t="s">
        <v>955</v>
      </c>
      <c r="C131" s="452" t="s">
        <v>980</v>
      </c>
      <c r="D131" s="428">
        <v>4</v>
      </c>
      <c r="E131" s="428">
        <v>15</v>
      </c>
      <c r="F131" s="428">
        <v>16</v>
      </c>
      <c r="G131" s="428">
        <v>29399.389999999985</v>
      </c>
      <c r="H131" s="429">
        <v>12212.84</v>
      </c>
      <c r="I131" s="430">
        <f t="shared" si="0"/>
      </c>
      <c r="J131" s="430">
        <f t="shared" si="1"/>
      </c>
      <c r="K131" s="439">
        <f t="shared" si="6"/>
      </c>
      <c r="L131" s="440"/>
      <c r="M131" s="440"/>
      <c r="N131" s="441"/>
      <c r="O131" s="432"/>
      <c r="P131" s="432"/>
      <c r="Q131" s="429">
        <v>6.444770448548812</v>
      </c>
      <c r="R131" s="435">
        <v>0.16724124169020077</v>
      </c>
      <c r="S131" s="435">
        <v>0.01635030198446937</v>
      </c>
      <c r="T131" s="435">
        <v>0.016781708369283867</v>
      </c>
      <c r="U131" s="435">
        <v>0.12236503856041131</v>
      </c>
      <c r="V131" s="436">
        <v>19383.25991189427</v>
      </c>
      <c r="W131" s="435">
        <v>0.028375000000000004</v>
      </c>
      <c r="X131" s="436">
        <v>64.5</v>
      </c>
      <c r="Y131" s="437">
        <v>105.37394305435721</v>
      </c>
      <c r="Z131" s="436">
        <v>115900</v>
      </c>
      <c r="AA131" s="436">
        <v>1895</v>
      </c>
      <c r="AB131" s="436">
        <v>550</v>
      </c>
      <c r="AC131" s="436">
        <v>1945</v>
      </c>
      <c r="AD131" s="436">
        <v>238</v>
      </c>
      <c r="AE131" s="436">
        <v>30</v>
      </c>
      <c r="AF131" s="436">
        <v>5</v>
      </c>
      <c r="AG131" s="436">
        <v>160</v>
      </c>
    </row>
    <row r="132">
      <c r="A132" s="450" t="s">
        <v>991</v>
      </c>
      <c r="B132" s="462" t="s">
        <v>945</v>
      </c>
      <c r="C132" s="452" t="s">
        <v>963</v>
      </c>
      <c r="D132" s="428">
        <v>3</v>
      </c>
      <c r="E132" s="428">
        <v>11</v>
      </c>
      <c r="F132" s="428">
        <v>11</v>
      </c>
      <c r="G132" s="428">
        <v>19382.25</v>
      </c>
      <c r="H132" s="429">
        <v>6120.69</v>
      </c>
      <c r="I132" s="430">
        <f t="shared" si="0"/>
      </c>
      <c r="J132" s="430">
        <f t="shared" si="1"/>
      </c>
      <c r="K132" s="439">
        <f t="shared" si="6"/>
      </c>
      <c r="L132" s="428" t="s">
        <v>940</v>
      </c>
      <c r="M132" s="431">
        <v>10</v>
      </c>
      <c r="N132" s="441"/>
      <c r="O132" s="432"/>
      <c r="P132" s="432"/>
      <c r="Q132" s="437">
        <v>4.741045701006971</v>
      </c>
      <c r="R132" s="435">
        <v>0.17896083996225087</v>
      </c>
      <c r="S132" s="435">
        <v>0.018630492820549825</v>
      </c>
      <c r="T132" s="435">
        <v>0.019741684104192223</v>
      </c>
      <c r="U132" s="435">
        <v>0.1154970760233918</v>
      </c>
      <c r="V132" s="436">
        <v>12401.091405184174</v>
      </c>
      <c r="W132" s="435">
        <v>0.024433333333333335</v>
      </c>
      <c r="X132" s="436">
        <v>66.66666666666667</v>
      </c>
      <c r="Y132" s="437">
        <v>88.32801789450897</v>
      </c>
      <c r="Z132" s="436">
        <v>69295</v>
      </c>
      <c r="AA132" s="436">
        <v>1291</v>
      </c>
      <c r="AB132" s="436">
        <v>303</v>
      </c>
      <c r="AC132" s="436">
        <v>1368</v>
      </c>
      <c r="AD132" s="436">
        <v>158</v>
      </c>
      <c r="AE132" s="436">
        <v>22</v>
      </c>
      <c r="AF132" s="436">
        <v>3</v>
      </c>
      <c r="AG132" s="456">
        <v>92</v>
      </c>
    </row>
    <row r="133">
      <c r="A133" s="443" t="s">
        <v>991</v>
      </c>
      <c r="B133" s="458" t="s">
        <v>950</v>
      </c>
      <c r="C133" s="444"/>
      <c r="D133" s="444">
        <f>SUM(D128:D132)</f>
      </c>
      <c r="E133" s="444">
        <f>SUM(E128:E132)</f>
      </c>
      <c r="F133" s="444">
        <f>SUM(F128:F132)</f>
      </c>
      <c r="G133" s="444">
        <f>SUM(G128:G132)</f>
      </c>
      <c r="H133" s="444">
        <f>SUM(H128:H132)</f>
      </c>
      <c r="I133" s="445">
        <f t="shared" si="0"/>
      </c>
      <c r="J133" s="445">
        <f t="shared" si="1"/>
      </c>
      <c r="K133" s="445">
        <f t="shared" si="6"/>
      </c>
      <c r="L133" s="444"/>
      <c r="M133" s="446">
        <f>SUM(M128:M132)</f>
      </c>
      <c r="N133" s="444"/>
      <c r="O133" s="444"/>
      <c r="P133" s="444"/>
      <c r="Q133" s="447">
        <f>AVERAGE(Q128:Q132)</f>
      </c>
      <c r="R133" s="448">
        <f>AVERAGE(R128:R132)</f>
      </c>
      <c r="S133" s="448">
        <f>AVERAGE(S128:S132)</f>
      </c>
      <c r="T133" s="448">
        <f>AVERAGE(T128:T132)</f>
      </c>
      <c r="U133" s="448">
        <f>AVERAGE(U128:U132)</f>
      </c>
      <c r="V133" s="449">
        <f>SUM(V128:V132)</f>
      </c>
      <c r="W133" s="448">
        <f>AVERAGE(W128:W132)</f>
      </c>
      <c r="X133" s="449"/>
      <c r="Y133" s="447">
        <f>AVERAGE(Y128:Y132)</f>
      </c>
      <c r="Z133" s="449">
        <f>SUM(Z128:Z132)</f>
      </c>
      <c r="AA133" s="449">
        <f>SUM(AA128:AA132)</f>
      </c>
      <c r="AB133" s="449">
        <f>SUM(AB128:AB132)</f>
      </c>
      <c r="AC133" s="449">
        <f>SUM(AC128:AC132)</f>
      </c>
      <c r="AD133" s="449">
        <f>SUM(AD128:AD132)</f>
      </c>
      <c r="AE133" s="449">
        <f>SUM(AE128:AE132)</f>
      </c>
      <c r="AF133" s="449">
        <f>SUM(AF128:AF132)</f>
      </c>
      <c r="AG133" s="449">
        <f>SUM(AG128:AG132)</f>
      </c>
    </row>
    <row r="134">
      <c r="A134" s="450" t="s">
        <v>994</v>
      </c>
      <c r="B134" s="459" t="s">
        <v>938</v>
      </c>
      <c r="C134" s="452" t="s">
        <v>939</v>
      </c>
      <c r="D134" s="428">
        <v>5</v>
      </c>
      <c r="E134" s="428">
        <v>20</v>
      </c>
      <c r="F134" s="428">
        <v>25</v>
      </c>
      <c r="G134" s="428">
        <v>58082.680000000015</v>
      </c>
      <c r="H134" s="429">
        <v>15048.109999999999</v>
      </c>
      <c r="I134" s="430">
        <f t="shared" si="0"/>
      </c>
      <c r="J134" s="430">
        <f t="shared" si="1"/>
      </c>
      <c r="K134" s="430">
        <f t="shared" si="6"/>
      </c>
      <c r="L134" s="428" t="s">
        <v>949</v>
      </c>
      <c r="M134" s="431">
        <v>10</v>
      </c>
      <c r="N134" s="432"/>
      <c r="O134" s="432"/>
      <c r="P134" s="432"/>
      <c r="Q134" s="433">
        <v>4.579461351186853</v>
      </c>
      <c r="R134" s="434">
        <v>0.1651183777102009</v>
      </c>
      <c r="S134" s="435">
        <v>0.023416566900404764</v>
      </c>
      <c r="T134" s="435">
        <v>0.02416481386465994</v>
      </c>
      <c r="U134" s="435">
        <v>0.09849601887348865</v>
      </c>
      <c r="V134" s="436">
        <v>23170.731707317074</v>
      </c>
      <c r="W134" s="435">
        <v>0.03034</v>
      </c>
      <c r="X134" s="436">
        <v>47</v>
      </c>
      <c r="Y134" s="437">
        <v>107.23526309788495</v>
      </c>
      <c r="Z134" s="436">
        <v>140328</v>
      </c>
      <c r="AA134" s="436">
        <v>3286</v>
      </c>
      <c r="AB134" s="436">
        <v>703</v>
      </c>
      <c r="AC134" s="436">
        <v>3391</v>
      </c>
      <c r="AD134" s="436">
        <v>334</v>
      </c>
      <c r="AE134" s="436">
        <v>42</v>
      </c>
      <c r="AF134" s="436">
        <v>11</v>
      </c>
      <c r="AG134" s="436">
        <v>139</v>
      </c>
    </row>
    <row r="135">
      <c r="A135" s="450" t="s">
        <v>994</v>
      </c>
      <c r="B135" s="455" t="s">
        <v>947</v>
      </c>
      <c r="C135" s="452" t="s">
        <v>960</v>
      </c>
      <c r="D135" s="428">
        <v>4</v>
      </c>
      <c r="E135" s="428">
        <v>9</v>
      </c>
      <c r="F135" s="428">
        <v>13</v>
      </c>
      <c r="G135" s="428">
        <v>27233.090000000004</v>
      </c>
      <c r="H135" s="429">
        <v>13031.749999999998</v>
      </c>
      <c r="I135" s="430">
        <f t="shared" si="0"/>
      </c>
      <c r="J135" s="430">
        <f t="shared" si="1"/>
      </c>
      <c r="K135" s="430">
        <f t="shared" si="6"/>
      </c>
      <c r="L135" s="438"/>
      <c r="M135" s="438"/>
      <c r="N135" s="432"/>
      <c r="O135" s="432"/>
      <c r="P135" s="432"/>
      <c r="Q135" s="429">
        <v>8.109365276913502</v>
      </c>
      <c r="R135" s="435">
        <v>0.16358850381615772</v>
      </c>
      <c r="S135" s="434">
        <v>0.014553654715221112</v>
      </c>
      <c r="T135" s="435">
        <v>0.015033644572039232</v>
      </c>
      <c r="U135" s="434">
        <v>0.12409638554216867</v>
      </c>
      <c r="V135" s="436">
        <v>18063.27900287632</v>
      </c>
      <c r="W135" s="435">
        <v>0.026075</v>
      </c>
      <c r="X135" s="436">
        <v>58</v>
      </c>
      <c r="Y135" s="437">
        <v>118.02090219980256</v>
      </c>
      <c r="Z135" s="436">
        <v>110419</v>
      </c>
      <c r="AA135" s="436">
        <v>1607</v>
      </c>
      <c r="AB135" s="436">
        <v>471</v>
      </c>
      <c r="AC135" s="436">
        <v>1660</v>
      </c>
      <c r="AD135" s="436">
        <v>206</v>
      </c>
      <c r="AE135" s="436">
        <v>13</v>
      </c>
      <c r="AF135" s="436">
        <v>5</v>
      </c>
      <c r="AG135" s="436">
        <v>121</v>
      </c>
    </row>
    <row r="136">
      <c r="A136" s="450" t="s">
        <v>994</v>
      </c>
      <c r="B136" s="461" t="s">
        <v>955</v>
      </c>
      <c r="C136" s="452" t="s">
        <v>979</v>
      </c>
      <c r="D136" s="428">
        <v>4</v>
      </c>
      <c r="E136" s="428">
        <v>17</v>
      </c>
      <c r="F136" s="428">
        <v>19</v>
      </c>
      <c r="G136" s="428">
        <v>35950.509999999995</v>
      </c>
      <c r="H136" s="429">
        <v>13195.470000000001</v>
      </c>
      <c r="I136" s="430">
        <f t="shared" si="0"/>
      </c>
      <c r="J136" s="430">
        <f t="shared" si="1"/>
      </c>
      <c r="K136" s="439">
        <f t="shared" si="6"/>
      </c>
      <c r="L136" s="454"/>
      <c r="M136" s="454"/>
      <c r="N136" s="441"/>
      <c r="O136" s="432"/>
      <c r="P136" s="432"/>
      <c r="Q136" s="429">
        <v>6.959636075949367</v>
      </c>
      <c r="R136" s="435">
        <v>0.1483395244482079</v>
      </c>
      <c r="S136" s="435">
        <v>0.01640635140397179</v>
      </c>
      <c r="T136" s="435">
        <v>0.017176480768398738</v>
      </c>
      <c r="U136" s="435">
        <v>0.14256926952141058</v>
      </c>
      <c r="V136" s="436">
        <v>17142.857142857145</v>
      </c>
      <c r="W136" s="435">
        <v>0.032025</v>
      </c>
      <c r="X136" s="436">
        <v>62.75</v>
      </c>
      <c r="Y136" s="437">
        <v>114.18223510578464</v>
      </c>
      <c r="Z136" s="436">
        <v>115565</v>
      </c>
      <c r="AA136" s="436">
        <v>1896</v>
      </c>
      <c r="AB136" s="436">
        <v>549</v>
      </c>
      <c r="AC136" s="436">
        <v>1985</v>
      </c>
      <c r="AD136" s="436">
        <v>283</v>
      </c>
      <c r="AE136" s="436">
        <v>23</v>
      </c>
      <c r="AF136" s="436">
        <v>2</v>
      </c>
      <c r="AG136" s="436">
        <v>104</v>
      </c>
    </row>
    <row r="137">
      <c r="A137" s="450" t="s">
        <v>994</v>
      </c>
      <c r="B137" s="463" t="s">
        <v>943</v>
      </c>
      <c r="C137" s="452" t="s">
        <v>980</v>
      </c>
      <c r="D137" s="428">
        <v>4</v>
      </c>
      <c r="E137" s="428">
        <v>17</v>
      </c>
      <c r="F137" s="428">
        <v>21</v>
      </c>
      <c r="G137" s="428">
        <v>44568.68000000001</v>
      </c>
      <c r="H137" s="429">
        <v>13000.43</v>
      </c>
      <c r="I137" s="430">
        <f t="shared" si="0"/>
      </c>
      <c r="J137" s="430">
        <f t="shared" si="1"/>
      </c>
      <c r="K137" s="439">
        <f t="shared" si="6"/>
      </c>
      <c r="L137" s="440"/>
      <c r="M137" s="440"/>
      <c r="N137" s="441"/>
      <c r="O137" s="432"/>
      <c r="P137" s="432"/>
      <c r="Q137" s="429">
        <v>7.6428159905937685</v>
      </c>
      <c r="R137" s="435">
        <v>0.13502426767680475</v>
      </c>
      <c r="S137" s="435">
        <v>0.014933497212589438</v>
      </c>
      <c r="T137" s="435">
        <v>0.015302225538826215</v>
      </c>
      <c r="U137" s="435">
        <v>0.16580608146873207</v>
      </c>
      <c r="V137" s="436">
        <v>15379.939209726444</v>
      </c>
      <c r="W137" s="435">
        <v>0.0329</v>
      </c>
      <c r="X137" s="436">
        <v>65.25</v>
      </c>
      <c r="Y137" s="437">
        <v>114.13397129186603</v>
      </c>
      <c r="Z137" s="436">
        <v>113905</v>
      </c>
      <c r="AA137" s="436">
        <v>1701</v>
      </c>
      <c r="AB137" s="436">
        <v>506</v>
      </c>
      <c r="AC137" s="436">
        <v>1743</v>
      </c>
      <c r="AD137" s="436">
        <v>289</v>
      </c>
      <c r="AE137" s="436">
        <v>19</v>
      </c>
      <c r="AF137" s="436">
        <v>9</v>
      </c>
      <c r="AG137" s="436">
        <v>153</v>
      </c>
    </row>
    <row r="138">
      <c r="A138" s="450" t="s">
        <v>994</v>
      </c>
      <c r="B138" s="462" t="s">
        <v>945</v>
      </c>
      <c r="C138" s="452" t="s">
        <v>963</v>
      </c>
      <c r="D138" s="428">
        <v>3</v>
      </c>
      <c r="E138" s="428">
        <v>5</v>
      </c>
      <c r="F138" s="428">
        <v>7</v>
      </c>
      <c r="G138" s="428">
        <v>11164.73999999999</v>
      </c>
      <c r="H138" s="429">
        <v>7218.63</v>
      </c>
      <c r="I138" s="430">
        <f t="shared" si="0"/>
      </c>
      <c r="J138" s="430">
        <f t="shared" si="1"/>
      </c>
      <c r="K138" s="439">
        <f t="shared" si="6"/>
      </c>
      <c r="L138" s="428" t="s">
        <v>968</v>
      </c>
      <c r="M138" s="431">
        <v>10</v>
      </c>
      <c r="N138" s="441"/>
      <c r="O138" s="432"/>
      <c r="P138" s="432"/>
      <c r="Q138" s="437">
        <v>5.065529824561404</v>
      </c>
      <c r="R138" s="435">
        <v>0.15713640350908623</v>
      </c>
      <c r="S138" s="435">
        <v>0.018453290513066226</v>
      </c>
      <c r="T138" s="435">
        <v>0.019709409235710032</v>
      </c>
      <c r="U138" s="435">
        <v>0.1038107752956636</v>
      </c>
      <c r="V138" s="436">
        <v>12134.387351778656</v>
      </c>
      <c r="W138" s="435">
        <v>0.0253</v>
      </c>
      <c r="X138" s="436">
        <v>68</v>
      </c>
      <c r="Y138" s="437">
        <v>93.47569345523296</v>
      </c>
      <c r="Z138" s="436">
        <v>77222</v>
      </c>
      <c r="AA138" s="436">
        <v>1425</v>
      </c>
      <c r="AB138" s="436">
        <v>307</v>
      </c>
      <c r="AC138" s="436">
        <v>1522</v>
      </c>
      <c r="AD138" s="436">
        <v>158</v>
      </c>
      <c r="AE138" s="436">
        <v>17</v>
      </c>
      <c r="AF138" s="436">
        <v>5</v>
      </c>
      <c r="AG138" s="456">
        <v>102</v>
      </c>
    </row>
    <row r="139">
      <c r="A139" s="443" t="s">
        <v>994</v>
      </c>
      <c r="B139" s="458" t="s">
        <v>950</v>
      </c>
      <c r="C139" s="444"/>
      <c r="D139" s="444">
        <f>SUM(D134:D138)</f>
      </c>
      <c r="E139" s="444">
        <f>SUM(E134:E138)</f>
      </c>
      <c r="F139" s="444">
        <f>SUM(F134:F138)</f>
      </c>
      <c r="G139" s="444">
        <f>SUM(G134:G138)</f>
      </c>
      <c r="H139" s="444">
        <f>SUM(H134:H138)</f>
      </c>
      <c r="I139" s="445">
        <f t="shared" si="0"/>
      </c>
      <c r="J139" s="445">
        <f t="shared" si="1"/>
      </c>
      <c r="K139" s="445">
        <f t="shared" si="6"/>
      </c>
      <c r="L139" s="444"/>
      <c r="M139" s="446">
        <f>SUM(M134:M138)</f>
      </c>
      <c r="N139" s="444"/>
      <c r="O139" s="444"/>
      <c r="P139" s="444"/>
      <c r="Q139" s="447">
        <f>AVERAGE(Q134:Q138)</f>
      </c>
      <c r="R139" s="448">
        <f>AVERAGE(R134:R138)</f>
      </c>
      <c r="S139" s="448">
        <f>AVERAGE(S134:S138)</f>
      </c>
      <c r="T139" s="448">
        <f>AVERAGE(T134:T138)</f>
      </c>
      <c r="U139" s="448">
        <f>AVERAGE(U134:U138)</f>
      </c>
      <c r="V139" s="449">
        <f>SUM(V134:V138)</f>
      </c>
      <c r="W139" s="448">
        <f>AVERAGE(W134:W138)</f>
      </c>
      <c r="X139" s="449"/>
      <c r="Y139" s="447">
        <f>AVERAGE(Y134:Y138)</f>
      </c>
      <c r="Z139" s="449">
        <f>SUM(Z134:Z138)</f>
      </c>
      <c r="AA139" s="449">
        <f>SUM(AA134:AA138)</f>
      </c>
      <c r="AB139" s="449">
        <f>SUM(AB134:AB138)</f>
      </c>
      <c r="AC139" s="449">
        <f>SUM(AC134:AC138)</f>
      </c>
      <c r="AD139" s="449">
        <f>SUM(AD134:AD138)</f>
      </c>
      <c r="AE139" s="449">
        <f>SUM(AE134:AE138)</f>
      </c>
      <c r="AF139" s="449">
        <f>SUM(AF134:AF138)</f>
      </c>
      <c r="AG139" s="449">
        <f>SUM(AG134:AG138)</f>
      </c>
    </row>
    <row r="140">
      <c r="A140" s="450" t="s">
        <v>995</v>
      </c>
      <c r="B140" s="455" t="s">
        <v>947</v>
      </c>
      <c r="C140" s="452" t="s">
        <v>939</v>
      </c>
      <c r="D140" s="428">
        <v>5</v>
      </c>
      <c r="E140" s="428">
        <v>17</v>
      </c>
      <c r="F140" s="428">
        <v>21</v>
      </c>
      <c r="G140" s="428">
        <v>48368.229999999996</v>
      </c>
      <c r="H140" s="429">
        <v>14956.279999999999</v>
      </c>
      <c r="I140" s="430">
        <f t="shared" si="0"/>
      </c>
      <c r="J140" s="430">
        <f t="shared" si="1"/>
      </c>
      <c r="K140" s="430">
        <f t="shared" si="6"/>
      </c>
      <c r="L140" s="428" t="s">
        <v>949</v>
      </c>
      <c r="M140" s="431">
        <v>10</v>
      </c>
      <c r="N140" s="432"/>
      <c r="O140" s="432"/>
      <c r="P140" s="432"/>
      <c r="Q140" s="433">
        <v>4.209479313256403</v>
      </c>
      <c r="R140" s="434">
        <v>0.16708604823914405</v>
      </c>
      <c r="S140" s="435">
        <v>0.026095834067806568</v>
      </c>
      <c r="T140" s="435">
        <v>0.02717550972442564</v>
      </c>
      <c r="U140" s="435">
        <v>0.07324324324324324</v>
      </c>
      <c r="V140" s="436">
        <v>22749.09963985594</v>
      </c>
      <c r="W140" s="435">
        <v>0.03332</v>
      </c>
      <c r="X140" s="436">
        <v>41.8</v>
      </c>
      <c r="Y140" s="437">
        <v>109.84987367060343</v>
      </c>
      <c r="Z140" s="436">
        <v>136152</v>
      </c>
      <c r="AA140" s="436">
        <v>3553</v>
      </c>
      <c r="AB140" s="436">
        <v>758</v>
      </c>
      <c r="AC140" s="436">
        <v>3700</v>
      </c>
      <c r="AD140" s="436">
        <v>271</v>
      </c>
      <c r="AE140" s="436">
        <v>39</v>
      </c>
      <c r="AF140" s="436">
        <v>3</v>
      </c>
      <c r="AG140" s="436">
        <v>191</v>
      </c>
    </row>
    <row r="141">
      <c r="A141" s="450" t="s">
        <v>995</v>
      </c>
      <c r="B141" s="459" t="s">
        <v>938</v>
      </c>
      <c r="C141" s="452" t="s">
        <v>960</v>
      </c>
      <c r="D141" s="428">
        <v>4</v>
      </c>
      <c r="E141" s="428">
        <v>8</v>
      </c>
      <c r="F141" s="428">
        <v>9</v>
      </c>
      <c r="G141" s="428">
        <v>19862.949999999997</v>
      </c>
      <c r="H141" s="429">
        <v>11262.54</v>
      </c>
      <c r="I141" s="430">
        <f t="shared" si="0"/>
      </c>
      <c r="J141" s="430">
        <f t="shared" si="1"/>
      </c>
      <c r="K141" s="430">
        <f t="shared" si="6"/>
      </c>
      <c r="L141" s="438"/>
      <c r="M141" s="438"/>
      <c r="N141" s="432"/>
      <c r="O141" s="432"/>
      <c r="P141" s="432"/>
      <c r="Q141" s="429">
        <v>6.582431326709527</v>
      </c>
      <c r="R141" s="435">
        <v>0.21505554130541063</v>
      </c>
      <c r="S141" s="434">
        <v>0.01987939908677921</v>
      </c>
      <c r="T141" s="435">
        <v>0.02054165843683556</v>
      </c>
      <c r="U141" s="434">
        <v>0.10237556561085973</v>
      </c>
      <c r="V141" s="436">
        <v>18509.615384615387</v>
      </c>
      <c r="W141" s="435">
        <v>0.0208</v>
      </c>
      <c r="X141" s="436">
        <v>49.5</v>
      </c>
      <c r="Y141" s="437">
        <v>130.85477930497623</v>
      </c>
      <c r="Z141" s="436">
        <v>86069</v>
      </c>
      <c r="AA141" s="436">
        <v>1711</v>
      </c>
      <c r="AB141" s="436">
        <v>385</v>
      </c>
      <c r="AC141" s="436">
        <v>1768</v>
      </c>
      <c r="AD141" s="436">
        <v>181</v>
      </c>
      <c r="AE141" s="436">
        <v>15</v>
      </c>
      <c r="AF141" s="436">
        <v>1</v>
      </c>
      <c r="AG141" s="436">
        <v>95</v>
      </c>
    </row>
    <row r="142">
      <c r="A142" s="450" t="s">
        <v>995</v>
      </c>
      <c r="B142" s="463" t="s">
        <v>943</v>
      </c>
      <c r="C142" s="452" t="s">
        <v>979</v>
      </c>
      <c r="D142" s="428">
        <v>4</v>
      </c>
      <c r="E142" s="428">
        <v>7</v>
      </c>
      <c r="F142" s="428">
        <v>9</v>
      </c>
      <c r="G142" s="428">
        <v>15834.660000000003</v>
      </c>
      <c r="H142" s="429">
        <v>7928.389999999999</v>
      </c>
      <c r="I142" s="430">
        <f t="shared" si="0"/>
      </c>
      <c r="J142" s="430">
        <f t="shared" si="1"/>
      </c>
      <c r="K142" s="439">
        <f t="shared" si="6"/>
      </c>
      <c r="L142" s="454"/>
      <c r="M142" s="454"/>
      <c r="N142" s="441"/>
      <c r="O142" s="432"/>
      <c r="P142" s="432"/>
      <c r="Q142" s="429">
        <v>6.378431214802895</v>
      </c>
      <c r="R142" s="435">
        <v>0.26232402806686184</v>
      </c>
      <c r="S142" s="435">
        <v>0.017146719638029023</v>
      </c>
      <c r="T142" s="435">
        <v>0.01758814765767257</v>
      </c>
      <c r="U142" s="435">
        <v>0.14745098039215687</v>
      </c>
      <c r="V142" s="436">
        <v>19016.39344262295</v>
      </c>
      <c r="W142" s="435">
        <v>0.01525</v>
      </c>
      <c r="X142" s="436">
        <v>42.25</v>
      </c>
      <c r="Y142" s="437">
        <v>109.36917177067814</v>
      </c>
      <c r="Z142" s="436">
        <v>72492</v>
      </c>
      <c r="AA142" s="436">
        <v>1243</v>
      </c>
      <c r="AB142" s="436">
        <v>290</v>
      </c>
      <c r="AC142" s="436">
        <v>1275</v>
      </c>
      <c r="AD142" s="436">
        <v>188</v>
      </c>
      <c r="AE142" s="436">
        <v>16</v>
      </c>
      <c r="AF142" s="436">
        <v>1</v>
      </c>
      <c r="AG142" s="436">
        <v>67</v>
      </c>
    </row>
    <row r="143">
      <c r="A143" s="450" t="s">
        <v>995</v>
      </c>
      <c r="B143" s="461" t="s">
        <v>957</v>
      </c>
      <c r="C143" s="452" t="s">
        <v>980</v>
      </c>
      <c r="D143" s="428">
        <v>4</v>
      </c>
      <c r="E143" s="428">
        <v>16</v>
      </c>
      <c r="F143" s="428">
        <v>19</v>
      </c>
      <c r="G143" s="428">
        <v>34534.850000000006</v>
      </c>
      <c r="H143" s="429">
        <v>10660.85</v>
      </c>
      <c r="I143" s="430">
        <f t="shared" si="0"/>
      </c>
      <c r="J143" s="430">
        <f t="shared" si="1"/>
      </c>
      <c r="K143" s="439">
        <f t="shared" si="6"/>
      </c>
      <c r="L143" s="440"/>
      <c r="M143" s="440"/>
      <c r="N143" s="441"/>
      <c r="O143" s="432"/>
      <c r="P143" s="432"/>
      <c r="Q143" s="429">
        <v>4.981705607476636</v>
      </c>
      <c r="R143" s="435">
        <v>0.24452233486140332</v>
      </c>
      <c r="S143" s="435">
        <v>0.02297147886945974</v>
      </c>
      <c r="T143" s="435">
        <v>0.02429180218765766</v>
      </c>
      <c r="U143" s="435">
        <v>0.09898365002209457</v>
      </c>
      <c r="V143" s="436">
        <v>22779.45619335347</v>
      </c>
      <c r="W143" s="435">
        <v>0.016550000000000002</v>
      </c>
      <c r="X143" s="436">
        <v>44.75</v>
      </c>
      <c r="Y143" s="437">
        <v>114.43714509601864</v>
      </c>
      <c r="Z143" s="436">
        <v>93159</v>
      </c>
      <c r="AA143" s="436">
        <v>2140</v>
      </c>
      <c r="AB143" s="436">
        <v>377</v>
      </c>
      <c r="AC143" s="436">
        <v>2263</v>
      </c>
      <c r="AD143" s="436">
        <v>224</v>
      </c>
      <c r="AE143" s="436">
        <v>28</v>
      </c>
      <c r="AF143" s="436">
        <v>12</v>
      </c>
      <c r="AG143" s="436">
        <v>88</v>
      </c>
    </row>
    <row r="144">
      <c r="A144" s="450" t="s">
        <v>995</v>
      </c>
      <c r="B144" s="461" t="s">
        <v>955</v>
      </c>
      <c r="C144" s="452" t="s">
        <v>963</v>
      </c>
      <c r="D144" s="428">
        <v>3</v>
      </c>
      <c r="E144" s="428">
        <v>7</v>
      </c>
      <c r="F144" s="428">
        <v>8</v>
      </c>
      <c r="G144" s="428">
        <v>15770.839999999997</v>
      </c>
      <c r="H144" s="429">
        <v>5766.660000000001</v>
      </c>
      <c r="I144" s="430">
        <f t="shared" si="0"/>
      </c>
      <c r="J144" s="430">
        <f t="shared" si="1"/>
      </c>
      <c r="K144" s="439">
        <f t="shared" si="6"/>
      </c>
      <c r="L144" s="428" t="s">
        <v>968</v>
      </c>
      <c r="M144" s="431">
        <v>10</v>
      </c>
      <c r="N144" s="441"/>
      <c r="O144" s="432"/>
      <c r="P144" s="432"/>
      <c r="Q144" s="437">
        <v>3.1357585644371944</v>
      </c>
      <c r="R144" s="435">
        <v>0.13748971244345712</v>
      </c>
      <c r="S144" s="435">
        <v>0.028520471464019852</v>
      </c>
      <c r="T144" s="435">
        <v>0.03042803970223325</v>
      </c>
      <c r="U144" s="435">
        <v>0.09582059123343527</v>
      </c>
      <c r="V144" s="436">
        <v>8865.336658354116</v>
      </c>
      <c r="W144" s="435">
        <v>0.02673333333333333</v>
      </c>
      <c r="X144" s="436">
        <v>46</v>
      </c>
      <c r="Y144" s="437">
        <v>89.43331265508687</v>
      </c>
      <c r="Z144" s="436">
        <v>64480</v>
      </c>
      <c r="AA144" s="436">
        <v>1839</v>
      </c>
      <c r="AB144" s="436">
        <v>237</v>
      </c>
      <c r="AC144" s="436">
        <v>1962</v>
      </c>
      <c r="AD144" s="436">
        <v>188</v>
      </c>
      <c r="AE144" s="436">
        <v>11</v>
      </c>
      <c r="AF144" s="436">
        <v>8</v>
      </c>
      <c r="AG144" s="456">
        <v>70</v>
      </c>
    </row>
    <row r="145">
      <c r="A145" s="443" t="s">
        <v>995</v>
      </c>
      <c r="B145" s="458" t="s">
        <v>950</v>
      </c>
      <c r="C145" s="444"/>
      <c r="D145" s="444">
        <f>SUM(D140:D144)</f>
      </c>
      <c r="E145" s="444">
        <f>SUM(E140:E144)</f>
      </c>
      <c r="F145" s="444">
        <f>SUM(F140:F144)</f>
      </c>
      <c r="G145" s="444">
        <f>SUM(G140:G144)</f>
      </c>
      <c r="H145" s="444">
        <f>SUM(H140:H144)</f>
      </c>
      <c r="I145" s="445">
        <f t="shared" si="0"/>
      </c>
      <c r="J145" s="445">
        <f t="shared" si="1"/>
      </c>
      <c r="K145" s="445">
        <f t="shared" si="6"/>
      </c>
      <c r="L145" s="444"/>
      <c r="M145" s="446">
        <f>SUM(M140:M144)</f>
      </c>
      <c r="N145" s="444"/>
      <c r="O145" s="444"/>
      <c r="P145" s="444"/>
      <c r="Q145" s="447">
        <f>AVERAGE(Q140:Q144)</f>
      </c>
      <c r="R145" s="448">
        <f>AVERAGE(R140:R144)</f>
      </c>
      <c r="S145" s="448">
        <f>AVERAGE(S140:S144)</f>
      </c>
      <c r="T145" s="448">
        <f>AVERAGE(T140:T144)</f>
      </c>
      <c r="U145" s="448">
        <f>AVERAGE(U140:U144)</f>
      </c>
      <c r="V145" s="449">
        <f>SUM(V140:V144)</f>
      </c>
      <c r="W145" s="448">
        <f>AVERAGE(W140:W144)</f>
      </c>
      <c r="X145" s="449"/>
      <c r="Y145" s="447">
        <f>AVERAGE(Y140:Y144)</f>
      </c>
      <c r="Z145" s="449">
        <f>SUM(Z140:Z144)</f>
      </c>
      <c r="AA145" s="449">
        <f>SUM(AA140:AA144)</f>
      </c>
      <c r="AB145" s="449">
        <f>SUM(AB140:AB144)</f>
      </c>
      <c r="AC145" s="449">
        <f>SUM(AC140:AC144)</f>
      </c>
      <c r="AD145" s="449">
        <f>SUM(AD140:AD144)</f>
      </c>
      <c r="AE145" s="449">
        <f>SUM(AE140:AE144)</f>
      </c>
      <c r="AF145" s="449">
        <f>SUM(AF140:AF144)</f>
      </c>
      <c r="AG145" s="449">
        <f>SUM(AG140:AG144)</f>
      </c>
    </row>
    <row r="146">
      <c r="A146" s="450" t="s">
        <v>996</v>
      </c>
      <c r="B146" s="455" t="s">
        <v>947</v>
      </c>
      <c r="C146" s="452" t="s">
        <v>952</v>
      </c>
      <c r="D146" s="428">
        <v>4</v>
      </c>
      <c r="E146" s="428">
        <v>12</v>
      </c>
      <c r="F146" s="428">
        <v>16</v>
      </c>
      <c r="G146" s="428">
        <v>35917.240000000005</v>
      </c>
      <c r="H146" s="429">
        <v>11387.05</v>
      </c>
      <c r="I146" s="430">
        <f t="shared" si="0"/>
      </c>
      <c r="J146" s="430">
        <f t="shared" si="1"/>
      </c>
      <c r="K146" s="430">
        <f t="shared" si="6"/>
      </c>
      <c r="L146" s="428" t="s">
        <v>949</v>
      </c>
      <c r="M146" s="431">
        <v>10</v>
      </c>
      <c r="N146" s="432"/>
      <c r="O146" s="432"/>
      <c r="P146" s="432"/>
      <c r="Q146" s="433">
        <v>4.228388414407723</v>
      </c>
      <c r="R146" s="434">
        <v>0.18982968626571073</v>
      </c>
      <c r="S146" s="435">
        <v>0.026181471723427215</v>
      </c>
      <c r="T146" s="435">
        <v>0.027620334632846907</v>
      </c>
      <c r="U146" s="435">
        <v>0.0781414994720169</v>
      </c>
      <c r="V146" s="436">
        <v>19525.69169960474</v>
      </c>
      <c r="W146" s="435">
        <v>0.025300000000000003</v>
      </c>
      <c r="X146" s="436">
        <v>38</v>
      </c>
      <c r="Y146" s="437">
        <v>110.70543170748306</v>
      </c>
      <c r="Z146" s="436">
        <v>102859</v>
      </c>
      <c r="AA146" s="436">
        <v>2693</v>
      </c>
      <c r="AB146" s="436">
        <v>494</v>
      </c>
      <c r="AC146" s="436">
        <v>2841</v>
      </c>
      <c r="AD146" s="436">
        <v>222</v>
      </c>
      <c r="AE146" s="436">
        <v>18</v>
      </c>
      <c r="AF146" s="436">
        <v>5</v>
      </c>
      <c r="AG146" s="436">
        <v>123</v>
      </c>
    </row>
    <row r="147">
      <c r="A147" s="450" t="s">
        <v>996</v>
      </c>
      <c r="B147" s="459" t="s">
        <v>938</v>
      </c>
      <c r="C147" s="452" t="s">
        <v>997</v>
      </c>
      <c r="D147" s="428">
        <v>5</v>
      </c>
      <c r="E147" s="428">
        <v>13</v>
      </c>
      <c r="F147" s="428">
        <v>17</v>
      </c>
      <c r="G147" s="428">
        <v>37184.020000000004</v>
      </c>
      <c r="H147" s="429">
        <v>12987.81</v>
      </c>
      <c r="I147" s="430">
        <f t="shared" si="0"/>
      </c>
      <c r="J147" s="430">
        <f t="shared" si="1"/>
      </c>
      <c r="K147" s="430">
        <f t="shared" si="6"/>
      </c>
      <c r="L147" s="438"/>
      <c r="M147" s="438"/>
      <c r="N147" s="432"/>
      <c r="O147" s="432"/>
      <c r="P147" s="432"/>
      <c r="Q147" s="429">
        <v>6.556188793538617</v>
      </c>
      <c r="R147" s="435">
        <v>0.22437042169604865</v>
      </c>
      <c r="S147" s="434">
        <v>0.019314580997416272</v>
      </c>
      <c r="T147" s="435">
        <v>0.019743577243699118</v>
      </c>
      <c r="U147" s="434">
        <v>0.13580246913580246</v>
      </c>
      <c r="V147" s="436">
        <v>23012.55230125523</v>
      </c>
      <c r="W147" s="435">
        <v>0.01912</v>
      </c>
      <c r="X147" s="436">
        <v>42.2</v>
      </c>
      <c r="Y147" s="437">
        <v>126.63003948715448</v>
      </c>
      <c r="Z147" s="436">
        <v>102565</v>
      </c>
      <c r="AA147" s="436">
        <v>1981</v>
      </c>
      <c r="AB147" s="436">
        <v>440</v>
      </c>
      <c r="AC147" s="436">
        <v>2025</v>
      </c>
      <c r="AD147" s="436">
        <v>275</v>
      </c>
      <c r="AE147" s="436">
        <v>18</v>
      </c>
      <c r="AF147" s="436">
        <v>9</v>
      </c>
      <c r="AG147" s="436">
        <v>89</v>
      </c>
    </row>
    <row r="148">
      <c r="A148" s="450" t="s">
        <v>996</v>
      </c>
      <c r="B148" s="463" t="s">
        <v>943</v>
      </c>
      <c r="C148" s="452" t="s">
        <v>979</v>
      </c>
      <c r="D148" s="428">
        <v>4</v>
      </c>
      <c r="E148" s="428">
        <v>15</v>
      </c>
      <c r="F148" s="428">
        <v>17</v>
      </c>
      <c r="G148" s="428">
        <v>37194.380000000005</v>
      </c>
      <c r="H148" s="429">
        <v>11266.630000000001</v>
      </c>
      <c r="I148" s="430">
        <f t="shared" si="0"/>
      </c>
      <c r="J148" s="430">
        <f t="shared" si="1"/>
      </c>
      <c r="K148" s="439">
        <f t="shared" si="6"/>
      </c>
      <c r="L148" s="454"/>
      <c r="M148" s="454"/>
      <c r="N148" s="441"/>
      <c r="O148" s="432"/>
      <c r="P148" s="432"/>
      <c r="Q148" s="429">
        <v>6.86152862362972</v>
      </c>
      <c r="R148" s="435">
        <v>0.2109180910978005</v>
      </c>
      <c r="S148" s="435">
        <v>0.016470234214353778</v>
      </c>
      <c r="T148" s="435">
        <v>0.016690907267164854</v>
      </c>
      <c r="U148" s="435">
        <v>0.14002403846153846</v>
      </c>
      <c r="V148" s="436">
        <v>21027.47909199522</v>
      </c>
      <c r="W148" s="435">
        <v>0.020925</v>
      </c>
      <c r="X148" s="436">
        <v>48.25</v>
      </c>
      <c r="Y148" s="437">
        <v>113.01098349967403</v>
      </c>
      <c r="Z148" s="436">
        <v>99695</v>
      </c>
      <c r="AA148" s="436">
        <v>1642</v>
      </c>
      <c r="AB148" s="436">
        <v>440</v>
      </c>
      <c r="AC148" s="436">
        <v>1664</v>
      </c>
      <c r="AD148" s="436">
        <v>233</v>
      </c>
      <c r="AE148" s="436">
        <v>16</v>
      </c>
      <c r="AF148" s="436">
        <v>5</v>
      </c>
      <c r="AG148" s="436">
        <v>117</v>
      </c>
    </row>
    <row r="149">
      <c r="A149" s="450" t="s">
        <v>996</v>
      </c>
      <c r="B149" s="461" t="s">
        <v>945</v>
      </c>
      <c r="C149" s="452" t="s">
        <v>980</v>
      </c>
      <c r="D149" s="428">
        <v>4</v>
      </c>
      <c r="E149" s="428">
        <v>13</v>
      </c>
      <c r="F149" s="428">
        <v>18</v>
      </c>
      <c r="G149" s="428">
        <v>37166.66999999999</v>
      </c>
      <c r="H149" s="429">
        <v>12017.58</v>
      </c>
      <c r="I149" s="430">
        <f t="shared" si="0"/>
      </c>
      <c r="J149" s="430">
        <f t="shared" si="1"/>
      </c>
      <c r="K149" s="439">
        <f t="shared" si="6"/>
      </c>
      <c r="L149" s="440"/>
      <c r="M149" s="440"/>
      <c r="N149" s="441"/>
      <c r="O149" s="432"/>
      <c r="P149" s="432"/>
      <c r="Q149" s="429">
        <v>6.351786469344609</v>
      </c>
      <c r="R149" s="435">
        <v>0.20079070576768493</v>
      </c>
      <c r="S149" s="435">
        <v>0.01631653385767015</v>
      </c>
      <c r="T149" s="435">
        <v>0.016695988133429922</v>
      </c>
      <c r="U149" s="435">
        <v>0.11983471074380166</v>
      </c>
      <c r="V149" s="436">
        <v>23282.887077997675</v>
      </c>
      <c r="W149" s="435">
        <v>0.021474999999999998</v>
      </c>
      <c r="X149" s="436">
        <v>56</v>
      </c>
      <c r="Y149" s="437">
        <v>103.63913898375246</v>
      </c>
      <c r="Z149" s="436">
        <v>115956</v>
      </c>
      <c r="AA149" s="436">
        <v>1892</v>
      </c>
      <c r="AB149" s="436">
        <v>500</v>
      </c>
      <c r="AC149" s="436">
        <v>1936</v>
      </c>
      <c r="AD149" s="436">
        <v>232</v>
      </c>
      <c r="AE149" s="436">
        <v>21</v>
      </c>
      <c r="AF149" s="436">
        <v>9</v>
      </c>
      <c r="AG149" s="436">
        <v>121</v>
      </c>
    </row>
    <row r="150">
      <c r="A150" s="450" t="s">
        <v>996</v>
      </c>
      <c r="B150" s="461" t="s">
        <v>957</v>
      </c>
      <c r="C150" s="452" t="s">
        <v>963</v>
      </c>
      <c r="D150" s="428">
        <v>3</v>
      </c>
      <c r="E150" s="428">
        <v>4</v>
      </c>
      <c r="F150" s="428">
        <v>7</v>
      </c>
      <c r="G150" s="428">
        <v>13303.910000000003</v>
      </c>
      <c r="H150" s="429">
        <v>6289.12</v>
      </c>
      <c r="I150" s="430">
        <f t="shared" si="0"/>
      </c>
      <c r="J150" s="430">
        <f t="shared" si="1"/>
      </c>
      <c r="K150" s="439">
        <f t="shared" si="6"/>
      </c>
      <c r="L150" s="428" t="s">
        <v>940</v>
      </c>
      <c r="M150" s="431">
        <v>10</v>
      </c>
      <c r="N150" s="441"/>
      <c r="O150" s="432"/>
      <c r="P150" s="432"/>
      <c r="Q150" s="437">
        <v>4.237931266846361</v>
      </c>
      <c r="R150" s="435">
        <v>0.169979811210642</v>
      </c>
      <c r="S150" s="435">
        <v>0.020617697319977216</v>
      </c>
      <c r="T150" s="435">
        <v>0.02128457701765842</v>
      </c>
      <c r="U150" s="435">
        <v>0.0731070496083551</v>
      </c>
      <c r="V150" s="436">
        <v>12234.63687150838</v>
      </c>
      <c r="W150" s="435">
        <v>0.023866666666666665</v>
      </c>
      <c r="X150" s="436">
        <v>57.333333333333336</v>
      </c>
      <c r="Y150" s="437">
        <v>87.37638412270584</v>
      </c>
      <c r="Z150" s="436">
        <v>71977</v>
      </c>
      <c r="AA150" s="436">
        <v>1484</v>
      </c>
      <c r="AB150" s="436">
        <v>292</v>
      </c>
      <c r="AC150" s="436">
        <v>1532</v>
      </c>
      <c r="AD150" s="436">
        <v>112</v>
      </c>
      <c r="AE150" s="436">
        <v>17</v>
      </c>
      <c r="AF150" s="436">
        <v>4</v>
      </c>
      <c r="AG150" s="456">
        <v>102</v>
      </c>
    </row>
    <row r="151">
      <c r="A151" s="443" t="s">
        <v>996</v>
      </c>
      <c r="B151" s="458" t="s">
        <v>950</v>
      </c>
      <c r="C151" s="444"/>
      <c r="D151" s="444">
        <f>SUM(D146:D150)</f>
      </c>
      <c r="E151" s="444">
        <f>SUM(E146:E150)</f>
      </c>
      <c r="F151" s="444">
        <f>SUM(F146:F150)</f>
      </c>
      <c r="G151" s="444">
        <f>SUM(G146:G150)</f>
      </c>
      <c r="H151" s="444">
        <f>SUM(H146:H150)</f>
      </c>
      <c r="I151" s="445">
        <f t="shared" si="0"/>
      </c>
      <c r="J151" s="445">
        <f t="shared" si="1"/>
      </c>
      <c r="K151" s="445">
        <f t="shared" si="6"/>
      </c>
      <c r="L151" s="444"/>
      <c r="M151" s="446">
        <f>SUM(M146:M150)</f>
      </c>
      <c r="N151" s="444"/>
      <c r="O151" s="444"/>
      <c r="P151" s="444"/>
      <c r="Q151" s="447">
        <f>AVERAGE(Q146:Q150)</f>
      </c>
      <c r="R151" s="448">
        <f>AVERAGE(R146:R150)</f>
      </c>
      <c r="S151" s="448">
        <f>AVERAGE(S146:S150)</f>
      </c>
      <c r="T151" s="448">
        <f>AVERAGE(T146:T150)</f>
      </c>
      <c r="U151" s="448">
        <f>AVERAGE(U146:U150)</f>
      </c>
      <c r="V151" s="449">
        <f>SUM(V146:V150)</f>
      </c>
      <c r="W151" s="448">
        <f>AVERAGE(W146:W150)</f>
      </c>
      <c r="X151" s="449"/>
      <c r="Y151" s="447">
        <f>AVERAGE(Y146:Y150)</f>
      </c>
      <c r="Z151" s="449">
        <f>SUM(Z146:Z150)</f>
      </c>
      <c r="AA151" s="449">
        <f>SUM(AA146:AA150)</f>
      </c>
      <c r="AB151" s="449">
        <f>SUM(AB146:AB150)</f>
      </c>
      <c r="AC151" s="449">
        <f>SUM(AC146:AC150)</f>
      </c>
      <c r="AD151" s="449">
        <f>SUM(AD146:AD150)</f>
      </c>
      <c r="AE151" s="449">
        <f>SUM(AE146:AE150)</f>
      </c>
      <c r="AF151" s="449">
        <f>SUM(AF146:AF150)</f>
      </c>
      <c r="AG151" s="449">
        <f>SUM(AG146:AG150)</f>
      </c>
    </row>
    <row r="152">
      <c r="A152" s="450" t="s">
        <v>998</v>
      </c>
      <c r="B152" s="461" t="s">
        <v>943</v>
      </c>
      <c r="C152" s="452" t="s">
        <v>952</v>
      </c>
      <c r="D152" s="428">
        <v>4</v>
      </c>
      <c r="E152" s="428">
        <v>7</v>
      </c>
      <c r="F152" s="428">
        <v>8</v>
      </c>
      <c r="G152" s="428">
        <v>12952.97</v>
      </c>
      <c r="H152" s="429">
        <v>10684.78</v>
      </c>
      <c r="I152" s="430">
        <f t="shared" si="0"/>
      </c>
      <c r="J152" s="430">
        <f t="shared" si="1"/>
      </c>
      <c r="K152" s="430">
        <f t="shared" si="6"/>
      </c>
      <c r="L152" s="428" t="s">
        <v>949</v>
      </c>
      <c r="M152" s="431">
        <v>10</v>
      </c>
      <c r="N152" s="432"/>
      <c r="O152" s="432"/>
      <c r="P152" s="432"/>
      <c r="Q152" s="433">
        <v>4.355801059926621</v>
      </c>
      <c r="R152" s="434">
        <v>0.20802363224107218</v>
      </c>
      <c r="S152" s="435">
        <v>0.02409342710093113</v>
      </c>
      <c r="T152" s="435">
        <v>0.02500687541743606</v>
      </c>
      <c r="U152" s="435">
        <v>0.04948939512961508</v>
      </c>
      <c r="V152" s="436">
        <v>21179.30204572804</v>
      </c>
      <c r="W152" s="435">
        <v>0.020775</v>
      </c>
      <c r="X152" s="436">
        <v>36.25</v>
      </c>
      <c r="Y152" s="437">
        <v>104.94617530350058</v>
      </c>
      <c r="Z152" s="436">
        <v>101812</v>
      </c>
      <c r="AA152" s="436">
        <v>2453</v>
      </c>
      <c r="AB152" s="436">
        <v>440</v>
      </c>
      <c r="AC152" s="436">
        <v>2546</v>
      </c>
      <c r="AD152" s="436">
        <v>126</v>
      </c>
      <c r="AE152" s="436">
        <v>23</v>
      </c>
      <c r="AF152" s="436">
        <v>5</v>
      </c>
      <c r="AG152" s="436">
        <v>171</v>
      </c>
    </row>
    <row r="153">
      <c r="A153" s="450" t="s">
        <v>998</v>
      </c>
      <c r="B153" s="459" t="s">
        <v>938</v>
      </c>
      <c r="C153" s="452" t="s">
        <v>997</v>
      </c>
      <c r="D153" s="428">
        <v>5</v>
      </c>
      <c r="E153" s="428">
        <v>20</v>
      </c>
      <c r="F153" s="428">
        <v>26</v>
      </c>
      <c r="G153" s="428">
        <v>59494.380000000005</v>
      </c>
      <c r="H153" s="429">
        <v>15294.3</v>
      </c>
      <c r="I153" s="430">
        <f t="shared" si="0"/>
      </c>
      <c r="J153" s="430">
        <f t="shared" si="1"/>
      </c>
      <c r="K153" s="430">
        <f t="shared" si="6"/>
      </c>
      <c r="L153" s="438"/>
      <c r="M153" s="438"/>
      <c r="N153" s="432"/>
      <c r="O153" s="432"/>
      <c r="P153" s="432"/>
      <c r="Q153" s="429">
        <v>6.86150740242261</v>
      </c>
      <c r="R153" s="435">
        <v>0.203178902274315</v>
      </c>
      <c r="S153" s="434">
        <v>0.017516974726518295</v>
      </c>
      <c r="T153" s="435">
        <v>0.018122092292216774</v>
      </c>
      <c r="U153" s="434">
        <v>0.14700780572419775</v>
      </c>
      <c r="V153" s="436">
        <v>25854.108956602035</v>
      </c>
      <c r="W153" s="435">
        <v>0.02166</v>
      </c>
      <c r="X153" s="436">
        <v>57.8</v>
      </c>
      <c r="Y153" s="437">
        <v>120.19285175405507</v>
      </c>
      <c r="Z153" s="436">
        <v>127248</v>
      </c>
      <c r="AA153" s="436">
        <v>2229</v>
      </c>
      <c r="AB153" s="436">
        <v>560</v>
      </c>
      <c r="AC153" s="436">
        <v>2306</v>
      </c>
      <c r="AD153" s="436">
        <v>339</v>
      </c>
      <c r="AE153" s="436">
        <v>19</v>
      </c>
      <c r="AF153" s="436">
        <v>7</v>
      </c>
      <c r="AG153" s="436">
        <v>145</v>
      </c>
    </row>
    <row r="154">
      <c r="A154" s="450" t="s">
        <v>998</v>
      </c>
      <c r="B154" s="455" t="s">
        <v>947</v>
      </c>
      <c r="C154" s="452" t="s">
        <v>979</v>
      </c>
      <c r="D154" s="428">
        <v>4</v>
      </c>
      <c r="E154" s="428">
        <v>8</v>
      </c>
      <c r="F154" s="428">
        <v>12</v>
      </c>
      <c r="G154" s="428">
        <v>26788.929999999993</v>
      </c>
      <c r="H154" s="429">
        <v>10107.08</v>
      </c>
      <c r="I154" s="430">
        <f t="shared" si="0"/>
      </c>
      <c r="J154" s="430">
        <f t="shared" si="1"/>
      </c>
      <c r="K154" s="439">
        <f t="shared" si="6"/>
      </c>
      <c r="L154" s="454"/>
      <c r="M154" s="454"/>
      <c r="N154" s="441"/>
      <c r="O154" s="432"/>
      <c r="P154" s="432"/>
      <c r="Q154" s="429">
        <v>7.877692907248636</v>
      </c>
      <c r="R154" s="435">
        <v>0.19568884616428436</v>
      </c>
      <c r="S154" s="435">
        <v>0.015729978912265213</v>
      </c>
      <c r="T154" s="435">
        <v>0.016146829483595703</v>
      </c>
      <c r="U154" s="435">
        <v>0.22323462414578588</v>
      </c>
      <c r="V154" s="436">
        <v>15961.16504854369</v>
      </c>
      <c r="W154" s="435">
        <v>0.02575</v>
      </c>
      <c r="X154" s="436">
        <v>65</v>
      </c>
      <c r="Y154" s="437">
        <v>123.9159433083223</v>
      </c>
      <c r="Z154" s="436">
        <v>81564</v>
      </c>
      <c r="AA154" s="436">
        <v>1283</v>
      </c>
      <c r="AB154" s="436">
        <v>411</v>
      </c>
      <c r="AC154" s="436">
        <v>1317</v>
      </c>
      <c r="AD154" s="436">
        <v>294</v>
      </c>
      <c r="AE154" s="436">
        <v>20</v>
      </c>
      <c r="AF154" s="436">
        <v>4</v>
      </c>
      <c r="AG154" s="436">
        <v>85</v>
      </c>
    </row>
    <row r="155">
      <c r="A155" s="450" t="s">
        <v>998</v>
      </c>
      <c r="B155" s="461" t="s">
        <v>945</v>
      </c>
      <c r="C155" s="452" t="s">
        <v>966</v>
      </c>
      <c r="D155" s="428">
        <v>3</v>
      </c>
      <c r="E155" s="428">
        <v>12</v>
      </c>
      <c r="F155" s="428">
        <v>16</v>
      </c>
      <c r="G155" s="428">
        <v>40693.07000000001</v>
      </c>
      <c r="H155" s="429">
        <v>8053.31</v>
      </c>
      <c r="I155" s="430">
        <f t="shared" si="0"/>
      </c>
      <c r="J155" s="430">
        <f t="shared" si="1"/>
      </c>
      <c r="K155" s="439">
        <f t="shared" si="6"/>
      </c>
      <c r="L155" s="440"/>
      <c r="M155" s="440"/>
      <c r="N155" s="441"/>
      <c r="O155" s="432"/>
      <c r="P155" s="432"/>
      <c r="Q155" s="429">
        <v>6.16167559296098</v>
      </c>
      <c r="R155" s="435">
        <v>0.17460128249051113</v>
      </c>
      <c r="S155" s="435">
        <v>0.01595634285993334</v>
      </c>
      <c r="T155" s="435">
        <v>0.016444677760007815</v>
      </c>
      <c r="U155" s="435">
        <v>0.14550853749072012</v>
      </c>
      <c r="V155" s="436">
        <v>14301.765650080257</v>
      </c>
      <c r="W155" s="435">
        <v>0.020766666666666666</v>
      </c>
      <c r="X155" s="436">
        <v>66.66666666666667</v>
      </c>
      <c r="Y155" s="437">
        <v>98.31780835296847</v>
      </c>
      <c r="Z155" s="436">
        <v>81911</v>
      </c>
      <c r="AA155" s="436">
        <v>1307</v>
      </c>
      <c r="AB155" s="436">
        <v>297</v>
      </c>
      <c r="AC155" s="436">
        <v>1347</v>
      </c>
      <c r="AD155" s="436">
        <v>196</v>
      </c>
      <c r="AE155" s="436">
        <v>17</v>
      </c>
      <c r="AF155" s="436">
        <v>3</v>
      </c>
      <c r="AG155" s="436">
        <v>72</v>
      </c>
    </row>
    <row r="156">
      <c r="A156" s="450" t="s">
        <v>998</v>
      </c>
      <c r="B156" s="461" t="s">
        <v>957</v>
      </c>
      <c r="C156" s="452" t="s">
        <v>958</v>
      </c>
      <c r="D156" s="428">
        <v>4</v>
      </c>
      <c r="E156" s="428">
        <v>13</v>
      </c>
      <c r="F156" s="428">
        <v>14</v>
      </c>
      <c r="G156" s="428">
        <v>23571.440000000002</v>
      </c>
      <c r="H156" s="429">
        <v>8680.51</v>
      </c>
      <c r="I156" s="430">
        <f t="shared" si="0"/>
      </c>
      <c r="J156" s="430">
        <f t="shared" si="1"/>
      </c>
      <c r="K156" s="439">
        <f t="shared" si="6"/>
      </c>
      <c r="L156" s="428" t="s">
        <v>940</v>
      </c>
      <c r="M156" s="431">
        <v>10</v>
      </c>
      <c r="N156" s="441"/>
      <c r="O156" s="432"/>
      <c r="P156" s="432"/>
      <c r="Q156" s="437">
        <v>4.433283963227784</v>
      </c>
      <c r="R156" s="435">
        <v>0.17845977433337115</v>
      </c>
      <c r="S156" s="435">
        <v>0.021984191143447407</v>
      </c>
      <c r="T156" s="435">
        <v>0.02361223389921854</v>
      </c>
      <c r="U156" s="435">
        <v>0.08083689966714218</v>
      </c>
      <c r="V156" s="436">
        <v>15894.34134122737</v>
      </c>
      <c r="W156" s="435">
        <v>0.0219575</v>
      </c>
      <c r="X156" s="436">
        <v>66.25</v>
      </c>
      <c r="Y156" s="437">
        <v>97.46216204077967</v>
      </c>
      <c r="Z156" s="436">
        <v>89064</v>
      </c>
      <c r="AA156" s="436">
        <v>1958</v>
      </c>
      <c r="AB156" s="436">
        <v>349</v>
      </c>
      <c r="AC156" s="436">
        <v>2103</v>
      </c>
      <c r="AD156" s="436">
        <v>170</v>
      </c>
      <c r="AE156" s="436">
        <v>19</v>
      </c>
      <c r="AF156" s="436">
        <v>4</v>
      </c>
      <c r="AG156" s="456">
        <v>86</v>
      </c>
    </row>
    <row r="157">
      <c r="A157" s="443" t="s">
        <v>998</v>
      </c>
      <c r="B157" s="458" t="s">
        <v>950</v>
      </c>
      <c r="C157" s="444"/>
      <c r="D157" s="444">
        <f>SUM(D152:D156)</f>
      </c>
      <c r="E157" s="444">
        <f>SUM(E152:E156)</f>
      </c>
      <c r="F157" s="444">
        <f>SUM(F152:F156)</f>
      </c>
      <c r="G157" s="444">
        <f>SUM(G152:G156)</f>
      </c>
      <c r="H157" s="444">
        <f>SUM(H152:H156)</f>
      </c>
      <c r="I157" s="445">
        <f t="shared" si="0"/>
      </c>
      <c r="J157" s="445">
        <f t="shared" si="1"/>
      </c>
      <c r="K157" s="445">
        <f t="shared" si="6"/>
      </c>
      <c r="L157" s="444"/>
      <c r="M157" s="446">
        <f>SUM(M152:M156)</f>
      </c>
      <c r="N157" s="444"/>
      <c r="O157" s="444"/>
      <c r="P157" s="444"/>
      <c r="Q157" s="447">
        <f>AVERAGE(Q152:Q156)</f>
      </c>
      <c r="R157" s="448">
        <f>AVERAGE(R152:R156)</f>
      </c>
      <c r="S157" s="448">
        <f>AVERAGE(S152:S156)</f>
      </c>
      <c r="T157" s="448">
        <f>AVERAGE(T152:T156)</f>
      </c>
      <c r="U157" s="448">
        <f>AVERAGE(U152:U156)</f>
      </c>
      <c r="V157" s="449">
        <f>SUM(V152:V156)</f>
      </c>
      <c r="W157" s="448">
        <f>AVERAGE(W152:W156)</f>
      </c>
      <c r="X157" s="449"/>
      <c r="Y157" s="447">
        <f>AVERAGE(Y152:Y156)</f>
      </c>
      <c r="Z157" s="449">
        <f>SUM(Z152:Z156)</f>
      </c>
      <c r="AA157" s="449">
        <f>SUM(AA152:AA156)</f>
      </c>
      <c r="AB157" s="449">
        <f>SUM(AB152:AB156)</f>
      </c>
      <c r="AC157" s="449">
        <f>SUM(AC152:AC156)</f>
      </c>
      <c r="AD157" s="449">
        <f>SUM(AD152:AD156)</f>
      </c>
      <c r="AE157" s="449">
        <f>SUM(AE152:AE156)</f>
      </c>
      <c r="AF157" s="449">
        <f>SUM(AF152:AF156)</f>
      </c>
      <c r="AG157" s="449">
        <f>SUM(AG152:AG156)</f>
      </c>
    </row>
    <row r="158">
      <c r="A158" s="450" t="s">
        <v>999</v>
      </c>
      <c r="B158" s="461" t="s">
        <v>943</v>
      </c>
      <c r="C158" s="452" t="s">
        <v>952</v>
      </c>
      <c r="D158" s="428">
        <v>4</v>
      </c>
      <c r="E158" s="428">
        <v>16</v>
      </c>
      <c r="F158" s="428">
        <v>17</v>
      </c>
      <c r="G158" s="428">
        <v>30992.43</v>
      </c>
      <c r="H158" s="429">
        <v>12502.37</v>
      </c>
      <c r="I158" s="430">
        <f t="shared" si="0"/>
      </c>
      <c r="J158" s="430">
        <f t="shared" si="1"/>
      </c>
      <c r="K158" s="430">
        <f t="shared" si="6"/>
      </c>
      <c r="L158" s="428" t="s">
        <v>1000</v>
      </c>
      <c r="M158" s="431">
        <v>10</v>
      </c>
      <c r="N158" s="432"/>
      <c r="O158" s="432"/>
      <c r="P158" s="432"/>
      <c r="Q158" s="433">
        <v>4.081740124061377</v>
      </c>
      <c r="R158" s="434">
        <v>0.14776832963250652</v>
      </c>
      <c r="S158" s="435">
        <v>0.024717360253710026</v>
      </c>
      <c r="T158" s="435">
        <v>0.02613761993528135</v>
      </c>
      <c r="U158" s="435">
        <v>0.08150663785118864</v>
      </c>
      <c r="V158" s="436">
        <v>18311.599176389842</v>
      </c>
      <c r="W158" s="435">
        <v>0.036425</v>
      </c>
      <c r="X158" s="436">
        <v>45.5</v>
      </c>
      <c r="Y158" s="437">
        <v>100.88984110844812</v>
      </c>
      <c r="Z158" s="436">
        <v>123921</v>
      </c>
      <c r="AA158" s="436">
        <v>3063</v>
      </c>
      <c r="AB158" s="436">
        <v>667</v>
      </c>
      <c r="AC158" s="436">
        <v>3239</v>
      </c>
      <c r="AD158" s="436">
        <v>264</v>
      </c>
      <c r="AE158" s="436">
        <v>33</v>
      </c>
      <c r="AF158" s="436">
        <v>7</v>
      </c>
      <c r="AG158" s="436">
        <v>190</v>
      </c>
    </row>
    <row r="159">
      <c r="A159" s="450" t="s">
        <v>999</v>
      </c>
      <c r="B159" s="461" t="s">
        <v>955</v>
      </c>
      <c r="C159" s="452" t="s">
        <v>953</v>
      </c>
      <c r="D159" s="428">
        <v>4</v>
      </c>
      <c r="E159" s="428">
        <v>11</v>
      </c>
      <c r="F159" s="428">
        <v>14</v>
      </c>
      <c r="G159" s="428">
        <v>28681.62</v>
      </c>
      <c r="H159" s="429">
        <v>13626.52</v>
      </c>
      <c r="I159" s="430">
        <f t="shared" si="0"/>
      </c>
      <c r="J159" s="430">
        <f t="shared" si="1"/>
      </c>
      <c r="K159" s="430">
        <f t="shared" si="6"/>
      </c>
      <c r="L159" s="438"/>
      <c r="M159" s="438"/>
      <c r="N159" s="432"/>
      <c r="O159" s="432"/>
      <c r="P159" s="432"/>
      <c r="Q159" s="429">
        <v>8.19393866506314</v>
      </c>
      <c r="R159" s="435">
        <v>0.12673341785508982</v>
      </c>
      <c r="S159" s="434">
        <v>0.01309562245548827</v>
      </c>
      <c r="T159" s="435">
        <v>0.013331863389742418</v>
      </c>
      <c r="U159" s="434">
        <v>0.13585351447135263</v>
      </c>
      <c r="V159" s="436">
        <v>16093.750000000002</v>
      </c>
      <c r="W159" s="435">
        <v>0.0384</v>
      </c>
      <c r="X159" s="436">
        <v>57</v>
      </c>
      <c r="Y159" s="437">
        <v>107.30472718109444</v>
      </c>
      <c r="Z159" s="436">
        <v>126989</v>
      </c>
      <c r="AA159" s="436">
        <v>1663</v>
      </c>
      <c r="AB159" s="436">
        <v>618</v>
      </c>
      <c r="AC159" s="436">
        <v>1693</v>
      </c>
      <c r="AD159" s="436">
        <v>230</v>
      </c>
      <c r="AE159" s="436">
        <v>24</v>
      </c>
      <c r="AF159" s="436">
        <v>8</v>
      </c>
      <c r="AG159" s="436">
        <v>198</v>
      </c>
    </row>
    <row r="160">
      <c r="A160" s="450" t="s">
        <v>999</v>
      </c>
      <c r="B160" s="455" t="s">
        <v>947</v>
      </c>
      <c r="C160" s="452" t="s">
        <v>954</v>
      </c>
      <c r="D160" s="428">
        <v>4</v>
      </c>
      <c r="E160" s="428">
        <v>12</v>
      </c>
      <c r="F160" s="428">
        <v>15</v>
      </c>
      <c r="G160" s="428">
        <v>31884.40000000001</v>
      </c>
      <c r="H160" s="429">
        <v>12219.970000000001</v>
      </c>
      <c r="I160" s="430">
        <f t="shared" si="0"/>
      </c>
      <c r="J160" s="430">
        <f t="shared" si="1"/>
      </c>
      <c r="K160" s="439">
        <f t="shared" si="6"/>
      </c>
      <c r="L160" s="454"/>
      <c r="M160" s="454"/>
      <c r="N160" s="441"/>
      <c r="O160" s="432"/>
      <c r="P160" s="432"/>
      <c r="Q160" s="429">
        <v>6.146866197183099</v>
      </c>
      <c r="R160" s="435">
        <v>0.13832170332441482</v>
      </c>
      <c r="S160" s="435">
        <v>0.017571150786636028</v>
      </c>
      <c r="T160" s="435">
        <v>0.018331270991691708</v>
      </c>
      <c r="U160" s="435">
        <v>0.1369334619093539</v>
      </c>
      <c r="V160" s="436">
        <v>15649.717514124293</v>
      </c>
      <c r="W160" s="435">
        <v>0.0354</v>
      </c>
      <c r="X160" s="436">
        <v>60</v>
      </c>
      <c r="Y160" s="437">
        <v>108.00751281598022</v>
      </c>
      <c r="Z160" s="436">
        <v>113140</v>
      </c>
      <c r="AA160" s="436">
        <v>1988</v>
      </c>
      <c r="AB160" s="436">
        <v>554</v>
      </c>
      <c r="AC160" s="436">
        <v>2074</v>
      </c>
      <c r="AD160" s="436">
        <v>284</v>
      </c>
      <c r="AE160" s="436">
        <v>28</v>
      </c>
      <c r="AF160" s="436">
        <v>2</v>
      </c>
      <c r="AG160" s="436">
        <v>174</v>
      </c>
    </row>
    <row r="161">
      <c r="A161" s="450" t="s">
        <v>999</v>
      </c>
      <c r="B161" s="461" t="s">
        <v>938</v>
      </c>
      <c r="C161" s="452" t="s">
        <v>956</v>
      </c>
      <c r="D161" s="428">
        <v>4</v>
      </c>
      <c r="E161" s="428">
        <v>9</v>
      </c>
      <c r="F161" s="428">
        <v>12</v>
      </c>
      <c r="G161" s="428">
        <v>22214.48000000001</v>
      </c>
      <c r="H161" s="429">
        <v>11673</v>
      </c>
      <c r="I161" s="430">
        <f t="shared" si="0"/>
      </c>
      <c r="J161" s="430">
        <f t="shared" si="1"/>
      </c>
      <c r="K161" s="439">
        <f t="shared" si="6"/>
      </c>
      <c r="L161" s="440"/>
      <c r="M161" s="440"/>
      <c r="N161" s="441"/>
      <c r="O161" s="432"/>
      <c r="P161" s="432"/>
      <c r="Q161" s="429">
        <v>7.458785942492013</v>
      </c>
      <c r="R161" s="435">
        <v>0.14007209369978968</v>
      </c>
      <c r="S161" s="435">
        <v>0.015029001651749703</v>
      </c>
      <c r="T161" s="435">
        <v>0.015365113509776053</v>
      </c>
      <c r="U161" s="435">
        <v>0.145625</v>
      </c>
      <c r="V161" s="436">
        <v>14585.987261146498</v>
      </c>
      <c r="W161" s="435">
        <v>0.0314</v>
      </c>
      <c r="X161" s="436">
        <v>62.5</v>
      </c>
      <c r="Y161" s="437">
        <v>112.09810624975992</v>
      </c>
      <c r="Z161" s="436">
        <v>104132</v>
      </c>
      <c r="AA161" s="436">
        <v>1565</v>
      </c>
      <c r="AB161" s="436">
        <v>458</v>
      </c>
      <c r="AC161" s="436">
        <v>1600</v>
      </c>
      <c r="AD161" s="436">
        <v>233</v>
      </c>
      <c r="AE161" s="436">
        <v>19</v>
      </c>
      <c r="AF161" s="436">
        <v>9</v>
      </c>
      <c r="AG161" s="436">
        <v>160</v>
      </c>
    </row>
    <row r="162">
      <c r="A162" s="450" t="s">
        <v>999</v>
      </c>
      <c r="B162" s="461" t="s">
        <v>957</v>
      </c>
      <c r="C162" s="452" t="s">
        <v>958</v>
      </c>
      <c r="D162" s="428">
        <v>4</v>
      </c>
      <c r="E162" s="428">
        <v>9</v>
      </c>
      <c r="F162" s="428">
        <v>13</v>
      </c>
      <c r="G162" s="428">
        <v>26542.51000000001</v>
      </c>
      <c r="H162" s="429">
        <v>8699.29</v>
      </c>
      <c r="I162" s="430">
        <f t="shared" si="0"/>
      </c>
      <c r="J162" s="430">
        <f t="shared" si="1"/>
      </c>
      <c r="K162" s="439">
        <f t="shared" si="6"/>
      </c>
      <c r="L162" s="428" t="s">
        <v>940</v>
      </c>
      <c r="M162" s="431">
        <v>10</v>
      </c>
      <c r="N162" s="441"/>
      <c r="O162" s="432"/>
      <c r="P162" s="432"/>
      <c r="Q162" s="437">
        <v>5.043066666666667</v>
      </c>
      <c r="R162" s="435">
        <v>0.15557754569385718</v>
      </c>
      <c r="S162" s="435">
        <v>0.02014669127093504</v>
      </c>
      <c r="T162" s="435">
        <v>0.021361332367849383</v>
      </c>
      <c r="U162" s="435">
        <v>0.10989611809732094</v>
      </c>
      <c r="V162" s="436">
        <v>13320.86061739944</v>
      </c>
      <c r="W162" s="435">
        <v>0.026725</v>
      </c>
      <c r="X162" s="436">
        <v>63.5</v>
      </c>
      <c r="Y162" s="437">
        <v>101.60110719207681</v>
      </c>
      <c r="Z162" s="436">
        <v>85622</v>
      </c>
      <c r="AA162" s="436">
        <v>1725</v>
      </c>
      <c r="AB162" s="436">
        <v>356</v>
      </c>
      <c r="AC162" s="436">
        <v>1829</v>
      </c>
      <c r="AD162" s="436">
        <v>201</v>
      </c>
      <c r="AE162" s="436">
        <v>32</v>
      </c>
      <c r="AF162" s="436">
        <v>3</v>
      </c>
      <c r="AG162" s="456">
        <v>107</v>
      </c>
    </row>
    <row r="163">
      <c r="A163" s="443" t="s">
        <v>999</v>
      </c>
      <c r="B163" s="458" t="s">
        <v>950</v>
      </c>
      <c r="C163" s="444"/>
      <c r="D163" s="444">
        <f>SUM(D158:D162)</f>
      </c>
      <c r="E163" s="444">
        <f>SUM(E158:E162)</f>
      </c>
      <c r="F163" s="444">
        <f>SUM(F158:F162)</f>
      </c>
      <c r="G163" s="444">
        <f>SUM(G158:G162)</f>
      </c>
      <c r="H163" s="444">
        <f>SUM(H158:H162)</f>
      </c>
      <c r="I163" s="445">
        <f t="shared" si="0"/>
      </c>
      <c r="J163" s="445">
        <f t="shared" si="1"/>
      </c>
      <c r="K163" s="445">
        <f t="shared" si="6"/>
      </c>
      <c r="L163" s="444"/>
      <c r="M163" s="446">
        <f>SUM(M158:M162)</f>
      </c>
      <c r="N163" s="444"/>
      <c r="O163" s="444"/>
      <c r="P163" s="444"/>
      <c r="Q163" s="447">
        <f>AVERAGE(Q158:Q162)</f>
      </c>
      <c r="R163" s="448">
        <f>AVERAGE(R158:R162)</f>
      </c>
      <c r="S163" s="448">
        <f>AVERAGE(S158:S162)</f>
      </c>
      <c r="T163" s="448">
        <f>AVERAGE(T158:T162)</f>
      </c>
      <c r="U163" s="448">
        <f>AVERAGE(U158:U162)</f>
      </c>
      <c r="V163" s="449">
        <f>SUM(V158:V162)</f>
      </c>
      <c r="W163" s="448">
        <f>AVERAGE(W158:W162)</f>
      </c>
      <c r="X163" s="449"/>
      <c r="Y163" s="447">
        <f>AVERAGE(Y158:Y162)</f>
      </c>
      <c r="Z163" s="449">
        <f>SUM(Z158:Z162)</f>
      </c>
      <c r="AA163" s="449">
        <f>SUM(AA158:AA162)</f>
      </c>
      <c r="AB163" s="449">
        <f>SUM(AB158:AB162)</f>
      </c>
      <c r="AC163" s="449">
        <f>SUM(AC158:AC162)</f>
      </c>
      <c r="AD163" s="449">
        <f>SUM(AD158:AD162)</f>
      </c>
      <c r="AE163" s="449">
        <f>SUM(AE158:AE162)</f>
      </c>
      <c r="AF163" s="449">
        <f>SUM(AF158:AF162)</f>
      </c>
      <c r="AG163" s="449">
        <f>SUM(AG158:AG162)</f>
      </c>
    </row>
    <row r="164">
      <c r="A164" s="450" t="s">
        <v>1001</v>
      </c>
      <c r="B164" s="461" t="s">
        <v>947</v>
      </c>
      <c r="C164" s="452" t="s">
        <v>952</v>
      </c>
      <c r="D164" s="428">
        <v>4</v>
      </c>
      <c r="E164" s="428">
        <v>4</v>
      </c>
      <c r="F164" s="428">
        <v>7</v>
      </c>
      <c r="G164" s="428">
        <v>13952.789999999999</v>
      </c>
      <c r="H164" s="429">
        <v>8436.88</v>
      </c>
      <c r="I164" s="430">
        <f t="shared" si="0"/>
      </c>
      <c r="J164" s="430">
        <f t="shared" si="1"/>
      </c>
      <c r="K164" s="430">
        <f t="shared" si="6"/>
      </c>
      <c r="L164" s="428" t="s">
        <v>949</v>
      </c>
      <c r="M164" s="431">
        <v>10</v>
      </c>
      <c r="N164" s="432"/>
      <c r="O164" s="432"/>
      <c r="P164" s="432"/>
      <c r="Q164" s="433">
        <v>4.267516439049063</v>
      </c>
      <c r="R164" s="434">
        <v>0.12473699613766523</v>
      </c>
      <c r="S164" s="435">
        <v>0.028965759746824315</v>
      </c>
      <c r="T164" s="435">
        <v>0.03056275914611812</v>
      </c>
      <c r="U164" s="435">
        <v>0.07622243528283797</v>
      </c>
      <c r="V164" s="436">
        <v>8513.674197384065</v>
      </c>
      <c r="W164" s="435">
        <v>0.042050000000000004</v>
      </c>
      <c r="X164" s="436">
        <v>37</v>
      </c>
      <c r="Y164" s="437">
        <v>123.61185588911842</v>
      </c>
      <c r="Z164" s="436">
        <v>68253</v>
      </c>
      <c r="AA164" s="436">
        <v>1977</v>
      </c>
      <c r="AB164" s="436">
        <v>358</v>
      </c>
      <c r="AC164" s="436">
        <v>2086</v>
      </c>
      <c r="AD164" s="436">
        <v>159</v>
      </c>
      <c r="AE164" s="436">
        <v>15</v>
      </c>
      <c r="AF164" s="436">
        <v>6</v>
      </c>
      <c r="AG164" s="436">
        <v>92</v>
      </c>
    </row>
    <row r="165">
      <c r="A165" s="450" t="s">
        <v>1001</v>
      </c>
      <c r="B165" s="461" t="s">
        <v>938</v>
      </c>
      <c r="C165" s="452" t="s">
        <v>953</v>
      </c>
      <c r="D165" s="428">
        <v>4</v>
      </c>
      <c r="E165" s="428">
        <v>17</v>
      </c>
      <c r="F165" s="428">
        <v>19</v>
      </c>
      <c r="G165" s="428">
        <v>34618.090000000004</v>
      </c>
      <c r="H165" s="429">
        <v>12895.28</v>
      </c>
      <c r="I165" s="430">
        <f t="shared" si="0"/>
      </c>
      <c r="J165" s="430">
        <f t="shared" si="1"/>
      </c>
      <c r="K165" s="430">
        <f t="shared" si="6"/>
      </c>
      <c r="L165" s="438"/>
      <c r="M165" s="438"/>
      <c r="N165" s="432"/>
      <c r="O165" s="432"/>
      <c r="P165" s="432"/>
      <c r="Q165" s="429">
        <v>6.415562189054727</v>
      </c>
      <c r="R165" s="435">
        <v>0.18783028459243112</v>
      </c>
      <c r="S165" s="434">
        <v>0.019589688611666097</v>
      </c>
      <c r="T165" s="435">
        <v>0.019540958042980363</v>
      </c>
      <c r="U165" s="434">
        <v>0.13865336658354116</v>
      </c>
      <c r="V165" s="436">
        <v>19272.326350606396</v>
      </c>
      <c r="W165" s="435">
        <v>0.022675</v>
      </c>
      <c r="X165" s="436">
        <v>55.75</v>
      </c>
      <c r="Y165" s="437">
        <v>125.67886555236099</v>
      </c>
      <c r="Z165" s="436">
        <v>102605</v>
      </c>
      <c r="AA165" s="436">
        <v>2010</v>
      </c>
      <c r="AB165" s="436">
        <v>437</v>
      </c>
      <c r="AC165" s="436">
        <v>2005</v>
      </c>
      <c r="AD165" s="436">
        <v>278</v>
      </c>
      <c r="AE165" s="436">
        <v>20</v>
      </c>
      <c r="AF165" s="436">
        <v>4</v>
      </c>
      <c r="AG165" s="436">
        <v>88</v>
      </c>
    </row>
    <row r="166">
      <c r="A166" s="450" t="s">
        <v>1001</v>
      </c>
      <c r="B166" s="461" t="s">
        <v>955</v>
      </c>
      <c r="C166" s="452" t="s">
        <v>954</v>
      </c>
      <c r="D166" s="428">
        <v>4</v>
      </c>
      <c r="E166" s="464">
        <v>13</v>
      </c>
      <c r="F166" s="464">
        <v>15</v>
      </c>
      <c r="G166" s="465">
        <v>32639.75</v>
      </c>
      <c r="H166" s="465">
        <v>9686.68</v>
      </c>
      <c r="I166" s="430">
        <f t="shared" si="0"/>
      </c>
      <c r="J166" s="430">
        <f>G167/F167</f>
      </c>
      <c r="K166" s="439">
        <f>H167/F167</f>
      </c>
      <c r="L166" s="454"/>
      <c r="M166" s="454"/>
      <c r="N166" s="441"/>
      <c r="O166" s="432"/>
      <c r="P166" s="432"/>
      <c r="Q166" s="429">
        <v>5.241709956709957</v>
      </c>
      <c r="R166" s="435">
        <v>0.22644889410441568</v>
      </c>
      <c r="S166" s="435">
        <v>0.022946260057613986</v>
      </c>
      <c r="T166" s="435">
        <v>0.024287275255786233</v>
      </c>
      <c r="U166" s="435">
        <v>0.12269938650306748</v>
      </c>
      <c r="V166" s="436">
        <v>18237.288135593222</v>
      </c>
      <c r="W166" s="435">
        <v>0.01475</v>
      </c>
      <c r="X166" s="436">
        <v>57.75</v>
      </c>
      <c r="Y166" s="437">
        <v>120.27763981325123</v>
      </c>
      <c r="Z166" s="436">
        <v>80536</v>
      </c>
      <c r="AA166" s="436">
        <v>1848</v>
      </c>
      <c r="AB166" s="436">
        <v>269</v>
      </c>
      <c r="AC166" s="436">
        <v>1956</v>
      </c>
      <c r="AD166" s="436">
        <v>240</v>
      </c>
      <c r="AE166" s="436">
        <v>16</v>
      </c>
      <c r="AF166" s="436">
        <v>5</v>
      </c>
      <c r="AG166" s="436">
        <v>73</v>
      </c>
    </row>
    <row r="167">
      <c r="A167" s="450" t="s">
        <v>1001</v>
      </c>
      <c r="B167" s="461" t="s">
        <v>957</v>
      </c>
      <c r="C167" s="452" t="s">
        <v>956</v>
      </c>
      <c r="D167" s="428">
        <v>4</v>
      </c>
      <c r="E167" s="428">
        <v>6</v>
      </c>
      <c r="F167" s="428">
        <v>10</v>
      </c>
      <c r="G167" s="428">
        <v>23636.01999999999</v>
      </c>
      <c r="H167" s="429">
        <v>8739.73</v>
      </c>
      <c r="I167" s="430">
        <f t="shared" si="0"/>
      </c>
      <c r="J167" s="430">
        <f t="shared" ref="J167:J171" si="2">G167/F167</f>
      </c>
      <c r="K167" s="439">
        <f t="shared" ref="K167:K171" si="7">H167/F167</f>
      </c>
      <c r="L167" s="440"/>
      <c r="M167" s="440"/>
      <c r="N167" s="441"/>
      <c r="O167" s="432"/>
      <c r="P167" s="432"/>
      <c r="Q167" s="429">
        <v>4.523669772256729</v>
      </c>
      <c r="R167" s="435">
        <v>0.32035282605936427</v>
      </c>
      <c r="S167" s="435">
        <v>0.02533139283326122</v>
      </c>
      <c r="T167" s="435">
        <v>0.026498315173923873</v>
      </c>
      <c r="U167" s="435">
        <v>0.07125185551707075</v>
      </c>
      <c r="V167" s="436">
        <v>24432.989690721653</v>
      </c>
      <c r="W167" s="435">
        <v>0.009699999999999999</v>
      </c>
      <c r="X167" s="436">
        <v>54.25</v>
      </c>
      <c r="Y167" s="437">
        <v>114.59085604898452</v>
      </c>
      <c r="Z167" s="436">
        <v>76269</v>
      </c>
      <c r="AA167" s="436">
        <v>1932</v>
      </c>
      <c r="AB167" s="436">
        <v>237</v>
      </c>
      <c r="AC167" s="436">
        <v>2021</v>
      </c>
      <c r="AD167" s="436">
        <v>144</v>
      </c>
      <c r="AE167" s="436">
        <v>16</v>
      </c>
      <c r="AF167" s="436">
        <v>4</v>
      </c>
      <c r="AG167" s="436">
        <v>46</v>
      </c>
    </row>
    <row r="168">
      <c r="A168" s="450" t="s">
        <v>1001</v>
      </c>
      <c r="B168" s="463" t="s">
        <v>945</v>
      </c>
      <c r="C168" s="452" t="s">
        <v>958</v>
      </c>
      <c r="D168" s="428">
        <v>4</v>
      </c>
      <c r="E168" s="428">
        <v>8</v>
      </c>
      <c r="F168" s="428">
        <v>11</v>
      </c>
      <c r="G168" s="428">
        <v>22280.449999999997</v>
      </c>
      <c r="H168" s="429">
        <v>6712.27</v>
      </c>
      <c r="I168" s="430">
        <f t="shared" si="0"/>
      </c>
      <c r="J168" s="430">
        <f t="shared" si="2"/>
      </c>
      <c r="K168" s="439">
        <f t="shared" si="7"/>
      </c>
      <c r="L168" s="428" t="s">
        <v>940</v>
      </c>
      <c r="M168" s="431">
        <v>10</v>
      </c>
      <c r="N168" s="441"/>
      <c r="O168" s="432"/>
      <c r="P168" s="432"/>
      <c r="Q168" s="437">
        <v>3.5439651531151006</v>
      </c>
      <c r="R168" s="435">
        <v>0.20568911098501436</v>
      </c>
      <c r="S168" s="435">
        <v>0.02807464832574893</v>
      </c>
      <c r="T168" s="435">
        <v>0.029082608244519217</v>
      </c>
      <c r="U168" s="435">
        <v>0.06116207951070336</v>
      </c>
      <c r="V168" s="436">
        <v>13876.404494382023</v>
      </c>
      <c r="W168" s="435">
        <v>0.0178</v>
      </c>
      <c r="X168" s="436">
        <v>51.75</v>
      </c>
      <c r="Y168" s="437">
        <v>99.4955753524154</v>
      </c>
      <c r="Z168" s="436">
        <v>67463</v>
      </c>
      <c r="AA168" s="436">
        <v>1894</v>
      </c>
      <c r="AB168" s="436">
        <v>247</v>
      </c>
      <c r="AC168" s="436">
        <v>1962</v>
      </c>
      <c r="AD168" s="436">
        <v>120</v>
      </c>
      <c r="AE168" s="436">
        <v>7</v>
      </c>
      <c r="AF168" s="436">
        <v>1</v>
      </c>
      <c r="AG168" s="456">
        <v>64</v>
      </c>
    </row>
    <row r="169">
      <c r="A169" s="443" t="s">
        <v>1001</v>
      </c>
      <c r="B169" s="458" t="s">
        <v>950</v>
      </c>
      <c r="C169" s="444"/>
      <c r="D169" s="444">
        <f>SUM(D164:D168)</f>
      </c>
      <c r="E169" s="444">
        <f>SUM(E164:E168)</f>
      </c>
      <c r="F169" s="444">
        <f>SUM(F164:F168)</f>
      </c>
      <c r="G169" s="444">
        <f>SUM(G164:G168)</f>
      </c>
      <c r="H169" s="444">
        <f>SUM(H164:H168)</f>
      </c>
      <c r="I169" s="445">
        <f t="shared" si="0"/>
      </c>
      <c r="J169" s="445">
        <f t="shared" si="2"/>
      </c>
      <c r="K169" s="445">
        <f t="shared" si="7"/>
      </c>
      <c r="L169" s="444"/>
      <c r="M169" s="446">
        <f>SUM(M164:M168)</f>
      </c>
      <c r="N169" s="444"/>
      <c r="O169" s="444"/>
      <c r="P169" s="444"/>
      <c r="Q169" s="447">
        <f>AVERAGE(Q164:Q168)</f>
      </c>
      <c r="R169" s="448">
        <f>AVERAGE(R164:R168)</f>
      </c>
      <c r="S169" s="448">
        <f>AVERAGE(S164:S168)</f>
      </c>
      <c r="T169" s="448">
        <f>AVERAGE(T164:T168)</f>
      </c>
      <c r="U169" s="448">
        <f>AVERAGE(U164:U168)</f>
      </c>
      <c r="V169" s="449">
        <f>SUM(V164:V168)</f>
      </c>
      <c r="W169" s="448">
        <f>AVERAGE(W164:W168)</f>
      </c>
      <c r="X169" s="449"/>
      <c r="Y169" s="447">
        <f>AVERAGE(Y164:Y168)</f>
      </c>
      <c r="Z169" s="449">
        <f>SUM(Z164:Z168)</f>
      </c>
      <c r="AA169" s="449">
        <f>SUM(AA164:AA168)</f>
      </c>
      <c r="AB169" s="449">
        <f>SUM(AB164:AB168)</f>
      </c>
      <c r="AC169" s="449">
        <f>SUM(AC164:AC168)</f>
      </c>
      <c r="AD169" s="449">
        <f>SUM(AD164:AD168)</f>
      </c>
      <c r="AE169" s="449">
        <f>SUM(AE164:AE168)</f>
      </c>
      <c r="AF169" s="449">
        <f>SUM(AF164:AF168)</f>
      </c>
      <c r="AG169" s="449">
        <f>SUM(AG164:AG168)</f>
      </c>
    </row>
    <row r="170">
      <c r="A170" s="450" t="s">
        <v>1002</v>
      </c>
      <c r="B170" s="461" t="s">
        <v>955</v>
      </c>
      <c r="C170" s="452" t="s">
        <v>952</v>
      </c>
      <c r="D170" s="428">
        <v>4</v>
      </c>
      <c r="E170" s="428">
        <v>18</v>
      </c>
      <c r="F170" s="428">
        <v>19</v>
      </c>
      <c r="G170" s="428">
        <v>40834.42</v>
      </c>
      <c r="H170" s="429">
        <v>11958.119999999999</v>
      </c>
      <c r="I170" s="430">
        <f t="shared" si="0"/>
      </c>
      <c r="J170" s="430">
        <f t="shared" si="2"/>
      </c>
      <c r="K170" s="430">
        <f t="shared" si="7"/>
      </c>
      <c r="L170" s="428" t="s">
        <v>949</v>
      </c>
      <c r="M170" s="431">
        <v>10</v>
      </c>
      <c r="N170" s="432"/>
      <c r="O170" s="432"/>
      <c r="P170" s="432"/>
      <c r="Q170" s="433">
        <v>4.267708779443255</v>
      </c>
      <c r="R170" s="434">
        <v>0.16805212851124174</v>
      </c>
      <c r="S170" s="435">
        <v>0.027167747752988743</v>
      </c>
      <c r="T170" s="435">
        <v>0.028563948922307222</v>
      </c>
      <c r="U170" s="435">
        <v>0.0814663951120163</v>
      </c>
      <c r="V170" s="436">
        <v>17332.39237826394</v>
      </c>
      <c r="W170" s="435">
        <v>0.035425</v>
      </c>
      <c r="X170" s="436">
        <v>49.75</v>
      </c>
      <c r="Y170" s="437">
        <v>115.9440356031298</v>
      </c>
      <c r="Z170" s="436">
        <v>103137</v>
      </c>
      <c r="AA170" s="436">
        <v>2802</v>
      </c>
      <c r="AB170" s="436">
        <v>614</v>
      </c>
      <c r="AC170" s="436">
        <v>2946</v>
      </c>
      <c r="AD170" s="436">
        <v>240</v>
      </c>
      <c r="AE170" s="436">
        <v>32</v>
      </c>
      <c r="AF170" s="436">
        <v>8</v>
      </c>
      <c r="AG170" s="436">
        <v>163</v>
      </c>
    </row>
    <row r="171">
      <c r="A171" s="450" t="s">
        <v>1002</v>
      </c>
      <c r="B171" s="461" t="s">
        <v>947</v>
      </c>
      <c r="C171" s="452" t="s">
        <v>953</v>
      </c>
      <c r="D171" s="428">
        <v>4</v>
      </c>
      <c r="E171" s="438">
        <v>13</v>
      </c>
      <c r="F171" s="438">
        <v>18</v>
      </c>
      <c r="G171" s="438">
        <v>35262.25</v>
      </c>
      <c r="H171" s="466">
        <v>13178.14</v>
      </c>
      <c r="I171" s="430">
        <f t="shared" si="0"/>
      </c>
      <c r="J171" s="430">
        <f t="shared" si="2"/>
      </c>
      <c r="K171" s="430">
        <f t="shared" si="7"/>
      </c>
      <c r="L171" s="438"/>
      <c r="M171" s="438"/>
      <c r="N171" s="432"/>
      <c r="O171" s="432"/>
      <c r="P171" s="432"/>
      <c r="Q171" s="429">
        <v>6.775393316195372</v>
      </c>
      <c r="R171" s="435">
        <v>0.13542169404031984</v>
      </c>
      <c r="S171" s="434">
        <v>0.018629019127070025</v>
      </c>
      <c r="T171" s="435">
        <v>0.018973823594203455</v>
      </c>
      <c r="U171" s="434">
        <v>0.16203937405350832</v>
      </c>
      <c r="V171" s="436">
        <v>14138.972809667674</v>
      </c>
      <c r="W171" s="435">
        <v>0.041375</v>
      </c>
      <c r="X171" s="436">
        <v>65.75</v>
      </c>
      <c r="Y171" s="437">
        <v>126.21893168082599</v>
      </c>
      <c r="Z171" s="436">
        <v>104407</v>
      </c>
      <c r="AA171" s="436">
        <v>1945</v>
      </c>
      <c r="AB171" s="436">
        <v>585</v>
      </c>
      <c r="AC171" s="436">
        <v>1981</v>
      </c>
      <c r="AD171" s="436">
        <v>321</v>
      </c>
      <c r="AE171" s="436">
        <v>25</v>
      </c>
      <c r="AF171" s="436">
        <v>3</v>
      </c>
      <c r="AG171" s="436">
        <v>122</v>
      </c>
    </row>
    <row r="172">
      <c r="A172" s="450" t="s">
        <v>1002</v>
      </c>
      <c r="B172" s="461" t="s">
        <v>943</v>
      </c>
      <c r="C172" s="452" t="s">
        <v>954</v>
      </c>
      <c r="D172" s="450">
        <v>4</v>
      </c>
      <c r="E172" s="457">
        <v>19</v>
      </c>
      <c r="F172" s="457">
        <v>21</v>
      </c>
      <c r="G172" s="467">
        <v>41157.59000000001</v>
      </c>
      <c r="H172" s="467">
        <v>10760.699999999999</v>
      </c>
      <c r="I172" s="468">
        <f t="shared" si="0"/>
      </c>
      <c r="J172" s="430">
        <f>G173/F173</f>
      </c>
      <c r="K172" s="439">
        <f>H173/F173</f>
      </c>
      <c r="L172" s="454"/>
      <c r="M172" s="454"/>
      <c r="N172" s="441"/>
      <c r="O172" s="432"/>
      <c r="P172" s="432"/>
      <c r="Q172" s="429">
        <v>6.5935661764705875</v>
      </c>
      <c r="R172" s="435">
        <v>0.17096869494808023</v>
      </c>
      <c r="S172" s="435">
        <v>0.01646223369916075</v>
      </c>
      <c r="T172" s="435">
        <v>0.017188508715300192</v>
      </c>
      <c r="U172" s="435">
        <v>0.1443661971830986</v>
      </c>
      <c r="V172" s="436">
        <v>16949.15254237288</v>
      </c>
      <c r="W172" s="435">
        <v>0.026549999999999997</v>
      </c>
      <c r="X172" s="436">
        <v>68</v>
      </c>
      <c r="Y172" s="437">
        <v>108.5448273079406</v>
      </c>
      <c r="Z172" s="436">
        <v>99136</v>
      </c>
      <c r="AA172" s="436">
        <v>1632</v>
      </c>
      <c r="AB172" s="436">
        <v>450</v>
      </c>
      <c r="AC172" s="436">
        <v>1704</v>
      </c>
      <c r="AD172" s="436">
        <v>246</v>
      </c>
      <c r="AE172" s="436">
        <v>17</v>
      </c>
      <c r="AF172" s="436">
        <v>5</v>
      </c>
      <c r="AG172" s="436">
        <v>117</v>
      </c>
    </row>
    <row r="173">
      <c r="A173" s="450" t="s">
        <v>1002</v>
      </c>
      <c r="B173" s="461" t="s">
        <v>938</v>
      </c>
      <c r="C173" s="452" t="s">
        <v>956</v>
      </c>
      <c r="D173" s="428">
        <v>4</v>
      </c>
      <c r="E173" s="453">
        <v>17</v>
      </c>
      <c r="F173" s="453">
        <v>19</v>
      </c>
      <c r="G173" s="453">
        <v>37431.07000000001</v>
      </c>
      <c r="H173" s="469">
        <v>11409.970000000001</v>
      </c>
      <c r="I173" s="430">
        <f t="shared" si="0"/>
      </c>
      <c r="J173" s="430">
        <f t="shared" ref="J173:J177" si="3">G173/F173</f>
      </c>
      <c r="K173" s="439">
        <f t="shared" ref="K173:K177" si="8">H173/F173</f>
      </c>
      <c r="L173" s="440"/>
      <c r="M173" s="440"/>
      <c r="N173" s="441"/>
      <c r="O173" s="432"/>
      <c r="P173" s="432"/>
      <c r="Q173" s="429">
        <v>6.508824871648603</v>
      </c>
      <c r="R173" s="435">
        <v>0.18265300393135525</v>
      </c>
      <c r="S173" s="435">
        <v>0.016200580374470915</v>
      </c>
      <c r="T173" s="435">
        <v>0.01648707095724821</v>
      </c>
      <c r="U173" s="435">
        <v>0.13452914798206278</v>
      </c>
      <c r="V173" s="436">
        <v>19764.150943396227</v>
      </c>
      <c r="W173" s="435">
        <v>0.0212</v>
      </c>
      <c r="X173" s="436">
        <v>67.75</v>
      </c>
      <c r="Y173" s="437">
        <v>105.44674047649855</v>
      </c>
      <c r="Z173" s="436">
        <v>108206</v>
      </c>
      <c r="AA173" s="436">
        <v>1753</v>
      </c>
      <c r="AB173" s="436">
        <v>419</v>
      </c>
      <c r="AC173" s="436">
        <v>1784</v>
      </c>
      <c r="AD173" s="436">
        <v>240</v>
      </c>
      <c r="AE173" s="436">
        <v>10</v>
      </c>
      <c r="AF173" s="436">
        <v>2</v>
      </c>
      <c r="AG173" s="436">
        <v>126</v>
      </c>
    </row>
    <row r="174">
      <c r="A174" s="450" t="s">
        <v>1002</v>
      </c>
      <c r="B174" s="461" t="s">
        <v>957</v>
      </c>
      <c r="C174" s="452" t="s">
        <v>958</v>
      </c>
      <c r="D174" s="428">
        <v>4</v>
      </c>
      <c r="E174" s="428">
        <v>9</v>
      </c>
      <c r="F174" s="428">
        <v>10</v>
      </c>
      <c r="G174" s="428">
        <v>17300.48999999999</v>
      </c>
      <c r="H174" s="429">
        <v>9749.06</v>
      </c>
      <c r="I174" s="430">
        <f t="shared" si="0"/>
      </c>
      <c r="J174" s="430">
        <f t="shared" si="3"/>
      </c>
      <c r="K174" s="439">
        <f t="shared" si="8"/>
      </c>
      <c r="L174" s="428" t="s">
        <v>940</v>
      </c>
      <c r="M174" s="431">
        <v>10</v>
      </c>
      <c r="N174" s="441"/>
      <c r="O174" s="432"/>
      <c r="P174" s="432"/>
      <c r="Q174" s="437">
        <v>5.558187001140251</v>
      </c>
      <c r="R174" s="435">
        <v>0.21992255284808845</v>
      </c>
      <c r="S174" s="435">
        <v>0.015066657504123145</v>
      </c>
      <c r="T174" s="435">
        <v>0.015977185266630018</v>
      </c>
      <c r="U174" s="435">
        <v>0.08870967741935484</v>
      </c>
      <c r="V174" s="436">
        <v>25602.503912363067</v>
      </c>
      <c r="W174" s="435">
        <v>0.015975</v>
      </c>
      <c r="X174" s="436">
        <v>67.5</v>
      </c>
      <c r="Y174" s="437">
        <v>83.74329989004947</v>
      </c>
      <c r="Z174" s="436">
        <v>116416</v>
      </c>
      <c r="AA174" s="436">
        <v>1754</v>
      </c>
      <c r="AB174" s="436">
        <v>409</v>
      </c>
      <c r="AC174" s="436">
        <v>1860</v>
      </c>
      <c r="AD174" s="436">
        <v>165</v>
      </c>
      <c r="AE174" s="436">
        <v>18</v>
      </c>
      <c r="AF174" s="436">
        <v>6</v>
      </c>
      <c r="AG174" s="456">
        <v>124</v>
      </c>
    </row>
    <row r="175">
      <c r="A175" s="443" t="s">
        <v>1002</v>
      </c>
      <c r="B175" s="458" t="s">
        <v>950</v>
      </c>
      <c r="C175" s="444"/>
      <c r="D175" s="444">
        <f>SUM(D170:D174)</f>
      </c>
      <c r="E175" s="444">
        <f>SUM(E170:E174)</f>
      </c>
      <c r="F175" s="444">
        <f>SUM(F170:F174)</f>
      </c>
      <c r="G175" s="444">
        <f>SUM(G170:G174)</f>
      </c>
      <c r="H175" s="444">
        <f>SUM(H170:H174)</f>
      </c>
      <c r="I175" s="445">
        <f t="shared" si="0"/>
      </c>
      <c r="J175" s="445">
        <f t="shared" si="3"/>
      </c>
      <c r="K175" s="445">
        <f t="shared" si="8"/>
      </c>
      <c r="L175" s="444"/>
      <c r="M175" s="446">
        <f>SUM(M170:M174)</f>
      </c>
      <c r="N175" s="444"/>
      <c r="O175" s="444"/>
      <c r="P175" s="444"/>
      <c r="Q175" s="447">
        <f>AVERAGE(Q170:Q174)</f>
      </c>
      <c r="R175" s="448">
        <f>AVERAGE(R170:R174)</f>
      </c>
      <c r="S175" s="448">
        <f>AVERAGE(S170:S174)</f>
      </c>
      <c r="T175" s="448">
        <f>AVERAGE(T170:T174)</f>
      </c>
      <c r="U175" s="448">
        <f>AVERAGE(U170:U174)</f>
      </c>
      <c r="V175" s="449">
        <f>SUM(V170:V174)</f>
      </c>
      <c r="W175" s="448">
        <f>AVERAGE(W170:W174)</f>
      </c>
      <c r="X175" s="449"/>
      <c r="Y175" s="447">
        <f>AVERAGE(Y170:Y174)</f>
      </c>
      <c r="Z175" s="449">
        <f>SUM(Z170:Z174)</f>
      </c>
      <c r="AA175" s="449">
        <f>SUM(AA170:AA174)</f>
      </c>
      <c r="AB175" s="449">
        <f>SUM(AB170:AB174)</f>
      </c>
      <c r="AC175" s="449">
        <f>SUM(AC170:AC174)</f>
      </c>
      <c r="AD175" s="449">
        <f>SUM(AD170:AD174)</f>
      </c>
      <c r="AE175" s="449">
        <f>SUM(AE170:AE174)</f>
      </c>
      <c r="AF175" s="449">
        <f>SUM(AF170:AF174)</f>
      </c>
      <c r="AG175" s="449">
        <f>SUM(AG170:AG174)</f>
      </c>
    </row>
    <row r="176">
      <c r="A176" s="450" t="s">
        <v>1003</v>
      </c>
      <c r="B176" s="461" t="s">
        <v>947</v>
      </c>
      <c r="C176" s="452" t="s">
        <v>952</v>
      </c>
      <c r="D176" s="428">
        <v>4</v>
      </c>
      <c r="E176" s="428">
        <v>18</v>
      </c>
      <c r="F176" s="428">
        <v>24</v>
      </c>
      <c r="G176" s="428">
        <v>47939.59</v>
      </c>
      <c r="H176" s="429">
        <v>13758.84</v>
      </c>
      <c r="I176" s="430">
        <f t="shared" si="0"/>
      </c>
      <c r="J176" s="430">
        <f t="shared" si="3"/>
      </c>
      <c r="K176" s="430">
        <f t="shared" si="8"/>
      </c>
      <c r="L176" s="428" t="s">
        <v>949</v>
      </c>
      <c r="M176" s="431">
        <v>10</v>
      </c>
      <c r="N176" s="432"/>
      <c r="O176" s="432"/>
      <c r="P176" s="432"/>
      <c r="Q176" s="433">
        <v>4.394391568189077</v>
      </c>
      <c r="R176" s="434">
        <v>0.19928185276746307</v>
      </c>
      <c r="S176" s="435">
        <v>0.0203124391794579</v>
      </c>
      <c r="T176" s="435">
        <v>0.020941729055027183</v>
      </c>
      <c r="U176" s="435">
        <v>0.0811648079306072</v>
      </c>
      <c r="V176" s="436">
        <v>30717.703349282292</v>
      </c>
      <c r="W176" s="435">
        <v>0.020900000000000002</v>
      </c>
      <c r="X176" s="436">
        <v>43.25</v>
      </c>
      <c r="Y176" s="437">
        <v>89.26081145956326</v>
      </c>
      <c r="Z176" s="436">
        <v>154142</v>
      </c>
      <c r="AA176" s="436">
        <v>3131</v>
      </c>
      <c r="AB176" s="436">
        <v>642</v>
      </c>
      <c r="AC176" s="436">
        <v>3228</v>
      </c>
      <c r="AD176" s="436">
        <v>262</v>
      </c>
      <c r="AE176" s="436">
        <v>39</v>
      </c>
      <c r="AF176" s="436">
        <v>7</v>
      </c>
      <c r="AG176" s="436">
        <v>187</v>
      </c>
    </row>
    <row r="177">
      <c r="A177" s="450" t="s">
        <v>1003</v>
      </c>
      <c r="B177" s="461" t="s">
        <v>955</v>
      </c>
      <c r="C177" s="452" t="s">
        <v>953</v>
      </c>
      <c r="D177" s="428">
        <v>4</v>
      </c>
      <c r="E177" s="438">
        <v>16</v>
      </c>
      <c r="F177" s="438">
        <v>21</v>
      </c>
      <c r="G177" s="438">
        <v>43834.70000000001</v>
      </c>
      <c r="H177" s="466">
        <v>12133.82</v>
      </c>
      <c r="I177" s="430">
        <f t="shared" si="0"/>
      </c>
      <c r="J177" s="430">
        <f t="shared" si="3"/>
      </c>
      <c r="K177" s="430">
        <f t="shared" si="8"/>
      </c>
      <c r="L177" s="438"/>
      <c r="M177" s="438"/>
      <c r="N177" s="432"/>
      <c r="O177" s="432"/>
      <c r="P177" s="432"/>
      <c r="Q177" s="429">
        <v>6.450728335991494</v>
      </c>
      <c r="R177" s="435">
        <v>0.17739058597104312</v>
      </c>
      <c r="S177" s="434">
        <v>0.012043024521416224</v>
      </c>
      <c r="T177" s="435">
        <v>0.012113451565401114</v>
      </c>
      <c r="U177" s="434">
        <v>0.13372093023255813</v>
      </c>
      <c r="V177" s="436">
        <v>27706.635622817226</v>
      </c>
      <c r="W177" s="435">
        <v>0.021475</v>
      </c>
      <c r="X177" s="436">
        <v>64.25</v>
      </c>
      <c r="Y177" s="437">
        <v>77.68627953134003</v>
      </c>
      <c r="Z177" s="436">
        <v>156190</v>
      </c>
      <c r="AA177" s="436">
        <v>1881</v>
      </c>
      <c r="AB177" s="436">
        <v>595</v>
      </c>
      <c r="AC177" s="436">
        <v>1892</v>
      </c>
      <c r="AD177" s="436">
        <v>253</v>
      </c>
      <c r="AE177" s="436">
        <v>18</v>
      </c>
      <c r="AF177" s="436">
        <v>6</v>
      </c>
      <c r="AG177" s="436">
        <v>168</v>
      </c>
    </row>
    <row r="178">
      <c r="A178" s="450" t="s">
        <v>1003</v>
      </c>
      <c r="B178" s="461" t="s">
        <v>943</v>
      </c>
      <c r="C178" s="452" t="s">
        <v>954</v>
      </c>
      <c r="D178" s="470">
        <v>3.75</v>
      </c>
      <c r="E178" s="457">
        <v>10</v>
      </c>
      <c r="F178" s="457">
        <v>12</v>
      </c>
      <c r="G178" s="467">
        <v>25657.440000000002</v>
      </c>
      <c r="H178" s="467">
        <v>13331.949999999999</v>
      </c>
      <c r="I178" s="468">
        <f t="shared" si="0"/>
      </c>
      <c r="J178" s="430">
        <f>G179/F179</f>
      </c>
      <c r="K178" s="439">
        <f>H179/F179</f>
      </c>
      <c r="L178" s="454"/>
      <c r="M178" s="454"/>
      <c r="N178" s="441"/>
      <c r="O178" s="432"/>
      <c r="P178" s="432"/>
      <c r="Q178" s="429">
        <v>7.635710194730812</v>
      </c>
      <c r="R178" s="435">
        <v>0.19338344104355096</v>
      </c>
      <c r="S178" s="435">
        <v>0.012523400684268285</v>
      </c>
      <c r="T178" s="435">
        <v>0.012968103343159827</v>
      </c>
      <c r="U178" s="435">
        <v>0.1515486725663717</v>
      </c>
      <c r="V178" s="436">
        <v>26961.325966850833</v>
      </c>
      <c r="W178" s="435">
        <v>0.018099999999999998</v>
      </c>
      <c r="X178" s="436">
        <v>64</v>
      </c>
      <c r="Y178" s="437">
        <v>95.62505827756618</v>
      </c>
      <c r="Z178" s="436">
        <v>139419</v>
      </c>
      <c r="AA178" s="436">
        <v>1746</v>
      </c>
      <c r="AB178" s="436">
        <v>488</v>
      </c>
      <c r="AC178" s="436">
        <v>1808</v>
      </c>
      <c r="AD178" s="436">
        <v>274</v>
      </c>
      <c r="AE178" s="436">
        <v>16</v>
      </c>
      <c r="AF178" s="436">
        <v>5</v>
      </c>
      <c r="AG178" s="436">
        <v>141</v>
      </c>
    </row>
    <row r="179">
      <c r="A179" s="450" t="s">
        <v>1003</v>
      </c>
      <c r="B179" s="461" t="s">
        <v>938</v>
      </c>
      <c r="C179" s="452" t="s">
        <v>956</v>
      </c>
      <c r="D179" s="428">
        <v>4</v>
      </c>
      <c r="E179" s="453">
        <v>17</v>
      </c>
      <c r="F179" s="453">
        <v>18</v>
      </c>
      <c r="G179" s="453">
        <v>37947.53</v>
      </c>
      <c r="H179" s="469">
        <v>9162.95</v>
      </c>
      <c r="I179" s="430">
        <f t="shared" si="0"/>
      </c>
      <c r="J179" s="430">
        <f t="shared" ref="J179:J183" si="4">G179/F179</f>
      </c>
      <c r="K179" s="439">
        <f t="shared" ref="K179:K183" si="9">H179/F179</f>
      </c>
      <c r="L179" s="440"/>
      <c r="M179" s="440"/>
      <c r="N179" s="441"/>
      <c r="O179" s="432"/>
      <c r="P179" s="432"/>
      <c r="Q179" s="429">
        <v>7.232004735595896</v>
      </c>
      <c r="R179" s="435">
        <v>0.21328289042775497</v>
      </c>
      <c r="S179" s="435">
        <v>0.013820712524816196</v>
      </c>
      <c r="T179" s="435">
        <v>0.014126142635861857</v>
      </c>
      <c r="U179" s="435">
        <v>0.20154440154440154</v>
      </c>
      <c r="V179" s="436">
        <v>19552.49569707401</v>
      </c>
      <c r="W179" s="435">
        <v>0.014525</v>
      </c>
      <c r="X179" s="436">
        <v>64.5</v>
      </c>
      <c r="Y179" s="437">
        <v>99.95145842878026</v>
      </c>
      <c r="Z179" s="436">
        <v>91674</v>
      </c>
      <c r="AA179" s="436">
        <v>1267</v>
      </c>
      <c r="AB179" s="436">
        <v>284</v>
      </c>
      <c r="AC179" s="436">
        <v>1295</v>
      </c>
      <c r="AD179" s="436">
        <v>261</v>
      </c>
      <c r="AE179" s="436">
        <v>19</v>
      </c>
      <c r="AF179" s="436">
        <v>5</v>
      </c>
      <c r="AG179" s="436">
        <v>69</v>
      </c>
    </row>
    <row r="180">
      <c r="A180" s="450" t="s">
        <v>1003</v>
      </c>
      <c r="B180" s="463" t="s">
        <v>945</v>
      </c>
      <c r="C180" s="452" t="s">
        <v>958</v>
      </c>
      <c r="D180" s="428">
        <v>4</v>
      </c>
      <c r="E180" s="428">
        <v>16</v>
      </c>
      <c r="F180" s="428">
        <v>20</v>
      </c>
      <c r="G180" s="428">
        <v>42934.119999999995</v>
      </c>
      <c r="H180" s="429">
        <v>11044.419999999998</v>
      </c>
      <c r="I180" s="430">
        <f t="shared" si="0"/>
      </c>
      <c r="J180" s="430">
        <f t="shared" si="4"/>
      </c>
      <c r="K180" s="439">
        <f t="shared" si="9"/>
      </c>
      <c r="L180" s="428" t="s">
        <v>940</v>
      </c>
      <c r="M180" s="431">
        <v>10</v>
      </c>
      <c r="N180" s="441"/>
      <c r="O180" s="432"/>
      <c r="P180" s="432"/>
      <c r="Q180" s="437">
        <v>4.221873088685014</v>
      </c>
      <c r="R180" s="435">
        <v>0.19773231225977317</v>
      </c>
      <c r="S180" s="435">
        <v>0.017966169208897924</v>
      </c>
      <c r="T180" s="435">
        <v>0.01846065093024374</v>
      </c>
      <c r="U180" s="435">
        <v>0.07589285714285714</v>
      </c>
      <c r="V180" s="436">
        <v>28791.20879120879</v>
      </c>
      <c r="W180" s="435">
        <v>0.013649999999999999</v>
      </c>
      <c r="X180" s="436">
        <v>63.5</v>
      </c>
      <c r="Y180" s="437">
        <v>75.85088628980749</v>
      </c>
      <c r="Z180" s="436">
        <v>145607</v>
      </c>
      <c r="AA180" s="436">
        <v>2616</v>
      </c>
      <c r="AB180" s="436">
        <v>393</v>
      </c>
      <c r="AC180" s="436">
        <v>2688</v>
      </c>
      <c r="AD180" s="436">
        <v>204</v>
      </c>
      <c r="AE180" s="436">
        <v>15</v>
      </c>
      <c r="AF180" s="436">
        <v>1</v>
      </c>
      <c r="AG180" s="456">
        <v>109</v>
      </c>
    </row>
    <row r="181">
      <c r="A181" s="443" t="s">
        <v>1003</v>
      </c>
      <c r="B181" s="458" t="s">
        <v>950</v>
      </c>
      <c r="C181" s="444"/>
      <c r="D181" s="444">
        <f>SUM(D176:D180)</f>
      </c>
      <c r="E181" s="444">
        <f>SUM(E176:E180)</f>
      </c>
      <c r="F181" s="444">
        <f>SUM(F176:F180)</f>
      </c>
      <c r="G181" s="444">
        <f>SUM(G176:G180)</f>
      </c>
      <c r="H181" s="444">
        <f>SUM(H176:H180)</f>
      </c>
      <c r="I181" s="445">
        <f t="shared" si="0"/>
      </c>
      <c r="J181" s="445">
        <f t="shared" si="4"/>
      </c>
      <c r="K181" s="445">
        <f t="shared" si="9"/>
      </c>
      <c r="L181" s="444"/>
      <c r="M181" s="446">
        <f>SUM(M176:M180)</f>
      </c>
      <c r="N181" s="444"/>
      <c r="O181" s="444"/>
      <c r="P181" s="444"/>
      <c r="Q181" s="447">
        <f>AVERAGE(Q176:Q180)</f>
      </c>
      <c r="R181" s="448">
        <f>AVERAGE(R176:R180)</f>
      </c>
      <c r="S181" s="448">
        <f>AVERAGE(S176:S180)</f>
      </c>
      <c r="T181" s="448">
        <f>AVERAGE(T176:T180)</f>
      </c>
      <c r="U181" s="448">
        <f>AVERAGE(U176:U180)</f>
      </c>
      <c r="V181" s="449">
        <f>SUM(V176:V180)</f>
      </c>
      <c r="W181" s="448">
        <f>AVERAGE(W176:W180)</f>
      </c>
      <c r="X181" s="449"/>
      <c r="Y181" s="447">
        <f>AVERAGE(Y176:Y180)</f>
      </c>
      <c r="Z181" s="449">
        <f>SUM(Z176:Z180)</f>
      </c>
      <c r="AA181" s="449">
        <f>SUM(AA176:AA180)</f>
      </c>
      <c r="AB181" s="449">
        <f>SUM(AB176:AB180)</f>
      </c>
      <c r="AC181" s="449">
        <f>SUM(AC176:AC180)</f>
      </c>
      <c r="AD181" s="449">
        <f>SUM(AD176:AD180)</f>
      </c>
      <c r="AE181" s="449">
        <f>SUM(AE176:AE180)</f>
      </c>
      <c r="AF181" s="449">
        <f>SUM(AF176:AF180)</f>
      </c>
      <c r="AG181" s="449">
        <f>SUM(AG176:AG180)</f>
      </c>
    </row>
    <row r="182">
      <c r="A182" s="450" t="s">
        <v>1004</v>
      </c>
      <c r="B182" s="461" t="s">
        <v>947</v>
      </c>
      <c r="C182" s="452" t="s">
        <v>952</v>
      </c>
      <c r="D182" s="471">
        <v>3.75</v>
      </c>
      <c r="E182" s="428">
        <v>19</v>
      </c>
      <c r="F182" s="428">
        <v>20</v>
      </c>
      <c r="G182" s="428">
        <v>45807.090000000004</v>
      </c>
      <c r="H182" s="429">
        <v>13039.31</v>
      </c>
      <c r="I182" s="430">
        <f t="shared" si="0"/>
      </c>
      <c r="J182" s="430">
        <f t="shared" si="4"/>
      </c>
      <c r="K182" s="430">
        <f t="shared" si="9"/>
      </c>
      <c r="L182" s="428" t="s">
        <v>949</v>
      </c>
      <c r="M182" s="431">
        <v>10</v>
      </c>
      <c r="N182" s="432"/>
      <c r="O182" s="432"/>
      <c r="P182" s="432"/>
      <c r="Q182" s="433">
        <v>4.405172297297297</v>
      </c>
      <c r="R182" s="434">
        <v>0.1812156001697772</v>
      </c>
      <c r="S182" s="435">
        <v>0.01948727402004029</v>
      </c>
      <c r="T182" s="435">
        <v>0.020191712641710668</v>
      </c>
      <c r="U182" s="435">
        <v>0.11607433974567982</v>
      </c>
      <c r="V182" s="436">
        <v>27525.56237218814</v>
      </c>
      <c r="W182" s="435">
        <v>0.02445</v>
      </c>
      <c r="X182" s="436">
        <v>50</v>
      </c>
      <c r="Y182" s="437">
        <v>85.84479966292282</v>
      </c>
      <c r="Z182" s="436">
        <v>151894</v>
      </c>
      <c r="AA182" s="436">
        <v>2960</v>
      </c>
      <c r="AB182" s="436">
        <v>673</v>
      </c>
      <c r="AC182" s="436">
        <v>3067</v>
      </c>
      <c r="AD182" s="436">
        <v>356</v>
      </c>
      <c r="AE182" s="436">
        <v>36</v>
      </c>
      <c r="AF182" s="436">
        <v>8</v>
      </c>
      <c r="AG182" s="436">
        <v>241</v>
      </c>
    </row>
    <row r="183">
      <c r="A183" s="450" t="s">
        <v>1004</v>
      </c>
      <c r="B183" s="463" t="s">
        <v>938</v>
      </c>
      <c r="C183" s="452" t="s">
        <v>953</v>
      </c>
      <c r="D183" s="428">
        <v>4</v>
      </c>
      <c r="E183" s="438">
        <v>18</v>
      </c>
      <c r="F183" s="438">
        <v>21</v>
      </c>
      <c r="G183" s="438">
        <v>42584.159999999996</v>
      </c>
      <c r="H183" s="466">
        <v>13046.82</v>
      </c>
      <c r="I183" s="430">
        <f t="shared" si="0"/>
      </c>
      <c r="J183" s="430">
        <f t="shared" si="4"/>
      </c>
      <c r="K183" s="430">
        <f t="shared" si="9"/>
      </c>
      <c r="L183" s="438"/>
      <c r="M183" s="438"/>
      <c r="N183" s="432"/>
      <c r="O183" s="432"/>
      <c r="P183" s="432"/>
      <c r="Q183" s="429">
        <v>7.506800920598389</v>
      </c>
      <c r="R183" s="435">
        <v>0.16434218008567197</v>
      </c>
      <c r="S183" s="434">
        <v>0.010173976163158264</v>
      </c>
      <c r="T183" s="435">
        <v>0.009980799400566651</v>
      </c>
      <c r="U183" s="434">
        <v>0.12903225806451613</v>
      </c>
      <c r="V183" s="436">
        <v>28074.245939675173</v>
      </c>
      <c r="W183" s="435">
        <v>0.02155</v>
      </c>
      <c r="X183" s="436">
        <v>64</v>
      </c>
      <c r="Y183" s="437">
        <v>76.37401362774253</v>
      </c>
      <c r="Z183" s="436">
        <v>170828</v>
      </c>
      <c r="AA183" s="436">
        <v>1738</v>
      </c>
      <c r="AB183" s="436">
        <v>605</v>
      </c>
      <c r="AC183" s="436">
        <v>1705</v>
      </c>
      <c r="AD183" s="436">
        <v>220</v>
      </c>
      <c r="AE183" s="436">
        <v>28</v>
      </c>
      <c r="AF183" s="436">
        <v>9</v>
      </c>
      <c r="AG183" s="436">
        <v>201</v>
      </c>
    </row>
    <row r="184">
      <c r="A184" s="450" t="s">
        <v>1004</v>
      </c>
      <c r="B184" s="463" t="s">
        <v>955</v>
      </c>
      <c r="C184" s="452" t="s">
        <v>954</v>
      </c>
      <c r="D184" s="470">
        <v>3.5</v>
      </c>
      <c r="E184" s="457">
        <v>14</v>
      </c>
      <c r="F184" s="457">
        <v>18</v>
      </c>
      <c r="G184" s="467">
        <v>32477.47</v>
      </c>
      <c r="H184" s="467">
        <v>14104.75</v>
      </c>
      <c r="I184" s="468">
        <f t="shared" si="0"/>
      </c>
      <c r="J184" s="430">
        <f>G185/F185</f>
      </c>
      <c r="K184" s="439">
        <f>H185/F185</f>
      </c>
      <c r="L184" s="454"/>
      <c r="M184" s="454"/>
      <c r="N184" s="441"/>
      <c r="O184" s="432"/>
      <c r="P184" s="432"/>
      <c r="Q184" s="429">
        <v>6.3363656783468105</v>
      </c>
      <c r="R184" s="435">
        <v>0.1583745335971082</v>
      </c>
      <c r="S184" s="435">
        <v>0.011272198787706923</v>
      </c>
      <c r="T184" s="435">
        <v>0.011257007145135889</v>
      </c>
      <c r="U184" s="435">
        <v>0.1277552856500225</v>
      </c>
      <c r="V184" s="436">
        <v>31275.32777115614</v>
      </c>
      <c r="W184" s="435">
        <v>0.020975</v>
      </c>
      <c r="X184" s="436">
        <v>67.25</v>
      </c>
      <c r="Y184" s="437">
        <v>71.42477351792867</v>
      </c>
      <c r="Z184" s="436">
        <v>197477</v>
      </c>
      <c r="AA184" s="436">
        <v>2226</v>
      </c>
      <c r="AB184" s="436">
        <v>656</v>
      </c>
      <c r="AC184" s="436">
        <v>2223</v>
      </c>
      <c r="AD184" s="436">
        <v>284</v>
      </c>
      <c r="AE184" s="436">
        <v>29</v>
      </c>
      <c r="AF184" s="436">
        <v>6</v>
      </c>
      <c r="AG184" s="436">
        <v>219</v>
      </c>
    </row>
    <row r="185">
      <c r="A185" s="450" t="s">
        <v>1004</v>
      </c>
      <c r="B185" s="463" t="s">
        <v>945</v>
      </c>
      <c r="C185" s="452" t="s">
        <v>956</v>
      </c>
      <c r="D185" s="428">
        <v>4</v>
      </c>
      <c r="E185" s="453">
        <v>13</v>
      </c>
      <c r="F185" s="453">
        <v>16</v>
      </c>
      <c r="G185" s="453">
        <v>33210.130000000005</v>
      </c>
      <c r="H185" s="469">
        <v>13022.18</v>
      </c>
      <c r="I185" s="430">
        <f t="shared" si="0"/>
      </c>
      <c r="J185" s="430">
        <f t="shared" ref="J185:J187" si="5">G185/F185</f>
      </c>
      <c r="K185" s="439">
        <f t="shared" ref="K185:K187" si="10">H185/F185</f>
      </c>
      <c r="L185" s="440"/>
      <c r="M185" s="440"/>
      <c r="N185" s="441"/>
      <c r="O185" s="432"/>
      <c r="P185" s="432"/>
      <c r="Q185" s="429">
        <v>6.443433943592281</v>
      </c>
      <c r="R185" s="435">
        <v>0.19677642915514162</v>
      </c>
      <c r="S185" s="435">
        <v>0.011428086742627725</v>
      </c>
      <c r="T185" s="435">
        <v>0.011750402895190703</v>
      </c>
      <c r="U185" s="435">
        <v>0.12704523580365737</v>
      </c>
      <c r="V185" s="436">
        <v>34798.92761394102</v>
      </c>
      <c r="W185" s="435">
        <v>0.01865</v>
      </c>
      <c r="X185" s="436">
        <v>69.75</v>
      </c>
      <c r="Y185" s="437">
        <v>73.63612202776443</v>
      </c>
      <c r="Z185" s="436">
        <v>176845</v>
      </c>
      <c r="AA185" s="436">
        <v>2021</v>
      </c>
      <c r="AB185" s="436">
        <v>649</v>
      </c>
      <c r="AC185" s="436">
        <v>2078</v>
      </c>
      <c r="AD185" s="436">
        <v>264</v>
      </c>
      <c r="AE185" s="436">
        <v>27</v>
      </c>
      <c r="AF185" s="436">
        <v>14</v>
      </c>
      <c r="AG185" s="436">
        <v>214</v>
      </c>
    </row>
    <row r="186">
      <c r="A186" s="450" t="s">
        <v>1004</v>
      </c>
      <c r="B186" s="463" t="s">
        <v>957</v>
      </c>
      <c r="C186" s="452" t="s">
        <v>958</v>
      </c>
      <c r="D186" s="428">
        <v>4</v>
      </c>
      <c r="E186" s="428">
        <v>8</v>
      </c>
      <c r="F186" s="428">
        <v>10</v>
      </c>
      <c r="G186" s="428">
        <v>18293.119999999995</v>
      </c>
      <c r="H186" s="429">
        <v>10432.97</v>
      </c>
      <c r="I186" s="430">
        <f t="shared" si="0"/>
      </c>
      <c r="J186" s="430">
        <f t="shared" si="5"/>
      </c>
      <c r="K186" s="439">
        <f t="shared" si="10"/>
      </c>
      <c r="L186" s="428" t="s">
        <v>940</v>
      </c>
      <c r="M186" s="431">
        <v>10</v>
      </c>
      <c r="N186" s="441"/>
      <c r="O186" s="432"/>
      <c r="P186" s="432"/>
      <c r="Q186" s="437">
        <v>4.466168664383561</v>
      </c>
      <c r="R186" s="435">
        <v>0.16478392949574183</v>
      </c>
      <c r="S186" s="435">
        <v>0.014718112855666725</v>
      </c>
      <c r="T186" s="435">
        <v>0.015089846014264472</v>
      </c>
      <c r="U186" s="435">
        <v>0.08684759916492693</v>
      </c>
      <c r="V186" s="436">
        <v>26153.84615384616</v>
      </c>
      <c r="W186" s="435">
        <v>0.019499999999999997</v>
      </c>
      <c r="X186" s="436">
        <v>70</v>
      </c>
      <c r="Y186" s="437">
        <v>65.73357443483958</v>
      </c>
      <c r="Z186" s="436">
        <v>158716</v>
      </c>
      <c r="AA186" s="436">
        <v>2336</v>
      </c>
      <c r="AB186" s="436">
        <v>510</v>
      </c>
      <c r="AC186" s="436">
        <v>2395</v>
      </c>
      <c r="AD186" s="436">
        <v>208</v>
      </c>
      <c r="AE186" s="436">
        <v>22</v>
      </c>
      <c r="AF186" s="436">
        <v>7</v>
      </c>
      <c r="AG186" s="456">
        <v>214</v>
      </c>
    </row>
    <row r="187">
      <c r="A187" s="443" t="s">
        <v>1004</v>
      </c>
      <c r="B187" s="458" t="s">
        <v>950</v>
      </c>
      <c r="C187" s="444"/>
      <c r="D187" s="444">
        <f>SUM(D182:D186)</f>
      </c>
      <c r="E187" s="444">
        <f>SUM(E182:E186)</f>
      </c>
      <c r="F187" s="444">
        <f>SUM(F182:F186)</f>
      </c>
      <c r="G187" s="444">
        <f>SUM(G182:G186)</f>
      </c>
      <c r="H187" s="444">
        <f>SUM(H182:H186)</f>
      </c>
      <c r="I187" s="445">
        <f t="shared" si="0"/>
      </c>
      <c r="J187" s="445">
        <f t="shared" si="5"/>
      </c>
      <c r="K187" s="445">
        <f t="shared" si="10"/>
      </c>
      <c r="L187" s="444"/>
      <c r="M187" s="446">
        <f>SUM(M182:M186)</f>
      </c>
      <c r="N187" s="444"/>
      <c r="O187" s="444"/>
      <c r="P187" s="444"/>
      <c r="Q187" s="447">
        <f>AVERAGE(Q182:Q186)</f>
      </c>
      <c r="R187" s="448">
        <f>AVERAGE(R182:R186)</f>
      </c>
      <c r="S187" s="448">
        <f>AVERAGE(S182:S186)</f>
      </c>
      <c r="T187" s="448">
        <f>AVERAGE(T182:T186)</f>
      </c>
      <c r="U187" s="448">
        <f>AVERAGE(U182:U186)</f>
      </c>
      <c r="V187" s="449">
        <f>SUM(V182:V186)</f>
      </c>
      <c r="W187" s="448">
        <f>AVERAGE(W182:W186)</f>
      </c>
      <c r="X187" s="449"/>
      <c r="Y187" s="447">
        <f>AVERAGE(Y182:Y186)</f>
      </c>
      <c r="Z187" s="449">
        <f>SUM(Z182:Z186)</f>
      </c>
      <c r="AA187" s="449">
        <f>SUM(AA182:AA186)</f>
      </c>
      <c r="AB187" s="449">
        <f>SUM(AB182:AB186)</f>
      </c>
      <c r="AC187" s="449">
        <f>SUM(AC182:AC186)</f>
      </c>
      <c r="AD187" s="449">
        <f>SUM(AD182:AD186)</f>
      </c>
      <c r="AE187" s="449">
        <f>SUM(AE182:AE186)</f>
      </c>
      <c r="AF187" s="449">
        <f>SUM(AF182:AF186)</f>
      </c>
      <c r="AG187" s="449">
        <f>SUM(AG182:AG186)</f>
      </c>
    </row>
    <row r="188">
      <c r="E188" s="472"/>
      <c r="F188" s="473"/>
      <c r="G188" s="474">
        <v>988122.92</v>
      </c>
      <c r="H188" s="474">
        <v>351348.43</v>
      </c>
      <c r="I188">
        <f t="shared" si="0"/>
      </c>
    </row>
    <row r="189">
      <c r="E189" s="472"/>
      <c r="F189" s="473"/>
      <c r="G189" s="475"/>
      <c r="H189" s="472"/>
    </row>
    <row r="190"/>
    <row r="191">
      <c r="E191" s="472"/>
      <c r="F191" s="473"/>
      <c r="G191" s="475"/>
    </row>
    <row r="192">
      <c r="F192" s="473"/>
      <c r="G192" s="475"/>
    </row>
    <row r="193">
      <c r="F193" s="473"/>
      <c r="G193" s="476"/>
    </row>
    <row r="194">
      <c r="F194" s="473"/>
      <c r="G194" s="477"/>
    </row>
    <row r="195">
      <c r="F195" s="473"/>
      <c r="G195" s="475"/>
    </row>
    <row r="196">
      <c r="F196" s="473"/>
      <c r="G196" s="478"/>
    </row>
    <row r="197">
      <c r="F197" s="473"/>
      <c r="G197" s="476"/>
    </row>
    <row r="198"/>
    <row r="199"/>
    <row r="200">
      <c r="M200" s="479"/>
    </row>
    <row r="201"/>
    <row r="202">
      <c r="I202" s="480"/>
    </row>
    <row r="203">
      <c r="G203" s="481"/>
      <c r="H203" s="474"/>
      <c r="I203" s="480"/>
    </row>
    <row r="204">
      <c r="G204" s="481"/>
      <c r="H204" s="474"/>
      <c r="I204" s="480"/>
    </row>
    <row r="205">
      <c r="G205" s="482"/>
      <c r="H205" s="481"/>
      <c r="I205" s="480"/>
    </row>
    <row r="206">
      <c r="G206" s="481"/>
      <c r="H206" s="474"/>
      <c r="I206" s="480"/>
    </row>
    <row r="207">
      <c r="G207" s="482"/>
      <c r="H207" s="481"/>
      <c r="I207" s="480"/>
    </row>
    <row r="208">
      <c r="G208" s="483"/>
      <c r="H208" s="484"/>
      <c r="I208" s="485"/>
    </row>
    <row r="209">
      <c r="G209" s="483"/>
      <c r="H209" s="484"/>
      <c r="I209" s="485"/>
    </row>
    <row r="210">
      <c r="G210" s="483"/>
      <c r="H210" s="484"/>
      <c r="I210" s="485"/>
    </row>
  </sheetData>
  <autoFilter ref="A1:AG207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9" min="19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6" min="16" style="0" width="11.211267605633802"/>
    <col collapsed="false" customWidth="true" hidden="false" max="18" min="18" style="0" width="11.211267605633802"/>
    <col collapsed="false" customWidth="true" hidden="false" max="20" min="20" style="0" width="11.211267605633802"/>
  </cols>
  <sheetData>
    <row customHeight="true" ht="16.071428571428573" r="1">
      <c r="A1" s="486" t="s">
        <v>1005</v>
      </c>
      <c r="B1" s="487" t="s">
        <v>1006</v>
      </c>
      <c r="C1" s="487" t="s">
        <v>1007</v>
      </c>
      <c r="D1" s="487" t="s">
        <v>1008</v>
      </c>
      <c r="E1" s="486" t="s">
        <v>1009</v>
      </c>
      <c r="F1" s="487" t="s">
        <v>1010</v>
      </c>
      <c r="G1" s="487" t="s">
        <v>1011</v>
      </c>
      <c r="H1" s="487" t="s">
        <v>1012</v>
      </c>
      <c r="I1" s="488" t="s">
        <v>1013</v>
      </c>
      <c r="J1" s="488" t="s">
        <v>1014</v>
      </c>
      <c r="K1" s="488" t="s">
        <v>1015</v>
      </c>
      <c r="L1" s="487" t="s">
        <v>1016</v>
      </c>
      <c r="M1" s="489" t="s">
        <v>1017</v>
      </c>
      <c r="N1" s="487" t="s">
        <v>1018</v>
      </c>
      <c r="O1" s="487" t="s">
        <v>1019</v>
      </c>
      <c r="P1" s="487"/>
      <c r="Q1" s="487" t="s">
        <v>1020</v>
      </c>
      <c r="R1" s="490" t="s">
        <v>1021</v>
      </c>
      <c r="S1" s="490" t="s">
        <v>1022</v>
      </c>
      <c r="T1" s="490" t="s">
        <v>1023</v>
      </c>
      <c r="U1" s="490" t="s">
        <v>1024</v>
      </c>
      <c r="V1" s="491" t="s">
        <v>1025</v>
      </c>
      <c r="W1" s="490" t="s">
        <v>1026</v>
      </c>
      <c r="X1" s="491" t="s">
        <v>1027</v>
      </c>
      <c r="Y1" s="492" t="s">
        <v>1028</v>
      </c>
      <c r="Z1" s="493" t="s">
        <v>1029</v>
      </c>
      <c r="AA1" s="491" t="s">
        <v>1030</v>
      </c>
      <c r="AB1" s="491" t="s">
        <v>1031</v>
      </c>
      <c r="AC1" s="491" t="s">
        <v>1032</v>
      </c>
      <c r="AD1" s="491" t="s">
        <v>1033</v>
      </c>
      <c r="AE1" s="491" t="s">
        <v>1034</v>
      </c>
      <c r="AF1" s="491" t="s">
        <v>1035</v>
      </c>
      <c r="AG1" s="491" t="s">
        <v>1036</v>
      </c>
    </row>
    <row r="2">
      <c r="A2" s="494" t="s">
        <v>1037</v>
      </c>
      <c r="B2" s="494" t="s">
        <v>1038</v>
      </c>
      <c r="C2" s="494" t="s">
        <v>1039</v>
      </c>
      <c r="D2" s="494">
        <v>5</v>
      </c>
      <c r="E2" s="494">
        <v>15</v>
      </c>
      <c r="F2" s="494">
        <v>17</v>
      </c>
      <c r="G2" s="494">
        <v>32586.87</v>
      </c>
      <c r="H2" s="495">
        <v>13429.869999999999</v>
      </c>
      <c r="I2" s="496">
        <f t="shared" ref="I2:I175" si="0">G2/H2</f>
      </c>
      <c r="J2" s="496">
        <f t="shared" ref="J2:J175" si="1">G2/F2</f>
      </c>
      <c r="K2" s="496">
        <f t="shared" ref="K2:K175" si="2">H2/F2</f>
      </c>
      <c r="L2" s="494" t="s">
        <v>1040</v>
      </c>
      <c r="M2" s="497">
        <v>10</v>
      </c>
      <c r="N2" s="498"/>
      <c r="O2" s="498"/>
      <c r="P2" s="498"/>
      <c r="Q2" s="499">
        <v>2.1003862996559275</v>
      </c>
      <c r="R2" s="500">
        <v>0.2732561874796101</v>
      </c>
      <c r="S2" s="501">
        <v>0.041612703784452185</v>
      </c>
      <c r="T2" s="501">
        <v>0.044756109466011516</v>
      </c>
      <c r="U2" s="501">
        <v>0.060782317871164754</v>
      </c>
      <c r="V2" s="502">
        <v>41987.17948717949</v>
      </c>
      <c r="W2" s="501">
        <v>0.018719999999999997</v>
      </c>
      <c r="X2" s="502">
        <v>26.4</v>
      </c>
      <c r="Y2" s="503">
        <v>87.40275292050372</v>
      </c>
      <c r="Z2" s="502">
        <v>153655</v>
      </c>
      <c r="AA2" s="502">
        <v>6394</v>
      </c>
      <c r="AB2" s="502">
        <v>786</v>
      </c>
      <c r="AC2" s="502">
        <v>6877</v>
      </c>
      <c r="AD2" s="502">
        <v>418</v>
      </c>
      <c r="AE2" s="502">
        <v>42</v>
      </c>
      <c r="AF2" s="502">
        <v>3</v>
      </c>
      <c r="AG2" s="502">
        <v>167</v>
      </c>
    </row>
    <row r="3">
      <c r="A3" s="494" t="s">
        <v>1037</v>
      </c>
      <c r="B3" s="494" t="s">
        <v>1041</v>
      </c>
      <c r="C3" s="494" t="s">
        <v>1042</v>
      </c>
      <c r="D3" s="494">
        <v>5</v>
      </c>
      <c r="E3" s="494">
        <v>16</v>
      </c>
      <c r="F3" s="494">
        <v>20</v>
      </c>
      <c r="G3" s="494">
        <v>43196.979999999996</v>
      </c>
      <c r="H3" s="495">
        <v>14077.849999999999</v>
      </c>
      <c r="I3" s="496">
        <f t="shared" si="0"/>
      </c>
      <c r="J3" s="496">
        <f t="shared" si="1"/>
      </c>
      <c r="K3" s="496">
        <f t="shared" si="2"/>
      </c>
      <c r="L3" s="504"/>
      <c r="M3" s="504"/>
      <c r="N3" s="498"/>
      <c r="O3" s="498"/>
      <c r="P3" s="498"/>
      <c r="Q3" s="495">
        <v>4.746409305461901</v>
      </c>
      <c r="R3" s="501">
        <v>0.2626283110578851</v>
      </c>
      <c r="S3" s="500">
        <v>0.02099793277263331</v>
      </c>
      <c r="T3" s="501">
        <v>0.021868716903123496</v>
      </c>
      <c r="U3" s="500">
        <v>0.10326966655875688</v>
      </c>
      <c r="V3" s="502">
        <v>37096.77419354839</v>
      </c>
      <c r="W3" s="501">
        <v>0.0155</v>
      </c>
      <c r="X3" s="502">
        <v>38</v>
      </c>
      <c r="Y3" s="503">
        <v>99.66478350749016</v>
      </c>
      <c r="Z3" s="502">
        <v>141252</v>
      </c>
      <c r="AA3" s="502">
        <v>2966</v>
      </c>
      <c r="AB3" s="502">
        <v>575</v>
      </c>
      <c r="AC3" s="502">
        <v>3089</v>
      </c>
      <c r="AD3" s="502">
        <v>319</v>
      </c>
      <c r="AE3" s="502">
        <v>25</v>
      </c>
      <c r="AF3" s="502">
        <v>6</v>
      </c>
      <c r="AG3" s="502">
        <v>113</v>
      </c>
    </row>
    <row r="4">
      <c r="A4" s="494" t="s">
        <v>1037</v>
      </c>
      <c r="B4" s="494" t="s">
        <v>1043</v>
      </c>
      <c r="C4" s="494" t="s">
        <v>1044</v>
      </c>
      <c r="D4" s="494">
        <v>3</v>
      </c>
      <c r="E4" s="494">
        <v>11</v>
      </c>
      <c r="F4" s="494">
        <v>13</v>
      </c>
      <c r="G4" s="494">
        <v>26745.59999999999</v>
      </c>
      <c r="H4" s="495">
        <v>7847.08</v>
      </c>
      <c r="I4" s="496">
        <f t="shared" si="0"/>
      </c>
      <c r="J4" s="496">
        <f t="shared" si="1"/>
      </c>
      <c r="K4" s="505">
        <f t="shared" si="2"/>
      </c>
      <c r="L4" s="506"/>
      <c r="M4" s="506"/>
      <c r="N4" s="507"/>
      <c r="O4" s="498"/>
      <c r="P4" s="498"/>
      <c r="Q4" s="495">
        <v>3.670289990645463</v>
      </c>
      <c r="R4" s="501">
        <v>0.2615019880192389</v>
      </c>
      <c r="S4" s="501">
        <v>0.025555821180970596</v>
      </c>
      <c r="T4" s="501">
        <v>0.027085823571599332</v>
      </c>
      <c r="U4" s="501">
        <v>0.13327449249779347</v>
      </c>
      <c r="V4" s="502">
        <v>21877.256317689527</v>
      </c>
      <c r="W4" s="501">
        <v>0.01846666666666667</v>
      </c>
      <c r="X4" s="502">
        <v>41.333333333333336</v>
      </c>
      <c r="Y4" s="503">
        <v>93.79727468324168</v>
      </c>
      <c r="Z4" s="502">
        <v>83660</v>
      </c>
      <c r="AA4" s="502">
        <v>2138</v>
      </c>
      <c r="AB4" s="502">
        <v>404</v>
      </c>
      <c r="AC4" s="502">
        <v>2266</v>
      </c>
      <c r="AD4" s="502">
        <v>302</v>
      </c>
      <c r="AE4" s="502">
        <v>21</v>
      </c>
      <c r="AF4" s="502">
        <v>5</v>
      </c>
      <c r="AG4" s="502">
        <v>78</v>
      </c>
    </row>
    <row r="5">
      <c r="A5" s="494" t="s">
        <v>1037</v>
      </c>
      <c r="B5" s="494" t="s">
        <v>1045</v>
      </c>
      <c r="C5" s="494" t="s">
        <v>1046</v>
      </c>
      <c r="D5" s="494">
        <v>5</v>
      </c>
      <c r="E5" s="494">
        <v>13</v>
      </c>
      <c r="F5" s="494">
        <v>14</v>
      </c>
      <c r="G5" s="494">
        <v>31569.21000000002</v>
      </c>
      <c r="H5" s="495">
        <v>14539.69</v>
      </c>
      <c r="I5" s="496">
        <f t="shared" si="0"/>
      </c>
      <c r="J5" s="496">
        <f t="shared" si="1"/>
      </c>
      <c r="K5" s="505">
        <f t="shared" si="2"/>
      </c>
      <c r="L5" s="508" t="s">
        <v>1047</v>
      </c>
      <c r="M5" s="508">
        <v>8</v>
      </c>
      <c r="N5" s="507"/>
      <c r="O5" s="498"/>
      <c r="P5" s="498"/>
      <c r="Q5" s="503">
        <v>4.367584860318414</v>
      </c>
      <c r="R5" s="501">
        <v>0.24919209690612015</v>
      </c>
      <c r="S5" s="501">
        <v>0.020800919764310394</v>
      </c>
      <c r="T5" s="501">
        <v>0.022106835123499605</v>
      </c>
      <c r="U5" s="501">
        <v>0.11701526286037309</v>
      </c>
      <c r="V5" s="502">
        <v>39880.952380952374</v>
      </c>
      <c r="W5" s="501">
        <v>0.016800000000000002</v>
      </c>
      <c r="X5" s="502">
        <v>43.6</v>
      </c>
      <c r="Y5" s="503">
        <v>90.84978224330017</v>
      </c>
      <c r="Z5" s="502">
        <v>160041</v>
      </c>
      <c r="AA5" s="502">
        <v>3329</v>
      </c>
      <c r="AB5" s="502">
        <v>670</v>
      </c>
      <c r="AC5" s="502">
        <v>3538</v>
      </c>
      <c r="AD5" s="502">
        <v>414</v>
      </c>
      <c r="AE5" s="502">
        <v>38</v>
      </c>
      <c r="AF5" s="502">
        <v>3</v>
      </c>
      <c r="AG5" s="502">
        <v>146</v>
      </c>
    </row>
    <row r="6">
      <c r="A6" s="509" t="s">
        <v>1037</v>
      </c>
      <c r="B6" s="510" t="s">
        <v>1048</v>
      </c>
      <c r="C6" s="510"/>
      <c r="D6" s="510">
        <f>SUM(D2:D5)</f>
      </c>
      <c r="E6" s="510">
        <f>SUM(E2:E5)</f>
      </c>
      <c r="F6" s="510">
        <f>SUM(F2:F5)</f>
      </c>
      <c r="G6" s="510">
        <f>SUM(G2:G5)</f>
      </c>
      <c r="H6" s="510">
        <f>SUM(H2:H5)</f>
      </c>
      <c r="I6" s="511">
        <f t="shared" si="0"/>
      </c>
      <c r="J6" s="511">
        <f t="shared" si="1"/>
      </c>
      <c r="K6" s="511">
        <f t="shared" si="2"/>
      </c>
      <c r="L6" s="510"/>
      <c r="M6" s="512">
        <f>SUM(M2:M5)</f>
      </c>
      <c r="N6" s="510"/>
      <c r="O6" s="510"/>
      <c r="P6" s="510"/>
      <c r="Q6" s="513">
        <f>AVERAGE(Q2:Q5)</f>
      </c>
      <c r="R6" s="514">
        <f>AVERAGE(R2:R5)</f>
      </c>
      <c r="S6" s="514">
        <f>AVERAGE(S2:S5)</f>
      </c>
      <c r="T6" s="514">
        <f>AVERAGE(T2:T5)</f>
      </c>
      <c r="U6" s="514">
        <f>AVERAGE(U2:U5)</f>
      </c>
      <c r="V6" s="515">
        <f>SUM(V2:V5)</f>
      </c>
      <c r="W6" s="514">
        <f>AVERAGE(W2:W5)</f>
      </c>
      <c r="X6" s="515"/>
      <c r="Y6" s="513">
        <f>AVERAGE(Y2:Y5)</f>
      </c>
      <c r="Z6" s="515">
        <f>SUM(Z2:Z5)</f>
      </c>
      <c r="AA6" s="515">
        <f>SUM(AA2:AA5)</f>
      </c>
      <c r="AB6" s="515">
        <f>SUM(AB2:AB5)</f>
      </c>
      <c r="AC6" s="515">
        <f>SUM(AC2:AC5)</f>
      </c>
      <c r="AD6" s="515">
        <f>SUM(AD2:AD5)</f>
      </c>
      <c r="AE6" s="515">
        <f>SUM(AE2:AE5)</f>
      </c>
      <c r="AF6" s="515">
        <f>SUM(AF2:AF5)</f>
      </c>
      <c r="AG6" s="515">
        <f>SUM(AG2:AG5)</f>
      </c>
    </row>
    <row r="7">
      <c r="A7" s="494" t="s">
        <v>1049</v>
      </c>
      <c r="B7" s="494" t="s">
        <v>1041</v>
      </c>
      <c r="C7" s="494" t="s">
        <v>1039</v>
      </c>
      <c r="D7" s="494">
        <v>5</v>
      </c>
      <c r="E7" s="494">
        <v>15</v>
      </c>
      <c r="F7" s="494">
        <v>18</v>
      </c>
      <c r="G7" s="494">
        <v>39434.409999999996</v>
      </c>
      <c r="H7" s="495">
        <v>13583.66</v>
      </c>
      <c r="I7" s="496">
        <f t="shared" si="0"/>
      </c>
      <c r="J7" s="496">
        <f t="shared" si="1"/>
      </c>
      <c r="K7" s="496">
        <f t="shared" si="2"/>
      </c>
      <c r="L7" s="494" t="s">
        <v>1050</v>
      </c>
      <c r="M7" s="497">
        <v>11</v>
      </c>
      <c r="N7" s="498"/>
      <c r="O7" s="498"/>
      <c r="P7" s="498"/>
      <c r="Q7" s="499">
        <v>2.766529531568228</v>
      </c>
      <c r="R7" s="500">
        <v>0.13206415615753445</v>
      </c>
      <c r="S7" s="501">
        <v>0.04264707159670288</v>
      </c>
      <c r="T7" s="501">
        <v>0.045860802042890274</v>
      </c>
      <c r="U7" s="501">
        <v>0.06950757575757575</v>
      </c>
      <c r="V7" s="502">
        <v>15204.678362573099</v>
      </c>
      <c r="W7" s="501">
        <v>0.03762</v>
      </c>
      <c r="X7" s="502">
        <v>27</v>
      </c>
      <c r="Y7" s="503">
        <v>117.98438300718313</v>
      </c>
      <c r="Z7" s="502">
        <v>115131</v>
      </c>
      <c r="AA7" s="502">
        <v>4910</v>
      </c>
      <c r="AB7" s="502">
        <v>572</v>
      </c>
      <c r="AC7" s="502">
        <v>5280</v>
      </c>
      <c r="AD7" s="502">
        <v>367</v>
      </c>
      <c r="AE7" s="502">
        <v>30</v>
      </c>
      <c r="AF7" s="502">
        <v>4</v>
      </c>
      <c r="AG7" s="502">
        <v>127</v>
      </c>
    </row>
    <row r="8">
      <c r="A8" s="494" t="s">
        <v>1049</v>
      </c>
      <c r="B8" s="494" t="s">
        <v>1038</v>
      </c>
      <c r="C8" s="494" t="s">
        <v>1042</v>
      </c>
      <c r="D8" s="494">
        <v>5</v>
      </c>
      <c r="E8" s="494">
        <v>8</v>
      </c>
      <c r="F8" s="494">
        <v>10</v>
      </c>
      <c r="G8" s="494">
        <v>18751.379999999997</v>
      </c>
      <c r="H8" s="495">
        <v>13325.39</v>
      </c>
      <c r="I8" s="496">
        <f t="shared" si="0"/>
      </c>
      <c r="J8" s="496">
        <f t="shared" si="1"/>
      </c>
      <c r="K8" s="496">
        <f t="shared" si="2"/>
      </c>
      <c r="L8" s="504"/>
      <c r="M8" s="504"/>
      <c r="N8" s="498"/>
      <c r="O8" s="498"/>
      <c r="P8" s="498"/>
      <c r="Q8" s="495">
        <v>4.6124575977847</v>
      </c>
      <c r="R8" s="501">
        <v>0.28814664243164656</v>
      </c>
      <c r="S8" s="500">
        <v>0.023955819796512352</v>
      </c>
      <c r="T8" s="501">
        <v>0.02537376551655514</v>
      </c>
      <c r="U8" s="500">
        <v>0.12908496732026145</v>
      </c>
      <c r="V8" s="502">
        <v>34749.62063732928</v>
      </c>
      <c r="W8" s="501">
        <v>0.013180000000000002</v>
      </c>
      <c r="X8" s="502">
        <v>40.4</v>
      </c>
      <c r="Y8" s="503">
        <v>110.49520303158452</v>
      </c>
      <c r="Z8" s="502">
        <v>120597</v>
      </c>
      <c r="AA8" s="502">
        <v>2889</v>
      </c>
      <c r="AB8" s="502">
        <v>458</v>
      </c>
      <c r="AC8" s="502">
        <v>3060</v>
      </c>
      <c r="AD8" s="502">
        <v>395</v>
      </c>
      <c r="AE8" s="502">
        <v>22</v>
      </c>
      <c r="AF8" s="502">
        <v>10</v>
      </c>
      <c r="AG8" s="502">
        <v>95</v>
      </c>
    </row>
    <row r="9">
      <c r="A9" s="494" t="s">
        <v>1049</v>
      </c>
      <c r="B9" s="494" t="s">
        <v>1051</v>
      </c>
      <c r="C9" s="494" t="s">
        <v>1044</v>
      </c>
      <c r="D9" s="494">
        <v>3</v>
      </c>
      <c r="E9" s="494">
        <v>10</v>
      </c>
      <c r="F9" s="494">
        <v>10</v>
      </c>
      <c r="G9" s="494">
        <v>18101.81999999999</v>
      </c>
      <c r="H9" s="495">
        <v>7536.700000000001</v>
      </c>
      <c r="I9" s="496">
        <f t="shared" si="0"/>
      </c>
      <c r="J9" s="496">
        <f t="shared" si="1"/>
      </c>
      <c r="K9" s="505">
        <f t="shared" si="2"/>
      </c>
      <c r="L9" s="506"/>
      <c r="M9" s="506"/>
      <c r="N9" s="507"/>
      <c r="O9" s="498"/>
      <c r="P9" s="498"/>
      <c r="Q9" s="495">
        <v>4.078300865800866</v>
      </c>
      <c r="R9" s="501">
        <v>0.30837911637229015</v>
      </c>
      <c r="S9" s="501">
        <v>0.02395426912258416</v>
      </c>
      <c r="T9" s="501">
        <v>0.024848665534628694</v>
      </c>
      <c r="U9" s="501">
        <v>0.09285341679707877</v>
      </c>
      <c r="V9" s="502">
        <v>23790.52369077307</v>
      </c>
      <c r="W9" s="501">
        <v>0.013366666666666666</v>
      </c>
      <c r="X9" s="502">
        <v>44.666666666666664</v>
      </c>
      <c r="Y9" s="503">
        <v>97.69271650226193</v>
      </c>
      <c r="Z9" s="502">
        <v>77147</v>
      </c>
      <c r="AA9" s="502">
        <v>1848</v>
      </c>
      <c r="AB9" s="502">
        <v>318</v>
      </c>
      <c r="AC9" s="502">
        <v>1917</v>
      </c>
      <c r="AD9" s="502">
        <v>178</v>
      </c>
      <c r="AE9" s="502">
        <v>13</v>
      </c>
      <c r="AF9" s="502">
        <v>4</v>
      </c>
      <c r="AG9" s="502">
        <v>58</v>
      </c>
    </row>
    <row r="10">
      <c r="A10" s="494" t="s">
        <v>1049</v>
      </c>
      <c r="B10" s="494" t="s">
        <v>1045</v>
      </c>
      <c r="C10" s="494" t="s">
        <v>1046</v>
      </c>
      <c r="D10" s="494">
        <v>5</v>
      </c>
      <c r="E10" s="494">
        <v>21</v>
      </c>
      <c r="F10" s="494">
        <v>25</v>
      </c>
      <c r="G10" s="494">
        <v>54320.380000000005</v>
      </c>
      <c r="H10" s="495">
        <v>13586.970000000001</v>
      </c>
      <c r="I10" s="496">
        <f t="shared" si="0"/>
      </c>
      <c r="J10" s="496">
        <f t="shared" si="1"/>
      </c>
      <c r="K10" s="505">
        <f t="shared" si="2"/>
      </c>
      <c r="L10" s="494" t="s">
        <v>1040</v>
      </c>
      <c r="M10" s="508">
        <v>7</v>
      </c>
      <c r="N10" s="507"/>
      <c r="O10" s="498"/>
      <c r="P10" s="498"/>
      <c r="Q10" s="503">
        <v>3.12847570803592</v>
      </c>
      <c r="R10" s="501">
        <v>0.28092499114590025</v>
      </c>
      <c r="S10" s="501">
        <v>0.027961987664018337</v>
      </c>
      <c r="T10" s="501">
        <v>0.03013172974156247</v>
      </c>
      <c r="U10" s="501">
        <v>0.09401709401709402</v>
      </c>
      <c r="V10" s="502">
        <v>43632.70777479893</v>
      </c>
      <c r="W10" s="501">
        <v>0.01492</v>
      </c>
      <c r="X10" s="502">
        <v>46.8</v>
      </c>
      <c r="Y10" s="503">
        <v>87.47839915528142</v>
      </c>
      <c r="Z10" s="502">
        <v>155318</v>
      </c>
      <c r="AA10" s="502">
        <v>4343</v>
      </c>
      <c r="AB10" s="502">
        <v>651</v>
      </c>
      <c r="AC10" s="502">
        <v>4680</v>
      </c>
      <c r="AD10" s="502">
        <v>440</v>
      </c>
      <c r="AE10" s="502">
        <v>32</v>
      </c>
      <c r="AF10" s="502">
        <v>9</v>
      </c>
      <c r="AG10" s="502">
        <v>118</v>
      </c>
    </row>
    <row r="11">
      <c r="A11" s="509" t="s">
        <v>1049</v>
      </c>
      <c r="B11" s="510" t="s">
        <v>1048</v>
      </c>
      <c r="C11" s="510"/>
      <c r="D11" s="510">
        <f>SUM(D7:D10)</f>
      </c>
      <c r="E11" s="510">
        <f>SUM(E7:E10)</f>
      </c>
      <c r="F11" s="510">
        <f>SUM(F7:F10)</f>
      </c>
      <c r="G11" s="510">
        <f>SUM(G7:G10)</f>
      </c>
      <c r="H11" s="510">
        <f>SUM(H7:H10)</f>
      </c>
      <c r="I11" s="511">
        <f t="shared" si="0"/>
      </c>
      <c r="J11" s="511">
        <f t="shared" si="1"/>
      </c>
      <c r="K11" s="511">
        <f t="shared" si="2"/>
      </c>
      <c r="L11" s="510"/>
      <c r="M11" s="512">
        <f>SUM(M7:M10)</f>
      </c>
      <c r="N11" s="510"/>
      <c r="O11" s="510"/>
      <c r="P11" s="510"/>
      <c r="Q11" s="513">
        <f>AVERAGE(Q7:Q10)</f>
      </c>
      <c r="R11" s="514">
        <f>AVERAGE(R7:R10)</f>
      </c>
      <c r="S11" s="514">
        <f>AVERAGE(S7:S10)</f>
      </c>
      <c r="T11" s="514">
        <f>AVERAGE(T7:T10)</f>
      </c>
      <c r="U11" s="514">
        <f>AVERAGE(U7:U10)</f>
      </c>
      <c r="V11" s="515">
        <f>SUM(V7:V10)</f>
      </c>
      <c r="W11" s="514">
        <f>AVERAGE(W7:W10)</f>
      </c>
      <c r="X11" s="515"/>
      <c r="Y11" s="513">
        <f>AVERAGE(Y7:Y10)</f>
      </c>
      <c r="Z11" s="515">
        <f>SUM(Z7:Z10)</f>
      </c>
      <c r="AA11" s="515">
        <f>SUM(AA7:AA10)</f>
      </c>
      <c r="AB11" s="515">
        <f>SUM(AB7:AB10)</f>
      </c>
      <c r="AC11" s="515">
        <f>SUM(AC7:AC10)</f>
      </c>
      <c r="AD11" s="515">
        <f>SUM(AD7:AD10)</f>
      </c>
      <c r="AE11" s="515">
        <f>SUM(AE7:AE10)</f>
      </c>
      <c r="AF11" s="515">
        <f>SUM(AF7:AF10)</f>
      </c>
      <c r="AG11" s="515">
        <f>SUM(AG7:AG10)</f>
      </c>
    </row>
    <row r="12">
      <c r="A12" s="494" t="s">
        <v>1052</v>
      </c>
      <c r="B12" s="494" t="s">
        <v>1041</v>
      </c>
      <c r="C12" s="494" t="s">
        <v>1039</v>
      </c>
      <c r="D12" s="494">
        <v>5</v>
      </c>
      <c r="E12" s="494">
        <v>13</v>
      </c>
      <c r="F12" s="494">
        <v>15</v>
      </c>
      <c r="G12" s="494">
        <v>32199.419999999995</v>
      </c>
      <c r="H12" s="495">
        <v>13220.66</v>
      </c>
      <c r="I12" s="496">
        <f t="shared" si="0"/>
      </c>
      <c r="J12" s="496">
        <f t="shared" si="1"/>
      </c>
      <c r="K12" s="496">
        <f t="shared" si="2"/>
      </c>
      <c r="L12" s="494" t="s">
        <v>1047</v>
      </c>
      <c r="M12" s="497">
        <v>10</v>
      </c>
      <c r="N12" s="498"/>
      <c r="O12" s="498"/>
      <c r="P12" s="498"/>
      <c r="Q12" s="499">
        <v>3.396880781089414</v>
      </c>
      <c r="R12" s="500">
        <v>0.24386189630823685</v>
      </c>
      <c r="S12" s="501">
        <v>0.030613127777559288</v>
      </c>
      <c r="T12" s="501">
        <v>0.03255594446847839</v>
      </c>
      <c r="U12" s="501">
        <v>0.07054844165257308</v>
      </c>
      <c r="V12" s="502">
        <v>31003.38218714769</v>
      </c>
      <c r="W12" s="501">
        <v>0.01774</v>
      </c>
      <c r="X12" s="502">
        <v>35</v>
      </c>
      <c r="Y12" s="503">
        <v>103.98914539662563</v>
      </c>
      <c r="Z12" s="502">
        <v>127135</v>
      </c>
      <c r="AA12" s="502">
        <v>3892</v>
      </c>
      <c r="AB12" s="502">
        <v>550</v>
      </c>
      <c r="AC12" s="502">
        <v>4139</v>
      </c>
      <c r="AD12" s="502">
        <v>292</v>
      </c>
      <c r="AE12" s="502">
        <v>32</v>
      </c>
      <c r="AF12" s="502">
        <v>11</v>
      </c>
      <c r="AG12" s="502">
        <v>126</v>
      </c>
    </row>
    <row r="13">
      <c r="A13" s="494" t="s">
        <v>1052</v>
      </c>
      <c r="B13" s="494" t="s">
        <v>1043</v>
      </c>
      <c r="C13" s="494" t="s">
        <v>1053</v>
      </c>
      <c r="D13" s="494">
        <v>3</v>
      </c>
      <c r="E13" s="494">
        <v>6</v>
      </c>
      <c r="F13" s="494">
        <v>9</v>
      </c>
      <c r="G13" s="494">
        <v>18870.38</v>
      </c>
      <c r="H13" s="495">
        <v>7515.949999999999</v>
      </c>
      <c r="I13" s="496">
        <f t="shared" si="0"/>
      </c>
      <c r="J13" s="496">
        <f t="shared" si="1"/>
      </c>
      <c r="K13" s="496">
        <f t="shared" si="2"/>
      </c>
      <c r="L13" s="504"/>
      <c r="M13" s="504"/>
      <c r="N13" s="498"/>
      <c r="O13" s="498"/>
      <c r="P13" s="498"/>
      <c r="Q13" s="495">
        <v>4.258328611898016</v>
      </c>
      <c r="R13" s="501">
        <v>0.24854109847823394</v>
      </c>
      <c r="S13" s="500">
        <v>0.023991409308394954</v>
      </c>
      <c r="T13" s="501">
        <v>0.02536428882122662</v>
      </c>
      <c r="U13" s="500">
        <v>0.0969989281886388</v>
      </c>
      <c r="V13" s="502">
        <v>18284.671532846714</v>
      </c>
      <c r="W13" s="501">
        <v>0.018266666666666667</v>
      </c>
      <c r="X13" s="502">
        <v>45.666666666666664</v>
      </c>
      <c r="Y13" s="503">
        <v>102.16330469769463</v>
      </c>
      <c r="Z13" s="502">
        <v>73568</v>
      </c>
      <c r="AA13" s="502">
        <v>1765</v>
      </c>
      <c r="AB13" s="502">
        <v>334</v>
      </c>
      <c r="AC13" s="502">
        <v>1866</v>
      </c>
      <c r="AD13" s="502">
        <v>181</v>
      </c>
      <c r="AE13" s="502">
        <v>21</v>
      </c>
      <c r="AF13" s="502">
        <v>2</v>
      </c>
      <c r="AG13" s="502">
        <v>69</v>
      </c>
    </row>
    <row r="14">
      <c r="A14" s="494" t="s">
        <v>1052</v>
      </c>
      <c r="B14" s="494" t="s">
        <v>1038</v>
      </c>
      <c r="C14" s="494" t="s">
        <v>1054</v>
      </c>
      <c r="D14" s="494">
        <v>4</v>
      </c>
      <c r="E14" s="494">
        <v>12</v>
      </c>
      <c r="F14" s="494">
        <v>12</v>
      </c>
      <c r="G14" s="494">
        <v>27444.890000000007</v>
      </c>
      <c r="H14" s="495">
        <v>11496.1</v>
      </c>
      <c r="I14" s="496">
        <f t="shared" si="0"/>
      </c>
      <c r="J14" s="496">
        <f t="shared" si="1"/>
      </c>
      <c r="K14" s="505">
        <f t="shared" si="2"/>
      </c>
      <c r="L14" s="506"/>
      <c r="M14" s="506"/>
      <c r="N14" s="507"/>
      <c r="O14" s="498"/>
      <c r="P14" s="498"/>
      <c r="Q14" s="495">
        <v>5.256561499771377</v>
      </c>
      <c r="R14" s="501">
        <v>0.25352264065709595</v>
      </c>
      <c r="S14" s="501">
        <v>0.02060214405486369</v>
      </c>
      <c r="T14" s="501">
        <v>0.02134634587486105</v>
      </c>
      <c r="U14" s="501">
        <v>0.11518093556928509</v>
      </c>
      <c r="V14" s="502">
        <v>26912.442396313363</v>
      </c>
      <c r="W14" s="501">
        <v>0.016275</v>
      </c>
      <c r="X14" s="502">
        <v>49.25</v>
      </c>
      <c r="Y14" s="503">
        <v>108.29643725154021</v>
      </c>
      <c r="Z14" s="502">
        <v>106154</v>
      </c>
      <c r="AA14" s="502">
        <v>2187</v>
      </c>
      <c r="AB14" s="502">
        <v>438</v>
      </c>
      <c r="AC14" s="502">
        <v>2266</v>
      </c>
      <c r="AD14" s="502">
        <v>261</v>
      </c>
      <c r="AE14" s="502">
        <v>21</v>
      </c>
      <c r="AF14" s="502">
        <v>2</v>
      </c>
      <c r="AG14" s="502">
        <v>86</v>
      </c>
    </row>
    <row customHeight="true" ht="16.071428571428573" r="15">
      <c r="A15" s="494" t="s">
        <v>1052</v>
      </c>
      <c r="B15" s="494" t="s">
        <v>1055</v>
      </c>
      <c r="C15" s="494" t="s">
        <v>1056</v>
      </c>
      <c r="D15" s="494">
        <v>4</v>
      </c>
      <c r="E15" s="494">
        <v>10</v>
      </c>
      <c r="F15" s="494">
        <v>13</v>
      </c>
      <c r="G15" s="494">
        <v>23326.899999999987</v>
      </c>
      <c r="H15" s="495">
        <v>11180.78</v>
      </c>
      <c r="I15" s="496">
        <f t="shared" si="0"/>
      </c>
      <c r="J15" s="496">
        <f t="shared" si="1"/>
      </c>
      <c r="K15" s="505">
        <f t="shared" si="2"/>
      </c>
      <c r="L15" s="506"/>
      <c r="M15" s="506"/>
      <c r="N15" s="507"/>
      <c r="O15" s="498"/>
      <c r="P15" s="498"/>
      <c r="Q15" s="495">
        <v>4.046935366739288</v>
      </c>
      <c r="R15" s="501">
        <v>0.2313679589255768</v>
      </c>
      <c r="S15" s="501">
        <v>0.02649529068816563</v>
      </c>
      <c r="T15" s="501">
        <v>0.028034595884282733</v>
      </c>
      <c r="U15" s="501">
        <v>0.1153054221002059</v>
      </c>
      <c r="V15" s="502">
        <v>24049.07975460123</v>
      </c>
      <c r="W15" s="501">
        <v>0.020374999999999997</v>
      </c>
      <c r="X15" s="502">
        <v>52.75</v>
      </c>
      <c r="Y15" s="503">
        <v>107.22472893797561</v>
      </c>
      <c r="Z15" s="502">
        <v>103943</v>
      </c>
      <c r="AA15" s="502">
        <v>2754</v>
      </c>
      <c r="AB15" s="502">
        <v>490</v>
      </c>
      <c r="AC15" s="502">
        <v>2914</v>
      </c>
      <c r="AD15" s="502">
        <v>336</v>
      </c>
      <c r="AE15" s="502">
        <v>25</v>
      </c>
      <c r="AF15" s="502">
        <v>11</v>
      </c>
      <c r="AG15" s="502">
        <v>106</v>
      </c>
    </row>
    <row r="16">
      <c r="A16" s="494" t="s">
        <v>1052</v>
      </c>
      <c r="B16" s="494" t="s">
        <v>1045</v>
      </c>
      <c r="C16" s="494" t="s">
        <v>1057</v>
      </c>
      <c r="D16" s="494">
        <v>4</v>
      </c>
      <c r="E16" s="494">
        <v>16</v>
      </c>
      <c r="F16" s="494">
        <v>16</v>
      </c>
      <c r="G16" s="494">
        <v>32490.329999999994</v>
      </c>
      <c r="H16" s="495">
        <v>8784.310000000001</v>
      </c>
      <c r="I16" s="496">
        <f t="shared" si="0"/>
      </c>
      <c r="J16" s="496">
        <f t="shared" si="1"/>
      </c>
      <c r="K16" s="505">
        <f t="shared" si="2"/>
      </c>
      <c r="L16" s="494" t="s">
        <v>1040</v>
      </c>
      <c r="M16" s="508">
        <v>10</v>
      </c>
      <c r="N16" s="507"/>
      <c r="O16" s="498"/>
      <c r="P16" s="498"/>
      <c r="Q16" s="503">
        <v>2.3061984772906277</v>
      </c>
      <c r="R16" s="501">
        <v>0.2532836375017824</v>
      </c>
      <c r="S16" s="501">
        <v>0.03473336737671433</v>
      </c>
      <c r="T16" s="501">
        <v>0.03743252115552962</v>
      </c>
      <c r="U16" s="501">
        <v>0.06772228989037758</v>
      </c>
      <c r="V16" s="502">
        <v>27776.096822995463</v>
      </c>
      <c r="W16" s="501">
        <v>0.016524999999999998</v>
      </c>
      <c r="X16" s="502">
        <v>53.5</v>
      </c>
      <c r="Y16" s="503">
        <v>80.10203895535454</v>
      </c>
      <c r="Z16" s="502">
        <v>109664</v>
      </c>
      <c r="AA16" s="502">
        <v>3809</v>
      </c>
      <c r="AB16" s="502">
        <v>459</v>
      </c>
      <c r="AC16" s="502">
        <v>4105</v>
      </c>
      <c r="AD16" s="502">
        <v>278</v>
      </c>
      <c r="AE16" s="502">
        <v>26</v>
      </c>
      <c r="AF16" s="502">
        <v>6</v>
      </c>
      <c r="AG16" s="502">
        <v>110</v>
      </c>
    </row>
    <row r="17">
      <c r="A17" s="509" t="s">
        <v>1052</v>
      </c>
      <c r="B17" s="510" t="s">
        <v>1048</v>
      </c>
      <c r="C17" s="510"/>
      <c r="D17" s="510">
        <f>SUM(D12:D16)</f>
      </c>
      <c r="E17" s="510">
        <f>SUM(E12:E16)</f>
      </c>
      <c r="F17" s="510">
        <f>SUM(F12:F16)</f>
      </c>
      <c r="G17" s="510">
        <f>SUM(G12:G16)</f>
      </c>
      <c r="H17" s="510">
        <f>SUM(H12:H16)</f>
      </c>
      <c r="I17" s="511">
        <f t="shared" si="0"/>
      </c>
      <c r="J17" s="511">
        <f t="shared" si="1"/>
      </c>
      <c r="K17" s="511">
        <f t="shared" si="2"/>
      </c>
      <c r="L17" s="510"/>
      <c r="M17" s="512">
        <f>SUM(M12:M16)</f>
      </c>
      <c r="N17" s="510"/>
      <c r="O17" s="510"/>
      <c r="P17" s="510"/>
      <c r="Q17" s="513">
        <f>AVERAGE(Q12:Q16)</f>
      </c>
      <c r="R17" s="514">
        <f>AVERAGE(R12:R16)</f>
      </c>
      <c r="S17" s="514">
        <f>AVERAGE(S12:S16)</f>
      </c>
      <c r="T17" s="514">
        <f>AVERAGE(T12:T16)</f>
      </c>
      <c r="U17" s="514">
        <f>AVERAGE(U12:U16)</f>
      </c>
      <c r="V17" s="515">
        <f>SUM(V12:V16)</f>
      </c>
      <c r="W17" s="514">
        <f>AVERAGE(W12:W16)</f>
      </c>
      <c r="X17" s="515"/>
      <c r="Y17" s="513">
        <f>AVERAGE(Y12:Y16)</f>
      </c>
      <c r="Z17" s="515">
        <f>SUM(Z12:Z16)</f>
      </c>
      <c r="AA17" s="515">
        <f>SUM(AA12:AA16)</f>
      </c>
      <c r="AB17" s="515">
        <f>SUM(AB12:AB16)</f>
      </c>
      <c r="AC17" s="515">
        <f>SUM(AC12:AC16)</f>
      </c>
      <c r="AD17" s="515">
        <f>SUM(AD12:AD16)</f>
      </c>
      <c r="AE17" s="515">
        <f>SUM(AE12:AE16)</f>
      </c>
      <c r="AF17" s="515">
        <f>SUM(AF12:AF16)</f>
      </c>
      <c r="AG17" s="515">
        <f>SUM(AG12:AG16)</f>
      </c>
    </row>
    <row r="18">
      <c r="A18" s="494" t="s">
        <v>1058</v>
      </c>
      <c r="B18" s="494" t="s">
        <v>1038</v>
      </c>
      <c r="C18" s="494" t="s">
        <v>1039</v>
      </c>
      <c r="D18" s="494">
        <v>5</v>
      </c>
      <c r="E18" s="494">
        <v>15</v>
      </c>
      <c r="F18" s="494">
        <v>20</v>
      </c>
      <c r="G18" s="494">
        <v>40125.27</v>
      </c>
      <c r="H18" s="495">
        <v>14154.64</v>
      </c>
      <c r="I18" s="496">
        <f t="shared" si="0"/>
      </c>
      <c r="J18" s="496">
        <f t="shared" si="1"/>
      </c>
      <c r="K18" s="496">
        <f t="shared" si="2"/>
      </c>
      <c r="L18" s="494" t="s">
        <v>1047</v>
      </c>
      <c r="M18" s="497">
        <v>10</v>
      </c>
      <c r="N18" s="498"/>
      <c r="O18" s="498"/>
      <c r="P18" s="498"/>
      <c r="Q18" s="499">
        <v>2.1349381598793364</v>
      </c>
      <c r="R18" s="500">
        <v>0.28220231188881756</v>
      </c>
      <c r="S18" s="501">
        <v>0.040710312050989204</v>
      </c>
      <c r="T18" s="501">
        <v>0.043442753810067666</v>
      </c>
      <c r="U18" s="501">
        <v>0.05314487632508834</v>
      </c>
      <c r="V18" s="502">
        <v>45958.90410958905</v>
      </c>
      <c r="W18" s="501">
        <v>0.014599999999999998</v>
      </c>
      <c r="X18" s="502">
        <v>29</v>
      </c>
      <c r="Y18" s="503">
        <v>86.91399869825246</v>
      </c>
      <c r="Z18" s="502">
        <v>162858</v>
      </c>
      <c r="AA18" s="502">
        <v>6630</v>
      </c>
      <c r="AB18" s="502">
        <v>671</v>
      </c>
      <c r="AC18" s="502">
        <v>7075</v>
      </c>
      <c r="AD18" s="502">
        <v>376</v>
      </c>
      <c r="AE18" s="502">
        <v>49</v>
      </c>
      <c r="AF18" s="502">
        <v>4</v>
      </c>
      <c r="AG18" s="502">
        <v>156</v>
      </c>
    </row>
    <row r="19">
      <c r="A19" s="494" t="s">
        <v>1058</v>
      </c>
      <c r="B19" s="494" t="s">
        <v>1051</v>
      </c>
      <c r="C19" s="494" t="s">
        <v>1053</v>
      </c>
      <c r="D19" s="494">
        <v>3</v>
      </c>
      <c r="E19" s="494">
        <v>5</v>
      </c>
      <c r="F19" s="494">
        <v>6</v>
      </c>
      <c r="G19" s="494">
        <v>12406.409999999996</v>
      </c>
      <c r="H19" s="495">
        <v>7923.049999999999</v>
      </c>
      <c r="I19" s="496">
        <f t="shared" si="0"/>
      </c>
      <c r="J19" s="496">
        <f t="shared" si="1"/>
      </c>
      <c r="K19" s="496">
        <f t="shared" si="2"/>
      </c>
      <c r="L19" s="504"/>
      <c r="M19" s="504"/>
      <c r="N19" s="498"/>
      <c r="O19" s="498"/>
      <c r="P19" s="498"/>
      <c r="Q19" s="495">
        <v>4.471247178329571</v>
      </c>
      <c r="R19" s="501">
        <v>0.22677745070383104</v>
      </c>
      <c r="S19" s="500">
        <v>0.024484607306693197</v>
      </c>
      <c r="T19" s="501">
        <v>0.026184159619742443</v>
      </c>
      <c r="U19" s="500">
        <v>0.08759894459102903</v>
      </c>
      <c r="V19" s="502">
        <v>16412.33766233766</v>
      </c>
      <c r="W19" s="501">
        <v>0.020533333333333334</v>
      </c>
      <c r="X19" s="502">
        <v>38</v>
      </c>
      <c r="Y19" s="503">
        <v>109.47673133255954</v>
      </c>
      <c r="Z19" s="502">
        <v>72372</v>
      </c>
      <c r="AA19" s="502">
        <v>1772</v>
      </c>
      <c r="AB19" s="502">
        <v>337</v>
      </c>
      <c r="AC19" s="502">
        <v>1895</v>
      </c>
      <c r="AD19" s="502">
        <v>166</v>
      </c>
      <c r="AE19" s="502">
        <v>19</v>
      </c>
      <c r="AF19" s="502">
        <v>3</v>
      </c>
      <c r="AG19" s="502">
        <v>71</v>
      </c>
    </row>
    <row r="20">
      <c r="A20" s="494" t="s">
        <v>1058</v>
      </c>
      <c r="B20" s="494" t="s">
        <v>1055</v>
      </c>
      <c r="C20" s="494" t="s">
        <v>1059</v>
      </c>
      <c r="D20" s="494">
        <v>5</v>
      </c>
      <c r="E20" s="494">
        <v>15</v>
      </c>
      <c r="F20" s="494">
        <v>16</v>
      </c>
      <c r="G20" s="494">
        <v>32493.20000000001</v>
      </c>
      <c r="H20" s="495">
        <v>13478.85</v>
      </c>
      <c r="I20" s="496">
        <f t="shared" si="0"/>
      </c>
      <c r="J20" s="496">
        <f t="shared" si="1"/>
      </c>
      <c r="K20" s="505">
        <f t="shared" si="2"/>
      </c>
      <c r="L20" s="506"/>
      <c r="M20" s="506"/>
      <c r="N20" s="507"/>
      <c r="O20" s="498"/>
      <c r="P20" s="498"/>
      <c r="Q20" s="495">
        <v>3.9354306569343067</v>
      </c>
      <c r="R20" s="501">
        <v>0.21323855881358383</v>
      </c>
      <c r="S20" s="501">
        <v>0.02586994780690822</v>
      </c>
      <c r="T20" s="501">
        <v>0.027410814771173703</v>
      </c>
      <c r="U20" s="501">
        <v>0.10912096996417746</v>
      </c>
      <c r="V20" s="502">
        <v>28231.292517006805</v>
      </c>
      <c r="W20" s="501">
        <v>0.020579999999999998</v>
      </c>
      <c r="X20" s="502">
        <v>43.2</v>
      </c>
      <c r="Y20" s="503">
        <v>101.80938569259703</v>
      </c>
      <c r="Z20" s="502">
        <v>132393</v>
      </c>
      <c r="AA20" s="502">
        <v>3425</v>
      </c>
      <c r="AB20" s="502">
        <v>581</v>
      </c>
      <c r="AC20" s="502">
        <v>3629</v>
      </c>
      <c r="AD20" s="502">
        <v>396</v>
      </c>
      <c r="AE20" s="502">
        <v>33</v>
      </c>
      <c r="AF20" s="502">
        <v>4</v>
      </c>
      <c r="AG20" s="502">
        <v>126</v>
      </c>
    </row>
    <row r="21">
      <c r="A21" s="494" t="s">
        <v>1058</v>
      </c>
      <c r="B21" s="494" t="s">
        <v>1043</v>
      </c>
      <c r="C21" s="494" t="s">
        <v>1060</v>
      </c>
      <c r="D21" s="494">
        <v>3</v>
      </c>
      <c r="E21" s="494">
        <v>5</v>
      </c>
      <c r="F21" s="494">
        <v>7</v>
      </c>
      <c r="G21" s="494">
        <v>10772.199999999997</v>
      </c>
      <c r="H21" s="495">
        <v>9076.189999999999</v>
      </c>
      <c r="I21" s="496">
        <f t="shared" si="0"/>
      </c>
      <c r="J21" s="496">
        <f t="shared" si="1"/>
      </c>
      <c r="K21" s="505">
        <f t="shared" si="2"/>
      </c>
      <c r="L21" s="506"/>
      <c r="M21" s="506"/>
      <c r="N21" s="507"/>
      <c r="O21" s="498"/>
      <c r="P21" s="498"/>
      <c r="Q21" s="495">
        <v>4.0071479028697565</v>
      </c>
      <c r="R21" s="501">
        <v>0.2187334364191864</v>
      </c>
      <c r="S21" s="501">
        <v>0.025379573085326908</v>
      </c>
      <c r="T21" s="501">
        <v>0.026948288419519302</v>
      </c>
      <c r="U21" s="501">
        <v>0.1288981288981289</v>
      </c>
      <c r="V21" s="502">
        <v>19520.86553323029</v>
      </c>
      <c r="W21" s="501">
        <v>0.021566666666666668</v>
      </c>
      <c r="X21" s="502">
        <v>45.666666666666664</v>
      </c>
      <c r="Y21" s="503">
        <v>101.69970306459744</v>
      </c>
      <c r="Z21" s="502">
        <v>89245</v>
      </c>
      <c r="AA21" s="502">
        <v>2265</v>
      </c>
      <c r="AB21" s="502">
        <v>421</v>
      </c>
      <c r="AC21" s="502">
        <v>2405</v>
      </c>
      <c r="AD21" s="502">
        <v>310</v>
      </c>
      <c r="AE21" s="502">
        <v>16</v>
      </c>
      <c r="AF21" s="502">
        <v>4</v>
      </c>
      <c r="AG21" s="502">
        <v>103</v>
      </c>
    </row>
    <row r="22">
      <c r="A22" s="494" t="s">
        <v>1058</v>
      </c>
      <c r="B22" s="494" t="s">
        <v>1045</v>
      </c>
      <c r="C22" s="494" t="s">
        <v>1057</v>
      </c>
      <c r="D22" s="494">
        <v>4</v>
      </c>
      <c r="E22" s="494">
        <v>12</v>
      </c>
      <c r="F22" s="494">
        <v>16</v>
      </c>
      <c r="G22" s="494">
        <v>28263.97</v>
      </c>
      <c r="H22" s="495">
        <v>8936.169999999998</v>
      </c>
      <c r="I22" s="496">
        <f t="shared" si="0"/>
      </c>
      <c r="J22" s="496">
        <f t="shared" si="1"/>
      </c>
      <c r="K22" s="505">
        <f t="shared" si="2"/>
      </c>
      <c r="L22" s="494" t="s">
        <v>1040</v>
      </c>
      <c r="M22" s="508">
        <v>10</v>
      </c>
      <c r="N22" s="507"/>
      <c r="O22" s="498"/>
      <c r="P22" s="498"/>
      <c r="Q22" s="503">
        <v>3.9733970653623825</v>
      </c>
      <c r="R22" s="501">
        <v>0.22457743708515665</v>
      </c>
      <c r="S22" s="501">
        <v>0.020701018022495903</v>
      </c>
      <c r="T22" s="501">
        <v>0.021842381399458773</v>
      </c>
      <c r="U22" s="501">
        <v>0.1011378002528445</v>
      </c>
      <c r="V22" s="502">
        <v>24398.54191980559</v>
      </c>
      <c r="W22" s="501">
        <v>0.020575</v>
      </c>
      <c r="X22" s="502">
        <v>49.75</v>
      </c>
      <c r="Y22" s="503">
        <v>82.25336426059901</v>
      </c>
      <c r="Z22" s="502">
        <v>108642</v>
      </c>
      <c r="AA22" s="502">
        <v>2249</v>
      </c>
      <c r="AB22" s="502">
        <v>502</v>
      </c>
      <c r="AC22" s="502">
        <v>2373</v>
      </c>
      <c r="AD22" s="502">
        <v>240</v>
      </c>
      <c r="AE22" s="502">
        <v>27</v>
      </c>
      <c r="AF22" s="502">
        <v>11</v>
      </c>
      <c r="AG22" s="502">
        <v>125</v>
      </c>
    </row>
    <row r="23">
      <c r="A23" s="509" t="s">
        <v>1058</v>
      </c>
      <c r="B23" s="510" t="s">
        <v>1048</v>
      </c>
      <c r="C23" s="510"/>
      <c r="D23" s="510">
        <f>SUM(D18:D22)</f>
      </c>
      <c r="E23" s="510">
        <f>SUM(E18:E22)</f>
      </c>
      <c r="F23" s="510">
        <f>SUM(F18:F22)</f>
      </c>
      <c r="G23" s="510">
        <f>SUM(G18:G22)</f>
      </c>
      <c r="H23" s="510">
        <f>SUM(H18:H22)</f>
      </c>
      <c r="I23" s="511">
        <f t="shared" si="0"/>
      </c>
      <c r="J23" s="511">
        <f t="shared" si="1"/>
      </c>
      <c r="K23" s="511">
        <f t="shared" si="2"/>
      </c>
      <c r="L23" s="510"/>
      <c r="M23" s="512">
        <f>SUM(M18:M22)</f>
      </c>
      <c r="N23" s="510"/>
      <c r="O23" s="510"/>
      <c r="P23" s="510"/>
      <c r="Q23" s="513">
        <f>AVERAGE(Q18:Q22)</f>
      </c>
      <c r="R23" s="514">
        <f>AVERAGE(R18:R22)</f>
      </c>
      <c r="S23" s="514">
        <f>AVERAGE(S18:S22)</f>
      </c>
      <c r="T23" s="514">
        <f>AVERAGE(T18:T22)</f>
      </c>
      <c r="U23" s="514">
        <f>AVERAGE(U18:U22)</f>
      </c>
      <c r="V23" s="515">
        <f>SUM(V18:V22)</f>
      </c>
      <c r="W23" s="514">
        <f>AVERAGE(W18:W22)</f>
      </c>
      <c r="X23" s="515"/>
      <c r="Y23" s="513">
        <f>AVERAGE(Y18:Y22)</f>
      </c>
      <c r="Z23" s="515">
        <f>SUM(Z18:Z22)</f>
      </c>
      <c r="AA23" s="515">
        <f>SUM(AA18:AA22)</f>
      </c>
      <c r="AB23" s="515">
        <f>SUM(AB18:AB22)</f>
      </c>
      <c r="AC23" s="515">
        <f>SUM(AC18:AC22)</f>
      </c>
      <c r="AD23" s="515">
        <f>SUM(AD18:AD22)</f>
      </c>
      <c r="AE23" s="515">
        <f>SUM(AE18:AE22)</f>
      </c>
      <c r="AF23" s="515">
        <f>SUM(AF18:AF22)</f>
      </c>
      <c r="AG23" s="515">
        <f>SUM(AG18:AG22)</f>
      </c>
    </row>
    <row r="24">
      <c r="A24" s="494" t="s">
        <v>1061</v>
      </c>
      <c r="B24" s="494" t="s">
        <v>1055</v>
      </c>
      <c r="C24" s="494" t="s">
        <v>1039</v>
      </c>
      <c r="D24" s="494">
        <v>5</v>
      </c>
      <c r="E24" s="494">
        <v>20</v>
      </c>
      <c r="F24" s="494">
        <v>21</v>
      </c>
      <c r="G24" s="494">
        <v>40389.92</v>
      </c>
      <c r="H24" s="495">
        <v>13909.64</v>
      </c>
      <c r="I24" s="496">
        <f t="shared" si="0"/>
      </c>
      <c r="J24" s="496">
        <f t="shared" si="1"/>
      </c>
      <c r="K24" s="496">
        <f t="shared" si="2"/>
      </c>
      <c r="L24" s="494" t="s">
        <v>1047</v>
      </c>
      <c r="M24" s="497">
        <v>10</v>
      </c>
      <c r="N24" s="498"/>
      <c r="O24" s="498"/>
      <c r="P24" s="498"/>
      <c r="Q24" s="499">
        <v>2.83696512339384</v>
      </c>
      <c r="R24" s="500">
        <v>0.19093575550849526</v>
      </c>
      <c r="S24" s="501">
        <v>0.03184945077073982</v>
      </c>
      <c r="T24" s="501">
        <v>0.03360984260408073</v>
      </c>
      <c r="U24" s="501">
        <v>0.07537688442211055</v>
      </c>
      <c r="V24" s="502">
        <v>29393.223010244285</v>
      </c>
      <c r="W24" s="501">
        <v>0.025380000000000003</v>
      </c>
      <c r="X24" s="502">
        <v>36.6</v>
      </c>
      <c r="Y24" s="503">
        <v>90.35578103583794</v>
      </c>
      <c r="Z24" s="502">
        <v>153943</v>
      </c>
      <c r="AA24" s="502">
        <v>4903</v>
      </c>
      <c r="AB24" s="502">
        <v>746</v>
      </c>
      <c r="AC24" s="502">
        <v>5174</v>
      </c>
      <c r="AD24" s="502">
        <v>390</v>
      </c>
      <c r="AE24" s="502">
        <v>38</v>
      </c>
      <c r="AF24" s="502">
        <v>8</v>
      </c>
      <c r="AG24" s="502">
        <v>210</v>
      </c>
    </row>
    <row r="25">
      <c r="A25" s="494" t="s">
        <v>1061</v>
      </c>
      <c r="B25" s="494" t="s">
        <v>1051</v>
      </c>
      <c r="C25" s="494" t="s">
        <v>1053</v>
      </c>
      <c r="D25" s="494">
        <v>3</v>
      </c>
      <c r="E25" s="494">
        <v>9</v>
      </c>
      <c r="F25" s="494">
        <v>9</v>
      </c>
      <c r="G25" s="494">
        <v>16859.71</v>
      </c>
      <c r="H25" s="495">
        <v>7507.9</v>
      </c>
      <c r="I25" s="496">
        <f t="shared" si="0"/>
      </c>
      <c r="J25" s="496">
        <f t="shared" si="1"/>
      </c>
      <c r="K25" s="496">
        <f t="shared" si="2"/>
      </c>
      <c r="L25" s="504"/>
      <c r="M25" s="504"/>
      <c r="N25" s="498"/>
      <c r="O25" s="498"/>
      <c r="P25" s="498"/>
      <c r="Q25" s="495">
        <v>5.657799547852298</v>
      </c>
      <c r="R25" s="501">
        <v>0.13656392607464124</v>
      </c>
      <c r="S25" s="500">
        <v>0.013705987461138826</v>
      </c>
      <c r="T25" s="501">
        <v>0.013933215587849492</v>
      </c>
      <c r="U25" s="500">
        <v>0.13862120088954782</v>
      </c>
      <c r="V25" s="502">
        <v>13221.98275862069</v>
      </c>
      <c r="W25" s="501">
        <v>0.03093333333333333</v>
      </c>
      <c r="X25" s="502">
        <v>50.666666666666664</v>
      </c>
      <c r="Y25" s="503">
        <v>77.54572966050053</v>
      </c>
      <c r="Z25" s="502">
        <v>96819</v>
      </c>
      <c r="AA25" s="502">
        <v>1327</v>
      </c>
      <c r="AB25" s="502">
        <v>409</v>
      </c>
      <c r="AC25" s="502">
        <v>1349</v>
      </c>
      <c r="AD25" s="502">
        <v>187</v>
      </c>
      <c r="AE25" s="502">
        <v>33</v>
      </c>
      <c r="AF25" s="502">
        <v>8</v>
      </c>
      <c r="AG25" s="502">
        <v>191</v>
      </c>
    </row>
    <row r="26">
      <c r="A26" s="494" t="s">
        <v>1061</v>
      </c>
      <c r="B26" s="494" t="s">
        <v>1038</v>
      </c>
      <c r="C26" s="494" t="s">
        <v>1054</v>
      </c>
      <c r="D26" s="494">
        <v>4</v>
      </c>
      <c r="E26" s="494">
        <v>10</v>
      </c>
      <c r="F26" s="494">
        <v>13</v>
      </c>
      <c r="G26" s="494">
        <v>23112.629999999997</v>
      </c>
      <c r="H26" s="495">
        <v>10449.669999999998</v>
      </c>
      <c r="I26" s="496">
        <f t="shared" si="0"/>
      </c>
      <c r="J26" s="496">
        <f t="shared" si="1"/>
      </c>
      <c r="K26" s="505">
        <f t="shared" si="2"/>
      </c>
      <c r="L26" s="506"/>
      <c r="M26" s="506"/>
      <c r="N26" s="507"/>
      <c r="O26" s="498"/>
      <c r="P26" s="498"/>
      <c r="Q26" s="495">
        <v>4.388773624527508</v>
      </c>
      <c r="R26" s="501">
        <v>0.16781691414405334</v>
      </c>
      <c r="S26" s="501">
        <v>0.016071223667424892</v>
      </c>
      <c r="T26" s="501">
        <v>0.016489709961998746</v>
      </c>
      <c r="U26" s="501">
        <v>0.11051985264019648</v>
      </c>
      <c r="V26" s="502">
        <v>24862.579281183935</v>
      </c>
      <c r="W26" s="501">
        <v>0.023649999999999997</v>
      </c>
      <c r="X26" s="502">
        <v>55.75</v>
      </c>
      <c r="Y26" s="503">
        <v>70.53296254547662</v>
      </c>
      <c r="Z26" s="502">
        <v>148153</v>
      </c>
      <c r="AA26" s="502">
        <v>2381</v>
      </c>
      <c r="AB26" s="502">
        <v>588</v>
      </c>
      <c r="AC26" s="502">
        <v>2443</v>
      </c>
      <c r="AD26" s="502">
        <v>270</v>
      </c>
      <c r="AE26" s="502">
        <v>31</v>
      </c>
      <c r="AF26" s="502">
        <v>9</v>
      </c>
      <c r="AG26" s="502">
        <v>215</v>
      </c>
    </row>
    <row r="27">
      <c r="A27" s="494" t="s">
        <v>1061</v>
      </c>
      <c r="B27" s="494" t="s">
        <v>1045</v>
      </c>
      <c r="C27" s="494" t="s">
        <v>1056</v>
      </c>
      <c r="D27" s="494">
        <v>4</v>
      </c>
      <c r="E27" s="494">
        <v>21</v>
      </c>
      <c r="F27" s="494">
        <v>21</v>
      </c>
      <c r="G27" s="494">
        <v>45467.64999999998</v>
      </c>
      <c r="H27" s="495">
        <v>12171.86</v>
      </c>
      <c r="I27" s="496">
        <f t="shared" si="0"/>
      </c>
      <c r="J27" s="496">
        <f t="shared" si="1"/>
      </c>
      <c r="K27" s="505">
        <f t="shared" si="2"/>
      </c>
      <c r="L27" s="506"/>
      <c r="M27" s="506"/>
      <c r="N27" s="507"/>
      <c r="O27" s="498"/>
      <c r="P27" s="498"/>
      <c r="Q27" s="495">
        <v>4.244023709902371</v>
      </c>
      <c r="R27" s="501">
        <v>0.2029792812598797</v>
      </c>
      <c r="S27" s="501">
        <v>0.01884895206924427</v>
      </c>
      <c r="T27" s="501">
        <v>0.019815059445178335</v>
      </c>
      <c r="U27" s="501">
        <v>0.12570480928689884</v>
      </c>
      <c r="V27" s="502">
        <v>30884.718498659517</v>
      </c>
      <c r="W27" s="501">
        <v>0.01865</v>
      </c>
      <c r="X27" s="502">
        <v>58</v>
      </c>
      <c r="Y27" s="503">
        <v>79.99539948868603</v>
      </c>
      <c r="Z27" s="502">
        <v>152157</v>
      </c>
      <c r="AA27" s="502">
        <v>2868</v>
      </c>
      <c r="AB27" s="502">
        <v>576</v>
      </c>
      <c r="AC27" s="502">
        <v>3015</v>
      </c>
      <c r="AD27" s="502">
        <v>379</v>
      </c>
      <c r="AE27" s="502">
        <v>25</v>
      </c>
      <c r="AF27" s="502">
        <v>8</v>
      </c>
      <c r="AG27" s="502">
        <v>161</v>
      </c>
    </row>
    <row r="28">
      <c r="A28" s="494" t="s">
        <v>1061</v>
      </c>
      <c r="B28" s="494" t="s">
        <v>1041</v>
      </c>
      <c r="C28" s="494" t="s">
        <v>1057</v>
      </c>
      <c r="D28" s="494">
        <v>4</v>
      </c>
      <c r="E28" s="494">
        <v>10</v>
      </c>
      <c r="F28" s="494">
        <v>16</v>
      </c>
      <c r="G28" s="494">
        <v>35838.92999999999</v>
      </c>
      <c r="H28" s="495">
        <v>10565.050000000001</v>
      </c>
      <c r="I28" s="496">
        <f t="shared" si="0"/>
      </c>
      <c r="J28" s="496">
        <f t="shared" si="1"/>
      </c>
      <c r="K28" s="505">
        <f t="shared" si="2"/>
      </c>
      <c r="L28" s="494" t="s">
        <v>1040</v>
      </c>
      <c r="M28" s="508">
        <v>10</v>
      </c>
      <c r="N28" s="507"/>
      <c r="O28" s="498"/>
      <c r="P28" s="498"/>
      <c r="Q28" s="503">
        <v>3.3689572704081634</v>
      </c>
      <c r="R28" s="501">
        <v>0.20426804910010862</v>
      </c>
      <c r="S28" s="501">
        <v>0.023849722412350748</v>
      </c>
      <c r="T28" s="501">
        <v>0.0251502015362385</v>
      </c>
      <c r="U28" s="501">
        <v>0.09495010583610523</v>
      </c>
      <c r="V28" s="502">
        <v>26859.205776173283</v>
      </c>
      <c r="W28" s="501">
        <v>0.020775000000000002</v>
      </c>
      <c r="X28" s="502">
        <v>58.5</v>
      </c>
      <c r="Y28" s="503">
        <v>80.34869571830558</v>
      </c>
      <c r="Z28" s="502">
        <v>131490</v>
      </c>
      <c r="AA28" s="502">
        <v>3136</v>
      </c>
      <c r="AB28" s="502">
        <v>558</v>
      </c>
      <c r="AC28" s="502">
        <v>3307</v>
      </c>
      <c r="AD28" s="502">
        <v>314</v>
      </c>
      <c r="AE28" s="502">
        <v>34</v>
      </c>
      <c r="AF28" s="502">
        <v>1</v>
      </c>
      <c r="AG28" s="502">
        <v>212</v>
      </c>
    </row>
    <row r="29">
      <c r="A29" s="509" t="s">
        <v>1061</v>
      </c>
      <c r="B29" s="510" t="s">
        <v>1048</v>
      </c>
      <c r="C29" s="510"/>
      <c r="D29" s="510">
        <f>SUM(D24:D28)</f>
      </c>
      <c r="E29" s="510">
        <f>SUM(E24:E28)</f>
      </c>
      <c r="F29" s="510">
        <f>SUM(F24:F28)</f>
      </c>
      <c r="G29" s="510">
        <f>SUM(G24:G28)</f>
      </c>
      <c r="H29" s="510">
        <f>SUM(H24:H28)</f>
      </c>
      <c r="I29" s="511">
        <f t="shared" si="0"/>
      </c>
      <c r="J29" s="511">
        <f t="shared" si="1"/>
      </c>
      <c r="K29" s="511">
        <f t="shared" si="2"/>
      </c>
      <c r="L29" s="510"/>
      <c r="M29" s="512">
        <f>SUM(M24:M28)</f>
      </c>
      <c r="N29" s="510"/>
      <c r="O29" s="510"/>
      <c r="P29" s="510"/>
      <c r="Q29" s="513">
        <f>AVERAGE(Q24:Q28)</f>
      </c>
      <c r="R29" s="514">
        <f>AVERAGE(R24:R28)</f>
      </c>
      <c r="S29" s="514">
        <f>AVERAGE(S24:S28)</f>
      </c>
      <c r="T29" s="514">
        <f>AVERAGE(T24:T28)</f>
      </c>
      <c r="U29" s="514">
        <f>AVERAGE(U24:U28)</f>
      </c>
      <c r="V29" s="515">
        <f>SUM(V24:V28)</f>
      </c>
      <c r="W29" s="514">
        <f>AVERAGE(W24:W28)</f>
      </c>
      <c r="X29" s="515"/>
      <c r="Y29" s="513">
        <f>AVERAGE(Y24:Y28)</f>
      </c>
      <c r="Z29" s="515">
        <f>SUM(Z24:Z28)</f>
      </c>
      <c r="AA29" s="515">
        <f>SUM(AA24:AA28)</f>
      </c>
      <c r="AB29" s="515">
        <f>SUM(AB24:AB28)</f>
      </c>
      <c r="AC29" s="515">
        <f>SUM(AC24:AC28)</f>
      </c>
      <c r="AD29" s="515">
        <f>SUM(AD24:AD28)</f>
      </c>
      <c r="AE29" s="515">
        <f>SUM(AE24:AE28)</f>
      </c>
      <c r="AF29" s="515">
        <f>SUM(AF24:AF28)</f>
      </c>
      <c r="AG29" s="515">
        <f>SUM(AG24:AG28)</f>
      </c>
    </row>
    <row r="30">
      <c r="A30" s="494" t="s">
        <v>1062</v>
      </c>
      <c r="B30" s="494" t="s">
        <v>1055</v>
      </c>
      <c r="C30" s="494" t="s">
        <v>1063</v>
      </c>
      <c r="D30" s="494">
        <v>4</v>
      </c>
      <c r="E30" s="494">
        <v>5</v>
      </c>
      <c r="F30" s="494">
        <v>6</v>
      </c>
      <c r="G30" s="494">
        <v>12953.66</v>
      </c>
      <c r="H30" s="495">
        <v>11490.640000000001</v>
      </c>
      <c r="I30" s="496">
        <f t="shared" si="0"/>
      </c>
      <c r="J30" s="496">
        <f t="shared" si="1"/>
      </c>
      <c r="K30" s="496">
        <f t="shared" si="2"/>
      </c>
      <c r="L30" s="494" t="s">
        <v>1047</v>
      </c>
      <c r="M30" s="497">
        <v>10</v>
      </c>
      <c r="N30" s="498"/>
      <c r="O30" s="498"/>
      <c r="P30" s="498"/>
      <c r="Q30" s="499">
        <v>3.168957528957529</v>
      </c>
      <c r="R30" s="500">
        <v>0.20382244048123033</v>
      </c>
      <c r="S30" s="501">
        <v>0.02791012723508086</v>
      </c>
      <c r="T30" s="501">
        <v>0.029518846648244647</v>
      </c>
      <c r="U30" s="501">
        <v>0.06049543676662321</v>
      </c>
      <c r="V30" s="502">
        <v>26480</v>
      </c>
      <c r="W30" s="501">
        <v>0.025</v>
      </c>
      <c r="X30" s="502">
        <v>35.25</v>
      </c>
      <c r="Y30" s="503">
        <v>88.44600783577208</v>
      </c>
      <c r="Z30" s="502">
        <v>129917</v>
      </c>
      <c r="AA30" s="502">
        <v>3626</v>
      </c>
      <c r="AB30" s="502">
        <v>662</v>
      </c>
      <c r="AC30" s="502">
        <v>3835</v>
      </c>
      <c r="AD30" s="502">
        <v>232</v>
      </c>
      <c r="AE30" s="502">
        <v>31</v>
      </c>
      <c r="AF30" s="502">
        <v>4</v>
      </c>
      <c r="AG30" s="502">
        <v>189</v>
      </c>
    </row>
    <row r="31">
      <c r="A31" s="494" t="s">
        <v>1062</v>
      </c>
      <c r="B31" s="494" t="s">
        <v>1045</v>
      </c>
      <c r="C31" s="494" t="s">
        <v>1064</v>
      </c>
      <c r="D31" s="494">
        <v>4</v>
      </c>
      <c r="E31" s="494">
        <v>8</v>
      </c>
      <c r="F31" s="494">
        <v>13</v>
      </c>
      <c r="G31" s="494">
        <v>30914.06</v>
      </c>
      <c r="H31" s="495">
        <v>11660.46</v>
      </c>
      <c r="I31" s="496">
        <f t="shared" si="0"/>
      </c>
      <c r="J31" s="496">
        <f t="shared" si="1"/>
      </c>
      <c r="K31" s="496">
        <f t="shared" si="2"/>
      </c>
      <c r="L31" s="504"/>
      <c r="M31" s="504"/>
      <c r="N31" s="498"/>
      <c r="O31" s="498"/>
      <c r="P31" s="498"/>
      <c r="Q31" s="495">
        <v>6.269064516129032</v>
      </c>
      <c r="R31" s="501">
        <v>0.15519174982760234</v>
      </c>
      <c r="S31" s="500">
        <v>0.01583450389477717</v>
      </c>
      <c r="T31" s="501">
        <v>0.016285702124036947</v>
      </c>
      <c r="U31" s="500">
        <v>0.10297961317302666</v>
      </c>
      <c r="V31" s="502">
        <v>18229.598893499307</v>
      </c>
      <c r="W31" s="501">
        <v>0.03615</v>
      </c>
      <c r="X31" s="502">
        <v>47.75</v>
      </c>
      <c r="Y31" s="503">
        <v>99.2675264972545</v>
      </c>
      <c r="Z31" s="502">
        <v>117465</v>
      </c>
      <c r="AA31" s="502">
        <v>1860</v>
      </c>
      <c r="AB31" s="502">
        <v>659</v>
      </c>
      <c r="AC31" s="502">
        <v>1913</v>
      </c>
      <c r="AD31" s="502">
        <v>197</v>
      </c>
      <c r="AE31" s="502">
        <v>25</v>
      </c>
      <c r="AF31" s="502">
        <v>11</v>
      </c>
      <c r="AG31" s="502">
        <v>207</v>
      </c>
    </row>
    <row r="32">
      <c r="A32" s="494" t="s">
        <v>1062</v>
      </c>
      <c r="B32" s="494" t="s">
        <v>1043</v>
      </c>
      <c r="C32" s="494" t="s">
        <v>1065</v>
      </c>
      <c r="D32" s="494">
        <v>3</v>
      </c>
      <c r="E32" s="494">
        <v>6</v>
      </c>
      <c r="F32" s="494">
        <v>7</v>
      </c>
      <c r="G32" s="494">
        <v>12046.099999999999</v>
      </c>
      <c r="H32" s="495">
        <v>7750.62</v>
      </c>
      <c r="I32" s="496">
        <f t="shared" si="0"/>
      </c>
      <c r="J32" s="496">
        <f t="shared" si="1"/>
      </c>
      <c r="K32" s="505">
        <f t="shared" si="2"/>
      </c>
      <c r="L32" s="506"/>
      <c r="M32" s="506"/>
      <c r="N32" s="507"/>
      <c r="O32" s="498"/>
      <c r="P32" s="498"/>
      <c r="Q32" s="495">
        <v>5.540114367405289</v>
      </c>
      <c r="R32" s="501">
        <v>0.05477762111747011</v>
      </c>
      <c r="S32" s="501">
        <v>0.018836676989363133</v>
      </c>
      <c r="T32" s="501">
        <v>0.0193483236838562</v>
      </c>
      <c r="U32" s="501">
        <v>0.10299234516353514</v>
      </c>
      <c r="V32" s="502">
        <v>4068.3339203945047</v>
      </c>
      <c r="W32" s="501">
        <v>0.09463333333333335</v>
      </c>
      <c r="X32" s="502">
        <v>54.333333333333336</v>
      </c>
      <c r="Y32" s="503">
        <v>104.35734482294332</v>
      </c>
      <c r="Z32" s="502">
        <v>74270</v>
      </c>
      <c r="AA32" s="502">
        <v>1399</v>
      </c>
      <c r="AB32" s="502">
        <v>385</v>
      </c>
      <c r="AC32" s="502">
        <v>1437</v>
      </c>
      <c r="AD32" s="502">
        <v>148</v>
      </c>
      <c r="AE32" s="502">
        <v>9</v>
      </c>
      <c r="AF32" s="502">
        <v>4</v>
      </c>
      <c r="AG32" s="502">
        <v>131</v>
      </c>
    </row>
    <row r="33">
      <c r="A33" s="494" t="s">
        <v>1062</v>
      </c>
      <c r="B33" s="494" t="s">
        <v>1041</v>
      </c>
      <c r="C33" s="494" t="s">
        <v>1066</v>
      </c>
      <c r="D33" s="494">
        <v>5</v>
      </c>
      <c r="E33" s="494">
        <v>22</v>
      </c>
      <c r="F33" s="494">
        <v>25</v>
      </c>
      <c r="G33" s="494">
        <v>55821.799999999996</v>
      </c>
      <c r="H33" s="495">
        <v>15443.98</v>
      </c>
      <c r="I33" s="496">
        <f t="shared" si="0"/>
      </c>
      <c r="J33" s="496">
        <f t="shared" si="1"/>
      </c>
      <c r="K33" s="505">
        <f t="shared" si="2"/>
      </c>
      <c r="L33" s="506"/>
      <c r="M33" s="506"/>
      <c r="N33" s="507"/>
      <c r="O33" s="498"/>
      <c r="P33" s="498"/>
      <c r="Q33" s="495">
        <v>5.707309682187731</v>
      </c>
      <c r="R33" s="501">
        <v>0.1690003524289344</v>
      </c>
      <c r="S33" s="501">
        <v>0.022321023500589784</v>
      </c>
      <c r="T33" s="501">
        <v>0.023475843637353482</v>
      </c>
      <c r="U33" s="501">
        <v>0.18236120871398454</v>
      </c>
      <c r="V33" s="502">
        <v>20488.081725312146</v>
      </c>
      <c r="W33" s="501">
        <v>0.03524</v>
      </c>
      <c r="X33" s="502">
        <v>57.6</v>
      </c>
      <c r="Y33" s="503">
        <v>127.39299354125593</v>
      </c>
      <c r="Z33" s="502">
        <v>121231</v>
      </c>
      <c r="AA33" s="502">
        <v>2706</v>
      </c>
      <c r="AB33" s="502">
        <v>722</v>
      </c>
      <c r="AC33" s="502">
        <v>2846</v>
      </c>
      <c r="AD33" s="502">
        <v>519</v>
      </c>
      <c r="AE33" s="502">
        <v>26</v>
      </c>
      <c r="AF33" s="502">
        <v>10</v>
      </c>
      <c r="AG33" s="502">
        <v>156</v>
      </c>
    </row>
    <row r="34">
      <c r="A34" s="494" t="s">
        <v>1062</v>
      </c>
      <c r="B34" s="494" t="s">
        <v>1038</v>
      </c>
      <c r="C34" s="494" t="s">
        <v>1057</v>
      </c>
      <c r="D34" s="494">
        <v>4</v>
      </c>
      <c r="E34" s="494">
        <v>11</v>
      </c>
      <c r="F34" s="494">
        <v>14</v>
      </c>
      <c r="G34" s="494">
        <v>28641.5</v>
      </c>
      <c r="H34" s="495">
        <v>10246.84</v>
      </c>
      <c r="I34" s="496">
        <f t="shared" si="0"/>
      </c>
      <c r="J34" s="496">
        <f t="shared" si="1"/>
      </c>
      <c r="K34" s="505">
        <f t="shared" si="2"/>
      </c>
      <c r="L34" s="494" t="s">
        <v>1040</v>
      </c>
      <c r="M34" s="508">
        <v>10</v>
      </c>
      <c r="N34" s="507"/>
      <c r="O34" s="498"/>
      <c r="P34" s="498"/>
      <c r="Q34" s="503">
        <v>3.719361161524501</v>
      </c>
      <c r="R34" s="501">
        <v>0.24122487996992345</v>
      </c>
      <c r="S34" s="501">
        <v>0.02469036224480651</v>
      </c>
      <c r="T34" s="501">
        <v>0.026070513165205856</v>
      </c>
      <c r="U34" s="501">
        <v>0.09109659676864902</v>
      </c>
      <c r="V34" s="502">
        <v>26916.354556804</v>
      </c>
      <c r="W34" s="501">
        <v>0.020024999999999998</v>
      </c>
      <c r="X34" s="502">
        <v>61.25</v>
      </c>
      <c r="Y34" s="503">
        <v>91.83237439730422</v>
      </c>
      <c r="Z34" s="502">
        <v>111582</v>
      </c>
      <c r="AA34" s="502">
        <v>2755</v>
      </c>
      <c r="AB34" s="502">
        <v>539</v>
      </c>
      <c r="AC34" s="502">
        <v>2909</v>
      </c>
      <c r="AD34" s="502">
        <v>265</v>
      </c>
      <c r="AE34" s="502">
        <v>29</v>
      </c>
      <c r="AF34" s="502">
        <v>8</v>
      </c>
      <c r="AG34" s="502">
        <v>132</v>
      </c>
    </row>
    <row r="35">
      <c r="A35" s="509" t="s">
        <v>1062</v>
      </c>
      <c r="B35" s="510" t="s">
        <v>1048</v>
      </c>
      <c r="C35" s="510"/>
      <c r="D35" s="510">
        <f>SUM(D30:D34)</f>
      </c>
      <c r="E35" s="510">
        <f>SUM(E30:E34)</f>
      </c>
      <c r="F35" s="510">
        <f>SUM(F30:F34)</f>
      </c>
      <c r="G35" s="510">
        <f>SUM(G30:G34)</f>
      </c>
      <c r="H35" s="510">
        <f>SUM(H30:H34)</f>
      </c>
      <c r="I35" s="511">
        <f t="shared" si="0"/>
      </c>
      <c r="J35" s="511">
        <f t="shared" si="1"/>
      </c>
      <c r="K35" s="511">
        <f t="shared" si="2"/>
      </c>
      <c r="L35" s="510"/>
      <c r="M35" s="512">
        <f>SUM(M30:M34)</f>
      </c>
      <c r="N35" s="510"/>
      <c r="O35" s="510"/>
      <c r="P35" s="510"/>
      <c r="Q35" s="513">
        <f>AVERAGE(Q30:Q34)</f>
      </c>
      <c r="R35" s="514">
        <f>AVERAGE(R30:R34)</f>
      </c>
      <c r="S35" s="514">
        <f>AVERAGE(S30:S34)</f>
      </c>
      <c r="T35" s="514">
        <f>AVERAGE(T30:T34)</f>
      </c>
      <c r="U35" s="514">
        <f>AVERAGE(U30:U34)</f>
      </c>
      <c r="V35" s="515">
        <f>SUM(V30:V34)</f>
      </c>
      <c r="W35" s="514">
        <f>AVERAGE(W30:W34)</f>
      </c>
      <c r="X35" s="515"/>
      <c r="Y35" s="513">
        <f>AVERAGE(Y30:Y34)</f>
      </c>
      <c r="Z35" s="515">
        <f>SUM(Z30:Z34)</f>
      </c>
      <c r="AA35" s="515">
        <f>SUM(AA30:AA34)</f>
      </c>
      <c r="AB35" s="515">
        <f>SUM(AB30:AB34)</f>
      </c>
      <c r="AC35" s="515">
        <f>SUM(AC30:AC34)</f>
      </c>
      <c r="AD35" s="515">
        <f>SUM(AD30:AD34)</f>
      </c>
      <c r="AE35" s="515">
        <f>SUM(AE30:AE34)</f>
      </c>
      <c r="AF35" s="515">
        <f>SUM(AF30:AF34)</f>
      </c>
      <c r="AG35" s="515">
        <f>SUM(AG30:AG34)</f>
      </c>
    </row>
    <row r="36">
      <c r="A36" s="494" t="s">
        <v>1067</v>
      </c>
      <c r="B36" s="494" t="s">
        <v>1045</v>
      </c>
      <c r="C36" s="494" t="s">
        <v>1039</v>
      </c>
      <c r="D36" s="494">
        <v>5</v>
      </c>
      <c r="E36" s="494">
        <v>17</v>
      </c>
      <c r="F36" s="494">
        <v>19</v>
      </c>
      <c r="G36" s="494">
        <v>40617.75000000001</v>
      </c>
      <c r="H36" s="495">
        <v>13664.490000000002</v>
      </c>
      <c r="I36" s="496">
        <f t="shared" si="0"/>
      </c>
      <c r="J36" s="496">
        <f t="shared" si="1"/>
      </c>
      <c r="K36" s="496">
        <f t="shared" si="2"/>
      </c>
      <c r="L36" s="494" t="s">
        <v>1047</v>
      </c>
      <c r="M36" s="497">
        <v>10</v>
      </c>
      <c r="N36" s="498"/>
      <c r="O36" s="498"/>
      <c r="P36" s="498"/>
      <c r="Q36" s="499">
        <v>4.145779733009709</v>
      </c>
      <c r="R36" s="500">
        <v>0.08624687420742197</v>
      </c>
      <c r="S36" s="501">
        <v>0.02373203536764494</v>
      </c>
      <c r="T36" s="501">
        <v>0.024516862993577374</v>
      </c>
      <c r="U36" s="501">
        <v>0.09809104258443466</v>
      </c>
      <c r="V36" s="502">
        <v>11978.310877423593</v>
      </c>
      <c r="W36" s="501">
        <v>0.060860000000000004</v>
      </c>
      <c r="X36" s="502">
        <v>50.2</v>
      </c>
      <c r="Y36" s="503">
        <v>98.38779125025202</v>
      </c>
      <c r="Z36" s="502">
        <v>138884</v>
      </c>
      <c r="AA36" s="502">
        <v>3296</v>
      </c>
      <c r="AB36" s="502">
        <v>729</v>
      </c>
      <c r="AC36" s="502">
        <v>3405</v>
      </c>
      <c r="AD36" s="502">
        <v>334</v>
      </c>
      <c r="AE36" s="502">
        <v>57</v>
      </c>
      <c r="AF36" s="502">
        <v>10</v>
      </c>
      <c r="AG36" s="502">
        <v>234</v>
      </c>
    </row>
    <row r="37">
      <c r="A37" s="494" t="s">
        <v>1067</v>
      </c>
      <c r="B37" s="494" t="s">
        <v>1051</v>
      </c>
      <c r="C37" s="494" t="s">
        <v>1053</v>
      </c>
      <c r="D37" s="494">
        <v>3</v>
      </c>
      <c r="E37" s="494">
        <v>6</v>
      </c>
      <c r="F37" s="494">
        <v>13</v>
      </c>
      <c r="G37" s="494">
        <v>24436.75</v>
      </c>
      <c r="H37" s="495">
        <v>9509.04</v>
      </c>
      <c r="I37" s="496">
        <f t="shared" si="0"/>
      </c>
      <c r="J37" s="496">
        <f t="shared" si="1"/>
      </c>
      <c r="K37" s="496">
        <f t="shared" si="2"/>
      </c>
      <c r="L37" s="504"/>
      <c r="M37" s="504"/>
      <c r="N37" s="498"/>
      <c r="O37" s="498"/>
      <c r="P37" s="498"/>
      <c r="Q37" s="495">
        <v>7.028115299334813</v>
      </c>
      <c r="R37" s="501">
        <v>0.15726507049565805</v>
      </c>
      <c r="S37" s="500">
        <v>0.016841345316039733</v>
      </c>
      <c r="T37" s="501">
        <v>0.01762553212676442</v>
      </c>
      <c r="U37" s="500">
        <v>0.1370056497175141</v>
      </c>
      <c r="V37" s="502">
        <v>12634.361233480176</v>
      </c>
      <c r="W37" s="501">
        <v>0.03783333333333333</v>
      </c>
      <c r="X37" s="502">
        <v>63.666666666666664</v>
      </c>
      <c r="Y37" s="503">
        <v>118.36291667703952</v>
      </c>
      <c r="Z37" s="502">
        <v>80338</v>
      </c>
      <c r="AA37" s="502">
        <v>1353</v>
      </c>
      <c r="AB37" s="502">
        <v>478</v>
      </c>
      <c r="AC37" s="502">
        <v>1416</v>
      </c>
      <c r="AD37" s="502">
        <v>194</v>
      </c>
      <c r="AE37" s="502">
        <v>13</v>
      </c>
      <c r="AF37" s="502">
        <v>9</v>
      </c>
      <c r="AG37" s="502">
        <v>140</v>
      </c>
    </row>
    <row r="38">
      <c r="A38" s="494" t="s">
        <v>1067</v>
      </c>
      <c r="B38" s="494" t="s">
        <v>1055</v>
      </c>
      <c r="C38" s="494" t="s">
        <v>1054</v>
      </c>
      <c r="D38" s="494">
        <v>4</v>
      </c>
      <c r="E38" s="494">
        <v>20</v>
      </c>
      <c r="F38" s="494">
        <v>22</v>
      </c>
      <c r="G38" s="494">
        <v>45110.80000000001</v>
      </c>
      <c r="H38" s="495">
        <v>13464.5</v>
      </c>
      <c r="I38" s="496">
        <f t="shared" si="0"/>
      </c>
      <c r="J38" s="496">
        <f t="shared" si="1"/>
      </c>
      <c r="K38" s="505">
        <f t="shared" si="2"/>
      </c>
      <c r="L38" s="506"/>
      <c r="M38" s="506"/>
      <c r="N38" s="507"/>
      <c r="O38" s="498"/>
      <c r="P38" s="498"/>
      <c r="Q38" s="495">
        <v>5.377196485623003</v>
      </c>
      <c r="R38" s="501">
        <v>0.16937471344617047</v>
      </c>
      <c r="S38" s="501">
        <v>0.019081875266719502</v>
      </c>
      <c r="T38" s="501">
        <v>0.019722002072791563</v>
      </c>
      <c r="U38" s="501">
        <v>0.15417310664605874</v>
      </c>
      <c r="V38" s="502">
        <v>22226.027397260274</v>
      </c>
      <c r="W38" s="501">
        <v>0.0292</v>
      </c>
      <c r="X38" s="502">
        <v>67.25</v>
      </c>
      <c r="Y38" s="503">
        <v>102.60699262330061</v>
      </c>
      <c r="Z38" s="502">
        <v>131224</v>
      </c>
      <c r="AA38" s="502">
        <v>2504</v>
      </c>
      <c r="AB38" s="502">
        <v>649</v>
      </c>
      <c r="AC38" s="502">
        <v>2588</v>
      </c>
      <c r="AD38" s="502">
        <v>399</v>
      </c>
      <c r="AE38" s="502">
        <v>26</v>
      </c>
      <c r="AF38" s="502">
        <v>8</v>
      </c>
      <c r="AG38" s="502">
        <v>133</v>
      </c>
    </row>
    <row r="39">
      <c r="A39" s="494" t="s">
        <v>1067</v>
      </c>
      <c r="B39" s="494" t="s">
        <v>1041</v>
      </c>
      <c r="C39" s="494" t="s">
        <v>1056</v>
      </c>
      <c r="D39" s="494">
        <v>4</v>
      </c>
      <c r="E39" s="494">
        <v>21</v>
      </c>
      <c r="F39" s="494">
        <v>22</v>
      </c>
      <c r="G39" s="494">
        <v>43453.76999999999</v>
      </c>
      <c r="H39" s="495">
        <v>16251.33</v>
      </c>
      <c r="I39" s="496">
        <f t="shared" si="0"/>
      </c>
      <c r="J39" s="496">
        <f t="shared" si="1"/>
      </c>
      <c r="K39" s="505">
        <f t="shared" si="2"/>
      </c>
      <c r="L39" s="506"/>
      <c r="M39" s="506"/>
      <c r="N39" s="507"/>
      <c r="O39" s="498"/>
      <c r="P39" s="498"/>
      <c r="Q39" s="495">
        <v>7.093553033609777</v>
      </c>
      <c r="R39" s="501">
        <v>0.12426722522261353</v>
      </c>
      <c r="S39" s="501">
        <v>0.013825107263763254</v>
      </c>
      <c r="T39" s="501">
        <v>0.014187179038458057</v>
      </c>
      <c r="U39" s="501">
        <v>0.19906422798809018</v>
      </c>
      <c r="V39" s="502">
        <v>20592.694693314956</v>
      </c>
      <c r="W39" s="501">
        <v>0.036275</v>
      </c>
      <c r="X39" s="502">
        <v>72.25</v>
      </c>
      <c r="Y39" s="503">
        <v>98.0691315708484</v>
      </c>
      <c r="Z39" s="502">
        <v>165713</v>
      </c>
      <c r="AA39" s="502">
        <v>2291</v>
      </c>
      <c r="AB39" s="502">
        <v>747</v>
      </c>
      <c r="AC39" s="502">
        <v>2351</v>
      </c>
      <c r="AD39" s="502">
        <v>468</v>
      </c>
      <c r="AE39" s="502">
        <v>41</v>
      </c>
      <c r="AF39" s="502">
        <v>11</v>
      </c>
      <c r="AG39" s="502">
        <v>210</v>
      </c>
    </row>
    <row r="40">
      <c r="A40" s="494" t="s">
        <v>1067</v>
      </c>
      <c r="B40" s="494" t="s">
        <v>1038</v>
      </c>
      <c r="C40" s="494" t="s">
        <v>1057</v>
      </c>
      <c r="D40" s="494">
        <v>4</v>
      </c>
      <c r="E40" s="494">
        <v>10</v>
      </c>
      <c r="F40" s="494">
        <v>12</v>
      </c>
      <c r="G40" s="494">
        <v>25063.649999999994</v>
      </c>
      <c r="H40" s="495">
        <v>13167.889999999998</v>
      </c>
      <c r="I40" s="496">
        <f t="shared" si="0"/>
      </c>
      <c r="J40" s="496">
        <f t="shared" si="1"/>
      </c>
      <c r="K40" s="505">
        <f t="shared" si="2"/>
      </c>
      <c r="L40" s="494" t="s">
        <v>1040</v>
      </c>
      <c r="M40" s="508">
        <v>10</v>
      </c>
      <c r="N40" s="507"/>
      <c r="O40" s="498"/>
      <c r="P40" s="498"/>
      <c r="Q40" s="503">
        <v>4.557940463828314</v>
      </c>
      <c r="R40" s="501">
        <v>0.1516940825000039</v>
      </c>
      <c r="S40" s="501">
        <v>0.020790305054008737</v>
      </c>
      <c r="T40" s="501">
        <v>0.02204966932692377</v>
      </c>
      <c r="U40" s="501">
        <v>0.09171018276762402</v>
      </c>
      <c r="V40" s="502">
        <v>21079.258010118043</v>
      </c>
      <c r="W40" s="501">
        <v>0.029650000000000003</v>
      </c>
      <c r="X40" s="502">
        <v>72</v>
      </c>
      <c r="Y40" s="503">
        <v>94.76097266100071</v>
      </c>
      <c r="Z40" s="502">
        <v>138959</v>
      </c>
      <c r="AA40" s="502">
        <v>2889</v>
      </c>
      <c r="AB40" s="502">
        <v>625</v>
      </c>
      <c r="AC40" s="502">
        <v>3064</v>
      </c>
      <c r="AD40" s="502">
        <v>281</v>
      </c>
      <c r="AE40" s="502">
        <v>37</v>
      </c>
      <c r="AF40" s="502">
        <v>7</v>
      </c>
      <c r="AG40" s="502">
        <v>184</v>
      </c>
    </row>
    <row r="41">
      <c r="A41" s="509" t="s">
        <v>1067</v>
      </c>
      <c r="B41" s="510" t="s">
        <v>1048</v>
      </c>
      <c r="C41" s="510"/>
      <c r="D41" s="510">
        <f>SUM(D36:D40)</f>
      </c>
      <c r="E41" s="510">
        <f>SUM(E36:E40)</f>
      </c>
      <c r="F41" s="510">
        <f>SUM(F36:F40)</f>
      </c>
      <c r="G41" s="510">
        <f>SUM(G36:G40)</f>
      </c>
      <c r="H41" s="510">
        <f>SUM(H36:H40)</f>
      </c>
      <c r="I41" s="511">
        <f t="shared" si="0"/>
      </c>
      <c r="J41" s="511">
        <f t="shared" si="1"/>
      </c>
      <c r="K41" s="511">
        <f t="shared" si="2"/>
      </c>
      <c r="L41" s="510"/>
      <c r="M41" s="512">
        <f>SUM(M36:M40)</f>
      </c>
      <c r="N41" s="510"/>
      <c r="O41" s="510"/>
      <c r="P41" s="510"/>
      <c r="Q41" s="513">
        <f>AVERAGE(Q36:Q40)</f>
      </c>
      <c r="R41" s="514">
        <f>AVERAGE(R36:R40)</f>
      </c>
      <c r="S41" s="514">
        <f>AVERAGE(S36:S40)</f>
      </c>
      <c r="T41" s="514">
        <f>AVERAGE(T36:T40)</f>
      </c>
      <c r="U41" s="514">
        <f>AVERAGE(U36:U40)</f>
      </c>
      <c r="V41" s="515">
        <f>SUM(V36:V40)</f>
      </c>
      <c r="W41" s="514">
        <f>AVERAGE(W36:W40)</f>
      </c>
      <c r="X41" s="515"/>
      <c r="Y41" s="513">
        <f>AVERAGE(Y36:Y40)</f>
      </c>
      <c r="Z41" s="515">
        <f>SUM(Z36:Z40)</f>
      </c>
      <c r="AA41" s="515">
        <f>SUM(AA36:AA40)</f>
      </c>
      <c r="AB41" s="515">
        <f>SUM(AB36:AB40)</f>
      </c>
      <c r="AC41" s="515">
        <f>SUM(AC36:AC40)</f>
      </c>
      <c r="AD41" s="515">
        <f>SUM(AD36:AD40)</f>
      </c>
      <c r="AE41" s="515">
        <f>SUM(AE36:AE40)</f>
      </c>
      <c r="AF41" s="515">
        <f>SUM(AF36:AF40)</f>
      </c>
      <c r="AG41" s="515">
        <f>SUM(AG36:AG40)</f>
      </c>
    </row>
    <row r="42">
      <c r="A42" s="494" t="s">
        <v>1068</v>
      </c>
      <c r="B42" s="494" t="s">
        <v>1045</v>
      </c>
      <c r="C42" s="494" t="s">
        <v>1063</v>
      </c>
      <c r="D42" s="494">
        <v>4</v>
      </c>
      <c r="E42" s="494">
        <v>15</v>
      </c>
      <c r="F42" s="494">
        <v>18</v>
      </c>
      <c r="G42" s="494">
        <v>39729.72000000001</v>
      </c>
      <c r="H42" s="495">
        <v>14665.989999999998</v>
      </c>
      <c r="I42" s="496">
        <f t="shared" si="0"/>
      </c>
      <c r="J42" s="496">
        <f t="shared" si="1"/>
      </c>
      <c r="K42" s="496">
        <f t="shared" si="2"/>
      </c>
      <c r="L42" s="494" t="s">
        <v>1047</v>
      </c>
      <c r="M42" s="497">
        <v>10</v>
      </c>
      <c r="N42" s="498"/>
      <c r="O42" s="498"/>
      <c r="P42" s="498"/>
      <c r="Q42" s="499">
        <v>4.512612307692307</v>
      </c>
      <c r="R42" s="500">
        <v>0.15589585302793882</v>
      </c>
      <c r="S42" s="501">
        <v>0.023443699055038594</v>
      </c>
      <c r="T42" s="501">
        <v>0.024150616749621295</v>
      </c>
      <c r="U42" s="501">
        <v>0.10782556750298686</v>
      </c>
      <c r="V42" s="502">
        <v>21611.842105263157</v>
      </c>
      <c r="W42" s="501">
        <v>0.0304</v>
      </c>
      <c r="X42" s="502">
        <v>51.75</v>
      </c>
      <c r="Y42" s="503">
        <v>105.79232489360166</v>
      </c>
      <c r="Z42" s="502">
        <v>138630</v>
      </c>
      <c r="AA42" s="502">
        <v>3250</v>
      </c>
      <c r="AB42" s="502">
        <v>657</v>
      </c>
      <c r="AC42" s="502">
        <v>3348</v>
      </c>
      <c r="AD42" s="502">
        <v>361</v>
      </c>
      <c r="AE42" s="502">
        <v>34</v>
      </c>
      <c r="AF42" s="502">
        <v>6</v>
      </c>
      <c r="AG42" s="502">
        <v>202</v>
      </c>
    </row>
    <row r="43">
      <c r="A43" s="494" t="s">
        <v>1068</v>
      </c>
      <c r="B43" s="494" t="s">
        <v>1041</v>
      </c>
      <c r="C43" s="494" t="s">
        <v>1069</v>
      </c>
      <c r="D43" s="494">
        <v>5</v>
      </c>
      <c r="E43" s="494">
        <v>16</v>
      </c>
      <c r="F43" s="494">
        <v>22</v>
      </c>
      <c r="G43" s="494">
        <v>48437.36000000001</v>
      </c>
      <c r="H43" s="495">
        <v>19108.24</v>
      </c>
      <c r="I43" s="496">
        <f t="shared" si="0"/>
      </c>
      <c r="J43" s="496">
        <f t="shared" si="1"/>
      </c>
      <c r="K43" s="496">
        <f t="shared" si="2"/>
      </c>
      <c r="L43" s="504"/>
      <c r="M43" s="504"/>
      <c r="N43" s="498"/>
      <c r="O43" s="498"/>
      <c r="P43" s="498"/>
      <c r="Q43" s="495">
        <v>7.079748054835124</v>
      </c>
      <c r="R43" s="501">
        <v>0.17908953533414423</v>
      </c>
      <c r="S43" s="500">
        <v>0.017504491241268832</v>
      </c>
      <c r="T43" s="501">
        <v>0.01821141585975653</v>
      </c>
      <c r="U43" s="500">
        <v>0.14636752136752137</v>
      </c>
      <c r="V43" s="502">
        <v>27613.636363636364</v>
      </c>
      <c r="W43" s="501">
        <v>0.0264</v>
      </c>
      <c r="X43" s="502">
        <v>64.2</v>
      </c>
      <c r="Y43" s="503">
        <v>123.9273878162515</v>
      </c>
      <c r="Z43" s="502">
        <v>154189</v>
      </c>
      <c r="AA43" s="502">
        <v>2699</v>
      </c>
      <c r="AB43" s="502">
        <v>729</v>
      </c>
      <c r="AC43" s="502">
        <v>2808</v>
      </c>
      <c r="AD43" s="502">
        <v>411</v>
      </c>
      <c r="AE43" s="502">
        <v>32</v>
      </c>
      <c r="AF43" s="502">
        <v>8</v>
      </c>
      <c r="AG43" s="502">
        <v>177</v>
      </c>
    </row>
    <row r="44">
      <c r="A44" s="494" t="s">
        <v>1068</v>
      </c>
      <c r="B44" s="494" t="s">
        <v>1043</v>
      </c>
      <c r="C44" s="494" t="s">
        <v>1070</v>
      </c>
      <c r="D44" s="494">
        <v>3</v>
      </c>
      <c r="E44" s="494">
        <v>13</v>
      </c>
      <c r="F44" s="494">
        <v>15</v>
      </c>
      <c r="G44" s="494">
        <v>30466.740000000005</v>
      </c>
      <c r="H44" s="495">
        <v>11551.15</v>
      </c>
      <c r="I44" s="496">
        <f t="shared" si="0"/>
      </c>
      <c r="J44" s="496">
        <f t="shared" si="1"/>
      </c>
      <c r="K44" s="505">
        <f t="shared" si="2"/>
      </c>
      <c r="L44" s="506"/>
      <c r="M44" s="506"/>
      <c r="N44" s="507"/>
      <c r="O44" s="498"/>
      <c r="P44" s="498"/>
      <c r="Q44" s="495">
        <v>7.599440789473684</v>
      </c>
      <c r="R44" s="501">
        <v>0.1665688716903985</v>
      </c>
      <c r="S44" s="501">
        <v>0.014817558807186515</v>
      </c>
      <c r="T44" s="501">
        <v>0.015032023474132636</v>
      </c>
      <c r="U44" s="501">
        <v>0.22632944228274968</v>
      </c>
      <c r="V44" s="502">
        <v>17086.801426872767</v>
      </c>
      <c r="W44" s="501">
        <v>0.028033333333333337</v>
      </c>
      <c r="X44" s="502">
        <v>70.33333333333333</v>
      </c>
      <c r="Y44" s="503">
        <v>112.60516079975824</v>
      </c>
      <c r="Z44" s="502">
        <v>102581</v>
      </c>
      <c r="AA44" s="502">
        <v>1520</v>
      </c>
      <c r="AB44" s="502">
        <v>479</v>
      </c>
      <c r="AC44" s="502">
        <v>1542</v>
      </c>
      <c r="AD44" s="502">
        <v>349</v>
      </c>
      <c r="AE44" s="502">
        <v>20</v>
      </c>
      <c r="AF44" s="502">
        <v>8</v>
      </c>
      <c r="AG44" s="502">
        <v>95</v>
      </c>
    </row>
    <row r="45">
      <c r="A45" s="494" t="s">
        <v>1068</v>
      </c>
      <c r="B45" s="494" t="s">
        <v>1055</v>
      </c>
      <c r="C45" s="494" t="s">
        <v>1056</v>
      </c>
      <c r="D45" s="494">
        <v>4</v>
      </c>
      <c r="E45" s="494">
        <v>26</v>
      </c>
      <c r="F45" s="494">
        <v>27</v>
      </c>
      <c r="G45" s="494">
        <v>54341.84999999996</v>
      </c>
      <c r="H45" s="495">
        <v>17068.140000000003</v>
      </c>
      <c r="I45" s="496">
        <f t="shared" si="0"/>
      </c>
      <c r="J45" s="496">
        <f t="shared" si="1"/>
      </c>
      <c r="K45" s="505">
        <f t="shared" si="2"/>
      </c>
      <c r="L45" s="506"/>
      <c r="M45" s="506"/>
      <c r="N45" s="507"/>
      <c r="O45" s="498"/>
      <c r="P45" s="498"/>
      <c r="Q45" s="495">
        <v>6.438377970577142</v>
      </c>
      <c r="R45" s="501">
        <v>0.1272949307976183</v>
      </c>
      <c r="S45" s="501">
        <v>0.01682854059544214</v>
      </c>
      <c r="T45" s="501">
        <v>0.01750777629657843</v>
      </c>
      <c r="U45" s="501">
        <v>0.18092820884699057</v>
      </c>
      <c r="V45" s="502">
        <v>20052.77044854881</v>
      </c>
      <c r="W45" s="501">
        <v>0.0379</v>
      </c>
      <c r="X45" s="502">
        <v>77.25</v>
      </c>
      <c r="Y45" s="503">
        <v>108.3485050466578</v>
      </c>
      <c r="Z45" s="502">
        <v>157530</v>
      </c>
      <c r="AA45" s="502">
        <v>2651</v>
      </c>
      <c r="AB45" s="502">
        <v>760</v>
      </c>
      <c r="AC45" s="502">
        <v>2758</v>
      </c>
      <c r="AD45" s="502">
        <v>499</v>
      </c>
      <c r="AE45" s="502">
        <v>45</v>
      </c>
      <c r="AF45" s="502">
        <v>11</v>
      </c>
      <c r="AG45" s="502">
        <v>140</v>
      </c>
    </row>
    <row r="46">
      <c r="A46" s="494" t="s">
        <v>1068</v>
      </c>
      <c r="B46" s="494" t="s">
        <v>1038</v>
      </c>
      <c r="C46" s="494" t="s">
        <v>1057</v>
      </c>
      <c r="D46" s="494">
        <v>4</v>
      </c>
      <c r="E46" s="494">
        <v>20</v>
      </c>
      <c r="F46" s="494">
        <v>24</v>
      </c>
      <c r="G46" s="494">
        <v>53365.02000000002</v>
      </c>
      <c r="H46" s="495">
        <v>13110.099999999999</v>
      </c>
      <c r="I46" s="496">
        <f t="shared" si="0"/>
      </c>
      <c r="J46" s="496">
        <f t="shared" si="1"/>
      </c>
      <c r="K46" s="505">
        <f t="shared" si="2"/>
      </c>
      <c r="L46" s="494" t="s">
        <v>1040</v>
      </c>
      <c r="M46" s="508">
        <v>10</v>
      </c>
      <c r="N46" s="507"/>
      <c r="O46" s="498"/>
      <c r="P46" s="498"/>
      <c r="Q46" s="503">
        <v>3.9158004778972515</v>
      </c>
      <c r="R46" s="501">
        <v>0.22763101461174146</v>
      </c>
      <c r="S46" s="501">
        <v>0.02326955288819077</v>
      </c>
      <c r="T46" s="501">
        <v>0.02433294643415648</v>
      </c>
      <c r="U46" s="501">
        <v>0.10339902884890032</v>
      </c>
      <c r="V46" s="502">
        <v>32751.32275132275</v>
      </c>
      <c r="W46" s="501">
        <v>0.0189</v>
      </c>
      <c r="X46" s="502">
        <v>82.25</v>
      </c>
      <c r="Y46" s="503">
        <v>91.1189263200328</v>
      </c>
      <c r="Z46" s="502">
        <v>143879</v>
      </c>
      <c r="AA46" s="502">
        <v>3348</v>
      </c>
      <c r="AB46" s="502">
        <v>619</v>
      </c>
      <c r="AC46" s="502">
        <v>3501</v>
      </c>
      <c r="AD46" s="502">
        <v>362</v>
      </c>
      <c r="AE46" s="502">
        <v>41</v>
      </c>
      <c r="AF46" s="502">
        <v>6</v>
      </c>
      <c r="AG46" s="502">
        <v>140</v>
      </c>
    </row>
    <row r="47">
      <c r="A47" s="509" t="s">
        <v>1068</v>
      </c>
      <c r="B47" s="510" t="s">
        <v>1048</v>
      </c>
      <c r="C47" s="510"/>
      <c r="D47" s="510">
        <f>SUM(D42:D46)</f>
      </c>
      <c r="E47" s="510">
        <f>SUM(E42:E46)</f>
      </c>
      <c r="F47" s="510">
        <f>SUM(F42:F46)</f>
      </c>
      <c r="G47" s="510">
        <f>SUM(G42:G46)</f>
      </c>
      <c r="H47" s="510">
        <f>SUM(H42:H46)</f>
      </c>
      <c r="I47" s="511">
        <f t="shared" si="0"/>
      </c>
      <c r="J47" s="511">
        <f t="shared" si="1"/>
      </c>
      <c r="K47" s="511">
        <f t="shared" si="2"/>
      </c>
      <c r="L47" s="510"/>
      <c r="M47" s="512">
        <f>SUM(M42:M46)</f>
      </c>
      <c r="N47" s="510"/>
      <c r="O47" s="510"/>
      <c r="P47" s="510"/>
      <c r="Q47" s="513">
        <f>AVERAGE(Q42:Q46)</f>
      </c>
      <c r="R47" s="514">
        <f>AVERAGE(R42:R46)</f>
      </c>
      <c r="S47" s="514">
        <f>AVERAGE(S42:S46)</f>
      </c>
      <c r="T47" s="514">
        <f>AVERAGE(T42:T46)</f>
      </c>
      <c r="U47" s="514">
        <f>AVERAGE(U42:U46)</f>
      </c>
      <c r="V47" s="515">
        <f>SUM(V42:V46)</f>
      </c>
      <c r="W47" s="514">
        <f>AVERAGE(W42:W46)</f>
      </c>
      <c r="X47" s="515"/>
      <c r="Y47" s="513">
        <f>AVERAGE(Y42:Y46)</f>
      </c>
      <c r="Z47" s="515">
        <f>SUM(Z42:Z46)</f>
      </c>
      <c r="AA47" s="515">
        <f>SUM(AA42:AA46)</f>
      </c>
      <c r="AB47" s="515">
        <f>SUM(AB42:AB46)</f>
      </c>
      <c r="AC47" s="515">
        <f>SUM(AC42:AC46)</f>
      </c>
      <c r="AD47" s="515">
        <f>SUM(AD42:AD46)</f>
      </c>
      <c r="AE47" s="515">
        <f>SUM(AE42:AE46)</f>
      </c>
      <c r="AF47" s="515">
        <f>SUM(AF42:AF46)</f>
      </c>
      <c r="AG47" s="515">
        <f>SUM(AG42:AG46)</f>
      </c>
    </row>
    <row r="48">
      <c r="A48" s="494" t="s">
        <v>1071</v>
      </c>
      <c r="B48" s="494" t="s">
        <v>1041</v>
      </c>
      <c r="C48" s="494" t="s">
        <v>1063</v>
      </c>
      <c r="D48" s="494">
        <v>4</v>
      </c>
      <c r="E48" s="494">
        <v>17</v>
      </c>
      <c r="F48" s="494">
        <v>19</v>
      </c>
      <c r="G48" s="494">
        <v>39571.48</v>
      </c>
      <c r="H48" s="495">
        <v>15200.84</v>
      </c>
      <c r="I48" s="496">
        <f t="shared" si="0"/>
      </c>
      <c r="J48" s="496">
        <f t="shared" si="1"/>
      </c>
      <c r="K48" s="496">
        <f t="shared" si="2"/>
      </c>
      <c r="L48" s="494" t="s">
        <v>1047</v>
      </c>
      <c r="M48" s="497">
        <v>10</v>
      </c>
      <c r="N48" s="498"/>
      <c r="O48" s="498"/>
      <c r="P48" s="498"/>
      <c r="Q48" s="499">
        <v>3.267592433361995</v>
      </c>
      <c r="R48" s="500">
        <v>0.2530495814933498</v>
      </c>
      <c r="S48" s="501">
        <v>0.029471950331020937</v>
      </c>
      <c r="T48" s="501">
        <v>0.03089106401849916</v>
      </c>
      <c r="U48" s="501">
        <v>0.08367514356029532</v>
      </c>
      <c r="V48" s="502">
        <v>39942.61119081779</v>
      </c>
      <c r="W48" s="501">
        <v>0.017425</v>
      </c>
      <c r="X48" s="502">
        <v>37.25</v>
      </c>
      <c r="Y48" s="503">
        <v>96.30232189806456</v>
      </c>
      <c r="Z48" s="502">
        <v>157845</v>
      </c>
      <c r="AA48" s="502">
        <v>4652</v>
      </c>
      <c r="AB48" s="502">
        <v>696</v>
      </c>
      <c r="AC48" s="502">
        <v>4876</v>
      </c>
      <c r="AD48" s="502">
        <v>408</v>
      </c>
      <c r="AE48" s="502">
        <v>42</v>
      </c>
      <c r="AF48" s="502">
        <v>9</v>
      </c>
      <c r="AG48" s="502">
        <v>170</v>
      </c>
    </row>
    <row r="49">
      <c r="A49" s="494" t="s">
        <v>1071</v>
      </c>
      <c r="B49" s="494" t="s">
        <v>1045</v>
      </c>
      <c r="C49" s="494" t="s">
        <v>1064</v>
      </c>
      <c r="D49" s="494">
        <v>4</v>
      </c>
      <c r="E49" s="494">
        <v>24</v>
      </c>
      <c r="F49" s="494">
        <v>26</v>
      </c>
      <c r="G49" s="494">
        <v>54669.65999999998</v>
      </c>
      <c r="H49" s="495">
        <v>16044.289999999999</v>
      </c>
      <c r="I49" s="496">
        <f t="shared" si="0"/>
      </c>
      <c r="J49" s="496">
        <f t="shared" si="1"/>
      </c>
      <c r="K49" s="496">
        <f t="shared" si="2"/>
      </c>
      <c r="L49" s="504"/>
      <c r="M49" s="504"/>
      <c r="N49" s="498"/>
      <c r="O49" s="498"/>
      <c r="P49" s="498"/>
      <c r="Q49" s="495">
        <v>6.006847622613253</v>
      </c>
      <c r="R49" s="501">
        <v>0.22218774637292496</v>
      </c>
      <c r="S49" s="500">
        <v>0.01705641195928428</v>
      </c>
      <c r="T49" s="501">
        <v>0.01757365994457145</v>
      </c>
      <c r="U49" s="500">
        <v>0.15261627906976744</v>
      </c>
      <c r="V49" s="502">
        <v>34794.1567065073</v>
      </c>
      <c r="W49" s="501">
        <v>0.018825</v>
      </c>
      <c r="X49" s="502">
        <v>53.5</v>
      </c>
      <c r="Y49" s="503">
        <v>102.45526762793905</v>
      </c>
      <c r="Z49" s="502">
        <v>156598</v>
      </c>
      <c r="AA49" s="502">
        <v>2671</v>
      </c>
      <c r="AB49" s="502">
        <v>655</v>
      </c>
      <c r="AC49" s="502">
        <v>2752</v>
      </c>
      <c r="AD49" s="502">
        <v>420</v>
      </c>
      <c r="AE49" s="502">
        <v>44</v>
      </c>
      <c r="AF49" s="502">
        <v>14</v>
      </c>
      <c r="AG49" s="502">
        <v>139</v>
      </c>
    </row>
    <row r="50">
      <c r="A50" s="494" t="s">
        <v>1071</v>
      </c>
      <c r="B50" s="494" t="s">
        <v>1055</v>
      </c>
      <c r="C50" s="494" t="s">
        <v>1054</v>
      </c>
      <c r="D50" s="494">
        <v>4</v>
      </c>
      <c r="E50" s="494">
        <v>13</v>
      </c>
      <c r="F50" s="494">
        <v>17</v>
      </c>
      <c r="G50" s="494">
        <v>35171.580000000016</v>
      </c>
      <c r="H50" s="495">
        <v>16298.78</v>
      </c>
      <c r="I50" s="496">
        <f t="shared" si="0"/>
      </c>
      <c r="J50" s="496">
        <f t="shared" si="1"/>
      </c>
      <c r="K50" s="505">
        <f t="shared" si="2"/>
      </c>
      <c r="L50" s="506"/>
      <c r="M50" s="506"/>
      <c r="N50" s="507"/>
      <c r="O50" s="498"/>
      <c r="P50" s="498"/>
      <c r="Q50" s="495">
        <v>5.700867436166492</v>
      </c>
      <c r="R50" s="501">
        <v>0.21210978398094604</v>
      </c>
      <c r="S50" s="501">
        <v>0.018830270697490614</v>
      </c>
      <c r="T50" s="501">
        <v>0.0198840808799315</v>
      </c>
      <c r="U50" s="501">
        <v>0.13050679032792314</v>
      </c>
      <c r="V50" s="502">
        <v>32204.62850182704</v>
      </c>
      <c r="W50" s="501">
        <v>0.020525</v>
      </c>
      <c r="X50" s="502">
        <v>57.5</v>
      </c>
      <c r="Y50" s="503">
        <v>107.34887703352435</v>
      </c>
      <c r="Z50" s="502">
        <v>151830</v>
      </c>
      <c r="AA50" s="502">
        <v>2859</v>
      </c>
      <c r="AB50" s="502">
        <v>661</v>
      </c>
      <c r="AC50" s="502">
        <v>3019</v>
      </c>
      <c r="AD50" s="502">
        <v>394</v>
      </c>
      <c r="AE50" s="502">
        <v>31</v>
      </c>
      <c r="AF50" s="502">
        <v>10</v>
      </c>
      <c r="AG50" s="502">
        <v>133</v>
      </c>
    </row>
    <row r="51">
      <c r="A51" s="494" t="s">
        <v>1071</v>
      </c>
      <c r="B51" s="494" t="s">
        <v>1038</v>
      </c>
      <c r="C51" s="494" t="s">
        <v>1056</v>
      </c>
      <c r="D51" s="494">
        <v>4</v>
      </c>
      <c r="E51" s="494">
        <v>22</v>
      </c>
      <c r="F51" s="494">
        <v>25</v>
      </c>
      <c r="G51" s="494">
        <v>56363.75</v>
      </c>
      <c r="H51" s="495">
        <v>17660.81</v>
      </c>
      <c r="I51" s="496">
        <f t="shared" si="0"/>
      </c>
      <c r="J51" s="496">
        <f t="shared" si="1"/>
      </c>
      <c r="K51" s="505">
        <f t="shared" si="2"/>
      </c>
      <c r="L51" s="506"/>
      <c r="M51" s="506"/>
      <c r="N51" s="507"/>
      <c r="O51" s="498"/>
      <c r="P51" s="498"/>
      <c r="Q51" s="495">
        <v>6.060676046671243</v>
      </c>
      <c r="R51" s="501">
        <v>0.19869110135019566</v>
      </c>
      <c r="S51" s="501">
        <v>0.0169891733373756</v>
      </c>
      <c r="T51" s="501">
        <v>0.017595513085861207</v>
      </c>
      <c r="U51" s="501">
        <v>0.17130550033134526</v>
      </c>
      <c r="V51" s="502">
        <v>34079.69639468691</v>
      </c>
      <c r="W51" s="501">
        <v>0.026350000000000002</v>
      </c>
      <c r="X51" s="502">
        <v>64.75</v>
      </c>
      <c r="Y51" s="503">
        <v>102.96587589857803</v>
      </c>
      <c r="Z51" s="502">
        <v>171521</v>
      </c>
      <c r="AA51" s="502">
        <v>2914</v>
      </c>
      <c r="AB51" s="502">
        <v>898</v>
      </c>
      <c r="AC51" s="502">
        <v>3018</v>
      </c>
      <c r="AD51" s="502">
        <v>517</v>
      </c>
      <c r="AE51" s="502">
        <v>50</v>
      </c>
      <c r="AF51" s="502">
        <v>12</v>
      </c>
      <c r="AG51" s="502">
        <v>217</v>
      </c>
    </row>
    <row r="52">
      <c r="A52" s="494" t="s">
        <v>1071</v>
      </c>
      <c r="B52" s="494" t="s">
        <v>1043</v>
      </c>
      <c r="C52" s="494" t="s">
        <v>1057</v>
      </c>
      <c r="D52" s="494">
        <v>4</v>
      </c>
      <c r="E52" s="494">
        <v>6</v>
      </c>
      <c r="F52" s="494">
        <v>9</v>
      </c>
      <c r="G52" s="494">
        <v>19620.100000000006</v>
      </c>
      <c r="H52" s="495">
        <v>12335.609999999999</v>
      </c>
      <c r="I52" s="496">
        <f t="shared" si="0"/>
      </c>
      <c r="J52" s="496">
        <f t="shared" si="1"/>
      </c>
      <c r="K52" s="505">
        <f t="shared" si="2"/>
      </c>
      <c r="L52" s="494" t="s">
        <v>1040</v>
      </c>
      <c r="M52" s="508">
        <v>10</v>
      </c>
      <c r="N52" s="507"/>
      <c r="O52" s="498"/>
      <c r="P52" s="498"/>
      <c r="Q52" s="503">
        <v>4.511927578639356</v>
      </c>
      <c r="R52" s="501">
        <v>0.22862344981182842</v>
      </c>
      <c r="S52" s="501">
        <v>0.02019172538071816</v>
      </c>
      <c r="T52" s="501">
        <v>0.020974579400599696</v>
      </c>
      <c r="U52" s="501">
        <v>0.0926056338028169</v>
      </c>
      <c r="V52" s="502">
        <v>30956.07235142119</v>
      </c>
      <c r="W52" s="501">
        <v>0.01935</v>
      </c>
      <c r="X52" s="502">
        <v>69.5</v>
      </c>
      <c r="Y52" s="503">
        <v>91.1036026055745</v>
      </c>
      <c r="Z52" s="502">
        <v>135402</v>
      </c>
      <c r="AA52" s="502">
        <v>2734</v>
      </c>
      <c r="AB52" s="502">
        <v>599</v>
      </c>
      <c r="AC52" s="502">
        <v>2840</v>
      </c>
      <c r="AD52" s="502">
        <v>263</v>
      </c>
      <c r="AE52" s="502">
        <v>25</v>
      </c>
      <c r="AF52" s="502">
        <v>9</v>
      </c>
      <c r="AG52" s="502">
        <v>168</v>
      </c>
    </row>
    <row r="53">
      <c r="A53" s="509" t="s">
        <v>1071</v>
      </c>
      <c r="B53" s="510" t="s">
        <v>1048</v>
      </c>
      <c r="C53" s="510"/>
      <c r="D53" s="510">
        <f>SUM(D48:D52)</f>
      </c>
      <c r="E53" s="510">
        <f>SUM(E48:E52)</f>
      </c>
      <c r="F53" s="510">
        <f>SUM(F48:F52)</f>
      </c>
      <c r="G53" s="510">
        <f>SUM(G48:G52)</f>
      </c>
      <c r="H53" s="510">
        <f>SUM(H48:H52)</f>
      </c>
      <c r="I53" s="511">
        <f t="shared" si="0"/>
      </c>
      <c r="J53" s="511">
        <f t="shared" si="1"/>
      </c>
      <c r="K53" s="511">
        <f t="shared" si="2"/>
      </c>
      <c r="L53" s="510"/>
      <c r="M53" s="512">
        <f>SUM(M48:M52)</f>
      </c>
      <c r="N53" s="510"/>
      <c r="O53" s="510"/>
      <c r="P53" s="510"/>
      <c r="Q53" s="513">
        <f>AVERAGE(Q48:Q52)</f>
      </c>
      <c r="R53" s="514">
        <f>AVERAGE(R48:R52)</f>
      </c>
      <c r="S53" s="514">
        <f>AVERAGE(S48:S52)</f>
      </c>
      <c r="T53" s="514">
        <f>AVERAGE(T48:T52)</f>
      </c>
      <c r="U53" s="514">
        <f>AVERAGE(U48:U52)</f>
      </c>
      <c r="V53" s="515">
        <f>SUM(V48:V52)</f>
      </c>
      <c r="W53" s="514">
        <f>AVERAGE(W48:W52)</f>
      </c>
      <c r="X53" s="515"/>
      <c r="Y53" s="513">
        <f>AVERAGE(Y48:Y52)</f>
      </c>
      <c r="Z53" s="515">
        <f>SUM(Z48:Z52)</f>
      </c>
      <c r="AA53" s="515">
        <f>SUM(AA48:AA52)</f>
      </c>
      <c r="AB53" s="515">
        <f>SUM(AB48:AB52)</f>
      </c>
      <c r="AC53" s="515">
        <f>SUM(AC48:AC52)</f>
      </c>
      <c r="AD53" s="515">
        <f>SUM(AD48:AD52)</f>
      </c>
      <c r="AE53" s="515">
        <f>SUM(AE48:AE52)</f>
      </c>
      <c r="AF53" s="515">
        <f>SUM(AF48:AF52)</f>
      </c>
      <c r="AG53" s="515">
        <f>SUM(AG48:AG52)</f>
      </c>
    </row>
    <row r="54">
      <c r="A54" s="494" t="s">
        <v>1072</v>
      </c>
      <c r="B54" s="494" t="s">
        <v>1045</v>
      </c>
      <c r="C54" s="494" t="s">
        <v>1063</v>
      </c>
      <c r="D54" s="494">
        <v>4</v>
      </c>
      <c r="E54" s="494">
        <v>18</v>
      </c>
      <c r="F54" s="494">
        <v>18</v>
      </c>
      <c r="G54" s="494">
        <v>35360.35</v>
      </c>
      <c r="H54" s="495">
        <v>14775.109999999999</v>
      </c>
      <c r="I54" s="496">
        <f t="shared" si="0"/>
      </c>
      <c r="J54" s="496">
        <f t="shared" si="1"/>
      </c>
      <c r="K54" s="496">
        <f t="shared" si="2"/>
      </c>
      <c r="L54" s="494" t="s">
        <v>1047</v>
      </c>
      <c r="M54" s="497">
        <v>10</v>
      </c>
      <c r="N54" s="498"/>
      <c r="O54" s="498"/>
      <c r="P54" s="498"/>
      <c r="Q54" s="499">
        <v>3.0091873727087575</v>
      </c>
      <c r="R54" s="500">
        <v>0.25097007617197903</v>
      </c>
      <c r="S54" s="501">
        <v>0.03559441218474298</v>
      </c>
      <c r="T54" s="501">
        <v>0.03780547037544493</v>
      </c>
      <c r="U54" s="501">
        <v>0.06845637583892618</v>
      </c>
      <c r="V54" s="502">
        <v>34619.565217391304</v>
      </c>
      <c r="W54" s="501">
        <v>0.0184</v>
      </c>
      <c r="X54" s="502">
        <v>30.5</v>
      </c>
      <c r="Y54" s="503">
        <v>107.11025568531929</v>
      </c>
      <c r="Z54" s="502">
        <v>137943</v>
      </c>
      <c r="AA54" s="502">
        <v>4910</v>
      </c>
      <c r="AB54" s="502">
        <v>637</v>
      </c>
      <c r="AC54" s="502">
        <v>5215</v>
      </c>
      <c r="AD54" s="502">
        <v>357</v>
      </c>
      <c r="AE54" s="502">
        <v>35</v>
      </c>
      <c r="AF54" s="502">
        <v>8</v>
      </c>
      <c r="AG54" s="502">
        <v>149</v>
      </c>
    </row>
    <row r="55">
      <c r="A55" s="494" t="s">
        <v>1072</v>
      </c>
      <c r="B55" s="494" t="s">
        <v>1051</v>
      </c>
      <c r="C55" s="494" t="s">
        <v>1064</v>
      </c>
      <c r="D55" s="494">
        <v>4</v>
      </c>
      <c r="E55" s="494">
        <v>15</v>
      </c>
      <c r="F55" s="494">
        <v>18</v>
      </c>
      <c r="G55" s="494">
        <v>35262.01</v>
      </c>
      <c r="H55" s="495">
        <v>13562.46</v>
      </c>
      <c r="I55" s="496">
        <f t="shared" si="0"/>
      </c>
      <c r="J55" s="496">
        <f t="shared" si="1"/>
      </c>
      <c r="K55" s="496">
        <f t="shared" si="2"/>
      </c>
      <c r="L55" s="504"/>
      <c r="M55" s="504"/>
      <c r="N55" s="498"/>
      <c r="O55" s="498"/>
      <c r="P55" s="498"/>
      <c r="Q55" s="495">
        <v>5.4819967663702505</v>
      </c>
      <c r="R55" s="501">
        <v>0.2156742513303289</v>
      </c>
      <c r="S55" s="500">
        <v>0.019751233454150634</v>
      </c>
      <c r="T55" s="501">
        <v>0.020733206661450766</v>
      </c>
      <c r="U55" s="500">
        <v>0.12437427801309203</v>
      </c>
      <c r="V55" s="502">
        <v>27014.925373134334</v>
      </c>
      <c r="W55" s="501">
        <v>0.020099999999999996</v>
      </c>
      <c r="X55" s="502">
        <v>43.5</v>
      </c>
      <c r="Y55" s="503">
        <v>108.27619792747768</v>
      </c>
      <c r="Z55" s="502">
        <v>125258</v>
      </c>
      <c r="AA55" s="502">
        <v>2474</v>
      </c>
      <c r="AB55" s="502">
        <v>543</v>
      </c>
      <c r="AC55" s="502">
        <v>2597</v>
      </c>
      <c r="AD55" s="502">
        <v>323</v>
      </c>
      <c r="AE55" s="502">
        <v>29</v>
      </c>
      <c r="AF55" s="502">
        <v>9</v>
      </c>
      <c r="AG55" s="502">
        <v>168</v>
      </c>
    </row>
    <row r="56">
      <c r="A56" s="494" t="s">
        <v>1072</v>
      </c>
      <c r="B56" s="494" t="s">
        <v>1041</v>
      </c>
      <c r="C56" s="494" t="s">
        <v>1054</v>
      </c>
      <c r="D56" s="494">
        <v>4</v>
      </c>
      <c r="E56" s="494">
        <v>20</v>
      </c>
      <c r="F56" s="494">
        <v>24</v>
      </c>
      <c r="G56" s="494">
        <v>44452.45</v>
      </c>
      <c r="H56" s="495">
        <v>14630.289999999999</v>
      </c>
      <c r="I56" s="496">
        <f t="shared" si="0"/>
      </c>
      <c r="J56" s="496">
        <f t="shared" si="1"/>
      </c>
      <c r="K56" s="505">
        <f t="shared" si="2"/>
      </c>
      <c r="L56" s="506"/>
      <c r="M56" s="506"/>
      <c r="N56" s="507"/>
      <c r="O56" s="498"/>
      <c r="P56" s="498"/>
      <c r="Q56" s="495">
        <v>5.162385321100918</v>
      </c>
      <c r="R56" s="501">
        <v>0.19464418526326877</v>
      </c>
      <c r="S56" s="501">
        <v>0.02137061502729768</v>
      </c>
      <c r="T56" s="501">
        <v>0.02242632642596447</v>
      </c>
      <c r="U56" s="501">
        <v>0.11331540013449899</v>
      </c>
      <c r="V56" s="502">
        <v>25812.1546961326</v>
      </c>
      <c r="W56" s="501">
        <v>0.022625</v>
      </c>
      <c r="X56" s="502">
        <v>50.25</v>
      </c>
      <c r="Y56" s="503">
        <v>110.32334931982022</v>
      </c>
      <c r="Z56" s="502">
        <v>132612</v>
      </c>
      <c r="AA56" s="502">
        <v>2834</v>
      </c>
      <c r="AB56" s="502">
        <v>584</v>
      </c>
      <c r="AC56" s="502">
        <v>2974</v>
      </c>
      <c r="AD56" s="502">
        <v>337</v>
      </c>
      <c r="AE56" s="502">
        <v>20</v>
      </c>
      <c r="AF56" s="502">
        <v>8</v>
      </c>
      <c r="AG56" s="502">
        <v>137</v>
      </c>
    </row>
    <row r="57">
      <c r="A57" s="494" t="s">
        <v>1072</v>
      </c>
      <c r="B57" s="494" t="s">
        <v>1038</v>
      </c>
      <c r="C57" s="494" t="s">
        <v>1056</v>
      </c>
      <c r="D57" s="494">
        <v>4</v>
      </c>
      <c r="E57" s="494">
        <v>12</v>
      </c>
      <c r="F57" s="494">
        <v>14</v>
      </c>
      <c r="G57" s="494">
        <v>33887.03999999998</v>
      </c>
      <c r="H57" s="495">
        <v>16019.699999999999</v>
      </c>
      <c r="I57" s="496">
        <f t="shared" si="0"/>
      </c>
      <c r="J57" s="496">
        <f t="shared" si="1"/>
      </c>
      <c r="K57" s="505">
        <f t="shared" si="2"/>
      </c>
      <c r="L57" s="506"/>
      <c r="M57" s="506"/>
      <c r="N57" s="507"/>
      <c r="O57" s="498"/>
      <c r="P57" s="498"/>
      <c r="Q57" s="495">
        <v>3.9929461615154533</v>
      </c>
      <c r="R57" s="501">
        <v>0.20619044042713688</v>
      </c>
      <c r="S57" s="501">
        <v>0.026182862363766886</v>
      </c>
      <c r="T57" s="501">
        <v>0.027383671604777133</v>
      </c>
      <c r="U57" s="501">
        <v>0.09938036224976168</v>
      </c>
      <c r="V57" s="502">
        <v>31594.561186650186</v>
      </c>
      <c r="W57" s="501">
        <v>0.020225</v>
      </c>
      <c r="X57" s="502">
        <v>51.25</v>
      </c>
      <c r="Y57" s="503">
        <v>104.54675977289043</v>
      </c>
      <c r="Z57" s="502">
        <v>153230</v>
      </c>
      <c r="AA57" s="502">
        <v>4012</v>
      </c>
      <c r="AB57" s="502">
        <v>639</v>
      </c>
      <c r="AC57" s="502">
        <v>4196</v>
      </c>
      <c r="AD57" s="502">
        <v>417</v>
      </c>
      <c r="AE57" s="502">
        <v>32</v>
      </c>
      <c r="AF57" s="502">
        <v>12</v>
      </c>
      <c r="AG57" s="502">
        <v>132</v>
      </c>
    </row>
    <row r="58">
      <c r="A58" s="494" t="s">
        <v>1072</v>
      </c>
      <c r="B58" s="494" t="s">
        <v>1055</v>
      </c>
      <c r="C58" s="494" t="s">
        <v>1057</v>
      </c>
      <c r="D58" s="494">
        <v>4</v>
      </c>
      <c r="E58" s="494">
        <v>19</v>
      </c>
      <c r="F58" s="494">
        <v>24</v>
      </c>
      <c r="G58" s="494">
        <v>43607.43000000005</v>
      </c>
      <c r="H58" s="495">
        <v>13128.57</v>
      </c>
      <c r="I58" s="496">
        <f t="shared" si="0"/>
      </c>
      <c r="J58" s="496">
        <f t="shared" si="1"/>
      </c>
      <c r="K58" s="505">
        <f t="shared" si="2"/>
      </c>
      <c r="L58" s="494" t="s">
        <v>1040</v>
      </c>
      <c r="M58" s="508">
        <v>10</v>
      </c>
      <c r="N58" s="507"/>
      <c r="O58" s="498"/>
      <c r="P58" s="498"/>
      <c r="Q58" s="503">
        <v>3.4458188976377953</v>
      </c>
      <c r="R58" s="501">
        <v>0.2694315165031381</v>
      </c>
      <c r="S58" s="501">
        <v>0.025829457784768077</v>
      </c>
      <c r="T58" s="501">
        <v>0.027524304096104565</v>
      </c>
      <c r="U58" s="501">
        <v>0.10246305418719212</v>
      </c>
      <c r="V58" s="502">
        <v>39742.765273311896</v>
      </c>
      <c r="W58" s="501">
        <v>0.01555</v>
      </c>
      <c r="X58" s="502">
        <v>53</v>
      </c>
      <c r="Y58" s="503">
        <v>89.0036337504915</v>
      </c>
      <c r="Z58" s="502">
        <v>147506</v>
      </c>
      <c r="AA58" s="502">
        <v>3810</v>
      </c>
      <c r="AB58" s="502">
        <v>618</v>
      </c>
      <c r="AC58" s="502">
        <v>4060</v>
      </c>
      <c r="AD58" s="502">
        <v>416</v>
      </c>
      <c r="AE58" s="502">
        <v>50</v>
      </c>
      <c r="AF58" s="502">
        <v>8</v>
      </c>
      <c r="AG58" s="502">
        <v>175</v>
      </c>
    </row>
    <row r="59">
      <c r="A59" s="509" t="s">
        <v>1072</v>
      </c>
      <c r="B59" s="510" t="s">
        <v>1048</v>
      </c>
      <c r="C59" s="510"/>
      <c r="D59" s="510">
        <f>SUM(D54:D58)</f>
      </c>
      <c r="E59" s="510">
        <f>SUM(E54:E58)</f>
      </c>
      <c r="F59" s="510">
        <f>SUM(F54:F58)</f>
      </c>
      <c r="G59" s="510">
        <f>SUM(G54:G58)</f>
      </c>
      <c r="H59" s="510">
        <f>SUM(H54:H58)</f>
      </c>
      <c r="I59" s="511">
        <f t="shared" si="0"/>
      </c>
      <c r="J59" s="511">
        <f t="shared" si="1"/>
      </c>
      <c r="K59" s="511">
        <f t="shared" si="2"/>
      </c>
      <c r="L59" s="510"/>
      <c r="M59" s="512">
        <f>SUM(M54:M58)</f>
      </c>
      <c r="N59" s="510"/>
      <c r="O59" s="510"/>
      <c r="P59" s="510"/>
      <c r="Q59" s="513">
        <f>AVERAGE(Q54:Q58)</f>
      </c>
      <c r="R59" s="514">
        <f>AVERAGE(R54:R58)</f>
      </c>
      <c r="S59" s="514">
        <f>AVERAGE(S54:S58)</f>
      </c>
      <c r="T59" s="514">
        <f>AVERAGE(T54:T58)</f>
      </c>
      <c r="U59" s="514">
        <f>AVERAGE(U54:U58)</f>
      </c>
      <c r="V59" s="515">
        <f>SUM(V54:V58)</f>
      </c>
      <c r="W59" s="514">
        <f>AVERAGE(W54:W58)</f>
      </c>
      <c r="X59" s="515"/>
      <c r="Y59" s="513">
        <f>AVERAGE(Y54:Y58)</f>
      </c>
      <c r="Z59" s="515">
        <f>SUM(Z54:Z58)</f>
      </c>
      <c r="AA59" s="515">
        <f>SUM(AA54:AA58)</f>
      </c>
      <c r="AB59" s="515">
        <f>SUM(AB54:AB58)</f>
      </c>
      <c r="AC59" s="515">
        <f>SUM(AC54:AC58)</f>
      </c>
      <c r="AD59" s="515">
        <f>SUM(AD54:AD58)</f>
      </c>
      <c r="AE59" s="515">
        <f>SUM(AE54:AE58)</f>
      </c>
      <c r="AF59" s="515">
        <f>SUM(AF54:AF58)</f>
      </c>
      <c r="AG59" s="515">
        <f>SUM(AG54:AG58)</f>
      </c>
    </row>
    <row r="60">
      <c r="A60" s="494" t="s">
        <v>1073</v>
      </c>
      <c r="B60" s="494" t="s">
        <v>1045</v>
      </c>
      <c r="C60" s="494" t="s">
        <v>1063</v>
      </c>
      <c r="D60" s="494">
        <v>4</v>
      </c>
      <c r="E60" s="494">
        <v>22</v>
      </c>
      <c r="F60" s="494">
        <v>23</v>
      </c>
      <c r="G60" s="494">
        <v>48455.37000000002</v>
      </c>
      <c r="H60" s="495">
        <v>14956.45</v>
      </c>
      <c r="I60" s="496">
        <f t="shared" si="0"/>
      </c>
      <c r="J60" s="496">
        <f t="shared" si="1"/>
      </c>
      <c r="K60" s="496">
        <f t="shared" si="2"/>
      </c>
      <c r="L60" s="494" t="s">
        <v>1047</v>
      </c>
      <c r="M60" s="497">
        <v>10</v>
      </c>
      <c r="N60" s="498"/>
      <c r="O60" s="498"/>
      <c r="P60" s="498"/>
      <c r="Q60" s="499">
        <v>3.2813624396665206</v>
      </c>
      <c r="R60" s="500">
        <v>0.26723383163217934</v>
      </c>
      <c r="S60" s="501">
        <v>0.026246537794899258</v>
      </c>
      <c r="T60" s="501">
        <v>0.027910699581368298</v>
      </c>
      <c r="U60" s="501">
        <v>0.06870229007633588</v>
      </c>
      <c r="V60" s="502">
        <v>46408.094435075895</v>
      </c>
      <c r="W60" s="501">
        <v>0.014824999999999998</v>
      </c>
      <c r="X60" s="502">
        <v>27.75</v>
      </c>
      <c r="Y60" s="503">
        <v>86.12440329147017</v>
      </c>
      <c r="Z60" s="502">
        <v>173661</v>
      </c>
      <c r="AA60" s="502">
        <v>4558</v>
      </c>
      <c r="AB60" s="502">
        <v>688</v>
      </c>
      <c r="AC60" s="502">
        <v>4847</v>
      </c>
      <c r="AD60" s="502">
        <v>333</v>
      </c>
      <c r="AE60" s="502">
        <v>52</v>
      </c>
      <c r="AF60" s="502">
        <v>7</v>
      </c>
      <c r="AG60" s="502">
        <v>182</v>
      </c>
    </row>
    <row r="61">
      <c r="A61" s="494" t="s">
        <v>1073</v>
      </c>
      <c r="B61" s="494" t="s">
        <v>1038</v>
      </c>
      <c r="C61" s="494" t="s">
        <v>1064</v>
      </c>
      <c r="D61" s="494">
        <v>4</v>
      </c>
      <c r="E61" s="494">
        <v>12</v>
      </c>
      <c r="F61" s="494">
        <v>19</v>
      </c>
      <c r="G61" s="494">
        <v>36441.349999999984</v>
      </c>
      <c r="H61" s="495">
        <v>16049.509999999998</v>
      </c>
      <c r="I61" s="496">
        <f t="shared" si="0"/>
      </c>
      <c r="J61" s="496">
        <f t="shared" si="1"/>
      </c>
      <c r="K61" s="496">
        <f t="shared" si="2"/>
      </c>
      <c r="L61" s="504"/>
      <c r="M61" s="504"/>
      <c r="N61" s="498"/>
      <c r="O61" s="498"/>
      <c r="P61" s="498"/>
      <c r="Q61" s="495">
        <v>5.224449869791666</v>
      </c>
      <c r="R61" s="501">
        <v>0.272325543473159</v>
      </c>
      <c r="S61" s="500">
        <v>0.01815055745608593</v>
      </c>
      <c r="T61" s="501">
        <v>0.019024998375194238</v>
      </c>
      <c r="U61" s="500">
        <v>0.09472049689440994</v>
      </c>
      <c r="V61" s="502">
        <v>46091.37055837564</v>
      </c>
      <c r="W61" s="501">
        <v>0.014775</v>
      </c>
      <c r="X61" s="502">
        <v>41.5</v>
      </c>
      <c r="Y61" s="503">
        <v>94.8266775380943</v>
      </c>
      <c r="Z61" s="502">
        <v>169251</v>
      </c>
      <c r="AA61" s="502">
        <v>3072</v>
      </c>
      <c r="AB61" s="502">
        <v>681</v>
      </c>
      <c r="AC61" s="502">
        <v>3220</v>
      </c>
      <c r="AD61" s="502">
        <v>305</v>
      </c>
      <c r="AE61" s="502">
        <v>27</v>
      </c>
      <c r="AF61" s="502">
        <v>10</v>
      </c>
      <c r="AG61" s="502">
        <v>164</v>
      </c>
    </row>
    <row r="62">
      <c r="A62" s="494" t="s">
        <v>1073</v>
      </c>
      <c r="B62" s="494" t="s">
        <v>1043</v>
      </c>
      <c r="C62" s="494" t="s">
        <v>1054</v>
      </c>
      <c r="D62" s="494">
        <v>4</v>
      </c>
      <c r="E62" s="494">
        <v>12</v>
      </c>
      <c r="F62" s="494">
        <v>12</v>
      </c>
      <c r="G62" s="494">
        <v>26119.460000000006</v>
      </c>
      <c r="H62" s="495">
        <v>15492.179999999998</v>
      </c>
      <c r="I62" s="496">
        <f t="shared" si="0"/>
      </c>
      <c r="J62" s="496">
        <f t="shared" si="1"/>
      </c>
      <c r="K62" s="505">
        <f t="shared" si="2"/>
      </c>
      <c r="L62" s="506"/>
      <c r="M62" s="506"/>
      <c r="N62" s="507"/>
      <c r="O62" s="498"/>
      <c r="P62" s="498"/>
      <c r="Q62" s="495">
        <v>4.7904081632653055</v>
      </c>
      <c r="R62" s="501">
        <v>0.2633589941933086</v>
      </c>
      <c r="S62" s="501">
        <v>0.01961069674367837</v>
      </c>
      <c r="T62" s="501">
        <v>0.020483900309259596</v>
      </c>
      <c r="U62" s="501">
        <v>0.09650680876258141</v>
      </c>
      <c r="V62" s="502">
        <v>43430.53173241852</v>
      </c>
      <c r="W62" s="501">
        <v>0.014575000000000001</v>
      </c>
      <c r="X62" s="502">
        <v>45</v>
      </c>
      <c r="Y62" s="503">
        <v>93.9432417682372</v>
      </c>
      <c r="Z62" s="502">
        <v>164910</v>
      </c>
      <c r="AA62" s="502">
        <v>3234</v>
      </c>
      <c r="AB62" s="502">
        <v>633</v>
      </c>
      <c r="AC62" s="502">
        <v>3378</v>
      </c>
      <c r="AD62" s="502">
        <v>326</v>
      </c>
      <c r="AE62" s="502">
        <v>26</v>
      </c>
      <c r="AF62" s="502">
        <v>8</v>
      </c>
      <c r="AG62" s="502">
        <v>144</v>
      </c>
    </row>
    <row r="63">
      <c r="A63" s="494" t="s">
        <v>1073</v>
      </c>
      <c r="B63" s="494" t="s">
        <v>1055</v>
      </c>
      <c r="C63" s="494" t="s">
        <v>1056</v>
      </c>
      <c r="D63" s="494">
        <v>4</v>
      </c>
      <c r="E63" s="494">
        <v>22</v>
      </c>
      <c r="F63" s="494">
        <v>23</v>
      </c>
      <c r="G63" s="494">
        <v>45198.12000000001</v>
      </c>
      <c r="H63" s="495">
        <v>18193.58</v>
      </c>
      <c r="I63" s="496">
        <f t="shared" si="0"/>
      </c>
      <c r="J63" s="496">
        <f t="shared" si="1"/>
      </c>
      <c r="K63" s="505">
        <f t="shared" si="2"/>
      </c>
      <c r="L63" s="506"/>
      <c r="M63" s="506"/>
      <c r="N63" s="507"/>
      <c r="O63" s="498"/>
      <c r="P63" s="498"/>
      <c r="Q63" s="495">
        <v>5.437411835026898</v>
      </c>
      <c r="R63" s="501">
        <v>0.21663099925694687</v>
      </c>
      <c r="S63" s="501">
        <v>0.01932272296782241</v>
      </c>
      <c r="T63" s="501">
        <v>0.02020050356887113</v>
      </c>
      <c r="U63" s="501">
        <v>0.13836477987421383</v>
      </c>
      <c r="V63" s="502">
        <v>37512.69035532995</v>
      </c>
      <c r="W63" s="501">
        <v>0.0197</v>
      </c>
      <c r="X63" s="502">
        <v>48.75</v>
      </c>
      <c r="Y63" s="503">
        <v>105.06560255018366</v>
      </c>
      <c r="Z63" s="502">
        <v>173164</v>
      </c>
      <c r="AA63" s="502">
        <v>3346</v>
      </c>
      <c r="AB63" s="502">
        <v>739</v>
      </c>
      <c r="AC63" s="502">
        <v>3498</v>
      </c>
      <c r="AD63" s="502">
        <v>484</v>
      </c>
      <c r="AE63" s="502">
        <v>34</v>
      </c>
      <c r="AF63" s="502">
        <v>10</v>
      </c>
      <c r="AG63" s="502">
        <v>174</v>
      </c>
    </row>
    <row r="64">
      <c r="A64" s="494" t="s">
        <v>1073</v>
      </c>
      <c r="B64" s="494" t="s">
        <v>1041</v>
      </c>
      <c r="C64" s="494" t="s">
        <v>1057</v>
      </c>
      <c r="D64" s="494">
        <v>4</v>
      </c>
      <c r="E64" s="494">
        <v>18</v>
      </c>
      <c r="F64" s="494">
        <v>22</v>
      </c>
      <c r="G64" s="494">
        <v>46699.130000000005</v>
      </c>
      <c r="H64" s="495">
        <v>13286.710000000001</v>
      </c>
      <c r="I64" s="496">
        <f t="shared" si="0"/>
      </c>
      <c r="J64" s="496">
        <f t="shared" si="1"/>
      </c>
      <c r="K64" s="505">
        <f t="shared" si="2"/>
      </c>
      <c r="L64" s="494" t="s">
        <v>1040</v>
      </c>
      <c r="M64" s="508">
        <v>10</v>
      </c>
      <c r="N64" s="507"/>
      <c r="O64" s="498"/>
      <c r="P64" s="498"/>
      <c r="Q64" s="503">
        <v>3.6552159559834942</v>
      </c>
      <c r="R64" s="501">
        <v>0.2950559485114114</v>
      </c>
      <c r="S64" s="501">
        <v>0.019674917322046192</v>
      </c>
      <c r="T64" s="501">
        <v>0.021001012162184106</v>
      </c>
      <c r="U64" s="501">
        <v>0.08943298969072165</v>
      </c>
      <c r="V64" s="502">
        <v>54512.471655328794</v>
      </c>
      <c r="W64" s="501">
        <v>0.011025</v>
      </c>
      <c r="X64" s="502">
        <v>50.75</v>
      </c>
      <c r="Y64" s="503">
        <v>71.91607172819927</v>
      </c>
      <c r="Z64" s="502">
        <v>184753</v>
      </c>
      <c r="AA64" s="502">
        <v>3635</v>
      </c>
      <c r="AB64" s="502">
        <v>601</v>
      </c>
      <c r="AC64" s="502">
        <v>3880</v>
      </c>
      <c r="AD64" s="502">
        <v>347</v>
      </c>
      <c r="AE64" s="502">
        <v>29</v>
      </c>
      <c r="AF64" s="502">
        <v>5</v>
      </c>
      <c r="AG64" s="502">
        <v>183</v>
      </c>
    </row>
    <row r="65">
      <c r="A65" s="509" t="s">
        <v>1073</v>
      </c>
      <c r="B65" s="510" t="s">
        <v>1048</v>
      </c>
      <c r="C65" s="510"/>
      <c r="D65" s="510">
        <f>SUM(D60:D64)</f>
      </c>
      <c r="E65" s="510">
        <f>SUM(E60:E64)</f>
      </c>
      <c r="F65" s="510">
        <f>SUM(F60:F64)</f>
      </c>
      <c r="G65" s="510">
        <f>SUM(G60:G64)</f>
      </c>
      <c r="H65" s="510">
        <f>SUM(H60:H64)</f>
      </c>
      <c r="I65" s="511">
        <f t="shared" si="0"/>
      </c>
      <c r="J65" s="511">
        <f t="shared" si="1"/>
      </c>
      <c r="K65" s="511">
        <f t="shared" si="2"/>
      </c>
      <c r="L65" s="510"/>
      <c r="M65" s="512">
        <f>SUM(M60:M64)</f>
      </c>
      <c r="N65" s="510"/>
      <c r="O65" s="510"/>
      <c r="P65" s="510"/>
      <c r="Q65" s="513">
        <f>AVERAGE(Q60:Q64)</f>
      </c>
      <c r="R65" s="514">
        <f>AVERAGE(R60:R64)</f>
      </c>
      <c r="S65" s="514">
        <f>AVERAGE(S60:S64)</f>
      </c>
      <c r="T65" s="514">
        <f>AVERAGE(T60:T64)</f>
      </c>
      <c r="U65" s="514">
        <f>AVERAGE(U60:U64)</f>
      </c>
      <c r="V65" s="515">
        <f>SUM(V60:V64)</f>
      </c>
      <c r="W65" s="514">
        <f>AVERAGE(W60:W64)</f>
      </c>
      <c r="X65" s="515"/>
      <c r="Y65" s="513">
        <f>AVERAGE(Y60:Y64)</f>
      </c>
      <c r="Z65" s="515">
        <f>SUM(Z60:Z64)</f>
      </c>
      <c r="AA65" s="515">
        <f>SUM(AA60:AA64)</f>
      </c>
      <c r="AB65" s="515">
        <f>SUM(AB60:AB64)</f>
      </c>
      <c r="AC65" s="515">
        <f>SUM(AC60:AC64)</f>
      </c>
      <c r="AD65" s="515">
        <f>SUM(AD60:AD64)</f>
      </c>
      <c r="AE65" s="515">
        <f>SUM(AE60:AE64)</f>
      </c>
      <c r="AF65" s="515">
        <f>SUM(AF60:AF64)</f>
      </c>
      <c r="AG65" s="515">
        <f>SUM(AG60:AG64)</f>
      </c>
    </row>
    <row r="66">
      <c r="A66" s="494" t="s">
        <v>1074</v>
      </c>
      <c r="B66" s="494" t="s">
        <v>1038</v>
      </c>
      <c r="C66" s="494" t="s">
        <v>1063</v>
      </c>
      <c r="D66" s="494">
        <v>4</v>
      </c>
      <c r="E66" s="494">
        <v>6</v>
      </c>
      <c r="F66" s="494">
        <v>8</v>
      </c>
      <c r="G66" s="494">
        <v>17934.670000000002</v>
      </c>
      <c r="H66" s="495">
        <v>14856.1</v>
      </c>
      <c r="I66" s="496">
        <f t="shared" si="0"/>
      </c>
      <c r="J66" s="496">
        <f t="shared" si="1"/>
      </c>
      <c r="K66" s="496">
        <f t="shared" si="2"/>
      </c>
      <c r="L66" s="494" t="s">
        <v>1047</v>
      </c>
      <c r="M66" s="497">
        <v>10</v>
      </c>
      <c r="N66" s="498"/>
      <c r="O66" s="498"/>
      <c r="P66" s="498"/>
      <c r="Q66" s="499">
        <v>3.487347417840376</v>
      </c>
      <c r="R66" s="500">
        <v>0.22255927356653105</v>
      </c>
      <c r="S66" s="501">
        <v>0.028649826486966345</v>
      </c>
      <c r="T66" s="501">
        <v>0.030297527775536008</v>
      </c>
      <c r="U66" s="501">
        <v>0.07547169811320754</v>
      </c>
      <c r="V66" s="502">
        <v>33092.783505154635</v>
      </c>
      <c r="W66" s="501">
        <v>0.0194</v>
      </c>
      <c r="X66" s="502">
        <v>35.5</v>
      </c>
      <c r="Y66" s="503">
        <v>99.91189842089689</v>
      </c>
      <c r="Z66" s="502">
        <v>148692</v>
      </c>
      <c r="AA66" s="502">
        <v>4260</v>
      </c>
      <c r="AB66" s="502">
        <v>642</v>
      </c>
      <c r="AC66" s="502">
        <v>4505</v>
      </c>
      <c r="AD66" s="502">
        <v>340</v>
      </c>
      <c r="AE66" s="502">
        <v>47</v>
      </c>
      <c r="AF66" s="502">
        <v>6</v>
      </c>
      <c r="AG66" s="502">
        <v>154</v>
      </c>
    </row>
    <row r="67">
      <c r="A67" s="494" t="s">
        <v>1074</v>
      </c>
      <c r="B67" s="494" t="s">
        <v>1051</v>
      </c>
      <c r="C67" s="494" t="s">
        <v>1064</v>
      </c>
      <c r="D67" s="494">
        <v>4</v>
      </c>
      <c r="E67" s="494">
        <v>21</v>
      </c>
      <c r="F67" s="494">
        <v>26</v>
      </c>
      <c r="G67" s="494">
        <v>54276.56999999999</v>
      </c>
      <c r="H67" s="495">
        <v>14467.52</v>
      </c>
      <c r="I67" s="496">
        <f t="shared" si="0"/>
      </c>
      <c r="J67" s="496">
        <f t="shared" si="1"/>
      </c>
      <c r="K67" s="496">
        <f t="shared" si="2"/>
      </c>
      <c r="L67" s="504"/>
      <c r="M67" s="504"/>
      <c r="N67" s="498"/>
      <c r="O67" s="498"/>
      <c r="P67" s="498"/>
      <c r="Q67" s="495">
        <v>8.068890128276632</v>
      </c>
      <c r="R67" s="501">
        <v>0.1694330327740071</v>
      </c>
      <c r="S67" s="500">
        <v>0.015131695543196644</v>
      </c>
      <c r="T67" s="501">
        <v>0.015629615251533845</v>
      </c>
      <c r="U67" s="500">
        <v>0.1355291576673866</v>
      </c>
      <c r="V67" s="502">
        <v>20076.62835249042</v>
      </c>
      <c r="W67" s="501">
        <v>0.0261</v>
      </c>
      <c r="X67" s="502">
        <v>53</v>
      </c>
      <c r="Y67" s="503">
        <v>122.09598879258691</v>
      </c>
      <c r="Z67" s="502">
        <v>118493</v>
      </c>
      <c r="AA67" s="502">
        <v>1793</v>
      </c>
      <c r="AB67" s="502">
        <v>524</v>
      </c>
      <c r="AC67" s="502">
        <v>1852</v>
      </c>
      <c r="AD67" s="502">
        <v>251</v>
      </c>
      <c r="AE67" s="502">
        <v>29</v>
      </c>
      <c r="AF67" s="502">
        <v>10</v>
      </c>
      <c r="AG67" s="502">
        <v>120</v>
      </c>
    </row>
    <row r="68">
      <c r="A68" s="494" t="s">
        <v>1074</v>
      </c>
      <c r="B68" s="494" t="s">
        <v>1045</v>
      </c>
      <c r="C68" s="494" t="s">
        <v>1054</v>
      </c>
      <c r="D68" s="494">
        <v>4</v>
      </c>
      <c r="E68" s="494">
        <v>29</v>
      </c>
      <c r="F68" s="494">
        <v>30</v>
      </c>
      <c r="G68" s="494">
        <v>57543.490000000005</v>
      </c>
      <c r="H68" s="495">
        <v>15543.99</v>
      </c>
      <c r="I68" s="496">
        <f t="shared" si="0"/>
      </c>
      <c r="J68" s="496">
        <f t="shared" si="1"/>
      </c>
      <c r="K68" s="505">
        <f t="shared" si="2"/>
      </c>
      <c r="L68" s="506"/>
      <c r="M68" s="506"/>
      <c r="N68" s="507"/>
      <c r="O68" s="498"/>
      <c r="P68" s="498"/>
      <c r="Q68" s="495">
        <v>7.16643153526971</v>
      </c>
      <c r="R68" s="501">
        <v>0.15290530330738045</v>
      </c>
      <c r="S68" s="501">
        <v>0.013345146464366797</v>
      </c>
      <c r="T68" s="501">
        <v>0.014046551119478745</v>
      </c>
      <c r="U68" s="501">
        <v>0.17608409986859397</v>
      </c>
      <c r="V68" s="502">
        <v>24851.85185185185</v>
      </c>
      <c r="W68" s="501">
        <v>0.027</v>
      </c>
      <c r="X68" s="502">
        <v>61.5</v>
      </c>
      <c r="Y68" s="503">
        <v>95.6370784650313</v>
      </c>
      <c r="Z68" s="502">
        <v>162531</v>
      </c>
      <c r="AA68" s="502">
        <v>2169</v>
      </c>
      <c r="AB68" s="502">
        <v>671</v>
      </c>
      <c r="AC68" s="502">
        <v>2283</v>
      </c>
      <c r="AD68" s="502">
        <v>402</v>
      </c>
      <c r="AE68" s="502">
        <v>42</v>
      </c>
      <c r="AF68" s="502">
        <v>1</v>
      </c>
      <c r="AG68" s="502">
        <v>151</v>
      </c>
    </row>
    <row r="69">
      <c r="A69" s="494" t="s">
        <v>1074</v>
      </c>
      <c r="B69" s="494" t="s">
        <v>1041</v>
      </c>
      <c r="C69" s="494" t="s">
        <v>1056</v>
      </c>
      <c r="D69" s="494">
        <v>4</v>
      </c>
      <c r="E69" s="494">
        <v>33</v>
      </c>
      <c r="F69" s="494">
        <v>36</v>
      </c>
      <c r="G69" s="494">
        <v>76166.26000000005</v>
      </c>
      <c r="H69" s="495">
        <v>18452.53</v>
      </c>
      <c r="I69" s="496">
        <f t="shared" si="0"/>
      </c>
      <c r="J69" s="496">
        <f t="shared" si="1"/>
      </c>
      <c r="K69" s="505">
        <f t="shared" si="2"/>
      </c>
      <c r="L69" s="506"/>
      <c r="M69" s="506"/>
      <c r="N69" s="507"/>
      <c r="O69" s="498"/>
      <c r="P69" s="498"/>
      <c r="Q69" s="495">
        <v>6.751748993779729</v>
      </c>
      <c r="R69" s="501">
        <v>0.18355251983465487</v>
      </c>
      <c r="S69" s="501">
        <v>0.012481788828045433</v>
      </c>
      <c r="T69" s="501">
        <v>0.012774080992331897</v>
      </c>
      <c r="U69" s="501">
        <v>0.17590275294958885</v>
      </c>
      <c r="V69" s="502">
        <v>40190.4761904762</v>
      </c>
      <c r="W69" s="501">
        <v>0.020999999999999998</v>
      </c>
      <c r="X69" s="502">
        <v>65.75</v>
      </c>
      <c r="Y69" s="503">
        <v>84.27390516032682</v>
      </c>
      <c r="Z69" s="502">
        <v>218959</v>
      </c>
      <c r="AA69" s="502">
        <v>2733</v>
      </c>
      <c r="AB69" s="502">
        <v>844</v>
      </c>
      <c r="AC69" s="502">
        <v>2797</v>
      </c>
      <c r="AD69" s="502">
        <v>492</v>
      </c>
      <c r="AE69" s="502">
        <v>30</v>
      </c>
      <c r="AF69" s="502">
        <v>10</v>
      </c>
      <c r="AG69" s="502">
        <v>198</v>
      </c>
    </row>
    <row r="70">
      <c r="A70" s="494" t="s">
        <v>1074</v>
      </c>
      <c r="B70" s="494" t="s">
        <v>1043</v>
      </c>
      <c r="C70" s="494" t="s">
        <v>1057</v>
      </c>
      <c r="D70" s="494">
        <v>4</v>
      </c>
      <c r="E70" s="494">
        <v>11</v>
      </c>
      <c r="F70" s="494">
        <v>11</v>
      </c>
      <c r="G70" s="494">
        <v>18150.559999999998</v>
      </c>
      <c r="H70" s="495">
        <v>14989.95</v>
      </c>
      <c r="I70" s="496">
        <f t="shared" si="0"/>
      </c>
      <c r="J70" s="496">
        <f t="shared" si="1"/>
      </c>
      <c r="K70" s="505">
        <f t="shared" si="2"/>
      </c>
      <c r="L70" s="494" t="s">
        <v>1040</v>
      </c>
      <c r="M70" s="508">
        <v>10</v>
      </c>
      <c r="N70" s="507"/>
      <c r="O70" s="498"/>
      <c r="P70" s="498"/>
      <c r="Q70" s="503">
        <v>4.70937794533459</v>
      </c>
      <c r="R70" s="501">
        <v>0.2270928459491657</v>
      </c>
      <c r="S70" s="501">
        <v>0.015878954772666046</v>
      </c>
      <c r="T70" s="501">
        <v>0.01692158799525078</v>
      </c>
      <c r="U70" s="501">
        <v>0.10259433962264151</v>
      </c>
      <c r="V70" s="502">
        <v>45521.66934189406</v>
      </c>
      <c r="W70" s="501">
        <v>0.015574999999999999</v>
      </c>
      <c r="X70" s="502">
        <v>68.5</v>
      </c>
      <c r="Y70" s="503">
        <v>74.77999940135892</v>
      </c>
      <c r="Z70" s="502">
        <v>200454</v>
      </c>
      <c r="AA70" s="502">
        <v>3183</v>
      </c>
      <c r="AB70" s="502">
        <v>709</v>
      </c>
      <c r="AC70" s="502">
        <v>3392</v>
      </c>
      <c r="AD70" s="502">
        <v>348</v>
      </c>
      <c r="AE70" s="502">
        <v>22</v>
      </c>
      <c r="AF70" s="502">
        <v>9</v>
      </c>
      <c r="AG70" s="502">
        <v>239</v>
      </c>
    </row>
    <row r="71">
      <c r="A71" s="509" t="s">
        <v>1074</v>
      </c>
      <c r="B71" s="510" t="s">
        <v>1048</v>
      </c>
      <c r="C71" s="510"/>
      <c r="D71" s="510">
        <f>SUM(D66:D70)</f>
      </c>
      <c r="E71" s="510">
        <f>SUM(E66:E70)</f>
      </c>
      <c r="F71" s="510">
        <f>SUM(F66:F70)</f>
      </c>
      <c r="G71" s="510">
        <f>SUM(G66:G70)</f>
      </c>
      <c r="H71" s="510">
        <f>SUM(H66:H70)</f>
      </c>
      <c r="I71" s="511">
        <f t="shared" si="0"/>
      </c>
      <c r="J71" s="511">
        <f t="shared" si="1"/>
      </c>
      <c r="K71" s="511">
        <f t="shared" si="2"/>
      </c>
      <c r="L71" s="510"/>
      <c r="M71" s="512">
        <f>SUM(M66:M70)</f>
      </c>
      <c r="N71" s="510"/>
      <c r="O71" s="510"/>
      <c r="P71" s="510"/>
      <c r="Q71" s="513">
        <f>AVERAGE(Q66:Q70)</f>
      </c>
      <c r="R71" s="514">
        <f>AVERAGE(R66:R70)</f>
      </c>
      <c r="S71" s="514">
        <f>AVERAGE(S66:S70)</f>
      </c>
      <c r="T71" s="514">
        <f>AVERAGE(T66:T70)</f>
      </c>
      <c r="U71" s="514">
        <f>AVERAGE(U66:U70)</f>
      </c>
      <c r="V71" s="515">
        <f>SUM(V66:V70)</f>
      </c>
      <c r="W71" s="514">
        <f>AVERAGE(W66:W70)</f>
      </c>
      <c r="X71" s="515"/>
      <c r="Y71" s="513">
        <f>AVERAGE(Y66:Y70)</f>
      </c>
      <c r="Z71" s="515">
        <f>SUM(Z66:Z70)</f>
      </c>
      <c r="AA71" s="515">
        <f>SUM(AA66:AA70)</f>
      </c>
      <c r="AB71" s="515">
        <f>SUM(AB66:AB70)</f>
      </c>
      <c r="AC71" s="515">
        <f>SUM(AC66:AC70)</f>
      </c>
      <c r="AD71" s="515">
        <f>SUM(AD66:AD70)</f>
      </c>
      <c r="AE71" s="515">
        <f>SUM(AE66:AE70)</f>
      </c>
      <c r="AF71" s="515">
        <f>SUM(AF66:AF70)</f>
      </c>
      <c r="AG71" s="515">
        <f>SUM(AG66:AG70)</f>
      </c>
    </row>
    <row r="72">
      <c r="A72" s="494" t="s">
        <v>1075</v>
      </c>
      <c r="B72" s="516" t="s">
        <v>1045</v>
      </c>
      <c r="C72" s="494" t="s">
        <v>1063</v>
      </c>
      <c r="D72" s="494">
        <v>4</v>
      </c>
      <c r="E72" s="494">
        <v>14</v>
      </c>
      <c r="F72" s="494">
        <v>17</v>
      </c>
      <c r="G72" s="494">
        <v>37612.42</v>
      </c>
      <c r="H72" s="495">
        <v>15381.16</v>
      </c>
      <c r="I72" s="496">
        <f t="shared" si="0"/>
      </c>
      <c r="J72" s="496">
        <f t="shared" si="1"/>
      </c>
      <c r="K72" s="496">
        <f t="shared" si="2"/>
      </c>
      <c r="L72" s="494" t="s">
        <v>1047</v>
      </c>
      <c r="M72" s="497">
        <v>10</v>
      </c>
      <c r="N72" s="498"/>
      <c r="O72" s="498"/>
      <c r="P72" s="498"/>
      <c r="Q72" s="499">
        <v>3.7251537902639864</v>
      </c>
      <c r="R72" s="500">
        <v>0.18834728786410893</v>
      </c>
      <c r="S72" s="501">
        <v>0.026121834411989852</v>
      </c>
      <c r="T72" s="501">
        <v>0.027703442211214232</v>
      </c>
      <c r="U72" s="501">
        <v>0.08746289107102079</v>
      </c>
      <c r="V72" s="502">
        <v>29771.490750816105</v>
      </c>
      <c r="W72" s="501">
        <v>0.022975</v>
      </c>
      <c r="X72" s="502">
        <v>37.75</v>
      </c>
      <c r="Y72" s="503">
        <v>97.30785046847224</v>
      </c>
      <c r="Z72" s="502">
        <v>158067</v>
      </c>
      <c r="AA72" s="502">
        <v>4129</v>
      </c>
      <c r="AB72" s="502">
        <v>684</v>
      </c>
      <c r="AC72" s="502">
        <v>4379</v>
      </c>
      <c r="AD72" s="502">
        <v>383</v>
      </c>
      <c r="AE72" s="502">
        <v>37</v>
      </c>
      <c r="AF72" s="502">
        <v>9</v>
      </c>
      <c r="AG72" s="502">
        <v>194</v>
      </c>
    </row>
    <row r="73">
      <c r="A73" s="494" t="s">
        <v>1075</v>
      </c>
      <c r="B73" s="494" t="s">
        <v>1051</v>
      </c>
      <c r="C73" s="494" t="s">
        <v>1064</v>
      </c>
      <c r="D73" s="494">
        <v>4</v>
      </c>
      <c r="E73" s="494">
        <v>13</v>
      </c>
      <c r="F73" s="494">
        <v>16</v>
      </c>
      <c r="G73" s="494">
        <v>30667.530000000013</v>
      </c>
      <c r="H73" s="495">
        <v>14170.5</v>
      </c>
      <c r="I73" s="496">
        <f t="shared" si="0"/>
      </c>
      <c r="J73" s="496">
        <f t="shared" si="1"/>
      </c>
      <c r="K73" s="496">
        <f t="shared" si="2"/>
      </c>
      <c r="L73" s="504"/>
      <c r="M73" s="504"/>
      <c r="N73" s="498"/>
      <c r="O73" s="498"/>
      <c r="P73" s="498"/>
      <c r="Q73" s="495">
        <v>6.735028517110266</v>
      </c>
      <c r="R73" s="501">
        <v>0.17668633241935752</v>
      </c>
      <c r="S73" s="500">
        <v>0.014830374072220539</v>
      </c>
      <c r="T73" s="501">
        <v>0.015563434387577447</v>
      </c>
      <c r="U73" s="500">
        <v>0.09646739130434782</v>
      </c>
      <c r="V73" s="502">
        <v>25066.66666666667</v>
      </c>
      <c r="W73" s="501">
        <v>0.026249999999999996</v>
      </c>
      <c r="X73" s="502">
        <v>55</v>
      </c>
      <c r="Y73" s="503">
        <v>99.88299229581803</v>
      </c>
      <c r="Z73" s="502">
        <v>141871</v>
      </c>
      <c r="AA73" s="502">
        <v>2104</v>
      </c>
      <c r="AB73" s="502">
        <v>658</v>
      </c>
      <c r="AC73" s="502">
        <v>2208</v>
      </c>
      <c r="AD73" s="502">
        <v>213</v>
      </c>
      <c r="AE73" s="502">
        <v>34</v>
      </c>
      <c r="AF73" s="502">
        <v>14</v>
      </c>
      <c r="AG73" s="502">
        <v>184</v>
      </c>
    </row>
    <row r="74">
      <c r="A74" s="494" t="s">
        <v>1075</v>
      </c>
      <c r="B74" s="494" t="s">
        <v>1041</v>
      </c>
      <c r="C74" s="494" t="s">
        <v>1054</v>
      </c>
      <c r="D74" s="494">
        <v>4</v>
      </c>
      <c r="E74" s="494">
        <v>12</v>
      </c>
      <c r="F74" s="494">
        <v>19</v>
      </c>
      <c r="G74" s="494">
        <v>37046.31</v>
      </c>
      <c r="H74" s="495">
        <v>16282.31</v>
      </c>
      <c r="I74" s="496">
        <f t="shared" si="0"/>
      </c>
      <c r="J74" s="496">
        <f t="shared" si="1"/>
      </c>
      <c r="K74" s="505">
        <f t="shared" si="2"/>
      </c>
      <c r="L74" s="506"/>
      <c r="M74" s="506"/>
      <c r="N74" s="507"/>
      <c r="O74" s="498"/>
      <c r="P74" s="498"/>
      <c r="Q74" s="495">
        <v>6.934544293015332</v>
      </c>
      <c r="R74" s="501">
        <v>0.1899559101209065</v>
      </c>
      <c r="S74" s="501">
        <v>0.01712743453205923</v>
      </c>
      <c r="T74" s="501">
        <v>0.0180392442920709</v>
      </c>
      <c r="U74" s="501">
        <v>0.1556813586736757</v>
      </c>
      <c r="V74" s="502">
        <v>26041.055718475072</v>
      </c>
      <c r="W74" s="501">
        <v>0.025575</v>
      </c>
      <c r="X74" s="502">
        <v>59.75</v>
      </c>
      <c r="Y74" s="503">
        <v>118.77095338828506</v>
      </c>
      <c r="Z74" s="502">
        <v>137090</v>
      </c>
      <c r="AA74" s="502">
        <v>2348</v>
      </c>
      <c r="AB74" s="502">
        <v>666</v>
      </c>
      <c r="AC74" s="502">
        <v>2473</v>
      </c>
      <c r="AD74" s="502">
        <v>385</v>
      </c>
      <c r="AE74" s="502">
        <v>36</v>
      </c>
      <c r="AF74" s="502">
        <v>11</v>
      </c>
      <c r="AG74" s="502">
        <v>179</v>
      </c>
    </row>
    <row r="75">
      <c r="A75" s="494" t="s">
        <v>1075</v>
      </c>
      <c r="B75" s="494" t="s">
        <v>1038</v>
      </c>
      <c r="C75" s="494" t="s">
        <v>1056</v>
      </c>
      <c r="D75" s="494">
        <v>4</v>
      </c>
      <c r="E75" s="494">
        <v>23</v>
      </c>
      <c r="F75" s="494">
        <v>25</v>
      </c>
      <c r="G75" s="494">
        <v>51375.159999999974</v>
      </c>
      <c r="H75" s="495">
        <v>17747.28</v>
      </c>
      <c r="I75" s="496">
        <f t="shared" si="0"/>
      </c>
      <c r="J75" s="496">
        <f t="shared" si="1"/>
      </c>
      <c r="K75" s="505">
        <f t="shared" si="2"/>
      </c>
      <c r="L75" s="506"/>
      <c r="M75" s="506"/>
      <c r="N75" s="507"/>
      <c r="O75" s="498"/>
      <c r="P75" s="498"/>
      <c r="Q75" s="495">
        <v>7.020284810126582</v>
      </c>
      <c r="R75" s="501">
        <v>0.1972338710198805</v>
      </c>
      <c r="S75" s="501">
        <v>0.01581354034391948</v>
      </c>
      <c r="T75" s="501">
        <v>0.016545417013317652</v>
      </c>
      <c r="U75" s="501">
        <v>0.17882797731568997</v>
      </c>
      <c r="V75" s="502">
        <v>31530.398322851153</v>
      </c>
      <c r="W75" s="501">
        <v>0.02385</v>
      </c>
      <c r="X75" s="502">
        <v>64.5</v>
      </c>
      <c r="Y75" s="503">
        <v>111.01555707074182</v>
      </c>
      <c r="Z75" s="502">
        <v>159863</v>
      </c>
      <c r="AA75" s="502">
        <v>2528</v>
      </c>
      <c r="AB75" s="502">
        <v>752</v>
      </c>
      <c r="AC75" s="502">
        <v>2645</v>
      </c>
      <c r="AD75" s="502">
        <v>473</v>
      </c>
      <c r="AE75" s="502">
        <v>24</v>
      </c>
      <c r="AF75" s="502">
        <v>7</v>
      </c>
      <c r="AG75" s="502">
        <v>172</v>
      </c>
    </row>
    <row r="76">
      <c r="A76" s="494" t="s">
        <v>1075</v>
      </c>
      <c r="B76" s="494" t="s">
        <v>1043</v>
      </c>
      <c r="C76" s="494" t="s">
        <v>1057</v>
      </c>
      <c r="D76" s="494">
        <v>4</v>
      </c>
      <c r="E76" s="494">
        <v>11</v>
      </c>
      <c r="F76" s="494">
        <v>11</v>
      </c>
      <c r="G76" s="494">
        <v>21724.870000000024</v>
      </c>
      <c r="H76" s="495">
        <v>13908.689999999999</v>
      </c>
      <c r="I76" s="496">
        <f t="shared" si="0"/>
      </c>
      <c r="J76" s="496">
        <f t="shared" si="1"/>
      </c>
      <c r="K76" s="505">
        <f t="shared" si="2"/>
      </c>
      <c r="L76" s="494" t="s">
        <v>1076</v>
      </c>
      <c r="M76" s="508">
        <v>10</v>
      </c>
      <c r="N76" s="507"/>
      <c r="O76" s="498"/>
      <c r="P76" s="498"/>
      <c r="Q76" s="517">
        <v>4.158053811659192</v>
      </c>
      <c r="R76" s="501">
        <v>0.23550504436611158</v>
      </c>
      <c r="S76" s="501">
        <v>0.020329403184635955</v>
      </c>
      <c r="T76" s="501">
        <v>0.021660386532150237</v>
      </c>
      <c r="U76" s="501">
        <v>0.08838383838383838</v>
      </c>
      <c r="V76" s="502">
        <v>38750</v>
      </c>
      <c r="W76" s="501">
        <v>0.016</v>
      </c>
      <c r="X76" s="502">
        <v>66.25</v>
      </c>
      <c r="Y76" s="503">
        <v>84.53075240063205</v>
      </c>
      <c r="Z76" s="502">
        <v>164540</v>
      </c>
      <c r="AA76" s="502">
        <v>3345</v>
      </c>
      <c r="AB76" s="502">
        <v>620</v>
      </c>
      <c r="AC76" s="502">
        <v>3564</v>
      </c>
      <c r="AD76" s="502">
        <v>315</v>
      </c>
      <c r="AE76" s="502">
        <v>33</v>
      </c>
      <c r="AF76" s="502">
        <v>5</v>
      </c>
      <c r="AG76" s="502">
        <v>185</v>
      </c>
    </row>
    <row r="77">
      <c r="A77" s="509" t="s">
        <v>1075</v>
      </c>
      <c r="B77" s="510" t="s">
        <v>1048</v>
      </c>
      <c r="C77" s="510"/>
      <c r="D77" s="510">
        <f>SUM(D72:D76)</f>
      </c>
      <c r="E77" s="510">
        <f>SUM(E72:E76)</f>
      </c>
      <c r="F77" s="510">
        <f>SUM(F72:F76)</f>
      </c>
      <c r="G77" s="510">
        <f>SUM(G72:G76)</f>
      </c>
      <c r="H77" s="510">
        <f>SUM(H72:H76)</f>
      </c>
      <c r="I77" s="511">
        <f t="shared" si="0"/>
      </c>
      <c r="J77" s="511">
        <f t="shared" si="1"/>
      </c>
      <c r="K77" s="511">
        <f t="shared" si="2"/>
      </c>
      <c r="L77" s="510"/>
      <c r="M77" s="512">
        <f>SUM(M72:M76)</f>
      </c>
      <c r="N77" s="510"/>
      <c r="O77" s="510"/>
      <c r="P77" s="510"/>
      <c r="Q77" s="513">
        <f>AVERAGE(Q72:Q76)</f>
      </c>
      <c r="R77" s="514">
        <f>AVERAGE(R72:R76)</f>
      </c>
      <c r="S77" s="514">
        <f>AVERAGE(S72:S76)</f>
      </c>
      <c r="T77" s="514">
        <f>AVERAGE(T72:T76)</f>
      </c>
      <c r="U77" s="514">
        <f>AVERAGE(U72:U76)</f>
      </c>
      <c r="V77" s="515">
        <f>SUM(V72:V76)</f>
      </c>
      <c r="W77" s="514">
        <f>AVERAGE(W72:W76)</f>
      </c>
      <c r="X77" s="515"/>
      <c r="Y77" s="513">
        <f>AVERAGE(Y72:Y76)</f>
      </c>
      <c r="Z77" s="515">
        <f>SUM(Z72:Z76)</f>
      </c>
      <c r="AA77" s="515">
        <f>SUM(AA72:AA76)</f>
      </c>
      <c r="AB77" s="515">
        <f>SUM(AB72:AB76)</f>
      </c>
      <c r="AC77" s="515">
        <f>SUM(AC72:AC76)</f>
      </c>
      <c r="AD77" s="515">
        <f>SUM(AD72:AD76)</f>
      </c>
      <c r="AE77" s="515">
        <f>SUM(AE72:AE76)</f>
      </c>
      <c r="AF77" s="515">
        <f>SUM(AF72:AF76)</f>
      </c>
      <c r="AG77" s="515">
        <f>SUM(AG72:AG76)</f>
      </c>
    </row>
    <row r="78">
      <c r="A78" s="494" t="s">
        <v>1077</v>
      </c>
      <c r="B78" s="516" t="s">
        <v>1041</v>
      </c>
      <c r="C78" s="494" t="s">
        <v>1063</v>
      </c>
      <c r="D78" s="494">
        <v>4</v>
      </c>
      <c r="E78" s="494">
        <v>15</v>
      </c>
      <c r="F78" s="494">
        <v>17</v>
      </c>
      <c r="G78" s="494">
        <v>36608.740000000005</v>
      </c>
      <c r="H78" s="495">
        <v>14181.65</v>
      </c>
      <c r="I78" s="496">
        <f t="shared" si="0"/>
      </c>
      <c r="J78" s="496">
        <f t="shared" si="1"/>
      </c>
      <c r="K78" s="496">
        <f t="shared" si="2"/>
      </c>
      <c r="L78" s="494" t="s">
        <v>1047</v>
      </c>
      <c r="M78" s="497">
        <v>10</v>
      </c>
      <c r="N78" s="498"/>
      <c r="O78" s="498"/>
      <c r="P78" s="498"/>
      <c r="Q78" s="499">
        <v>3.7827820752200587</v>
      </c>
      <c r="R78" s="500">
        <v>0.12642485622608063</v>
      </c>
      <c r="S78" s="501">
        <v>0.025759064456063928</v>
      </c>
      <c r="T78" s="501">
        <v>0.026913378360736838</v>
      </c>
      <c r="U78" s="501">
        <v>0.07990809292826143</v>
      </c>
      <c r="V78" s="502">
        <v>18400</v>
      </c>
      <c r="W78" s="501">
        <v>0.0375</v>
      </c>
      <c r="X78" s="502">
        <v>37.5</v>
      </c>
      <c r="Y78" s="503">
        <v>97.44092729883675</v>
      </c>
      <c r="Z78" s="502">
        <v>145541</v>
      </c>
      <c r="AA78" s="502">
        <v>3749</v>
      </c>
      <c r="AB78" s="502">
        <v>690</v>
      </c>
      <c r="AC78" s="502">
        <v>3917</v>
      </c>
      <c r="AD78" s="502">
        <v>313</v>
      </c>
      <c r="AE78" s="502">
        <v>31</v>
      </c>
      <c r="AF78" s="502">
        <v>16</v>
      </c>
      <c r="AG78" s="502">
        <v>180</v>
      </c>
    </row>
    <row r="79">
      <c r="A79" s="494" t="s">
        <v>1077</v>
      </c>
      <c r="B79" s="494" t="s">
        <v>1051</v>
      </c>
      <c r="C79" s="494" t="s">
        <v>1064</v>
      </c>
      <c r="D79" s="494">
        <v>4</v>
      </c>
      <c r="E79" s="494">
        <v>18</v>
      </c>
      <c r="F79" s="494">
        <v>18</v>
      </c>
      <c r="G79" s="494">
        <v>37884.05</v>
      </c>
      <c r="H79" s="495">
        <v>14006.32</v>
      </c>
      <c r="I79" s="496">
        <f t="shared" si="0"/>
      </c>
      <c r="J79" s="496">
        <f t="shared" si="1"/>
      </c>
      <c r="K79" s="496">
        <f t="shared" si="2"/>
      </c>
      <c r="L79" s="504"/>
      <c r="M79" s="504"/>
      <c r="N79" s="498"/>
      <c r="O79" s="498"/>
      <c r="P79" s="498"/>
      <c r="Q79" s="495">
        <v>6.272422749664129</v>
      </c>
      <c r="R79" s="501">
        <v>0.22864248701296458</v>
      </c>
      <c r="S79" s="500">
        <v>0.01847714559957634</v>
      </c>
      <c r="T79" s="501">
        <v>0.01958593982722669</v>
      </c>
      <c r="U79" s="500">
        <v>0.10984368398817068</v>
      </c>
      <c r="V79" s="502">
        <v>27631.901840490795</v>
      </c>
      <c r="W79" s="501">
        <v>0.020375</v>
      </c>
      <c r="X79" s="502">
        <v>48.75</v>
      </c>
      <c r="Y79" s="503">
        <v>115.89646840763909</v>
      </c>
      <c r="Z79" s="502">
        <v>120852</v>
      </c>
      <c r="AA79" s="502">
        <v>2233</v>
      </c>
      <c r="AB79" s="502">
        <v>563</v>
      </c>
      <c r="AC79" s="502">
        <v>2367</v>
      </c>
      <c r="AD79" s="502">
        <v>260</v>
      </c>
      <c r="AE79" s="502">
        <v>32</v>
      </c>
      <c r="AF79" s="502">
        <v>6</v>
      </c>
      <c r="AG79" s="502">
        <v>98</v>
      </c>
    </row>
    <row r="80">
      <c r="A80" s="494" t="s">
        <v>1077</v>
      </c>
      <c r="B80" s="494" t="s">
        <v>1038</v>
      </c>
      <c r="C80" s="494" t="s">
        <v>1054</v>
      </c>
      <c r="D80" s="494">
        <v>4</v>
      </c>
      <c r="E80" s="494">
        <v>10</v>
      </c>
      <c r="F80" s="494">
        <v>15</v>
      </c>
      <c r="G80" s="494">
        <v>31503.17</v>
      </c>
      <c r="H80" s="495">
        <v>15180.92</v>
      </c>
      <c r="I80" s="496">
        <f t="shared" si="0"/>
      </c>
      <c r="J80" s="496">
        <f t="shared" si="1"/>
      </c>
      <c r="K80" s="505">
        <f t="shared" si="2"/>
      </c>
      <c r="L80" s="506"/>
      <c r="M80" s="506"/>
      <c r="N80" s="507"/>
      <c r="O80" s="498"/>
      <c r="P80" s="498"/>
      <c r="Q80" s="495">
        <v>6.156090835360908</v>
      </c>
      <c r="R80" s="501">
        <v>0.23686912031539142</v>
      </c>
      <c r="S80" s="501">
        <v>0.017326297891475266</v>
      </c>
      <c r="T80" s="501">
        <v>0.017986748824889164</v>
      </c>
      <c r="U80" s="501">
        <v>0.144140625</v>
      </c>
      <c r="V80" s="502">
        <v>33712.87128712871</v>
      </c>
      <c r="W80" s="501">
        <v>0.0202</v>
      </c>
      <c r="X80" s="502">
        <v>57.25</v>
      </c>
      <c r="Y80" s="503">
        <v>106.6622636604439</v>
      </c>
      <c r="Z80" s="502">
        <v>142327</v>
      </c>
      <c r="AA80" s="502">
        <v>2466</v>
      </c>
      <c r="AB80" s="502">
        <v>681</v>
      </c>
      <c r="AC80" s="502">
        <v>2560</v>
      </c>
      <c r="AD80" s="502">
        <v>369</v>
      </c>
      <c r="AE80" s="502">
        <v>35</v>
      </c>
      <c r="AF80" s="502">
        <v>9</v>
      </c>
      <c r="AG80" s="502">
        <v>152</v>
      </c>
    </row>
    <row r="81">
      <c r="A81" s="494" t="s">
        <v>1077</v>
      </c>
      <c r="B81" s="494" t="s">
        <v>1045</v>
      </c>
      <c r="C81" s="494" t="s">
        <v>1078</v>
      </c>
      <c r="D81" s="494">
        <v>5</v>
      </c>
      <c r="E81" s="494">
        <v>18</v>
      </c>
      <c r="F81" s="494">
        <v>22</v>
      </c>
      <c r="G81" s="494">
        <v>49487.19000000002</v>
      </c>
      <c r="H81" s="495">
        <v>15966.95</v>
      </c>
      <c r="I81" s="496">
        <f t="shared" si="0"/>
      </c>
      <c r="J81" s="496">
        <f t="shared" si="1"/>
      </c>
      <c r="K81" s="505">
        <f t="shared" si="2"/>
      </c>
      <c r="L81" s="506"/>
      <c r="M81" s="506"/>
      <c r="N81" s="507"/>
      <c r="O81" s="498"/>
      <c r="P81" s="498"/>
      <c r="Q81" s="495">
        <v>4.664607069821794</v>
      </c>
      <c r="R81" s="501">
        <v>0.2470855714546628</v>
      </c>
      <c r="S81" s="501">
        <v>0.021602620335367584</v>
      </c>
      <c r="T81" s="501">
        <v>0.02304784384012925</v>
      </c>
      <c r="U81" s="501">
        <v>0.13828039430449068</v>
      </c>
      <c r="V81" s="502">
        <v>39151.45005370569</v>
      </c>
      <c r="W81" s="501">
        <v>0.01862</v>
      </c>
      <c r="X81" s="502">
        <v>60.8</v>
      </c>
      <c r="Y81" s="503">
        <v>100.76773554303169</v>
      </c>
      <c r="Z81" s="502">
        <v>158453</v>
      </c>
      <c r="AA81" s="502">
        <v>3423</v>
      </c>
      <c r="AB81" s="502">
        <v>729</v>
      </c>
      <c r="AC81" s="502">
        <v>3652</v>
      </c>
      <c r="AD81" s="502">
        <v>505</v>
      </c>
      <c r="AE81" s="502">
        <v>30</v>
      </c>
      <c r="AF81" s="502">
        <v>7</v>
      </c>
      <c r="AG81" s="502">
        <v>130</v>
      </c>
    </row>
    <row r="82">
      <c r="A82" s="494" t="s">
        <v>1077</v>
      </c>
      <c r="B82" s="494" t="s">
        <v>1043</v>
      </c>
      <c r="C82" s="494" t="s">
        <v>1079</v>
      </c>
      <c r="D82" s="494">
        <v>3</v>
      </c>
      <c r="E82" s="494">
        <v>12</v>
      </c>
      <c r="F82" s="494">
        <v>12</v>
      </c>
      <c r="G82" s="494">
        <v>22580.440000000002</v>
      </c>
      <c r="H82" s="495">
        <v>7259.33</v>
      </c>
      <c r="I82" s="496">
        <f t="shared" si="0"/>
      </c>
      <c r="J82" s="496">
        <f t="shared" si="1"/>
      </c>
      <c r="K82" s="505">
        <f t="shared" si="2"/>
      </c>
      <c r="L82" s="494" t="s">
        <v>1076</v>
      </c>
      <c r="M82" s="508">
        <v>10</v>
      </c>
      <c r="N82" s="507"/>
      <c r="O82" s="498"/>
      <c r="P82" s="498"/>
      <c r="Q82" s="517">
        <v>3.686805485017776</v>
      </c>
      <c r="R82" s="501">
        <v>0.2657017301502986</v>
      </c>
      <c r="S82" s="501">
        <v>0.02514815571676714</v>
      </c>
      <c r="T82" s="501">
        <v>0.02780474098293655</v>
      </c>
      <c r="U82" s="501">
        <v>0.09921910886541112</v>
      </c>
      <c r="V82" s="502">
        <v>20803.382663847777</v>
      </c>
      <c r="W82" s="501">
        <v>0.01576666666666667</v>
      </c>
      <c r="X82" s="502">
        <v>60.666666666666664</v>
      </c>
      <c r="Y82" s="503">
        <v>92.71635843465822</v>
      </c>
      <c r="Z82" s="502">
        <v>78296</v>
      </c>
      <c r="AA82" s="502">
        <v>1969</v>
      </c>
      <c r="AB82" s="502">
        <v>328</v>
      </c>
      <c r="AC82" s="502">
        <v>2177</v>
      </c>
      <c r="AD82" s="502">
        <v>216</v>
      </c>
      <c r="AE82" s="502">
        <v>22</v>
      </c>
      <c r="AF82" s="502">
        <v>4</v>
      </c>
      <c r="AG82" s="502">
        <v>77</v>
      </c>
    </row>
    <row r="83">
      <c r="A83" s="509" t="s">
        <v>1077</v>
      </c>
      <c r="B83" s="510" t="s">
        <v>1048</v>
      </c>
      <c r="C83" s="510"/>
      <c r="D83" s="510">
        <f>SUM(D78:D82)</f>
      </c>
      <c r="E83" s="510">
        <f>SUM(E78:E82)</f>
      </c>
      <c r="F83" s="510">
        <f>SUM(F78:F82)</f>
      </c>
      <c r="G83" s="510">
        <f>SUM(G78:G82)</f>
      </c>
      <c r="H83" s="510">
        <f>SUM(H78:H82)</f>
      </c>
      <c r="I83" s="511">
        <f t="shared" si="0"/>
      </c>
      <c r="J83" s="511">
        <f t="shared" si="1"/>
      </c>
      <c r="K83" s="511">
        <f t="shared" si="2"/>
      </c>
      <c r="L83" s="510"/>
      <c r="M83" s="512">
        <f>SUM(M78:M82)</f>
      </c>
      <c r="N83" s="510"/>
      <c r="O83" s="510"/>
      <c r="P83" s="510"/>
      <c r="Q83" s="513">
        <f>AVERAGE(Q78:Q82)</f>
      </c>
      <c r="R83" s="514">
        <f>AVERAGE(R78:R82)</f>
      </c>
      <c r="S83" s="514">
        <f>AVERAGE(S78:S82)</f>
      </c>
      <c r="T83" s="514">
        <f>AVERAGE(T78:T82)</f>
      </c>
      <c r="U83" s="514">
        <f>AVERAGE(U78:U82)</f>
      </c>
      <c r="V83" s="515">
        <f>SUM(V78:V82)</f>
      </c>
      <c r="W83" s="514">
        <f>AVERAGE(W78:W82)</f>
      </c>
      <c r="X83" s="515"/>
      <c r="Y83" s="513">
        <f>AVERAGE(Y78:Y82)</f>
      </c>
      <c r="Z83" s="515">
        <f>SUM(Z78:Z82)</f>
      </c>
      <c r="AA83" s="515">
        <f>SUM(AA78:AA82)</f>
      </c>
      <c r="AB83" s="515">
        <f>SUM(AB78:AB82)</f>
      </c>
      <c r="AC83" s="515">
        <f>SUM(AC78:AC82)</f>
      </c>
      <c r="AD83" s="515">
        <f>SUM(AD78:AD82)</f>
      </c>
      <c r="AE83" s="515">
        <f>SUM(AE78:AE82)</f>
      </c>
      <c r="AF83" s="515">
        <f>SUM(AF78:AF82)</f>
      </c>
      <c r="AG83" s="515">
        <f>SUM(AG78:AG82)</f>
      </c>
    </row>
    <row r="84">
      <c r="A84" s="494" t="s">
        <v>1080</v>
      </c>
      <c r="B84" s="516" t="s">
        <v>1041</v>
      </c>
      <c r="C84" s="494" t="s">
        <v>1063</v>
      </c>
      <c r="D84" s="494">
        <v>4</v>
      </c>
      <c r="E84" s="494">
        <v>10</v>
      </c>
      <c r="F84" s="494">
        <v>17</v>
      </c>
      <c r="G84" s="494">
        <v>34130.21</v>
      </c>
      <c r="H84" s="495">
        <v>16044.94</v>
      </c>
      <c r="I84" s="496">
        <f t="shared" si="0"/>
      </c>
      <c r="J84" s="496">
        <f t="shared" si="1"/>
      </c>
      <c r="K84" s="496">
        <f t="shared" si="2"/>
      </c>
      <c r="L84" s="494" t="s">
        <v>1047</v>
      </c>
      <c r="M84" s="497">
        <v>10</v>
      </c>
      <c r="N84" s="498"/>
      <c r="O84" s="498"/>
      <c r="P84" s="498"/>
      <c r="Q84" s="499">
        <v>3.826601478654901</v>
      </c>
      <c r="R84" s="500">
        <v>0.21891839717237038</v>
      </c>
      <c r="S84" s="501">
        <v>0.02381736799054803</v>
      </c>
      <c r="T84" s="501">
        <v>0.024936380987003546</v>
      </c>
      <c r="U84" s="501">
        <v>0.06628701594533029</v>
      </c>
      <c r="V84" s="502">
        <v>38540.14598540146</v>
      </c>
      <c r="W84" s="501">
        <v>0.02055</v>
      </c>
      <c r="X84" s="502">
        <v>34.5</v>
      </c>
      <c r="Y84" s="503">
        <v>91.13957557029902</v>
      </c>
      <c r="Z84" s="502">
        <v>176048</v>
      </c>
      <c r="AA84" s="502">
        <v>4193</v>
      </c>
      <c r="AB84" s="502">
        <v>792</v>
      </c>
      <c r="AC84" s="502">
        <v>4390</v>
      </c>
      <c r="AD84" s="502">
        <v>291</v>
      </c>
      <c r="AE84" s="502">
        <v>28</v>
      </c>
      <c r="AF84" s="502">
        <v>10</v>
      </c>
      <c r="AG84" s="502">
        <v>232</v>
      </c>
    </row>
    <row r="85">
      <c r="A85" s="494" t="s">
        <v>1080</v>
      </c>
      <c r="B85" s="494" t="s">
        <v>1051</v>
      </c>
      <c r="C85" s="494" t="s">
        <v>1064</v>
      </c>
      <c r="D85" s="494">
        <v>4</v>
      </c>
      <c r="E85" s="494">
        <v>13</v>
      </c>
      <c r="F85" s="494">
        <v>15</v>
      </c>
      <c r="G85" s="494">
        <v>34968.13</v>
      </c>
      <c r="H85" s="495">
        <v>14874.41</v>
      </c>
      <c r="I85" s="496">
        <f t="shared" si="0"/>
      </c>
      <c r="J85" s="496">
        <f t="shared" si="1"/>
      </c>
      <c r="K85" s="496">
        <f t="shared" si="2"/>
      </c>
      <c r="L85" s="504"/>
      <c r="M85" s="504"/>
      <c r="N85" s="498"/>
      <c r="O85" s="498"/>
      <c r="P85" s="498"/>
      <c r="Q85" s="495">
        <v>5.85145948072384</v>
      </c>
      <c r="R85" s="501">
        <v>0.171203806654472</v>
      </c>
      <c r="S85" s="500">
        <v>0.01786994727592267</v>
      </c>
      <c r="T85" s="501">
        <v>0.01859402460456942</v>
      </c>
      <c r="U85" s="500">
        <v>0.12060491493383743</v>
      </c>
      <c r="V85" s="502">
        <v>24353.74149659864</v>
      </c>
      <c r="W85" s="501">
        <v>0.029400000000000003</v>
      </c>
      <c r="X85" s="502">
        <v>51.75</v>
      </c>
      <c r="Y85" s="503">
        <v>104.56527240773286</v>
      </c>
      <c r="Z85" s="502">
        <v>142250</v>
      </c>
      <c r="AA85" s="502">
        <v>2542</v>
      </c>
      <c r="AB85" s="502">
        <v>716</v>
      </c>
      <c r="AC85" s="502">
        <v>2645</v>
      </c>
      <c r="AD85" s="502">
        <v>319</v>
      </c>
      <c r="AE85" s="502">
        <v>40</v>
      </c>
      <c r="AF85" s="502">
        <v>9</v>
      </c>
      <c r="AG85" s="502">
        <v>157</v>
      </c>
    </row>
    <row r="86">
      <c r="A86" s="494" t="s">
        <v>1080</v>
      </c>
      <c r="B86" s="494" t="s">
        <v>1043</v>
      </c>
      <c r="C86" s="494" t="s">
        <v>1065</v>
      </c>
      <c r="D86" s="494">
        <v>3</v>
      </c>
      <c r="E86" s="494">
        <v>13</v>
      </c>
      <c r="F86" s="494">
        <v>16</v>
      </c>
      <c r="G86" s="494">
        <v>29398.61</v>
      </c>
      <c r="H86" s="495">
        <v>11016.35</v>
      </c>
      <c r="I86" s="496">
        <f t="shared" si="0"/>
      </c>
      <c r="J86" s="496">
        <f t="shared" si="1"/>
      </c>
      <c r="K86" s="505">
        <f t="shared" si="2"/>
      </c>
      <c r="L86" s="506"/>
      <c r="M86" s="506"/>
      <c r="N86" s="507"/>
      <c r="O86" s="498"/>
      <c r="P86" s="498"/>
      <c r="Q86" s="495">
        <v>7.730771929824562</v>
      </c>
      <c r="R86" s="501">
        <v>0.17019728084814834</v>
      </c>
      <c r="S86" s="501">
        <v>0.016127389400061115</v>
      </c>
      <c r="T86" s="501">
        <v>0.017157278828415893</v>
      </c>
      <c r="U86" s="501">
        <v>0.16424802110817943</v>
      </c>
      <c r="V86" s="502">
        <v>15038.461538461539</v>
      </c>
      <c r="W86" s="501">
        <v>0.026</v>
      </c>
      <c r="X86" s="502">
        <v>58.333333333333336</v>
      </c>
      <c r="Y86" s="503">
        <v>124.67716927534264</v>
      </c>
      <c r="Z86" s="502">
        <v>88359</v>
      </c>
      <c r="AA86" s="502">
        <v>1425</v>
      </c>
      <c r="AB86" s="502">
        <v>391</v>
      </c>
      <c r="AC86" s="502">
        <v>1516</v>
      </c>
      <c r="AD86" s="502">
        <v>249</v>
      </c>
      <c r="AE86" s="502">
        <v>24</v>
      </c>
      <c r="AF86" s="502">
        <v>6</v>
      </c>
      <c r="AG86" s="502">
        <v>99</v>
      </c>
    </row>
    <row r="87">
      <c r="A87" s="494" t="s">
        <v>1080</v>
      </c>
      <c r="B87" s="494" t="s">
        <v>1055</v>
      </c>
      <c r="C87" s="494" t="s">
        <v>1081</v>
      </c>
      <c r="D87" s="494">
        <v>4</v>
      </c>
      <c r="E87" s="494">
        <v>14</v>
      </c>
      <c r="F87" s="494">
        <v>21</v>
      </c>
      <c r="G87" s="494">
        <v>42148.239999999976</v>
      </c>
      <c r="H87" s="495">
        <v>14209.339999999998</v>
      </c>
      <c r="I87" s="496">
        <f t="shared" si="0"/>
      </c>
      <c r="J87" s="496">
        <f t="shared" si="1"/>
      </c>
      <c r="K87" s="505">
        <f t="shared" si="2"/>
      </c>
      <c r="L87" s="506"/>
      <c r="M87" s="506"/>
      <c r="N87" s="507"/>
      <c r="O87" s="498"/>
      <c r="P87" s="498"/>
      <c r="Q87" s="495">
        <v>6.340624721106648</v>
      </c>
      <c r="R87" s="501">
        <v>0.16151553829952045</v>
      </c>
      <c r="S87" s="501">
        <v>0.01763206344710381</v>
      </c>
      <c r="T87" s="501">
        <v>0.018458197611292075</v>
      </c>
      <c r="U87" s="501">
        <v>0.15942028985507245</v>
      </c>
      <c r="V87" s="502">
        <v>20528.30188679245</v>
      </c>
      <c r="W87" s="501">
        <v>0.026500000000000003</v>
      </c>
      <c r="X87" s="502">
        <v>63.5</v>
      </c>
      <c r="Y87" s="503">
        <v>111.7982973768273</v>
      </c>
      <c r="Z87" s="502">
        <v>127098</v>
      </c>
      <c r="AA87" s="502">
        <v>2241</v>
      </c>
      <c r="AB87" s="502">
        <v>544</v>
      </c>
      <c r="AC87" s="502">
        <v>2346</v>
      </c>
      <c r="AD87" s="502">
        <v>374</v>
      </c>
      <c r="AE87" s="502">
        <v>29</v>
      </c>
      <c r="AF87" s="502">
        <v>10</v>
      </c>
      <c r="AG87" s="502">
        <v>108</v>
      </c>
    </row>
    <row r="88">
      <c r="A88" s="494" t="s">
        <v>1080</v>
      </c>
      <c r="B88" s="494" t="s">
        <v>1045</v>
      </c>
      <c r="C88" s="494" t="s">
        <v>1082</v>
      </c>
      <c r="D88" s="494">
        <v>5</v>
      </c>
      <c r="E88" s="494">
        <v>18</v>
      </c>
      <c r="F88" s="494">
        <v>20</v>
      </c>
      <c r="G88" s="494">
        <v>37363.68000000002</v>
      </c>
      <c r="H88" s="495">
        <v>15714.95</v>
      </c>
      <c r="I88" s="496">
        <f t="shared" si="0"/>
      </c>
      <c r="J88" s="496">
        <f t="shared" si="1"/>
      </c>
      <c r="K88" s="505">
        <f t="shared" si="2"/>
      </c>
      <c r="L88" s="494" t="s">
        <v>1076</v>
      </c>
      <c r="M88" s="508">
        <v>10</v>
      </c>
      <c r="N88" s="507"/>
      <c r="O88" s="498"/>
      <c r="P88" s="498"/>
      <c r="Q88" s="517">
        <v>5.310898952348767</v>
      </c>
      <c r="R88" s="501">
        <v>0.2049404532291178</v>
      </c>
      <c r="S88" s="501">
        <v>0.018726070309780716</v>
      </c>
      <c r="T88" s="501">
        <v>0.01989051672309591</v>
      </c>
      <c r="U88" s="501">
        <v>0.1145402481705377</v>
      </c>
      <c r="V88" s="502">
        <v>32383.66571699905</v>
      </c>
      <c r="W88" s="501">
        <v>0.02106</v>
      </c>
      <c r="X88" s="502">
        <v>67.2</v>
      </c>
      <c r="Y88" s="503">
        <v>99.45226718982376</v>
      </c>
      <c r="Z88" s="502">
        <v>158015</v>
      </c>
      <c r="AA88" s="502">
        <v>2959</v>
      </c>
      <c r="AB88" s="502">
        <v>682</v>
      </c>
      <c r="AC88" s="502">
        <v>3143</v>
      </c>
      <c r="AD88" s="502">
        <v>360</v>
      </c>
      <c r="AE88" s="502">
        <v>43</v>
      </c>
      <c r="AF88" s="502">
        <v>2</v>
      </c>
      <c r="AG88" s="502">
        <v>174</v>
      </c>
    </row>
    <row r="89">
      <c r="A89" s="509" t="s">
        <v>1080</v>
      </c>
      <c r="B89" s="510" t="s">
        <v>1048</v>
      </c>
      <c r="C89" s="510"/>
      <c r="D89" s="510">
        <f>SUM(D84:D88)</f>
      </c>
      <c r="E89" s="510">
        <f>SUM(E84:E88)</f>
      </c>
      <c r="F89" s="510">
        <f>SUM(F84:F88)</f>
      </c>
      <c r="G89" s="510">
        <f>SUM(G84:G88)</f>
      </c>
      <c r="H89" s="510">
        <f>SUM(H84:H88)</f>
      </c>
      <c r="I89" s="511">
        <f t="shared" si="0"/>
      </c>
      <c r="J89" s="511">
        <f t="shared" si="1"/>
      </c>
      <c r="K89" s="511">
        <f t="shared" si="2"/>
      </c>
      <c r="L89" s="510"/>
      <c r="M89" s="512">
        <f>SUM(M84:M88)</f>
      </c>
      <c r="N89" s="510"/>
      <c r="O89" s="510"/>
      <c r="P89" s="510"/>
      <c r="Q89" s="513">
        <f>AVERAGE(Q84:Q88)</f>
      </c>
      <c r="R89" s="514">
        <f>AVERAGE(R84:R88)</f>
      </c>
      <c r="S89" s="514">
        <f>AVERAGE(S84:S88)</f>
      </c>
      <c r="T89" s="514">
        <f>AVERAGE(T84:T88)</f>
      </c>
      <c r="U89" s="514">
        <f>AVERAGE(U84:U88)</f>
      </c>
      <c r="V89" s="515">
        <f>SUM(V84:V88)</f>
      </c>
      <c r="W89" s="514">
        <f>AVERAGE(W84:W88)</f>
      </c>
      <c r="X89" s="515"/>
      <c r="Y89" s="513">
        <f>AVERAGE(Y84:Y88)</f>
      </c>
      <c r="Z89" s="515">
        <f>SUM(Z84:Z88)</f>
      </c>
      <c r="AA89" s="515">
        <f>SUM(AA84:AA88)</f>
      </c>
      <c r="AB89" s="515">
        <f>SUM(AB84:AB88)</f>
      </c>
      <c r="AC89" s="515">
        <f>SUM(AC84:AC88)</f>
      </c>
      <c r="AD89" s="515">
        <f>SUM(AD84:AD88)</f>
      </c>
      <c r="AE89" s="515">
        <f>SUM(AE84:AE88)</f>
      </c>
      <c r="AF89" s="515">
        <f>SUM(AF84:AF88)</f>
      </c>
      <c r="AG89" s="515">
        <f>SUM(AG84:AG88)</f>
      </c>
    </row>
    <row r="90">
      <c r="A90" s="494" t="s">
        <v>1083</v>
      </c>
      <c r="B90" s="516" t="s">
        <v>1051</v>
      </c>
      <c r="C90" s="494" t="s">
        <v>1063</v>
      </c>
      <c r="D90" s="494">
        <v>4</v>
      </c>
      <c r="E90" s="494">
        <v>9</v>
      </c>
      <c r="F90" s="494">
        <v>11</v>
      </c>
      <c r="G90" s="494">
        <v>24965.940000000002</v>
      </c>
      <c r="H90" s="495">
        <v>13502.25</v>
      </c>
      <c r="I90" s="496">
        <f t="shared" si="0"/>
      </c>
      <c r="J90" s="496">
        <f t="shared" si="1"/>
      </c>
      <c r="K90" s="496">
        <f t="shared" si="2"/>
      </c>
      <c r="L90" s="494" t="s">
        <v>1047</v>
      </c>
      <c r="M90" s="497">
        <v>10</v>
      </c>
      <c r="N90" s="498"/>
      <c r="O90" s="498"/>
      <c r="P90" s="498"/>
      <c r="Q90" s="499">
        <v>3.4365614660218884</v>
      </c>
      <c r="R90" s="500">
        <v>0.2115410371601631</v>
      </c>
      <c r="S90" s="501">
        <v>0.03126442269435824</v>
      </c>
      <c r="T90" s="501">
        <v>0.03316622901249304</v>
      </c>
      <c r="U90" s="501">
        <v>0.07365642994241843</v>
      </c>
      <c r="V90" s="502">
        <v>26584.362139917695</v>
      </c>
      <c r="W90" s="501">
        <v>0.0243</v>
      </c>
      <c r="X90" s="502">
        <v>35.75</v>
      </c>
      <c r="Y90" s="503">
        <v>107.44211028885175</v>
      </c>
      <c r="Z90" s="502">
        <v>125670</v>
      </c>
      <c r="AA90" s="502">
        <v>3929</v>
      </c>
      <c r="AB90" s="502">
        <v>646</v>
      </c>
      <c r="AC90" s="502">
        <v>4168</v>
      </c>
      <c r="AD90" s="502">
        <v>307</v>
      </c>
      <c r="AE90" s="502">
        <v>28</v>
      </c>
      <c r="AF90" s="502">
        <v>11</v>
      </c>
      <c r="AG90" s="502">
        <v>143</v>
      </c>
    </row>
    <row r="91">
      <c r="A91" s="494" t="s">
        <v>1083</v>
      </c>
      <c r="B91" s="516" t="s">
        <v>1041</v>
      </c>
      <c r="C91" s="494" t="s">
        <v>1064</v>
      </c>
      <c r="D91" s="494">
        <v>4</v>
      </c>
      <c r="E91" s="494">
        <v>17</v>
      </c>
      <c r="F91" s="494">
        <v>21</v>
      </c>
      <c r="G91" s="494">
        <v>40398.95999999999</v>
      </c>
      <c r="H91" s="495">
        <v>15018.720000000001</v>
      </c>
      <c r="I91" s="496">
        <f t="shared" si="0"/>
      </c>
      <c r="J91" s="496">
        <f t="shared" si="1"/>
      </c>
      <c r="K91" s="496">
        <f t="shared" si="2"/>
      </c>
      <c r="L91" s="504"/>
      <c r="M91" s="504"/>
      <c r="N91" s="498"/>
      <c r="O91" s="498"/>
      <c r="P91" s="498"/>
      <c r="Q91" s="495">
        <v>7.435009900990099</v>
      </c>
      <c r="R91" s="501">
        <v>0.18018825334609312</v>
      </c>
      <c r="S91" s="500">
        <v>0.01863588977147971</v>
      </c>
      <c r="T91" s="501">
        <v>0.01936471912392867</v>
      </c>
      <c r="U91" s="500">
        <v>0.20009528346831826</v>
      </c>
      <c r="V91" s="502">
        <v>19531.14534494307</v>
      </c>
      <c r="W91" s="501">
        <v>0.037325</v>
      </c>
      <c r="X91" s="502">
        <v>54</v>
      </c>
      <c r="Y91" s="503">
        <v>138.55802496471176</v>
      </c>
      <c r="Z91" s="502">
        <v>108393</v>
      </c>
      <c r="AA91" s="502">
        <v>2020</v>
      </c>
      <c r="AB91" s="502">
        <v>729</v>
      </c>
      <c r="AC91" s="502">
        <v>2099</v>
      </c>
      <c r="AD91" s="502">
        <v>420</v>
      </c>
      <c r="AE91" s="502">
        <v>34</v>
      </c>
      <c r="AF91" s="502">
        <v>7</v>
      </c>
      <c r="AG91" s="502">
        <v>145</v>
      </c>
    </row>
    <row r="92">
      <c r="A92" s="494" t="s">
        <v>1083</v>
      </c>
      <c r="B92" s="494" t="s">
        <v>1055</v>
      </c>
      <c r="C92" s="494" t="s">
        <v>1054</v>
      </c>
      <c r="D92" s="494">
        <v>4</v>
      </c>
      <c r="E92" s="494">
        <v>22</v>
      </c>
      <c r="F92" s="494">
        <v>24</v>
      </c>
      <c r="G92" s="494">
        <v>44204.54</v>
      </c>
      <c r="H92" s="495">
        <v>13802.63</v>
      </c>
      <c r="I92" s="496">
        <f t="shared" si="0"/>
      </c>
      <c r="J92" s="496">
        <f t="shared" si="1"/>
      </c>
      <c r="K92" s="505">
        <f t="shared" si="2"/>
      </c>
      <c r="L92" s="506"/>
      <c r="M92" s="506"/>
      <c r="N92" s="507"/>
      <c r="O92" s="498"/>
      <c r="P92" s="498"/>
      <c r="Q92" s="495">
        <v>5.5276852222667205</v>
      </c>
      <c r="R92" s="501">
        <v>0.14097169540679108</v>
      </c>
      <c r="S92" s="501">
        <v>0.01907271616254201</v>
      </c>
      <c r="T92" s="501">
        <v>0.020233730522456462</v>
      </c>
      <c r="U92" s="501">
        <v>0.1774254435636089</v>
      </c>
      <c r="V92" s="502">
        <v>18456.01436265709</v>
      </c>
      <c r="W92" s="501">
        <v>0.04177500000000001</v>
      </c>
      <c r="X92" s="502">
        <v>62</v>
      </c>
      <c r="Y92" s="503">
        <v>105.4279712801711</v>
      </c>
      <c r="Z92" s="502">
        <v>130920</v>
      </c>
      <c r="AA92" s="502">
        <v>2497</v>
      </c>
      <c r="AB92" s="502">
        <v>771</v>
      </c>
      <c r="AC92" s="502">
        <v>2649</v>
      </c>
      <c r="AD92" s="502">
        <v>470</v>
      </c>
      <c r="AE92" s="502">
        <v>39</v>
      </c>
      <c r="AF92" s="502">
        <v>7</v>
      </c>
      <c r="AG92" s="502">
        <v>148</v>
      </c>
    </row>
    <row r="93">
      <c r="A93" s="494" t="s">
        <v>1083</v>
      </c>
      <c r="B93" s="494" t="s">
        <v>1045</v>
      </c>
      <c r="C93" s="494" t="s">
        <v>1056</v>
      </c>
      <c r="D93" s="494">
        <v>4</v>
      </c>
      <c r="E93" s="494">
        <v>18</v>
      </c>
      <c r="F93" s="494">
        <v>23</v>
      </c>
      <c r="G93" s="494">
        <v>47103.37</v>
      </c>
      <c r="H93" s="495">
        <v>13870.28</v>
      </c>
      <c r="I93" s="496">
        <f t="shared" si="0"/>
      </c>
      <c r="J93" s="496">
        <f t="shared" si="1"/>
      </c>
      <c r="K93" s="505">
        <f t="shared" si="2"/>
      </c>
      <c r="L93" s="506"/>
      <c r="M93" s="506"/>
      <c r="N93" s="507"/>
      <c r="O93" s="498"/>
      <c r="P93" s="498"/>
      <c r="Q93" s="495">
        <v>5.22027850959729</v>
      </c>
      <c r="R93" s="501">
        <v>0.2324707514971959</v>
      </c>
      <c r="S93" s="501">
        <v>0.017995868468285416</v>
      </c>
      <c r="T93" s="501">
        <v>0.018734125774662196</v>
      </c>
      <c r="U93" s="501">
        <v>0.1442516268980477</v>
      </c>
      <c r="V93" s="502">
        <v>34323.14410480349</v>
      </c>
      <c r="W93" s="501">
        <v>0.0229</v>
      </c>
      <c r="X93" s="502">
        <v>66</v>
      </c>
      <c r="Y93" s="503">
        <v>93.94344542652985</v>
      </c>
      <c r="Z93" s="502">
        <v>147645</v>
      </c>
      <c r="AA93" s="502">
        <v>2657</v>
      </c>
      <c r="AB93" s="502">
        <v>786</v>
      </c>
      <c r="AC93" s="502">
        <v>2766</v>
      </c>
      <c r="AD93" s="502">
        <v>399</v>
      </c>
      <c r="AE93" s="502">
        <v>32</v>
      </c>
      <c r="AF93" s="502">
        <v>7</v>
      </c>
      <c r="AG93" s="502">
        <v>137</v>
      </c>
    </row>
    <row r="94">
      <c r="A94" s="494" t="s">
        <v>1083</v>
      </c>
      <c r="B94" s="494" t="s">
        <v>1038</v>
      </c>
      <c r="C94" s="494" t="s">
        <v>1057</v>
      </c>
      <c r="D94" s="494">
        <v>4</v>
      </c>
      <c r="E94" s="494">
        <v>26</v>
      </c>
      <c r="F94" s="494">
        <v>29</v>
      </c>
      <c r="G94" s="494">
        <v>54697.22</v>
      </c>
      <c r="H94" s="495">
        <v>13354.6</v>
      </c>
      <c r="I94" s="496">
        <f t="shared" si="0"/>
      </c>
      <c r="J94" s="496">
        <f t="shared" si="1"/>
      </c>
      <c r="K94" s="505">
        <f t="shared" si="2"/>
      </c>
      <c r="L94" s="494" t="s">
        <v>1084</v>
      </c>
      <c r="M94" s="508">
        <v>10</v>
      </c>
      <c r="N94" s="507"/>
      <c r="O94" s="498"/>
      <c r="P94" s="498"/>
      <c r="Q94" s="517">
        <v>3.5678867218808437</v>
      </c>
      <c r="R94" s="501">
        <v>0.19306575452379662</v>
      </c>
      <c r="S94" s="501">
        <v>0.024037504415117362</v>
      </c>
      <c r="T94" s="501">
        <v>0.02537970009311884</v>
      </c>
      <c r="U94" s="501">
        <v>0.12651821862348178</v>
      </c>
      <c r="V94" s="502">
        <v>30063.23396567299</v>
      </c>
      <c r="W94" s="501">
        <v>0.027675</v>
      </c>
      <c r="X94" s="502">
        <v>69.25</v>
      </c>
      <c r="Y94" s="503">
        <v>85.7630928298494</v>
      </c>
      <c r="Z94" s="502">
        <v>155715</v>
      </c>
      <c r="AA94" s="502">
        <v>3743</v>
      </c>
      <c r="AB94" s="502">
        <v>832</v>
      </c>
      <c r="AC94" s="502">
        <v>3952</v>
      </c>
      <c r="AD94" s="502">
        <v>500</v>
      </c>
      <c r="AE94" s="502">
        <v>47</v>
      </c>
      <c r="AF94" s="502">
        <v>11</v>
      </c>
      <c r="AG94" s="502">
        <v>201</v>
      </c>
    </row>
    <row r="95">
      <c r="A95" s="509" t="s">
        <v>1083</v>
      </c>
      <c r="B95" s="510" t="s">
        <v>1048</v>
      </c>
      <c r="C95" s="510"/>
      <c r="D95" s="510">
        <f>SUM(D90:D94)</f>
      </c>
      <c r="E95" s="510">
        <f>SUM(E90:E94)</f>
      </c>
      <c r="F95" s="510">
        <f>SUM(F90:F94)</f>
      </c>
      <c r="G95" s="510">
        <f>SUM(G90:G94)</f>
      </c>
      <c r="H95" s="510">
        <f>SUM(H90:H94)</f>
      </c>
      <c r="I95" s="511">
        <f t="shared" si="0"/>
      </c>
      <c r="J95" s="511">
        <f t="shared" si="1"/>
      </c>
      <c r="K95" s="511">
        <f t="shared" si="2"/>
      </c>
      <c r="L95" s="510"/>
      <c r="M95" s="512">
        <f>SUM(M90:M94)</f>
      </c>
      <c r="N95" s="510"/>
      <c r="O95" s="510"/>
      <c r="P95" s="510"/>
      <c r="Q95" s="513">
        <f>AVERAGE(Q90:Q94)</f>
      </c>
      <c r="R95" s="514">
        <f>AVERAGE(R90:R94)</f>
      </c>
      <c r="S95" s="514">
        <f>AVERAGE(S90:S94)</f>
      </c>
      <c r="T95" s="514">
        <f>AVERAGE(T90:T94)</f>
      </c>
      <c r="U95" s="514">
        <f>AVERAGE(U90:U94)</f>
      </c>
      <c r="V95" s="515">
        <f>SUM(V90:V94)</f>
      </c>
      <c r="W95" s="514">
        <f>AVERAGE(W90:W94)</f>
      </c>
      <c r="X95" s="515"/>
      <c r="Y95" s="513">
        <f>AVERAGE(Y90:Y94)</f>
      </c>
      <c r="Z95" s="515">
        <f>SUM(Z90:Z94)</f>
      </c>
      <c r="AA95" s="515">
        <f>SUM(AA90:AA94)</f>
      </c>
      <c r="AB95" s="515">
        <f>SUM(AB90:AB94)</f>
      </c>
      <c r="AC95" s="515">
        <f>SUM(AC90:AC94)</f>
      </c>
      <c r="AD95" s="515">
        <f>SUM(AD90:AD94)</f>
      </c>
      <c r="AE95" s="515">
        <f>SUM(AE90:AE94)</f>
      </c>
      <c r="AF95" s="515">
        <f>SUM(AF90:AF94)</f>
      </c>
      <c r="AG95" s="515">
        <f>SUM(AG90:AG94)</f>
      </c>
    </row>
    <row r="96">
      <c r="A96" s="494" t="s">
        <v>1085</v>
      </c>
      <c r="B96" s="494" t="s">
        <v>1055</v>
      </c>
      <c r="C96" s="494" t="s">
        <v>1063</v>
      </c>
      <c r="D96" s="494">
        <v>4</v>
      </c>
      <c r="E96" s="494">
        <v>15</v>
      </c>
      <c r="F96" s="494">
        <v>17</v>
      </c>
      <c r="G96" s="494">
        <v>36269.88</v>
      </c>
      <c r="H96" s="495">
        <v>14758.130000000001</v>
      </c>
      <c r="I96" s="496">
        <f t="shared" si="0"/>
      </c>
      <c r="J96" s="496">
        <f t="shared" si="1"/>
      </c>
      <c r="K96" s="496">
        <f t="shared" si="2"/>
      </c>
      <c r="L96" s="494" t="s">
        <v>1047</v>
      </c>
      <c r="M96" s="497">
        <v>10</v>
      </c>
      <c r="N96" s="498"/>
      <c r="O96" s="498"/>
      <c r="P96" s="498"/>
      <c r="Q96" s="499">
        <v>2.936356943891763</v>
      </c>
      <c r="R96" s="500">
        <v>0.21575362657373567</v>
      </c>
      <c r="S96" s="501">
        <v>0.030679265553276686</v>
      </c>
      <c r="T96" s="501">
        <v>0.03237620861412247</v>
      </c>
      <c r="U96" s="501">
        <v>0.07013574660633484</v>
      </c>
      <c r="V96" s="502">
        <v>35345.62211981567</v>
      </c>
      <c r="W96" s="501">
        <v>0.0217</v>
      </c>
      <c r="X96" s="502">
        <v>34.5</v>
      </c>
      <c r="Y96" s="503">
        <v>90.08527444086337</v>
      </c>
      <c r="Z96" s="502">
        <v>163824</v>
      </c>
      <c r="AA96" s="502">
        <v>5026</v>
      </c>
      <c r="AB96" s="502">
        <v>767</v>
      </c>
      <c r="AC96" s="502">
        <v>5304</v>
      </c>
      <c r="AD96" s="502">
        <v>372</v>
      </c>
      <c r="AE96" s="502">
        <v>45</v>
      </c>
      <c r="AF96" s="502">
        <v>13</v>
      </c>
      <c r="AG96" s="502">
        <v>236</v>
      </c>
    </row>
    <row r="97">
      <c r="A97" s="494" t="s">
        <v>1085</v>
      </c>
      <c r="B97" s="516" t="s">
        <v>1038</v>
      </c>
      <c r="C97" s="494" t="s">
        <v>1064</v>
      </c>
      <c r="D97" s="494">
        <v>4</v>
      </c>
      <c r="E97" s="494">
        <v>21</v>
      </c>
      <c r="F97" s="494">
        <v>24</v>
      </c>
      <c r="G97" s="494">
        <v>51728.299999999996</v>
      </c>
      <c r="H97" s="495">
        <v>15653.72</v>
      </c>
      <c r="I97" s="496">
        <f t="shared" si="0"/>
      </c>
      <c r="J97" s="496">
        <f t="shared" si="1"/>
      </c>
      <c r="K97" s="496">
        <f t="shared" si="2"/>
      </c>
      <c r="L97" s="504"/>
      <c r="M97" s="504"/>
      <c r="N97" s="498"/>
      <c r="O97" s="498"/>
      <c r="P97" s="498"/>
      <c r="Q97" s="495">
        <v>5.348042364195422</v>
      </c>
      <c r="R97" s="501">
        <v>0.18067677311369978</v>
      </c>
      <c r="S97" s="500">
        <v>0.020252131074947416</v>
      </c>
      <c r="T97" s="501">
        <v>0.0208748477803609</v>
      </c>
      <c r="U97" s="500">
        <v>0.1345707656612529</v>
      </c>
      <c r="V97" s="502">
        <v>26112.852664576803</v>
      </c>
      <c r="W97" s="501">
        <v>0.0319</v>
      </c>
      <c r="X97" s="502">
        <v>51.25</v>
      </c>
      <c r="Y97" s="503">
        <v>108.30925495405734</v>
      </c>
      <c r="Z97" s="502">
        <v>144528</v>
      </c>
      <c r="AA97" s="502">
        <v>2927</v>
      </c>
      <c r="AB97" s="502">
        <v>833</v>
      </c>
      <c r="AC97" s="502">
        <v>3017</v>
      </c>
      <c r="AD97" s="502">
        <v>406</v>
      </c>
      <c r="AE97" s="502">
        <v>43</v>
      </c>
      <c r="AF97" s="502">
        <v>12</v>
      </c>
      <c r="AG97" s="502">
        <v>183</v>
      </c>
    </row>
    <row r="98">
      <c r="A98" s="494" t="s">
        <v>1085</v>
      </c>
      <c r="B98" s="494" t="s">
        <v>1086</v>
      </c>
      <c r="C98" s="494" t="s">
        <v>1087</v>
      </c>
      <c r="D98" s="494">
        <v>2</v>
      </c>
      <c r="E98" s="494">
        <v>5</v>
      </c>
      <c r="F98" s="494">
        <v>7</v>
      </c>
      <c r="G98" s="494">
        <v>12945.330000000002</v>
      </c>
      <c r="H98" s="495">
        <v>6272.9</v>
      </c>
      <c r="I98" s="496">
        <f t="shared" si="0"/>
      </c>
      <c r="J98" s="496">
        <f t="shared" si="1"/>
      </c>
      <c r="K98" s="505">
        <f t="shared" si="2"/>
      </c>
      <c r="L98" s="506"/>
      <c r="M98" s="506"/>
      <c r="N98" s="507"/>
      <c r="O98" s="498"/>
      <c r="P98" s="498"/>
      <c r="Q98" s="495">
        <v>5.2802188552188545</v>
      </c>
      <c r="R98" s="501">
        <v>0.2132980288320094</v>
      </c>
      <c r="S98" s="501">
        <v>0.020024271844660196</v>
      </c>
      <c r="T98" s="501">
        <v>0.020900755124056095</v>
      </c>
      <c r="U98" s="501">
        <v>0.1588709677419355</v>
      </c>
      <c r="V98" s="502">
        <v>12654.545454545454</v>
      </c>
      <c r="W98" s="501">
        <v>0.0275</v>
      </c>
      <c r="X98" s="502">
        <v>57.5</v>
      </c>
      <c r="Y98" s="503">
        <v>105.7325377562028</v>
      </c>
      <c r="Z98" s="502">
        <v>59328</v>
      </c>
      <c r="AA98" s="502">
        <v>1188</v>
      </c>
      <c r="AB98" s="502">
        <v>348</v>
      </c>
      <c r="AC98" s="502">
        <v>1240</v>
      </c>
      <c r="AD98" s="502">
        <v>197</v>
      </c>
      <c r="AE98" s="502">
        <v>19</v>
      </c>
      <c r="AF98" s="502">
        <v>2</v>
      </c>
      <c r="AG98" s="502">
        <v>88</v>
      </c>
    </row>
    <row r="99">
      <c r="A99" s="494" t="s">
        <v>1085</v>
      </c>
      <c r="B99" s="516" t="s">
        <v>1041</v>
      </c>
      <c r="C99" s="494" t="s">
        <v>1088</v>
      </c>
      <c r="D99" s="494">
        <v>5</v>
      </c>
      <c r="E99" s="494">
        <v>21</v>
      </c>
      <c r="F99" s="494">
        <v>28</v>
      </c>
      <c r="G99" s="494">
        <v>60338.05</v>
      </c>
      <c r="H99" s="495">
        <v>19990.260000000002</v>
      </c>
      <c r="I99" s="496">
        <f t="shared" si="0"/>
      </c>
      <c r="J99" s="496">
        <f t="shared" si="1"/>
      </c>
      <c r="K99" s="505">
        <f t="shared" si="2"/>
      </c>
      <c r="L99" s="506"/>
      <c r="M99" s="506"/>
      <c r="N99" s="507"/>
      <c r="O99" s="498"/>
      <c r="P99" s="498"/>
      <c r="Q99" s="495">
        <v>4.452173719376392</v>
      </c>
      <c r="R99" s="501">
        <v>0.22968249594372653</v>
      </c>
      <c r="S99" s="501">
        <v>0.024026884424799597</v>
      </c>
      <c r="T99" s="501">
        <v>0.02526836264006764</v>
      </c>
      <c r="U99" s="501">
        <v>0.1069462092333757</v>
      </c>
      <c r="V99" s="502">
        <v>42921.68674698795</v>
      </c>
      <c r="W99" s="501">
        <v>0.01992</v>
      </c>
      <c r="X99" s="502">
        <v>56</v>
      </c>
      <c r="Y99" s="503">
        <v>106.97186339458673</v>
      </c>
      <c r="Z99" s="502">
        <v>186874</v>
      </c>
      <c r="AA99" s="502">
        <v>4490</v>
      </c>
      <c r="AB99" s="502">
        <v>855</v>
      </c>
      <c r="AC99" s="502">
        <v>4722</v>
      </c>
      <c r="AD99" s="502">
        <v>505</v>
      </c>
      <c r="AE99" s="502">
        <v>45</v>
      </c>
      <c r="AF99" s="502">
        <v>10</v>
      </c>
      <c r="AG99" s="502">
        <v>201</v>
      </c>
    </row>
    <row r="100">
      <c r="A100" s="494" t="s">
        <v>1085</v>
      </c>
      <c r="B100" s="516" t="s">
        <v>1045</v>
      </c>
      <c r="C100" s="494" t="s">
        <v>1082</v>
      </c>
      <c r="D100" s="494">
        <v>5</v>
      </c>
      <c r="E100" s="494">
        <v>23</v>
      </c>
      <c r="F100" s="494">
        <v>25</v>
      </c>
      <c r="G100" s="494">
        <v>52707.67999999999</v>
      </c>
      <c r="H100" s="495">
        <v>18077.68</v>
      </c>
      <c r="I100" s="496">
        <f t="shared" si="0"/>
      </c>
      <c r="J100" s="496">
        <f t="shared" si="1"/>
      </c>
      <c r="K100" s="505">
        <f t="shared" si="2"/>
      </c>
      <c r="L100" s="494" t="s">
        <v>1040</v>
      </c>
      <c r="M100" s="508">
        <v>10</v>
      </c>
      <c r="N100" s="507"/>
      <c r="O100" s="498"/>
      <c r="P100" s="498"/>
      <c r="Q100" s="517">
        <v>3.818679763413604</v>
      </c>
      <c r="R100" s="501">
        <v>0.2273759626700803</v>
      </c>
      <c r="S100" s="501">
        <v>0.022847490347490347</v>
      </c>
      <c r="T100" s="501">
        <v>0.02374034749034749</v>
      </c>
      <c r="U100" s="501">
        <v>0.09127871518601342</v>
      </c>
      <c r="V100" s="502">
        <v>47112.29946524064</v>
      </c>
      <c r="W100" s="501">
        <v>0.0187</v>
      </c>
      <c r="X100" s="502">
        <v>56.8</v>
      </c>
      <c r="Y100" s="503">
        <v>87.24724903474903</v>
      </c>
      <c r="Z100" s="502">
        <v>207200</v>
      </c>
      <c r="AA100" s="502">
        <v>4734</v>
      </c>
      <c r="AB100" s="502">
        <v>881</v>
      </c>
      <c r="AC100" s="502">
        <v>4919</v>
      </c>
      <c r="AD100" s="502">
        <v>449</v>
      </c>
      <c r="AE100" s="502">
        <v>42</v>
      </c>
      <c r="AF100" s="502">
        <v>9</v>
      </c>
      <c r="AG100" s="502">
        <v>288</v>
      </c>
    </row>
    <row r="101">
      <c r="A101" s="509" t="s">
        <v>1085</v>
      </c>
      <c r="B101" s="510" t="s">
        <v>1048</v>
      </c>
      <c r="C101" s="510"/>
      <c r="D101" s="510">
        <f>SUM(D96:D100)</f>
      </c>
      <c r="E101" s="510">
        <f>SUM(E96:E100)</f>
      </c>
      <c r="F101" s="510">
        <f>SUM(F96:F100)</f>
      </c>
      <c r="G101" s="510">
        <f>SUM(G96:G100)</f>
      </c>
      <c r="H101" s="510">
        <f>SUM(H96:H100)</f>
      </c>
      <c r="I101" s="511">
        <f t="shared" si="0"/>
      </c>
      <c r="J101" s="511">
        <f t="shared" si="1"/>
      </c>
      <c r="K101" s="511">
        <f t="shared" si="2"/>
      </c>
      <c r="L101" s="510"/>
      <c r="M101" s="512">
        <f>SUM(M96:M100)</f>
      </c>
      <c r="N101" s="510"/>
      <c r="O101" s="510"/>
      <c r="P101" s="510"/>
      <c r="Q101" s="513">
        <f>AVERAGE(Q96:Q100)</f>
      </c>
      <c r="R101" s="514">
        <f>AVERAGE(R96:R100)</f>
      </c>
      <c r="S101" s="514">
        <f>AVERAGE(S96:S100)</f>
      </c>
      <c r="T101" s="514">
        <f>AVERAGE(T96:T100)</f>
      </c>
      <c r="U101" s="514">
        <f>AVERAGE(U96:U100)</f>
      </c>
      <c r="V101" s="515">
        <f>SUM(V96:V100)</f>
      </c>
      <c r="W101" s="514">
        <f>AVERAGE(W96:W100)</f>
      </c>
      <c r="X101" s="515"/>
      <c r="Y101" s="513">
        <f>AVERAGE(Y96:Y100)</f>
      </c>
      <c r="Z101" s="515">
        <f>SUM(Z96:Z100)</f>
      </c>
      <c r="AA101" s="515">
        <f>SUM(AA96:AA100)</f>
      </c>
      <c r="AB101" s="515">
        <f>SUM(AB96:AB100)</f>
      </c>
      <c r="AC101" s="515">
        <f>SUM(AC96:AC100)</f>
      </c>
      <c r="AD101" s="515">
        <f>SUM(AD96:AD100)</f>
      </c>
      <c r="AE101" s="515">
        <f>SUM(AE96:AE100)</f>
      </c>
      <c r="AF101" s="515">
        <f>SUM(AF96:AF100)</f>
      </c>
      <c r="AG101" s="515">
        <f>SUM(AG96:AG100)</f>
      </c>
    </row>
    <row r="102">
      <c r="A102" s="494" t="s">
        <v>1089</v>
      </c>
      <c r="B102" s="494" t="s">
        <v>1055</v>
      </c>
      <c r="C102" s="494" t="s">
        <v>1063</v>
      </c>
      <c r="D102" s="494">
        <v>4</v>
      </c>
      <c r="E102" s="494">
        <v>13</v>
      </c>
      <c r="F102" s="494">
        <v>16</v>
      </c>
      <c r="G102" s="494">
        <v>29401.54</v>
      </c>
      <c r="H102" s="495">
        <v>14015.529999999999</v>
      </c>
      <c r="I102" s="496">
        <f t="shared" si="0"/>
      </c>
      <c r="J102" s="496">
        <f t="shared" si="1"/>
      </c>
      <c r="K102" s="496">
        <f t="shared" si="2"/>
      </c>
      <c r="L102" s="494" t="s">
        <v>1090</v>
      </c>
      <c r="M102" s="497">
        <v>10</v>
      </c>
      <c r="N102" s="498"/>
      <c r="O102" s="498"/>
      <c r="P102" s="498"/>
      <c r="Q102" s="499">
        <v>3.288486625997184</v>
      </c>
      <c r="R102" s="500">
        <v>0.3076647834861438</v>
      </c>
      <c r="S102" s="501">
        <v>0.03507010730037522</v>
      </c>
      <c r="T102" s="501">
        <v>0.037110789283128165</v>
      </c>
      <c r="U102" s="501">
        <v>0.06917960088691796</v>
      </c>
      <c r="V102" s="502">
        <v>37389.885807504084</v>
      </c>
      <c r="W102" s="501">
        <v>0.015324999999999998</v>
      </c>
      <c r="X102" s="502">
        <v>35.5</v>
      </c>
      <c r="Y102" s="517">
        <v>115.32757882957013</v>
      </c>
      <c r="Z102" s="502">
        <v>121528</v>
      </c>
      <c r="AA102" s="502">
        <v>4262</v>
      </c>
      <c r="AB102" s="502">
        <v>573</v>
      </c>
      <c r="AC102" s="502">
        <v>4510</v>
      </c>
      <c r="AD102" s="502">
        <v>312</v>
      </c>
      <c r="AE102" s="502">
        <v>22</v>
      </c>
      <c r="AF102" s="502">
        <v>7</v>
      </c>
      <c r="AG102" s="502">
        <v>132</v>
      </c>
    </row>
    <row r="103">
      <c r="A103" s="494" t="s">
        <v>1089</v>
      </c>
      <c r="B103" s="494" t="s">
        <v>1038</v>
      </c>
      <c r="C103" s="494" t="s">
        <v>1064</v>
      </c>
      <c r="D103" s="494">
        <v>4</v>
      </c>
      <c r="E103" s="494">
        <v>20</v>
      </c>
      <c r="F103" s="494">
        <v>25</v>
      </c>
      <c r="G103" s="494">
        <v>55255.04</v>
      </c>
      <c r="H103" s="495">
        <v>15441.8</v>
      </c>
      <c r="I103" s="496">
        <f t="shared" si="0"/>
      </c>
      <c r="J103" s="496">
        <f t="shared" si="1"/>
      </c>
      <c r="K103" s="496">
        <f t="shared" si="2"/>
      </c>
      <c r="L103" s="504"/>
      <c r="M103" s="504"/>
      <c r="N103" s="498"/>
      <c r="O103" s="498"/>
      <c r="P103" s="498"/>
      <c r="Q103" s="495">
        <v>7.5362615910200095</v>
      </c>
      <c r="R103" s="501">
        <v>0.20756120564832153</v>
      </c>
      <c r="S103" s="500">
        <v>0.018780934922089827</v>
      </c>
      <c r="T103" s="501">
        <v>0.019752520623281394</v>
      </c>
      <c r="U103" s="500">
        <v>0.17447795823665893</v>
      </c>
      <c r="V103" s="502">
        <v>22644.92753623188</v>
      </c>
      <c r="W103" s="501">
        <v>0.027600000000000003</v>
      </c>
      <c r="X103" s="502">
        <v>50.5</v>
      </c>
      <c r="Y103" s="503">
        <v>141.53803849679193</v>
      </c>
      <c r="Z103" s="502">
        <v>109100</v>
      </c>
      <c r="AA103" s="502">
        <v>2049</v>
      </c>
      <c r="AB103" s="502">
        <v>625</v>
      </c>
      <c r="AC103" s="502">
        <v>2155</v>
      </c>
      <c r="AD103" s="502">
        <v>376</v>
      </c>
      <c r="AE103" s="502">
        <v>24</v>
      </c>
      <c r="AF103" s="502">
        <v>8</v>
      </c>
      <c r="AG103" s="502">
        <v>141</v>
      </c>
    </row>
    <row r="104">
      <c r="A104" s="494" t="s">
        <v>1089</v>
      </c>
      <c r="B104" s="516" t="s">
        <v>1051</v>
      </c>
      <c r="C104" s="494" t="s">
        <v>1054</v>
      </c>
      <c r="D104" s="494">
        <v>4</v>
      </c>
      <c r="E104" s="494">
        <v>12</v>
      </c>
      <c r="F104" s="494">
        <v>18</v>
      </c>
      <c r="G104" s="494">
        <v>34060.259999999995</v>
      </c>
      <c r="H104" s="495">
        <v>15689.91</v>
      </c>
      <c r="I104" s="496">
        <f t="shared" si="0"/>
      </c>
      <c r="J104" s="496">
        <f t="shared" si="1"/>
      </c>
      <c r="K104" s="505">
        <f t="shared" si="2"/>
      </c>
      <c r="L104" s="506"/>
      <c r="M104" s="506"/>
      <c r="N104" s="507"/>
      <c r="O104" s="498"/>
      <c r="P104" s="498"/>
      <c r="Q104" s="495">
        <v>5.190178630499504</v>
      </c>
      <c r="R104" s="501">
        <v>0.2306412467612326</v>
      </c>
      <c r="S104" s="501">
        <v>0.022857013239374852</v>
      </c>
      <c r="T104" s="500">
        <v>0.024399464678618143</v>
      </c>
      <c r="U104" s="501">
        <v>0.12550356368143786</v>
      </c>
      <c r="V104" s="502">
        <v>30503.91937290034</v>
      </c>
      <c r="W104" s="501">
        <v>0.022324999999999998</v>
      </c>
      <c r="X104" s="502">
        <v>58.25</v>
      </c>
      <c r="Y104" s="503">
        <v>118.63198167204762</v>
      </c>
      <c r="Z104" s="502">
        <v>132257</v>
      </c>
      <c r="AA104" s="502">
        <v>3023</v>
      </c>
      <c r="AB104" s="502">
        <v>681</v>
      </c>
      <c r="AC104" s="502">
        <v>3227</v>
      </c>
      <c r="AD104" s="502">
        <v>405</v>
      </c>
      <c r="AE104" s="502">
        <v>29</v>
      </c>
      <c r="AF104" s="502">
        <v>7</v>
      </c>
      <c r="AG104" s="502">
        <v>152</v>
      </c>
    </row>
    <row r="105">
      <c r="A105" s="494" t="s">
        <v>1089</v>
      </c>
      <c r="B105" s="516" t="s">
        <v>1041</v>
      </c>
      <c r="C105" s="494" t="s">
        <v>1056</v>
      </c>
      <c r="D105" s="494">
        <v>4</v>
      </c>
      <c r="E105" s="494">
        <v>22</v>
      </c>
      <c r="F105" s="494">
        <v>27</v>
      </c>
      <c r="G105" s="494">
        <v>56423.57999999999</v>
      </c>
      <c r="H105" s="495">
        <v>15729.65</v>
      </c>
      <c r="I105" s="496">
        <f t="shared" si="0"/>
      </c>
      <c r="J105" s="496">
        <f t="shared" si="1"/>
      </c>
      <c r="K105" s="505">
        <f t="shared" si="2"/>
      </c>
      <c r="L105" s="506"/>
      <c r="M105" s="506"/>
      <c r="N105" s="507"/>
      <c r="O105" s="498"/>
      <c r="P105" s="498"/>
      <c r="Q105" s="495">
        <v>4.4877746077032805</v>
      </c>
      <c r="R105" s="501">
        <v>0.27110383266083804</v>
      </c>
      <c r="S105" s="501">
        <v>0.027208085575445188</v>
      </c>
      <c r="T105" s="501">
        <v>0.028566549191908215</v>
      </c>
      <c r="U105" s="501">
        <v>0.14592391304347826</v>
      </c>
      <c r="V105" s="502">
        <v>34924.13793103448</v>
      </c>
      <c r="W105" s="501">
        <v>0.018125000000000002</v>
      </c>
      <c r="X105" s="502">
        <v>60.5</v>
      </c>
      <c r="Y105" s="503">
        <v>122.10375556970082</v>
      </c>
      <c r="Z105" s="502">
        <v>128822</v>
      </c>
      <c r="AA105" s="502">
        <v>3505</v>
      </c>
      <c r="AB105" s="502">
        <v>633</v>
      </c>
      <c r="AC105" s="502">
        <v>3680</v>
      </c>
      <c r="AD105" s="502">
        <v>537</v>
      </c>
      <c r="AE105" s="502">
        <v>26</v>
      </c>
      <c r="AF105" s="502">
        <v>8</v>
      </c>
      <c r="AG105" s="502">
        <v>126</v>
      </c>
    </row>
    <row r="106">
      <c r="A106" s="494" t="s">
        <v>1089</v>
      </c>
      <c r="B106" s="516" t="s">
        <v>1045</v>
      </c>
      <c r="C106" s="494" t="s">
        <v>1057</v>
      </c>
      <c r="D106" s="494">
        <v>4</v>
      </c>
      <c r="E106" s="494">
        <v>21</v>
      </c>
      <c r="F106" s="494">
        <v>24</v>
      </c>
      <c r="G106" s="494">
        <v>44748.48999999999</v>
      </c>
      <c r="H106" s="495">
        <v>14046.150000000001</v>
      </c>
      <c r="I106" s="496">
        <f t="shared" si="0"/>
      </c>
      <c r="J106" s="496">
        <f t="shared" si="1"/>
      </c>
      <c r="K106" s="505">
        <f t="shared" si="2"/>
      </c>
      <c r="L106" s="494" t="s">
        <v>1076</v>
      </c>
      <c r="M106" s="508">
        <v>10</v>
      </c>
      <c r="N106" s="507"/>
      <c r="O106" s="498"/>
      <c r="P106" s="498"/>
      <c r="Q106" s="517">
        <v>4.902670157068063</v>
      </c>
      <c r="R106" s="501">
        <v>0.24060297298979325</v>
      </c>
      <c r="S106" s="501">
        <v>0.021318867756049648</v>
      </c>
      <c r="T106" s="501">
        <v>0.022449921123909873</v>
      </c>
      <c r="U106" s="501">
        <v>0.14385150812064965</v>
      </c>
      <c r="V106" s="502">
        <v>32334.152334152335</v>
      </c>
      <c r="W106" s="501">
        <v>0.02035</v>
      </c>
      <c r="X106" s="502">
        <v>63.75</v>
      </c>
      <c r="Y106" s="503">
        <v>104.5193767300652</v>
      </c>
      <c r="Z106" s="502">
        <v>134388</v>
      </c>
      <c r="AA106" s="502">
        <v>2865</v>
      </c>
      <c r="AB106" s="502">
        <v>658</v>
      </c>
      <c r="AC106" s="502">
        <v>3017</v>
      </c>
      <c r="AD106" s="502">
        <v>434</v>
      </c>
      <c r="AE106" s="502">
        <v>34</v>
      </c>
      <c r="AF106" s="502">
        <v>9</v>
      </c>
      <c r="AG106" s="502">
        <v>164</v>
      </c>
    </row>
    <row r="107">
      <c r="A107" s="509" t="s">
        <v>1089</v>
      </c>
      <c r="B107" s="510" t="s">
        <v>1048</v>
      </c>
      <c r="C107" s="510"/>
      <c r="D107" s="510">
        <f>SUM(D102:D106)</f>
      </c>
      <c r="E107" s="510">
        <f>SUM(E102:E106)</f>
      </c>
      <c r="F107" s="510">
        <f>SUM(F102:F106)</f>
      </c>
      <c r="G107" s="510">
        <f>SUM(G102:G106)</f>
      </c>
      <c r="H107" s="510">
        <f>SUM(H102:H106)</f>
      </c>
      <c r="I107" s="511">
        <f t="shared" si="0"/>
      </c>
      <c r="J107" s="511">
        <f t="shared" si="1"/>
      </c>
      <c r="K107" s="511">
        <f t="shared" si="2"/>
      </c>
      <c r="L107" s="510"/>
      <c r="M107" s="512">
        <f>SUM(M102:M106)</f>
      </c>
      <c r="N107" s="510"/>
      <c r="O107" s="510"/>
      <c r="P107" s="510"/>
      <c r="Q107" s="513">
        <f>AVERAGE(Q102:Q106)</f>
      </c>
      <c r="R107" s="514">
        <f>AVERAGE(R102:R106)</f>
      </c>
      <c r="S107" s="514">
        <f>AVERAGE(S102:S106)</f>
      </c>
      <c r="T107" s="514">
        <f>AVERAGE(T102:T106)</f>
      </c>
      <c r="U107" s="514">
        <f>AVERAGE(U102:U106)</f>
      </c>
      <c r="V107" s="515">
        <f>SUM(V102:V106)</f>
      </c>
      <c r="W107" s="514">
        <f>AVERAGE(W102:W106)</f>
      </c>
      <c r="X107" s="515"/>
      <c r="Y107" s="513">
        <f>AVERAGE(Y102:Y106)</f>
      </c>
      <c r="Z107" s="515">
        <f>SUM(Z102:Z106)</f>
      </c>
      <c r="AA107" s="515">
        <f>SUM(AA102:AA106)</f>
      </c>
      <c r="AB107" s="515">
        <f>SUM(AB102:AB106)</f>
      </c>
      <c r="AC107" s="515">
        <f>SUM(AC102:AC106)</f>
      </c>
      <c r="AD107" s="515">
        <f>SUM(AD102:AD106)</f>
      </c>
      <c r="AE107" s="515">
        <f>SUM(AE102:AE106)</f>
      </c>
      <c r="AF107" s="515">
        <f>SUM(AF102:AF106)</f>
      </c>
      <c r="AG107" s="515">
        <f>SUM(AG102:AG106)</f>
      </c>
    </row>
    <row r="108">
      <c r="A108" s="518" t="s">
        <v>1091</v>
      </c>
      <c r="B108" s="516" t="s">
        <v>1038</v>
      </c>
      <c r="C108" s="516" t="s">
        <v>1063</v>
      </c>
      <c r="D108" s="516">
        <v>4</v>
      </c>
      <c r="E108" s="518">
        <v>14</v>
      </c>
      <c r="F108" s="518">
        <v>18</v>
      </c>
      <c r="G108" s="516">
        <v>39140.86</v>
      </c>
      <c r="H108" s="519">
        <v>15395.51</v>
      </c>
      <c r="I108" s="520">
        <f t="shared" si="0"/>
      </c>
      <c r="J108" s="520">
        <f t="shared" si="1"/>
      </c>
      <c r="K108" s="520">
        <f t="shared" si="2"/>
      </c>
      <c r="L108" s="518" t="s">
        <v>1047</v>
      </c>
      <c r="M108" s="521">
        <v>10</v>
      </c>
      <c r="N108" s="516"/>
      <c r="O108" s="516"/>
      <c r="P108" s="516"/>
      <c r="Q108" s="522">
        <v>3.6804948601482192</v>
      </c>
      <c r="R108" s="523">
        <v>0.1989377692522079</v>
      </c>
      <c r="S108" s="523">
        <v>0.0311177236377162</v>
      </c>
      <c r="T108" s="523">
        <v>0.032657615770875954</v>
      </c>
      <c r="U108" s="523">
        <v>0.0979498861047836</v>
      </c>
      <c r="V108" s="524">
        <v>26742.20963172805</v>
      </c>
      <c r="W108" s="523">
        <v>0.026475</v>
      </c>
      <c r="X108" s="524">
        <v>44.75</v>
      </c>
      <c r="Y108" s="525">
        <v>114.5286219081272</v>
      </c>
      <c r="Z108" s="524">
        <v>134425</v>
      </c>
      <c r="AA108" s="524">
        <v>4183</v>
      </c>
      <c r="AB108" s="524">
        <v>708</v>
      </c>
      <c r="AC108" s="524">
        <v>4390</v>
      </c>
      <c r="AD108" s="524">
        <v>430</v>
      </c>
      <c r="AE108" s="524">
        <v>32</v>
      </c>
      <c r="AF108" s="524">
        <v>9</v>
      </c>
      <c r="AG108" s="524">
        <v>201</v>
      </c>
    </row>
    <row r="109">
      <c r="A109" s="518" t="s">
        <v>1091</v>
      </c>
      <c r="B109" s="518" t="s">
        <v>1043</v>
      </c>
      <c r="C109" s="518" t="s">
        <v>1092</v>
      </c>
      <c r="D109" s="518">
        <v>3</v>
      </c>
      <c r="E109" s="518">
        <v>7</v>
      </c>
      <c r="F109" s="518">
        <v>8</v>
      </c>
      <c r="G109" s="516">
        <v>14371.86</v>
      </c>
      <c r="H109" s="519">
        <v>8623.95</v>
      </c>
      <c r="I109" s="520">
        <f t="shared" si="0"/>
      </c>
      <c r="J109" s="520">
        <f t="shared" si="1"/>
      </c>
      <c r="K109" s="520">
        <f t="shared" si="2"/>
      </c>
      <c r="L109" s="526"/>
      <c r="M109" s="526"/>
      <c r="N109" s="516"/>
      <c r="O109" s="516"/>
      <c r="P109" s="516"/>
      <c r="Q109" s="519">
        <v>6.281099781500365</v>
      </c>
      <c r="R109" s="523">
        <v>0.23579732101905404</v>
      </c>
      <c r="S109" s="523">
        <v>0.021089981874596788</v>
      </c>
      <c r="T109" s="523">
        <v>0.022211299192037112</v>
      </c>
      <c r="U109" s="523">
        <v>0.13208852005532504</v>
      </c>
      <c r="V109" s="524">
        <v>15350.877192982456</v>
      </c>
      <c r="W109" s="523">
        <v>0.0228</v>
      </c>
      <c r="X109" s="524">
        <v>57</v>
      </c>
      <c r="Y109" s="525">
        <v>132.46828054437654</v>
      </c>
      <c r="Z109" s="524">
        <v>65102</v>
      </c>
      <c r="AA109" s="524">
        <v>1373</v>
      </c>
      <c r="AB109" s="524">
        <v>350</v>
      </c>
      <c r="AC109" s="524">
        <v>1446</v>
      </c>
      <c r="AD109" s="524">
        <v>191</v>
      </c>
      <c r="AE109" s="524">
        <v>16</v>
      </c>
      <c r="AF109" s="524">
        <v>6</v>
      </c>
      <c r="AG109" s="524">
        <v>79</v>
      </c>
    </row>
    <row r="110">
      <c r="A110" s="518" t="s">
        <v>1091</v>
      </c>
      <c r="B110" s="516" t="s">
        <v>1041</v>
      </c>
      <c r="C110" s="518" t="s">
        <v>1093</v>
      </c>
      <c r="D110" s="516">
        <v>4</v>
      </c>
      <c r="E110" s="518">
        <v>22</v>
      </c>
      <c r="F110" s="518">
        <v>24</v>
      </c>
      <c r="G110" s="516">
        <v>52003.78999999999</v>
      </c>
      <c r="H110" s="519">
        <v>14617.66</v>
      </c>
      <c r="I110" s="520">
        <f t="shared" si="0"/>
      </c>
      <c r="J110" s="520">
        <f t="shared" si="1"/>
      </c>
      <c r="K110" s="527">
        <f t="shared" si="2"/>
      </c>
      <c r="L110" s="528"/>
      <c r="M110" s="528"/>
      <c r="N110" s="529"/>
      <c r="O110" s="516"/>
      <c r="P110" s="516"/>
      <c r="Q110" s="519">
        <v>4.617075173720783</v>
      </c>
      <c r="R110" s="523">
        <v>0.23691674728990356</v>
      </c>
      <c r="S110" s="523">
        <v>0.028095271901178474</v>
      </c>
      <c r="T110" s="523">
        <v>0.029550617634530738</v>
      </c>
      <c r="U110" s="523">
        <v>0.1009009009009009</v>
      </c>
      <c r="V110" s="524">
        <v>26697.674418604653</v>
      </c>
      <c r="W110" s="523">
        <v>0.0215</v>
      </c>
      <c r="X110" s="524">
        <v>55.5</v>
      </c>
      <c r="Y110" s="525">
        <v>129.71798239386627</v>
      </c>
      <c r="Z110" s="524">
        <v>112688</v>
      </c>
      <c r="AA110" s="524">
        <v>3166</v>
      </c>
      <c r="AB110" s="524">
        <v>574</v>
      </c>
      <c r="AC110" s="524">
        <v>3330</v>
      </c>
      <c r="AD110" s="524">
        <v>336</v>
      </c>
      <c r="AE110" s="524">
        <v>25</v>
      </c>
      <c r="AF110" s="524">
        <v>4</v>
      </c>
      <c r="AG110" s="524">
        <v>144</v>
      </c>
    </row>
    <row r="111">
      <c r="A111" s="518" t="s">
        <v>1091</v>
      </c>
      <c r="B111" s="516" t="s">
        <v>1045</v>
      </c>
      <c r="C111" s="518" t="s">
        <v>1066</v>
      </c>
      <c r="D111" s="518">
        <v>5</v>
      </c>
      <c r="E111" s="518">
        <v>31</v>
      </c>
      <c r="F111" s="518">
        <v>35</v>
      </c>
      <c r="G111" s="516">
        <v>66938.69000000002</v>
      </c>
      <c r="H111" s="519">
        <v>20076.68</v>
      </c>
      <c r="I111" s="520">
        <f t="shared" si="0"/>
      </c>
      <c r="J111" s="520">
        <f t="shared" si="1"/>
      </c>
      <c r="K111" s="527">
        <f t="shared" si="2"/>
      </c>
      <c r="L111" s="528"/>
      <c r="M111" s="528"/>
      <c r="N111" s="529"/>
      <c r="O111" s="516"/>
      <c r="P111" s="516"/>
      <c r="Q111" s="519">
        <v>5.533781697905182</v>
      </c>
      <c r="R111" s="523">
        <v>0.2309331569841255</v>
      </c>
      <c r="S111" s="523">
        <v>0.020314914775908795</v>
      </c>
      <c r="T111" s="523">
        <v>0.021563598898022264</v>
      </c>
      <c r="U111" s="523">
        <v>0.1290573876915087</v>
      </c>
      <c r="V111" s="524">
        <v>41241.890639481004</v>
      </c>
      <c r="W111" s="523">
        <v>0.02158</v>
      </c>
      <c r="X111" s="524">
        <v>57</v>
      </c>
      <c r="Y111" s="525">
        <v>112.41830358142765</v>
      </c>
      <c r="Z111" s="524">
        <v>178588</v>
      </c>
      <c r="AA111" s="524">
        <v>3628</v>
      </c>
      <c r="AB111" s="524">
        <v>890</v>
      </c>
      <c r="AC111" s="524">
        <v>3851</v>
      </c>
      <c r="AD111" s="524">
        <v>497</v>
      </c>
      <c r="AE111" s="524">
        <v>39</v>
      </c>
      <c r="AF111" s="524">
        <v>17</v>
      </c>
      <c r="AG111" s="524">
        <v>212</v>
      </c>
    </row>
    <row r="112">
      <c r="A112" s="518" t="s">
        <v>1091</v>
      </c>
      <c r="B112" s="516" t="s">
        <v>1055</v>
      </c>
      <c r="C112" s="516" t="s">
        <v>1057</v>
      </c>
      <c r="D112" s="516">
        <v>4</v>
      </c>
      <c r="E112" s="518">
        <v>20</v>
      </c>
      <c r="F112" s="518">
        <v>20</v>
      </c>
      <c r="G112" s="516">
        <v>35658.659999999974</v>
      </c>
      <c r="H112" s="519">
        <v>14800.44</v>
      </c>
      <c r="I112" s="520">
        <f t="shared" si="0"/>
      </c>
      <c r="J112" s="520">
        <f t="shared" si="1"/>
      </c>
      <c r="K112" s="527">
        <f t="shared" si="2"/>
      </c>
      <c r="L112" s="516" t="s">
        <v>1040</v>
      </c>
      <c r="M112" s="530">
        <v>10</v>
      </c>
      <c r="N112" s="529"/>
      <c r="O112" s="516"/>
      <c r="P112" s="516"/>
      <c r="Q112" s="525">
        <v>4.397040998217469</v>
      </c>
      <c r="R112" s="523">
        <v>0.26334889826471175</v>
      </c>
      <c r="S112" s="523">
        <v>0.01849166062364032</v>
      </c>
      <c r="T112" s="523">
        <v>0.01954094974399543</v>
      </c>
      <c r="U112" s="523">
        <v>0.09221253865617093</v>
      </c>
      <c r="V112" s="524">
        <v>47936.87325332895</v>
      </c>
      <c r="W112" s="523">
        <v>0.0152075</v>
      </c>
      <c r="X112" s="524">
        <v>59</v>
      </c>
      <c r="Y112" s="525">
        <v>81.30858988727009</v>
      </c>
      <c r="Z112" s="524">
        <v>182028</v>
      </c>
      <c r="AA112" s="524">
        <v>3366</v>
      </c>
      <c r="AB112" s="524">
        <v>729</v>
      </c>
      <c r="AC112" s="524">
        <v>3557</v>
      </c>
      <c r="AD112" s="524">
        <v>328</v>
      </c>
      <c r="AE112" s="524">
        <v>39</v>
      </c>
      <c r="AF112" s="524">
        <v>8</v>
      </c>
      <c r="AG112" s="524">
        <v>212</v>
      </c>
    </row>
    <row r="113">
      <c r="A113" s="509" t="s">
        <v>1091</v>
      </c>
      <c r="B113" s="510" t="s">
        <v>1048</v>
      </c>
      <c r="C113" s="510"/>
      <c r="D113" s="510">
        <f>SUM(D108:D112)</f>
      </c>
      <c r="E113" s="510">
        <f>SUM(E108:E112)</f>
      </c>
      <c r="F113" s="510">
        <f>SUM(F108:F112)</f>
      </c>
      <c r="G113" s="510">
        <f>SUM(G108:G112)</f>
      </c>
      <c r="H113" s="510">
        <f>SUM(H108:H112)</f>
      </c>
      <c r="I113" s="511">
        <f t="shared" si="0"/>
      </c>
      <c r="J113" s="511">
        <f t="shared" si="1"/>
      </c>
      <c r="K113" s="511">
        <f t="shared" si="2"/>
      </c>
      <c r="L113" s="510"/>
      <c r="M113" s="512">
        <f>SUM(M108:M112)</f>
      </c>
      <c r="N113" s="510"/>
      <c r="O113" s="510"/>
      <c r="P113" s="510"/>
      <c r="Q113" s="513">
        <f>AVERAGE(Q108:Q112)</f>
      </c>
      <c r="R113" s="514">
        <f>AVERAGE(R108:R112)</f>
      </c>
      <c r="S113" s="514">
        <f>AVERAGE(S108:S112)</f>
      </c>
      <c r="T113" s="514">
        <f>AVERAGE(T108:T112)</f>
      </c>
      <c r="U113" s="514">
        <f>AVERAGE(U108:U112)</f>
      </c>
      <c r="V113" s="515">
        <f>SUM(V108:V112)</f>
      </c>
      <c r="W113" s="514">
        <f>AVERAGE(W108:W112)</f>
      </c>
      <c r="X113" s="515"/>
      <c r="Y113" s="513">
        <f>AVERAGE(Y108:Y112)</f>
      </c>
      <c r="Z113" s="515">
        <f>SUM(Z108:Z112)</f>
      </c>
      <c r="AA113" s="515">
        <f>SUM(AA108:AA112)</f>
      </c>
      <c r="AB113" s="515">
        <f>SUM(AB108:AB112)</f>
      </c>
      <c r="AC113" s="515">
        <f>SUM(AC108:AC112)</f>
      </c>
      <c r="AD113" s="515">
        <f>SUM(AD108:AD112)</f>
      </c>
      <c r="AE113" s="515">
        <f>SUM(AE108:AE112)</f>
      </c>
      <c r="AF113" s="515">
        <f>SUM(AF108:AF112)</f>
      </c>
      <c r="AG113" s="515">
        <f>SUM(AG108:AG112)</f>
      </c>
    </row>
    <row r="114">
      <c r="A114" s="518" t="s">
        <v>1094</v>
      </c>
      <c r="B114" s="516" t="s">
        <v>1041</v>
      </c>
      <c r="C114" s="518" t="s">
        <v>1039</v>
      </c>
      <c r="D114" s="518">
        <v>5</v>
      </c>
      <c r="E114" s="518">
        <v>16</v>
      </c>
      <c r="F114" s="518">
        <v>17</v>
      </c>
      <c r="G114" s="516">
        <v>37949.93999999999</v>
      </c>
      <c r="H114" s="519">
        <v>17580.079999999998</v>
      </c>
      <c r="I114" s="520">
        <f t="shared" si="0"/>
      </c>
      <c r="J114" s="520">
        <f t="shared" si="1"/>
      </c>
      <c r="K114" s="520">
        <f t="shared" si="2"/>
      </c>
      <c r="L114" s="518" t="s">
        <v>1047</v>
      </c>
      <c r="M114" s="521">
        <v>10</v>
      </c>
      <c r="N114" s="516"/>
      <c r="O114" s="516"/>
      <c r="P114" s="516"/>
      <c r="Q114" s="522">
        <v>3.445723245785966</v>
      </c>
      <c r="R114" s="523">
        <v>0.13030965999981314</v>
      </c>
      <c r="S114" s="523">
        <v>0.030481356904308136</v>
      </c>
      <c r="T114" s="523">
        <v>0.03276357531619479</v>
      </c>
      <c r="U114" s="523">
        <v>0.07549234135667396</v>
      </c>
      <c r="V114" s="524">
        <v>21811.361200428724</v>
      </c>
      <c r="W114" s="523">
        <v>0.03732</v>
      </c>
      <c r="X114" s="524">
        <v>35.8</v>
      </c>
      <c r="Y114" s="525">
        <v>105.0303200482731</v>
      </c>
      <c r="Z114" s="524">
        <v>167381</v>
      </c>
      <c r="AA114" s="524">
        <v>5102</v>
      </c>
      <c r="AB114" s="524">
        <v>814</v>
      </c>
      <c r="AC114" s="524">
        <v>5484</v>
      </c>
      <c r="AD114" s="524">
        <v>414</v>
      </c>
      <c r="AE114" s="524">
        <v>40</v>
      </c>
      <c r="AF114" s="524">
        <v>11</v>
      </c>
      <c r="AG114" s="524">
        <v>233</v>
      </c>
    </row>
    <row r="115">
      <c r="A115" s="518" t="s">
        <v>1094</v>
      </c>
      <c r="B115" s="516" t="s">
        <v>1045</v>
      </c>
      <c r="C115" s="518" t="s">
        <v>1042</v>
      </c>
      <c r="D115" s="518">
        <v>5</v>
      </c>
      <c r="E115" s="518">
        <v>29</v>
      </c>
      <c r="F115" s="518">
        <v>31</v>
      </c>
      <c r="G115" s="516">
        <v>58886.67</v>
      </c>
      <c r="H115" s="519">
        <v>19878.62</v>
      </c>
      <c r="I115" s="520">
        <f t="shared" si="0"/>
      </c>
      <c r="J115" s="520">
        <f t="shared" si="1"/>
      </c>
      <c r="K115" s="520">
        <f t="shared" si="2"/>
      </c>
      <c r="L115" s="526"/>
      <c r="M115" s="526"/>
      <c r="N115" s="516"/>
      <c r="O115" s="516"/>
      <c r="P115" s="516"/>
      <c r="Q115" s="519">
        <v>6.3307707006369425</v>
      </c>
      <c r="R115" s="523">
        <v>0.21662972181076537</v>
      </c>
      <c r="S115" s="523">
        <v>0.016622375623339087</v>
      </c>
      <c r="T115" s="523">
        <v>0.01724703814676393</v>
      </c>
      <c r="U115" s="523">
        <v>0.13321055862492326</v>
      </c>
      <c r="V115" s="524">
        <v>40921.7877094972</v>
      </c>
      <c r="W115" s="523">
        <v>0.021480000000000003</v>
      </c>
      <c r="X115" s="524">
        <v>49.4</v>
      </c>
      <c r="Y115" s="525">
        <v>105.23244857121682</v>
      </c>
      <c r="Z115" s="524">
        <v>188902</v>
      </c>
      <c r="AA115" s="524">
        <v>3140</v>
      </c>
      <c r="AB115" s="524">
        <v>879</v>
      </c>
      <c r="AC115" s="524">
        <v>3258</v>
      </c>
      <c r="AD115" s="524">
        <v>434</v>
      </c>
      <c r="AE115" s="524">
        <v>47</v>
      </c>
      <c r="AF115" s="524">
        <v>9</v>
      </c>
      <c r="AG115" s="524">
        <v>178</v>
      </c>
    </row>
    <row r="116">
      <c r="A116" s="518" t="s">
        <v>1094</v>
      </c>
      <c r="B116" s="516" t="s">
        <v>1038</v>
      </c>
      <c r="C116" s="518" t="s">
        <v>1088</v>
      </c>
      <c r="D116" s="518">
        <v>5</v>
      </c>
      <c r="E116" s="518">
        <v>19</v>
      </c>
      <c r="F116" s="518">
        <v>21</v>
      </c>
      <c r="G116" s="516">
        <v>42883.649999999994</v>
      </c>
      <c r="H116" s="519">
        <v>19552.95</v>
      </c>
      <c r="I116" s="520">
        <f t="shared" si="0"/>
      </c>
      <c r="J116" s="520">
        <f t="shared" si="1"/>
      </c>
      <c r="K116" s="527">
        <f t="shared" si="2"/>
      </c>
      <c r="L116" s="528"/>
      <c r="M116" s="528"/>
      <c r="N116" s="529"/>
      <c r="O116" s="516"/>
      <c r="P116" s="516"/>
      <c r="Q116" s="519">
        <v>4.765525225444796</v>
      </c>
      <c r="R116" s="523">
        <v>0.24766082869606654</v>
      </c>
      <c r="S116" s="523">
        <v>0.020274543909236456</v>
      </c>
      <c r="T116" s="523">
        <v>0.0214802443025715</v>
      </c>
      <c r="U116" s="523">
        <v>0.10950080515297907</v>
      </c>
      <c r="V116" s="524">
        <v>50119.61722488038</v>
      </c>
      <c r="W116" s="523">
        <v>0.016720000000000002</v>
      </c>
      <c r="X116" s="524">
        <v>53.6</v>
      </c>
      <c r="Y116" s="525">
        <v>96.61885043385449</v>
      </c>
      <c r="Z116" s="524">
        <v>202372</v>
      </c>
      <c r="AA116" s="524">
        <v>4103</v>
      </c>
      <c r="AB116" s="524">
        <v>838</v>
      </c>
      <c r="AC116" s="524">
        <v>4347</v>
      </c>
      <c r="AD116" s="524">
        <v>476</v>
      </c>
      <c r="AE116" s="524">
        <v>40</v>
      </c>
      <c r="AF116" s="524">
        <v>3</v>
      </c>
      <c r="AG116" s="524">
        <v>200</v>
      </c>
    </row>
    <row r="117">
      <c r="A117" s="518" t="s">
        <v>1094</v>
      </c>
      <c r="B117" s="516" t="s">
        <v>1055</v>
      </c>
      <c r="C117" s="518" t="s">
        <v>1082</v>
      </c>
      <c r="D117" s="518">
        <v>5</v>
      </c>
      <c r="E117" s="518">
        <v>21</v>
      </c>
      <c r="F117" s="518">
        <v>26</v>
      </c>
      <c r="G117" s="516">
        <v>50329.289999999964</v>
      </c>
      <c r="H117" s="519">
        <v>18115.07</v>
      </c>
      <c r="I117" s="520">
        <f t="shared" si="0"/>
      </c>
      <c r="J117" s="520">
        <f t="shared" si="1"/>
      </c>
      <c r="K117" s="527">
        <f t="shared" si="2"/>
      </c>
      <c r="L117" s="518" t="s">
        <v>1040</v>
      </c>
      <c r="M117" s="518">
        <v>10</v>
      </c>
      <c r="N117" s="529"/>
      <c r="O117" s="516"/>
      <c r="P117" s="516"/>
      <c r="Q117" s="519">
        <v>3.884020154373928</v>
      </c>
      <c r="R117" s="523">
        <v>0.22940942940346698</v>
      </c>
      <c r="S117" s="523">
        <v>0.0228607279749826</v>
      </c>
      <c r="T117" s="523">
        <v>0.023997882539775903</v>
      </c>
      <c r="U117" s="523">
        <v>0.09354575163398693</v>
      </c>
      <c r="V117" s="524">
        <v>46803.65296803653</v>
      </c>
      <c r="W117" s="523">
        <v>0.01752</v>
      </c>
      <c r="X117" s="524">
        <v>53.8</v>
      </c>
      <c r="Y117" s="525">
        <v>88.79152819849229</v>
      </c>
      <c r="Z117" s="524">
        <v>204018</v>
      </c>
      <c r="AA117" s="524">
        <v>4664</v>
      </c>
      <c r="AB117" s="524">
        <v>820</v>
      </c>
      <c r="AC117" s="524">
        <v>4896</v>
      </c>
      <c r="AD117" s="524">
        <v>458</v>
      </c>
      <c r="AE117" s="524">
        <v>36</v>
      </c>
      <c r="AF117" s="524">
        <v>8</v>
      </c>
      <c r="AG117" s="524">
        <v>190</v>
      </c>
    </row>
    <row r="118">
      <c r="A118" s="509" t="s">
        <v>1094</v>
      </c>
      <c r="B118" s="510" t="s">
        <v>1048</v>
      </c>
      <c r="C118" s="510"/>
      <c r="D118" s="510">
        <f>SUM(D114:D117)</f>
      </c>
      <c r="E118" s="510">
        <f>SUM(E114:E117)</f>
      </c>
      <c r="F118" s="510">
        <f>SUM(F114:F117)</f>
      </c>
      <c r="G118" s="510">
        <f>SUM(G114:G117)</f>
      </c>
      <c r="H118" s="510">
        <f>SUM(H114:H117)</f>
      </c>
      <c r="I118" s="511">
        <f t="shared" si="0"/>
      </c>
      <c r="J118" s="511">
        <f t="shared" si="1"/>
      </c>
      <c r="K118" s="511">
        <f t="shared" si="2"/>
      </c>
      <c r="L118" s="510"/>
      <c r="M118" s="512">
        <f>SUM(M114:M117)</f>
      </c>
      <c r="N118" s="510"/>
      <c r="O118" s="510"/>
      <c r="P118" s="510"/>
      <c r="Q118" s="513">
        <f>AVERAGE(Q114:Q117)</f>
      </c>
      <c r="R118" s="514">
        <f>AVERAGE(R114:R117)</f>
      </c>
      <c r="S118" s="514">
        <f>AVERAGE(S114:S117)</f>
      </c>
      <c r="T118" s="514">
        <f>AVERAGE(T114:T117)</f>
      </c>
      <c r="U118" s="514">
        <f>AVERAGE(U114:U117)</f>
      </c>
      <c r="V118" s="515">
        <f>SUM(V114:V117)</f>
      </c>
      <c r="W118" s="514">
        <f>AVERAGE(W114:W117)</f>
      </c>
      <c r="X118" s="515"/>
      <c r="Y118" s="513">
        <f>AVERAGE(Y114:Y117)</f>
      </c>
      <c r="Z118" s="515">
        <f>SUM(Z114:Z117)</f>
      </c>
      <c r="AA118" s="515">
        <f>SUM(AA114:AA117)</f>
      </c>
      <c r="AB118" s="515">
        <f>SUM(AB114:AB117)</f>
      </c>
      <c r="AC118" s="515">
        <f>SUM(AC114:AC117)</f>
      </c>
      <c r="AD118" s="515">
        <f>SUM(AD114:AD117)</f>
      </c>
      <c r="AE118" s="515">
        <f>SUM(AE114:AE117)</f>
      </c>
      <c r="AF118" s="515">
        <f>SUM(AF114:AF117)</f>
      </c>
      <c r="AG118" s="515">
        <f>SUM(AG114:AG117)</f>
      </c>
    </row>
    <row r="119">
      <c r="A119" s="518" t="s">
        <v>1095</v>
      </c>
      <c r="B119" s="516" t="s">
        <v>1041</v>
      </c>
      <c r="C119" s="516" t="s">
        <v>1063</v>
      </c>
      <c r="D119" s="516">
        <v>4</v>
      </c>
      <c r="E119" s="518">
        <v>10</v>
      </c>
      <c r="F119" s="518">
        <v>13</v>
      </c>
      <c r="G119" s="516">
        <v>30791.5</v>
      </c>
      <c r="H119" s="519">
        <v>14341.48</v>
      </c>
      <c r="I119" s="520">
        <f t="shared" si="0"/>
      </c>
      <c r="J119" s="520">
        <f t="shared" si="1"/>
      </c>
      <c r="K119" s="520">
        <f t="shared" si="2"/>
      </c>
      <c r="L119" s="518" t="s">
        <v>1047</v>
      </c>
      <c r="M119" s="521">
        <v>10</v>
      </c>
      <c r="N119" s="516"/>
      <c r="O119" s="516"/>
      <c r="P119" s="516"/>
      <c r="Q119" s="522">
        <v>3.2984084636614535</v>
      </c>
      <c r="R119" s="523">
        <v>0.21229009534950036</v>
      </c>
      <c r="S119" s="523">
        <v>0.027558056992191462</v>
      </c>
      <c r="T119" s="523">
        <v>0.02973202514957915</v>
      </c>
      <c r="U119" s="523">
        <v>0.06608399062033682</v>
      </c>
      <c r="V119" s="524">
        <v>33494.28208386277</v>
      </c>
      <c r="W119" s="523">
        <v>0.019675</v>
      </c>
      <c r="X119" s="524">
        <v>31.25</v>
      </c>
      <c r="Y119" s="525">
        <v>90.89772842510901</v>
      </c>
      <c r="Z119" s="524">
        <v>157776</v>
      </c>
      <c r="AA119" s="524">
        <v>4348</v>
      </c>
      <c r="AB119" s="524">
        <v>659</v>
      </c>
      <c r="AC119" s="524">
        <v>4691</v>
      </c>
      <c r="AD119" s="524">
        <v>310</v>
      </c>
      <c r="AE119" s="524">
        <v>39</v>
      </c>
      <c r="AF119" s="524">
        <v>6</v>
      </c>
      <c r="AG119" s="524">
        <v>165</v>
      </c>
    </row>
    <row r="120">
      <c r="A120" s="518" t="s">
        <v>1095</v>
      </c>
      <c r="B120" s="518" t="s">
        <v>1051</v>
      </c>
      <c r="C120" s="518" t="s">
        <v>1064</v>
      </c>
      <c r="D120" s="518">
        <v>4</v>
      </c>
      <c r="E120" s="518">
        <v>7</v>
      </c>
      <c r="F120" s="518">
        <v>15</v>
      </c>
      <c r="G120" s="516">
        <v>33351.28</v>
      </c>
      <c r="H120" s="519">
        <v>13303.34</v>
      </c>
      <c r="I120" s="520">
        <f t="shared" si="0"/>
      </c>
      <c r="J120" s="520">
        <f t="shared" si="1"/>
      </c>
      <c r="K120" s="520">
        <f t="shared" si="2"/>
      </c>
      <c r="L120" s="526"/>
      <c r="M120" s="526"/>
      <c r="N120" s="516"/>
      <c r="O120" s="516"/>
      <c r="P120" s="516"/>
      <c r="Q120" s="519">
        <v>6.284052905054322</v>
      </c>
      <c r="R120" s="523">
        <v>0.18544077510903972</v>
      </c>
      <c r="S120" s="523">
        <v>0.0170694145440765</v>
      </c>
      <c r="T120" s="523">
        <v>0.018456254081904162</v>
      </c>
      <c r="U120" s="523">
        <v>0.12669287898645698</v>
      </c>
      <c r="V120" s="524">
        <v>22998.921251348434</v>
      </c>
      <c r="W120" s="523">
        <v>0.023175</v>
      </c>
      <c r="X120" s="524">
        <v>43.25</v>
      </c>
      <c r="Y120" s="525">
        <v>107.26510405328044</v>
      </c>
      <c r="Z120" s="524">
        <v>124023</v>
      </c>
      <c r="AA120" s="524">
        <v>2117</v>
      </c>
      <c r="AB120" s="524">
        <v>533</v>
      </c>
      <c r="AC120" s="524">
        <v>2289</v>
      </c>
      <c r="AD120" s="524">
        <v>290</v>
      </c>
      <c r="AE120" s="524">
        <v>19</v>
      </c>
      <c r="AF120" s="524">
        <v>11</v>
      </c>
      <c r="AG120" s="524">
        <v>126</v>
      </c>
    </row>
    <row r="121">
      <c r="A121" s="518" t="s">
        <v>1095</v>
      </c>
      <c r="B121" s="516" t="s">
        <v>1045</v>
      </c>
      <c r="C121" s="518" t="s">
        <v>1054</v>
      </c>
      <c r="D121" s="516">
        <v>4</v>
      </c>
      <c r="E121" s="518">
        <v>20</v>
      </c>
      <c r="F121" s="518">
        <v>22</v>
      </c>
      <c r="G121" s="516">
        <v>47975.979999999996</v>
      </c>
      <c r="H121" s="519">
        <v>16277.689999999999</v>
      </c>
      <c r="I121" s="520">
        <f t="shared" si="0"/>
      </c>
      <c r="J121" s="520">
        <f t="shared" si="1"/>
      </c>
      <c r="K121" s="527">
        <f t="shared" si="2"/>
      </c>
      <c r="L121" s="528"/>
      <c r="M121" s="528"/>
      <c r="N121" s="529"/>
      <c r="O121" s="516"/>
      <c r="P121" s="516"/>
      <c r="Q121" s="519">
        <v>7.5710186046511625</v>
      </c>
      <c r="R121" s="523">
        <v>0.19384331478714342</v>
      </c>
      <c r="S121" s="523">
        <v>0.017742201683446115</v>
      </c>
      <c r="T121" s="523">
        <v>0.018484898498101997</v>
      </c>
      <c r="U121" s="523">
        <v>0.14910714285714285</v>
      </c>
      <c r="V121" s="524">
        <v>23489.93288590604</v>
      </c>
      <c r="W121" s="523">
        <v>0.02235</v>
      </c>
      <c r="X121" s="524">
        <v>50.75</v>
      </c>
      <c r="Y121" s="525">
        <v>134.3265390328437</v>
      </c>
      <c r="Z121" s="524">
        <v>121180</v>
      </c>
      <c r="AA121" s="524">
        <v>2150</v>
      </c>
      <c r="AB121" s="524">
        <v>525</v>
      </c>
      <c r="AC121" s="524">
        <v>2240</v>
      </c>
      <c r="AD121" s="524">
        <v>334</v>
      </c>
      <c r="AE121" s="524">
        <v>25</v>
      </c>
      <c r="AF121" s="524">
        <v>4</v>
      </c>
      <c r="AG121" s="524">
        <v>110</v>
      </c>
    </row>
    <row r="122">
      <c r="A122" s="518" t="s">
        <v>1095</v>
      </c>
      <c r="B122" s="516" t="s">
        <v>1038</v>
      </c>
      <c r="C122" s="518" t="s">
        <v>1056</v>
      </c>
      <c r="D122" s="518">
        <v>4</v>
      </c>
      <c r="E122" s="518">
        <v>10</v>
      </c>
      <c r="F122" s="518">
        <v>13</v>
      </c>
      <c r="G122" s="516">
        <v>27985.13000000002</v>
      </c>
      <c r="H122" s="519">
        <v>14405.46</v>
      </c>
      <c r="I122" s="520">
        <f t="shared" si="0"/>
      </c>
      <c r="J122" s="520">
        <f t="shared" si="1"/>
      </c>
      <c r="K122" s="527">
        <f t="shared" si="2"/>
      </c>
      <c r="L122" s="528"/>
      <c r="M122" s="528"/>
      <c r="N122" s="529"/>
      <c r="O122" s="516"/>
      <c r="P122" s="516"/>
      <c r="Q122" s="519">
        <v>7.279161192521475</v>
      </c>
      <c r="R122" s="523">
        <v>0.26714307564001405</v>
      </c>
      <c r="S122" s="523">
        <v>0.017357821983650844</v>
      </c>
      <c r="T122" s="523">
        <v>0.018024418482265023</v>
      </c>
      <c r="U122" s="523">
        <v>0.17907542579075425</v>
      </c>
      <c r="V122" s="524">
        <v>30457.516339869282</v>
      </c>
      <c r="W122" s="523">
        <v>0.0153</v>
      </c>
      <c r="X122" s="524">
        <v>56.5</v>
      </c>
      <c r="Y122" s="525">
        <v>126.35038417008734</v>
      </c>
      <c r="Z122" s="524">
        <v>114012</v>
      </c>
      <c r="AA122" s="524">
        <v>1979</v>
      </c>
      <c r="AB122" s="524">
        <v>466</v>
      </c>
      <c r="AC122" s="524">
        <v>2055</v>
      </c>
      <c r="AD122" s="524">
        <v>368</v>
      </c>
      <c r="AE122" s="524">
        <v>16</v>
      </c>
      <c r="AF122" s="524">
        <v>9</v>
      </c>
      <c r="AG122" s="524">
        <v>87</v>
      </c>
    </row>
    <row r="123">
      <c r="A123" s="518" t="s">
        <v>1095</v>
      </c>
      <c r="B123" s="516" t="s">
        <v>1055</v>
      </c>
      <c r="C123" s="516" t="s">
        <v>1057</v>
      </c>
      <c r="D123" s="516">
        <v>4</v>
      </c>
      <c r="E123" s="518">
        <v>10</v>
      </c>
      <c r="F123" s="518">
        <v>11</v>
      </c>
      <c r="G123" s="516">
        <v>18550.709999999992</v>
      </c>
      <c r="H123" s="519">
        <v>10056.609999999999</v>
      </c>
      <c r="I123" s="520">
        <f t="shared" si="0"/>
      </c>
      <c r="J123" s="520">
        <f t="shared" si="1"/>
      </c>
      <c r="K123" s="527">
        <f t="shared" si="2"/>
      </c>
      <c r="L123" s="516" t="s">
        <v>1040</v>
      </c>
      <c r="M123" s="530">
        <v>10</v>
      </c>
      <c r="N123" s="529"/>
      <c r="O123" s="516"/>
      <c r="P123" s="516"/>
      <c r="Q123" s="525">
        <v>3.558602264685067</v>
      </c>
      <c r="R123" s="523">
        <v>0.281634373093119</v>
      </c>
      <c r="S123" s="523">
        <v>0.028946317180346005</v>
      </c>
      <c r="T123" s="523">
        <v>0.030749060217763163</v>
      </c>
      <c r="U123" s="523">
        <v>0.07994670219853431</v>
      </c>
      <c r="V123" s="524">
        <v>27495.682210708117</v>
      </c>
      <c r="W123" s="523">
        <v>0.014475</v>
      </c>
      <c r="X123" s="524">
        <v>59.25</v>
      </c>
      <c r="Y123" s="525">
        <v>103.00842987227155</v>
      </c>
      <c r="Z123" s="524">
        <v>97629</v>
      </c>
      <c r="AA123" s="524">
        <v>2826</v>
      </c>
      <c r="AB123" s="524">
        <v>398</v>
      </c>
      <c r="AC123" s="524">
        <v>3002</v>
      </c>
      <c r="AD123" s="524">
        <v>240</v>
      </c>
      <c r="AE123" s="524">
        <v>16</v>
      </c>
      <c r="AF123" s="524">
        <v>5</v>
      </c>
      <c r="AG123" s="524">
        <v>85</v>
      </c>
    </row>
    <row r="124">
      <c r="A124" s="509" t="s">
        <v>1095</v>
      </c>
      <c r="B124" s="510" t="s">
        <v>1048</v>
      </c>
      <c r="C124" s="510"/>
      <c r="D124" s="510">
        <f>SUM(D119:D123)</f>
      </c>
      <c r="E124" s="510">
        <f>SUM(E119:E123)</f>
      </c>
      <c r="F124" s="510">
        <f>SUM(F119:F123)</f>
      </c>
      <c r="G124" s="510">
        <f>SUM(G119:G123)</f>
      </c>
      <c r="H124" s="510">
        <f>SUM(H119:H123)</f>
      </c>
      <c r="I124" s="511">
        <f t="shared" si="0"/>
      </c>
      <c r="J124" s="511">
        <f t="shared" si="1"/>
      </c>
      <c r="K124" s="511">
        <f t="shared" si="2"/>
      </c>
      <c r="L124" s="510"/>
      <c r="M124" s="512">
        <f>SUM(M119:M123)</f>
      </c>
      <c r="N124" s="510"/>
      <c r="O124" s="510"/>
      <c r="P124" s="510"/>
      <c r="Q124" s="513">
        <f>AVERAGE(Q119:Q123)</f>
      </c>
      <c r="R124" s="514">
        <f>AVERAGE(R119:R123)</f>
      </c>
      <c r="S124" s="514">
        <f>AVERAGE(S119:S123)</f>
      </c>
      <c r="T124" s="514">
        <f>AVERAGE(T119:T123)</f>
      </c>
      <c r="U124" s="514">
        <f>AVERAGE(U119:U123)</f>
      </c>
      <c r="V124" s="515">
        <f>SUM(V119:V123)</f>
      </c>
      <c r="W124" s="514">
        <f>AVERAGE(W119:W123)</f>
      </c>
      <c r="X124" s="515"/>
      <c r="Y124" s="513">
        <f>AVERAGE(Y119:Y123)</f>
      </c>
      <c r="Z124" s="515">
        <f>SUM(Z119:Z123)</f>
      </c>
      <c r="AA124" s="515">
        <f>SUM(AA119:AA123)</f>
      </c>
      <c r="AB124" s="515">
        <f>SUM(AB119:AB123)</f>
      </c>
      <c r="AC124" s="515">
        <f>SUM(AC119:AC123)</f>
      </c>
      <c r="AD124" s="515">
        <f>SUM(AD119:AD123)</f>
      </c>
      <c r="AE124" s="515">
        <f>SUM(AE119:AE123)</f>
      </c>
      <c r="AF124" s="515">
        <f>SUM(AF119:AF123)</f>
      </c>
      <c r="AG124" s="515">
        <f>SUM(AG119:AG123)</f>
      </c>
    </row>
    <row r="125">
      <c r="A125" s="518" t="s">
        <v>1096</v>
      </c>
      <c r="B125" s="516" t="s">
        <v>1045</v>
      </c>
      <c r="C125" s="518" t="s">
        <v>1039</v>
      </c>
      <c r="D125" s="518">
        <v>5</v>
      </c>
      <c r="E125" s="518">
        <v>21</v>
      </c>
      <c r="F125" s="518">
        <v>28</v>
      </c>
      <c r="G125" s="516">
        <v>57247.159999999996</v>
      </c>
      <c r="H125" s="519">
        <v>17491.010000000002</v>
      </c>
      <c r="I125" s="520">
        <f t="shared" si="0"/>
      </c>
      <c r="J125" s="520">
        <f t="shared" si="1"/>
      </c>
      <c r="K125" s="520">
        <f t="shared" si="2"/>
      </c>
      <c r="L125" s="518" t="s">
        <v>1047</v>
      </c>
      <c r="M125" s="521">
        <v>10</v>
      </c>
      <c r="N125" s="516"/>
      <c r="O125" s="516"/>
      <c r="P125" s="516"/>
      <c r="Q125" s="522">
        <v>3.884301576726627</v>
      </c>
      <c r="R125" s="523">
        <v>0.10963154550452725</v>
      </c>
      <c r="S125" s="523">
        <v>0.030243397899148376</v>
      </c>
      <c r="T125" s="523">
        <v>0.03236574161136931</v>
      </c>
      <c r="U125" s="523">
        <v>0.07449678356505499</v>
      </c>
      <c r="V125" s="524">
        <v>16323.260073260071</v>
      </c>
      <c r="W125" s="523">
        <v>0.043680000000000004</v>
      </c>
      <c r="X125" s="524">
        <v>32.8</v>
      </c>
      <c r="Y125" s="525">
        <v>117.47447814523281</v>
      </c>
      <c r="Z125" s="524">
        <v>148892</v>
      </c>
      <c r="AA125" s="524">
        <v>4503</v>
      </c>
      <c r="AB125" s="524">
        <v>713</v>
      </c>
      <c r="AC125" s="524">
        <v>4819</v>
      </c>
      <c r="AD125" s="524">
        <v>359</v>
      </c>
      <c r="AE125" s="524">
        <v>36</v>
      </c>
      <c r="AF125" s="524">
        <v>8</v>
      </c>
      <c r="AG125" s="524">
        <v>178</v>
      </c>
    </row>
    <row r="126">
      <c r="A126" s="518" t="s">
        <v>1096</v>
      </c>
      <c r="B126" s="516" t="s">
        <v>1041</v>
      </c>
      <c r="C126" s="518" t="s">
        <v>1042</v>
      </c>
      <c r="D126" s="518">
        <v>5</v>
      </c>
      <c r="E126" s="518">
        <v>18</v>
      </c>
      <c r="F126" s="518">
        <v>19</v>
      </c>
      <c r="G126" s="516">
        <v>37831.62</v>
      </c>
      <c r="H126" s="519">
        <v>19296.34</v>
      </c>
      <c r="I126" s="520">
        <f t="shared" si="0"/>
      </c>
      <c r="J126" s="520">
        <f t="shared" si="1"/>
      </c>
      <c r="K126" s="520">
        <f t="shared" si="2"/>
      </c>
      <c r="L126" s="526"/>
      <c r="M126" s="526"/>
      <c r="N126" s="516"/>
      <c r="O126" s="516"/>
      <c r="P126" s="516"/>
      <c r="Q126" s="519">
        <v>6.486164705882353</v>
      </c>
      <c r="R126" s="523">
        <v>0.1839108902581898</v>
      </c>
      <c r="S126" s="523">
        <v>0.018347209374036385</v>
      </c>
      <c r="T126" s="523">
        <v>0.019284613012642615</v>
      </c>
      <c r="U126" s="523">
        <v>0.12440038375439719</v>
      </c>
      <c r="V126" s="524">
        <v>29821.150855365475</v>
      </c>
      <c r="W126" s="523">
        <v>0.02572</v>
      </c>
      <c r="X126" s="524">
        <v>45.2</v>
      </c>
      <c r="Y126" s="525">
        <v>119.00302189330867</v>
      </c>
      <c r="Z126" s="524">
        <v>162150</v>
      </c>
      <c r="AA126" s="524">
        <v>2975</v>
      </c>
      <c r="AB126" s="524">
        <v>767</v>
      </c>
      <c r="AC126" s="524">
        <v>3127</v>
      </c>
      <c r="AD126" s="524">
        <v>389</v>
      </c>
      <c r="AE126" s="524">
        <v>31</v>
      </c>
      <c r="AF126" s="524">
        <v>6</v>
      </c>
      <c r="AG126" s="524">
        <v>180</v>
      </c>
    </row>
    <row r="127">
      <c r="A127" s="518" t="s">
        <v>1096</v>
      </c>
      <c r="B127" s="516" t="s">
        <v>1055</v>
      </c>
      <c r="C127" s="518" t="s">
        <v>1088</v>
      </c>
      <c r="D127" s="518">
        <v>5</v>
      </c>
      <c r="E127" s="518">
        <v>27</v>
      </c>
      <c r="F127" s="518">
        <v>28</v>
      </c>
      <c r="G127" s="516">
        <v>49001.859999999986</v>
      </c>
      <c r="H127" s="519">
        <v>19186.56</v>
      </c>
      <c r="I127" s="520">
        <f t="shared" si="0"/>
      </c>
      <c r="J127" s="520">
        <f t="shared" si="1"/>
      </c>
      <c r="K127" s="527">
        <f t="shared" si="2"/>
      </c>
      <c r="L127" s="528"/>
      <c r="M127" s="528"/>
      <c r="N127" s="529"/>
      <c r="O127" s="516"/>
      <c r="P127" s="516"/>
      <c r="Q127" s="519">
        <v>6.406196994991653</v>
      </c>
      <c r="R127" s="523">
        <v>0.17248037944407713</v>
      </c>
      <c r="S127" s="523">
        <v>0.017508374205692706</v>
      </c>
      <c r="T127" s="523">
        <v>0.018648318436113434</v>
      </c>
      <c r="U127" s="523">
        <v>0.11253918495297806</v>
      </c>
      <c r="V127" s="524">
        <v>29504.666188083276</v>
      </c>
      <c r="W127" s="523">
        <v>0.027859999999999996</v>
      </c>
      <c r="X127" s="524">
        <v>52</v>
      </c>
      <c r="Y127" s="525">
        <v>112.16209422369798</v>
      </c>
      <c r="Z127" s="524">
        <v>171061</v>
      </c>
      <c r="AA127" s="524">
        <v>2995</v>
      </c>
      <c r="AB127" s="524">
        <v>822</v>
      </c>
      <c r="AC127" s="524">
        <v>3190</v>
      </c>
      <c r="AD127" s="524">
        <v>359</v>
      </c>
      <c r="AE127" s="524">
        <v>47</v>
      </c>
      <c r="AF127" s="524">
        <v>5</v>
      </c>
      <c r="AG127" s="524">
        <v>197</v>
      </c>
    </row>
    <row r="128">
      <c r="A128" s="518" t="s">
        <v>1096</v>
      </c>
      <c r="B128" s="516" t="s">
        <v>1038</v>
      </c>
      <c r="C128" s="518" t="s">
        <v>1082</v>
      </c>
      <c r="D128" s="518">
        <v>5</v>
      </c>
      <c r="E128" s="518">
        <v>16</v>
      </c>
      <c r="F128" s="518">
        <v>23</v>
      </c>
      <c r="G128" s="516">
        <v>50087.72</v>
      </c>
      <c r="H128" s="519">
        <v>15153.369999999999</v>
      </c>
      <c r="I128" s="520">
        <f t="shared" si="0"/>
      </c>
      <c r="J128" s="520">
        <f t="shared" si="1"/>
      </c>
      <c r="K128" s="527">
        <f t="shared" si="2"/>
      </c>
      <c r="L128" s="518" t="s">
        <v>1040</v>
      </c>
      <c r="M128" s="518">
        <v>10</v>
      </c>
      <c r="N128" s="529"/>
      <c r="O128" s="516"/>
      <c r="P128" s="516"/>
      <c r="Q128" s="519">
        <v>4.708940335612181</v>
      </c>
      <c r="R128" s="523">
        <v>0.2252861363989971</v>
      </c>
      <c r="S128" s="523">
        <v>0.02094847508381343</v>
      </c>
      <c r="T128" s="523">
        <v>0.02228298017771702</v>
      </c>
      <c r="U128" s="523">
        <v>0.11568799298860649</v>
      </c>
      <c r="V128" s="524">
        <v>34607.32984293194</v>
      </c>
      <c r="W128" s="523">
        <v>0.0191</v>
      </c>
      <c r="X128" s="524">
        <v>58</v>
      </c>
      <c r="Y128" s="525">
        <v>98.64511929173584</v>
      </c>
      <c r="Z128" s="524">
        <v>153615</v>
      </c>
      <c r="AA128" s="524">
        <v>3218</v>
      </c>
      <c r="AB128" s="524">
        <v>661</v>
      </c>
      <c r="AC128" s="524">
        <v>3423</v>
      </c>
      <c r="AD128" s="524">
        <v>396</v>
      </c>
      <c r="AE128" s="524">
        <v>56</v>
      </c>
      <c r="AF128" s="524">
        <v>13</v>
      </c>
      <c r="AG128" s="524">
        <v>166</v>
      </c>
    </row>
    <row r="129">
      <c r="A129" s="509" t="s">
        <v>1096</v>
      </c>
      <c r="B129" s="510" t="s">
        <v>1048</v>
      </c>
      <c r="C129" s="510"/>
      <c r="D129" s="510">
        <f>SUM(D125:D128)</f>
      </c>
      <c r="E129" s="510">
        <f>SUM(E125:E128)</f>
      </c>
      <c r="F129" s="510">
        <f>SUM(F125:F128)</f>
      </c>
      <c r="G129" s="510">
        <f>SUM(G125:G128)</f>
      </c>
      <c r="H129" s="510">
        <f>SUM(H125:H128)</f>
      </c>
      <c r="I129" s="511">
        <f t="shared" si="0"/>
      </c>
      <c r="J129" s="511">
        <f t="shared" si="1"/>
      </c>
      <c r="K129" s="511">
        <f t="shared" si="2"/>
      </c>
      <c r="L129" s="510"/>
      <c r="M129" s="512">
        <f>SUM(M125:M128)</f>
      </c>
      <c r="N129" s="510"/>
      <c r="O129" s="510"/>
      <c r="P129" s="510"/>
      <c r="Q129" s="513">
        <f>AVERAGE(Q125:Q128)</f>
      </c>
      <c r="R129" s="514">
        <f>AVERAGE(R125:R128)</f>
      </c>
      <c r="S129" s="514">
        <f>AVERAGE(S125:S128)</f>
      </c>
      <c r="T129" s="514">
        <f>AVERAGE(T125:T128)</f>
      </c>
      <c r="U129" s="514">
        <f>AVERAGE(U125:U128)</f>
      </c>
      <c r="V129" s="515">
        <f>SUM(V125:V128)</f>
      </c>
      <c r="W129" s="514">
        <f>AVERAGE(W125:W128)</f>
      </c>
      <c r="X129" s="515"/>
      <c r="Y129" s="513">
        <f>AVERAGE(Y125:Y128)</f>
      </c>
      <c r="Z129" s="515">
        <f>SUM(Z125:Z128)</f>
      </c>
      <c r="AA129" s="515">
        <f>SUM(AA125:AA128)</f>
      </c>
      <c r="AB129" s="515">
        <f>SUM(AB125:AB128)</f>
      </c>
      <c r="AC129" s="515">
        <f>SUM(AC125:AC128)</f>
      </c>
      <c r="AD129" s="515">
        <f>SUM(AD125:AD128)</f>
      </c>
      <c r="AE129" s="515">
        <f>SUM(AE125:AE128)</f>
      </c>
      <c r="AF129" s="515">
        <f>SUM(AF125:AF128)</f>
      </c>
      <c r="AG129" s="515">
        <f>SUM(AG125:AG128)</f>
      </c>
    </row>
    <row r="130">
      <c r="A130" s="518" t="s">
        <v>1097</v>
      </c>
      <c r="B130" s="516" t="s">
        <v>1045</v>
      </c>
      <c r="C130" s="516" t="s">
        <v>1063</v>
      </c>
      <c r="D130" s="516">
        <v>4</v>
      </c>
      <c r="E130" s="518">
        <v>11</v>
      </c>
      <c r="F130" s="518">
        <v>14</v>
      </c>
      <c r="G130" s="516">
        <v>30528.579999999998</v>
      </c>
      <c r="H130" s="519">
        <v>15052.86</v>
      </c>
      <c r="I130" s="520">
        <f t="shared" si="0"/>
      </c>
      <c r="J130" s="520">
        <f t="shared" si="1"/>
      </c>
      <c r="K130" s="520">
        <f t="shared" si="2"/>
      </c>
      <c r="L130" s="518" t="s">
        <v>1098</v>
      </c>
      <c r="M130" s="521">
        <v>10</v>
      </c>
      <c r="N130" s="516"/>
      <c r="O130" s="516"/>
      <c r="P130" s="516"/>
      <c r="Q130" s="522">
        <v>3.8021874210659257</v>
      </c>
      <c r="R130" s="523">
        <v>0.22522801345964943</v>
      </c>
      <c r="S130" s="523">
        <v>0.033765170446307495</v>
      </c>
      <c r="T130" s="523">
        <v>0.03547944153994422</v>
      </c>
      <c r="U130" s="523">
        <v>0.06682692307692308</v>
      </c>
      <c r="V130" s="524">
        <v>26408.209806157356</v>
      </c>
      <c r="W130" s="523">
        <v>0.021925</v>
      </c>
      <c r="X130" s="524">
        <v>36.5</v>
      </c>
      <c r="Y130" s="525">
        <v>128.3815063410973</v>
      </c>
      <c r="Z130" s="524">
        <v>117251</v>
      </c>
      <c r="AA130" s="524">
        <v>3959</v>
      </c>
      <c r="AB130" s="524">
        <v>579</v>
      </c>
      <c r="AC130" s="524">
        <v>4160</v>
      </c>
      <c r="AD130" s="524">
        <v>278</v>
      </c>
      <c r="AE130" s="524">
        <v>33</v>
      </c>
      <c r="AF130" s="524">
        <v>9</v>
      </c>
      <c r="AG130" s="524">
        <v>143</v>
      </c>
    </row>
    <row r="131">
      <c r="A131" s="518" t="s">
        <v>1097</v>
      </c>
      <c r="B131" s="518" t="s">
        <v>1051</v>
      </c>
      <c r="C131" s="518" t="s">
        <v>1064</v>
      </c>
      <c r="D131" s="518">
        <v>4</v>
      </c>
      <c r="E131" s="518">
        <v>19</v>
      </c>
      <c r="F131" s="518">
        <v>21</v>
      </c>
      <c r="G131" s="516">
        <v>40848.71000000001</v>
      </c>
      <c r="H131" s="519">
        <v>14921.960000000001</v>
      </c>
      <c r="I131" s="520">
        <f t="shared" si="0"/>
      </c>
      <c r="J131" s="520">
        <f t="shared" si="1"/>
      </c>
      <c r="K131" s="520">
        <f t="shared" si="2"/>
      </c>
      <c r="L131" s="526"/>
      <c r="M131" s="526"/>
      <c r="N131" s="516"/>
      <c r="O131" s="516"/>
      <c r="P131" s="516"/>
      <c r="Q131" s="519">
        <v>6.966367880485528</v>
      </c>
      <c r="R131" s="523">
        <v>0.18498207011600135</v>
      </c>
      <c r="S131" s="523">
        <v>0.021203302250994833</v>
      </c>
      <c r="T131" s="523">
        <v>0.021876422957375623</v>
      </c>
      <c r="U131" s="523">
        <v>0.16470588235294117</v>
      </c>
      <c r="V131" s="524">
        <v>18687.258687258687</v>
      </c>
      <c r="W131" s="523">
        <v>0.032375</v>
      </c>
      <c r="X131" s="524">
        <v>49.25</v>
      </c>
      <c r="Y131" s="525">
        <v>147.71000376155692</v>
      </c>
      <c r="Z131" s="524">
        <v>101022</v>
      </c>
      <c r="AA131" s="524">
        <v>2142</v>
      </c>
      <c r="AB131" s="524">
        <v>605</v>
      </c>
      <c r="AC131" s="524">
        <v>2210</v>
      </c>
      <c r="AD131" s="524">
        <v>364</v>
      </c>
      <c r="AE131" s="524">
        <v>31</v>
      </c>
      <c r="AF131" s="524">
        <v>7</v>
      </c>
      <c r="AG131" s="524">
        <v>130</v>
      </c>
    </row>
    <row r="132">
      <c r="A132" s="518" t="s">
        <v>1097</v>
      </c>
      <c r="B132" s="516" t="s">
        <v>1041</v>
      </c>
      <c r="C132" s="518" t="s">
        <v>1054</v>
      </c>
      <c r="D132" s="516">
        <v>4</v>
      </c>
      <c r="E132" s="518">
        <v>24</v>
      </c>
      <c r="F132" s="518">
        <v>24</v>
      </c>
      <c r="G132" s="516">
        <v>47810.33</v>
      </c>
      <c r="H132" s="519">
        <v>14995.55</v>
      </c>
      <c r="I132" s="520">
        <f t="shared" si="0"/>
      </c>
      <c r="J132" s="520">
        <f t="shared" si="1"/>
      </c>
      <c r="K132" s="527">
        <f t="shared" si="2"/>
      </c>
      <c r="L132" s="528"/>
      <c r="M132" s="528"/>
      <c r="N132" s="529"/>
      <c r="O132" s="516"/>
      <c r="P132" s="516"/>
      <c r="Q132" s="519">
        <v>6.0490318676885835</v>
      </c>
      <c r="R132" s="523">
        <v>0.16775365097200165</v>
      </c>
      <c r="S132" s="523">
        <v>0.020906246573956164</v>
      </c>
      <c r="T132" s="523">
        <v>0.021361646862376345</v>
      </c>
      <c r="U132" s="523">
        <v>0.15673114883537306</v>
      </c>
      <c r="V132" s="524">
        <v>19891.724671307038</v>
      </c>
      <c r="W132" s="523">
        <v>0.032325</v>
      </c>
      <c r="X132" s="524">
        <v>57</v>
      </c>
      <c r="Y132" s="525">
        <v>126.4625517596161</v>
      </c>
      <c r="Z132" s="524">
        <v>118577</v>
      </c>
      <c r="AA132" s="524">
        <v>2479</v>
      </c>
      <c r="AB132" s="524">
        <v>643</v>
      </c>
      <c r="AC132" s="524">
        <v>2533</v>
      </c>
      <c r="AD132" s="524">
        <v>397</v>
      </c>
      <c r="AE132" s="524">
        <v>32</v>
      </c>
      <c r="AF132" s="524">
        <v>13</v>
      </c>
      <c r="AG132" s="524">
        <v>136</v>
      </c>
    </row>
    <row r="133">
      <c r="A133" s="518" t="s">
        <v>1097</v>
      </c>
      <c r="B133" s="516" t="s">
        <v>1055</v>
      </c>
      <c r="C133" s="518" t="s">
        <v>1056</v>
      </c>
      <c r="D133" s="518">
        <v>4</v>
      </c>
      <c r="E133" s="518">
        <v>12</v>
      </c>
      <c r="F133" s="518">
        <v>17</v>
      </c>
      <c r="G133" s="516">
        <v>35758.39</v>
      </c>
      <c r="H133" s="519">
        <v>14545.800000000001</v>
      </c>
      <c r="I133" s="520">
        <f t="shared" si="0"/>
      </c>
      <c r="J133" s="520">
        <f t="shared" si="1"/>
      </c>
      <c r="K133" s="527">
        <f t="shared" si="2"/>
      </c>
      <c r="L133" s="528"/>
      <c r="M133" s="528"/>
      <c r="N133" s="529"/>
      <c r="O133" s="516"/>
      <c r="P133" s="516"/>
      <c r="Q133" s="519">
        <v>5.799760765550239</v>
      </c>
      <c r="R133" s="523">
        <v>0.1940018012126713</v>
      </c>
      <c r="S133" s="523">
        <v>0.0195925254671583</v>
      </c>
      <c r="T133" s="523">
        <v>0.020529966877070184</v>
      </c>
      <c r="U133" s="523">
        <v>0.12709284627092846</v>
      </c>
      <c r="V133" s="524">
        <v>24833.78256963163</v>
      </c>
      <c r="W133" s="523">
        <v>0.027825</v>
      </c>
      <c r="X133" s="524">
        <v>60.25</v>
      </c>
      <c r="Y133" s="525">
        <v>113.6319605024686</v>
      </c>
      <c r="Z133" s="524">
        <v>128008</v>
      </c>
      <c r="AA133" s="524">
        <v>2508</v>
      </c>
      <c r="AB133" s="524">
        <v>691</v>
      </c>
      <c r="AC133" s="524">
        <v>2628</v>
      </c>
      <c r="AD133" s="524">
        <v>334</v>
      </c>
      <c r="AE133" s="524">
        <v>38</v>
      </c>
      <c r="AF133" s="524">
        <v>4</v>
      </c>
      <c r="AG133" s="524">
        <v>157</v>
      </c>
    </row>
    <row r="134">
      <c r="A134" s="518" t="s">
        <v>1097</v>
      </c>
      <c r="B134" s="516" t="s">
        <v>1038</v>
      </c>
      <c r="C134" s="516" t="s">
        <v>1057</v>
      </c>
      <c r="D134" s="516">
        <v>4</v>
      </c>
      <c r="E134" s="518">
        <v>6</v>
      </c>
      <c r="F134" s="518">
        <v>8</v>
      </c>
      <c r="G134" s="516">
        <v>17815.820000000007</v>
      </c>
      <c r="H134" s="519">
        <v>12534.960000000001</v>
      </c>
      <c r="I134" s="520">
        <f t="shared" si="0"/>
      </c>
      <c r="J134" s="520">
        <f t="shared" si="1"/>
      </c>
      <c r="K134" s="527">
        <f t="shared" si="2"/>
      </c>
      <c r="L134" s="518" t="s">
        <v>1076</v>
      </c>
      <c r="M134" s="530">
        <v>10</v>
      </c>
      <c r="N134" s="529"/>
      <c r="O134" s="516"/>
      <c r="P134" s="516"/>
      <c r="Q134" s="525">
        <v>3.4068714324544715</v>
      </c>
      <c r="R134" s="523">
        <v>0.21438106654794276</v>
      </c>
      <c r="S134" s="523">
        <v>0.03157452067491718</v>
      </c>
      <c r="T134" s="523">
        <v>0.03370294718412606</v>
      </c>
      <c r="U134" s="523">
        <v>0.08097784568372804</v>
      </c>
      <c r="V134" s="524">
        <v>24979.253112033195</v>
      </c>
      <c r="W134" s="523">
        <v>0.0241</v>
      </c>
      <c r="X134" s="524">
        <v>60.25</v>
      </c>
      <c r="Y134" s="525">
        <v>107.57033248081842</v>
      </c>
      <c r="Z134" s="524">
        <v>116518</v>
      </c>
      <c r="AA134" s="524">
        <v>3679</v>
      </c>
      <c r="AB134" s="524">
        <v>602</v>
      </c>
      <c r="AC134" s="524">
        <v>3927</v>
      </c>
      <c r="AD134" s="524">
        <v>318</v>
      </c>
      <c r="AE134" s="524">
        <v>27</v>
      </c>
      <c r="AF134" s="524">
        <v>5</v>
      </c>
      <c r="AG134" s="524">
        <v>185</v>
      </c>
    </row>
    <row r="135">
      <c r="A135" s="509" t="s">
        <v>1097</v>
      </c>
      <c r="B135" s="510" t="s">
        <v>1048</v>
      </c>
      <c r="C135" s="510"/>
      <c r="D135" s="510">
        <f>SUM(D130:D134)</f>
      </c>
      <c r="E135" s="510">
        <f>SUM(E130:E134)</f>
      </c>
      <c r="F135" s="510">
        <f>SUM(F130:F134)</f>
      </c>
      <c r="G135" s="510">
        <f>SUM(G130:G134)</f>
      </c>
      <c r="H135" s="510">
        <f>SUM(H130:H134)</f>
      </c>
      <c r="I135" s="511">
        <f t="shared" si="0"/>
      </c>
      <c r="J135" s="511">
        <f t="shared" si="1"/>
      </c>
      <c r="K135" s="511">
        <f t="shared" si="2"/>
      </c>
      <c r="L135" s="510"/>
      <c r="M135" s="512">
        <f>SUM(M130:M134)</f>
      </c>
      <c r="N135" s="510"/>
      <c r="O135" s="510"/>
      <c r="P135" s="510"/>
      <c r="Q135" s="513">
        <f>AVERAGE(Q130:Q134)</f>
      </c>
      <c r="R135" s="514">
        <f>AVERAGE(R130:R134)</f>
      </c>
      <c r="S135" s="514">
        <f>AVERAGE(S130:S134)</f>
      </c>
      <c r="T135" s="514">
        <f>AVERAGE(T130:T134)</f>
      </c>
      <c r="U135" s="514">
        <f>AVERAGE(U130:U134)</f>
      </c>
      <c r="V135" s="515">
        <f>SUM(V130:V134)</f>
      </c>
      <c r="W135" s="514">
        <f>AVERAGE(W130:W134)</f>
      </c>
      <c r="X135" s="515"/>
      <c r="Y135" s="513">
        <f>AVERAGE(Y130:Y134)</f>
      </c>
      <c r="Z135" s="515">
        <f>SUM(Z130:Z134)</f>
      </c>
      <c r="AA135" s="515">
        <f>SUM(AA130:AA134)</f>
      </c>
      <c r="AB135" s="515">
        <f>SUM(AB130:AB134)</f>
      </c>
      <c r="AC135" s="515">
        <f>SUM(AC130:AC134)</f>
      </c>
      <c r="AD135" s="515">
        <f>SUM(AD130:AD134)</f>
      </c>
      <c r="AE135" s="515">
        <f>SUM(AE130:AE134)</f>
      </c>
      <c r="AF135" s="515">
        <f>SUM(AF130:AF134)</f>
      </c>
      <c r="AG135" s="515">
        <f>SUM(AG130:AG134)</f>
      </c>
    </row>
    <row r="136">
      <c r="A136" s="518" t="s">
        <v>1099</v>
      </c>
      <c r="B136" s="516" t="s">
        <v>1055</v>
      </c>
      <c r="C136" s="516" t="s">
        <v>1063</v>
      </c>
      <c r="D136" s="516">
        <v>4</v>
      </c>
      <c r="E136" s="518">
        <v>10</v>
      </c>
      <c r="F136" s="518">
        <v>12</v>
      </c>
      <c r="G136" s="516">
        <v>22493.54</v>
      </c>
      <c r="H136" s="519">
        <v>13377.51</v>
      </c>
      <c r="I136" s="520">
        <f t="shared" si="0"/>
      </c>
      <c r="J136" s="520">
        <f t="shared" si="1"/>
      </c>
      <c r="K136" s="520">
        <f t="shared" si="2"/>
      </c>
      <c r="L136" s="518"/>
      <c r="M136" s="531"/>
      <c r="N136" s="516"/>
      <c r="O136" s="516"/>
      <c r="P136" s="516"/>
      <c r="Q136" s="522">
        <v>3.9092665108123903</v>
      </c>
      <c r="R136" s="523">
        <v>0.21777655475633667</v>
      </c>
      <c r="S136" s="523">
        <v>0.030907908522706744</v>
      </c>
      <c r="T136" s="523">
        <v>0.032253694136348855</v>
      </c>
      <c r="U136" s="523">
        <v>0.07812937552506301</v>
      </c>
      <c r="V136" s="524">
        <v>24111.34903640257</v>
      </c>
      <c r="W136" s="523">
        <v>0.02335</v>
      </c>
      <c r="X136" s="524">
        <v>35.75</v>
      </c>
      <c r="Y136" s="525">
        <v>120.82725170707035</v>
      </c>
      <c r="Z136" s="524">
        <v>110716</v>
      </c>
      <c r="AA136" s="524">
        <v>3422</v>
      </c>
      <c r="AB136" s="524">
        <v>563</v>
      </c>
      <c r="AC136" s="524">
        <v>3571</v>
      </c>
      <c r="AD136" s="524">
        <v>279</v>
      </c>
      <c r="AE136" s="524">
        <v>44</v>
      </c>
      <c r="AF136" s="524">
        <v>5</v>
      </c>
      <c r="AG136" s="524">
        <v>150</v>
      </c>
    </row>
    <row r="137">
      <c r="A137" s="518" t="s">
        <v>1099</v>
      </c>
      <c r="B137" s="516" t="s">
        <v>1038</v>
      </c>
      <c r="C137" s="518" t="s">
        <v>1064</v>
      </c>
      <c r="D137" s="518">
        <v>4</v>
      </c>
      <c r="E137" s="518">
        <v>15</v>
      </c>
      <c r="F137" s="518">
        <v>21</v>
      </c>
      <c r="G137" s="516">
        <v>43418.38</v>
      </c>
      <c r="H137" s="519">
        <v>13111.650000000001</v>
      </c>
      <c r="I137" s="520">
        <f t="shared" si="0"/>
      </c>
      <c r="J137" s="520">
        <f t="shared" si="1"/>
      </c>
      <c r="K137" s="520">
        <f t="shared" si="2"/>
      </c>
      <c r="L137" s="532" t="s">
        <v>1100</v>
      </c>
      <c r="M137" s="532">
        <v>9</v>
      </c>
      <c r="N137" s="516"/>
      <c r="O137" s="516"/>
      <c r="P137" s="516"/>
      <c r="Q137" s="519">
        <v>5.788807947019868</v>
      </c>
      <c r="R137" s="523">
        <v>0.21939918981112577</v>
      </c>
      <c r="S137" s="523">
        <v>0.022818169912253307</v>
      </c>
      <c r="T137" s="523">
        <v>0.023755074902027946</v>
      </c>
      <c r="U137" s="523">
        <v>0.14546225614927905</v>
      </c>
      <c r="V137" s="524">
        <v>21778.221778221778</v>
      </c>
      <c r="W137" s="523">
        <v>0.025025000000000002</v>
      </c>
      <c r="X137" s="524">
        <v>50.5</v>
      </c>
      <c r="Y137" s="525">
        <v>132.0900033245016</v>
      </c>
      <c r="Z137" s="524">
        <v>99263</v>
      </c>
      <c r="AA137" s="524">
        <v>2265</v>
      </c>
      <c r="AB137" s="524">
        <v>545</v>
      </c>
      <c r="AC137" s="524">
        <v>2358</v>
      </c>
      <c r="AD137" s="524">
        <v>343</v>
      </c>
      <c r="AE137" s="524">
        <v>33</v>
      </c>
      <c r="AF137" s="524">
        <v>9</v>
      </c>
      <c r="AG137" s="524">
        <v>112</v>
      </c>
    </row>
    <row r="138">
      <c r="A138" s="518" t="s">
        <v>1099</v>
      </c>
      <c r="B138" s="518" t="s">
        <v>1051</v>
      </c>
      <c r="C138" s="518" t="s">
        <v>1054</v>
      </c>
      <c r="D138" s="516">
        <v>4</v>
      </c>
      <c r="E138" s="518">
        <v>10</v>
      </c>
      <c r="F138" s="518">
        <v>11</v>
      </c>
      <c r="G138" s="516">
        <v>23674.39</v>
      </c>
      <c r="H138" s="519">
        <v>12878.970000000001</v>
      </c>
      <c r="I138" s="520">
        <f t="shared" si="0"/>
      </c>
      <c r="J138" s="520">
        <f t="shared" si="1"/>
      </c>
      <c r="K138" s="527">
        <f t="shared" si="2"/>
      </c>
      <c r="L138" s="528"/>
      <c r="M138" s="528"/>
      <c r="N138" s="529"/>
      <c r="O138" s="516"/>
      <c r="P138" s="516"/>
      <c r="Q138" s="519">
        <v>5.131063745019921</v>
      </c>
      <c r="R138" s="523">
        <v>0.2330562087155101</v>
      </c>
      <c r="S138" s="523">
        <v>0.019730687901393724</v>
      </c>
      <c r="T138" s="523">
        <v>0.020273085297886222</v>
      </c>
      <c r="U138" s="523">
        <v>0.13881349360217138</v>
      </c>
      <c r="V138" s="524">
        <v>29647.77947932619</v>
      </c>
      <c r="W138" s="523">
        <v>0.016325</v>
      </c>
      <c r="X138" s="524">
        <v>51.5</v>
      </c>
      <c r="Y138" s="525">
        <v>101.23941735514454</v>
      </c>
      <c r="Z138" s="524">
        <v>127213</v>
      </c>
      <c r="AA138" s="524">
        <v>2510</v>
      </c>
      <c r="AB138" s="524">
        <v>484</v>
      </c>
      <c r="AC138" s="524">
        <v>2579</v>
      </c>
      <c r="AD138" s="524">
        <v>358</v>
      </c>
      <c r="AE138" s="524">
        <v>34</v>
      </c>
      <c r="AF138" s="524">
        <v>4</v>
      </c>
      <c r="AG138" s="524">
        <v>110</v>
      </c>
    </row>
    <row r="139">
      <c r="A139" s="518" t="s">
        <v>1099</v>
      </c>
      <c r="B139" s="516" t="s">
        <v>1045</v>
      </c>
      <c r="C139" s="518" t="s">
        <v>1056</v>
      </c>
      <c r="D139" s="518">
        <v>4</v>
      </c>
      <c r="E139" s="518">
        <v>14</v>
      </c>
      <c r="F139" s="518">
        <v>17</v>
      </c>
      <c r="G139" s="516">
        <v>35515.08</v>
      </c>
      <c r="H139" s="519">
        <v>12001.57</v>
      </c>
      <c r="I139" s="520">
        <f t="shared" si="0"/>
      </c>
      <c r="J139" s="520">
        <f t="shared" si="1"/>
      </c>
      <c r="K139" s="527">
        <f t="shared" si="2"/>
      </c>
      <c r="L139" s="528"/>
      <c r="M139" s="528"/>
      <c r="N139" s="529"/>
      <c r="O139" s="516"/>
      <c r="P139" s="516"/>
      <c r="Q139" s="519">
        <v>4.577257818459191</v>
      </c>
      <c r="R139" s="523">
        <v>0.2606941232939382</v>
      </c>
      <c r="S139" s="523">
        <v>0.02338628397120865</v>
      </c>
      <c r="T139" s="523">
        <v>0.024563625498363318</v>
      </c>
      <c r="U139" s="523">
        <v>0.10893246187363835</v>
      </c>
      <c r="V139" s="524">
        <v>29228.243021346472</v>
      </c>
      <c r="W139" s="523">
        <v>0.015224999999999999</v>
      </c>
      <c r="X139" s="524">
        <v>46</v>
      </c>
      <c r="Y139" s="525">
        <v>107.04505115192164</v>
      </c>
      <c r="Z139" s="524">
        <v>112117</v>
      </c>
      <c r="AA139" s="524">
        <v>2622</v>
      </c>
      <c r="AB139" s="524">
        <v>445</v>
      </c>
      <c r="AC139" s="524">
        <v>2754</v>
      </c>
      <c r="AD139" s="524">
        <v>300</v>
      </c>
      <c r="AE139" s="524">
        <v>28</v>
      </c>
      <c r="AF139" s="524">
        <v>7</v>
      </c>
      <c r="AG139" s="524">
        <v>75</v>
      </c>
    </row>
    <row r="140">
      <c r="A140" s="518" t="s">
        <v>1099</v>
      </c>
      <c r="B140" s="516" t="s">
        <v>1041</v>
      </c>
      <c r="C140" s="516" t="s">
        <v>1057</v>
      </c>
      <c r="D140" s="516">
        <v>4</v>
      </c>
      <c r="E140" s="518">
        <v>17</v>
      </c>
      <c r="F140" s="518">
        <v>19</v>
      </c>
      <c r="G140" s="516">
        <v>44051.64999999998</v>
      </c>
      <c r="H140" s="519">
        <v>10592.69</v>
      </c>
      <c r="I140" s="520">
        <f t="shared" si="0"/>
      </c>
      <c r="J140" s="520">
        <f t="shared" si="1"/>
      </c>
      <c r="K140" s="527">
        <f t="shared" si="2"/>
      </c>
      <c r="L140" s="518" t="s">
        <v>1040</v>
      </c>
      <c r="M140" s="533">
        <v>11</v>
      </c>
      <c r="N140" s="529"/>
      <c r="O140" s="516"/>
      <c r="P140" s="516"/>
      <c r="Q140" s="525">
        <v>3.643856209150327</v>
      </c>
      <c r="R140" s="523">
        <v>0.24365739311182827</v>
      </c>
      <c r="S140" s="523">
        <v>0.02879586338061653</v>
      </c>
      <c r="T140" s="523">
        <v>0.030549171883667486</v>
      </c>
      <c r="U140" s="523">
        <v>0.09046692607003891</v>
      </c>
      <c r="V140" s="524">
        <v>24597.701149425287</v>
      </c>
      <c r="W140" s="523">
        <v>0.0174</v>
      </c>
      <c r="X140" s="524">
        <v>54</v>
      </c>
      <c r="Y140" s="525">
        <v>104.92798557730407</v>
      </c>
      <c r="Z140" s="524">
        <v>100952</v>
      </c>
      <c r="AA140" s="524">
        <v>2907</v>
      </c>
      <c r="AB140" s="524">
        <v>428</v>
      </c>
      <c r="AC140" s="524">
        <v>3084</v>
      </c>
      <c r="AD140" s="524">
        <v>279</v>
      </c>
      <c r="AE140" s="524">
        <v>28</v>
      </c>
      <c r="AF140" s="524">
        <v>6</v>
      </c>
      <c r="AG140" s="524">
        <v>84</v>
      </c>
    </row>
    <row r="141">
      <c r="A141" s="509" t="s">
        <v>1099</v>
      </c>
      <c r="B141" s="510" t="s">
        <v>1048</v>
      </c>
      <c r="C141" s="510"/>
      <c r="D141" s="510">
        <f>SUM(D136:D140)</f>
      </c>
      <c r="E141" s="510">
        <f>SUM(E136:E140)</f>
      </c>
      <c r="F141" s="510">
        <f>SUM(F136:F140)</f>
      </c>
      <c r="G141" s="510">
        <f>SUM(G136:G140)</f>
      </c>
      <c r="H141" s="510">
        <f>SUM(H136:H140)</f>
      </c>
      <c r="I141" s="511">
        <f t="shared" si="0"/>
      </c>
      <c r="J141" s="511">
        <f t="shared" si="1"/>
      </c>
      <c r="K141" s="511">
        <f t="shared" si="2"/>
      </c>
      <c r="L141" s="510"/>
      <c r="M141" s="512">
        <f>SUM(M136:M140)</f>
      </c>
      <c r="N141" s="510"/>
      <c r="O141" s="510"/>
      <c r="P141" s="510"/>
      <c r="Q141" s="513">
        <f>AVERAGE(Q136:Q140)</f>
      </c>
      <c r="R141" s="514">
        <f>AVERAGE(R136:R140)</f>
      </c>
      <c r="S141" s="514">
        <f>AVERAGE(S136:S140)</f>
      </c>
      <c r="T141" s="514">
        <f>AVERAGE(T136:T140)</f>
      </c>
      <c r="U141" s="514">
        <f>AVERAGE(U136:U140)</f>
      </c>
      <c r="V141" s="515">
        <f>SUM(V136:V140)</f>
      </c>
      <c r="W141" s="514">
        <f>AVERAGE(W136:W140)</f>
      </c>
      <c r="X141" s="515"/>
      <c r="Y141" s="513">
        <f>AVERAGE(Y136:Y140)</f>
      </c>
      <c r="Z141" s="515">
        <f>SUM(Z136:Z140)</f>
      </c>
      <c r="AA141" s="515">
        <f>SUM(AA136:AA140)</f>
      </c>
      <c r="AB141" s="515">
        <f>SUM(AB136:AB140)</f>
      </c>
      <c r="AC141" s="515">
        <f>SUM(AC136:AC140)</f>
      </c>
      <c r="AD141" s="515">
        <f>SUM(AD136:AD140)</f>
      </c>
      <c r="AE141" s="515">
        <f>SUM(AE136:AE140)</f>
      </c>
      <c r="AF141" s="515">
        <f>SUM(AF136:AF140)</f>
      </c>
      <c r="AG141" s="515">
        <f>SUM(AG136:AG140)</f>
      </c>
    </row>
    <row r="142">
      <c r="A142" s="518" t="s">
        <v>1101</v>
      </c>
      <c r="B142" s="518" t="s">
        <v>1051</v>
      </c>
      <c r="C142" s="516" t="s">
        <v>1063</v>
      </c>
      <c r="D142" s="516">
        <v>4</v>
      </c>
      <c r="E142" s="518">
        <v>16</v>
      </c>
      <c r="F142" s="518">
        <v>19</v>
      </c>
      <c r="G142" s="516">
        <v>40070.27</v>
      </c>
      <c r="H142" s="519">
        <v>13309.54</v>
      </c>
      <c r="I142" s="520">
        <f t="shared" si="0"/>
      </c>
      <c r="J142" s="520">
        <f t="shared" si="1"/>
      </c>
      <c r="K142" s="520">
        <f t="shared" si="2"/>
      </c>
      <c r="L142" s="518" t="s">
        <v>1040</v>
      </c>
      <c r="M142" s="531">
        <v>10</v>
      </c>
      <c r="N142" s="516"/>
      <c r="O142" s="516"/>
      <c r="P142" s="516"/>
      <c r="Q142" s="522">
        <v>2.910461403892412</v>
      </c>
      <c r="R142" s="523">
        <v>0.21989191639170827</v>
      </c>
      <c r="S142" s="523">
        <v>0.036768134819174424</v>
      </c>
      <c r="T142" s="523">
        <v>0.03905157026388152</v>
      </c>
      <c r="U142" s="523">
        <v>0.07411982705373688</v>
      </c>
      <c r="V142" s="524">
        <v>27348.837209302324</v>
      </c>
      <c r="W142" s="523">
        <v>0.021500000000000002</v>
      </c>
      <c r="X142" s="524">
        <v>38.5</v>
      </c>
      <c r="Y142" s="525">
        <v>107.01223728431988</v>
      </c>
      <c r="Z142" s="524">
        <v>124374</v>
      </c>
      <c r="AA142" s="524">
        <v>4573</v>
      </c>
      <c r="AB142" s="524">
        <v>588</v>
      </c>
      <c r="AC142" s="524">
        <v>4857</v>
      </c>
      <c r="AD142" s="524">
        <v>360</v>
      </c>
      <c r="AE142" s="524">
        <v>35</v>
      </c>
      <c r="AF142" s="524">
        <v>4</v>
      </c>
      <c r="AG142" s="524">
        <v>155</v>
      </c>
    </row>
    <row r="143">
      <c r="A143" s="518" t="s">
        <v>1101</v>
      </c>
      <c r="B143" s="516" t="s">
        <v>1038</v>
      </c>
      <c r="C143" s="518" t="s">
        <v>1069</v>
      </c>
      <c r="D143" s="518">
        <v>5</v>
      </c>
      <c r="E143" s="518">
        <v>14</v>
      </c>
      <c r="F143" s="518">
        <v>18</v>
      </c>
      <c r="G143" s="516">
        <v>35738.13</v>
      </c>
      <c r="H143" s="519">
        <v>15352.510000000002</v>
      </c>
      <c r="I143" s="520">
        <f t="shared" si="0"/>
      </c>
      <c r="J143" s="520">
        <f t="shared" si="1"/>
      </c>
      <c r="K143" s="520">
        <f t="shared" si="2"/>
      </c>
      <c r="L143" s="532"/>
      <c r="M143" s="532"/>
      <c r="N143" s="516"/>
      <c r="O143" s="516"/>
      <c r="P143" s="516"/>
      <c r="Q143" s="519">
        <v>4.339318824194461</v>
      </c>
      <c r="R143" s="523">
        <v>0.19813366070155805</v>
      </c>
      <c r="S143" s="523">
        <v>0.027851688577501376</v>
      </c>
      <c r="T143" s="523">
        <v>0.029638668031173737</v>
      </c>
      <c r="U143" s="523">
        <v>0.10119521912350597</v>
      </c>
      <c r="V143" s="524">
        <v>25168.91891891892</v>
      </c>
      <c r="W143" s="523">
        <v>0.02368</v>
      </c>
      <c r="X143" s="524">
        <v>39</v>
      </c>
      <c r="Y143" s="525">
        <v>120.85735652995356</v>
      </c>
      <c r="Z143" s="524">
        <v>127030</v>
      </c>
      <c r="AA143" s="524">
        <v>3538</v>
      </c>
      <c r="AB143" s="524">
        <v>596</v>
      </c>
      <c r="AC143" s="524">
        <v>3765</v>
      </c>
      <c r="AD143" s="524">
        <v>381</v>
      </c>
      <c r="AE143" s="524">
        <v>27</v>
      </c>
      <c r="AF143" s="524">
        <v>2</v>
      </c>
      <c r="AG143" s="524">
        <v>122</v>
      </c>
    </row>
    <row r="144">
      <c r="A144" s="518" t="s">
        <v>1101</v>
      </c>
      <c r="B144" s="518" t="s">
        <v>1102</v>
      </c>
      <c r="C144" s="518" t="s">
        <v>1103</v>
      </c>
      <c r="D144" s="518">
        <v>2</v>
      </c>
      <c r="E144" s="518">
        <v>9</v>
      </c>
      <c r="F144" s="518">
        <v>9</v>
      </c>
      <c r="G144" s="516">
        <v>19478.059999999998</v>
      </c>
      <c r="H144" s="519">
        <v>7082.44</v>
      </c>
      <c r="I144" s="520">
        <f t="shared" si="0"/>
      </c>
      <c r="J144" s="520">
        <f t="shared" si="1"/>
      </c>
      <c r="K144" s="527">
        <f t="shared" si="2"/>
      </c>
      <c r="L144" s="528"/>
      <c r="M144" s="528"/>
      <c r="N144" s="529"/>
      <c r="O144" s="516"/>
      <c r="P144" s="516"/>
      <c r="Q144" s="519">
        <v>5.345237735849056</v>
      </c>
      <c r="R144" s="523">
        <v>0.1686097268819591</v>
      </c>
      <c r="S144" s="523">
        <v>0.024223920435847746</v>
      </c>
      <c r="T144" s="523">
        <v>0.02645434933635599</v>
      </c>
      <c r="U144" s="523">
        <v>0.11402902557014513</v>
      </c>
      <c r="V144" s="524">
        <v>9222.6148409894</v>
      </c>
      <c r="W144" s="523">
        <v>0.0283</v>
      </c>
      <c r="X144" s="524">
        <v>49.5</v>
      </c>
      <c r="Y144" s="525">
        <v>129.4826136238985</v>
      </c>
      <c r="Z144" s="524">
        <v>54698</v>
      </c>
      <c r="AA144" s="524">
        <v>1325</v>
      </c>
      <c r="AB144" s="524">
        <v>261</v>
      </c>
      <c r="AC144" s="524">
        <v>1447</v>
      </c>
      <c r="AD144" s="524">
        <v>165</v>
      </c>
      <c r="AE144" s="524">
        <v>11</v>
      </c>
      <c r="AF144" s="524">
        <v>0</v>
      </c>
      <c r="AG144" s="524">
        <v>57</v>
      </c>
    </row>
    <row r="145">
      <c r="A145" s="518" t="s">
        <v>1101</v>
      </c>
      <c r="B145" s="516" t="s">
        <v>1045</v>
      </c>
      <c r="C145" s="518" t="s">
        <v>1066</v>
      </c>
      <c r="D145" s="518">
        <v>5</v>
      </c>
      <c r="E145" s="518">
        <v>26</v>
      </c>
      <c r="F145" s="518">
        <v>33</v>
      </c>
      <c r="G145" s="516">
        <v>66984.32</v>
      </c>
      <c r="H145" s="519">
        <v>19383.09</v>
      </c>
      <c r="I145" s="520">
        <f t="shared" si="0"/>
      </c>
      <c r="J145" s="520">
        <f t="shared" si="1"/>
      </c>
      <c r="K145" s="527">
        <f t="shared" si="2"/>
      </c>
      <c r="L145" s="528"/>
      <c r="M145" s="528"/>
      <c r="N145" s="529"/>
      <c r="O145" s="516"/>
      <c r="P145" s="516"/>
      <c r="Q145" s="519">
        <v>5.541186392224128</v>
      </c>
      <c r="R145" s="523">
        <v>0.1447734024536641</v>
      </c>
      <c r="S145" s="523">
        <v>0.017576387946758316</v>
      </c>
      <c r="T145" s="523">
        <v>0.018601426008833417</v>
      </c>
      <c r="U145" s="523">
        <v>0.12641815235008103</v>
      </c>
      <c r="V145" s="524">
        <v>28812.36823612087</v>
      </c>
      <c r="W145" s="523">
        <v>0.028460000000000003</v>
      </c>
      <c r="X145" s="524">
        <v>52.4</v>
      </c>
      <c r="Y145" s="525">
        <v>97.39404171502937</v>
      </c>
      <c r="Z145" s="524">
        <v>199017</v>
      </c>
      <c r="AA145" s="524">
        <v>3498</v>
      </c>
      <c r="AB145" s="524">
        <v>820</v>
      </c>
      <c r="AC145" s="524">
        <v>3702</v>
      </c>
      <c r="AD145" s="524">
        <v>468</v>
      </c>
      <c r="AE145" s="524">
        <v>37</v>
      </c>
      <c r="AF145" s="524">
        <v>8</v>
      </c>
      <c r="AG145" s="524">
        <v>185</v>
      </c>
    </row>
    <row r="146">
      <c r="A146" s="518" t="s">
        <v>1101</v>
      </c>
      <c r="B146" s="516" t="s">
        <v>1041</v>
      </c>
      <c r="C146" s="516" t="s">
        <v>1057</v>
      </c>
      <c r="D146" s="516">
        <v>4</v>
      </c>
      <c r="E146" s="518">
        <v>15</v>
      </c>
      <c r="F146" s="518">
        <v>22</v>
      </c>
      <c r="G146" s="516">
        <v>40733.72</v>
      </c>
      <c r="H146" s="519">
        <v>11639.73</v>
      </c>
      <c r="I146" s="520">
        <f t="shared" si="0"/>
      </c>
      <c r="J146" s="520">
        <f t="shared" si="1"/>
      </c>
      <c r="K146" s="527">
        <f t="shared" si="2"/>
      </c>
      <c r="L146" s="518" t="s">
        <v>1047</v>
      </c>
      <c r="M146" s="533">
        <v>10</v>
      </c>
      <c r="N146" s="529"/>
      <c r="O146" s="516"/>
      <c r="P146" s="516"/>
      <c r="Q146" s="525">
        <v>3.511230769230769</v>
      </c>
      <c r="R146" s="523">
        <v>0.207</v>
      </c>
      <c r="S146" s="523">
        <v>0.0215</v>
      </c>
      <c r="T146" s="523">
        <v>0.0227</v>
      </c>
      <c r="U146" s="523">
        <v>0.1211</v>
      </c>
      <c r="V146" s="524">
        <v>31957</v>
      </c>
      <c r="W146" s="523">
        <v>0.0187</v>
      </c>
      <c r="X146" s="524">
        <v>55.75</v>
      </c>
      <c r="Y146" s="525">
        <v>75.38</v>
      </c>
      <c r="Z146" s="524">
        <v>154405</v>
      </c>
      <c r="AA146" s="524">
        <v>3315</v>
      </c>
      <c r="AB146" s="524">
        <v>596</v>
      </c>
      <c r="AC146" s="524">
        <v>3501</v>
      </c>
      <c r="AD146" s="524">
        <v>424</v>
      </c>
      <c r="AE146" s="524">
        <v>44</v>
      </c>
      <c r="AF146" s="524">
        <v>13</v>
      </c>
      <c r="AG146" s="524">
        <v>160</v>
      </c>
    </row>
    <row r="147">
      <c r="A147" s="509" t="s">
        <v>1101</v>
      </c>
      <c r="B147" s="510" t="s">
        <v>1048</v>
      </c>
      <c r="C147" s="510"/>
      <c r="D147" s="510">
        <f>SUM(D142:D146)</f>
      </c>
      <c r="E147" s="510">
        <f>SUM(E142:E146)</f>
      </c>
      <c r="F147" s="510">
        <f>SUM(F142:F146)</f>
      </c>
      <c r="G147" s="510">
        <f>SUM(G142:G146)</f>
      </c>
      <c r="H147" s="510">
        <f>SUM(H142:H146)</f>
      </c>
      <c r="I147" s="511">
        <f t="shared" si="0"/>
      </c>
      <c r="J147" s="511">
        <f t="shared" si="1"/>
      </c>
      <c r="K147" s="511">
        <f t="shared" si="2"/>
      </c>
      <c r="L147" s="510"/>
      <c r="M147" s="512">
        <f>SUM(M142:M146)</f>
      </c>
      <c r="N147" s="510"/>
      <c r="O147" s="510"/>
      <c r="P147" s="510"/>
      <c r="Q147" s="513">
        <f>AVERAGE(Q142:Q146)</f>
      </c>
      <c r="R147" s="514">
        <f>AVERAGE(R142:R146)</f>
      </c>
      <c r="S147" s="514">
        <f>AVERAGE(S142:S146)</f>
      </c>
      <c r="T147" s="514">
        <f>AVERAGE(T142:T146)</f>
      </c>
      <c r="U147" s="514">
        <f>AVERAGE(U142:U146)</f>
      </c>
      <c r="V147" s="515">
        <f>SUM(V142:V146)</f>
      </c>
      <c r="W147" s="514">
        <f>AVERAGE(W142:W146)</f>
      </c>
      <c r="X147" s="515"/>
      <c r="Y147" s="513">
        <f>AVERAGE(Y142:Y146)</f>
      </c>
      <c r="Z147" s="515">
        <f>SUM(Z142:Z146)</f>
      </c>
      <c r="AA147" s="515">
        <f>SUM(AA142:AA146)</f>
      </c>
      <c r="AB147" s="515">
        <f>SUM(AB142:AB146)</f>
      </c>
      <c r="AC147" s="515">
        <f>SUM(AC142:AC146)</f>
      </c>
      <c r="AD147" s="515">
        <f>SUM(AD142:AD146)</f>
      </c>
      <c r="AE147" s="515">
        <f>SUM(AE142:AE146)</f>
      </c>
      <c r="AF147" s="515">
        <f>SUM(AF142:AF146)</f>
      </c>
      <c r="AG147" s="515">
        <f>SUM(AG142:AG146)</f>
      </c>
    </row>
    <row r="148">
      <c r="A148" s="518" t="s">
        <v>1104</v>
      </c>
      <c r="B148" s="516" t="s">
        <v>1055</v>
      </c>
      <c r="C148" s="518" t="s">
        <v>1039</v>
      </c>
      <c r="D148" s="518">
        <v>5</v>
      </c>
      <c r="E148" s="518">
        <v>19</v>
      </c>
      <c r="F148" s="518">
        <v>21</v>
      </c>
      <c r="G148" s="516">
        <v>38354.729999999996</v>
      </c>
      <c r="H148" s="519">
        <v>18838.53</v>
      </c>
      <c r="I148" s="520">
        <f t="shared" si="0"/>
      </c>
      <c r="J148" s="520">
        <f t="shared" si="1"/>
      </c>
      <c r="K148" s="520">
        <f t="shared" si="2"/>
      </c>
      <c r="L148" s="516" t="s">
        <v>1040</v>
      </c>
      <c r="M148" s="521">
        <v>10</v>
      </c>
      <c r="N148" s="516"/>
      <c r="O148" s="516"/>
      <c r="P148" s="516"/>
      <c r="Q148" s="522">
        <v>2.7606286635404453</v>
      </c>
      <c r="R148" s="523">
        <v>0.24535520896439367</v>
      </c>
      <c r="S148" s="523">
        <v>0.030729602910846324</v>
      </c>
      <c r="T148" s="523">
        <v>0.032706492664343036</v>
      </c>
      <c r="U148" s="523">
        <v>0.06003029051356189</v>
      </c>
      <c r="V148" s="524">
        <v>54485.049833887046</v>
      </c>
      <c r="W148" s="523">
        <v>0.01806</v>
      </c>
      <c r="X148" s="524">
        <v>32.4</v>
      </c>
      <c r="Y148" s="525">
        <v>84.83302261489827</v>
      </c>
      <c r="Z148" s="524">
        <v>222066</v>
      </c>
      <c r="AA148" s="524">
        <v>6824</v>
      </c>
      <c r="AB148" s="524">
        <v>984</v>
      </c>
      <c r="AC148" s="524">
        <v>7263</v>
      </c>
      <c r="AD148" s="524">
        <v>436</v>
      </c>
      <c r="AE148" s="524">
        <v>39</v>
      </c>
      <c r="AF148" s="524">
        <v>11</v>
      </c>
      <c r="AG148" s="524">
        <v>191</v>
      </c>
    </row>
    <row r="149">
      <c r="A149" s="518" t="s">
        <v>1104</v>
      </c>
      <c r="B149" s="518" t="s">
        <v>1051</v>
      </c>
      <c r="C149" s="518" t="s">
        <v>1042</v>
      </c>
      <c r="D149" s="518">
        <v>5</v>
      </c>
      <c r="E149" s="518">
        <v>11</v>
      </c>
      <c r="F149" s="518">
        <v>16</v>
      </c>
      <c r="G149" s="516">
        <v>31454.92</v>
      </c>
      <c r="H149" s="519">
        <v>16943.77</v>
      </c>
      <c r="I149" s="520">
        <f t="shared" si="0"/>
      </c>
      <c r="J149" s="520">
        <f t="shared" si="1"/>
      </c>
      <c r="K149" s="520">
        <f t="shared" si="2"/>
      </c>
      <c r="L149" s="518"/>
      <c r="M149" s="521"/>
      <c r="N149" s="516"/>
      <c r="O149" s="516"/>
      <c r="P149" s="516"/>
      <c r="Q149" s="519">
        <v>5.014433264279373</v>
      </c>
      <c r="R149" s="523">
        <v>0.19049324217416289</v>
      </c>
      <c r="S149" s="523">
        <v>0.02022481325416587</v>
      </c>
      <c r="T149" s="523">
        <v>0.021158542424822832</v>
      </c>
      <c r="U149" s="523">
        <v>0.09137199434229137</v>
      </c>
      <c r="V149" s="524">
        <v>31826.08695652174</v>
      </c>
      <c r="W149" s="523">
        <v>0.023</v>
      </c>
      <c r="X149" s="524">
        <v>41.2</v>
      </c>
      <c r="Y149" s="525">
        <v>101.41597634552768</v>
      </c>
      <c r="Z149" s="524">
        <v>167072</v>
      </c>
      <c r="AA149" s="524">
        <v>3379</v>
      </c>
      <c r="AB149" s="524">
        <v>732</v>
      </c>
      <c r="AC149" s="524">
        <v>3535</v>
      </c>
      <c r="AD149" s="524">
        <v>323</v>
      </c>
      <c r="AE149" s="524">
        <v>26</v>
      </c>
      <c r="AF149" s="524">
        <v>8</v>
      </c>
      <c r="AG149" s="524">
        <v>181</v>
      </c>
    </row>
    <row r="150">
      <c r="A150" s="518" t="s">
        <v>1104</v>
      </c>
      <c r="B150" s="516" t="s">
        <v>1041</v>
      </c>
      <c r="C150" s="518" t="s">
        <v>1088</v>
      </c>
      <c r="D150" s="518">
        <v>5</v>
      </c>
      <c r="E150" s="518">
        <v>12</v>
      </c>
      <c r="F150" s="518">
        <v>18</v>
      </c>
      <c r="G150" s="516">
        <v>37244.770000000004</v>
      </c>
      <c r="H150" s="519">
        <v>15211.940000000002</v>
      </c>
      <c r="I150" s="520">
        <f t="shared" si="0"/>
      </c>
      <c r="J150" s="520">
        <f t="shared" si="1"/>
      </c>
      <c r="K150" s="527">
        <f t="shared" si="2"/>
      </c>
      <c r="L150" s="518"/>
      <c r="M150" s="521"/>
      <c r="N150" s="529"/>
      <c r="O150" s="516"/>
      <c r="P150" s="516"/>
      <c r="Q150" s="519">
        <v>5.70804502814259</v>
      </c>
      <c r="R150" s="523">
        <v>0.24612837510986352</v>
      </c>
      <c r="S150" s="523">
        <v>0.019973019560818407</v>
      </c>
      <c r="T150" s="523">
        <v>0.0210897099602788</v>
      </c>
      <c r="U150" s="523">
        <v>0.10056858564321251</v>
      </c>
      <c r="V150" s="524">
        <v>32840.90909090909</v>
      </c>
      <c r="W150" s="523">
        <v>0.0176</v>
      </c>
      <c r="X150" s="524">
        <v>44.8</v>
      </c>
      <c r="Y150" s="525">
        <v>114.0068950011242</v>
      </c>
      <c r="Z150" s="524">
        <v>133430</v>
      </c>
      <c r="AA150" s="524">
        <v>2665</v>
      </c>
      <c r="AB150" s="524">
        <v>578</v>
      </c>
      <c r="AC150" s="524">
        <v>2814</v>
      </c>
      <c r="AD150" s="524">
        <v>283</v>
      </c>
      <c r="AE150" s="524">
        <v>32</v>
      </c>
      <c r="AF150" s="524">
        <v>4</v>
      </c>
      <c r="AG150" s="524">
        <v>112</v>
      </c>
    </row>
    <row r="151">
      <c r="A151" s="518" t="s">
        <v>1104</v>
      </c>
      <c r="B151" s="516" t="s">
        <v>1045</v>
      </c>
      <c r="C151" s="518" t="s">
        <v>1082</v>
      </c>
      <c r="D151" s="518">
        <v>5</v>
      </c>
      <c r="E151" s="518">
        <v>23</v>
      </c>
      <c r="F151" s="518">
        <v>28</v>
      </c>
      <c r="G151" s="516">
        <v>54832.17999999998</v>
      </c>
      <c r="H151" s="519">
        <v>13459.719999999998</v>
      </c>
      <c r="I151" s="520">
        <f t="shared" si="0"/>
      </c>
      <c r="J151" s="520">
        <f t="shared" si="1"/>
      </c>
      <c r="K151" s="527">
        <f t="shared" si="2"/>
      </c>
      <c r="L151" s="518" t="s">
        <v>1047</v>
      </c>
      <c r="M151" s="531">
        <v>10</v>
      </c>
      <c r="N151" s="529"/>
      <c r="O151" s="516"/>
      <c r="P151" s="516"/>
      <c r="Q151" s="519">
        <v>3.9454001759014945</v>
      </c>
      <c r="R151" s="523">
        <v>0.2572</v>
      </c>
      <c r="S151" s="523">
        <v>0.0224</v>
      </c>
      <c r="T151" s="523">
        <v>0.024</v>
      </c>
      <c r="U151" s="523">
        <v>0.096</v>
      </c>
      <c r="V151" s="524">
        <v>39245</v>
      </c>
      <c r="W151" s="523">
        <v>0.0156</v>
      </c>
      <c r="X151" s="524">
        <v>47.2</v>
      </c>
      <c r="Y151" s="525">
        <v>88.21</v>
      </c>
      <c r="Z151" s="524">
        <v>152568</v>
      </c>
      <c r="AA151" s="524">
        <v>3411</v>
      </c>
      <c r="AB151" s="524">
        <v>613</v>
      </c>
      <c r="AC151" s="524">
        <v>3665</v>
      </c>
      <c r="AD151" s="524">
        <v>352</v>
      </c>
      <c r="AE151" s="524">
        <v>39</v>
      </c>
      <c r="AF151" s="524">
        <v>6</v>
      </c>
      <c r="AG151" s="524">
        <v>155</v>
      </c>
    </row>
    <row r="152">
      <c r="A152" s="509" t="s">
        <v>1104</v>
      </c>
      <c r="B152" s="510" t="s">
        <v>1048</v>
      </c>
      <c r="C152" s="510"/>
      <c r="D152" s="510">
        <f>SUM(D148:D151)</f>
      </c>
      <c r="E152" s="510">
        <f>SUM(E148:E151)</f>
      </c>
      <c r="F152" s="510">
        <f>SUM(F148:F151)</f>
      </c>
      <c r="G152" s="510">
        <f>SUM(G148:G151)</f>
      </c>
      <c r="H152" s="510">
        <f>SUM(H148:H151)</f>
      </c>
      <c r="I152" s="511">
        <f t="shared" si="0"/>
      </c>
      <c r="J152" s="511">
        <f t="shared" si="1"/>
      </c>
      <c r="K152" s="511">
        <f t="shared" si="2"/>
      </c>
      <c r="L152" s="510"/>
      <c r="M152" s="512">
        <f>SUM(M148:M151)</f>
      </c>
      <c r="N152" s="510"/>
      <c r="O152" s="510"/>
      <c r="P152" s="510"/>
      <c r="Q152" s="513">
        <f>AVERAGE(Q148:Q151)</f>
      </c>
      <c r="R152" s="514">
        <f>AVERAGE(R148:R151)</f>
      </c>
      <c r="S152" s="514">
        <f>AVERAGE(S148:S151)</f>
      </c>
      <c r="T152" s="514">
        <f>AVERAGE(T148:T151)</f>
      </c>
      <c r="U152" s="514">
        <f>AVERAGE(U148:U151)</f>
      </c>
      <c r="V152" s="515">
        <f>SUM(V148:V151)</f>
      </c>
      <c r="W152" s="514">
        <f>AVERAGE(W148:W151)</f>
      </c>
      <c r="X152" s="515"/>
      <c r="Y152" s="513">
        <f>AVERAGE(Y148:Y151)</f>
      </c>
      <c r="Z152" s="515">
        <f>SUM(Z148:Z151)</f>
      </c>
      <c r="AA152" s="515">
        <f>SUM(AA148:AA151)</f>
      </c>
      <c r="AB152" s="515">
        <f>SUM(AB148:AB151)</f>
      </c>
      <c r="AC152" s="515">
        <f>SUM(AC148:AC151)</f>
      </c>
      <c r="AD152" s="515">
        <f>SUM(AD148:AD151)</f>
      </c>
      <c r="AE152" s="515">
        <f>SUM(AE148:AE151)</f>
      </c>
      <c r="AF152" s="515">
        <f>SUM(AF148:AF151)</f>
      </c>
      <c r="AG152" s="515">
        <f>SUM(AG148:AG151)</f>
      </c>
    </row>
    <row r="153">
      <c r="A153" s="518" t="s">
        <v>1105</v>
      </c>
      <c r="B153" s="516" t="s">
        <v>1038</v>
      </c>
      <c r="C153" s="518" t="s">
        <v>1039</v>
      </c>
      <c r="D153" s="518">
        <v>5</v>
      </c>
      <c r="E153" s="518">
        <v>20</v>
      </c>
      <c r="F153" s="518">
        <v>22</v>
      </c>
      <c r="G153" s="516">
        <v>43113.1</v>
      </c>
      <c r="H153" s="519">
        <v>17462.41</v>
      </c>
      <c r="I153" s="520">
        <f t="shared" si="0"/>
      </c>
      <c r="J153" s="520">
        <f t="shared" si="1"/>
      </c>
      <c r="K153" s="520">
        <f t="shared" si="2"/>
      </c>
      <c r="L153" s="518" t="s">
        <v>1040</v>
      </c>
      <c r="M153" s="531">
        <v>10</v>
      </c>
      <c r="N153" s="516"/>
      <c r="O153" s="516"/>
      <c r="P153" s="516"/>
      <c r="Q153" s="522">
        <v>3.8127532751091704</v>
      </c>
      <c r="R153" s="523">
        <v>0.2547244199186987</v>
      </c>
      <c r="S153" s="523">
        <v>0.024031524322736027</v>
      </c>
      <c r="T153" s="523">
        <v>0.025159641730899397</v>
      </c>
      <c r="U153" s="523">
        <v>0.06777893639207508</v>
      </c>
      <c r="V153" s="524">
        <v>48546.14412136536</v>
      </c>
      <c r="W153" s="523">
        <v>0.01582</v>
      </c>
      <c r="X153" s="524">
        <v>38.8</v>
      </c>
      <c r="Y153" s="525">
        <v>91.62627306737747</v>
      </c>
      <c r="Z153" s="524">
        <v>190583</v>
      </c>
      <c r="AA153" s="524">
        <v>4580</v>
      </c>
      <c r="AB153" s="524">
        <v>768</v>
      </c>
      <c r="AC153" s="524">
        <v>4795</v>
      </c>
      <c r="AD153" s="524">
        <v>325</v>
      </c>
      <c r="AE153" s="524">
        <v>41</v>
      </c>
      <c r="AF153" s="524">
        <v>16</v>
      </c>
      <c r="AG153" s="524">
        <v>186</v>
      </c>
    </row>
    <row r="154">
      <c r="A154" s="518" t="s">
        <v>1105</v>
      </c>
      <c r="B154" s="518" t="s">
        <v>1102</v>
      </c>
      <c r="C154" s="518" t="s">
        <v>1106</v>
      </c>
      <c r="D154" s="518">
        <v>2</v>
      </c>
      <c r="E154" s="518">
        <v>9</v>
      </c>
      <c r="F154" s="518">
        <v>9</v>
      </c>
      <c r="G154" s="516">
        <v>18635.769999999997</v>
      </c>
      <c r="H154" s="519">
        <v>7390.67</v>
      </c>
      <c r="I154" s="520">
        <f t="shared" si="0"/>
      </c>
      <c r="J154" s="520">
        <f t="shared" si="1"/>
      </c>
      <c r="K154" s="520">
        <f t="shared" si="2"/>
      </c>
      <c r="L154" s="532"/>
      <c r="M154" s="532"/>
      <c r="N154" s="516"/>
      <c r="O154" s="516"/>
      <c r="P154" s="516"/>
      <c r="Q154" s="519">
        <v>6.604709562109026</v>
      </c>
      <c r="R154" s="523">
        <v>0.19938466095825216</v>
      </c>
      <c r="S154" s="523">
        <v>0.015291481046216075</v>
      </c>
      <c r="T154" s="523">
        <v>0.015441799447921506</v>
      </c>
      <c r="U154" s="523">
        <v>0.184070796460177</v>
      </c>
      <c r="V154" s="524">
        <v>14590.570719602976</v>
      </c>
      <c r="W154" s="523">
        <v>0.02015</v>
      </c>
      <c r="X154" s="524">
        <v>48</v>
      </c>
      <c r="Y154" s="525">
        <v>100.99579108475224</v>
      </c>
      <c r="Z154" s="524">
        <v>73178</v>
      </c>
      <c r="AA154" s="524">
        <v>1119</v>
      </c>
      <c r="AB154" s="524">
        <v>294</v>
      </c>
      <c r="AC154" s="524">
        <v>1130</v>
      </c>
      <c r="AD154" s="524">
        <v>208</v>
      </c>
      <c r="AE154" s="524">
        <v>16</v>
      </c>
      <c r="AF154" s="524">
        <v>6</v>
      </c>
      <c r="AG154" s="524">
        <v>57</v>
      </c>
    </row>
    <row r="155">
      <c r="A155" s="518" t="s">
        <v>1105</v>
      </c>
      <c r="B155" s="516" t="s">
        <v>1045</v>
      </c>
      <c r="C155" s="518" t="s">
        <v>1093</v>
      </c>
      <c r="D155" s="518">
        <v>4</v>
      </c>
      <c r="E155" s="518">
        <v>17</v>
      </c>
      <c r="F155" s="518">
        <v>20</v>
      </c>
      <c r="G155" s="516">
        <v>42360.470000000016</v>
      </c>
      <c r="H155" s="519">
        <v>16603.93</v>
      </c>
      <c r="I155" s="520">
        <f t="shared" si="0"/>
      </c>
      <c r="J155" s="520">
        <f t="shared" si="1"/>
      </c>
      <c r="K155" s="527">
        <f t="shared" si="2"/>
      </c>
      <c r="L155" s="528"/>
      <c r="M155" s="528"/>
      <c r="N155" s="529"/>
      <c r="O155" s="516"/>
      <c r="P155" s="516"/>
      <c r="Q155" s="519">
        <v>4.97272536687631</v>
      </c>
      <c r="R155" s="523">
        <v>0.21831292513239875</v>
      </c>
      <c r="S155" s="523">
        <v>0.020242620446319772</v>
      </c>
      <c r="T155" s="523">
        <v>0.02101255539591025</v>
      </c>
      <c r="U155" s="523">
        <v>0.12088863242931333</v>
      </c>
      <c r="V155" s="524">
        <v>36010.49868766404</v>
      </c>
      <c r="W155" s="523">
        <v>0.01905</v>
      </c>
      <c r="X155" s="524">
        <v>52.25</v>
      </c>
      <c r="Y155" s="525">
        <v>100.66099218546339</v>
      </c>
      <c r="Z155" s="524">
        <v>164949</v>
      </c>
      <c r="AA155" s="524">
        <v>3339</v>
      </c>
      <c r="AB155" s="524">
        <v>686</v>
      </c>
      <c r="AC155" s="524">
        <v>3466</v>
      </c>
      <c r="AD155" s="524">
        <v>419</v>
      </c>
      <c r="AE155" s="524">
        <v>34</v>
      </c>
      <c r="AF155" s="524">
        <v>14</v>
      </c>
      <c r="AG155" s="524">
        <v>174</v>
      </c>
    </row>
    <row r="156">
      <c r="A156" s="518" t="s">
        <v>1105</v>
      </c>
      <c r="B156" s="518" t="s">
        <v>1055</v>
      </c>
      <c r="C156" s="518" t="s">
        <v>1066</v>
      </c>
      <c r="D156" s="518">
        <v>5</v>
      </c>
      <c r="E156" s="518">
        <v>20</v>
      </c>
      <c r="F156" s="518">
        <v>24</v>
      </c>
      <c r="G156" s="516">
        <v>49098.029999999984</v>
      </c>
      <c r="H156" s="519">
        <v>16644.88</v>
      </c>
      <c r="I156" s="520">
        <f t="shared" si="0"/>
      </c>
      <c r="J156" s="520">
        <f t="shared" si="1"/>
      </c>
      <c r="K156" s="527">
        <f t="shared" si="2"/>
      </c>
      <c r="L156" s="528"/>
      <c r="M156" s="528"/>
      <c r="N156" s="529"/>
      <c r="O156" s="516"/>
      <c r="P156" s="516"/>
      <c r="Q156" s="519">
        <v>4.626147859922179</v>
      </c>
      <c r="R156" s="523">
        <v>0.26139524996750335</v>
      </c>
      <c r="S156" s="523">
        <v>0.01824960056808095</v>
      </c>
      <c r="T156" s="523">
        <v>0.01918794856838528</v>
      </c>
      <c r="U156" s="523">
        <v>0.10203542162305049</v>
      </c>
      <c r="V156" s="524">
        <v>51535.38050734313</v>
      </c>
      <c r="W156" s="523">
        <v>0.014979999999999999</v>
      </c>
      <c r="X156" s="524">
        <v>54.8</v>
      </c>
      <c r="Y156" s="525">
        <v>84.42535061246228</v>
      </c>
      <c r="Z156" s="524">
        <v>197155</v>
      </c>
      <c r="AA156" s="524">
        <v>3598</v>
      </c>
      <c r="AB156" s="524">
        <v>772</v>
      </c>
      <c r="AC156" s="524">
        <v>3783</v>
      </c>
      <c r="AD156" s="524">
        <v>386</v>
      </c>
      <c r="AE156" s="524">
        <v>37</v>
      </c>
      <c r="AF156" s="524">
        <v>9</v>
      </c>
      <c r="AG156" s="524">
        <v>177</v>
      </c>
    </row>
    <row r="157">
      <c r="A157" s="518" t="s">
        <v>1105</v>
      </c>
      <c r="B157" s="516" t="s">
        <v>1041</v>
      </c>
      <c r="C157" s="516" t="s">
        <v>1057</v>
      </c>
      <c r="D157" s="516">
        <v>4</v>
      </c>
      <c r="E157" s="518">
        <v>12</v>
      </c>
      <c r="F157" s="518">
        <v>17</v>
      </c>
      <c r="G157" s="516">
        <v>37889.54999999999</v>
      </c>
      <c r="H157" s="519">
        <v>11465.81</v>
      </c>
      <c r="I157" s="520">
        <f t="shared" si="0"/>
      </c>
      <c r="J157" s="520">
        <f t="shared" si="1"/>
      </c>
      <c r="K157" s="527">
        <f t="shared" si="2"/>
      </c>
      <c r="L157" s="518" t="s">
        <v>1047</v>
      </c>
      <c r="M157" s="533">
        <v>10</v>
      </c>
      <c r="N157" s="529"/>
      <c r="O157" s="516"/>
      <c r="P157" s="516"/>
      <c r="Q157" s="525">
        <v>3.234361071932299</v>
      </c>
      <c r="R157" s="523">
        <v>0.2972404129707039</v>
      </c>
      <c r="S157" s="523">
        <v>0.02452438602559668</v>
      </c>
      <c r="T157" s="523">
        <v>0.02583881010031131</v>
      </c>
      <c r="U157" s="523">
        <v>0.09022757697456493</v>
      </c>
      <c r="V157" s="524">
        <v>42966.101694915254</v>
      </c>
      <c r="W157" s="523">
        <v>0.0118</v>
      </c>
      <c r="X157" s="524">
        <v>55.25</v>
      </c>
      <c r="Y157" s="525">
        <v>79.32071947423036</v>
      </c>
      <c r="Z157" s="524">
        <v>144550</v>
      </c>
      <c r="AA157" s="524">
        <v>3545</v>
      </c>
      <c r="AB157" s="524">
        <v>507</v>
      </c>
      <c r="AC157" s="524">
        <v>3735</v>
      </c>
      <c r="AD157" s="524">
        <v>337</v>
      </c>
      <c r="AE157" s="524">
        <v>35</v>
      </c>
      <c r="AF157" s="524">
        <v>5</v>
      </c>
      <c r="AG157" s="524">
        <v>112</v>
      </c>
    </row>
    <row r="158">
      <c r="A158" s="509" t="s">
        <v>1105</v>
      </c>
      <c r="B158" s="510" t="s">
        <v>1048</v>
      </c>
      <c r="C158" s="510"/>
      <c r="D158" s="510">
        <f>SUM(D153:D157)</f>
      </c>
      <c r="E158" s="510">
        <f>SUM(E153:E157)</f>
      </c>
      <c r="F158" s="510">
        <f>SUM(F153:F157)</f>
      </c>
      <c r="G158" s="510">
        <f>SUM(G153:G157)</f>
      </c>
      <c r="H158" s="510">
        <f>SUM(H153:H157)</f>
      </c>
      <c r="I158" s="511">
        <f t="shared" si="0"/>
      </c>
      <c r="J158" s="511">
        <f t="shared" si="1"/>
      </c>
      <c r="K158" s="511">
        <f t="shared" si="2"/>
      </c>
      <c r="L158" s="510"/>
      <c r="M158" s="512">
        <f>SUM(M153:M157)</f>
      </c>
      <c r="N158" s="510"/>
      <c r="O158" s="510"/>
      <c r="P158" s="510"/>
      <c r="Q158" s="513">
        <f>AVERAGE(Q153:Q157)</f>
      </c>
      <c r="R158" s="514">
        <f>AVERAGE(R153:R157)</f>
      </c>
      <c r="S158" s="514">
        <f>AVERAGE(S153:S157)</f>
      </c>
      <c r="T158" s="514">
        <f>AVERAGE(T153:T157)</f>
      </c>
      <c r="U158" s="514">
        <f>AVERAGE(U153:U157)</f>
      </c>
      <c r="V158" s="515">
        <f>SUM(V153:V157)</f>
      </c>
      <c r="W158" s="514">
        <f>AVERAGE(W153:W157)</f>
      </c>
      <c r="X158" s="515"/>
      <c r="Y158" s="513">
        <f>AVERAGE(Y153:Y157)</f>
      </c>
      <c r="Z158" s="515">
        <f>SUM(Z153:Z157)</f>
      </c>
      <c r="AA158" s="515">
        <f>SUM(AA153:AA157)</f>
      </c>
      <c r="AB158" s="515">
        <f>SUM(AB153:AB157)</f>
      </c>
      <c r="AC158" s="515">
        <f>SUM(AC153:AC157)</f>
      </c>
      <c r="AD158" s="515">
        <f>SUM(AD153:AD157)</f>
      </c>
      <c r="AE158" s="515">
        <f>SUM(AE153:AE157)</f>
      </c>
      <c r="AF158" s="515">
        <f>SUM(AF153:AF157)</f>
      </c>
      <c r="AG158" s="515">
        <f>SUM(AG153:AG157)</f>
      </c>
    </row>
    <row r="159">
      <c r="A159" s="518" t="s">
        <v>1107</v>
      </c>
      <c r="B159" s="516" t="s">
        <v>1045</v>
      </c>
      <c r="C159" s="518" t="s">
        <v>1039</v>
      </c>
      <c r="D159" s="518">
        <v>5</v>
      </c>
      <c r="E159" s="518">
        <v>23</v>
      </c>
      <c r="F159" s="518">
        <v>24</v>
      </c>
      <c r="G159" s="516">
        <v>45364.87999999999</v>
      </c>
      <c r="H159" s="519">
        <v>17277.739999999998</v>
      </c>
      <c r="I159" s="520">
        <f t="shared" si="0"/>
      </c>
      <c r="J159" s="520">
        <f t="shared" si="1"/>
      </c>
      <c r="K159" s="520">
        <f t="shared" si="2"/>
      </c>
      <c r="L159" s="518" t="s">
        <v>1090</v>
      </c>
      <c r="M159" s="531">
        <v>10</v>
      </c>
      <c r="N159" s="516"/>
      <c r="O159" s="516"/>
      <c r="P159" s="516"/>
      <c r="Q159" s="522">
        <v>3.5405204918032784</v>
      </c>
      <c r="R159" s="523">
        <v>0.25374898769206816</v>
      </c>
      <c r="S159" s="523">
        <v>0.025005764648612643</v>
      </c>
      <c r="T159" s="523">
        <v>0.026553252542850556</v>
      </c>
      <c r="U159" s="523">
        <v>0.08394442300270166</v>
      </c>
      <c r="V159" s="524">
        <v>49520.383693045565</v>
      </c>
      <c r="W159" s="523">
        <v>0.01668</v>
      </c>
      <c r="X159" s="524">
        <v>40.4</v>
      </c>
      <c r="Y159" s="525">
        <v>88.53342215162306</v>
      </c>
      <c r="Z159" s="524">
        <v>195155</v>
      </c>
      <c r="AA159" s="524">
        <v>4880</v>
      </c>
      <c r="AB159" s="524">
        <v>826</v>
      </c>
      <c r="AC159" s="524">
        <v>5182</v>
      </c>
      <c r="AD159" s="524">
        <v>435</v>
      </c>
      <c r="AE159" s="524">
        <v>34</v>
      </c>
      <c r="AF159" s="524">
        <v>10</v>
      </c>
      <c r="AG159" s="524">
        <v>176</v>
      </c>
    </row>
    <row r="160">
      <c r="A160" s="518" t="s">
        <v>1107</v>
      </c>
      <c r="B160" s="516" t="s">
        <v>1038</v>
      </c>
      <c r="C160" s="518" t="s">
        <v>1042</v>
      </c>
      <c r="D160" s="518">
        <v>5</v>
      </c>
      <c r="E160" s="518">
        <v>30</v>
      </c>
      <c r="F160" s="518">
        <v>35</v>
      </c>
      <c r="G160" s="516">
        <v>74609.62000000001</v>
      </c>
      <c r="H160" s="519">
        <v>19409.489999999998</v>
      </c>
      <c r="I160" s="520">
        <f t="shared" si="0"/>
      </c>
      <c r="J160" s="520">
        <f t="shared" si="1"/>
      </c>
      <c r="K160" s="520">
        <f t="shared" si="2"/>
      </c>
      <c r="L160" s="532"/>
      <c r="M160" s="532"/>
      <c r="N160" s="516"/>
      <c r="O160" s="516"/>
      <c r="P160" s="516"/>
      <c r="Q160" s="519">
        <v>5.701965334900117</v>
      </c>
      <c r="R160" s="523">
        <v>0.18035580874112814</v>
      </c>
      <c r="S160" s="523">
        <v>0.016954302079442162</v>
      </c>
      <c r="T160" s="523">
        <v>0.01763167725065372</v>
      </c>
      <c r="U160" s="523">
        <v>0.1310734463276836</v>
      </c>
      <c r="V160" s="524">
        <v>36210.9375</v>
      </c>
      <c r="W160" s="523">
        <v>0.0256</v>
      </c>
      <c r="X160" s="524">
        <v>54</v>
      </c>
      <c r="Y160" s="525">
        <v>96.67284273440417</v>
      </c>
      <c r="Z160" s="524">
        <v>200775</v>
      </c>
      <c r="AA160" s="524">
        <v>3404</v>
      </c>
      <c r="AB160" s="524">
        <v>927</v>
      </c>
      <c r="AC160" s="524">
        <v>3540</v>
      </c>
      <c r="AD160" s="524">
        <v>464</v>
      </c>
      <c r="AE160" s="524">
        <v>33</v>
      </c>
      <c r="AF160" s="524">
        <v>22</v>
      </c>
      <c r="AG160" s="524">
        <v>198</v>
      </c>
    </row>
    <row r="161">
      <c r="A161" s="518" t="s">
        <v>1107</v>
      </c>
      <c r="B161" s="518" t="s">
        <v>1102</v>
      </c>
      <c r="C161" s="518" t="s">
        <v>1108</v>
      </c>
      <c r="D161" s="518">
        <v>2</v>
      </c>
      <c r="E161" s="518">
        <v>4</v>
      </c>
      <c r="F161" s="518">
        <v>4</v>
      </c>
      <c r="G161" s="516">
        <v>8693.690000000002</v>
      </c>
      <c r="H161" s="519">
        <v>7601.35</v>
      </c>
      <c r="I161" s="520">
        <f t="shared" si="0"/>
      </c>
      <c r="J161" s="520">
        <f t="shared" si="1"/>
      </c>
      <c r="K161" s="527">
        <f t="shared" si="2"/>
      </c>
      <c r="L161" s="528"/>
      <c r="M161" s="528"/>
      <c r="N161" s="529"/>
      <c r="O161" s="516"/>
      <c r="P161" s="516"/>
      <c r="Q161" s="519">
        <v>5.4140669515669515</v>
      </c>
      <c r="R161" s="523">
        <v>0.26695381891911363</v>
      </c>
      <c r="S161" s="523">
        <v>0.01569206008583691</v>
      </c>
      <c r="T161" s="523">
        <v>0.01640736766809728</v>
      </c>
      <c r="U161" s="523">
        <v>0.1164850136239782</v>
      </c>
      <c r="V161" s="524">
        <v>23884.892086330936</v>
      </c>
      <c r="W161" s="523">
        <v>0.0139</v>
      </c>
      <c r="X161" s="524">
        <v>57.5</v>
      </c>
      <c r="Y161" s="525">
        <v>84.95786391273248</v>
      </c>
      <c r="Z161" s="524">
        <v>89472</v>
      </c>
      <c r="AA161" s="524">
        <v>1404</v>
      </c>
      <c r="AB161" s="524">
        <v>332</v>
      </c>
      <c r="AC161" s="524">
        <v>1468</v>
      </c>
      <c r="AD161" s="524">
        <v>171</v>
      </c>
      <c r="AE161" s="524">
        <v>18</v>
      </c>
      <c r="AF161" s="524">
        <v>7</v>
      </c>
      <c r="AG161" s="524">
        <v>70</v>
      </c>
    </row>
    <row r="162">
      <c r="A162" s="518" t="s">
        <v>1107</v>
      </c>
      <c r="B162" s="516" t="s">
        <v>1041</v>
      </c>
      <c r="C162" s="518" t="s">
        <v>1056</v>
      </c>
      <c r="D162" s="518">
        <v>4</v>
      </c>
      <c r="E162" s="518">
        <v>15</v>
      </c>
      <c r="F162" s="518">
        <v>19</v>
      </c>
      <c r="G162" s="516">
        <v>41433.09</v>
      </c>
      <c r="H162" s="519">
        <v>13392.09</v>
      </c>
      <c r="I162" s="520">
        <f t="shared" si="0"/>
      </c>
      <c r="J162" s="520">
        <f t="shared" si="1"/>
      </c>
      <c r="K162" s="527">
        <f t="shared" si="2"/>
      </c>
      <c r="L162" s="528"/>
      <c r="M162" s="528"/>
      <c r="N162" s="529"/>
      <c r="O162" s="516"/>
      <c r="P162" s="516"/>
      <c r="Q162" s="519">
        <v>4.989601341281669</v>
      </c>
      <c r="R162" s="523">
        <v>0.311687098005606</v>
      </c>
      <c r="S162" s="523">
        <v>0.017034672285654445</v>
      </c>
      <c r="T162" s="523">
        <v>0.017612226375816352</v>
      </c>
      <c r="U162" s="523">
        <v>0.10486486486486486</v>
      </c>
      <c r="V162" s="524">
        <v>49109.73084886129</v>
      </c>
      <c r="W162" s="523">
        <v>0.012074999999999999</v>
      </c>
      <c r="X162" s="524">
        <v>56.75</v>
      </c>
      <c r="Y162" s="525">
        <v>84.9962236847951</v>
      </c>
      <c r="Z162" s="524">
        <v>157561</v>
      </c>
      <c r="AA162" s="524">
        <v>2684</v>
      </c>
      <c r="AB162" s="524">
        <v>593</v>
      </c>
      <c r="AC162" s="524">
        <v>2775</v>
      </c>
      <c r="AD162" s="524">
        <v>291</v>
      </c>
      <c r="AE162" s="524">
        <v>18</v>
      </c>
      <c r="AF162" s="524">
        <v>7</v>
      </c>
      <c r="AG162" s="524">
        <v>120</v>
      </c>
    </row>
    <row r="163">
      <c r="A163" s="518" t="s">
        <v>1107</v>
      </c>
      <c r="B163" s="518" t="s">
        <v>1055</v>
      </c>
      <c r="C163" s="516" t="s">
        <v>1057</v>
      </c>
      <c r="D163" s="516">
        <v>4</v>
      </c>
      <c r="E163" s="518">
        <v>18</v>
      </c>
      <c r="F163" s="518">
        <v>18</v>
      </c>
      <c r="G163" s="516">
        <v>31124.25</v>
      </c>
      <c r="H163" s="519">
        <v>11954.98</v>
      </c>
      <c r="I163" s="520">
        <f t="shared" si="0"/>
      </c>
      <c r="J163" s="520">
        <f t="shared" si="1"/>
      </c>
      <c r="K163" s="527">
        <f t="shared" si="2"/>
      </c>
      <c r="L163" s="518" t="s">
        <v>1047</v>
      </c>
      <c r="M163" s="533">
        <v>10</v>
      </c>
      <c r="N163" s="529"/>
      <c r="O163" s="516"/>
      <c r="P163" s="516"/>
      <c r="Q163" s="525">
        <v>3.5933213104899306</v>
      </c>
      <c r="R163" s="523">
        <v>0.2914</v>
      </c>
      <c r="S163" s="523">
        <v>0.0193</v>
      </c>
      <c r="T163" s="523">
        <v>0.02</v>
      </c>
      <c r="U163" s="523">
        <v>0.096</v>
      </c>
      <c r="V163" s="524">
        <v>50254</v>
      </c>
      <c r="W163" s="523">
        <v>0.0118</v>
      </c>
      <c r="X163" s="524">
        <v>57.25</v>
      </c>
      <c r="Y163" s="525">
        <v>69.32</v>
      </c>
      <c r="Z163" s="524">
        <v>172450</v>
      </c>
      <c r="AA163" s="524">
        <v>3327</v>
      </c>
      <c r="AB163" s="524">
        <v>593</v>
      </c>
      <c r="AC163" s="524">
        <v>3457</v>
      </c>
      <c r="AD163" s="524">
        <v>332</v>
      </c>
      <c r="AE163" s="524">
        <v>39</v>
      </c>
      <c r="AF163" s="524">
        <v>8</v>
      </c>
      <c r="AG163" s="524">
        <v>138</v>
      </c>
    </row>
    <row r="164">
      <c r="A164" s="534" t="s">
        <v>1107</v>
      </c>
      <c r="B164" s="535" t="s">
        <v>1048</v>
      </c>
      <c r="C164" s="535"/>
      <c r="D164" s="535">
        <f>SUM(D159:D163)</f>
      </c>
      <c r="E164" s="535">
        <f>SUM(E159:E163)</f>
      </c>
      <c r="F164" s="535">
        <f>SUM(F159:F163)</f>
      </c>
      <c r="G164" s="535">
        <f>SUM(G159:G163)</f>
      </c>
      <c r="H164" s="535">
        <f>SUM(H159:H163)</f>
      </c>
      <c r="I164" s="536">
        <f t="shared" si="0"/>
      </c>
      <c r="J164" s="536">
        <f t="shared" si="1"/>
      </c>
      <c r="K164" s="536">
        <f t="shared" si="2"/>
      </c>
      <c r="L164" s="537"/>
      <c r="M164" s="538">
        <f>SUM(M159:M163)</f>
      </c>
      <c r="N164" s="535"/>
      <c r="O164" s="535"/>
      <c r="P164" s="535"/>
      <c r="Q164" s="539">
        <f>AVERAGE(Q159:Q163)</f>
      </c>
      <c r="R164" s="540">
        <f>AVERAGE(R159:R163)</f>
      </c>
      <c r="S164" s="540">
        <f>AVERAGE(S159:S163)</f>
      </c>
      <c r="T164" s="540">
        <f>AVERAGE(T159:T163)</f>
      </c>
      <c r="U164" s="540">
        <f>AVERAGE(U159:U163)</f>
      </c>
      <c r="V164" s="541">
        <f>SUM(V159:V163)</f>
      </c>
      <c r="W164" s="540">
        <f>AVERAGE(W159:W163)</f>
      </c>
      <c r="X164" s="541"/>
      <c r="Y164" s="539">
        <f>AVERAGE(Y159:Y163)</f>
      </c>
      <c r="Z164" s="541">
        <f>SUM(Z159:Z163)</f>
      </c>
      <c r="AA164" s="541">
        <f>SUM(AA159:AA163)</f>
      </c>
      <c r="AB164" s="541">
        <f>SUM(AB159:AB163)</f>
      </c>
      <c r="AC164" s="541">
        <f>SUM(AC159:AC163)</f>
      </c>
      <c r="AD164" s="541">
        <f>SUM(AD159:AD163)</f>
      </c>
      <c r="AE164" s="541">
        <f>SUM(AE159:AE163)</f>
      </c>
      <c r="AF164" s="541">
        <f>SUM(AF159:AF163)</f>
      </c>
      <c r="AG164" s="541">
        <f>SUM(AG159:AG163)</f>
      </c>
    </row>
    <row r="165">
      <c r="A165" s="518" t="s">
        <v>1109</v>
      </c>
      <c r="B165" s="518" t="s">
        <v>1051</v>
      </c>
      <c r="C165" s="518" t="s">
        <v>1110</v>
      </c>
      <c r="D165" s="518">
        <v>2</v>
      </c>
      <c r="E165" s="518">
        <v>6</v>
      </c>
      <c r="F165" s="518">
        <v>8</v>
      </c>
      <c r="G165" s="516">
        <v>16466.95</v>
      </c>
      <c r="H165" s="519">
        <v>6583</v>
      </c>
      <c r="I165" s="520">
        <f t="shared" si="0"/>
      </c>
      <c r="J165" s="520">
        <f t="shared" si="1"/>
      </c>
      <c r="K165" s="520">
        <f t="shared" si="2"/>
      </c>
      <c r="L165" s="518" t="s">
        <v>1090</v>
      </c>
      <c r="M165" s="531">
        <v>8</v>
      </c>
      <c r="N165" s="516"/>
      <c r="O165" s="516"/>
      <c r="P165" s="516"/>
      <c r="Q165" s="522">
        <v>4.137649277184161</v>
      </c>
      <c r="R165" s="523">
        <v>0.341942960128031</v>
      </c>
      <c r="S165" s="523">
        <v>0.023719009496548742</v>
      </c>
      <c r="T165" s="523">
        <v>0.02476258628143775</v>
      </c>
      <c r="U165" s="523">
        <v>0.11920529801324503</v>
      </c>
      <c r="V165" s="524">
        <v>22936.507936507936</v>
      </c>
      <c r="W165" s="523">
        <v>0.0126</v>
      </c>
      <c r="X165" s="524">
        <v>44</v>
      </c>
      <c r="Y165" s="525">
        <v>98.14094249891915</v>
      </c>
      <c r="Z165" s="524">
        <v>67077</v>
      </c>
      <c r="AA165" s="524">
        <v>1591</v>
      </c>
      <c r="AB165" s="524">
        <v>289</v>
      </c>
      <c r="AC165" s="524">
        <v>1661</v>
      </c>
      <c r="AD165" s="524">
        <v>198</v>
      </c>
      <c r="AE165" s="524">
        <v>14</v>
      </c>
      <c r="AF165" s="524">
        <v>7</v>
      </c>
      <c r="AG165" s="524">
        <v>72</v>
      </c>
    </row>
    <row r="166">
      <c r="A166" s="518" t="s">
        <v>1109</v>
      </c>
      <c r="B166" s="516" t="s">
        <v>1045</v>
      </c>
      <c r="C166" s="518" t="s">
        <v>1064</v>
      </c>
      <c r="D166" s="518">
        <v>4</v>
      </c>
      <c r="E166" s="518">
        <v>24</v>
      </c>
      <c r="F166" s="518">
        <v>28</v>
      </c>
      <c r="G166" s="516">
        <v>62380.42000000001</v>
      </c>
      <c r="H166" s="519">
        <v>15371.17</v>
      </c>
      <c r="I166" s="520">
        <f t="shared" si="0"/>
      </c>
      <c r="J166" s="520">
        <f t="shared" si="1"/>
      </c>
      <c r="K166" s="520">
        <f t="shared" si="2"/>
      </c>
      <c r="L166" s="532"/>
      <c r="M166" s="532"/>
      <c r="N166" s="516"/>
      <c r="O166" s="516"/>
      <c r="P166" s="516"/>
      <c r="Q166" s="519">
        <v>4.9680575307045896</v>
      </c>
      <c r="R166" s="523">
        <v>0.23094315939202642</v>
      </c>
      <c r="S166" s="523">
        <v>0.020221429224997714</v>
      </c>
      <c r="T166" s="523">
        <v>0.020365214436035187</v>
      </c>
      <c r="U166" s="523">
        <v>0.12387676508344031</v>
      </c>
      <c r="V166" s="524">
        <v>35335.68904593639</v>
      </c>
      <c r="W166" s="523">
        <v>0.021225</v>
      </c>
      <c r="X166" s="524">
        <v>61.25</v>
      </c>
      <c r="Y166" s="525">
        <v>100.46122374285976</v>
      </c>
      <c r="Z166" s="524">
        <v>153006</v>
      </c>
      <c r="AA166" s="524">
        <v>3094</v>
      </c>
      <c r="AB166" s="524">
        <v>750</v>
      </c>
      <c r="AC166" s="524">
        <v>3116</v>
      </c>
      <c r="AD166" s="524">
        <v>386</v>
      </c>
      <c r="AE166" s="524">
        <v>39</v>
      </c>
      <c r="AF166" s="524">
        <v>10</v>
      </c>
      <c r="AG166" s="524">
        <v>222</v>
      </c>
    </row>
    <row r="167">
      <c r="A167" s="518" t="s">
        <v>1109</v>
      </c>
      <c r="B167" s="516" t="s">
        <v>1038</v>
      </c>
      <c r="C167" s="518" t="s">
        <v>1054</v>
      </c>
      <c r="D167" s="516">
        <v>4</v>
      </c>
      <c r="E167" s="518">
        <v>13</v>
      </c>
      <c r="F167" s="518">
        <v>21</v>
      </c>
      <c r="G167" s="516">
        <v>44828.07</v>
      </c>
      <c r="H167" s="519">
        <v>15358.029999999999</v>
      </c>
      <c r="I167" s="520">
        <f t="shared" si="0"/>
      </c>
      <c r="J167" s="520">
        <f t="shared" si="1"/>
      </c>
      <c r="K167" s="527">
        <f t="shared" si="2"/>
      </c>
      <c r="L167" s="528"/>
      <c r="M167" s="528"/>
      <c r="N167" s="529"/>
      <c r="O167" s="516"/>
      <c r="P167" s="516"/>
      <c r="Q167" s="519">
        <v>5.550426454644018</v>
      </c>
      <c r="R167" s="523">
        <v>0.2542517265577487</v>
      </c>
      <c r="S167" s="523">
        <v>0.017046259618168712</v>
      </c>
      <c r="T167" s="523">
        <v>0.017637673034628487</v>
      </c>
      <c r="U167" s="523">
        <v>0.11631156129933636</v>
      </c>
      <c r="V167" s="524">
        <v>41270.90301003344</v>
      </c>
      <c r="W167" s="523">
        <v>0.01495</v>
      </c>
      <c r="X167" s="524">
        <v>63.75</v>
      </c>
      <c r="Y167" s="525">
        <v>94.61401033741366</v>
      </c>
      <c r="Z167" s="524">
        <v>162323</v>
      </c>
      <c r="AA167" s="524">
        <v>2767</v>
      </c>
      <c r="AB167" s="524">
        <v>617</v>
      </c>
      <c r="AC167" s="524">
        <v>2863</v>
      </c>
      <c r="AD167" s="524">
        <v>333</v>
      </c>
      <c r="AE167" s="524">
        <v>49</v>
      </c>
      <c r="AF167" s="524">
        <v>10</v>
      </c>
      <c r="AG167" s="524">
        <v>216</v>
      </c>
    </row>
    <row r="168">
      <c r="A168" s="518" t="s">
        <v>1109</v>
      </c>
      <c r="B168" s="516" t="s">
        <v>1041</v>
      </c>
      <c r="C168" s="518" t="s">
        <v>1056</v>
      </c>
      <c r="D168" s="518">
        <v>4</v>
      </c>
      <c r="E168" s="518">
        <v>8</v>
      </c>
      <c r="F168" s="518">
        <v>12</v>
      </c>
      <c r="G168" s="516">
        <v>24237.410000000018</v>
      </c>
      <c r="H168" s="519">
        <v>13935.76</v>
      </c>
      <c r="I168" s="520">
        <f t="shared" si="0"/>
      </c>
      <c r="J168" s="520">
        <f t="shared" si="1"/>
      </c>
      <c r="K168" s="527">
        <f t="shared" si="2"/>
      </c>
      <c r="L168" s="528"/>
      <c r="M168" s="528"/>
      <c r="N168" s="529"/>
      <c r="O168" s="516"/>
      <c r="P168" s="516"/>
      <c r="Q168" s="519">
        <v>4.862442428471738</v>
      </c>
      <c r="R168" s="523">
        <v>0.2869622368610861</v>
      </c>
      <c r="S168" s="523">
        <v>0.01603159331438928</v>
      </c>
      <c r="T168" s="523">
        <v>0.016294498019824133</v>
      </c>
      <c r="U168" s="523">
        <v>0.1462409886714727</v>
      </c>
      <c r="V168" s="524">
        <v>51300.813008130084</v>
      </c>
      <c r="W168" s="523">
        <v>0.0123</v>
      </c>
      <c r="X168" s="524">
        <v>63.5</v>
      </c>
      <c r="Y168" s="525">
        <v>77.95269952789027</v>
      </c>
      <c r="Z168" s="524">
        <v>178772</v>
      </c>
      <c r="AA168" s="524">
        <v>2866</v>
      </c>
      <c r="AB168" s="524">
        <v>631</v>
      </c>
      <c r="AC168" s="524">
        <v>2913</v>
      </c>
      <c r="AD168" s="524">
        <v>426</v>
      </c>
      <c r="AE168" s="524">
        <v>30</v>
      </c>
      <c r="AF168" s="524">
        <v>13</v>
      </c>
      <c r="AG168" s="524">
        <v>202</v>
      </c>
    </row>
    <row r="169">
      <c r="A169" s="518" t="s">
        <v>1109</v>
      </c>
      <c r="B169" s="518" t="s">
        <v>1055</v>
      </c>
      <c r="C169" s="516" t="s">
        <v>1057</v>
      </c>
      <c r="D169" s="516">
        <v>4</v>
      </c>
      <c r="E169" s="518">
        <v>14</v>
      </c>
      <c r="F169" s="518">
        <v>18</v>
      </c>
      <c r="G169" s="516">
        <v>30597.75</v>
      </c>
      <c r="H169" s="519">
        <v>10978.420000000002</v>
      </c>
      <c r="I169" s="520">
        <f t="shared" si="0"/>
      </c>
      <c r="J169" s="520">
        <f t="shared" si="1"/>
      </c>
      <c r="K169" s="527">
        <f t="shared" si="2"/>
      </c>
      <c r="L169" s="518" t="s">
        <v>1047</v>
      </c>
      <c r="M169" s="533">
        <v>10</v>
      </c>
      <c r="N169" s="529"/>
      <c r="O169" s="516"/>
      <c r="P169" s="516"/>
      <c r="Q169" s="525">
        <v>2.320019031507719</v>
      </c>
      <c r="R169" s="523">
        <v>0.3496</v>
      </c>
      <c r="S169" s="523">
        <v>0.0276</v>
      </c>
      <c r="T169" s="523">
        <v>0.0287</v>
      </c>
      <c r="U169" s="523">
        <v>0.063</v>
      </c>
      <c r="V169" s="524">
        <v>59896</v>
      </c>
      <c r="W169" s="523">
        <v>0.0097</v>
      </c>
      <c r="X169" s="524">
        <v>60.75</v>
      </c>
      <c r="Y169" s="525">
        <v>64.04</v>
      </c>
      <c r="Z169" s="524">
        <v>171330</v>
      </c>
      <c r="AA169" s="524">
        <v>4729</v>
      </c>
      <c r="AB169" s="524">
        <v>578</v>
      </c>
      <c r="AC169" s="524">
        <v>4918</v>
      </c>
      <c r="AD169" s="524">
        <v>310</v>
      </c>
      <c r="AE169" s="524">
        <v>35</v>
      </c>
      <c r="AF169" s="524">
        <v>9</v>
      </c>
      <c r="AG169" s="524">
        <v>143</v>
      </c>
    </row>
    <row r="170">
      <c r="A170" s="509" t="s">
        <v>1109</v>
      </c>
      <c r="B170" s="510" t="s">
        <v>1048</v>
      </c>
      <c r="C170" s="510"/>
      <c r="D170" s="510">
        <f>SUM(D165:D169)</f>
      </c>
      <c r="E170" s="510">
        <f>SUM(E165:E169)</f>
      </c>
      <c r="F170" s="510">
        <f>SUM(F165:F169)</f>
      </c>
      <c r="G170" s="510">
        <f>SUM(G165:G169)</f>
      </c>
      <c r="H170" s="510">
        <f>SUM(H165:H169)</f>
      </c>
      <c r="I170" s="511">
        <f t="shared" si="0"/>
      </c>
      <c r="J170" s="511">
        <f t="shared" si="1"/>
      </c>
      <c r="K170" s="511">
        <f t="shared" si="2"/>
      </c>
      <c r="L170" s="510"/>
      <c r="M170" s="512">
        <f>SUM(M165:M169)</f>
      </c>
      <c r="N170" s="510"/>
      <c r="O170" s="510"/>
      <c r="P170" s="510"/>
      <c r="Q170" s="513">
        <f>AVERAGE(Q165:Q169)</f>
      </c>
      <c r="R170" s="514">
        <f>AVERAGE(R165:R169)</f>
      </c>
      <c r="S170" s="514">
        <f>AVERAGE(S165:S169)</f>
      </c>
      <c r="T170" s="514">
        <f>AVERAGE(T165:T169)</f>
      </c>
      <c r="U170" s="514">
        <f>AVERAGE(U165:U169)</f>
      </c>
      <c r="V170" s="515">
        <f>SUM(V165:V169)</f>
      </c>
      <c r="W170" s="514">
        <f>AVERAGE(W165:W169)</f>
      </c>
      <c r="X170" s="515"/>
      <c r="Y170" s="513">
        <f>AVERAGE(Y165:Y169)</f>
      </c>
      <c r="Z170" s="515">
        <f>SUM(Z165:Z169)</f>
      </c>
      <c r="AA170" s="515">
        <f>SUM(AA165:AA169)</f>
      </c>
      <c r="AB170" s="515">
        <f>SUM(AB165:AB169)</f>
      </c>
      <c r="AC170" s="515">
        <f>SUM(AC165:AC169)</f>
      </c>
      <c r="AD170" s="515">
        <f>SUM(AD165:AD169)</f>
      </c>
      <c r="AE170" s="515">
        <f>SUM(AE165:AE169)</f>
      </c>
      <c r="AF170" s="515">
        <f>SUM(AF165:AF169)</f>
      </c>
      <c r="AG170" s="515">
        <f>SUM(AG165:AG169)</f>
      </c>
    </row>
    <row r="171">
      <c r="A171" s="518" t="s">
        <v>1111</v>
      </c>
      <c r="B171" s="516" t="s">
        <v>1045</v>
      </c>
      <c r="C171" s="518" t="s">
        <v>1039</v>
      </c>
      <c r="D171" s="518">
        <v>5</v>
      </c>
      <c r="E171" s="518">
        <v>22</v>
      </c>
      <c r="F171" s="518">
        <v>30</v>
      </c>
      <c r="G171" s="516">
        <v>61435.95000000001</v>
      </c>
      <c r="H171" s="519">
        <v>19035.36</v>
      </c>
      <c r="I171" s="520">
        <f t="shared" si="0"/>
      </c>
      <c r="J171" s="520">
        <f t="shared" si="1"/>
      </c>
      <c r="K171" s="520">
        <f t="shared" si="2"/>
      </c>
      <c r="L171" s="518" t="s">
        <v>1040</v>
      </c>
      <c r="M171" s="521">
        <v>10</v>
      </c>
      <c r="N171" s="516"/>
      <c r="O171" s="516"/>
      <c r="P171" s="516"/>
      <c r="Q171" s="522">
        <v>3.9574553014553016</v>
      </c>
      <c r="R171" s="523">
        <v>0.2178182436731379</v>
      </c>
      <c r="S171" s="523">
        <v>0.021011523575715747</v>
      </c>
      <c r="T171" s="523">
        <v>0.021968181301928166</v>
      </c>
      <c r="U171" s="523">
        <v>0.06979518791012129</v>
      </c>
      <c r="V171" s="524">
        <v>49863.38797814208</v>
      </c>
      <c r="W171" s="523">
        <v>0.02196</v>
      </c>
      <c r="X171" s="524">
        <v>44</v>
      </c>
      <c r="Y171" s="525">
        <v>83.15216536636933</v>
      </c>
      <c r="Z171" s="524">
        <v>228922</v>
      </c>
      <c r="AA171" s="524">
        <v>4810</v>
      </c>
      <c r="AB171" s="524">
        <v>1095</v>
      </c>
      <c r="AC171" s="524">
        <v>5029</v>
      </c>
      <c r="AD171" s="524">
        <v>351</v>
      </c>
      <c r="AE171" s="524">
        <v>48</v>
      </c>
      <c r="AF171" s="524">
        <v>6</v>
      </c>
      <c r="AG171" s="524">
        <v>294</v>
      </c>
    </row>
    <row r="172">
      <c r="A172" s="518" t="s">
        <v>1111</v>
      </c>
      <c r="B172" s="516" t="s">
        <v>1055</v>
      </c>
      <c r="C172" s="518" t="s">
        <v>1042</v>
      </c>
      <c r="D172" s="518">
        <v>5</v>
      </c>
      <c r="E172" s="518">
        <v>32</v>
      </c>
      <c r="F172" s="518">
        <v>41</v>
      </c>
      <c r="G172" s="516">
        <v>83836.12</v>
      </c>
      <c r="H172" s="519">
        <v>20757.65</v>
      </c>
      <c r="I172" s="520">
        <f t="shared" si="0"/>
      </c>
      <c r="J172" s="520">
        <f t="shared" si="1"/>
      </c>
      <c r="K172" s="520">
        <f t="shared" si="2"/>
      </c>
      <c r="L172" s="518"/>
      <c r="M172" s="518"/>
      <c r="N172" s="516"/>
      <c r="O172" s="516"/>
      <c r="P172" s="516"/>
      <c r="Q172" s="519">
        <v>7.058024481468888</v>
      </c>
      <c r="R172" s="523">
        <v>0.1541852719671589</v>
      </c>
      <c r="S172" s="523">
        <v>0.012454528900351064</v>
      </c>
      <c r="T172" s="523">
        <v>0.012691677359521298</v>
      </c>
      <c r="U172" s="523">
        <v>0.14280947614280948</v>
      </c>
      <c r="V172" s="524">
        <v>36409.155937052936</v>
      </c>
      <c r="W172" s="523">
        <v>0.027959999999999995</v>
      </c>
      <c r="X172" s="524">
        <v>59.2</v>
      </c>
      <c r="Y172" s="525">
        <v>87.9043698838396</v>
      </c>
      <c r="Z172" s="524">
        <v>236139</v>
      </c>
      <c r="AA172" s="524">
        <v>2941</v>
      </c>
      <c r="AB172" s="524">
        <v>1018</v>
      </c>
      <c r="AC172" s="524">
        <v>2997</v>
      </c>
      <c r="AD172" s="524">
        <v>428</v>
      </c>
      <c r="AE172" s="524">
        <v>39</v>
      </c>
      <c r="AF172" s="524">
        <v>15</v>
      </c>
      <c r="AG172" s="524">
        <v>278</v>
      </c>
    </row>
    <row r="173">
      <c r="A173" s="518" t="s">
        <v>1111</v>
      </c>
      <c r="B173" s="516" t="s">
        <v>1041</v>
      </c>
      <c r="C173" s="518" t="s">
        <v>1112</v>
      </c>
      <c r="D173" s="518">
        <v>4</v>
      </c>
      <c r="E173" s="518">
        <v>13</v>
      </c>
      <c r="F173" s="518">
        <v>13</v>
      </c>
      <c r="G173" s="516">
        <v>29338.120000000006</v>
      </c>
      <c r="H173" s="519">
        <v>13526.289999999999</v>
      </c>
      <c r="I173" s="520">
        <f t="shared" si="0"/>
      </c>
      <c r="J173" s="520">
        <f t="shared" si="1"/>
      </c>
      <c r="K173" s="527">
        <f t="shared" si="2"/>
      </c>
      <c r="L173" s="518" t="s">
        <v>1113</v>
      </c>
      <c r="M173" s="518">
        <v>3</v>
      </c>
      <c r="N173" s="529"/>
      <c r="O173" s="516"/>
      <c r="P173" s="516"/>
      <c r="Q173" s="519">
        <v>5.777996582656984</v>
      </c>
      <c r="R173" s="523">
        <v>0.17455459675364274</v>
      </c>
      <c r="S173" s="523">
        <v>0.012274216804299383</v>
      </c>
      <c r="T173" s="523">
        <v>0.012677939441604405</v>
      </c>
      <c r="U173" s="523">
        <v>0.13192721257237386</v>
      </c>
      <c r="V173" s="524">
        <v>33291.92546583851</v>
      </c>
      <c r="W173" s="523">
        <v>0.020125</v>
      </c>
      <c r="X173" s="524">
        <v>52</v>
      </c>
      <c r="Y173" s="525">
        <v>70.92038275003276</v>
      </c>
      <c r="Z173" s="524">
        <v>190725</v>
      </c>
      <c r="AA173" s="524">
        <v>2341</v>
      </c>
      <c r="AB173" s="524">
        <v>670</v>
      </c>
      <c r="AC173" s="524">
        <v>2418</v>
      </c>
      <c r="AD173" s="524">
        <v>319</v>
      </c>
      <c r="AE173" s="524">
        <v>21</v>
      </c>
      <c r="AF173" s="524">
        <v>7</v>
      </c>
      <c r="AG173" s="524">
        <v>221</v>
      </c>
    </row>
    <row r="174">
      <c r="A174" s="518" t="s">
        <v>1111</v>
      </c>
      <c r="B174" s="516" t="s">
        <v>1038</v>
      </c>
      <c r="C174" s="518" t="s">
        <v>1082</v>
      </c>
      <c r="D174" s="518">
        <v>5</v>
      </c>
      <c r="E174" s="518">
        <v>9</v>
      </c>
      <c r="F174" s="518">
        <v>15</v>
      </c>
      <c r="G174" s="516">
        <v>32713.03</v>
      </c>
      <c r="H174" s="519">
        <v>16104.05</v>
      </c>
      <c r="I174" s="520">
        <f t="shared" si="0"/>
      </c>
      <c r="J174" s="520">
        <f t="shared" si="1"/>
      </c>
      <c r="K174" s="527">
        <f t="shared" si="2"/>
      </c>
      <c r="L174" s="518" t="s">
        <v>1114</v>
      </c>
      <c r="M174" s="518">
        <v>6</v>
      </c>
      <c r="N174" s="529"/>
      <c r="O174" s="516"/>
      <c r="P174" s="516"/>
      <c r="Q174" s="519">
        <v>3.8643988480921525</v>
      </c>
      <c r="R174" s="523">
        <v>0.19179602463273226</v>
      </c>
      <c r="S174" s="523">
        <v>0.01819364641366423</v>
      </c>
      <c r="T174" s="523">
        <v>0.01956024380446742</v>
      </c>
      <c r="U174" s="523">
        <v>0.06138392857142857</v>
      </c>
      <c r="V174" s="524">
        <v>43928.194297782466</v>
      </c>
      <c r="W174" s="523">
        <v>0.018940000000000002</v>
      </c>
      <c r="X174" s="524">
        <v>15.4</v>
      </c>
      <c r="Y174" s="525">
        <v>70.30750624355996</v>
      </c>
      <c r="Z174" s="524">
        <v>229036</v>
      </c>
      <c r="AA174" s="524">
        <v>4167</v>
      </c>
      <c r="AB174" s="524">
        <v>832</v>
      </c>
      <c r="AC174" s="524">
        <v>4480</v>
      </c>
      <c r="AD174" s="524">
        <v>275</v>
      </c>
      <c r="AE174" s="524">
        <v>39</v>
      </c>
      <c r="AF174" s="524">
        <v>5</v>
      </c>
      <c r="AG174" s="524">
        <v>244</v>
      </c>
    </row>
    <row r="175">
      <c r="A175" s="509" t="s">
        <v>1111</v>
      </c>
      <c r="B175" s="510" t="s">
        <v>1048</v>
      </c>
      <c r="C175" s="510"/>
      <c r="D175" s="510">
        <f>SUM(D171:D174)</f>
      </c>
      <c r="E175" s="510">
        <f>SUM(E171:E174)</f>
      </c>
      <c r="F175" s="510">
        <f>SUM(F171:F174)</f>
      </c>
      <c r="G175" s="510">
        <f>SUM(G171:G174)</f>
      </c>
      <c r="H175" s="510">
        <f>SUM(H171:H174)</f>
      </c>
      <c r="I175" s="511">
        <f t="shared" si="0"/>
      </c>
      <c r="J175" s="511">
        <f t="shared" si="1"/>
      </c>
      <c r="K175" s="511">
        <f t="shared" si="2"/>
      </c>
      <c r="L175" s="510"/>
      <c r="M175" s="512">
        <f>SUM(M171:M174)</f>
      </c>
      <c r="N175" s="510"/>
      <c r="O175" s="510"/>
      <c r="P175" s="510"/>
      <c r="Q175" s="513">
        <f>AVERAGE(Q171:Q174)</f>
      </c>
      <c r="R175" s="514">
        <f>AVERAGE(R171:R174)</f>
      </c>
      <c r="S175" s="514">
        <f>AVERAGE(S171:S174)</f>
      </c>
      <c r="T175" s="514">
        <f>AVERAGE(T171:T174)</f>
      </c>
      <c r="U175" s="514">
        <f>AVERAGE(U171:U174)</f>
      </c>
      <c r="V175" s="515">
        <f>SUM(V171:V174)</f>
      </c>
      <c r="W175" s="514">
        <f>AVERAGE(W171:W174)</f>
      </c>
      <c r="X175" s="515"/>
      <c r="Y175" s="513">
        <f>AVERAGE(Y171:Y174)</f>
      </c>
      <c r="Z175" s="515">
        <f>SUM(Z171:Z174)</f>
      </c>
      <c r="AA175" s="515">
        <f>SUM(AA171:AA174)</f>
      </c>
      <c r="AB175" s="515">
        <f>SUM(AB171:AB174)</f>
      </c>
      <c r="AC175" s="515">
        <f>SUM(AC171:AC174)</f>
      </c>
      <c r="AD175" s="515">
        <f>SUM(AD171:AD174)</f>
      </c>
      <c r="AE175" s="515">
        <f>SUM(AE171:AE174)</f>
      </c>
      <c r="AF175" s="515">
        <f>SUM(AF171:AF174)</f>
      </c>
      <c r="AG175" s="515">
        <f>SUM(AG171:AG174)</f>
      </c>
    </row>
    <row r="176">
      <c r="A176" s="542"/>
      <c r="B176" s="542"/>
      <c r="C176" s="542"/>
      <c r="D176" s="542"/>
      <c r="E176" s="542"/>
      <c r="F176" s="542"/>
      <c r="G176" s="542"/>
      <c r="H176" s="542"/>
      <c r="I176" s="542"/>
      <c r="J176" s="542"/>
      <c r="K176" s="542"/>
      <c r="L176" s="542"/>
      <c r="M176" s="542"/>
      <c r="N176" s="542"/>
      <c r="O176" s="542"/>
      <c r="P176" s="542"/>
      <c r="Q176" s="542"/>
      <c r="R176" s="542"/>
      <c r="S176" s="542"/>
      <c r="T176" s="542"/>
      <c r="U176" s="542"/>
      <c r="V176" s="542"/>
      <c r="W176" s="542"/>
      <c r="X176" s="542"/>
      <c r="Y176" s="542"/>
      <c r="Z176" s="542"/>
      <c r="AA176" s="542"/>
      <c r="AB176" s="542"/>
      <c r="AC176" s="542"/>
      <c r="AD176" s="542"/>
      <c r="AE176" s="542"/>
      <c r="AF176" s="542"/>
      <c r="AG176" s="542"/>
    </row>
    <row r="177">
      <c r="A177" s="542"/>
      <c r="B177" s="542"/>
      <c r="C177" s="542"/>
      <c r="D177" s="542"/>
      <c r="E177" s="542"/>
      <c r="F177" s="542"/>
      <c r="G177" s="542"/>
      <c r="H177" s="542"/>
      <c r="I177" s="542"/>
      <c r="J177" s="542"/>
      <c r="K177" s="542"/>
      <c r="L177" s="542"/>
      <c r="M177" s="542"/>
      <c r="N177" s="542"/>
      <c r="O177" s="542"/>
      <c r="P177" s="542"/>
      <c r="Q177" s="542"/>
      <c r="R177" s="542"/>
      <c r="S177" s="542"/>
      <c r="T177" s="542"/>
      <c r="U177" s="542"/>
      <c r="V177" s="542"/>
      <c r="W177" s="542"/>
      <c r="X177" s="542"/>
      <c r="Y177" s="542"/>
      <c r="Z177" s="542"/>
      <c r="AA177" s="542"/>
      <c r="AB177" s="542"/>
      <c r="AC177" s="542"/>
      <c r="AD177" s="542"/>
      <c r="AE177" s="542"/>
      <c r="AF177" s="542"/>
      <c r="AG177" s="542"/>
    </row>
    <row r="178">
      <c r="A178" s="542"/>
      <c r="B178" s="542"/>
      <c r="C178" s="542"/>
      <c r="D178" s="542"/>
      <c r="E178" s="542"/>
      <c r="F178" s="542"/>
      <c r="G178" s="542"/>
      <c r="H178" s="542"/>
      <c r="I178" s="542"/>
      <c r="J178" s="542"/>
      <c r="K178" s="542"/>
      <c r="L178" s="542"/>
      <c r="M178" s="542"/>
      <c r="N178" s="542"/>
      <c r="O178" s="542"/>
      <c r="P178" s="542"/>
      <c r="Q178" s="542"/>
      <c r="R178" s="542"/>
      <c r="S178" s="542"/>
      <c r="T178" s="542"/>
      <c r="U178" s="542"/>
      <c r="V178" s="542"/>
      <c r="W178" s="542"/>
      <c r="X178" s="542"/>
      <c r="Y178" s="542"/>
      <c r="Z178" s="542"/>
      <c r="AA178" s="542"/>
      <c r="AB178" s="542"/>
      <c r="AC178" s="542"/>
      <c r="AD178" s="542"/>
      <c r="AE178" s="542"/>
      <c r="AF178" s="542"/>
      <c r="AG178" s="542"/>
    </row>
    <row r="179">
      <c r="A179" s="542"/>
      <c r="B179" s="542"/>
      <c r="C179" s="542"/>
      <c r="D179" s="542"/>
      <c r="E179" s="542"/>
      <c r="F179" s="542"/>
      <c r="G179" s="542"/>
      <c r="H179" s="542"/>
      <c r="I179" s="542"/>
      <c r="J179" s="542"/>
      <c r="K179" s="542"/>
      <c r="L179" s="542"/>
      <c r="M179" s="542"/>
      <c r="N179" s="542"/>
      <c r="O179" s="542"/>
      <c r="P179" s="542"/>
      <c r="Q179" s="542"/>
      <c r="R179" s="542"/>
      <c r="S179" s="542"/>
      <c r="T179" s="542"/>
      <c r="U179" s="542"/>
      <c r="V179" s="542"/>
      <c r="W179" s="542"/>
      <c r="X179" s="542"/>
      <c r="Y179" s="542"/>
      <c r="Z179" s="542"/>
      <c r="AA179" s="542"/>
      <c r="AB179" s="542"/>
      <c r="AC179" s="542"/>
      <c r="AD179" s="542"/>
      <c r="AE179" s="542"/>
      <c r="AF179" s="542"/>
      <c r="AG179" s="542"/>
    </row>
    <row r="180">
      <c r="A180" s="542"/>
      <c r="B180" s="542"/>
      <c r="C180" s="542"/>
      <c r="D180" s="542"/>
      <c r="E180" s="542"/>
      <c r="F180" s="542"/>
      <c r="G180" s="542"/>
      <c r="H180" s="542"/>
      <c r="I180" s="542"/>
      <c r="J180" s="542"/>
      <c r="K180" s="542"/>
      <c r="L180" s="542"/>
      <c r="M180" s="542"/>
      <c r="N180" s="542"/>
      <c r="O180" s="542"/>
      <c r="P180" s="542"/>
      <c r="Q180" s="542"/>
      <c r="R180" s="542"/>
      <c r="S180" s="542"/>
      <c r="T180" s="542"/>
      <c r="U180" s="542"/>
      <c r="V180" s="542"/>
      <c r="W180" s="542"/>
      <c r="X180" s="542"/>
      <c r="Y180" s="542"/>
      <c r="Z180" s="542"/>
      <c r="AA180" s="542"/>
      <c r="AB180" s="542"/>
      <c r="AC180" s="542"/>
      <c r="AD180" s="542"/>
      <c r="AE180" s="542"/>
      <c r="AF180" s="542"/>
      <c r="AG180" s="542"/>
    </row>
    <row r="181">
      <c r="A181" s="542"/>
      <c r="B181" s="542"/>
      <c r="C181" s="542"/>
      <c r="D181" s="542"/>
      <c r="E181" s="542"/>
      <c r="F181" s="542"/>
      <c r="G181" s="542"/>
      <c r="H181" s="542"/>
      <c r="I181" s="543">
        <f>G181/H181</f>
      </c>
      <c r="J181" s="542"/>
      <c r="K181" s="542"/>
      <c r="L181" s="542"/>
      <c r="M181" s="542"/>
      <c r="N181" s="542"/>
      <c r="O181" s="542"/>
      <c r="P181" s="542"/>
      <c r="Q181" s="542"/>
      <c r="R181" s="542"/>
      <c r="S181" s="542"/>
      <c r="T181" s="542"/>
      <c r="U181" s="542"/>
      <c r="V181" s="542"/>
      <c r="W181" s="542"/>
      <c r="X181" s="542"/>
      <c r="Y181" s="542"/>
      <c r="Z181" s="542"/>
      <c r="AA181" s="542"/>
      <c r="AB181" s="542"/>
      <c r="AC181" s="542"/>
      <c r="AD181" s="542"/>
      <c r="AE181" s="542"/>
      <c r="AF181" s="542"/>
      <c r="AG181" s="542"/>
    </row>
    <row r="182">
      <c r="A182" s="542"/>
      <c r="B182" s="542"/>
      <c r="C182" s="542"/>
      <c r="D182" s="542"/>
      <c r="E182" s="542"/>
      <c r="F182" s="542"/>
      <c r="G182" s="542"/>
      <c r="H182" s="542"/>
      <c r="I182" s="542"/>
      <c r="J182" s="542"/>
      <c r="K182" s="542"/>
      <c r="L182" s="542"/>
      <c r="M182" s="542"/>
      <c r="N182" s="542"/>
      <c r="O182" s="542"/>
      <c r="P182" s="542"/>
      <c r="Q182" s="542"/>
      <c r="R182" s="542"/>
      <c r="S182" s="542"/>
      <c r="T182" s="542"/>
      <c r="U182" s="542"/>
      <c r="V182" s="542"/>
      <c r="W182" s="542"/>
      <c r="X182" s="542"/>
      <c r="Y182" s="542"/>
      <c r="Z182" s="542"/>
      <c r="AA182" s="542"/>
      <c r="AB182" s="542"/>
      <c r="AC182" s="542"/>
      <c r="AD182" s="542"/>
      <c r="AE182" s="542"/>
      <c r="AF182" s="542"/>
      <c r="AG182" s="542"/>
    </row>
    <row r="183">
      <c r="A183" s="542"/>
      <c r="B183" s="542"/>
      <c r="C183" s="542"/>
      <c r="D183" s="542"/>
      <c r="E183" s="542"/>
      <c r="F183" s="542"/>
      <c r="G183" s="542"/>
      <c r="H183" s="542"/>
      <c r="I183" s="542"/>
      <c r="J183" s="542"/>
      <c r="K183" s="542"/>
      <c r="L183" s="542"/>
      <c r="M183" s="542"/>
      <c r="N183" s="542"/>
      <c r="O183" s="542"/>
      <c r="P183" s="542"/>
      <c r="Q183" s="542"/>
      <c r="R183" s="542"/>
      <c r="S183" s="542"/>
      <c r="T183" s="542"/>
      <c r="U183" s="542"/>
      <c r="V183" s="542"/>
      <c r="W183" s="542"/>
      <c r="X183" s="542"/>
      <c r="Y183" s="542"/>
      <c r="Z183" s="542"/>
      <c r="AA183" s="542"/>
      <c r="AB183" s="542"/>
      <c r="AC183" s="542"/>
      <c r="AD183" s="542"/>
      <c r="AE183" s="542"/>
      <c r="AF183" s="542"/>
      <c r="AG183" s="542"/>
    </row>
    <row r="184">
      <c r="A184" s="542"/>
      <c r="B184" s="542"/>
      <c r="C184" s="542"/>
      <c r="D184" s="542"/>
      <c r="E184" s="542"/>
      <c r="F184" s="542"/>
      <c r="G184" s="542"/>
      <c r="H184" s="542"/>
      <c r="I184" s="542"/>
      <c r="J184" s="542"/>
      <c r="K184" s="542"/>
      <c r="L184" s="542"/>
      <c r="M184" s="542"/>
      <c r="N184" s="542"/>
      <c r="O184" s="542"/>
      <c r="P184" s="542"/>
      <c r="Q184" s="542"/>
      <c r="R184" s="542"/>
      <c r="S184" s="542"/>
      <c r="T184" s="542"/>
      <c r="U184" s="542"/>
      <c r="V184" s="542"/>
      <c r="W184" s="542"/>
      <c r="X184" s="542"/>
      <c r="Y184" s="542"/>
      <c r="Z184" s="542"/>
      <c r="AA184" s="542"/>
      <c r="AB184" s="542"/>
      <c r="AC184" s="542"/>
      <c r="AD184" s="542"/>
      <c r="AE184" s="542"/>
      <c r="AF184" s="542"/>
      <c r="AG184" s="542"/>
    </row>
    <row r="185">
      <c r="A185" s="542"/>
      <c r="B185" s="542"/>
      <c r="C185" s="542"/>
      <c r="D185" s="542"/>
      <c r="E185" s="542"/>
      <c r="F185" s="542"/>
      <c r="G185" s="542"/>
      <c r="H185" s="542"/>
      <c r="I185" s="542"/>
      <c r="J185" s="542"/>
      <c r="K185" s="542"/>
      <c r="L185" s="542"/>
      <c r="M185" s="542"/>
      <c r="N185" s="542"/>
      <c r="O185" s="542"/>
      <c r="P185" s="542"/>
      <c r="Q185" s="542"/>
      <c r="R185" s="542"/>
      <c r="S185" s="542"/>
      <c r="T185" s="542"/>
      <c r="U185" s="542"/>
      <c r="V185" s="542"/>
      <c r="W185" s="542"/>
      <c r="X185" s="542"/>
      <c r="Y185" s="542"/>
      <c r="Z185" s="542"/>
      <c r="AA185" s="542"/>
      <c r="AB185" s="542"/>
      <c r="AC185" s="542"/>
      <c r="AD185" s="542"/>
      <c r="AE185" s="542"/>
      <c r="AF185" s="542"/>
      <c r="AG185" s="542"/>
    </row>
    <row r="186">
      <c r="A186" s="542"/>
      <c r="B186" s="542"/>
      <c r="C186" s="542"/>
      <c r="D186" s="542"/>
      <c r="E186" s="542"/>
      <c r="F186" s="542"/>
      <c r="G186" s="542"/>
      <c r="H186" s="542"/>
      <c r="I186" s="543">
        <f>G186/H186</f>
      </c>
      <c r="J186" s="542"/>
      <c r="K186" s="542"/>
      <c r="L186" s="542"/>
      <c r="M186" s="542"/>
      <c r="N186" s="542"/>
      <c r="O186" s="542"/>
      <c r="P186" s="542"/>
      <c r="Q186" s="542"/>
      <c r="R186" s="542"/>
      <c r="S186" s="542"/>
      <c r="T186" s="542"/>
      <c r="U186" s="542"/>
      <c r="V186" s="542"/>
      <c r="W186" s="542"/>
      <c r="X186" s="542"/>
      <c r="Y186" s="542"/>
      <c r="Z186" s="542"/>
      <c r="AA186" s="542"/>
      <c r="AB186" s="542"/>
      <c r="AC186" s="542"/>
      <c r="AD186" s="542"/>
      <c r="AE186" s="542"/>
      <c r="AF186" s="542"/>
      <c r="AG186" s="542"/>
    </row>
    <row r="187">
      <c r="A187" s="542"/>
      <c r="B187" s="542"/>
      <c r="C187" s="542"/>
      <c r="D187" s="542"/>
      <c r="E187" s="542"/>
      <c r="F187" s="542"/>
      <c r="G187" s="542"/>
      <c r="H187" s="542"/>
      <c r="I187" s="542"/>
      <c r="J187" s="542"/>
      <c r="K187" s="542"/>
      <c r="L187" s="542"/>
      <c r="M187" s="542"/>
      <c r="N187" s="542"/>
      <c r="O187" s="542"/>
      <c r="P187" s="542"/>
      <c r="Q187" s="542"/>
      <c r="R187" s="542"/>
      <c r="S187" s="542"/>
      <c r="T187" s="542"/>
      <c r="U187" s="542"/>
      <c r="V187" s="542"/>
      <c r="W187" s="542"/>
      <c r="X187" s="542"/>
      <c r="Y187" s="542"/>
      <c r="Z187" s="542"/>
      <c r="AA187" s="542"/>
      <c r="AB187" s="542"/>
      <c r="AC187" s="542"/>
      <c r="AD187" s="542"/>
      <c r="AE187" s="542"/>
      <c r="AF187" s="542"/>
      <c r="AG187" s="542"/>
    </row>
    <row r="188">
      <c r="A188" s="542"/>
      <c r="B188" s="542"/>
      <c r="C188" s="542"/>
      <c r="D188" s="542"/>
      <c r="E188" s="542"/>
      <c r="F188" s="542"/>
      <c r="G188" s="542"/>
      <c r="H188" s="542"/>
      <c r="I188" s="542"/>
      <c r="J188" s="542"/>
      <c r="K188" s="542"/>
      <c r="L188" s="542"/>
      <c r="M188" s="542"/>
      <c r="N188" s="542"/>
      <c r="O188" s="542"/>
      <c r="P188" s="542"/>
      <c r="Q188" s="542"/>
      <c r="R188" s="542"/>
      <c r="S188" s="542"/>
      <c r="T188" s="542"/>
      <c r="U188" s="542"/>
      <c r="V188" s="542"/>
      <c r="W188" s="542"/>
      <c r="X188" s="542"/>
      <c r="Y188" s="542"/>
      <c r="Z188" s="542"/>
      <c r="AA188" s="542"/>
      <c r="AB188" s="542"/>
      <c r="AC188" s="542"/>
      <c r="AD188" s="542"/>
      <c r="AE188" s="542"/>
      <c r="AF188" s="542"/>
      <c r="AG188" s="542"/>
    </row>
    <row r="189">
      <c r="A189" s="542"/>
      <c r="B189" s="542"/>
      <c r="C189" s="542"/>
      <c r="D189" s="542"/>
      <c r="E189" s="542"/>
      <c r="F189" s="542"/>
      <c r="G189" s="542"/>
      <c r="H189" s="542"/>
      <c r="I189" s="542"/>
      <c r="J189" s="542"/>
      <c r="K189" s="542"/>
      <c r="L189" s="542"/>
      <c r="M189" s="542"/>
      <c r="N189" s="542"/>
      <c r="O189" s="542"/>
      <c r="P189" s="542"/>
      <c r="Q189" s="542"/>
      <c r="R189" s="542"/>
      <c r="S189" s="542"/>
      <c r="T189" s="542"/>
      <c r="U189" s="542"/>
      <c r="V189" s="542"/>
      <c r="W189" s="542"/>
      <c r="X189" s="542"/>
      <c r="Y189" s="542"/>
      <c r="Z189" s="542"/>
      <c r="AA189" s="542"/>
      <c r="AB189" s="542"/>
      <c r="AC189" s="542"/>
      <c r="AD189" s="542"/>
      <c r="AE189" s="542"/>
      <c r="AF189" s="542"/>
      <c r="AG189" s="542"/>
    </row>
    <row r="190">
      <c r="A190" s="542"/>
      <c r="B190" s="542"/>
      <c r="C190" s="542"/>
      <c r="D190" s="542"/>
      <c r="E190" s="542"/>
      <c r="F190" s="542"/>
      <c r="G190" s="542"/>
      <c r="H190" s="542"/>
      <c r="I190" s="542"/>
      <c r="J190" s="542"/>
      <c r="K190" s="542"/>
      <c r="L190" s="542"/>
      <c r="M190" s="542"/>
      <c r="N190" s="542"/>
      <c r="O190" s="542"/>
      <c r="P190" s="542"/>
      <c r="Q190" s="542"/>
      <c r="R190" s="542"/>
      <c r="S190" s="542"/>
      <c r="T190" s="542"/>
      <c r="U190" s="542"/>
      <c r="V190" s="542"/>
      <c r="W190" s="542"/>
      <c r="X190" s="542"/>
      <c r="Y190" s="542"/>
      <c r="Z190" s="542"/>
      <c r="AA190" s="542"/>
      <c r="AB190" s="542"/>
      <c r="AC190" s="542"/>
      <c r="AD190" s="542"/>
      <c r="AE190" s="542"/>
      <c r="AF190" s="542"/>
      <c r="AG190" s="542"/>
    </row>
    <row r="191">
      <c r="A191" s="542"/>
      <c r="B191" s="542"/>
      <c r="C191" s="542"/>
      <c r="D191" s="542"/>
      <c r="E191" s="542"/>
      <c r="F191" s="542"/>
      <c r="G191" s="542"/>
      <c r="H191" s="542"/>
      <c r="I191" s="542"/>
      <c r="J191" s="542"/>
      <c r="K191" s="542"/>
      <c r="L191" s="542"/>
      <c r="M191" s="542"/>
      <c r="N191" s="542"/>
      <c r="O191" s="542"/>
      <c r="P191" s="542"/>
      <c r="Q191" s="542"/>
      <c r="R191" s="542"/>
      <c r="S191" s="542"/>
      <c r="T191" s="542"/>
      <c r="U191" s="542"/>
      <c r="V191" s="542"/>
      <c r="W191" s="542"/>
      <c r="X191" s="542"/>
      <c r="Y191" s="542"/>
      <c r="Z191" s="542"/>
      <c r="AA191" s="542"/>
      <c r="AB191" s="542"/>
      <c r="AC191" s="542"/>
      <c r="AD191" s="542"/>
      <c r="AE191" s="542"/>
      <c r="AF191" s="542"/>
      <c r="AG191" s="542"/>
    </row>
    <row r="192">
      <c r="A192" s="542"/>
      <c r="B192" s="542"/>
      <c r="C192" s="542"/>
      <c r="D192" s="542"/>
      <c r="E192" s="542"/>
      <c r="F192" s="542"/>
      <c r="G192" s="542"/>
      <c r="H192" s="542"/>
      <c r="I192" s="542"/>
      <c r="J192" s="542"/>
      <c r="K192" s="542"/>
      <c r="L192" s="542"/>
      <c r="M192" s="542"/>
      <c r="N192" s="542"/>
      <c r="O192" s="542"/>
      <c r="P192" s="542"/>
      <c r="Q192" s="542"/>
      <c r="R192" s="542"/>
      <c r="S192" s="542"/>
      <c r="T192" s="542"/>
      <c r="U192" s="542"/>
      <c r="V192" s="542"/>
      <c r="W192" s="542"/>
      <c r="X192" s="542"/>
      <c r="Y192" s="542"/>
      <c r="Z192" s="542"/>
      <c r="AA192" s="542"/>
      <c r="AB192" s="542"/>
      <c r="AC192" s="542"/>
      <c r="AD192" s="542"/>
      <c r="AE192" s="542"/>
      <c r="AF192" s="542"/>
      <c r="AG192" s="542"/>
    </row>
    <row r="193">
      <c r="A193" s="542"/>
      <c r="B193" s="542"/>
      <c r="C193" s="542"/>
      <c r="D193" s="542"/>
      <c r="E193" s="542"/>
      <c r="F193" s="542"/>
      <c r="G193" s="542"/>
      <c r="H193" s="542"/>
      <c r="I193" s="542"/>
      <c r="J193" s="542"/>
      <c r="K193" s="542"/>
      <c r="L193" s="542"/>
      <c r="M193" s="542"/>
      <c r="N193" s="542"/>
      <c r="O193" s="542"/>
      <c r="P193" s="542"/>
      <c r="Q193" s="542"/>
      <c r="R193" s="542"/>
      <c r="S193" s="542"/>
      <c r="T193" s="542"/>
      <c r="U193" s="542"/>
      <c r="V193" s="542"/>
      <c r="W193" s="542"/>
      <c r="X193" s="542"/>
      <c r="Y193" s="542"/>
      <c r="Z193" s="542"/>
      <c r="AA193" s="542"/>
      <c r="AB193" s="542"/>
      <c r="AC193" s="542"/>
      <c r="AD193" s="542"/>
      <c r="AE193" s="542"/>
      <c r="AF193" s="542"/>
      <c r="AG193" s="542"/>
    </row>
    <row r="194">
      <c r="A194" s="542"/>
      <c r="B194" s="542"/>
      <c r="C194" s="542"/>
      <c r="D194" s="542"/>
      <c r="E194" s="542"/>
      <c r="F194" s="542"/>
      <c r="G194" s="542"/>
      <c r="H194" s="542"/>
      <c r="I194" s="542"/>
      <c r="J194" s="542"/>
      <c r="K194" s="542"/>
      <c r="L194" s="542"/>
      <c r="M194" s="542"/>
      <c r="N194" s="542"/>
      <c r="O194" s="542"/>
      <c r="P194" s="542"/>
      <c r="Q194" s="542"/>
      <c r="R194" s="542"/>
      <c r="S194" s="542"/>
      <c r="T194" s="542"/>
      <c r="U194" s="542"/>
      <c r="V194" s="542"/>
      <c r="W194" s="542"/>
      <c r="X194" s="542"/>
      <c r="Y194" s="542"/>
      <c r="Z194" s="542"/>
      <c r="AA194" s="542"/>
      <c r="AB194" s="542"/>
      <c r="AC194" s="542"/>
      <c r="AD194" s="542"/>
      <c r="AE194" s="542"/>
      <c r="AF194" s="542"/>
      <c r="AG194" s="542"/>
    </row>
    <row r="195">
      <c r="A195" s="542"/>
      <c r="B195" s="542"/>
      <c r="C195" s="542"/>
      <c r="D195" s="542"/>
      <c r="E195" s="542"/>
      <c r="F195" s="542"/>
      <c r="G195" s="542"/>
      <c r="H195" s="542"/>
      <c r="I195" s="542"/>
      <c r="J195" s="542"/>
      <c r="K195" s="542"/>
      <c r="L195" s="542"/>
      <c r="M195" s="542"/>
      <c r="N195" s="542"/>
      <c r="O195" s="542"/>
      <c r="P195" s="542"/>
      <c r="Q195" s="542"/>
      <c r="R195" s="542"/>
      <c r="S195" s="542"/>
      <c r="T195" s="542"/>
      <c r="U195" s="542"/>
      <c r="V195" s="542"/>
      <c r="W195" s="542"/>
      <c r="X195" s="542"/>
      <c r="Y195" s="542"/>
      <c r="Z195" s="542"/>
      <c r="AA195" s="542"/>
      <c r="AB195" s="542"/>
      <c r="AC195" s="542"/>
      <c r="AD195" s="542"/>
      <c r="AE195" s="542"/>
      <c r="AF195" s="542"/>
      <c r="AG195" s="542"/>
    </row>
    <row r="196">
      <c r="A196" s="542"/>
      <c r="B196" s="542"/>
      <c r="C196" s="542"/>
      <c r="D196" s="542"/>
      <c r="E196" s="542"/>
      <c r="F196" s="542"/>
      <c r="G196" s="542"/>
      <c r="H196" s="542"/>
      <c r="I196" s="542"/>
      <c r="J196" s="542"/>
      <c r="K196" s="542"/>
      <c r="L196" s="542"/>
      <c r="M196" s="542"/>
      <c r="N196" s="542"/>
      <c r="O196" s="542"/>
      <c r="P196" s="542"/>
      <c r="Q196" s="542"/>
      <c r="R196" s="542"/>
      <c r="S196" s="542"/>
      <c r="T196" s="542"/>
      <c r="U196" s="542"/>
      <c r="V196" s="542"/>
      <c r="W196" s="542"/>
      <c r="X196" s="542"/>
      <c r="Y196" s="542"/>
      <c r="Z196" s="542"/>
      <c r="AA196" s="542"/>
      <c r="AB196" s="542"/>
      <c r="AC196" s="542"/>
      <c r="AD196" s="542"/>
      <c r="AE196" s="542"/>
      <c r="AF196" s="542"/>
      <c r="AG196" s="542"/>
    </row>
    <row r="197">
      <c r="A197" s="542"/>
      <c r="B197" s="542"/>
      <c r="C197" s="542"/>
      <c r="D197" s="542"/>
      <c r="E197" s="542"/>
      <c r="F197" s="542"/>
      <c r="G197" s="542"/>
      <c r="H197" s="542"/>
      <c r="I197" s="542"/>
      <c r="J197" s="542"/>
      <c r="K197" s="542"/>
      <c r="L197" s="542"/>
      <c r="M197" s="542"/>
      <c r="N197" s="542"/>
      <c r="O197" s="542"/>
      <c r="P197" s="542"/>
      <c r="Q197" s="542"/>
      <c r="R197" s="542"/>
      <c r="S197" s="542"/>
      <c r="T197" s="542"/>
      <c r="U197" s="542"/>
      <c r="V197" s="542"/>
      <c r="W197" s="542"/>
      <c r="X197" s="542"/>
      <c r="Y197" s="542"/>
      <c r="Z197" s="542"/>
      <c r="AA197" s="542"/>
      <c r="AB197" s="542"/>
      <c r="AC197" s="542"/>
      <c r="AD197" s="542"/>
      <c r="AE197" s="542"/>
      <c r="AF197" s="542"/>
      <c r="AG197" s="542"/>
    </row>
    <row r="198">
      <c r="A198" s="542"/>
      <c r="B198" s="542"/>
      <c r="C198" s="542"/>
      <c r="D198" s="542"/>
      <c r="E198" s="542"/>
      <c r="F198" s="542"/>
      <c r="G198" s="542"/>
      <c r="H198" s="542"/>
      <c r="I198" s="542"/>
      <c r="J198" s="542"/>
      <c r="K198" s="542"/>
      <c r="L198" s="542"/>
      <c r="M198" s="542"/>
      <c r="N198" s="542"/>
      <c r="O198" s="542"/>
      <c r="P198" s="542"/>
      <c r="Q198" s="542"/>
      <c r="R198" s="542"/>
      <c r="S198" s="542"/>
      <c r="T198" s="542"/>
      <c r="U198" s="542"/>
      <c r="V198" s="542"/>
      <c r="W198" s="542"/>
      <c r="X198" s="542"/>
      <c r="Y198" s="542"/>
      <c r="Z198" s="542"/>
      <c r="AA198" s="542"/>
      <c r="AB198" s="542"/>
      <c r="AC198" s="542"/>
      <c r="AD198" s="542"/>
      <c r="AE198" s="542"/>
      <c r="AF198" s="542"/>
      <c r="AG198" s="542"/>
    </row>
    <row r="199">
      <c r="A199" s="542"/>
      <c r="B199" s="542"/>
      <c r="C199" s="542"/>
      <c r="D199" s="542"/>
      <c r="E199" s="542"/>
      <c r="F199" s="542"/>
      <c r="G199" s="542"/>
      <c r="H199" s="542"/>
      <c r="I199" s="542"/>
      <c r="J199" s="542"/>
      <c r="K199" s="542"/>
      <c r="L199" s="542"/>
      <c r="M199" s="542"/>
      <c r="N199" s="542"/>
      <c r="O199" s="542"/>
      <c r="P199" s="542"/>
      <c r="Q199" s="542"/>
      <c r="R199" s="542"/>
      <c r="S199" s="542"/>
      <c r="T199" s="542"/>
      <c r="U199" s="542"/>
      <c r="V199" s="542"/>
      <c r="W199" s="542"/>
      <c r="X199" s="542"/>
      <c r="Y199" s="542"/>
      <c r="Z199" s="542"/>
      <c r="AA199" s="542"/>
      <c r="AB199" s="542"/>
      <c r="AC199" s="542"/>
      <c r="AD199" s="542"/>
      <c r="AE199" s="542"/>
      <c r="AF199" s="542"/>
      <c r="AG199" s="542"/>
    </row>
    <row r="200">
      <c r="A200" s="542"/>
      <c r="B200" s="542"/>
      <c r="C200" s="542"/>
      <c r="D200" s="542"/>
      <c r="E200" s="542"/>
      <c r="F200" s="542"/>
      <c r="G200" s="542"/>
      <c r="H200" s="542"/>
      <c r="I200" s="542"/>
      <c r="J200" s="542"/>
      <c r="K200" s="542"/>
      <c r="L200" s="542"/>
      <c r="M200" s="542"/>
      <c r="N200" s="542"/>
      <c r="O200" s="542"/>
      <c r="P200" s="542"/>
      <c r="Q200" s="542"/>
      <c r="R200" s="542"/>
      <c r="S200" s="542"/>
      <c r="T200" s="542"/>
      <c r="U200" s="542"/>
      <c r="V200" s="542"/>
      <c r="W200" s="542"/>
      <c r="X200" s="542"/>
      <c r="Y200" s="542"/>
      <c r="Z200" s="542"/>
      <c r="AA200" s="542"/>
      <c r="AB200" s="542"/>
      <c r="AC200" s="542"/>
      <c r="AD200" s="542"/>
      <c r="AE200" s="542"/>
      <c r="AF200" s="542"/>
      <c r="AG200" s="542"/>
    </row>
    <row r="201">
      <c r="A201" s="542"/>
      <c r="B201" s="542"/>
      <c r="C201" s="542"/>
      <c r="D201" s="542"/>
      <c r="E201" s="542"/>
      <c r="F201" s="542"/>
      <c r="G201" s="542"/>
      <c r="H201" s="542"/>
      <c r="I201" s="542"/>
      <c r="J201" s="542"/>
      <c r="K201" s="542"/>
      <c r="L201" s="542"/>
      <c r="M201" s="542"/>
      <c r="N201" s="542"/>
      <c r="O201" s="542"/>
      <c r="P201" s="542"/>
      <c r="Q201" s="542"/>
      <c r="R201" s="542"/>
      <c r="S201" s="542"/>
      <c r="T201" s="542"/>
      <c r="U201" s="542"/>
      <c r="V201" s="542"/>
      <c r="W201" s="542"/>
      <c r="X201" s="542"/>
      <c r="Y201" s="542"/>
      <c r="Z201" s="542"/>
      <c r="AA201" s="542"/>
      <c r="AB201" s="542"/>
      <c r="AC201" s="542"/>
      <c r="AD201" s="542"/>
      <c r="AE201" s="542"/>
      <c r="AF201" s="542"/>
      <c r="AG201" s="542"/>
    </row>
    <row r="202">
      <c r="A202" s="542"/>
      <c r="B202" s="542"/>
      <c r="C202" s="542"/>
      <c r="D202" s="542"/>
      <c r="E202" s="542"/>
      <c r="F202" s="542"/>
      <c r="G202" s="542"/>
      <c r="H202" s="542"/>
      <c r="I202" s="542"/>
      <c r="J202" s="542"/>
      <c r="K202" s="542"/>
      <c r="L202" s="542"/>
      <c r="M202" s="542"/>
      <c r="N202" s="542"/>
      <c r="O202" s="542"/>
      <c r="P202" s="542"/>
      <c r="Q202" s="542"/>
      <c r="R202" s="542"/>
      <c r="S202" s="542"/>
      <c r="T202" s="542"/>
      <c r="U202" s="542"/>
      <c r="V202" s="542"/>
      <c r="W202" s="542"/>
      <c r="X202" s="542"/>
      <c r="Y202" s="542"/>
      <c r="Z202" s="542"/>
      <c r="AA202" s="542"/>
      <c r="AB202" s="542"/>
      <c r="AC202" s="542"/>
      <c r="AD202" s="542"/>
      <c r="AE202" s="542"/>
      <c r="AF202" s="542"/>
      <c r="AG202" s="542"/>
    </row>
    <row r="203">
      <c r="A203" s="542"/>
      <c r="B203" s="542"/>
      <c r="C203" s="542"/>
      <c r="D203" s="542"/>
      <c r="E203" s="542"/>
      <c r="F203" s="542"/>
      <c r="G203" s="542"/>
      <c r="H203" s="542"/>
      <c r="I203" s="542"/>
      <c r="J203" s="542"/>
      <c r="K203" s="542"/>
      <c r="L203" s="542"/>
      <c r="M203" s="542"/>
      <c r="N203" s="542"/>
      <c r="O203" s="542"/>
      <c r="P203" s="542"/>
      <c r="Q203" s="542"/>
      <c r="R203" s="542"/>
      <c r="S203" s="542"/>
      <c r="T203" s="542"/>
      <c r="U203" s="542"/>
      <c r="V203" s="542"/>
      <c r="W203" s="542"/>
      <c r="X203" s="542"/>
      <c r="Y203" s="542"/>
      <c r="Z203" s="542"/>
      <c r="AA203" s="542"/>
      <c r="AB203" s="542"/>
      <c r="AC203" s="542"/>
      <c r="AD203" s="542"/>
      <c r="AE203" s="542"/>
      <c r="AF203" s="542"/>
      <c r="AG203" s="542"/>
    </row>
    <row r="204">
      <c r="A204" s="542"/>
      <c r="B204" s="542"/>
      <c r="C204" s="542"/>
      <c r="D204" s="542"/>
      <c r="E204" s="542"/>
      <c r="F204" s="542"/>
      <c r="G204" s="542"/>
      <c r="H204" s="542"/>
      <c r="I204" s="542"/>
      <c r="J204" s="542"/>
      <c r="K204" s="542"/>
      <c r="L204" s="542"/>
      <c r="M204" s="542"/>
      <c r="N204" s="542"/>
      <c r="O204" s="542"/>
      <c r="P204" s="542"/>
      <c r="Q204" s="542"/>
      <c r="R204" s="542"/>
      <c r="S204" s="542"/>
      <c r="T204" s="542"/>
      <c r="U204" s="542"/>
      <c r="V204" s="542"/>
      <c r="W204" s="542"/>
      <c r="X204" s="542"/>
      <c r="Y204" s="542"/>
      <c r="Z204" s="542"/>
      <c r="AA204" s="542"/>
      <c r="AB204" s="542"/>
      <c r="AC204" s="542"/>
      <c r="AD204" s="542"/>
      <c r="AE204" s="542"/>
      <c r="AF204" s="542"/>
      <c r="AG204" s="542"/>
    </row>
    <row r="205">
      <c r="A205" s="542"/>
      <c r="B205" s="542"/>
      <c r="C205" s="542"/>
      <c r="D205" s="542"/>
      <c r="E205" s="542"/>
      <c r="F205" s="542"/>
      <c r="G205" s="542"/>
      <c r="H205" s="542"/>
      <c r="I205" s="542"/>
      <c r="J205" s="542"/>
      <c r="K205" s="542"/>
      <c r="L205" s="542"/>
      <c r="M205" s="542"/>
      <c r="N205" s="542"/>
      <c r="O205" s="542"/>
      <c r="P205" s="542"/>
      <c r="Q205" s="542"/>
      <c r="R205" s="542"/>
      <c r="S205" s="542"/>
      <c r="T205" s="542"/>
      <c r="U205" s="542"/>
      <c r="V205" s="542"/>
      <c r="W205" s="542"/>
      <c r="X205" s="542"/>
      <c r="Y205" s="542"/>
      <c r="Z205" s="542"/>
      <c r="AA205" s="542"/>
      <c r="AB205" s="542"/>
      <c r="AC205" s="542"/>
      <c r="AD205" s="542"/>
      <c r="AE205" s="542"/>
      <c r="AF205" s="542"/>
      <c r="AG205" s="542"/>
    </row>
    <row r="206">
      <c r="A206" s="542"/>
      <c r="B206" s="542"/>
      <c r="C206" s="542"/>
      <c r="D206" s="542"/>
      <c r="E206" s="542"/>
      <c r="F206" s="542"/>
      <c r="G206" s="542"/>
      <c r="H206" s="542"/>
      <c r="I206" s="542"/>
      <c r="J206" s="542"/>
      <c r="K206" s="542"/>
      <c r="L206" s="542"/>
      <c r="M206" s="542"/>
      <c r="N206" s="542"/>
      <c r="O206" s="542"/>
      <c r="P206" s="542"/>
      <c r="Q206" s="542"/>
      <c r="R206" s="542"/>
      <c r="S206" s="542"/>
      <c r="T206" s="542"/>
      <c r="U206" s="542"/>
      <c r="V206" s="542"/>
      <c r="W206" s="542"/>
      <c r="X206" s="542"/>
      <c r="Y206" s="542"/>
      <c r="Z206" s="542"/>
      <c r="AA206" s="542"/>
      <c r="AB206" s="542"/>
      <c r="AC206" s="542"/>
      <c r="AD206" s="542"/>
      <c r="AE206" s="542"/>
      <c r="AF206" s="542"/>
      <c r="AG206" s="542"/>
    </row>
    <row r="207">
      <c r="A207" s="542"/>
      <c r="B207" s="542"/>
      <c r="C207" s="542"/>
      <c r="D207" s="542"/>
      <c r="E207" s="542"/>
      <c r="F207" s="542"/>
      <c r="G207" s="542"/>
      <c r="H207" s="542"/>
      <c r="I207" s="542"/>
      <c r="J207" s="542"/>
      <c r="K207" s="542"/>
      <c r="L207" s="542"/>
      <c r="M207" s="542"/>
      <c r="N207" s="542"/>
      <c r="O207" s="542"/>
      <c r="P207" s="542"/>
      <c r="Q207" s="542"/>
      <c r="R207" s="542"/>
      <c r="S207" s="542"/>
      <c r="T207" s="542"/>
      <c r="U207" s="542"/>
      <c r="V207" s="542"/>
      <c r="W207" s="542"/>
      <c r="X207" s="542"/>
      <c r="Y207" s="542"/>
      <c r="Z207" s="542"/>
      <c r="AA207" s="542"/>
      <c r="AB207" s="542"/>
      <c r="AC207" s="542"/>
      <c r="AD207" s="542"/>
      <c r="AE207" s="542"/>
      <c r="AF207" s="542"/>
      <c r="AG207" s="542"/>
    </row>
    <row r="208">
      <c r="A208" s="542"/>
      <c r="B208" s="542"/>
      <c r="C208" s="542"/>
      <c r="D208" s="542"/>
      <c r="E208" s="542"/>
      <c r="F208" s="542"/>
      <c r="G208" s="542"/>
      <c r="H208" s="542"/>
      <c r="I208" s="542"/>
      <c r="J208" s="542"/>
      <c r="K208" s="542"/>
      <c r="L208" s="542"/>
      <c r="M208" s="542"/>
      <c r="N208" s="542"/>
      <c r="O208" s="542"/>
      <c r="P208" s="542"/>
      <c r="Q208" s="542"/>
      <c r="R208" s="542"/>
      <c r="S208" s="542"/>
      <c r="T208" s="542"/>
      <c r="U208" s="542"/>
      <c r="V208" s="542"/>
      <c r="W208" s="542"/>
      <c r="X208" s="542"/>
      <c r="Y208" s="542"/>
      <c r="Z208" s="542"/>
      <c r="AA208" s="542"/>
      <c r="AB208" s="542"/>
      <c r="AC208" s="542"/>
      <c r="AD208" s="542"/>
      <c r="AE208" s="542"/>
      <c r="AF208" s="542"/>
      <c r="AG208" s="542"/>
    </row>
    <row r="209">
      <c r="A209" s="542"/>
      <c r="B209" s="542"/>
      <c r="C209" s="542"/>
      <c r="D209" s="542"/>
      <c r="E209" s="542"/>
      <c r="F209" s="542"/>
      <c r="G209" s="542"/>
      <c r="H209" s="542"/>
      <c r="I209" s="542"/>
      <c r="J209" s="542"/>
      <c r="K209" s="542"/>
      <c r="L209" s="542"/>
      <c r="M209" s="542"/>
      <c r="N209" s="542"/>
      <c r="O209" s="542"/>
      <c r="P209" s="542"/>
      <c r="Q209" s="542"/>
      <c r="R209" s="542"/>
      <c r="S209" s="542"/>
      <c r="T209" s="542"/>
      <c r="U209" s="542"/>
      <c r="V209" s="542"/>
      <c r="W209" s="542"/>
      <c r="X209" s="542"/>
      <c r="Y209" s="542"/>
      <c r="Z209" s="542"/>
      <c r="AA209" s="542"/>
      <c r="AB209" s="542"/>
      <c r="AC209" s="542"/>
      <c r="AD209" s="542"/>
      <c r="AE209" s="542"/>
      <c r="AF209" s="542"/>
      <c r="AG209" s="542"/>
    </row>
    <row r="210">
      <c r="A210" s="542"/>
      <c r="B210" s="542"/>
      <c r="C210" s="542"/>
      <c r="D210" s="542"/>
      <c r="E210" s="542"/>
      <c r="F210" s="542"/>
      <c r="G210" s="542"/>
      <c r="H210" s="542"/>
      <c r="I210" s="542"/>
      <c r="J210" s="542"/>
      <c r="K210" s="542"/>
      <c r="L210" s="542"/>
      <c r="M210" s="542"/>
      <c r="N210" s="542"/>
      <c r="O210" s="542"/>
      <c r="P210" s="542"/>
      <c r="Q210" s="542"/>
      <c r="R210" s="542"/>
      <c r="S210" s="542"/>
      <c r="T210" s="542"/>
      <c r="U210" s="542"/>
      <c r="V210" s="542"/>
      <c r="W210" s="542"/>
      <c r="X210" s="542"/>
      <c r="Y210" s="542"/>
      <c r="Z210" s="542"/>
      <c r="AA210" s="542"/>
      <c r="AB210" s="542"/>
      <c r="AC210" s="542"/>
      <c r="AD210" s="542"/>
      <c r="AE210" s="542"/>
      <c r="AF210" s="542"/>
      <c r="AG210" s="542"/>
    </row>
  </sheetData>
  <autoFilter ref="A1:AG210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12" min="12" style="0" width="12.788732394366198"/>
  </cols>
  <sheetData>
    <row r="1">
      <c r="A1" s="544" t="s">
        <v>1115</v>
      </c>
      <c r="B1" s="545" t="s">
        <v>1116</v>
      </c>
      <c r="C1" s="545" t="s">
        <v>1117</v>
      </c>
      <c r="D1" s="545" t="s">
        <v>1118</v>
      </c>
      <c r="E1" s="544" t="s">
        <v>1119</v>
      </c>
      <c r="F1" s="545" t="s">
        <v>1120</v>
      </c>
      <c r="G1" s="545" t="s">
        <v>1121</v>
      </c>
      <c r="H1" s="545" t="s">
        <v>1122</v>
      </c>
      <c r="I1" s="546" t="s">
        <v>1123</v>
      </c>
      <c r="J1" s="546" t="s">
        <v>1124</v>
      </c>
      <c r="K1" s="546" t="s">
        <v>1125</v>
      </c>
      <c r="L1" s="545" t="s">
        <v>1126</v>
      </c>
      <c r="M1" s="547" t="s">
        <v>1127</v>
      </c>
      <c r="N1" s="545" t="s">
        <v>1128</v>
      </c>
      <c r="O1" s="545" t="s">
        <v>1129</v>
      </c>
      <c r="P1" s="545"/>
      <c r="Q1" s="545" t="s">
        <v>1130</v>
      </c>
      <c r="R1" s="548" t="s">
        <v>1131</v>
      </c>
      <c r="S1" s="548" t="s">
        <v>1132</v>
      </c>
      <c r="T1" s="548" t="s">
        <v>1133</v>
      </c>
      <c r="U1" s="548" t="s">
        <v>1134</v>
      </c>
      <c r="V1" s="549" t="s">
        <v>1135</v>
      </c>
      <c r="W1" s="548" t="s">
        <v>1136</v>
      </c>
      <c r="X1" s="549" t="s">
        <v>1137</v>
      </c>
      <c r="Y1" s="550" t="s">
        <v>1138</v>
      </c>
      <c r="Z1" s="551" t="s">
        <v>1139</v>
      </c>
      <c r="AA1" s="549" t="s">
        <v>1140</v>
      </c>
      <c r="AB1" s="549" t="s">
        <v>1141</v>
      </c>
      <c r="AC1" s="549" t="s">
        <v>1142</v>
      </c>
      <c r="AD1" s="549" t="s">
        <v>1143</v>
      </c>
      <c r="AE1" s="549" t="s">
        <v>1144</v>
      </c>
      <c r="AF1" s="549" t="s">
        <v>1145</v>
      </c>
      <c r="AG1" s="549" t="s">
        <v>1146</v>
      </c>
    </row>
    <row customHeight="true" ht="16.071428571428573" r="2">
      <c r="A2" s="552" t="s">
        <v>1147</v>
      </c>
      <c r="B2" s="552" t="s">
        <v>1148</v>
      </c>
      <c r="C2" s="552" t="s">
        <v>1149</v>
      </c>
      <c r="D2" s="552">
        <v>5</v>
      </c>
      <c r="E2" s="552">
        <v>6</v>
      </c>
      <c r="F2" s="552">
        <v>8</v>
      </c>
      <c r="G2" s="553">
        <v>17031.88</v>
      </c>
      <c r="H2" s="554">
        <v>8091.65</v>
      </c>
      <c r="I2" s="555">
        <f t="shared" ref="I2:I62" si="2">G2/H2</f>
      </c>
      <c r="J2" s="555">
        <f t="shared" ref="J2:J62" si="0">G2/F2</f>
      </c>
      <c r="K2" s="555">
        <f t="shared" ref="K2:K62" si="4">H2/F2</f>
      </c>
      <c r="L2" s="552" t="s">
        <v>1150</v>
      </c>
      <c r="M2" s="556">
        <v>4</v>
      </c>
      <c r="N2" s="553"/>
      <c r="O2" s="553"/>
      <c r="P2" s="553"/>
      <c r="Q2" s="557">
        <v>4.615887050770108</v>
      </c>
      <c r="R2" s="558">
        <v>0.31639532603505904</v>
      </c>
      <c r="S2" s="558">
        <v>0.02113474151234568</v>
      </c>
      <c r="T2" s="558">
        <v>0.02211130401234568</v>
      </c>
      <c r="U2" s="558">
        <v>0.08887677208287895</v>
      </c>
      <c r="V2" s="559">
        <v>26243.093922651937</v>
      </c>
      <c r="W2" s="558">
        <v>0.010859999999999998</v>
      </c>
      <c r="X2" s="559">
        <v>32.2</v>
      </c>
      <c r="Y2" s="560">
        <v>97.55557966820986</v>
      </c>
      <c r="Z2" s="559">
        <v>82944</v>
      </c>
      <c r="AA2" s="559">
        <v>1753</v>
      </c>
      <c r="AB2" s="559">
        <v>285</v>
      </c>
      <c r="AC2" s="559">
        <v>1834</v>
      </c>
      <c r="AD2" s="559">
        <v>163</v>
      </c>
      <c r="AE2" s="559">
        <v>12</v>
      </c>
      <c r="AF2" s="559">
        <v>4</v>
      </c>
      <c r="AG2" s="559">
        <v>68</v>
      </c>
    </row>
    <row r="3">
      <c r="A3" s="552" t="s">
        <v>1147</v>
      </c>
      <c r="B3" s="552" t="s">
        <v>1151</v>
      </c>
      <c r="C3" s="552" t="s">
        <v>1152</v>
      </c>
      <c r="D3" s="552">
        <v>3</v>
      </c>
      <c r="E3" s="552">
        <v>3</v>
      </c>
      <c r="F3" s="552">
        <v>5</v>
      </c>
      <c r="G3" s="553">
        <v>7696.26</v>
      </c>
      <c r="H3" s="554">
        <v>5995.63</v>
      </c>
      <c r="I3" s="555">
        <f t="shared" si="2"/>
      </c>
      <c r="J3" s="555">
        <f t="shared" si="0"/>
      </c>
      <c r="K3" s="555">
        <f t="shared" si="4"/>
      </c>
      <c r="L3" s="552" t="s">
        <v>1153</v>
      </c>
      <c r="M3" s="556">
        <v>5</v>
      </c>
      <c r="N3" s="552" t="s">
        <v>1154</v>
      </c>
      <c r="O3" s="552">
        <v>4</v>
      </c>
      <c r="P3" s="553"/>
      <c r="Q3" s="561">
        <v>7.004240654205607</v>
      </c>
      <c r="R3" s="558">
        <v>0.2711506059041056</v>
      </c>
      <c r="S3" s="558">
        <v>0.014081031731670806</v>
      </c>
      <c r="T3" s="558">
        <v>0.014854172492638713</v>
      </c>
      <c r="U3" s="558">
        <v>0.09191583610188261</v>
      </c>
      <c r="V3" s="559">
        <v>16483.516483516483</v>
      </c>
      <c r="W3" s="558">
        <v>0.015166666666666667</v>
      </c>
      <c r="X3" s="559">
        <v>40</v>
      </c>
      <c r="Y3" s="560">
        <v>98.62693490812785</v>
      </c>
      <c r="Z3" s="559">
        <v>60791</v>
      </c>
      <c r="AA3" s="559">
        <v>856</v>
      </c>
      <c r="AB3" s="559">
        <v>250</v>
      </c>
      <c r="AC3" s="559">
        <v>903</v>
      </c>
      <c r="AD3" s="559">
        <v>83</v>
      </c>
      <c r="AE3" s="559">
        <v>14</v>
      </c>
      <c r="AF3" s="559">
        <v>1</v>
      </c>
      <c r="AG3" s="559">
        <v>62</v>
      </c>
    </row>
    <row r="4">
      <c r="A4" s="552" t="s">
        <v>1147</v>
      </c>
      <c r="B4" s="552" t="s">
        <v>1155</v>
      </c>
      <c r="C4" s="552" t="s">
        <v>1156</v>
      </c>
      <c r="D4" s="552">
        <v>5</v>
      </c>
      <c r="E4" s="552">
        <v>12</v>
      </c>
      <c r="F4" s="552">
        <v>13</v>
      </c>
      <c r="G4" s="553">
        <v>26499.35</v>
      </c>
      <c r="H4" s="554">
        <v>9884.77</v>
      </c>
      <c r="I4" s="555">
        <f t="shared" si="2"/>
      </c>
      <c r="J4" s="555">
        <f t="shared" si="0"/>
      </c>
      <c r="K4" s="555">
        <f t="shared" si="4"/>
      </c>
      <c r="L4" s="552" t="s">
        <v>1157</v>
      </c>
      <c r="M4" s="556">
        <v>8</v>
      </c>
      <c r="N4" s="553"/>
      <c r="O4" s="553"/>
      <c r="P4" s="553"/>
      <c r="Q4" s="560">
        <v>5.134945454545455</v>
      </c>
      <c r="R4" s="558">
        <v>0.08568328783086201</v>
      </c>
      <c r="S4" s="558">
        <v>0.01803413838976223</v>
      </c>
      <c r="T4" s="558">
        <v>0.018727398774615427</v>
      </c>
      <c r="U4" s="558">
        <v>0.10055027513756878</v>
      </c>
      <c r="V4" s="559">
        <v>9146.005509641873</v>
      </c>
      <c r="W4" s="558">
        <v>0.0363</v>
      </c>
      <c r="X4" s="559">
        <v>211</v>
      </c>
      <c r="Y4" s="560">
        <v>92.60431695115325</v>
      </c>
      <c r="Z4" s="559">
        <v>106742</v>
      </c>
      <c r="AA4" s="559">
        <v>1925</v>
      </c>
      <c r="AB4" s="559">
        <v>332</v>
      </c>
      <c r="AC4" s="559">
        <v>1999</v>
      </c>
      <c r="AD4" s="559">
        <v>201</v>
      </c>
      <c r="AE4" s="559">
        <v>17</v>
      </c>
      <c r="AF4" s="559">
        <v>4</v>
      </c>
      <c r="AG4" s="559">
        <v>78</v>
      </c>
    </row>
    <row r="5">
      <c r="A5" s="562" t="s">
        <v>1147</v>
      </c>
      <c r="B5" s="563" t="s">
        <v>1158</v>
      </c>
      <c r="C5" s="563"/>
      <c r="D5" s="563">
        <f>SUM(D2:D4)</f>
      </c>
      <c r="E5" s="563">
        <f>SUM(E2:E4)</f>
      </c>
      <c r="F5" s="563">
        <f>SUM(F2:F4)</f>
      </c>
      <c r="G5" s="563">
        <f>SUM(G2:G4)</f>
      </c>
      <c r="H5" s="563">
        <f>SUM(H2:H4)</f>
      </c>
      <c r="I5" s="564">
        <f t="shared" si="2"/>
      </c>
      <c r="J5" s="564">
        <f t="shared" si="0"/>
      </c>
      <c r="K5" s="564">
        <f t="shared" si="4"/>
      </c>
      <c r="L5" s="563"/>
      <c r="M5" s="565">
        <f>SUM(M2:M4)</f>
      </c>
      <c r="N5" s="563"/>
      <c r="O5" s="563"/>
      <c r="P5" s="563"/>
      <c r="Q5" s="566">
        <f>AVERAGE(Q2:Q4)</f>
      </c>
      <c r="R5" s="567">
        <f>AVERAGE(R2:R4)</f>
      </c>
      <c r="S5" s="567">
        <f>AVERAGE(S2:S4)</f>
      </c>
      <c r="T5" s="567">
        <f>AVERAGE(T2:T4)</f>
      </c>
      <c r="U5" s="567">
        <f>AVERAGE(U2:U4)</f>
      </c>
      <c r="V5" s="568">
        <f>SUM(V2:V4)</f>
      </c>
      <c r="W5" s="567">
        <f>AVERAGE(W2:W4)</f>
      </c>
      <c r="X5" s="568"/>
      <c r="Y5" s="566">
        <f>AVERAGE(Y2:Y4)</f>
      </c>
      <c r="Z5" s="568">
        <f>SUM(Z2:Z4)</f>
      </c>
      <c r="AA5" s="568">
        <f>SUM(AA2:AA4)</f>
      </c>
      <c r="AB5" s="568">
        <f>SUM(AB2:AB4)</f>
      </c>
      <c r="AC5" s="568">
        <f>SUM(AC2:AC4)</f>
      </c>
      <c r="AD5" s="568">
        <f>SUM(AD2:AD4)</f>
      </c>
      <c r="AE5" s="568">
        <f>SUM(AE2:AE4)</f>
      </c>
      <c r="AF5" s="568">
        <f>SUM(AF2:AF4)</f>
      </c>
      <c r="AG5" s="568">
        <f>SUM(AG2:AG4)</f>
      </c>
    </row>
    <row r="6">
      <c r="A6" s="552" t="s">
        <v>1159</v>
      </c>
      <c r="B6" s="552" t="s">
        <v>1160</v>
      </c>
      <c r="C6" s="552" t="s">
        <v>1161</v>
      </c>
      <c r="D6" s="552">
        <v>5</v>
      </c>
      <c r="E6" s="552">
        <v>5</v>
      </c>
      <c r="F6" s="552">
        <v>6</v>
      </c>
      <c r="G6" s="553">
        <v>10888.02</v>
      </c>
      <c r="H6" s="554">
        <v>9381.109999999999</v>
      </c>
      <c r="I6" s="555">
        <f t="shared" si="2"/>
      </c>
      <c r="J6" s="555">
        <f t="shared" si="0"/>
      </c>
      <c r="K6" s="555">
        <f t="shared" si="4"/>
      </c>
      <c r="L6" s="552" t="s">
        <v>1162</v>
      </c>
      <c r="M6" s="556">
        <v>1</v>
      </c>
      <c r="N6" s="553"/>
      <c r="O6" s="553"/>
      <c r="P6" s="553"/>
      <c r="Q6" s="557">
        <v>4.966177871889888</v>
      </c>
      <c r="R6" s="558">
        <v>0.30829206415364485</v>
      </c>
      <c r="S6" s="558">
        <v>0.01977969047768633</v>
      </c>
      <c r="T6" s="558">
        <v>0.020502188435844275</v>
      </c>
      <c r="U6" s="558">
        <v>0.09346271705822268</v>
      </c>
      <c r="V6" s="559">
        <v>29442.50871080139</v>
      </c>
      <c r="W6" s="558">
        <v>0.01148</v>
      </c>
      <c r="X6" s="559">
        <v>43.8</v>
      </c>
      <c r="Y6" s="560">
        <v>98.229461163117</v>
      </c>
      <c r="Z6" s="559">
        <v>95502</v>
      </c>
      <c r="AA6" s="559">
        <v>1889</v>
      </c>
      <c r="AB6" s="559">
        <v>338</v>
      </c>
      <c r="AC6" s="559">
        <v>1958</v>
      </c>
      <c r="AD6" s="559">
        <v>183</v>
      </c>
      <c r="AE6" s="559">
        <v>15</v>
      </c>
      <c r="AF6" s="559">
        <v>4</v>
      </c>
      <c r="AG6" s="559">
        <v>72</v>
      </c>
    </row>
    <row r="7">
      <c r="A7" s="552" t="s">
        <v>1159</v>
      </c>
      <c r="B7" s="552" t="s">
        <v>1148</v>
      </c>
      <c r="C7" s="552" t="s">
        <v>1163</v>
      </c>
      <c r="D7" s="552">
        <v>4</v>
      </c>
      <c r="E7" s="552">
        <v>1</v>
      </c>
      <c r="F7" s="552">
        <v>2</v>
      </c>
      <c r="G7" s="553">
        <v>4543.12</v>
      </c>
      <c r="H7" s="554">
        <v>6487.59</v>
      </c>
      <c r="I7" s="555">
        <f t="shared" si="2"/>
      </c>
      <c r="J7" s="555">
        <f t="shared" si="0"/>
      </c>
      <c r="K7" s="555">
        <f t="shared" si="4"/>
      </c>
      <c r="L7" s="552" t="s">
        <v>1164</v>
      </c>
      <c r="M7" s="556">
        <v>8</v>
      </c>
      <c r="N7" s="553"/>
      <c r="O7" s="553"/>
      <c r="P7" s="553"/>
      <c r="Q7" s="561">
        <v>5.2744634146341465</v>
      </c>
      <c r="R7" s="558">
        <v>0.2954312779386533</v>
      </c>
      <c r="S7" s="558">
        <v>0.01954645859487978</v>
      </c>
      <c r="T7" s="558">
        <v>0.020356921512228454</v>
      </c>
      <c r="U7" s="558">
        <v>0.13036690085870414</v>
      </c>
      <c r="V7" s="559">
        <v>18590.604026845638</v>
      </c>
      <c r="W7" s="558">
        <v>0.0149</v>
      </c>
      <c r="X7" s="559">
        <v>47.25</v>
      </c>
      <c r="Y7" s="560">
        <v>103.09708074435457</v>
      </c>
      <c r="Z7" s="559">
        <v>62927</v>
      </c>
      <c r="AA7" s="559">
        <v>1230</v>
      </c>
      <c r="AB7" s="559">
        <v>277</v>
      </c>
      <c r="AC7" s="559">
        <v>1281</v>
      </c>
      <c r="AD7" s="559">
        <v>167</v>
      </c>
      <c r="AE7" s="559">
        <v>11</v>
      </c>
      <c r="AF7" s="559">
        <v>1</v>
      </c>
      <c r="AG7" s="559">
        <v>64</v>
      </c>
    </row>
    <row r="8">
      <c r="A8" s="552" t="s">
        <v>1159</v>
      </c>
      <c r="B8" s="552" t="s">
        <v>1155</v>
      </c>
      <c r="C8" s="552" t="s">
        <v>1165</v>
      </c>
      <c r="D8" s="552">
        <v>3</v>
      </c>
      <c r="E8" s="552">
        <v>3</v>
      </c>
      <c r="F8" s="552">
        <v>4</v>
      </c>
      <c r="G8" s="553">
        <v>8404.12</v>
      </c>
      <c r="H8" s="554">
        <v>5795.96</v>
      </c>
      <c r="I8" s="555">
        <f t="shared" si="2"/>
      </c>
      <c r="J8" s="555">
        <f t="shared" si="0"/>
      </c>
      <c r="K8" s="555">
        <f t="shared" si="4"/>
      </c>
      <c r="L8" s="552" t="s">
        <v>1157</v>
      </c>
      <c r="M8" s="556">
        <v>7</v>
      </c>
      <c r="N8" s="552" t="s">
        <v>1154</v>
      </c>
      <c r="O8" s="552">
        <v>4</v>
      </c>
      <c r="P8" s="553"/>
      <c r="Q8" s="560">
        <v>3.198653421633554</v>
      </c>
      <c r="R8" s="558">
        <v>0.3451966840296946</v>
      </c>
      <c r="S8" s="558">
        <v>0.03326052240312781</v>
      </c>
      <c r="T8" s="558">
        <v>0.034985957892031794</v>
      </c>
      <c r="U8" s="558">
        <v>0.0708289611752361</v>
      </c>
      <c r="V8" s="559">
        <v>18805.97014925373</v>
      </c>
      <c r="W8" s="558">
        <v>0.011166666666666667</v>
      </c>
      <c r="X8" s="559">
        <v>40.333333333333336</v>
      </c>
      <c r="Y8" s="560">
        <v>106.38888379008425</v>
      </c>
      <c r="Z8" s="559">
        <v>54479</v>
      </c>
      <c r="AA8" s="559">
        <v>1812</v>
      </c>
      <c r="AB8" s="559">
        <v>210</v>
      </c>
      <c r="AC8" s="559">
        <v>1906</v>
      </c>
      <c r="AD8" s="559">
        <v>135</v>
      </c>
      <c r="AE8" s="559">
        <v>12</v>
      </c>
      <c r="AF8" s="559">
        <v>3</v>
      </c>
      <c r="AG8" s="559">
        <v>30</v>
      </c>
    </row>
    <row r="9">
      <c r="A9" s="562" t="s">
        <v>1159</v>
      </c>
      <c r="B9" s="563" t="s">
        <v>1158</v>
      </c>
      <c r="C9" s="563"/>
      <c r="D9" s="563">
        <f>SUM(D6:D8)</f>
      </c>
      <c r="E9" s="563">
        <f>SUM(E6:E8)</f>
      </c>
      <c r="F9" s="563">
        <f>SUM(F6:F8)</f>
      </c>
      <c r="G9" s="563">
        <f>SUM(G6:G8)</f>
      </c>
      <c r="H9" s="563">
        <f>SUM(H6:H8)</f>
      </c>
      <c r="I9" s="564">
        <f t="shared" si="2"/>
      </c>
      <c r="J9" s="564">
        <f t="shared" si="0"/>
      </c>
      <c r="K9" s="564">
        <f t="shared" si="4"/>
      </c>
      <c r="L9" s="563"/>
      <c r="M9" s="565">
        <f>SUM(M6:M8)</f>
      </c>
      <c r="N9" s="563"/>
      <c r="O9" s="563"/>
      <c r="P9" s="563"/>
      <c r="Q9" s="566">
        <f>AVERAGE(Q6:Q8)</f>
      </c>
      <c r="R9" s="567">
        <f>AVERAGE(R6:R8)</f>
      </c>
      <c r="S9" s="567">
        <f>AVERAGE(S6:S8)</f>
      </c>
      <c r="T9" s="567">
        <f>AVERAGE(T6:T8)</f>
      </c>
      <c r="U9" s="567">
        <f>AVERAGE(U6:U8)</f>
      </c>
      <c r="V9" s="568">
        <f>SUM(V6:V8)</f>
      </c>
      <c r="W9" s="567">
        <f>AVERAGE(W6:W8)</f>
      </c>
      <c r="X9" s="568"/>
      <c r="Y9" s="566">
        <f>AVERAGE(Y6:Y8)</f>
      </c>
      <c r="Z9" s="568">
        <f>SUM(Z6:Z8)</f>
      </c>
      <c r="AA9" s="568">
        <f>SUM(AA6:AA8)</f>
      </c>
      <c r="AB9" s="568">
        <f>SUM(AB6:AB8)</f>
      </c>
      <c r="AC9" s="568">
        <f>SUM(AC6:AC8)</f>
      </c>
      <c r="AD9" s="568">
        <f>SUM(AD6:AD8)</f>
      </c>
      <c r="AE9" s="568">
        <f>SUM(AE6:AE8)</f>
      </c>
      <c r="AF9" s="568">
        <f>SUM(AF6:AF8)</f>
      </c>
      <c r="AG9" s="568">
        <f>SUM(AG6:AG8)</f>
      </c>
    </row>
    <row r="10">
      <c r="A10" s="552" t="s">
        <v>1166</v>
      </c>
      <c r="B10" s="552" t="s">
        <v>1148</v>
      </c>
      <c r="C10" s="552" t="s">
        <v>1149</v>
      </c>
      <c r="D10" s="552">
        <v>5</v>
      </c>
      <c r="E10" s="552">
        <v>11</v>
      </c>
      <c r="F10" s="552">
        <v>11</v>
      </c>
      <c r="G10" s="553">
        <v>21505.55</v>
      </c>
      <c r="H10" s="554">
        <v>9624.64</v>
      </c>
      <c r="I10" s="555">
        <f t="shared" si="2"/>
      </c>
      <c r="J10" s="555">
        <f t="shared" si="0"/>
      </c>
      <c r="K10" s="555">
        <f t="shared" si="4"/>
      </c>
      <c r="L10" s="552" t="s">
        <v>1150</v>
      </c>
      <c r="M10" s="556">
        <v>4</v>
      </c>
      <c r="N10" s="553"/>
      <c r="O10" s="553"/>
      <c r="P10" s="553"/>
      <c r="Q10" s="557">
        <v>3.591283582089552</v>
      </c>
      <c r="R10" s="558">
        <v>0.29551709097522066</v>
      </c>
      <c r="S10" s="558">
        <v>0.03193327375633006</v>
      </c>
      <c r="T10" s="558">
        <v>0.03373249925528746</v>
      </c>
      <c r="U10" s="558">
        <v>0.12363122571529495</v>
      </c>
      <c r="V10" s="559">
        <v>24801.271860095392</v>
      </c>
      <c r="W10" s="558">
        <v>0.01258</v>
      </c>
      <c r="X10" s="559">
        <v>38.8</v>
      </c>
      <c r="Y10" s="560">
        <v>114.68144176347928</v>
      </c>
      <c r="Z10" s="559">
        <v>83925</v>
      </c>
      <c r="AA10" s="559">
        <v>2680</v>
      </c>
      <c r="AB10" s="559">
        <v>312</v>
      </c>
      <c r="AC10" s="559">
        <v>2831</v>
      </c>
      <c r="AD10" s="559">
        <v>350</v>
      </c>
      <c r="AE10" s="559">
        <v>20</v>
      </c>
      <c r="AF10" s="559">
        <v>3</v>
      </c>
      <c r="AG10" s="559">
        <v>56</v>
      </c>
    </row>
    <row r="11">
      <c r="A11" s="552" t="s">
        <v>1166</v>
      </c>
      <c r="B11" s="552" t="s">
        <v>1151</v>
      </c>
      <c r="C11" s="552" t="s">
        <v>1152</v>
      </c>
      <c r="D11" s="552">
        <v>3</v>
      </c>
      <c r="E11" s="552">
        <v>7</v>
      </c>
      <c r="F11" s="552">
        <v>7</v>
      </c>
      <c r="G11" s="553">
        <v>10390.48</v>
      </c>
      <c r="H11" s="554">
        <v>6154.8099999999995</v>
      </c>
      <c r="I11" s="555">
        <f t="shared" si="2"/>
      </c>
      <c r="J11" s="555">
        <f t="shared" si="0"/>
      </c>
      <c r="K11" s="555">
        <f t="shared" si="4"/>
      </c>
      <c r="L11" s="552" t="s">
        <v>1153</v>
      </c>
      <c r="M11" s="556">
        <v>5</v>
      </c>
      <c r="N11" s="553"/>
      <c r="O11" s="553"/>
      <c r="P11" s="553"/>
      <c r="Q11" s="561">
        <v>4.396292857142857</v>
      </c>
      <c r="R11" s="558">
        <v>0.22251049058513897</v>
      </c>
      <c r="S11" s="558">
        <v>0.024002605997222554</v>
      </c>
      <c r="T11" s="558">
        <v>0.025357038764208684</v>
      </c>
      <c r="U11" s="558">
        <v>0.10885733603786342</v>
      </c>
      <c r="V11" s="559">
        <v>12978.369384359401</v>
      </c>
      <c r="W11" s="558">
        <v>0.020033333333333334</v>
      </c>
      <c r="X11" s="559">
        <v>41.666666666666664</v>
      </c>
      <c r="Y11" s="560">
        <v>105.52248529840381</v>
      </c>
      <c r="Z11" s="559">
        <v>58327</v>
      </c>
      <c r="AA11" s="559">
        <v>1400</v>
      </c>
      <c r="AB11" s="559">
        <v>260</v>
      </c>
      <c r="AC11" s="559">
        <v>1479</v>
      </c>
      <c r="AD11" s="559">
        <v>161</v>
      </c>
      <c r="AE11" s="559">
        <v>14</v>
      </c>
      <c r="AF11" s="559">
        <v>3</v>
      </c>
      <c r="AG11" s="559">
        <v>58</v>
      </c>
    </row>
    <row r="12">
      <c r="A12" s="552" t="s">
        <v>1166</v>
      </c>
      <c r="B12" s="552" t="s">
        <v>1155</v>
      </c>
      <c r="C12" s="552" t="s">
        <v>1156</v>
      </c>
      <c r="D12" s="552">
        <v>5</v>
      </c>
      <c r="E12" s="552">
        <v>12</v>
      </c>
      <c r="F12" s="552">
        <v>15</v>
      </c>
      <c r="G12" s="553">
        <v>30069.27</v>
      </c>
      <c r="H12" s="554">
        <v>11078.52</v>
      </c>
      <c r="I12" s="555">
        <f t="shared" si="2"/>
      </c>
      <c r="J12" s="555">
        <f t="shared" si="0"/>
      </c>
      <c r="K12" s="555">
        <f t="shared" si="4"/>
      </c>
      <c r="L12" s="552" t="s">
        <v>1157</v>
      </c>
      <c r="M12" s="556">
        <v>8</v>
      </c>
      <c r="N12" s="552" t="s">
        <v>1154</v>
      </c>
      <c r="O12" s="552">
        <v>4</v>
      </c>
      <c r="P12" s="553"/>
      <c r="Q12" s="560">
        <v>4.196409090909091</v>
      </c>
      <c r="R12" s="558">
        <v>0.03145785460193768</v>
      </c>
      <c r="S12" s="558">
        <v>0.022219042729575735</v>
      </c>
      <c r="T12" s="558">
        <v>0.022774518797815127</v>
      </c>
      <c r="U12" s="558">
        <v>0.10716925351071692</v>
      </c>
      <c r="V12" s="559">
        <v>3737.727910238429</v>
      </c>
      <c r="W12" s="558">
        <v>0.1426</v>
      </c>
      <c r="X12" s="559">
        <v>212</v>
      </c>
      <c r="Y12" s="560">
        <v>93.24019290168916</v>
      </c>
      <c r="Z12" s="559">
        <v>118817</v>
      </c>
      <c r="AA12" s="559">
        <v>2640</v>
      </c>
      <c r="AB12" s="559">
        <v>533</v>
      </c>
      <c r="AC12" s="559">
        <v>2706</v>
      </c>
      <c r="AD12" s="559">
        <v>290</v>
      </c>
      <c r="AE12" s="559">
        <v>34</v>
      </c>
      <c r="AF12" s="559">
        <v>2</v>
      </c>
      <c r="AG12" s="559">
        <v>166</v>
      </c>
    </row>
    <row r="13">
      <c r="A13" s="562" t="s">
        <v>1166</v>
      </c>
      <c r="B13" s="563" t="s">
        <v>1158</v>
      </c>
      <c r="C13" s="563"/>
      <c r="D13" s="563">
        <f>SUM(D10:D12)</f>
      </c>
      <c r="E13" s="563">
        <f>SUM(E10:E12)</f>
      </c>
      <c r="F13" s="563">
        <f>SUM(F10:F12)</f>
      </c>
      <c r="G13" s="563">
        <f>SUM(G10:G12)</f>
      </c>
      <c r="H13" s="563">
        <f>SUM(H10:H12)</f>
      </c>
      <c r="I13" s="564">
        <f t="shared" si="2"/>
      </c>
      <c r="J13" s="564">
        <f t="shared" si="0"/>
      </c>
      <c r="K13" s="564">
        <f t="shared" si="4"/>
      </c>
      <c r="L13" s="563"/>
      <c r="M13" s="565">
        <f>SUM(M10:M12)</f>
      </c>
      <c r="N13" s="563"/>
      <c r="O13" s="563"/>
      <c r="P13" s="563"/>
      <c r="Q13" s="566">
        <f>AVERAGE(Q10:Q12)</f>
      </c>
      <c r="R13" s="567">
        <f>AVERAGE(R10:R12)</f>
      </c>
      <c r="S13" s="567">
        <f>AVERAGE(S10:S12)</f>
      </c>
      <c r="T13" s="567">
        <f>AVERAGE(T10:T12)</f>
      </c>
      <c r="U13" s="567">
        <f>AVERAGE(U10:U12)</f>
      </c>
      <c r="V13" s="568">
        <f>SUM(V10:V12)</f>
      </c>
      <c r="W13" s="567">
        <f>AVERAGE(W10:W12)</f>
      </c>
      <c r="X13" s="568"/>
      <c r="Y13" s="566">
        <f>AVERAGE(Y10:Y12)</f>
      </c>
      <c r="Z13" s="568">
        <f>SUM(Z10:Z12)</f>
      </c>
      <c r="AA13" s="568">
        <f>SUM(AA10:AA12)</f>
      </c>
      <c r="AB13" s="568">
        <f>SUM(AB10:AB12)</f>
      </c>
      <c r="AC13" s="568">
        <f>SUM(AC10:AC12)</f>
      </c>
      <c r="AD13" s="568">
        <f>SUM(AD10:AD12)</f>
      </c>
      <c r="AE13" s="568">
        <f>SUM(AE10:AE12)</f>
      </c>
      <c r="AF13" s="568">
        <f>SUM(AF10:AF12)</f>
      </c>
      <c r="AG13" s="568">
        <f>SUM(AG10:AG12)</f>
      </c>
    </row>
    <row r="14">
      <c r="A14" s="552" t="s">
        <v>1167</v>
      </c>
      <c r="B14" s="552" t="s">
        <v>1151</v>
      </c>
      <c r="C14" s="552" t="s">
        <v>1168</v>
      </c>
      <c r="D14" s="552">
        <v>3</v>
      </c>
      <c r="E14" s="552">
        <v>6</v>
      </c>
      <c r="F14" s="569">
        <v>7</v>
      </c>
      <c r="G14" s="570">
        <v>12239.38</v>
      </c>
      <c r="H14" s="554">
        <v>7930.539999999999</v>
      </c>
      <c r="I14" s="555">
        <f t="shared" si="2"/>
      </c>
      <c r="J14" s="555">
        <f t="shared" si="0"/>
      </c>
      <c r="K14" s="555">
        <f t="shared" si="4"/>
      </c>
      <c r="L14" s="552" t="s">
        <v>1150</v>
      </c>
      <c r="M14" s="556">
        <v>4</v>
      </c>
      <c r="N14" s="553"/>
      <c r="O14" s="553"/>
      <c r="P14" s="553"/>
      <c r="Q14" s="557">
        <v>3.4920915896081017</v>
      </c>
      <c r="R14" s="558">
        <v>0.19448197379084572</v>
      </c>
      <c r="S14" s="558">
        <v>0.025187994942436946</v>
      </c>
      <c r="T14" s="558">
        <v>0.026108560147290433</v>
      </c>
      <c r="U14" s="558">
        <v>0.07349192863211555</v>
      </c>
      <c r="V14" s="559">
        <v>17534.883720930233</v>
      </c>
      <c r="W14" s="558">
        <v>0.021500000000000002</v>
      </c>
      <c r="X14" s="559">
        <v>44</v>
      </c>
      <c r="Y14" s="560">
        <v>87.95878529757546</v>
      </c>
      <c r="Z14" s="559">
        <v>90162</v>
      </c>
      <c r="AA14" s="559">
        <v>2271</v>
      </c>
      <c r="AB14" s="559">
        <v>377</v>
      </c>
      <c r="AC14" s="559">
        <v>2354</v>
      </c>
      <c r="AD14" s="559">
        <v>173</v>
      </c>
      <c r="AE14" s="559">
        <v>24</v>
      </c>
      <c r="AF14" s="559">
        <v>5</v>
      </c>
      <c r="AG14" s="559">
        <v>87</v>
      </c>
    </row>
    <row r="15">
      <c r="A15" s="552" t="s">
        <v>1167</v>
      </c>
      <c r="B15" s="552" t="s">
        <v>1148</v>
      </c>
      <c r="C15" s="552" t="s">
        <v>1169</v>
      </c>
      <c r="D15" s="552">
        <v>5</v>
      </c>
      <c r="E15" s="552">
        <v>9</v>
      </c>
      <c r="F15" s="569">
        <v>12</v>
      </c>
      <c r="G15" s="571">
        <v>30083.42</v>
      </c>
      <c r="H15" s="554">
        <v>9405.41</v>
      </c>
      <c r="I15" s="555">
        <f t="shared" si="2"/>
      </c>
      <c r="J15" s="555">
        <f t="shared" si="0"/>
      </c>
      <c r="K15" s="555">
        <f t="shared" si="4"/>
      </c>
      <c r="L15" s="552" t="s">
        <v>1157</v>
      </c>
      <c r="M15" s="572">
        <v>8</v>
      </c>
      <c r="N15" s="552" t="s">
        <v>1154</v>
      </c>
      <c r="O15" s="552">
        <v>4</v>
      </c>
      <c r="P15" s="553"/>
      <c r="Q15" s="560">
        <v>4.875795749092794</v>
      </c>
      <c r="R15" s="558">
        <v>0.19748372372267464</v>
      </c>
      <c r="S15" s="558">
        <v>0.018976321407139975</v>
      </c>
      <c r="T15" s="558">
        <v>0.019556727297767897</v>
      </c>
      <c r="U15" s="558">
        <v>0.14637826961770622</v>
      </c>
      <c r="V15" s="559">
        <v>20074.812967581045</v>
      </c>
      <c r="W15" s="558">
        <v>0.02406</v>
      </c>
      <c r="X15" s="559">
        <v>49.2</v>
      </c>
      <c r="Y15" s="560">
        <v>92.52466725035168</v>
      </c>
      <c r="Z15" s="559">
        <v>101653</v>
      </c>
      <c r="AA15" s="559">
        <v>1929</v>
      </c>
      <c r="AB15" s="559">
        <v>483</v>
      </c>
      <c r="AC15" s="559">
        <v>1988</v>
      </c>
      <c r="AD15" s="559">
        <v>291</v>
      </c>
      <c r="AE15" s="559">
        <v>25</v>
      </c>
      <c r="AF15" s="559">
        <v>4</v>
      </c>
      <c r="AG15" s="559">
        <v>118</v>
      </c>
    </row>
    <row r="16">
      <c r="A16" s="562" t="s">
        <v>1167</v>
      </c>
      <c r="B16" s="563" t="s">
        <v>1158</v>
      </c>
      <c r="C16" s="563"/>
      <c r="D16" s="563">
        <f>SUM(D14:D15)</f>
      </c>
      <c r="E16" s="563">
        <f>E14+E15</f>
      </c>
      <c r="F16" s="563">
        <f>SUM(F14:F15)</f>
      </c>
      <c r="G16" s="563">
        <f>SUM(G14:G15)</f>
      </c>
      <c r="H16" s="563">
        <f>SUM(H14:H15)</f>
      </c>
      <c r="I16" s="564">
        <f t="shared" si="2"/>
      </c>
      <c r="J16" s="564">
        <f t="shared" si="0"/>
      </c>
      <c r="K16" s="564">
        <f t="shared" si="4"/>
      </c>
      <c r="L16" s="563"/>
      <c r="M16" s="568">
        <f>SUM(M14:M15)</f>
      </c>
      <c r="N16" s="563"/>
      <c r="O16" s="563"/>
      <c r="P16" s="563"/>
      <c r="Q16" s="566">
        <f>AVERAGE(Q14:Q15)</f>
      </c>
      <c r="R16" s="567">
        <f>AVERAGE(R14:R15)</f>
      </c>
      <c r="S16" s="567">
        <f>AVERAGE(S14:S15)</f>
      </c>
      <c r="T16" s="567">
        <f>AVERAGE(T14:T15)</f>
      </c>
      <c r="U16" s="567">
        <f>AVERAGE(U14:U15)</f>
      </c>
      <c r="V16" s="568">
        <f>SUM(V14:V15)</f>
      </c>
      <c r="W16" s="567">
        <f>AVERAGE(W14:W15)</f>
      </c>
      <c r="X16" s="568"/>
      <c r="Y16" s="566">
        <f>AVERAGE(Y14:Y15)</f>
      </c>
      <c r="Z16" s="568">
        <f>SUM(Z14:Z15)</f>
      </c>
      <c r="AA16" s="568">
        <f>SUM(AA14:AA15)</f>
      </c>
      <c r="AB16" s="568">
        <f>SUM(AB14:AB15)</f>
      </c>
      <c r="AC16" s="568">
        <f>SUM(AC14:AC15)</f>
      </c>
      <c r="AD16" s="568">
        <f>SUM(AD14:AD15)</f>
      </c>
      <c r="AE16" s="568">
        <f>SUM(AE14:AE15)</f>
      </c>
      <c r="AF16" s="568">
        <f>SUM(AF14:AF15)</f>
      </c>
      <c r="AG16" s="568">
        <f>SUM(AG14:AG15)</f>
      </c>
    </row>
    <row r="17">
      <c r="A17" s="552" t="s">
        <v>1170</v>
      </c>
      <c r="B17" s="552" t="s">
        <v>1148</v>
      </c>
      <c r="C17" s="552" t="s">
        <v>1163</v>
      </c>
      <c r="D17" s="552">
        <v>4</v>
      </c>
      <c r="E17" s="552">
        <v>5</v>
      </c>
      <c r="F17" s="569">
        <v>6</v>
      </c>
      <c r="G17" s="570">
        <v>12380.95</v>
      </c>
      <c r="H17" s="554">
        <v>7320.17</v>
      </c>
      <c r="I17" s="555">
        <f t="shared" si="2"/>
      </c>
      <c r="J17" s="555">
        <f t="shared" si="0"/>
      </c>
      <c r="K17" s="555">
        <f t="shared" si="4"/>
      </c>
      <c r="L17" s="552" t="s">
        <v>1150</v>
      </c>
      <c r="M17" s="556">
        <v>4</v>
      </c>
      <c r="N17" s="553"/>
      <c r="O17" s="553"/>
      <c r="P17" s="553"/>
      <c r="Q17" s="557">
        <v>3.4924475190839694</v>
      </c>
      <c r="R17" s="558">
        <v>0.25371784061266683</v>
      </c>
      <c r="S17" s="558">
        <v>0.02896788103267179</v>
      </c>
      <c r="T17" s="558">
        <v>0.030653988611863563</v>
      </c>
      <c r="U17" s="558">
        <v>0.06988277727682597</v>
      </c>
      <c r="V17" s="559">
        <v>18358.008075370122</v>
      </c>
      <c r="W17" s="558">
        <v>0.018574999999999998</v>
      </c>
      <c r="X17" s="559">
        <v>41.75</v>
      </c>
      <c r="Y17" s="560">
        <v>101.16880424567417</v>
      </c>
      <c r="Z17" s="559">
        <v>72356</v>
      </c>
      <c r="AA17" s="559">
        <v>2096</v>
      </c>
      <c r="AB17" s="559">
        <v>341</v>
      </c>
      <c r="AC17" s="559">
        <v>2218</v>
      </c>
      <c r="AD17" s="559">
        <v>155</v>
      </c>
      <c r="AE17" s="559">
        <v>18</v>
      </c>
      <c r="AF17" s="559">
        <v>3</v>
      </c>
      <c r="AG17" s="559">
        <v>59</v>
      </c>
    </row>
    <row r="18">
      <c r="A18" s="552" t="s">
        <v>1170</v>
      </c>
      <c r="B18" s="552" t="s">
        <v>1155</v>
      </c>
      <c r="C18" s="552" t="s">
        <v>1171</v>
      </c>
      <c r="D18" s="552">
        <v>4</v>
      </c>
      <c r="E18" s="552">
        <v>9</v>
      </c>
      <c r="F18" s="569">
        <v>13</v>
      </c>
      <c r="G18" s="571">
        <v>24348.72</v>
      </c>
      <c r="H18" s="554">
        <v>7502.960000000001</v>
      </c>
      <c r="I18" s="555">
        <f t="shared" si="2"/>
      </c>
      <c r="J18" s="555">
        <f t="shared" si="0"/>
      </c>
      <c r="K18" s="555">
        <f t="shared" si="4"/>
      </c>
      <c r="L18" s="552" t="s">
        <v>1157</v>
      </c>
      <c r="M18" s="572">
        <v>8</v>
      </c>
      <c r="N18" s="552" t="s">
        <v>1154</v>
      </c>
      <c r="O18" s="552">
        <v>4</v>
      </c>
      <c r="P18" s="553"/>
      <c r="Q18" s="560">
        <v>2.7840296846011134</v>
      </c>
      <c r="R18" s="558">
        <v>0.29526959066109915</v>
      </c>
      <c r="S18" s="558">
        <v>0.038632454128440366</v>
      </c>
      <c r="T18" s="558">
        <v>0.04122706422018348</v>
      </c>
      <c r="U18" s="558">
        <v>0.061891515994436715</v>
      </c>
      <c r="V18" s="559">
        <v>20598.006644518275</v>
      </c>
      <c r="W18" s="558">
        <v>0.01505</v>
      </c>
      <c r="X18" s="559">
        <v>37.5</v>
      </c>
      <c r="Y18" s="560">
        <v>107.55389908256882</v>
      </c>
      <c r="Z18" s="559">
        <v>69760</v>
      </c>
      <c r="AA18" s="559">
        <v>2695</v>
      </c>
      <c r="AB18" s="559">
        <v>310</v>
      </c>
      <c r="AC18" s="559">
        <v>2876</v>
      </c>
      <c r="AD18" s="559">
        <v>178</v>
      </c>
      <c r="AE18" s="559">
        <v>15</v>
      </c>
      <c r="AF18" s="559">
        <v>5</v>
      </c>
      <c r="AG18" s="559">
        <v>53</v>
      </c>
    </row>
    <row r="19">
      <c r="A19" s="562" t="s">
        <v>1170</v>
      </c>
      <c r="B19" s="563" t="s">
        <v>1158</v>
      </c>
      <c r="C19" s="563"/>
      <c r="D19" s="563">
        <f>SUM(D17:D18)</f>
      </c>
      <c r="E19" s="563">
        <f>E17+E18</f>
      </c>
      <c r="F19" s="563">
        <f>SUM(F17:F18)</f>
      </c>
      <c r="G19" s="563">
        <f>SUM(G17:G18)</f>
      </c>
      <c r="H19" s="563">
        <f>SUM(H17:H18)</f>
      </c>
      <c r="I19" s="564">
        <f t="shared" si="2"/>
      </c>
      <c r="J19" s="564">
        <f t="shared" si="0"/>
      </c>
      <c r="K19" s="564">
        <f t="shared" si="4"/>
      </c>
      <c r="L19" s="563"/>
      <c r="M19" s="568">
        <f>SUM(M17:M18)</f>
      </c>
      <c r="N19" s="563"/>
      <c r="O19" s="563"/>
      <c r="P19" s="563"/>
      <c r="Q19" s="566">
        <f>AVERAGE(Q17:Q18)</f>
      </c>
      <c r="R19" s="567">
        <f>AVERAGE(R17:R18)</f>
      </c>
      <c r="S19" s="567">
        <f>AVERAGE(S17:S18)</f>
      </c>
      <c r="T19" s="567">
        <f>AVERAGE(T17:T18)</f>
      </c>
      <c r="U19" s="567">
        <f>AVERAGE(U17:U18)</f>
      </c>
      <c r="V19" s="568">
        <f>SUM(V17:V18)</f>
      </c>
      <c r="W19" s="567">
        <f>AVERAGE(W17:W18)</f>
      </c>
      <c r="X19" s="568"/>
      <c r="Y19" s="566">
        <f>AVERAGE(Y17:Y18)</f>
      </c>
      <c r="Z19" s="568">
        <f>SUM(Z17:Z18)</f>
      </c>
      <c r="AA19" s="568">
        <f>SUM(AA17:AA18)</f>
      </c>
      <c r="AB19" s="568">
        <f>SUM(AB17:AB18)</f>
      </c>
      <c r="AC19" s="568">
        <f>SUM(AC17:AC18)</f>
      </c>
      <c r="AD19" s="568">
        <f>SUM(AD17:AD18)</f>
      </c>
      <c r="AE19" s="568">
        <f>SUM(AE17:AE18)</f>
      </c>
      <c r="AF19" s="568">
        <f>SUM(AF17:AF18)</f>
      </c>
      <c r="AG19" s="568">
        <f>SUM(AG17:AG18)</f>
      </c>
    </row>
    <row r="20">
      <c r="A20" s="552" t="s">
        <v>1172</v>
      </c>
      <c r="B20" s="552" t="s">
        <v>1155</v>
      </c>
      <c r="C20" s="552" t="s">
        <v>1161</v>
      </c>
      <c r="D20" s="552">
        <v>5</v>
      </c>
      <c r="E20" s="552">
        <v>11</v>
      </c>
      <c r="F20" s="552">
        <v>11</v>
      </c>
      <c r="G20" s="553">
        <v>24111.97</v>
      </c>
      <c r="H20" s="554">
        <v>9530.06</v>
      </c>
      <c r="I20" s="555">
        <f t="shared" si="2"/>
      </c>
      <c r="J20" s="555">
        <f t="shared" si="0"/>
      </c>
      <c r="K20" s="555">
        <f t="shared" si="4"/>
      </c>
      <c r="L20" s="552" t="s">
        <v>1150</v>
      </c>
      <c r="M20" s="556">
        <v>4</v>
      </c>
      <c r="N20" s="553"/>
      <c r="O20" s="553"/>
      <c r="P20" s="553"/>
      <c r="Q20" s="557">
        <v>3.3902739238705086</v>
      </c>
      <c r="R20" s="558">
        <v>0.35098300336673965</v>
      </c>
      <c r="S20" s="558">
        <v>0.0285691055257996</v>
      </c>
      <c r="T20" s="558">
        <v>0.029829357779516834</v>
      </c>
      <c r="U20" s="558">
        <v>0.07938671209540034</v>
      </c>
      <c r="V20" s="559">
        <v>34534.270650263614</v>
      </c>
      <c r="W20" s="558">
        <v>0.011380000000000001</v>
      </c>
      <c r="X20" s="559">
        <v>37.2</v>
      </c>
      <c r="Y20" s="560">
        <v>96.85709349242323</v>
      </c>
      <c r="Z20" s="559">
        <v>98393</v>
      </c>
      <c r="AA20" s="559">
        <v>2811</v>
      </c>
      <c r="AB20" s="559">
        <v>393</v>
      </c>
      <c r="AC20" s="559">
        <v>2935</v>
      </c>
      <c r="AD20" s="559">
        <v>233</v>
      </c>
      <c r="AE20" s="559">
        <v>22</v>
      </c>
      <c r="AF20" s="559">
        <v>7</v>
      </c>
      <c r="AG20" s="559">
        <v>86</v>
      </c>
    </row>
    <row r="21">
      <c r="A21" s="552" t="s">
        <v>1172</v>
      </c>
      <c r="B21" s="552" t="s">
        <v>1151</v>
      </c>
      <c r="C21" s="552" t="s">
        <v>1168</v>
      </c>
      <c r="D21" s="552">
        <v>3</v>
      </c>
      <c r="E21" s="552">
        <v>3</v>
      </c>
      <c r="F21" s="552">
        <v>4</v>
      </c>
      <c r="G21" s="553">
        <v>7889.31</v>
      </c>
      <c r="H21" s="554">
        <v>4640.6</v>
      </c>
      <c r="I21" s="555">
        <f t="shared" si="2"/>
      </c>
      <c r="J21" s="555">
        <f t="shared" si="0"/>
      </c>
      <c r="K21" s="555">
        <f t="shared" si="4"/>
      </c>
      <c r="L21" s="552" t="s">
        <v>1153</v>
      </c>
      <c r="M21" s="556">
        <v>5</v>
      </c>
      <c r="N21" s="553"/>
      <c r="O21" s="553"/>
      <c r="P21" s="553"/>
      <c r="Q21" s="561">
        <v>2.5344620425996727</v>
      </c>
      <c r="R21" s="558">
        <v>0.45730862327008</v>
      </c>
      <c r="S21" s="558">
        <v>0.03383159956394006</v>
      </c>
      <c r="T21" s="558">
        <v>0.035716265405295544</v>
      </c>
      <c r="U21" s="558">
        <v>0.05380237972064149</v>
      </c>
      <c r="V21" s="559">
        <v>24750</v>
      </c>
      <c r="W21" s="558">
        <v>0.008</v>
      </c>
      <c r="X21" s="559">
        <v>37</v>
      </c>
      <c r="Y21" s="560">
        <v>85.74490493523771</v>
      </c>
      <c r="Z21" s="559">
        <v>54121</v>
      </c>
      <c r="AA21" s="559">
        <v>1831</v>
      </c>
      <c r="AB21" s="559">
        <v>198</v>
      </c>
      <c r="AC21" s="559">
        <v>1933</v>
      </c>
      <c r="AD21" s="559">
        <v>104</v>
      </c>
      <c r="AE21" s="559">
        <v>14</v>
      </c>
      <c r="AF21" s="559">
        <v>2</v>
      </c>
      <c r="AG21" s="559">
        <v>32</v>
      </c>
    </row>
    <row r="22">
      <c r="A22" s="552" t="s">
        <v>1172</v>
      </c>
      <c r="B22" s="552" t="s">
        <v>1148</v>
      </c>
      <c r="C22" s="552" t="s">
        <v>1169</v>
      </c>
      <c r="D22" s="552">
        <v>5</v>
      </c>
      <c r="E22" s="552">
        <v>13</v>
      </c>
      <c r="F22" s="552">
        <v>14</v>
      </c>
      <c r="G22" s="553">
        <v>27007</v>
      </c>
      <c r="H22" s="554">
        <v>11952.06</v>
      </c>
      <c r="I22" s="555">
        <f t="shared" si="2"/>
      </c>
      <c r="J22" s="555">
        <f t="shared" si="0"/>
      </c>
      <c r="K22" s="555">
        <f t="shared" si="4"/>
      </c>
      <c r="L22" s="552" t="s">
        <v>1157</v>
      </c>
      <c r="M22" s="556">
        <v>8</v>
      </c>
      <c r="N22" s="552" t="s">
        <v>1154</v>
      </c>
      <c r="O22" s="552">
        <v>4</v>
      </c>
      <c r="P22" s="553"/>
      <c r="Q22" s="560">
        <v>2.0199526787223254</v>
      </c>
      <c r="R22" s="558">
        <v>0.35472565049186844</v>
      </c>
      <c r="S22" s="558">
        <v>0.04635585186810087</v>
      </c>
      <c r="T22" s="558">
        <v>0.04937207680797223</v>
      </c>
      <c r="U22" s="558">
        <v>0.05474452554744526</v>
      </c>
      <c r="V22" s="559">
        <v>45278.246205733565</v>
      </c>
      <c r="W22" s="558">
        <v>0.011859999999999999</v>
      </c>
      <c r="X22" s="559">
        <v>35.6</v>
      </c>
      <c r="Y22" s="560">
        <v>93.63662715542567</v>
      </c>
      <c r="Z22" s="559">
        <v>127643</v>
      </c>
      <c r="AA22" s="559">
        <v>5917</v>
      </c>
      <c r="AB22" s="559">
        <v>537</v>
      </c>
      <c r="AC22" s="559">
        <v>6302</v>
      </c>
      <c r="AD22" s="559">
        <v>345</v>
      </c>
      <c r="AE22" s="559">
        <v>33</v>
      </c>
      <c r="AF22" s="559">
        <v>7</v>
      </c>
      <c r="AG22" s="559">
        <v>81</v>
      </c>
    </row>
    <row r="23">
      <c r="A23" s="562" t="s">
        <v>1172</v>
      </c>
      <c r="B23" s="563" t="s">
        <v>1158</v>
      </c>
      <c r="C23" s="563"/>
      <c r="D23" s="563">
        <f>SUM(D20:D22)</f>
      </c>
      <c r="E23" s="563">
        <f>SUM(E20:E22)</f>
      </c>
      <c r="F23" s="563">
        <f>SUM(F20:F22)</f>
      </c>
      <c r="G23" s="563">
        <f>SUM(G20:G22)</f>
      </c>
      <c r="H23" s="563">
        <f>SUM(H20:H22)</f>
      </c>
      <c r="I23" s="564">
        <f t="shared" si="2"/>
      </c>
      <c r="J23" s="564">
        <f t="shared" si="0"/>
      </c>
      <c r="K23" s="564">
        <f t="shared" si="4"/>
      </c>
      <c r="L23" s="563"/>
      <c r="M23" s="565">
        <f>SUM(M20:M22)</f>
      </c>
      <c r="N23" s="563"/>
      <c r="O23" s="563"/>
      <c r="P23" s="563"/>
      <c r="Q23" s="566">
        <f>AVERAGE(Q20:Q22)</f>
      </c>
      <c r="R23" s="567">
        <f>AVERAGE(R20:R22)</f>
      </c>
      <c r="S23" s="567">
        <f>AVERAGE(S20:S22)</f>
      </c>
      <c r="T23" s="567">
        <f>AVERAGE(T20:T22)</f>
      </c>
      <c r="U23" s="567">
        <f>AVERAGE(U20:U22)</f>
      </c>
      <c r="V23" s="568">
        <f>SUM(V20:V22)</f>
      </c>
      <c r="W23" s="567">
        <f>AVERAGE(W20:W22)</f>
      </c>
      <c r="X23" s="568"/>
      <c r="Y23" s="566">
        <f>AVERAGE(Y20:Y22)</f>
      </c>
      <c r="Z23" s="568">
        <f>SUM(Z20:Z22)</f>
      </c>
      <c r="AA23" s="568">
        <f>SUM(AA20:AA22)</f>
      </c>
      <c r="AB23" s="568">
        <f>SUM(AB20:AB22)</f>
      </c>
      <c r="AC23" s="568">
        <f>SUM(AC20:AC22)</f>
      </c>
      <c r="AD23" s="568">
        <f>SUM(AD20:AD22)</f>
      </c>
      <c r="AE23" s="568">
        <f>SUM(AE20:AE22)</f>
      </c>
      <c r="AF23" s="568">
        <f>SUM(AF20:AF22)</f>
      </c>
      <c r="AG23" s="568">
        <f>SUM(AG20:AG22)</f>
      </c>
    </row>
    <row r="24">
      <c r="A24" s="552" t="s">
        <v>1173</v>
      </c>
      <c r="B24" s="552" t="s">
        <v>1155</v>
      </c>
      <c r="C24" s="552" t="s">
        <v>1161</v>
      </c>
      <c r="D24" s="552">
        <v>5</v>
      </c>
      <c r="E24" s="552">
        <v>22</v>
      </c>
      <c r="F24" s="552">
        <v>26</v>
      </c>
      <c r="G24" s="553">
        <v>49109.12</v>
      </c>
      <c r="H24" s="554">
        <v>13718.73</v>
      </c>
      <c r="I24" s="555">
        <f t="shared" si="2"/>
      </c>
      <c r="J24" s="555">
        <f t="shared" si="0"/>
      </c>
      <c r="K24" s="555">
        <f t="shared" si="4"/>
      </c>
      <c r="L24" s="552" t="s">
        <v>1150</v>
      </c>
      <c r="M24" s="556">
        <v>4</v>
      </c>
      <c r="N24" s="553"/>
      <c r="O24" s="553"/>
      <c r="P24" s="553"/>
      <c r="Q24" s="557">
        <v>3.434834752128192</v>
      </c>
      <c r="R24" s="558">
        <v>0.27357976092939784</v>
      </c>
      <c r="S24" s="558">
        <v>0.02771840213197124</v>
      </c>
      <c r="T24" s="558">
        <v>0.029252144463259584</v>
      </c>
      <c r="U24" s="558">
        <v>0.0823250296559905</v>
      </c>
      <c r="V24" s="559">
        <v>39420.65491183879</v>
      </c>
      <c r="W24" s="558">
        <v>0.01588</v>
      </c>
      <c r="X24" s="559">
        <v>42.2</v>
      </c>
      <c r="Y24" s="560">
        <v>95.208130916359</v>
      </c>
      <c r="Z24" s="559">
        <v>144092</v>
      </c>
      <c r="AA24" s="559">
        <v>3994</v>
      </c>
      <c r="AB24" s="559">
        <v>626</v>
      </c>
      <c r="AC24" s="559">
        <v>4215</v>
      </c>
      <c r="AD24" s="559">
        <v>347</v>
      </c>
      <c r="AE24" s="559">
        <v>30</v>
      </c>
      <c r="AF24" s="559">
        <v>10</v>
      </c>
      <c r="AG24" s="559">
        <v>150</v>
      </c>
    </row>
    <row r="25">
      <c r="A25" s="552" t="s">
        <v>1173</v>
      </c>
      <c r="B25" s="552" t="s">
        <v>1151</v>
      </c>
      <c r="C25" s="552" t="s">
        <v>1168</v>
      </c>
      <c r="D25" s="552">
        <v>3</v>
      </c>
      <c r="E25" s="552">
        <v>7</v>
      </c>
      <c r="F25" s="552">
        <v>8</v>
      </c>
      <c r="G25" s="553">
        <v>16273.86</v>
      </c>
      <c r="H25" s="554">
        <v>7292.92</v>
      </c>
      <c r="I25" s="555">
        <f t="shared" si="2"/>
      </c>
      <c r="J25" s="555">
        <f t="shared" si="0"/>
      </c>
      <c r="K25" s="555">
        <f t="shared" si="4"/>
      </c>
      <c r="L25" s="552" t="s">
        <v>1153</v>
      </c>
      <c r="M25" s="556">
        <v>5</v>
      </c>
      <c r="N25" s="553"/>
      <c r="O25" s="553"/>
      <c r="P25" s="553"/>
      <c r="Q25" s="561">
        <v>2.3801958224543083</v>
      </c>
      <c r="R25" s="558">
        <v>0.3107360539003522</v>
      </c>
      <c r="S25" s="558">
        <v>0.037850057442156367</v>
      </c>
      <c r="T25" s="558">
        <v>0.04030833467159146</v>
      </c>
      <c r="U25" s="558">
        <v>0.0563898253141281</v>
      </c>
      <c r="V25" s="559">
        <v>25154.39429928741</v>
      </c>
      <c r="W25" s="558">
        <v>0.014033333333333333</v>
      </c>
      <c r="X25" s="559">
        <v>41.333333333333336</v>
      </c>
      <c r="Y25" s="560">
        <v>90.09054860347618</v>
      </c>
      <c r="Z25" s="559">
        <v>80951</v>
      </c>
      <c r="AA25" s="559">
        <v>3064</v>
      </c>
      <c r="AB25" s="559">
        <v>353</v>
      </c>
      <c r="AC25" s="559">
        <v>3263</v>
      </c>
      <c r="AD25" s="559">
        <v>184</v>
      </c>
      <c r="AE25" s="559">
        <v>14</v>
      </c>
      <c r="AF25" s="559">
        <v>8</v>
      </c>
      <c r="AG25" s="559">
        <v>60</v>
      </c>
    </row>
    <row r="26">
      <c r="A26" s="552" t="s">
        <v>1173</v>
      </c>
      <c r="B26" s="552" t="s">
        <v>1148</v>
      </c>
      <c r="C26" s="552" t="s">
        <v>1169</v>
      </c>
      <c r="D26" s="552">
        <v>5</v>
      </c>
      <c r="E26" s="552">
        <v>12</v>
      </c>
      <c r="F26" s="552">
        <v>16</v>
      </c>
      <c r="G26" s="553">
        <v>27678.25</v>
      </c>
      <c r="H26" s="554">
        <v>10820.11</v>
      </c>
      <c r="I26" s="555">
        <f t="shared" si="2"/>
      </c>
      <c r="J26" s="555">
        <f t="shared" si="0"/>
      </c>
      <c r="K26" s="555">
        <f t="shared" si="4"/>
      </c>
      <c r="L26" s="552" t="s">
        <v>1157</v>
      </c>
      <c r="M26" s="556">
        <v>8</v>
      </c>
      <c r="N26" s="552" t="s">
        <v>1154</v>
      </c>
      <c r="O26" s="552">
        <v>4</v>
      </c>
      <c r="P26" s="553"/>
      <c r="Q26" s="560">
        <v>2.2697944199706317</v>
      </c>
      <c r="R26" s="558">
        <v>0.301314874678386</v>
      </c>
      <c r="S26" s="558">
        <v>0.041687071498530855</v>
      </c>
      <c r="T26" s="558">
        <v>0.04453791800755562</v>
      </c>
      <c r="U26" s="558">
        <v>0.07912821519732967</v>
      </c>
      <c r="V26" s="559">
        <v>34455.9585492228</v>
      </c>
      <c r="W26" s="558">
        <v>0.015439999999999999</v>
      </c>
      <c r="X26" s="559">
        <v>39.4</v>
      </c>
      <c r="Y26" s="560">
        <v>94.62108227228208</v>
      </c>
      <c r="Z26" s="559">
        <v>114352</v>
      </c>
      <c r="AA26" s="559">
        <v>4767</v>
      </c>
      <c r="AB26" s="559">
        <v>532</v>
      </c>
      <c r="AC26" s="559">
        <v>5093</v>
      </c>
      <c r="AD26" s="559">
        <v>403</v>
      </c>
      <c r="AE26" s="559">
        <v>30</v>
      </c>
      <c r="AF26" s="559">
        <v>10</v>
      </c>
      <c r="AG26" s="559">
        <v>100</v>
      </c>
    </row>
    <row r="27">
      <c r="A27" s="562" t="s">
        <v>1173</v>
      </c>
      <c r="B27" s="563" t="s">
        <v>1158</v>
      </c>
      <c r="C27" s="563"/>
      <c r="D27" s="563">
        <f>SUM(D24:D26)</f>
      </c>
      <c r="E27" s="563">
        <f>SUM(E24:E26)</f>
      </c>
      <c r="F27" s="563">
        <f>SUM(F24:F26)</f>
      </c>
      <c r="G27" s="563">
        <f>SUM(G24:G26)</f>
      </c>
      <c r="H27" s="563">
        <f>SUM(H24:H26)</f>
      </c>
      <c r="I27" s="564">
        <f t="shared" si="2"/>
      </c>
      <c r="J27" s="564">
        <f t="shared" si="0"/>
      </c>
      <c r="K27" s="564">
        <f t="shared" si="4"/>
      </c>
      <c r="L27" s="563"/>
      <c r="M27" s="565">
        <f>SUM(M24:M26)</f>
      </c>
      <c r="N27" s="563"/>
      <c r="O27" s="563"/>
      <c r="P27" s="563"/>
      <c r="Q27" s="566">
        <f>AVERAGE(Q24:Q26)</f>
      </c>
      <c r="R27" s="567">
        <f>AVERAGE(R24:R26)</f>
      </c>
      <c r="S27" s="567">
        <f>AVERAGE(S24:S26)</f>
      </c>
      <c r="T27" s="567">
        <f>AVERAGE(T24:T26)</f>
      </c>
      <c r="U27" s="567">
        <f>AVERAGE(U24:U26)</f>
      </c>
      <c r="V27" s="568">
        <f>SUM(V24:V26)</f>
      </c>
      <c r="W27" s="567">
        <f>AVERAGE(W24:W26)</f>
      </c>
      <c r="X27" s="568"/>
      <c r="Y27" s="566">
        <f>AVERAGE(Y24:Y26)</f>
      </c>
      <c r="Z27" s="568">
        <f>SUM(Z24:Z26)</f>
      </c>
      <c r="AA27" s="568">
        <f>SUM(AA24:AA26)</f>
      </c>
      <c r="AB27" s="568">
        <f>SUM(AB24:AB26)</f>
      </c>
      <c r="AC27" s="568">
        <f>SUM(AC24:AC26)</f>
      </c>
      <c r="AD27" s="568">
        <f>SUM(AD24:AD26)</f>
      </c>
      <c r="AE27" s="568">
        <f>SUM(AE24:AE26)</f>
      </c>
      <c r="AF27" s="568">
        <f>SUM(AF24:AF26)</f>
      </c>
      <c r="AG27" s="568">
        <f>SUM(AG24:AG26)</f>
      </c>
    </row>
    <row r="28">
      <c r="A28" s="552" t="s">
        <v>1174</v>
      </c>
      <c r="B28" s="552" t="s">
        <v>1155</v>
      </c>
      <c r="C28" s="552" t="s">
        <v>1175</v>
      </c>
      <c r="D28" s="552">
        <v>3</v>
      </c>
      <c r="E28" s="552">
        <v>6</v>
      </c>
      <c r="F28" s="552">
        <v>8</v>
      </c>
      <c r="G28" s="553">
        <v>15939.5</v>
      </c>
      <c r="H28" s="554">
        <v>5784</v>
      </c>
      <c r="I28" s="555">
        <f t="shared" si="2"/>
      </c>
      <c r="J28" s="555">
        <f t="shared" si="0"/>
      </c>
      <c r="K28" s="555">
        <f t="shared" si="4"/>
      </c>
      <c r="L28" s="552" t="s">
        <v>1150</v>
      </c>
      <c r="M28" s="556">
        <v>4</v>
      </c>
      <c r="N28" s="553"/>
      <c r="O28" s="553"/>
      <c r="P28" s="553"/>
      <c r="Q28" s="557">
        <v>3.449016100178891</v>
      </c>
      <c r="R28" s="558">
        <v>0.4130504301052224</v>
      </c>
      <c r="S28" s="558">
        <v>0.02600080622654966</v>
      </c>
      <c r="T28" s="558">
        <v>0.027194641694316103</v>
      </c>
      <c r="U28" s="558">
        <v>0.07696693272519954</v>
      </c>
      <c r="V28" s="559">
        <v>26640.926640926635</v>
      </c>
      <c r="W28" s="558">
        <v>0.008633333333333335</v>
      </c>
      <c r="X28" s="559">
        <v>40.666666666666664</v>
      </c>
      <c r="Y28" s="560">
        <v>89.67719929300134</v>
      </c>
      <c r="Z28" s="559">
        <v>64498</v>
      </c>
      <c r="AA28" s="559">
        <v>1677</v>
      </c>
      <c r="AB28" s="559">
        <v>230</v>
      </c>
      <c r="AC28" s="559">
        <v>1754</v>
      </c>
      <c r="AD28" s="559">
        <v>135</v>
      </c>
      <c r="AE28" s="559">
        <v>10</v>
      </c>
      <c r="AF28" s="559">
        <v>3</v>
      </c>
      <c r="AG28" s="559">
        <v>42</v>
      </c>
    </row>
    <row r="29">
      <c r="A29" s="552" t="s">
        <v>1174</v>
      </c>
      <c r="B29" s="552" t="s">
        <v>1148</v>
      </c>
      <c r="C29" s="552" t="s">
        <v>1176</v>
      </c>
      <c r="D29" s="552">
        <v>5</v>
      </c>
      <c r="E29" s="552">
        <v>11</v>
      </c>
      <c r="F29" s="552">
        <v>13</v>
      </c>
      <c r="G29" s="553">
        <v>24528.36</v>
      </c>
      <c r="H29" s="554">
        <v>10006.76</v>
      </c>
      <c r="I29" s="555">
        <f t="shared" si="2"/>
      </c>
      <c r="J29" s="555">
        <f t="shared" si="0"/>
      </c>
      <c r="K29" s="555">
        <f t="shared" si="4"/>
      </c>
      <c r="L29" s="552" t="s">
        <v>1153</v>
      </c>
      <c r="M29" s="556">
        <v>5</v>
      </c>
      <c r="N29" s="553"/>
      <c r="O29" s="553"/>
      <c r="P29" s="553"/>
      <c r="Q29" s="561">
        <v>3.0808990147783253</v>
      </c>
      <c r="R29" s="558">
        <v>0.3682099212454713</v>
      </c>
      <c r="S29" s="558">
        <v>0.03270303469663102</v>
      </c>
      <c r="T29" s="558">
        <v>0.0347973177067601</v>
      </c>
      <c r="U29" s="558">
        <v>0.07465277777777778</v>
      </c>
      <c r="V29" s="559">
        <v>36569.87295825772</v>
      </c>
      <c r="W29" s="558">
        <v>0.011019999999999999</v>
      </c>
      <c r="X29" s="559">
        <v>36.8</v>
      </c>
      <c r="Y29" s="560">
        <v>100.7547473771119</v>
      </c>
      <c r="Z29" s="559">
        <v>99318</v>
      </c>
      <c r="AA29" s="559">
        <v>3248</v>
      </c>
      <c r="AB29" s="559">
        <v>403</v>
      </c>
      <c r="AC29" s="559">
        <v>3456</v>
      </c>
      <c r="AD29" s="559">
        <v>258</v>
      </c>
      <c r="AE29" s="559">
        <v>15</v>
      </c>
      <c r="AF29" s="559">
        <v>3</v>
      </c>
      <c r="AG29" s="559">
        <v>85</v>
      </c>
    </row>
    <row r="30">
      <c r="A30" s="552" t="s">
        <v>1174</v>
      </c>
      <c r="B30" s="552" t="s">
        <v>1160</v>
      </c>
      <c r="C30" s="552" t="s">
        <v>1169</v>
      </c>
      <c r="D30" s="552">
        <v>5</v>
      </c>
      <c r="E30" s="552">
        <v>12</v>
      </c>
      <c r="F30" s="552">
        <v>14</v>
      </c>
      <c r="G30" s="553">
        <v>27070.71</v>
      </c>
      <c r="H30" s="554">
        <v>9825.16</v>
      </c>
      <c r="I30" s="555">
        <f t="shared" si="2"/>
      </c>
      <c r="J30" s="555">
        <f t="shared" si="0"/>
      </c>
      <c r="K30" s="555">
        <f t="shared" si="4"/>
      </c>
      <c r="L30" s="552" t="s">
        <v>1157</v>
      </c>
      <c r="M30" s="556">
        <v>8</v>
      </c>
      <c r="N30" s="552" t="s">
        <v>1154</v>
      </c>
      <c r="O30" s="552">
        <v>4</v>
      </c>
      <c r="P30" s="553"/>
      <c r="Q30" s="560">
        <v>2.7133830433581885</v>
      </c>
      <c r="R30" s="558">
        <v>0.3647778192122857</v>
      </c>
      <c r="S30" s="558">
        <v>0.035944727908038675</v>
      </c>
      <c r="T30" s="558">
        <v>0.038178244555182754</v>
      </c>
      <c r="U30" s="558">
        <v>0.06630265210608424</v>
      </c>
      <c r="V30" s="559">
        <v>36746.987951807234</v>
      </c>
      <c r="W30" s="558">
        <v>0.011619999999999998</v>
      </c>
      <c r="X30" s="559">
        <v>35.6</v>
      </c>
      <c r="Y30" s="560">
        <v>97.53181520379599</v>
      </c>
      <c r="Z30" s="559">
        <v>100738</v>
      </c>
      <c r="AA30" s="559">
        <v>3621</v>
      </c>
      <c r="AB30" s="559">
        <v>427</v>
      </c>
      <c r="AC30" s="559">
        <v>3846</v>
      </c>
      <c r="AD30" s="559">
        <v>255</v>
      </c>
      <c r="AE30" s="559">
        <v>24</v>
      </c>
      <c r="AF30" s="559">
        <v>3</v>
      </c>
      <c r="AG30" s="559">
        <v>64</v>
      </c>
    </row>
    <row r="31">
      <c r="A31" s="562" t="s">
        <v>1174</v>
      </c>
      <c r="B31" s="563" t="s">
        <v>1158</v>
      </c>
      <c r="C31" s="563"/>
      <c r="D31" s="563">
        <f>SUM(D28:D30)</f>
      </c>
      <c r="E31" s="563">
        <f>SUM(E28:E30)</f>
      </c>
      <c r="F31" s="563">
        <f>SUM(F28:F30)</f>
      </c>
      <c r="G31" s="563">
        <f>SUM(G28:G30)</f>
      </c>
      <c r="H31" s="563">
        <f>SUM(H28:H30)</f>
      </c>
      <c r="I31" s="564">
        <f t="shared" si="2"/>
      </c>
      <c r="J31" s="564">
        <f t="shared" si="0"/>
      </c>
      <c r="K31" s="564">
        <f t="shared" si="4"/>
      </c>
      <c r="L31" s="563"/>
      <c r="M31" s="565">
        <f>SUM(M28:M30)</f>
      </c>
      <c r="N31" s="563"/>
      <c r="O31" s="563"/>
      <c r="P31" s="563"/>
      <c r="Q31" s="566">
        <f>AVERAGE(Q28:Q30)</f>
      </c>
      <c r="R31" s="567">
        <f>AVERAGE(R28:R30)</f>
      </c>
      <c r="S31" s="567">
        <f>AVERAGE(S28:S30)</f>
      </c>
      <c r="T31" s="567">
        <f>AVERAGE(T28:T30)</f>
      </c>
      <c r="U31" s="567">
        <f>AVERAGE(U28:U30)</f>
      </c>
      <c r="V31" s="568">
        <f>SUM(V28:V30)</f>
      </c>
      <c r="W31" s="567">
        <f>AVERAGE(W28:W30)</f>
      </c>
      <c r="X31" s="568"/>
      <c r="Y31" s="566">
        <f>AVERAGE(Y28:Y30)</f>
      </c>
      <c r="Z31" s="568">
        <f>SUM(Z28:Z30)</f>
      </c>
      <c r="AA31" s="568">
        <f>SUM(AA28:AA30)</f>
      </c>
      <c r="AB31" s="568">
        <f>SUM(AB28:AB30)</f>
      </c>
      <c r="AC31" s="568">
        <f>SUM(AC28:AC30)</f>
      </c>
      <c r="AD31" s="568">
        <f>SUM(AD28:AD30)</f>
      </c>
      <c r="AE31" s="568">
        <f>SUM(AE28:AE30)</f>
      </c>
      <c r="AF31" s="568">
        <f>SUM(AF28:AF30)</f>
      </c>
      <c r="AG31" s="568">
        <f>SUM(AG28:AG30)</f>
      </c>
    </row>
    <row r="32">
      <c r="A32" s="552" t="s">
        <v>1177</v>
      </c>
      <c r="B32" s="552" t="s">
        <v>1148</v>
      </c>
      <c r="C32" s="552" t="s">
        <v>1178</v>
      </c>
      <c r="D32" s="552">
        <v>4</v>
      </c>
      <c r="E32" s="552">
        <v>7</v>
      </c>
      <c r="F32" s="552">
        <v>10</v>
      </c>
      <c r="G32" s="573">
        <v>22364.41</v>
      </c>
      <c r="H32" s="554">
        <v>7782.46</v>
      </c>
      <c r="I32" s="555">
        <f t="shared" si="2"/>
      </c>
      <c r="J32" s="555">
        <f t="shared" si="0"/>
      </c>
      <c r="K32" s="555">
        <f t="shared" si="4"/>
      </c>
      <c r="L32" s="552" t="s">
        <v>1150</v>
      </c>
      <c r="M32" s="556">
        <v>4</v>
      </c>
      <c r="N32" s="553"/>
      <c r="O32" s="553"/>
      <c r="P32" s="553"/>
      <c r="Q32" s="557">
        <v>3.1778113515720703</v>
      </c>
      <c r="R32" s="558">
        <v>0.41793740922921885</v>
      </c>
      <c r="S32" s="558">
        <v>0.029254366055856847</v>
      </c>
      <c r="T32" s="558">
        <v>0.03073559978020403</v>
      </c>
      <c r="U32" s="558">
        <v>0.08239409249902838</v>
      </c>
      <c r="V32" s="559">
        <v>34987.21227621483</v>
      </c>
      <c r="W32" s="558">
        <v>0.009775</v>
      </c>
      <c r="X32" s="559">
        <v>40.75</v>
      </c>
      <c r="Y32" s="560">
        <v>92.96485653534654</v>
      </c>
      <c r="Z32" s="559">
        <v>83714</v>
      </c>
      <c r="AA32" s="559">
        <v>2449</v>
      </c>
      <c r="AB32" s="559">
        <v>342</v>
      </c>
      <c r="AC32" s="559">
        <v>2573</v>
      </c>
      <c r="AD32" s="559">
        <v>212</v>
      </c>
      <c r="AE32" s="559">
        <v>14</v>
      </c>
      <c r="AF32" s="559">
        <v>7</v>
      </c>
      <c r="AG32" s="559">
        <v>45</v>
      </c>
    </row>
    <row r="33">
      <c r="A33" s="552" t="s">
        <v>1177</v>
      </c>
      <c r="B33" s="552" t="s">
        <v>1160</v>
      </c>
      <c r="C33" s="552" t="s">
        <v>1179</v>
      </c>
      <c r="D33" s="552">
        <v>5</v>
      </c>
      <c r="E33" s="552">
        <v>17</v>
      </c>
      <c r="F33" s="552">
        <v>21</v>
      </c>
      <c r="G33" s="553">
        <v>43303.31</v>
      </c>
      <c r="H33" s="554">
        <v>10475.39</v>
      </c>
      <c r="I33" s="555">
        <f t="shared" si="2"/>
      </c>
      <c r="J33" s="555">
        <f t="shared" si="0"/>
      </c>
      <c r="K33" s="555">
        <f t="shared" si="4"/>
      </c>
      <c r="L33" s="552" t="s">
        <v>1153</v>
      </c>
      <c r="M33" s="556">
        <v>5</v>
      </c>
      <c r="N33" s="553"/>
      <c r="O33" s="553"/>
      <c r="P33" s="553"/>
      <c r="Q33" s="561">
        <v>3.419977146588312</v>
      </c>
      <c r="R33" s="558">
        <v>0.3061750882021336</v>
      </c>
      <c r="S33" s="558">
        <v>0.03074868994318068</v>
      </c>
      <c r="T33" s="558">
        <v>0.032716284859557895</v>
      </c>
      <c r="U33" s="558">
        <v>0.08192697146363916</v>
      </c>
      <c r="V33" s="559">
        <v>30499.32523616734</v>
      </c>
      <c r="W33" s="558">
        <v>0.01482</v>
      </c>
      <c r="X33" s="559">
        <v>41.6</v>
      </c>
      <c r="Y33" s="560">
        <v>105.15981689320778</v>
      </c>
      <c r="Z33" s="559">
        <v>99614</v>
      </c>
      <c r="AA33" s="559">
        <v>3063</v>
      </c>
      <c r="AB33" s="559">
        <v>452</v>
      </c>
      <c r="AC33" s="559">
        <v>3259</v>
      </c>
      <c r="AD33" s="559">
        <v>267</v>
      </c>
      <c r="AE33" s="559">
        <v>19</v>
      </c>
      <c r="AF33" s="559">
        <v>9</v>
      </c>
      <c r="AG33" s="559">
        <v>83</v>
      </c>
    </row>
    <row r="34">
      <c r="A34" s="552" t="s">
        <v>1177</v>
      </c>
      <c r="B34" s="552" t="s">
        <v>1155</v>
      </c>
      <c r="C34" s="552" t="s">
        <v>1171</v>
      </c>
      <c r="D34" s="552">
        <v>4</v>
      </c>
      <c r="E34" s="552">
        <v>14</v>
      </c>
      <c r="F34" s="552">
        <v>16</v>
      </c>
      <c r="G34" s="553">
        <v>33530.9</v>
      </c>
      <c r="H34" s="554">
        <v>9734.539999999999</v>
      </c>
      <c r="I34" s="555">
        <f t="shared" si="2"/>
      </c>
      <c r="J34" s="555">
        <f t="shared" si="0"/>
      </c>
      <c r="K34" s="555">
        <f t="shared" si="4"/>
      </c>
      <c r="L34" s="552" t="s">
        <v>1157</v>
      </c>
      <c r="M34" s="556">
        <v>8</v>
      </c>
      <c r="N34" s="552" t="s">
        <v>1154</v>
      </c>
      <c r="O34" s="552">
        <v>4</v>
      </c>
      <c r="P34" s="553"/>
      <c r="Q34" s="560">
        <v>2.776537364517969</v>
      </c>
      <c r="R34" s="558">
        <v>0.2984578073349189</v>
      </c>
      <c r="S34" s="558">
        <v>0.03552970266928799</v>
      </c>
      <c r="T34" s="558">
        <v>0.03747542512008756</v>
      </c>
      <c r="U34" s="558">
        <v>0.08626284478096269</v>
      </c>
      <c r="V34" s="559">
        <v>29451.219512195126</v>
      </c>
      <c r="W34" s="558">
        <v>0.016399999999999998</v>
      </c>
      <c r="X34" s="559">
        <v>42.75</v>
      </c>
      <c r="Y34" s="560">
        <v>98.6495470114919</v>
      </c>
      <c r="Z34" s="559">
        <v>98678</v>
      </c>
      <c r="AA34" s="559">
        <v>3506</v>
      </c>
      <c r="AB34" s="559">
        <v>483</v>
      </c>
      <c r="AC34" s="559">
        <v>3698</v>
      </c>
      <c r="AD34" s="559">
        <v>319</v>
      </c>
      <c r="AE34" s="559">
        <v>19</v>
      </c>
      <c r="AF34" s="559">
        <v>5</v>
      </c>
      <c r="AG34" s="559">
        <v>75</v>
      </c>
    </row>
    <row r="35">
      <c r="A35" s="562" t="s">
        <v>1177</v>
      </c>
      <c r="B35" s="563" t="s">
        <v>1158</v>
      </c>
      <c r="C35" s="563"/>
      <c r="D35" s="563">
        <f>SUM(D32:D34)</f>
      </c>
      <c r="E35" s="563">
        <f>SUM(E32:E34)</f>
      </c>
      <c r="F35" s="563">
        <f>SUM(F32:F34)</f>
      </c>
      <c r="G35" s="563">
        <f>SUM(G32:G34)</f>
      </c>
      <c r="H35" s="563">
        <f>SUM(H32:H34)</f>
      </c>
      <c r="I35" s="564">
        <f t="shared" si="2"/>
      </c>
      <c r="J35" s="564">
        <f t="shared" si="0"/>
      </c>
      <c r="K35" s="564">
        <f t="shared" si="4"/>
      </c>
      <c r="L35" s="563"/>
      <c r="M35" s="565">
        <f>SUM(M32:M34)</f>
      </c>
      <c r="N35" s="563"/>
      <c r="O35" s="563"/>
      <c r="P35" s="563"/>
      <c r="Q35" s="566">
        <f>AVERAGE(Q32:Q34)</f>
      </c>
      <c r="R35" s="567">
        <f>AVERAGE(R32:R34)</f>
      </c>
      <c r="S35" s="567">
        <f>AVERAGE(S32:S34)</f>
      </c>
      <c r="T35" s="567">
        <f>AVERAGE(T32:T34)</f>
      </c>
      <c r="U35" s="567">
        <f>AVERAGE(U32:U34)</f>
      </c>
      <c r="V35" s="568">
        <f>SUM(V32:V34)</f>
      </c>
      <c r="W35" s="567">
        <f>AVERAGE(W32:W34)</f>
      </c>
      <c r="X35" s="568"/>
      <c r="Y35" s="566">
        <f>AVERAGE(Y32:Y34)</f>
      </c>
      <c r="Z35" s="568">
        <f>SUM(Z32:Z34)</f>
      </c>
      <c r="AA35" s="568">
        <f>SUM(AA32:AA34)</f>
      </c>
      <c r="AB35" s="568">
        <f>SUM(AB32:AB34)</f>
      </c>
      <c r="AC35" s="568">
        <f>SUM(AC32:AC34)</f>
      </c>
      <c r="AD35" s="568">
        <f>SUM(AD32:AD34)</f>
      </c>
      <c r="AE35" s="568">
        <f>SUM(AE32:AE34)</f>
      </c>
      <c r="AF35" s="568">
        <f>SUM(AF32:AF34)</f>
      </c>
      <c r="AG35" s="568">
        <f>SUM(AG32:AG34)</f>
      </c>
    </row>
    <row r="36">
      <c r="A36" s="552" t="s">
        <v>1180</v>
      </c>
      <c r="B36" s="552" t="s">
        <v>1160</v>
      </c>
      <c r="C36" s="552" t="s">
        <v>1161</v>
      </c>
      <c r="D36" s="552">
        <v>5</v>
      </c>
      <c r="E36" s="552">
        <v>15</v>
      </c>
      <c r="F36" s="552">
        <v>19</v>
      </c>
      <c r="G36" s="553">
        <v>42192.98</v>
      </c>
      <c r="H36" s="554">
        <v>11136.619999999999</v>
      </c>
      <c r="I36" s="555">
        <f t="shared" si="2"/>
      </c>
      <c r="J36" s="555">
        <f t="shared" si="0"/>
      </c>
      <c r="K36" s="555">
        <f t="shared" si="4"/>
      </c>
      <c r="L36" s="552" t="s">
        <v>1150</v>
      </c>
      <c r="M36" s="556">
        <v>4</v>
      </c>
      <c r="N36" s="553"/>
      <c r="O36" s="553"/>
      <c r="P36" s="553"/>
      <c r="Q36" s="557">
        <v>3.921345070422535</v>
      </c>
      <c r="R36" s="558">
        <v>0.2796028178595666</v>
      </c>
      <c r="S36" s="558">
        <v>0.025622056621136393</v>
      </c>
      <c r="T36" s="558">
        <v>0.027200880532650077</v>
      </c>
      <c r="U36" s="558">
        <v>0.11442786069651742</v>
      </c>
      <c r="V36" s="559">
        <v>30991.73553719008</v>
      </c>
      <c r="W36" s="558">
        <v>0.01694</v>
      </c>
      <c r="X36" s="559">
        <v>60.4</v>
      </c>
      <c r="Y36" s="560">
        <v>100.47292542538027</v>
      </c>
      <c r="Z36" s="559">
        <v>110842</v>
      </c>
      <c r="AA36" s="559">
        <v>2840</v>
      </c>
      <c r="AB36" s="559">
        <v>525</v>
      </c>
      <c r="AC36" s="559">
        <v>3015</v>
      </c>
      <c r="AD36" s="559">
        <v>345</v>
      </c>
      <c r="AE36" s="559">
        <v>14</v>
      </c>
      <c r="AF36" s="559">
        <v>7</v>
      </c>
      <c r="AG36" s="559">
        <v>87</v>
      </c>
    </row>
    <row r="37">
      <c r="A37" s="552" t="s">
        <v>1180</v>
      </c>
      <c r="B37" s="552" t="s">
        <v>1155</v>
      </c>
      <c r="C37" s="552" t="s">
        <v>1163</v>
      </c>
      <c r="D37" s="552">
        <v>4</v>
      </c>
      <c r="E37" s="552">
        <v>7</v>
      </c>
      <c r="F37" s="552">
        <v>9</v>
      </c>
      <c r="G37" s="553">
        <v>19067.23</v>
      </c>
      <c r="H37" s="554">
        <v>9433.62</v>
      </c>
      <c r="I37" s="555">
        <f t="shared" si="2"/>
      </c>
      <c r="J37" s="555">
        <f t="shared" si="0"/>
      </c>
      <c r="K37" s="555">
        <f t="shared" si="4"/>
      </c>
      <c r="L37" s="552" t="s">
        <v>1153</v>
      </c>
      <c r="M37" s="556">
        <v>6</v>
      </c>
      <c r="N37" s="553"/>
      <c r="O37" s="553"/>
      <c r="P37" s="553"/>
      <c r="Q37" s="561">
        <v>3.9454705144291093</v>
      </c>
      <c r="R37" s="558">
        <v>0.27211607451303443</v>
      </c>
      <c r="S37" s="558">
        <v>0.02795673779596609</v>
      </c>
      <c r="T37" s="558">
        <v>0.02964045600701549</v>
      </c>
      <c r="U37" s="558">
        <v>0.10453648915187377</v>
      </c>
      <c r="V37" s="559">
        <v>23272.727272727272</v>
      </c>
      <c r="W37" s="558">
        <v>0.0165</v>
      </c>
      <c r="X37" s="559">
        <v>58</v>
      </c>
      <c r="Y37" s="560">
        <v>110.30248465361007</v>
      </c>
      <c r="Z37" s="559">
        <v>85525</v>
      </c>
      <c r="AA37" s="559">
        <v>2391</v>
      </c>
      <c r="AB37" s="559">
        <v>384</v>
      </c>
      <c r="AC37" s="559">
        <v>2535</v>
      </c>
      <c r="AD37" s="559">
        <v>265</v>
      </c>
      <c r="AE37" s="559">
        <v>21</v>
      </c>
      <c r="AF37" s="559">
        <v>7</v>
      </c>
      <c r="AG37" s="559">
        <v>96</v>
      </c>
    </row>
    <row r="38">
      <c r="A38" s="552" t="s">
        <v>1180</v>
      </c>
      <c r="B38" s="552" t="s">
        <v>1148</v>
      </c>
      <c r="C38" s="552" t="s">
        <v>1171</v>
      </c>
      <c r="D38" s="552">
        <v>4</v>
      </c>
      <c r="E38" s="552">
        <v>16</v>
      </c>
      <c r="F38" s="552">
        <v>19</v>
      </c>
      <c r="G38" s="553">
        <v>38370.36</v>
      </c>
      <c r="H38" s="554">
        <v>9224.43</v>
      </c>
      <c r="I38" s="555">
        <f t="shared" si="2"/>
      </c>
      <c r="J38" s="555">
        <f t="shared" si="0"/>
      </c>
      <c r="K38" s="555">
        <f t="shared" si="4"/>
      </c>
      <c r="L38" s="552" t="s">
        <v>1157</v>
      </c>
      <c r="M38" s="556">
        <v>7</v>
      </c>
      <c r="N38" s="552" t="s">
        <v>1154</v>
      </c>
      <c r="O38" s="552">
        <v>4</v>
      </c>
      <c r="P38" s="553"/>
      <c r="Q38" s="560">
        <v>2.7609787488775814</v>
      </c>
      <c r="R38" s="558">
        <v>0.33145768382303464</v>
      </c>
      <c r="S38" s="558">
        <v>0.0443827463899996</v>
      </c>
      <c r="T38" s="558">
        <v>0.04781008807471074</v>
      </c>
      <c r="U38" s="558">
        <v>0.09113642678521812</v>
      </c>
      <c r="V38" s="559">
        <v>24951.140065146577</v>
      </c>
      <c r="W38" s="558">
        <v>0.01535</v>
      </c>
      <c r="X38" s="559">
        <v>53</v>
      </c>
      <c r="Y38" s="560">
        <v>122.5398195996121</v>
      </c>
      <c r="Z38" s="559">
        <v>75277</v>
      </c>
      <c r="AA38" s="559">
        <v>3341</v>
      </c>
      <c r="AB38" s="559">
        <v>383</v>
      </c>
      <c r="AC38" s="559">
        <v>3599</v>
      </c>
      <c r="AD38" s="559">
        <v>328</v>
      </c>
      <c r="AE38" s="559">
        <v>20</v>
      </c>
      <c r="AF38" s="559">
        <v>5</v>
      </c>
      <c r="AG38" s="559">
        <v>65</v>
      </c>
    </row>
    <row r="39">
      <c r="A39" s="562" t="s">
        <v>1180</v>
      </c>
      <c r="B39" s="563" t="s">
        <v>1158</v>
      </c>
      <c r="C39" s="563"/>
      <c r="D39" s="563">
        <f>SUM(D36:D38)</f>
      </c>
      <c r="E39" s="563">
        <f>SUM(E36:E38)</f>
      </c>
      <c r="F39" s="563">
        <f>SUM(F36:F38)</f>
      </c>
      <c r="G39" s="563">
        <f>SUM(G36:G38)</f>
      </c>
      <c r="H39" s="563">
        <f>SUM(H36:H38)</f>
      </c>
      <c r="I39" s="564">
        <f t="shared" si="2"/>
      </c>
      <c r="J39" s="564">
        <f t="shared" si="0"/>
      </c>
      <c r="K39" s="564">
        <f t="shared" si="4"/>
      </c>
      <c r="L39" s="563"/>
      <c r="M39" s="565">
        <f>SUM(M36:M38)</f>
      </c>
      <c r="N39" s="563"/>
      <c r="O39" s="563"/>
      <c r="P39" s="563"/>
      <c r="Q39" s="566">
        <f>AVERAGE(Q36:Q38)</f>
      </c>
      <c r="R39" s="567">
        <f>AVERAGE(R36:R38)</f>
      </c>
      <c r="S39" s="567">
        <f>AVERAGE(S36:S38)</f>
      </c>
      <c r="T39" s="567">
        <f>AVERAGE(T36:T38)</f>
      </c>
      <c r="U39" s="567">
        <f>AVERAGE(U36:U38)</f>
      </c>
      <c r="V39" s="568">
        <f>SUM(V36:V38)</f>
      </c>
      <c r="W39" s="567">
        <f>AVERAGE(W36:W38)</f>
      </c>
      <c r="X39" s="568"/>
      <c r="Y39" s="566">
        <f>AVERAGE(Y36:Y38)</f>
      </c>
      <c r="Z39" s="568">
        <f>SUM(Z36:Z38)</f>
      </c>
      <c r="AA39" s="568">
        <f>SUM(AA36:AA38)</f>
      </c>
      <c r="AB39" s="568">
        <f>SUM(AB36:AB38)</f>
      </c>
      <c r="AC39" s="568">
        <f>SUM(AC36:AC38)</f>
      </c>
      <c r="AD39" s="568">
        <f>SUM(AD36:AD38)</f>
      </c>
      <c r="AE39" s="568">
        <f>SUM(AE36:AE38)</f>
      </c>
      <c r="AF39" s="568">
        <f>SUM(AF36:AF38)</f>
      </c>
      <c r="AG39" s="568">
        <f>SUM(AG36:AG38)</f>
      </c>
    </row>
    <row r="40">
      <c r="A40" s="552" t="s">
        <v>1181</v>
      </c>
      <c r="B40" s="552" t="s">
        <v>1160</v>
      </c>
      <c r="C40" s="552" t="s">
        <v>1161</v>
      </c>
      <c r="D40" s="552">
        <v>5</v>
      </c>
      <c r="E40" s="552">
        <v>13</v>
      </c>
      <c r="F40" s="552">
        <v>16</v>
      </c>
      <c r="G40" s="553">
        <v>30277.31</v>
      </c>
      <c r="H40" s="554">
        <v>10724.26</v>
      </c>
      <c r="I40" s="555">
        <f t="shared" si="2"/>
      </c>
      <c r="J40" s="555">
        <f t="shared" si="0"/>
      </c>
      <c r="K40" s="555">
        <f t="shared" si="4"/>
      </c>
      <c r="L40" s="552" t="s">
        <v>1150</v>
      </c>
      <c r="M40" s="556">
        <v>4</v>
      </c>
      <c r="N40" s="553"/>
      <c r="O40" s="553"/>
      <c r="P40" s="553"/>
      <c r="Q40" s="557">
        <v>3.2805934536555523</v>
      </c>
      <c r="R40" s="558">
        <v>0.28714707014651086</v>
      </c>
      <c r="S40" s="558">
        <v>0.03324350434738394</v>
      </c>
      <c r="T40" s="558">
        <v>0.03495194996694971</v>
      </c>
      <c r="U40" s="558">
        <v>0.08524876345650276</v>
      </c>
      <c r="V40" s="559">
        <v>28236.607142857145</v>
      </c>
      <c r="W40" s="558">
        <v>0.01792</v>
      </c>
      <c r="X40" s="559">
        <v>54.2</v>
      </c>
      <c r="Y40" s="560">
        <v>109.05842273859766</v>
      </c>
      <c r="Z40" s="559">
        <v>98335</v>
      </c>
      <c r="AA40" s="559">
        <v>3269</v>
      </c>
      <c r="AB40" s="559">
        <v>506</v>
      </c>
      <c r="AC40" s="559">
        <v>3437</v>
      </c>
      <c r="AD40" s="559">
        <v>293</v>
      </c>
      <c r="AE40" s="559">
        <v>18</v>
      </c>
      <c r="AF40" s="559">
        <v>12</v>
      </c>
      <c r="AG40" s="559">
        <v>83</v>
      </c>
    </row>
    <row r="41">
      <c r="A41" s="552" t="s">
        <v>1181</v>
      </c>
      <c r="B41" s="552" t="s">
        <v>1155</v>
      </c>
      <c r="C41" s="552" t="s">
        <v>1163</v>
      </c>
      <c r="D41" s="552">
        <v>4</v>
      </c>
      <c r="E41" s="552">
        <v>7</v>
      </c>
      <c r="F41" s="552">
        <v>9</v>
      </c>
      <c r="G41" s="553">
        <v>19902.12</v>
      </c>
      <c r="H41" s="554">
        <v>8239.26</v>
      </c>
      <c r="I41" s="555">
        <f t="shared" si="2"/>
      </c>
      <c r="J41" s="555">
        <f t="shared" si="0"/>
      </c>
      <c r="K41" s="555">
        <f t="shared" si="4"/>
      </c>
      <c r="L41" s="552" t="s">
        <v>1153</v>
      </c>
      <c r="M41" s="556">
        <v>5</v>
      </c>
      <c r="N41" s="553"/>
      <c r="O41" s="553"/>
      <c r="P41" s="553"/>
      <c r="Q41" s="561">
        <v>5.438455445544554</v>
      </c>
      <c r="R41" s="558">
        <v>0.18653311101464146</v>
      </c>
      <c r="S41" s="558">
        <v>0.019929752555349463</v>
      </c>
      <c r="T41" s="558">
        <v>0.02128471263006959</v>
      </c>
      <c r="U41" s="558">
        <v>0.18665018541409148</v>
      </c>
      <c r="V41" s="559">
        <v>14179.6875</v>
      </c>
      <c r="W41" s="558">
        <v>0.0256</v>
      </c>
      <c r="X41" s="559">
        <v>57.25</v>
      </c>
      <c r="Y41" s="560">
        <v>108.38707131299579</v>
      </c>
      <c r="Z41" s="559">
        <v>76017</v>
      </c>
      <c r="AA41" s="559">
        <v>1515</v>
      </c>
      <c r="AB41" s="559">
        <v>363</v>
      </c>
      <c r="AC41" s="559">
        <v>1618</v>
      </c>
      <c r="AD41" s="559">
        <v>302</v>
      </c>
      <c r="AE41" s="559">
        <v>16</v>
      </c>
      <c r="AF41" s="559">
        <v>3</v>
      </c>
      <c r="AG41" s="559">
        <v>82</v>
      </c>
    </row>
    <row r="42">
      <c r="A42" s="552" t="s">
        <v>1181</v>
      </c>
      <c r="B42" s="552" t="s">
        <v>1148</v>
      </c>
      <c r="C42" s="552" t="s">
        <v>1171</v>
      </c>
      <c r="D42" s="552">
        <v>4</v>
      </c>
      <c r="E42" s="552">
        <v>8</v>
      </c>
      <c r="F42" s="552">
        <v>11</v>
      </c>
      <c r="G42" s="553">
        <v>28481.33</v>
      </c>
      <c r="H42" s="554">
        <v>7700.039999999999</v>
      </c>
      <c r="I42" s="555">
        <f t="shared" si="2"/>
      </c>
      <c r="J42" s="555">
        <f t="shared" si="0"/>
      </c>
      <c r="K42" s="555">
        <f t="shared" si="4"/>
      </c>
      <c r="L42" s="552" t="s">
        <v>1157</v>
      </c>
      <c r="M42" s="556">
        <v>8</v>
      </c>
      <c r="N42" s="552" t="s">
        <v>1154</v>
      </c>
      <c r="O42" s="552">
        <v>4</v>
      </c>
      <c r="P42" s="553"/>
      <c r="Q42" s="560">
        <v>3.2137061769616024</v>
      </c>
      <c r="R42" s="558">
        <v>0.23381386715709807</v>
      </c>
      <c r="S42" s="558">
        <v>0.03785389282103135</v>
      </c>
      <c r="T42" s="558">
        <v>0.039828741152679474</v>
      </c>
      <c r="U42" s="558">
        <v>0.08369694565648553</v>
      </c>
      <c r="V42" s="559">
        <v>14799.482535575678</v>
      </c>
      <c r="W42" s="558">
        <v>0.019325000000000002</v>
      </c>
      <c r="X42" s="559">
        <v>59</v>
      </c>
      <c r="Y42" s="560">
        <v>121.65128918099089</v>
      </c>
      <c r="Z42" s="559">
        <v>63296</v>
      </c>
      <c r="AA42" s="559">
        <v>2396</v>
      </c>
      <c r="AB42" s="559">
        <v>286</v>
      </c>
      <c r="AC42" s="559">
        <v>2521</v>
      </c>
      <c r="AD42" s="559">
        <v>211</v>
      </c>
      <c r="AE42" s="559">
        <v>22</v>
      </c>
      <c r="AF42" s="559">
        <v>7</v>
      </c>
      <c r="AG42" s="559">
        <v>47</v>
      </c>
    </row>
    <row r="43">
      <c r="A43" s="562" t="s">
        <v>1181</v>
      </c>
      <c r="B43" s="563" t="s">
        <v>1158</v>
      </c>
      <c r="C43" s="563"/>
      <c r="D43" s="563">
        <f>SUM(D40:D42)</f>
      </c>
      <c r="E43" s="563">
        <f>SUM(E40:E42)</f>
      </c>
      <c r="F43" s="563">
        <f>SUM(F40:F42)</f>
      </c>
      <c r="G43" s="563">
        <f>SUM(G40:G42)</f>
      </c>
      <c r="H43" s="563">
        <f>SUM(H40:H42)</f>
      </c>
      <c r="I43" s="564">
        <f t="shared" si="2"/>
      </c>
      <c r="J43" s="564">
        <f t="shared" si="0"/>
      </c>
      <c r="K43" s="564">
        <f t="shared" si="4"/>
      </c>
      <c r="L43" s="563"/>
      <c r="M43" s="565">
        <f>SUM(M40:M42)</f>
      </c>
      <c r="N43" s="563"/>
      <c r="O43" s="563"/>
      <c r="P43" s="563"/>
      <c r="Q43" s="566">
        <f>AVERAGE(Q40:Q42)</f>
      </c>
      <c r="R43" s="567">
        <f>AVERAGE(R40:R42)</f>
      </c>
      <c r="S43" s="567">
        <f>AVERAGE(S40:S42)</f>
      </c>
      <c r="T43" s="567">
        <f>AVERAGE(T40:T42)</f>
      </c>
      <c r="U43" s="567">
        <f>AVERAGE(U40:U42)</f>
      </c>
      <c r="V43" s="568">
        <f>SUM(V40:V42)</f>
      </c>
      <c r="W43" s="567">
        <f>AVERAGE(W40:W42)</f>
      </c>
      <c r="X43" s="568"/>
      <c r="Y43" s="566">
        <f>AVERAGE(Y40:Y42)</f>
      </c>
      <c r="Z43" s="568">
        <f>SUM(Z40:Z42)</f>
      </c>
      <c r="AA43" s="568">
        <f>SUM(AA40:AA42)</f>
      </c>
      <c r="AB43" s="568">
        <f>SUM(AB40:AB42)</f>
      </c>
      <c r="AC43" s="568">
        <f>SUM(AC40:AC42)</f>
      </c>
      <c r="AD43" s="568">
        <f>SUM(AD40:AD42)</f>
      </c>
      <c r="AE43" s="568">
        <f>SUM(AE40:AE42)</f>
      </c>
      <c r="AF43" s="568">
        <f>SUM(AF40:AF42)</f>
      </c>
      <c r="AG43" s="568">
        <f>SUM(AG40:AG42)</f>
      </c>
    </row>
    <row r="44">
      <c r="A44" s="552" t="s">
        <v>1182</v>
      </c>
      <c r="B44" s="552" t="s">
        <v>1155</v>
      </c>
      <c r="C44" s="552" t="s">
        <v>1178</v>
      </c>
      <c r="D44" s="552">
        <v>4</v>
      </c>
      <c r="E44" s="552">
        <v>12</v>
      </c>
      <c r="F44" s="552">
        <v>11</v>
      </c>
      <c r="G44" s="553">
        <v>23584.38</v>
      </c>
      <c r="H44" s="554">
        <v>7414.44</v>
      </c>
      <c r="I44" s="555">
        <f t="shared" si="2"/>
      </c>
      <c r="J44" s="555">
        <f t="shared" si="0"/>
      </c>
      <c r="K44" s="555">
        <f t="shared" si="4"/>
      </c>
      <c r="L44" s="552" t="s">
        <v>1183</v>
      </c>
      <c r="M44" s="556">
        <v>4</v>
      </c>
      <c r="N44" s="553"/>
      <c r="O44" s="553"/>
      <c r="P44" s="553"/>
      <c r="Q44" s="557">
        <v>3.513952606635071</v>
      </c>
      <c r="R44" s="558">
        <v>0.2860528604608552</v>
      </c>
      <c r="S44" s="558">
        <v>0.03526128444659837</v>
      </c>
      <c r="T44" s="558">
        <v>0.037600895736894</v>
      </c>
      <c r="U44" s="558">
        <v>0.10444444444444445</v>
      </c>
      <c r="V44" s="559">
        <v>17117.117117117115</v>
      </c>
      <c r="W44" s="558">
        <v>0.01665</v>
      </c>
      <c r="X44" s="559">
        <v>34.75</v>
      </c>
      <c r="Y44" s="560">
        <v>123.90648239442503</v>
      </c>
      <c r="Z44" s="559">
        <v>59839</v>
      </c>
      <c r="AA44" s="559">
        <v>2110</v>
      </c>
      <c r="AB44" s="559">
        <v>285</v>
      </c>
      <c r="AC44" s="559">
        <v>2250</v>
      </c>
      <c r="AD44" s="559">
        <v>235</v>
      </c>
      <c r="AE44" s="559">
        <v>14</v>
      </c>
      <c r="AF44" s="559">
        <v>2</v>
      </c>
      <c r="AG44" s="559">
        <v>52</v>
      </c>
    </row>
    <row r="45">
      <c r="A45" s="552" t="s">
        <v>1182</v>
      </c>
      <c r="B45" s="552" t="s">
        <v>1148</v>
      </c>
      <c r="C45" s="552" t="s">
        <v>1184</v>
      </c>
      <c r="D45" s="552">
        <v>4</v>
      </c>
      <c r="E45" s="552">
        <v>9</v>
      </c>
      <c r="F45" s="552">
        <v>13</v>
      </c>
      <c r="G45" s="553">
        <v>27977.83</v>
      </c>
      <c r="H45" s="554">
        <v>8449.9</v>
      </c>
      <c r="I45" s="555">
        <f t="shared" si="2"/>
      </c>
      <c r="J45" s="555">
        <f t="shared" si="0"/>
      </c>
      <c r="K45" s="555">
        <f t="shared" si="4"/>
      </c>
      <c r="L45" s="552" t="s">
        <v>1185</v>
      </c>
      <c r="M45" s="556">
        <v>5</v>
      </c>
      <c r="N45" s="553"/>
      <c r="O45" s="553"/>
      <c r="P45" s="553"/>
      <c r="Q45" s="561">
        <v>4.0939437984496125</v>
      </c>
      <c r="R45" s="558">
        <v>0.19836982511574527</v>
      </c>
      <c r="S45" s="558">
        <v>0.02824186199252904</v>
      </c>
      <c r="T45" s="558">
        <v>0.030157492166440897</v>
      </c>
      <c r="U45" s="558">
        <v>0.11070780399274047</v>
      </c>
      <c r="V45" s="559">
        <v>14497.461928934012</v>
      </c>
      <c r="W45" s="558">
        <v>0.024624999999999998</v>
      </c>
      <c r="X45" s="559">
        <v>41</v>
      </c>
      <c r="Y45" s="560">
        <v>115.62059576098409</v>
      </c>
      <c r="Z45" s="559">
        <v>73083</v>
      </c>
      <c r="AA45" s="559">
        <v>2064</v>
      </c>
      <c r="AB45" s="559">
        <v>357</v>
      </c>
      <c r="AC45" s="559">
        <v>2204</v>
      </c>
      <c r="AD45" s="559">
        <v>244</v>
      </c>
      <c r="AE45" s="559">
        <v>14</v>
      </c>
      <c r="AF45" s="559">
        <v>3</v>
      </c>
      <c r="AG45" s="559">
        <v>81</v>
      </c>
    </row>
    <row r="46">
      <c r="A46" s="552" t="s">
        <v>1182</v>
      </c>
      <c r="B46" s="552" t="s">
        <v>1160</v>
      </c>
      <c r="C46" s="552" t="s">
        <v>1169</v>
      </c>
      <c r="D46" s="552">
        <v>5</v>
      </c>
      <c r="E46" s="552">
        <v>10</v>
      </c>
      <c r="F46" s="552">
        <v>11</v>
      </c>
      <c r="G46" s="553">
        <v>29002.35</v>
      </c>
      <c r="H46" s="554">
        <v>11364.070000000002</v>
      </c>
      <c r="I46" s="555">
        <f t="shared" si="2"/>
      </c>
      <c r="J46" s="555">
        <f t="shared" si="0"/>
      </c>
      <c r="K46" s="555">
        <f t="shared" si="4"/>
      </c>
      <c r="L46" s="552" t="s">
        <v>1157</v>
      </c>
      <c r="M46" s="556">
        <v>8</v>
      </c>
      <c r="N46" s="552" t="s">
        <v>1154</v>
      </c>
      <c r="O46" s="552">
        <v>4</v>
      </c>
      <c r="P46" s="553"/>
      <c r="Q46" s="560">
        <v>3.306392202502183</v>
      </c>
      <c r="R46" s="558">
        <v>0.1896326234368701</v>
      </c>
      <c r="S46" s="558">
        <v>0.03230597148201412</v>
      </c>
      <c r="T46" s="558">
        <v>0.03384748423239245</v>
      </c>
      <c r="U46" s="558">
        <v>0.10191613440710913</v>
      </c>
      <c r="V46" s="559">
        <v>20174.82517482517</v>
      </c>
      <c r="W46" s="558">
        <v>0.028600000000000004</v>
      </c>
      <c r="X46" s="559">
        <v>43.6</v>
      </c>
      <c r="Y46" s="560">
        <v>106.81621220238937</v>
      </c>
      <c r="Z46" s="559">
        <v>106389</v>
      </c>
      <c r="AA46" s="559">
        <v>3437</v>
      </c>
      <c r="AB46" s="559">
        <v>577</v>
      </c>
      <c r="AC46" s="559">
        <v>3601</v>
      </c>
      <c r="AD46" s="559">
        <v>367</v>
      </c>
      <c r="AE46" s="559">
        <v>24</v>
      </c>
      <c r="AF46" s="559">
        <v>5</v>
      </c>
      <c r="AG46" s="559">
        <v>118</v>
      </c>
    </row>
    <row r="47">
      <c r="A47" s="562" t="s">
        <v>1182</v>
      </c>
      <c r="B47" s="563" t="s">
        <v>1158</v>
      </c>
      <c r="C47" s="563"/>
      <c r="D47" s="563">
        <f>SUM(D44:D46)</f>
      </c>
      <c r="E47" s="563">
        <f>SUM(E44:E46)</f>
      </c>
      <c r="F47" s="563">
        <f>SUM(F44:F46)</f>
      </c>
      <c r="G47" s="563">
        <f>SUM(G44:G46)</f>
      </c>
      <c r="H47" s="563">
        <f>SUM(H44:H46)</f>
      </c>
      <c r="I47" s="564">
        <f t="shared" si="2"/>
      </c>
      <c r="J47" s="564">
        <f t="shared" si="0"/>
      </c>
      <c r="K47" s="564">
        <f t="shared" si="4"/>
      </c>
      <c r="L47" s="563"/>
      <c r="M47" s="565">
        <f>SUM(M44:M46)</f>
      </c>
      <c r="N47" s="563"/>
      <c r="O47" s="563"/>
      <c r="P47" s="563"/>
      <c r="Q47" s="566">
        <f>AVERAGE(Q44:Q46)</f>
      </c>
      <c r="R47" s="567">
        <f>AVERAGE(R44:R46)</f>
      </c>
      <c r="S47" s="567">
        <f>AVERAGE(S44:S46)</f>
      </c>
      <c r="T47" s="567">
        <f>AVERAGE(T44:T46)</f>
      </c>
      <c r="U47" s="567">
        <f>AVERAGE(U44:U46)</f>
      </c>
      <c r="V47" s="568">
        <f>SUM(V44:V46)</f>
      </c>
      <c r="W47" s="567">
        <f>AVERAGE(W44:W46)</f>
      </c>
      <c r="X47" s="568"/>
      <c r="Y47" s="566">
        <f>AVERAGE(Y44:Y46)</f>
      </c>
      <c r="Z47" s="568">
        <f>SUM(Z44:Z46)</f>
      </c>
      <c r="AA47" s="568">
        <f>SUM(AA44:AA46)</f>
      </c>
      <c r="AB47" s="568">
        <f>SUM(AB44:AB46)</f>
      </c>
      <c r="AC47" s="568">
        <f>SUM(AC44:AC46)</f>
      </c>
      <c r="AD47" s="568">
        <f>SUM(AD44:AD46)</f>
      </c>
      <c r="AE47" s="568">
        <f>SUM(AE44:AE46)</f>
      </c>
      <c r="AF47" s="568">
        <f>SUM(AF44:AF46)</f>
      </c>
      <c r="AG47" s="568">
        <f>SUM(AG44:AG46)</f>
      </c>
    </row>
    <row r="48">
      <c r="A48" s="552" t="s">
        <v>1186</v>
      </c>
      <c r="B48" s="552" t="s">
        <v>1155</v>
      </c>
      <c r="C48" s="552" t="s">
        <v>1161</v>
      </c>
      <c r="D48" s="552">
        <v>5</v>
      </c>
      <c r="E48" s="552">
        <v>22</v>
      </c>
      <c r="F48" s="552">
        <v>28</v>
      </c>
      <c r="G48" s="553">
        <v>55121.93</v>
      </c>
      <c r="H48" s="554">
        <v>12720.96</v>
      </c>
      <c r="I48" s="555">
        <f t="shared" si="2"/>
      </c>
      <c r="J48" s="555">
        <f t="shared" si="0"/>
      </c>
      <c r="K48" s="555">
        <f t="shared" si="4"/>
      </c>
      <c r="L48" s="552" t="s">
        <v>1150</v>
      </c>
      <c r="M48" s="556">
        <v>4</v>
      </c>
      <c r="N48" s="553"/>
      <c r="O48" s="553"/>
      <c r="P48" s="553"/>
      <c r="Q48" s="557">
        <v>4.062906419674225</v>
      </c>
      <c r="R48" s="558">
        <v>0.2272611767734019</v>
      </c>
      <c r="S48" s="558">
        <v>0.026769378088609977</v>
      </c>
      <c r="T48" s="558">
        <v>0.028128793967271422</v>
      </c>
      <c r="U48" s="558">
        <v>0.11398176291793313</v>
      </c>
      <c r="V48" s="559">
        <v>26580.921757770633</v>
      </c>
      <c r="W48" s="558">
        <v>0.01866</v>
      </c>
      <c r="X48" s="559">
        <v>41.6</v>
      </c>
      <c r="Y48" s="560">
        <v>108.76147808690001</v>
      </c>
      <c r="Z48" s="559">
        <v>116962</v>
      </c>
      <c r="AA48" s="559">
        <v>3131</v>
      </c>
      <c r="AB48" s="559">
        <v>496</v>
      </c>
      <c r="AC48" s="559">
        <v>3290</v>
      </c>
      <c r="AD48" s="559">
        <v>375</v>
      </c>
      <c r="AE48" s="559">
        <v>43</v>
      </c>
      <c r="AF48" s="559">
        <v>5</v>
      </c>
      <c r="AG48" s="559">
        <v>111</v>
      </c>
    </row>
    <row r="49">
      <c r="A49" s="552" t="s">
        <v>1186</v>
      </c>
      <c r="B49" s="552" t="s">
        <v>1160</v>
      </c>
      <c r="C49" s="552" t="s">
        <v>1163</v>
      </c>
      <c r="D49" s="552">
        <v>4</v>
      </c>
      <c r="E49" s="552">
        <v>6</v>
      </c>
      <c r="F49" s="552">
        <v>10</v>
      </c>
      <c r="G49" s="553">
        <v>22682.69</v>
      </c>
      <c r="H49" s="554">
        <v>10828.73</v>
      </c>
      <c r="I49" s="555">
        <f t="shared" si="2"/>
      </c>
      <c r="J49" s="555">
        <f t="shared" si="0"/>
      </c>
      <c r="K49" s="555">
        <f t="shared" si="4"/>
      </c>
      <c r="L49" s="552" t="s">
        <v>1153</v>
      </c>
      <c r="M49" s="556">
        <v>5</v>
      </c>
      <c r="N49" s="553"/>
      <c r="O49" s="553"/>
      <c r="P49" s="553"/>
      <c r="Q49" s="561">
        <v>3.2499189675870346</v>
      </c>
      <c r="R49" s="558">
        <v>0.21599840690154581</v>
      </c>
      <c r="S49" s="558">
        <v>0.030477375213808118</v>
      </c>
      <c r="T49" s="558">
        <v>0.03259030248703431</v>
      </c>
      <c r="U49" s="558">
        <v>0.06623631770979511</v>
      </c>
      <c r="V49" s="559">
        <v>23614.4578313253</v>
      </c>
      <c r="W49" s="558">
        <v>0.018675</v>
      </c>
      <c r="X49" s="559">
        <v>46.75</v>
      </c>
      <c r="Y49" s="560">
        <v>99.04899978962194</v>
      </c>
      <c r="Z49" s="559">
        <v>109327</v>
      </c>
      <c r="AA49" s="559">
        <v>3332</v>
      </c>
      <c r="AB49" s="559">
        <v>441</v>
      </c>
      <c r="AC49" s="559">
        <v>3563</v>
      </c>
      <c r="AD49" s="559">
        <v>236</v>
      </c>
      <c r="AE49" s="559">
        <v>26</v>
      </c>
      <c r="AF49" s="559">
        <v>2</v>
      </c>
      <c r="AG49" s="559">
        <v>103</v>
      </c>
    </row>
    <row r="50">
      <c r="A50" s="552" t="s">
        <v>1186</v>
      </c>
      <c r="B50" s="552" t="s">
        <v>1148</v>
      </c>
      <c r="C50" s="552" t="s">
        <v>1171</v>
      </c>
      <c r="D50" s="552">
        <v>4</v>
      </c>
      <c r="E50" s="552">
        <v>10</v>
      </c>
      <c r="F50" s="552">
        <v>14</v>
      </c>
      <c r="G50" s="553">
        <v>35018.97</v>
      </c>
      <c r="H50" s="554">
        <v>9826.15</v>
      </c>
      <c r="I50" s="555">
        <f t="shared" si="2"/>
      </c>
      <c r="J50" s="555">
        <f t="shared" si="0"/>
      </c>
      <c r="K50" s="555">
        <f t="shared" si="4"/>
      </c>
      <c r="L50" s="552" t="s">
        <v>1157</v>
      </c>
      <c r="M50" s="556">
        <v>8</v>
      </c>
      <c r="N50" s="552" t="s">
        <v>1154</v>
      </c>
      <c r="O50" s="552">
        <v>4</v>
      </c>
      <c r="P50" s="553"/>
      <c r="Q50" s="560">
        <v>3.137340357598978</v>
      </c>
      <c r="R50" s="558">
        <v>0.24632879030186206</v>
      </c>
      <c r="S50" s="558">
        <v>0.037977446344125136</v>
      </c>
      <c r="T50" s="558">
        <v>0.040923972353583124</v>
      </c>
      <c r="U50" s="558">
        <v>0.08592592592592592</v>
      </c>
      <c r="V50" s="559">
        <v>20314.735336194564</v>
      </c>
      <c r="W50" s="558">
        <v>0.017475</v>
      </c>
      <c r="X50" s="559">
        <v>43.5</v>
      </c>
      <c r="Y50" s="560">
        <v>119.14817509397356</v>
      </c>
      <c r="Z50" s="559">
        <v>82470</v>
      </c>
      <c r="AA50" s="559">
        <v>3132</v>
      </c>
      <c r="AB50" s="559">
        <v>355</v>
      </c>
      <c r="AC50" s="559">
        <v>3375</v>
      </c>
      <c r="AD50" s="559">
        <v>290</v>
      </c>
      <c r="AE50" s="559">
        <v>24</v>
      </c>
      <c r="AF50" s="559">
        <v>8</v>
      </c>
      <c r="AG50" s="559">
        <v>67</v>
      </c>
    </row>
    <row r="51">
      <c r="A51" s="562" t="s">
        <v>1186</v>
      </c>
      <c r="B51" s="563" t="s">
        <v>1158</v>
      </c>
      <c r="C51" s="563"/>
      <c r="D51" s="563">
        <f>SUM(D48:D50)</f>
      </c>
      <c r="E51" s="563">
        <f>SUM(E48:E50)</f>
      </c>
      <c r="F51" s="563">
        <f>SUM(F48:F50)</f>
      </c>
      <c r="G51" s="563">
        <f>SUM(G48:G50)</f>
      </c>
      <c r="H51" s="563">
        <f>SUM(H48:H50)</f>
      </c>
      <c r="I51" s="564">
        <f t="shared" si="2"/>
      </c>
      <c r="J51" s="564">
        <f t="shared" si="0"/>
      </c>
      <c r="K51" s="564">
        <f t="shared" si="4"/>
      </c>
      <c r="L51" s="563"/>
      <c r="M51" s="565">
        <f>SUM(M48:M50)</f>
      </c>
      <c r="N51" s="563"/>
      <c r="O51" s="563"/>
      <c r="P51" s="563"/>
      <c r="Q51" s="566">
        <f>AVERAGE(Q48:Q50)</f>
      </c>
      <c r="R51" s="567">
        <f>AVERAGE(R48:R50)</f>
      </c>
      <c r="S51" s="567">
        <f>AVERAGE(S48:S50)</f>
      </c>
      <c r="T51" s="567">
        <f>AVERAGE(T48:T50)</f>
      </c>
      <c r="U51" s="567">
        <f>AVERAGE(U48:U50)</f>
      </c>
      <c r="V51" s="568">
        <f>SUM(V48:V50)</f>
      </c>
      <c r="W51" s="567">
        <f>AVERAGE(W48:W50)</f>
      </c>
      <c r="X51" s="568"/>
      <c r="Y51" s="566">
        <f>AVERAGE(Y48:Y50)</f>
      </c>
      <c r="Z51" s="568">
        <f>SUM(Z48:Z50)</f>
      </c>
      <c r="AA51" s="568">
        <f>SUM(AA48:AA50)</f>
      </c>
      <c r="AB51" s="568">
        <f>SUM(AB48:AB50)</f>
      </c>
      <c r="AC51" s="568">
        <f>SUM(AC48:AC50)</f>
      </c>
      <c r="AD51" s="568">
        <f>SUM(AD48:AD50)</f>
      </c>
      <c r="AE51" s="568">
        <f>SUM(AE48:AE50)</f>
      </c>
      <c r="AF51" s="568">
        <f>SUM(AF48:AF50)</f>
      </c>
      <c r="AG51" s="568">
        <f>SUM(AG48:AG50)</f>
      </c>
    </row>
    <row r="52">
      <c r="A52" s="552" t="s">
        <v>1187</v>
      </c>
      <c r="B52" s="552" t="s">
        <v>1160</v>
      </c>
      <c r="C52" s="552" t="s">
        <v>1161</v>
      </c>
      <c r="D52" s="552">
        <v>5</v>
      </c>
      <c r="E52" s="552">
        <v>10</v>
      </c>
      <c r="F52" s="552">
        <v>14</v>
      </c>
      <c r="G52" s="553">
        <v>29742.43</v>
      </c>
      <c r="H52" s="554">
        <v>10681.99</v>
      </c>
      <c r="I52" s="555">
        <f t="shared" si="2"/>
      </c>
      <c r="J52" s="555">
        <f t="shared" si="0"/>
      </c>
      <c r="K52" s="555">
        <f t="shared" si="4"/>
      </c>
      <c r="L52" s="552" t="s">
        <v>1183</v>
      </c>
      <c r="M52" s="556">
        <v>4</v>
      </c>
      <c r="N52" s="553"/>
      <c r="O52" s="553"/>
      <c r="P52" s="553"/>
      <c r="Q52" s="557">
        <v>3.428109756097561</v>
      </c>
      <c r="R52" s="558">
        <v>0.30553369333263825</v>
      </c>
      <c r="S52" s="558">
        <v>0.036125860829642684</v>
      </c>
      <c r="T52" s="558">
        <v>0.03811997124771025</v>
      </c>
      <c r="U52" s="558">
        <v>0.09002433090024331</v>
      </c>
      <c r="V52" s="559">
        <v>26353.50318471338</v>
      </c>
      <c r="W52" s="558">
        <v>0.012559999999999998</v>
      </c>
      <c r="X52" s="559">
        <v>44.8</v>
      </c>
      <c r="Y52" s="560">
        <v>123.8434159575208</v>
      </c>
      <c r="Z52" s="559">
        <v>86254</v>
      </c>
      <c r="AA52" s="559">
        <v>3116</v>
      </c>
      <c r="AB52" s="559">
        <v>331</v>
      </c>
      <c r="AC52" s="559">
        <v>3288</v>
      </c>
      <c r="AD52" s="559">
        <v>296</v>
      </c>
      <c r="AE52" s="559">
        <v>17</v>
      </c>
      <c r="AF52" s="559">
        <v>2</v>
      </c>
      <c r="AG52" s="559">
        <v>58</v>
      </c>
    </row>
    <row r="53">
      <c r="A53" s="552" t="s">
        <v>1187</v>
      </c>
      <c r="B53" s="552" t="s">
        <v>1155</v>
      </c>
      <c r="C53" s="552" t="s">
        <v>1163</v>
      </c>
      <c r="D53" s="552">
        <v>4</v>
      </c>
      <c r="E53" s="552">
        <v>4</v>
      </c>
      <c r="F53" s="552">
        <v>3</v>
      </c>
      <c r="G53" s="553">
        <v>6008.94</v>
      </c>
      <c r="H53" s="554">
        <v>6461.83</v>
      </c>
      <c r="I53" s="555">
        <f t="shared" si="2"/>
      </c>
      <c r="J53" s="555">
        <f t="shared" si="0"/>
      </c>
      <c r="K53" s="555">
        <f t="shared" si="4"/>
      </c>
      <c r="L53" s="552" t="s">
        <v>1185</v>
      </c>
      <c r="M53" s="556">
        <v>5</v>
      </c>
      <c r="N53" s="553"/>
      <c r="O53" s="553"/>
      <c r="P53" s="553"/>
      <c r="Q53" s="561">
        <v>2.6140088996763753</v>
      </c>
      <c r="R53" s="558">
        <v>0.33781847430293316</v>
      </c>
      <c r="S53" s="558">
        <v>0.04830578027904795</v>
      </c>
      <c r="T53" s="558">
        <v>0.05186227381091961</v>
      </c>
      <c r="U53" s="558">
        <v>0.06179351921627732</v>
      </c>
      <c r="V53" s="559">
        <v>17287.5226039783</v>
      </c>
      <c r="W53" s="558">
        <v>0.013825</v>
      </c>
      <c r="X53" s="559">
        <v>40</v>
      </c>
      <c r="Y53" s="560">
        <v>126.2717395552429</v>
      </c>
      <c r="Z53" s="559">
        <v>51174</v>
      </c>
      <c r="AA53" s="559">
        <v>2472</v>
      </c>
      <c r="AB53" s="559">
        <v>239</v>
      </c>
      <c r="AC53" s="559">
        <v>2654</v>
      </c>
      <c r="AD53" s="559">
        <v>164</v>
      </c>
      <c r="AE53" s="559">
        <v>9</v>
      </c>
      <c r="AF53" s="559">
        <v>2</v>
      </c>
      <c r="AG53" s="559">
        <v>25</v>
      </c>
    </row>
    <row r="54">
      <c r="A54" s="552" t="s">
        <v>1187</v>
      </c>
      <c r="B54" s="552" t="s">
        <v>1148</v>
      </c>
      <c r="C54" s="552" t="s">
        <v>1171</v>
      </c>
      <c r="D54" s="552">
        <v>4</v>
      </c>
      <c r="E54" s="552">
        <v>3</v>
      </c>
      <c r="F54" s="552">
        <v>5</v>
      </c>
      <c r="G54" s="553">
        <v>14227.8</v>
      </c>
      <c r="H54" s="554">
        <v>7487.85</v>
      </c>
      <c r="I54" s="555">
        <f t="shared" si="2"/>
      </c>
      <c r="J54" s="555">
        <f t="shared" si="0"/>
      </c>
      <c r="K54" s="555">
        <f t="shared" si="4"/>
      </c>
      <c r="L54" s="552" t="s">
        <v>1153</v>
      </c>
      <c r="M54" s="556">
        <v>8</v>
      </c>
      <c r="N54" s="552" t="s">
        <v>1154</v>
      </c>
      <c r="O54" s="552">
        <v>4</v>
      </c>
      <c r="P54" s="553"/>
      <c r="Q54" s="560">
        <v>2.1086595325260493</v>
      </c>
      <c r="R54" s="558">
        <v>0.32993584634875456</v>
      </c>
      <c r="S54" s="558">
        <v>0.0638760972801842</v>
      </c>
      <c r="T54" s="558">
        <v>0.06844510001439055</v>
      </c>
      <c r="U54" s="558">
        <v>0.06517739816031537</v>
      </c>
      <c r="V54" s="559">
        <v>18341.793570219965</v>
      </c>
      <c r="W54" s="558">
        <v>0.014775</v>
      </c>
      <c r="X54" s="559">
        <v>38.25</v>
      </c>
      <c r="Y54" s="560">
        <v>134.69294143042166</v>
      </c>
      <c r="Z54" s="559">
        <v>55592</v>
      </c>
      <c r="AA54" s="559">
        <v>3551</v>
      </c>
      <c r="AB54" s="559">
        <v>271</v>
      </c>
      <c r="AC54" s="559">
        <v>3805</v>
      </c>
      <c r="AD54" s="559">
        <v>248</v>
      </c>
      <c r="AE54" s="559">
        <v>14</v>
      </c>
      <c r="AF54" s="559">
        <v>11</v>
      </c>
      <c r="AG54" s="559">
        <v>19</v>
      </c>
    </row>
    <row r="55">
      <c r="A55" s="562" t="s">
        <v>1187</v>
      </c>
      <c r="B55" s="563" t="s">
        <v>1158</v>
      </c>
      <c r="C55" s="563"/>
      <c r="D55" s="563">
        <f>SUM(D52:D54)</f>
      </c>
      <c r="E55" s="563">
        <f>SUM(E52:E54)</f>
      </c>
      <c r="F55" s="563">
        <f>SUM(F52:F54)</f>
      </c>
      <c r="G55" s="563">
        <f>SUM(G52:G54)</f>
      </c>
      <c r="H55" s="563">
        <f>SUM(H52:H54)</f>
      </c>
      <c r="I55" s="564">
        <f t="shared" si="2"/>
      </c>
      <c r="J55" s="564">
        <f t="shared" si="0"/>
      </c>
      <c r="K55" s="564">
        <f t="shared" si="4"/>
      </c>
      <c r="L55" s="563"/>
      <c r="M55" s="565">
        <f>SUM(M52:M54)</f>
      </c>
      <c r="N55" s="563"/>
      <c r="O55" s="563"/>
      <c r="P55" s="563"/>
      <c r="Q55" s="566">
        <f>AVERAGE(Q52:Q54)</f>
      </c>
      <c r="R55" s="567">
        <f>AVERAGE(R52:R54)</f>
      </c>
      <c r="S55" s="567">
        <f>AVERAGE(S52:S54)</f>
      </c>
      <c r="T55" s="567">
        <f>AVERAGE(T52:T54)</f>
      </c>
      <c r="U55" s="567">
        <f>AVERAGE(U52:U54)</f>
      </c>
      <c r="V55" s="568">
        <f>SUM(V52:V54)</f>
      </c>
      <c r="W55" s="567">
        <f>AVERAGE(W52:W54)</f>
      </c>
      <c r="X55" s="568"/>
      <c r="Y55" s="566">
        <f>AVERAGE(Y52:Y54)</f>
      </c>
      <c r="Z55" s="568">
        <f>SUM(Z52:Z54)</f>
      </c>
      <c r="AA55" s="568">
        <f>SUM(AA52:AA54)</f>
      </c>
      <c r="AB55" s="568">
        <f>SUM(AB52:AB54)</f>
      </c>
      <c r="AC55" s="568">
        <f>SUM(AC52:AC54)</f>
      </c>
      <c r="AD55" s="568">
        <f>SUM(AD52:AD54)</f>
      </c>
      <c r="AE55" s="568">
        <f>SUM(AE52:AE54)</f>
      </c>
      <c r="AF55" s="568">
        <f>SUM(AF52:AF54)</f>
      </c>
      <c r="AG55" s="568">
        <f>SUM(AG52:AG54)</f>
      </c>
    </row>
    <row r="56">
      <c r="A56" s="552" t="s">
        <v>1188</v>
      </c>
      <c r="B56" s="552" t="s">
        <v>1160</v>
      </c>
      <c r="C56" s="552" t="s">
        <v>1178</v>
      </c>
      <c r="D56" s="552">
        <v>4</v>
      </c>
      <c r="E56" s="552">
        <v>9</v>
      </c>
      <c r="F56" s="552">
        <v>11</v>
      </c>
      <c r="G56" s="553">
        <v>23893.18</v>
      </c>
      <c r="H56" s="554">
        <v>8996.82</v>
      </c>
      <c r="I56" s="555">
        <f t="shared" si="2"/>
      </c>
      <c r="J56" s="555">
        <f t="shared" si="0"/>
      </c>
      <c r="K56" s="555">
        <f t="shared" si="4"/>
      </c>
      <c r="L56" s="552"/>
      <c r="M56" s="556"/>
      <c r="N56" s="553"/>
      <c r="O56" s="553"/>
      <c r="P56" s="553"/>
      <c r="Q56" s="557">
        <v>3.487139534883721</v>
      </c>
      <c r="R56" s="558">
        <v>0.22241352089822794</v>
      </c>
      <c r="S56" s="558">
        <v>0.03010361243349202</v>
      </c>
      <c r="T56" s="558">
        <v>0.03173714179034817</v>
      </c>
      <c r="U56" s="558">
        <v>0.11323529411764706</v>
      </c>
      <c r="V56" s="559">
        <v>19061.728395061727</v>
      </c>
      <c r="W56" s="558">
        <v>0.02025</v>
      </c>
      <c r="X56" s="559">
        <v>44.25</v>
      </c>
      <c r="Y56" s="560">
        <v>104.97549705964715</v>
      </c>
      <c r="Z56" s="559">
        <v>85704</v>
      </c>
      <c r="AA56" s="559">
        <v>2580</v>
      </c>
      <c r="AB56" s="559">
        <v>386</v>
      </c>
      <c r="AC56" s="559">
        <v>2720</v>
      </c>
      <c r="AD56" s="559">
        <v>308</v>
      </c>
      <c r="AE56" s="559">
        <v>17</v>
      </c>
      <c r="AF56" s="559">
        <v>4</v>
      </c>
      <c r="AG56" s="559">
        <v>59</v>
      </c>
    </row>
    <row r="57">
      <c r="A57" s="552" t="s">
        <v>1188</v>
      </c>
      <c r="B57" s="552" t="s">
        <v>1148</v>
      </c>
      <c r="C57" s="552" t="s">
        <v>1184</v>
      </c>
      <c r="D57" s="552">
        <v>4</v>
      </c>
      <c r="E57" s="552">
        <v>8</v>
      </c>
      <c r="F57" s="552">
        <v>12</v>
      </c>
      <c r="G57" s="553">
        <v>26696.79</v>
      </c>
      <c r="H57" s="554">
        <v>8471.01</v>
      </c>
      <c r="I57" s="555">
        <f t="shared" si="2"/>
      </c>
      <c r="J57" s="555">
        <f t="shared" si="0"/>
      </c>
      <c r="K57" s="555">
        <f t="shared" si="4"/>
      </c>
      <c r="L57" s="552" t="s">
        <v>1157</v>
      </c>
      <c r="M57" s="556">
        <v>5</v>
      </c>
      <c r="N57" s="553"/>
      <c r="O57" s="553"/>
      <c r="P57" s="553"/>
      <c r="Q57" s="561">
        <v>3.5091176470588237</v>
      </c>
      <c r="R57" s="558">
        <v>0.20393964793979902</v>
      </c>
      <c r="S57" s="558">
        <v>0.029863301787592007</v>
      </c>
      <c r="T57" s="558">
        <v>0.03174367538813633</v>
      </c>
      <c r="U57" s="558">
        <v>0.09469992205767731</v>
      </c>
      <c r="V57" s="559">
        <v>16485.461441213654</v>
      </c>
      <c r="W57" s="558">
        <v>0.019775</v>
      </c>
      <c r="X57" s="559">
        <v>44.5</v>
      </c>
      <c r="Y57" s="560">
        <v>104.79383930228244</v>
      </c>
      <c r="Z57" s="559">
        <v>80835</v>
      </c>
      <c r="AA57" s="559">
        <v>2414</v>
      </c>
      <c r="AB57" s="559">
        <v>326</v>
      </c>
      <c r="AC57" s="559">
        <v>2566</v>
      </c>
      <c r="AD57" s="559">
        <v>243</v>
      </c>
      <c r="AE57" s="559">
        <v>24</v>
      </c>
      <c r="AF57" s="559">
        <v>5</v>
      </c>
      <c r="AG57" s="559">
        <v>71</v>
      </c>
    </row>
    <row r="58">
      <c r="A58" s="552" t="s">
        <v>1188</v>
      </c>
      <c r="B58" s="552" t="s">
        <v>1155</v>
      </c>
      <c r="C58" s="552" t="s">
        <v>1169</v>
      </c>
      <c r="D58" s="552">
        <v>5</v>
      </c>
      <c r="E58" s="552">
        <v>8</v>
      </c>
      <c r="F58" s="552">
        <v>12</v>
      </c>
      <c r="G58" s="553">
        <v>23321.55</v>
      </c>
      <c r="H58" s="554">
        <v>9543.42</v>
      </c>
      <c r="I58" s="555">
        <f t="shared" si="2"/>
      </c>
      <c r="J58" s="555">
        <f t="shared" si="0"/>
      </c>
      <c r="K58" s="555">
        <f t="shared" si="4"/>
      </c>
      <c r="L58" s="552" t="s">
        <v>1153</v>
      </c>
      <c r="M58" s="556">
        <v>8</v>
      </c>
      <c r="N58" s="553"/>
      <c r="O58" s="553"/>
      <c r="P58" s="553"/>
      <c r="Q58" s="560">
        <v>2.8513355243501644</v>
      </c>
      <c r="R58" s="558">
        <v>0.31001601674459156</v>
      </c>
      <c r="S58" s="558">
        <v>0.04128989279678267</v>
      </c>
      <c r="T58" s="558">
        <v>0.044472681067344345</v>
      </c>
      <c r="U58" s="558">
        <v>0.06352288488210818</v>
      </c>
      <c r="V58" s="559">
        <v>25130.208333333336</v>
      </c>
      <c r="W58" s="558">
        <v>0.015359999999999999</v>
      </c>
      <c r="X58" s="559">
        <v>42.6</v>
      </c>
      <c r="Y58" s="560">
        <v>117.73133812807639</v>
      </c>
      <c r="Z58" s="559">
        <v>81061</v>
      </c>
      <c r="AA58" s="559">
        <v>3347</v>
      </c>
      <c r="AB58" s="559">
        <v>386</v>
      </c>
      <c r="AC58" s="559">
        <v>3605</v>
      </c>
      <c r="AD58" s="559">
        <v>229</v>
      </c>
      <c r="AE58" s="559">
        <v>22</v>
      </c>
      <c r="AF58" s="559">
        <v>5</v>
      </c>
      <c r="AG58" s="559">
        <v>64</v>
      </c>
    </row>
    <row r="59">
      <c r="A59" s="562" t="s">
        <v>1188</v>
      </c>
      <c r="B59" s="563" t="s">
        <v>1158</v>
      </c>
      <c r="C59" s="563"/>
      <c r="D59" s="563">
        <f>SUM(D56:D58)</f>
      </c>
      <c r="E59" s="563">
        <f>SUM(E56:E58)</f>
      </c>
      <c r="F59" s="563">
        <f>SUM(F56:F58)</f>
      </c>
      <c r="G59" s="563">
        <f>SUM(G56:G58)</f>
      </c>
      <c r="H59" s="563">
        <f>SUM(H56:H58)</f>
      </c>
      <c r="I59" s="564">
        <f t="shared" si="2"/>
      </c>
      <c r="J59" s="564">
        <f t="shared" si="0"/>
      </c>
      <c r="K59" s="564">
        <f t="shared" si="4"/>
      </c>
      <c r="L59" s="563"/>
      <c r="M59" s="565">
        <f>SUM(M56:M58)</f>
      </c>
      <c r="N59" s="563"/>
      <c r="O59" s="563"/>
      <c r="P59" s="563"/>
      <c r="Q59" s="566">
        <f>AVERAGE(Q56:Q58)</f>
      </c>
      <c r="R59" s="567">
        <f>AVERAGE(R56:R58)</f>
      </c>
      <c r="S59" s="567">
        <f>AVERAGE(S56:S58)</f>
      </c>
      <c r="T59" s="567">
        <f>AVERAGE(T56:T58)</f>
      </c>
      <c r="U59" s="567">
        <f>AVERAGE(U56:U58)</f>
      </c>
      <c r="V59" s="568">
        <f>SUM(V56:V58)</f>
      </c>
      <c r="W59" s="567">
        <f>AVERAGE(W56:W58)</f>
      </c>
      <c r="X59" s="568"/>
      <c r="Y59" s="566">
        <f>AVERAGE(Y56:Y58)</f>
      </c>
      <c r="Z59" s="568">
        <f>SUM(Z56:Z58)</f>
      </c>
      <c r="AA59" s="568">
        <f>SUM(AA56:AA58)</f>
      </c>
      <c r="AB59" s="568">
        <f>SUM(AB56:AB58)</f>
      </c>
      <c r="AC59" s="568">
        <f>SUM(AC56:AC58)</f>
      </c>
      <c r="AD59" s="568">
        <f>SUM(AD56:AD58)</f>
      </c>
      <c r="AE59" s="568">
        <f>SUM(AE56:AE58)</f>
      </c>
      <c r="AF59" s="568">
        <f>SUM(AF56:AF58)</f>
      </c>
      <c r="AG59" s="568">
        <f>SUM(AG56:AG58)</f>
      </c>
    </row>
    <row r="60">
      <c r="A60" s="552" t="s">
        <v>1189</v>
      </c>
      <c r="B60" s="552" t="s">
        <v>1148</v>
      </c>
      <c r="C60" s="552" t="s">
        <v>1178</v>
      </c>
      <c r="D60" s="552">
        <v>4</v>
      </c>
      <c r="E60" s="552">
        <v>4</v>
      </c>
      <c r="F60" s="552">
        <v>7</v>
      </c>
      <c r="G60" s="573">
        <v>17426</v>
      </c>
      <c r="H60" s="554">
        <v>6964.52</v>
      </c>
      <c r="I60" s="555">
        <f t="shared" si="2"/>
      </c>
      <c r="J60" s="555">
        <f t="shared" si="0"/>
      </c>
      <c r="K60" s="555">
        <f t="shared" si="4"/>
      </c>
      <c r="L60" s="552" t="s">
        <v>1190</v>
      </c>
      <c r="M60" s="556">
        <v>4</v>
      </c>
      <c r="N60" s="552" t="s">
        <v>1154</v>
      </c>
      <c r="O60" s="552">
        <v>4</v>
      </c>
      <c r="P60" s="553"/>
      <c r="Q60" s="557">
        <v>3.9325352907961606</v>
      </c>
      <c r="R60" s="558">
        <v>0.23060964487855137</v>
      </c>
      <c r="S60" s="558">
        <v>0.02920514511873351</v>
      </c>
      <c r="T60" s="558">
        <v>0.03080474934036939</v>
      </c>
      <c r="U60" s="558">
        <v>0.10010706638115632</v>
      </c>
      <c r="V60" s="559">
        <v>13984.168865435355</v>
      </c>
      <c r="W60" s="558">
        <v>0.01895</v>
      </c>
      <c r="X60" s="559">
        <v>40.5</v>
      </c>
      <c r="Y60" s="560">
        <v>114.85026385224276</v>
      </c>
      <c r="Z60" s="559">
        <v>60640</v>
      </c>
      <c r="AA60" s="559">
        <v>1771</v>
      </c>
      <c r="AB60" s="559">
        <v>265</v>
      </c>
      <c r="AC60" s="559">
        <v>1868</v>
      </c>
      <c r="AD60" s="559">
        <v>187</v>
      </c>
      <c r="AE60" s="559">
        <v>11</v>
      </c>
      <c r="AF60" s="559">
        <v>2</v>
      </c>
      <c r="AG60" s="559">
        <v>55</v>
      </c>
    </row>
    <row r="61">
      <c r="A61" s="552" t="s">
        <v>1189</v>
      </c>
      <c r="B61" s="552" t="s">
        <v>1160</v>
      </c>
      <c r="C61" s="552" t="s">
        <v>1179</v>
      </c>
      <c r="D61" s="552">
        <v>5</v>
      </c>
      <c r="E61" s="552">
        <v>9</v>
      </c>
      <c r="F61" s="552">
        <v>10</v>
      </c>
      <c r="G61" s="553">
        <v>19156.8</v>
      </c>
      <c r="H61" s="554">
        <v>8763.300000000001</v>
      </c>
      <c r="I61" s="555">
        <f t="shared" si="2"/>
      </c>
      <c r="J61" s="555">
        <f t="shared" si="0"/>
      </c>
      <c r="K61" s="555">
        <f t="shared" si="4"/>
      </c>
      <c r="L61" s="552" t="s">
        <v>1157</v>
      </c>
      <c r="M61" s="556">
        <v>5</v>
      </c>
      <c r="N61" s="553"/>
      <c r="O61" s="553"/>
      <c r="P61" s="553"/>
      <c r="Q61" s="561">
        <v>3.7482035928143715</v>
      </c>
      <c r="R61" s="558">
        <v>0.19813809319321427</v>
      </c>
      <c r="S61" s="558">
        <v>0.030736061629878922</v>
      </c>
      <c r="T61" s="558">
        <v>0.03237934978374328</v>
      </c>
      <c r="U61" s="558">
        <v>0.10515631343889566</v>
      </c>
      <c r="V61" s="559">
        <v>15071.77033492823</v>
      </c>
      <c r="W61" s="558">
        <v>0.02508</v>
      </c>
      <c r="X61" s="559">
        <v>52.2</v>
      </c>
      <c r="Y61" s="560">
        <v>115.20501663007613</v>
      </c>
      <c r="Z61" s="559">
        <v>76067</v>
      </c>
      <c r="AA61" s="559">
        <v>2338</v>
      </c>
      <c r="AB61" s="559">
        <v>378</v>
      </c>
      <c r="AC61" s="559">
        <v>2463</v>
      </c>
      <c r="AD61" s="559">
        <v>259</v>
      </c>
      <c r="AE61" s="559">
        <v>18</v>
      </c>
      <c r="AF61" s="559">
        <v>5</v>
      </c>
      <c r="AG61" s="559">
        <v>85</v>
      </c>
    </row>
    <row r="62">
      <c r="A62" s="552" t="s">
        <v>1189</v>
      </c>
      <c r="B62" s="552" t="s">
        <v>1155</v>
      </c>
      <c r="C62" s="552" t="s">
        <v>1171</v>
      </c>
      <c r="D62" s="552">
        <v>4</v>
      </c>
      <c r="E62" s="552">
        <v>10</v>
      </c>
      <c r="F62" s="552">
        <v>11</v>
      </c>
      <c r="G62" s="553">
        <v>21514.03</v>
      </c>
      <c r="H62" s="554">
        <v>8259.75</v>
      </c>
      <c r="I62" s="555">
        <f t="shared" si="2"/>
      </c>
      <c r="J62" s="555">
        <f t="shared" si="0"/>
      </c>
      <c r="K62" s="555">
        <f t="shared" si="4"/>
      </c>
      <c r="L62" s="552" t="s">
        <v>1153</v>
      </c>
      <c r="M62" s="556">
        <v>6</v>
      </c>
      <c r="N62" s="553"/>
      <c r="O62" s="553"/>
      <c r="P62" s="553"/>
      <c r="Q62" s="560">
        <v>3.9691254204709274</v>
      </c>
      <c r="R62" s="558">
        <v>0.14324411253810926</v>
      </c>
      <c r="S62" s="558">
        <v>0.02866114837412371</v>
      </c>
      <c r="T62" s="558">
        <v>0.030245017698018097</v>
      </c>
      <c r="U62" s="558">
        <v>0.12340619307832422</v>
      </c>
      <c r="V62" s="559">
        <v>10400.525279054498</v>
      </c>
      <c r="W62" s="558">
        <v>0.038075</v>
      </c>
      <c r="X62" s="559">
        <v>56</v>
      </c>
      <c r="Y62" s="560">
        <v>113.7596925916234</v>
      </c>
      <c r="Z62" s="559">
        <v>72607</v>
      </c>
      <c r="AA62" s="559">
        <v>2081</v>
      </c>
      <c r="AB62" s="559">
        <v>396</v>
      </c>
      <c r="AC62" s="559">
        <v>2196</v>
      </c>
      <c r="AD62" s="559">
        <v>271</v>
      </c>
      <c r="AE62" s="559">
        <v>18</v>
      </c>
      <c r="AF62" s="559">
        <v>4</v>
      </c>
      <c r="AG62" s="559">
        <v>86</v>
      </c>
    </row>
    <row customHeight="true" ht="16.071428571428573" r="63">
      <c r="A63" s="552" t="s">
        <v>1189</v>
      </c>
      <c r="B63" s="552"/>
      <c r="C63" s="552"/>
      <c r="D63" s="552"/>
      <c r="E63" s="552"/>
      <c r="F63" s="552"/>
      <c r="G63" s="553"/>
      <c r="H63" s="554"/>
      <c r="I63" s="555"/>
      <c r="J63" s="555"/>
      <c r="K63" s="555"/>
      <c r="L63" s="552" t="s">
        <v>1191</v>
      </c>
      <c r="M63" s="556">
        <v>2</v>
      </c>
      <c r="N63" s="553"/>
      <c r="O63" s="553"/>
      <c r="P63" s="553"/>
      <c r="Q63" s="560"/>
      <c r="R63" s="558"/>
      <c r="S63" s="558"/>
      <c r="T63" s="558"/>
      <c r="U63" s="558"/>
      <c r="V63" s="559"/>
      <c r="W63" s="558"/>
      <c r="X63" s="559"/>
      <c r="Y63" s="560"/>
      <c r="Z63" s="559"/>
      <c r="AA63" s="559"/>
      <c r="AB63" s="559"/>
      <c r="AC63" s="559"/>
      <c r="AD63" s="559"/>
      <c r="AE63" s="559"/>
      <c r="AF63" s="559"/>
      <c r="AG63" s="559"/>
    </row>
    <row r="64">
      <c r="A64" s="562" t="s">
        <v>1189</v>
      </c>
      <c r="B64" s="563" t="s">
        <v>1158</v>
      </c>
      <c r="C64" s="563"/>
      <c r="D64" s="563">
        <f>SUM(D60:D62)</f>
      </c>
      <c r="E64" s="563">
        <f>SUM(E60:E62)</f>
      </c>
      <c r="F64" s="563">
        <f>SUM(F60:F62)</f>
      </c>
      <c r="G64" s="563">
        <f>SUM(G60:G62)</f>
      </c>
      <c r="H64" s="563">
        <f>SUM(H60:H62)</f>
      </c>
      <c r="I64" s="564">
        <f t="shared" ref="I64:I139" si="3">G64/H64</f>
      </c>
      <c r="J64" s="564">
        <f t="shared" ref="J64:J139" si="1">G64/F64</f>
      </c>
      <c r="K64" s="564">
        <f t="shared" ref="K64:K139" si="5">H64/F64</f>
      </c>
      <c r="L64" s="563"/>
      <c r="M64" s="565">
        <f>SUM(M60:M62)</f>
      </c>
      <c r="N64" s="563"/>
      <c r="O64" s="563"/>
      <c r="P64" s="563"/>
      <c r="Q64" s="566">
        <f>AVERAGE(Q60:Q62)</f>
      </c>
      <c r="R64" s="567">
        <f>AVERAGE(R60:R62)</f>
      </c>
      <c r="S64" s="567">
        <f>AVERAGE(S60:S62)</f>
      </c>
      <c r="T64" s="567">
        <f>AVERAGE(T60:T62)</f>
      </c>
      <c r="U64" s="567">
        <f>AVERAGE(U60:U62)</f>
      </c>
      <c r="V64" s="568">
        <f>SUM(V60:V62)</f>
      </c>
      <c r="W64" s="567">
        <f>AVERAGE(W60:W62)</f>
      </c>
      <c r="X64" s="568"/>
      <c r="Y64" s="566">
        <f>AVERAGE(Y60:Y62)</f>
      </c>
      <c r="Z64" s="568">
        <f>SUM(Z60:Z62)</f>
      </c>
      <c r="AA64" s="568">
        <f>SUM(AA60:AA62)</f>
      </c>
      <c r="AB64" s="568">
        <f>SUM(AB60:AB62)</f>
      </c>
      <c r="AC64" s="568">
        <f>SUM(AC60:AC62)</f>
      </c>
      <c r="AD64" s="568">
        <f>SUM(AD60:AD62)</f>
      </c>
      <c r="AE64" s="568">
        <f>SUM(AE60:AE62)</f>
      </c>
      <c r="AF64" s="568">
        <f>SUM(AF60:AF62)</f>
      </c>
      <c r="AG64" s="568">
        <f>SUM(AG60:AG62)</f>
      </c>
    </row>
    <row r="65">
      <c r="A65" s="552" t="s">
        <v>1192</v>
      </c>
      <c r="B65" s="552" t="s">
        <v>1148</v>
      </c>
      <c r="C65" s="552" t="s">
        <v>1193</v>
      </c>
      <c r="D65" s="552">
        <v>4</v>
      </c>
      <c r="E65" s="552">
        <v>15</v>
      </c>
      <c r="F65" s="552">
        <v>16</v>
      </c>
      <c r="G65" s="553">
        <v>32001.28</v>
      </c>
      <c r="H65" s="554">
        <v>8749.5</v>
      </c>
      <c r="I65" s="555">
        <f t="shared" si="3"/>
      </c>
      <c r="J65" s="555">
        <f t="shared" si="1"/>
      </c>
      <c r="K65" s="555">
        <f t="shared" si="5"/>
      </c>
      <c r="L65" s="552" t="s">
        <v>1157</v>
      </c>
      <c r="M65" s="556">
        <v>7</v>
      </c>
      <c r="N65" s="553"/>
      <c r="O65" s="553"/>
      <c r="P65" s="553"/>
      <c r="Q65" s="557">
        <v>4.732017306652245</v>
      </c>
      <c r="R65" s="558">
        <v>0.18107625037329567</v>
      </c>
      <c r="S65" s="558">
        <v>0.026956496384418008</v>
      </c>
      <c r="T65" s="558">
        <v>0.028035339398180547</v>
      </c>
      <c r="U65" s="558">
        <v>0.16640665626625065</v>
      </c>
      <c r="V65" s="559">
        <v>12420.382165605097</v>
      </c>
      <c r="W65" s="558">
        <v>0.0314</v>
      </c>
      <c r="X65" s="559">
        <v>50.5</v>
      </c>
      <c r="Y65" s="560">
        <v>127.55860741777467</v>
      </c>
      <c r="Z65" s="559">
        <v>68592</v>
      </c>
      <c r="AA65" s="559">
        <v>1849</v>
      </c>
      <c r="AB65" s="559">
        <v>390</v>
      </c>
      <c r="AC65" s="559">
        <v>1923</v>
      </c>
      <c r="AD65" s="559">
        <v>320</v>
      </c>
      <c r="AE65" s="559">
        <v>21</v>
      </c>
      <c r="AF65" s="559">
        <v>9</v>
      </c>
      <c r="AG65" s="559">
        <v>60</v>
      </c>
    </row>
    <row r="66">
      <c r="A66" s="552" t="s">
        <v>1192</v>
      </c>
      <c r="B66" s="552" t="s">
        <v>1160</v>
      </c>
      <c r="C66" s="552" t="s">
        <v>1194</v>
      </c>
      <c r="D66" s="552">
        <v>4</v>
      </c>
      <c r="E66" s="552">
        <v>9</v>
      </c>
      <c r="F66" s="552">
        <v>10</v>
      </c>
      <c r="G66" s="553">
        <v>25856.33</v>
      </c>
      <c r="H66" s="554">
        <v>9667.23</v>
      </c>
      <c r="I66" s="555">
        <f t="shared" si="3"/>
      </c>
      <c r="J66" s="555">
        <f t="shared" si="1"/>
      </c>
      <c r="K66" s="555">
        <f t="shared" si="5"/>
      </c>
      <c r="N66" s="553"/>
      <c r="O66" s="553"/>
      <c r="P66" s="553"/>
      <c r="Q66" s="561">
        <v>3.2042525687769308</v>
      </c>
      <c r="R66" s="558">
        <v>0.1840956650983036</v>
      </c>
      <c r="S66" s="558">
        <v>0.03335728896014152</v>
      </c>
      <c r="T66" s="558">
        <v>0.035701254906296644</v>
      </c>
      <c r="U66" s="558">
        <v>0.08733353979560235</v>
      </c>
      <c r="V66" s="559">
        <v>16650.53242981607</v>
      </c>
      <c r="W66" s="558">
        <v>0.025825</v>
      </c>
      <c r="X66" s="559">
        <v>46.75</v>
      </c>
      <c r="Y66" s="560">
        <v>106.88517883796781</v>
      </c>
      <c r="Z66" s="559">
        <v>90445</v>
      </c>
      <c r="AA66" s="559">
        <v>3017</v>
      </c>
      <c r="AB66" s="559">
        <v>430</v>
      </c>
      <c r="AC66" s="559">
        <v>3229</v>
      </c>
      <c r="AD66" s="559">
        <v>282</v>
      </c>
      <c r="AE66" s="559">
        <v>23</v>
      </c>
      <c r="AF66" s="559">
        <v>1</v>
      </c>
      <c r="AG66" s="559">
        <v>125</v>
      </c>
    </row>
    <row customHeight="true" ht="16.071428571428573" r="67">
      <c r="A67" s="552" t="s">
        <v>1192</v>
      </c>
      <c r="B67" s="552" t="s">
        <v>1195</v>
      </c>
      <c r="C67" s="552" t="s">
        <v>1196</v>
      </c>
      <c r="D67" s="552">
        <v>2</v>
      </c>
      <c r="E67" s="552">
        <v>4</v>
      </c>
      <c r="F67" s="552">
        <v>4</v>
      </c>
      <c r="G67" s="553">
        <v>5757.92</v>
      </c>
      <c r="H67" s="554">
        <v>4089.4800000000005</v>
      </c>
      <c r="I67" s="555">
        <f t="shared" si="3"/>
      </c>
      <c r="J67" s="555">
        <f t="shared" si="1"/>
      </c>
      <c r="K67" s="555">
        <f t="shared" si="5"/>
      </c>
      <c r="L67" s="552"/>
      <c r="M67" s="556"/>
      <c r="N67" s="553"/>
      <c r="O67" s="553"/>
      <c r="P67" s="553"/>
      <c r="Q67" s="561">
        <v>3.2953102336825144</v>
      </c>
      <c r="R67" s="558">
        <v>0.1792266028569069</v>
      </c>
      <c r="S67" s="558">
        <v>0.03139626078376806</v>
      </c>
      <c r="T67" s="558">
        <v>0.03402737369393073</v>
      </c>
      <c r="U67" s="558">
        <v>0.09516728624535316</v>
      </c>
      <c r="V67" s="559">
        <v>7084.2899311249585</v>
      </c>
      <c r="W67" s="558">
        <v>0.025408333333333335</v>
      </c>
      <c r="X67" s="559">
        <v>45.583333333333336</v>
      </c>
      <c r="Y67" s="560">
        <v>103.46041946011589</v>
      </c>
      <c r="Z67" s="559">
        <v>39527</v>
      </c>
      <c r="AA67" s="559">
        <v>1241</v>
      </c>
      <c r="AB67" s="559">
        <v>180</v>
      </c>
      <c r="AC67" s="559">
        <v>1345</v>
      </c>
      <c r="AD67" s="559">
        <v>128</v>
      </c>
      <c r="AE67" s="559">
        <v>10</v>
      </c>
      <c r="AF67" s="559">
        <v>1</v>
      </c>
      <c r="AG67" s="559">
        <v>25</v>
      </c>
    </row>
    <row r="68">
      <c r="A68" s="552" t="s">
        <v>1192</v>
      </c>
      <c r="B68" s="552" t="s">
        <v>1155</v>
      </c>
      <c r="C68" s="552" t="s">
        <v>1169</v>
      </c>
      <c r="D68" s="552">
        <v>5</v>
      </c>
      <c r="E68" s="552">
        <v>5</v>
      </c>
      <c r="F68" s="552">
        <v>6</v>
      </c>
      <c r="G68" s="553">
        <v>11954.36</v>
      </c>
      <c r="H68" s="554">
        <v>9517.9</v>
      </c>
      <c r="I68" s="555">
        <f t="shared" si="3"/>
      </c>
      <c r="J68" s="555">
        <f t="shared" si="1"/>
      </c>
      <c r="K68" s="555">
        <f t="shared" si="5"/>
      </c>
      <c r="L68" s="552" t="s">
        <v>1153</v>
      </c>
      <c r="M68" s="556">
        <v>8</v>
      </c>
      <c r="N68" s="553"/>
      <c r="O68" s="553"/>
      <c r="P68" s="553"/>
      <c r="Q68" s="560">
        <v>3.310573913043478</v>
      </c>
      <c r="R68" s="558">
        <v>0.18355626342381243</v>
      </c>
      <c r="S68" s="558">
        <v>0.029575755081886264</v>
      </c>
      <c r="T68" s="558">
        <v>0.030902806353386554</v>
      </c>
      <c r="U68" s="558">
        <v>0.09287616511318242</v>
      </c>
      <c r="V68" s="559">
        <v>17843.137254901958</v>
      </c>
      <c r="W68" s="558">
        <v>0.025500000000000002</v>
      </c>
      <c r="X68" s="559">
        <v>59.2</v>
      </c>
      <c r="Y68" s="560">
        <v>97.91272323265575</v>
      </c>
      <c r="Z68" s="559">
        <v>97208</v>
      </c>
      <c r="AA68" s="559">
        <v>2875</v>
      </c>
      <c r="AB68" s="559">
        <v>455</v>
      </c>
      <c r="AC68" s="559">
        <v>3004</v>
      </c>
      <c r="AD68" s="559">
        <v>279</v>
      </c>
      <c r="AE68" s="559">
        <v>24</v>
      </c>
      <c r="AF68" s="559">
        <v>4</v>
      </c>
      <c r="AG68" s="559">
        <v>85</v>
      </c>
    </row>
    <row r="69">
      <c r="A69" s="562" t="s">
        <v>1192</v>
      </c>
      <c r="B69" s="563" t="s">
        <v>1158</v>
      </c>
      <c r="C69" s="563"/>
      <c r="D69" s="563">
        <f>SUM(D65:D68)</f>
      </c>
      <c r="E69" s="563">
        <f>SUM(E65:E68)</f>
      </c>
      <c r="F69" s="563">
        <f>SUM(F65:F68)</f>
      </c>
      <c r="G69" s="563">
        <f>SUM(G65:G68)</f>
      </c>
      <c r="H69" s="563">
        <f>SUM(H65:H68)</f>
      </c>
      <c r="I69" s="564">
        <f t="shared" si="3"/>
      </c>
      <c r="J69" s="564">
        <f t="shared" si="1"/>
      </c>
      <c r="K69" s="564">
        <f t="shared" si="5"/>
      </c>
      <c r="L69" s="563"/>
      <c r="M69" s="565">
        <f>SUM(M65:M68)</f>
      </c>
      <c r="N69" s="563"/>
      <c r="O69" s="563"/>
      <c r="P69" s="563"/>
      <c r="Q69" s="566">
        <f>AVERAGE(Q65:Q68)</f>
      </c>
      <c r="R69" s="567">
        <f>AVERAGE(R65:R68)</f>
      </c>
      <c r="S69" s="567">
        <f>AVERAGE(S65:S68)</f>
      </c>
      <c r="T69" s="567">
        <f>AVERAGE(T65:T68)</f>
      </c>
      <c r="U69" s="567">
        <f>AVERAGE(U65:U68)</f>
      </c>
      <c r="V69" s="568">
        <f>SUM(V65:V68)</f>
      </c>
      <c r="W69" s="567">
        <f>AVERAGE(W65:W68)</f>
      </c>
      <c r="X69" s="568"/>
      <c r="Y69" s="566">
        <f>AVERAGE(Y65:Y68)</f>
      </c>
      <c r="Z69" s="568">
        <f>SUM(Z65:Z68)</f>
      </c>
      <c r="AA69" s="568">
        <f>SUM(AA65:AA68)</f>
      </c>
      <c r="AB69" s="568">
        <f>SUM(AB65:AB68)</f>
      </c>
      <c r="AC69" s="568">
        <f>SUM(AC65:AC68)</f>
      </c>
      <c r="AD69" s="568">
        <f>SUM(AD65:AD68)</f>
      </c>
      <c r="AE69" s="568">
        <f>SUM(AE65:AE68)</f>
      </c>
      <c r="AF69" s="568">
        <f>SUM(AF65:AF68)</f>
      </c>
      <c r="AG69" s="568">
        <f>SUM(AG65:AG68)</f>
      </c>
    </row>
    <row r="70">
      <c r="A70" s="552" t="s">
        <v>1197</v>
      </c>
      <c r="B70" s="552" t="s">
        <v>1160</v>
      </c>
      <c r="C70" s="552" t="s">
        <v>1198</v>
      </c>
      <c r="D70" s="552">
        <v>5</v>
      </c>
      <c r="E70" s="552">
        <v>13</v>
      </c>
      <c r="F70" s="552">
        <v>17</v>
      </c>
      <c r="G70" s="553">
        <v>34592.22</v>
      </c>
      <c r="H70" s="554">
        <v>11077.87</v>
      </c>
      <c r="I70" s="555">
        <f t="shared" si="3"/>
      </c>
      <c r="J70" s="555">
        <f t="shared" si="1"/>
      </c>
      <c r="K70" s="555">
        <f t="shared" si="5"/>
      </c>
      <c r="L70" s="552" t="s">
        <v>1157</v>
      </c>
      <c r="M70" s="556">
        <v>7</v>
      </c>
      <c r="N70" s="553"/>
      <c r="O70" s="553"/>
      <c r="P70" s="553"/>
      <c r="Q70" s="557">
        <v>4.086267060125415</v>
      </c>
      <c r="R70" s="558">
        <v>0.18590889001614322</v>
      </c>
      <c r="S70" s="558">
        <v>0.02936238884857412</v>
      </c>
      <c r="T70" s="558">
        <v>0.031246953828158</v>
      </c>
      <c r="U70" s="558">
        <v>0.11230502599653379</v>
      </c>
      <c r="V70" s="559">
        <v>17164.781906300486</v>
      </c>
      <c r="W70" s="558">
        <v>0.024759999999999997</v>
      </c>
      <c r="X70" s="559">
        <v>48</v>
      </c>
      <c r="Y70" s="560">
        <v>119.98256235852226</v>
      </c>
      <c r="Z70" s="559">
        <v>92329</v>
      </c>
      <c r="AA70" s="559">
        <v>2711</v>
      </c>
      <c r="AB70" s="559">
        <v>425</v>
      </c>
      <c r="AC70" s="559">
        <v>2885</v>
      </c>
      <c r="AD70" s="559">
        <v>324</v>
      </c>
      <c r="AE70" s="559">
        <v>23</v>
      </c>
      <c r="AF70" s="559">
        <v>6</v>
      </c>
      <c r="AG70" s="559">
        <v>87</v>
      </c>
    </row>
    <row r="71">
      <c r="A71" s="552" t="s">
        <v>1197</v>
      </c>
      <c r="B71" s="552" t="s">
        <v>1195</v>
      </c>
      <c r="C71" s="552" t="s">
        <v>1199</v>
      </c>
      <c r="D71" s="552">
        <v>2</v>
      </c>
      <c r="E71" s="552">
        <v>4</v>
      </c>
      <c r="F71" s="552">
        <v>3</v>
      </c>
      <c r="G71" s="553">
        <v>6447.87</v>
      </c>
      <c r="H71" s="554">
        <v>4123.31</v>
      </c>
      <c r="I71" s="555">
        <f t="shared" si="3"/>
      </c>
      <c r="J71" s="555">
        <f t="shared" si="1"/>
      </c>
      <c r="K71" s="555">
        <f t="shared" si="5"/>
      </c>
      <c r="N71" s="553"/>
      <c r="O71" s="553"/>
      <c r="P71" s="553"/>
      <c r="Q71" s="561">
        <v>4.0345499021526425</v>
      </c>
      <c r="R71" s="558">
        <v>0.1459255252633566</v>
      </c>
      <c r="S71" s="558">
        <v>0.03142198308993082</v>
      </c>
      <c r="T71" s="558">
        <v>0.03277478862413528</v>
      </c>
      <c r="U71" s="558">
        <v>0.16322701688555347</v>
      </c>
      <c r="V71" s="559">
        <v>4746.227709190673</v>
      </c>
      <c r="W71" s="558">
        <v>0.036449999999999996</v>
      </c>
      <c r="X71" s="559">
        <v>54</v>
      </c>
      <c r="Y71" s="560">
        <v>126.77355880092239</v>
      </c>
      <c r="Z71" s="559">
        <v>32525</v>
      </c>
      <c r="AA71" s="559">
        <v>1022</v>
      </c>
      <c r="AB71" s="559">
        <v>173</v>
      </c>
      <c r="AC71" s="559">
        <v>1066</v>
      </c>
      <c r="AD71" s="559">
        <v>174</v>
      </c>
      <c r="AE71" s="559">
        <v>6</v>
      </c>
      <c r="AF71" s="559">
        <v>1</v>
      </c>
      <c r="AG71" s="559">
        <v>45</v>
      </c>
    </row>
    <row r="72">
      <c r="A72" s="552" t="s">
        <v>1197</v>
      </c>
      <c r="B72" s="552" t="s">
        <v>1155</v>
      </c>
      <c r="C72" s="552" t="s">
        <v>1163</v>
      </c>
      <c r="D72" s="552">
        <v>4</v>
      </c>
      <c r="E72" s="552">
        <v>9</v>
      </c>
      <c r="F72" s="552">
        <v>10</v>
      </c>
      <c r="G72" s="553">
        <v>18551.41</v>
      </c>
      <c r="H72" s="554">
        <v>7837.07</v>
      </c>
      <c r="I72" s="555">
        <f t="shared" si="3"/>
      </c>
      <c r="J72" s="555">
        <f t="shared" si="1"/>
      </c>
      <c r="K72" s="555">
        <f t="shared" si="5"/>
      </c>
      <c r="L72" s="552"/>
      <c r="M72" s="556"/>
      <c r="N72" s="553"/>
      <c r="O72" s="553"/>
      <c r="P72" s="553"/>
      <c r="Q72" s="561">
        <v>3.906814556331007</v>
      </c>
      <c r="R72" s="558">
        <v>0.17040571377767244</v>
      </c>
      <c r="S72" s="558">
        <v>0.0304678007290401</v>
      </c>
      <c r="T72" s="558">
        <v>0.033232077764277036</v>
      </c>
      <c r="U72" s="558">
        <v>0.11151736745886655</v>
      </c>
      <c r="V72" s="559">
        <v>11219.512195121953</v>
      </c>
      <c r="W72" s="558">
        <v>0.028699999999999996</v>
      </c>
      <c r="X72" s="559">
        <v>52</v>
      </c>
      <c r="Y72" s="560">
        <v>119.03204738760631</v>
      </c>
      <c r="Z72" s="559">
        <v>65840</v>
      </c>
      <c r="AA72" s="559">
        <v>2006</v>
      </c>
      <c r="AB72" s="559">
        <v>322</v>
      </c>
      <c r="AC72" s="559">
        <v>2188</v>
      </c>
      <c r="AD72" s="559">
        <v>244</v>
      </c>
      <c r="AE72" s="559">
        <v>19</v>
      </c>
      <c r="AF72" s="559">
        <v>4</v>
      </c>
      <c r="AG72" s="559">
        <v>60</v>
      </c>
    </row>
    <row r="73">
      <c r="A73" s="552" t="s">
        <v>1197</v>
      </c>
      <c r="B73" s="552" t="s">
        <v>1148</v>
      </c>
      <c r="C73" s="552" t="s">
        <v>1171</v>
      </c>
      <c r="D73" s="552">
        <v>4</v>
      </c>
      <c r="E73" s="552">
        <v>9</v>
      </c>
      <c r="F73" s="552">
        <v>13</v>
      </c>
      <c r="G73" s="553">
        <v>29266.17</v>
      </c>
      <c r="H73" s="554">
        <v>8206.37</v>
      </c>
      <c r="I73" s="555">
        <f t="shared" si="3"/>
      </c>
      <c r="J73" s="555">
        <f t="shared" si="1"/>
      </c>
      <c r="K73" s="555">
        <f t="shared" si="5"/>
      </c>
      <c r="L73" s="552" t="s">
        <v>1153</v>
      </c>
      <c r="M73" s="556">
        <v>8</v>
      </c>
      <c r="N73" s="553"/>
      <c r="O73" s="553"/>
      <c r="P73" s="553"/>
      <c r="Q73" s="560">
        <v>3.40796096345515</v>
      </c>
      <c r="R73" s="558">
        <v>0.19726387261163958</v>
      </c>
      <c r="S73" s="558">
        <v>0.037778475054910575</v>
      </c>
      <c r="T73" s="558">
        <v>0.04082208973956699</v>
      </c>
      <c r="U73" s="558">
        <v>0.11721752498078401</v>
      </c>
      <c r="V73" s="559">
        <v>12573.599240265907</v>
      </c>
      <c r="W73" s="558">
        <v>0.026325</v>
      </c>
      <c r="X73" s="559">
        <v>49.75</v>
      </c>
      <c r="Y73" s="560">
        <v>128.7475682459994</v>
      </c>
      <c r="Z73" s="559">
        <v>63740</v>
      </c>
      <c r="AA73" s="559">
        <v>2408</v>
      </c>
      <c r="AB73" s="559">
        <v>331</v>
      </c>
      <c r="AC73" s="559">
        <v>2602</v>
      </c>
      <c r="AD73" s="559">
        <v>305</v>
      </c>
      <c r="AE73" s="559">
        <v>18</v>
      </c>
      <c r="AF73" s="559">
        <v>6</v>
      </c>
      <c r="AG73" s="559">
        <v>56</v>
      </c>
    </row>
    <row r="74">
      <c r="A74" s="562" t="s">
        <v>1197</v>
      </c>
      <c r="B74" s="563" t="s">
        <v>1158</v>
      </c>
      <c r="C74" s="563"/>
      <c r="D74" s="563">
        <f>SUM(D70:D73)</f>
      </c>
      <c r="E74" s="563">
        <f>SUM(E70:E73)</f>
      </c>
      <c r="F74" s="563">
        <f>SUM(F70:F73)</f>
      </c>
      <c r="G74" s="563">
        <f>SUM(G70:G73)</f>
      </c>
      <c r="H74" s="563">
        <f>SUM(H70:H73)</f>
      </c>
      <c r="I74" s="564">
        <f t="shared" si="3"/>
      </c>
      <c r="J74" s="564">
        <f t="shared" si="1"/>
      </c>
      <c r="K74" s="564">
        <f t="shared" si="5"/>
      </c>
      <c r="L74" s="563"/>
      <c r="M74" s="565">
        <f>SUM(M70:M73)</f>
      </c>
      <c r="N74" s="563"/>
      <c r="O74" s="563"/>
      <c r="P74" s="563"/>
      <c r="Q74" s="566">
        <f>AVERAGE(Q70:Q73)</f>
      </c>
      <c r="R74" s="567">
        <f>AVERAGE(R70:R73)</f>
      </c>
      <c r="S74" s="567">
        <f>AVERAGE(S70:S73)</f>
      </c>
      <c r="T74" s="567">
        <f>AVERAGE(T70:T73)</f>
      </c>
      <c r="U74" s="567">
        <f>AVERAGE(U70:U73)</f>
      </c>
      <c r="V74" s="568">
        <f>SUM(V70:V73)</f>
      </c>
      <c r="W74" s="567">
        <f>AVERAGE(W70:W73)</f>
      </c>
      <c r="X74" s="568"/>
      <c r="Y74" s="566">
        <f>AVERAGE(Y70:Y73)</f>
      </c>
      <c r="Z74" s="568">
        <f>SUM(Z70:Z73)</f>
      </c>
      <c r="AA74" s="568">
        <f>SUM(AA70:AA73)</f>
      </c>
      <c r="AB74" s="568">
        <f>SUM(AB70:AB73)</f>
      </c>
      <c r="AC74" s="568">
        <f>SUM(AC70:AC73)</f>
      </c>
      <c r="AD74" s="568">
        <f>SUM(AD70:AD73)</f>
      </c>
      <c r="AE74" s="568">
        <f>SUM(AE70:AE73)</f>
      </c>
      <c r="AF74" s="568">
        <f>SUM(AF70:AF73)</f>
      </c>
      <c r="AG74" s="568">
        <f>SUM(AG70:AG73)</f>
      </c>
    </row>
    <row r="75">
      <c r="A75" s="552" t="s">
        <v>1200</v>
      </c>
      <c r="B75" s="552" t="s">
        <v>1160</v>
      </c>
      <c r="C75" s="552" t="s">
        <v>1198</v>
      </c>
      <c r="D75" s="552">
        <v>5</v>
      </c>
      <c r="E75" s="552">
        <v>14</v>
      </c>
      <c r="F75" s="552">
        <v>21</v>
      </c>
      <c r="G75" s="553">
        <v>44124.77</v>
      </c>
      <c r="H75" s="554">
        <v>10293.55</v>
      </c>
      <c r="I75" s="555">
        <f t="shared" si="3"/>
      </c>
      <c r="J75" s="555">
        <f t="shared" si="1"/>
      </c>
      <c r="K75" s="555">
        <f t="shared" si="5"/>
      </c>
      <c r="L75" s="552" t="s">
        <v>1157</v>
      </c>
      <c r="M75" s="556">
        <v>7</v>
      </c>
      <c r="N75" s="553"/>
      <c r="O75" s="553"/>
      <c r="P75" s="553"/>
      <c r="Q75" s="557">
        <v>3.1488375650045883</v>
      </c>
      <c r="R75" s="558">
        <v>0.21766185079152095</v>
      </c>
      <c r="S75" s="558">
        <v>0.03734762193101715</v>
      </c>
      <c r="T75" s="558">
        <v>0.0397811011207714</v>
      </c>
      <c r="U75" s="558">
        <v>0.09707064905226881</v>
      </c>
      <c r="V75" s="559">
        <v>19051.724137931036</v>
      </c>
      <c r="W75" s="558">
        <v>0.0232</v>
      </c>
      <c r="X75" s="559">
        <v>48.6</v>
      </c>
      <c r="Y75" s="560">
        <v>117.601594899976</v>
      </c>
      <c r="Z75" s="559">
        <v>87529</v>
      </c>
      <c r="AA75" s="559">
        <v>3269</v>
      </c>
      <c r="AB75" s="559">
        <v>442</v>
      </c>
      <c r="AC75" s="559">
        <v>3482</v>
      </c>
      <c r="AD75" s="559">
        <v>338</v>
      </c>
      <c r="AE75" s="559">
        <v>22</v>
      </c>
      <c r="AF75" s="559">
        <v>5</v>
      </c>
      <c r="AG75" s="559">
        <v>72</v>
      </c>
    </row>
    <row r="76">
      <c r="A76" s="552" t="s">
        <v>1200</v>
      </c>
      <c r="B76" s="552" t="s">
        <v>1195</v>
      </c>
      <c r="C76" s="552" t="s">
        <v>1199</v>
      </c>
      <c r="D76" s="552">
        <v>2</v>
      </c>
      <c r="E76" s="552">
        <v>5</v>
      </c>
      <c r="F76" s="552">
        <v>7</v>
      </c>
      <c r="G76" s="553">
        <v>13974.22</v>
      </c>
      <c r="H76" s="554">
        <v>4111.03</v>
      </c>
      <c r="I76" s="555">
        <f t="shared" si="3"/>
      </c>
      <c r="J76" s="555">
        <f t="shared" si="1"/>
      </c>
      <c r="K76" s="555">
        <f t="shared" si="5"/>
      </c>
      <c r="L76" s="552" t="s">
        <v>1201</v>
      </c>
      <c r="M76" s="552">
        <v>3</v>
      </c>
      <c r="N76" s="553"/>
      <c r="O76" s="553"/>
      <c r="P76" s="553"/>
      <c r="Q76" s="561">
        <v>3.0794232209737826</v>
      </c>
      <c r="R76" s="558">
        <v>0.16824968045502997</v>
      </c>
      <c r="S76" s="558">
        <v>0.03242494899446226</v>
      </c>
      <c r="T76" s="558">
        <v>0.034416593801612744</v>
      </c>
      <c r="U76" s="558">
        <v>0.10444601270289344</v>
      </c>
      <c r="V76" s="559">
        <v>6927.175843694494</v>
      </c>
      <c r="W76" s="558">
        <v>0.02815</v>
      </c>
      <c r="X76" s="559">
        <v>48</v>
      </c>
      <c r="Y76" s="560">
        <v>99.85014087243756</v>
      </c>
      <c r="Z76" s="559">
        <v>41172</v>
      </c>
      <c r="AA76" s="559">
        <v>1335</v>
      </c>
      <c r="AB76" s="559">
        <v>195</v>
      </c>
      <c r="AC76" s="559">
        <v>1417</v>
      </c>
      <c r="AD76" s="559">
        <v>148</v>
      </c>
      <c r="AE76" s="559">
        <v>9</v>
      </c>
      <c r="AF76" s="559">
        <v>4</v>
      </c>
      <c r="AG76" s="559">
        <v>42</v>
      </c>
    </row>
    <row r="77">
      <c r="A77" s="552" t="s">
        <v>1200</v>
      </c>
      <c r="B77" s="552" t="s">
        <v>1155</v>
      </c>
      <c r="C77" s="552" t="s">
        <v>1163</v>
      </c>
      <c r="D77" s="552">
        <v>4</v>
      </c>
      <c r="E77" s="552">
        <v>16</v>
      </c>
      <c r="F77" s="552">
        <v>20</v>
      </c>
      <c r="G77" s="553">
        <v>36527.86</v>
      </c>
      <c r="H77" s="554">
        <v>8494.07</v>
      </c>
      <c r="I77" s="555">
        <f t="shared" si="3"/>
      </c>
      <c r="J77" s="555">
        <f t="shared" si="1"/>
      </c>
      <c r="K77" s="555">
        <f t="shared" si="5"/>
      </c>
      <c r="L77" s="552" t="s">
        <v>1202</v>
      </c>
      <c r="M77" s="552">
        <v>5</v>
      </c>
      <c r="N77" s="553"/>
      <c r="O77" s="553"/>
      <c r="P77" s="553"/>
      <c r="Q77" s="561">
        <v>3.308948188546942</v>
      </c>
      <c r="R77" s="558">
        <v>0.1759594256961447</v>
      </c>
      <c r="S77" s="558">
        <v>0.029697586709549043</v>
      </c>
      <c r="T77" s="558">
        <v>0.031606469376894424</v>
      </c>
      <c r="U77" s="558">
        <v>0.08967789165446559</v>
      </c>
      <c r="V77" s="559">
        <v>15209.580838323356</v>
      </c>
      <c r="W77" s="558">
        <v>0.025049999999999996</v>
      </c>
      <c r="X77" s="559">
        <v>48.5</v>
      </c>
      <c r="Y77" s="560">
        <v>98.26777574677803</v>
      </c>
      <c r="Z77" s="559">
        <v>86438</v>
      </c>
      <c r="AA77" s="559">
        <v>2567</v>
      </c>
      <c r="AB77" s="559">
        <v>381</v>
      </c>
      <c r="AC77" s="559">
        <v>2732</v>
      </c>
      <c r="AD77" s="559">
        <v>245</v>
      </c>
      <c r="AE77" s="559">
        <v>23</v>
      </c>
      <c r="AF77" s="559">
        <v>0</v>
      </c>
      <c r="AG77" s="559">
        <v>72</v>
      </c>
    </row>
    <row r="78">
      <c r="A78" s="552" t="s">
        <v>1200</v>
      </c>
      <c r="B78" s="552" t="s">
        <v>1148</v>
      </c>
      <c r="C78" s="552" t="s">
        <v>1171</v>
      </c>
      <c r="D78" s="552">
        <v>4</v>
      </c>
      <c r="E78" s="552">
        <v>19</v>
      </c>
      <c r="F78" s="552">
        <v>20</v>
      </c>
      <c r="G78" s="553">
        <v>41077.61</v>
      </c>
      <c r="H78" s="554">
        <v>8703.26</v>
      </c>
      <c r="I78" s="555">
        <f t="shared" si="3"/>
      </c>
      <c r="J78" s="555">
        <f t="shared" si="1"/>
      </c>
      <c r="K78" s="555">
        <f t="shared" si="5"/>
      </c>
      <c r="L78" s="552"/>
      <c r="M78" s="552"/>
      <c r="N78" s="553"/>
      <c r="O78" s="553"/>
      <c r="P78" s="553"/>
      <c r="Q78" s="560">
        <v>3.636966151274551</v>
      </c>
      <c r="R78" s="558">
        <v>0.1891598660314166</v>
      </c>
      <c r="S78" s="558">
        <v>0.026188782489740083</v>
      </c>
      <c r="T78" s="558">
        <v>0.027917920656634745</v>
      </c>
      <c r="U78" s="558">
        <v>0.1360250882007056</v>
      </c>
      <c r="V78" s="559">
        <v>17284.482758620692</v>
      </c>
      <c r="W78" s="558">
        <v>0.0232</v>
      </c>
      <c r="X78" s="559">
        <v>49.25</v>
      </c>
      <c r="Y78" s="560">
        <v>95.24771545827633</v>
      </c>
      <c r="Z78" s="559">
        <v>91375</v>
      </c>
      <c r="AA78" s="559">
        <v>2393</v>
      </c>
      <c r="AB78" s="559">
        <v>401</v>
      </c>
      <c r="AC78" s="559">
        <v>2551</v>
      </c>
      <c r="AD78" s="559">
        <v>347</v>
      </c>
      <c r="AE78" s="559">
        <v>20</v>
      </c>
      <c r="AF78" s="559">
        <v>7</v>
      </c>
      <c r="AG78" s="559">
        <v>80</v>
      </c>
    </row>
    <row r="79">
      <c r="A79" s="562" t="s">
        <v>1200</v>
      </c>
      <c r="B79" s="563" t="s">
        <v>1158</v>
      </c>
      <c r="C79" s="563"/>
      <c r="D79" s="563">
        <f>SUM(D75:D78)</f>
      </c>
      <c r="E79" s="563">
        <f>SUM(E75:E78)</f>
      </c>
      <c r="F79" s="563">
        <f>SUM(F75:F78)</f>
      </c>
      <c r="G79" s="563">
        <f>SUM(G75:G78)</f>
      </c>
      <c r="H79" s="563">
        <f>SUM(H75:H78)</f>
      </c>
      <c r="I79" s="564">
        <f t="shared" si="3"/>
      </c>
      <c r="J79" s="564">
        <f t="shared" si="1"/>
      </c>
      <c r="K79" s="564">
        <f t="shared" si="5"/>
      </c>
      <c r="L79" s="563"/>
      <c r="M79" s="565">
        <f>SUM(M75:M78)</f>
      </c>
      <c r="N79" s="563"/>
      <c r="O79" s="563"/>
      <c r="P79" s="563"/>
      <c r="Q79" s="566">
        <f>AVERAGE(Q75:Q78)</f>
      </c>
      <c r="R79" s="567">
        <f>AVERAGE(R75:R78)</f>
      </c>
      <c r="S79" s="567">
        <f>AVERAGE(S75:S78)</f>
      </c>
      <c r="T79" s="567">
        <f>AVERAGE(T75:T78)</f>
      </c>
      <c r="U79" s="567">
        <f>AVERAGE(U75:U78)</f>
      </c>
      <c r="V79" s="568">
        <f>SUM(V75:V78)</f>
      </c>
      <c r="W79" s="567">
        <f>AVERAGE(W75:W78)</f>
      </c>
      <c r="X79" s="568"/>
      <c r="Y79" s="566">
        <f>AVERAGE(Y75:Y78)</f>
      </c>
      <c r="Z79" s="568">
        <f>SUM(Z75:Z78)</f>
      </c>
      <c r="AA79" s="568">
        <f>SUM(AA75:AA78)</f>
      </c>
      <c r="AB79" s="568">
        <f>SUM(AB75:AB78)</f>
      </c>
      <c r="AC79" s="568">
        <f>SUM(AC75:AC78)</f>
      </c>
      <c r="AD79" s="568">
        <f>SUM(AD75:AD78)</f>
      </c>
      <c r="AE79" s="568">
        <f>SUM(AE75:AE78)</f>
      </c>
      <c r="AF79" s="568">
        <f>SUM(AF75:AF78)</f>
      </c>
      <c r="AG79" s="568">
        <f>SUM(AG75:AG78)</f>
      </c>
    </row>
    <row r="80">
      <c r="A80" s="552" t="s">
        <v>1203</v>
      </c>
      <c r="B80" s="552" t="s">
        <v>1148</v>
      </c>
      <c r="C80" s="552" t="s">
        <v>1193</v>
      </c>
      <c r="D80" s="552">
        <v>4</v>
      </c>
      <c r="E80" s="552">
        <v>5</v>
      </c>
      <c r="F80" s="552">
        <v>8</v>
      </c>
      <c r="G80" s="553">
        <v>19221.37</v>
      </c>
      <c r="H80" s="554">
        <v>8494.07</v>
      </c>
      <c r="I80" s="555">
        <f t="shared" si="3"/>
      </c>
      <c r="J80" s="555">
        <f t="shared" si="1"/>
      </c>
      <c r="K80" s="555">
        <f t="shared" si="5"/>
      </c>
      <c r="L80" s="552" t="s">
        <v>1185</v>
      </c>
      <c r="M80" s="556">
        <v>7</v>
      </c>
      <c r="N80" s="553"/>
      <c r="O80" s="553"/>
      <c r="P80" s="553"/>
      <c r="Q80" s="557">
        <v>3.118234214390602</v>
      </c>
      <c r="R80" s="558">
        <v>0.2736811360788587</v>
      </c>
      <c r="S80" s="558">
        <v>0.031758615865317356</v>
      </c>
      <c r="T80" s="558">
        <v>0.03330923844611295</v>
      </c>
      <c r="U80" s="558">
        <v>0.07630381519075954</v>
      </c>
      <c r="V80" s="559">
        <v>23474.17840375587</v>
      </c>
      <c r="W80" s="558">
        <v>0.015975</v>
      </c>
      <c r="X80" s="559">
        <v>35.75</v>
      </c>
      <c r="Y80" s="560">
        <v>99.03080259292076</v>
      </c>
      <c r="Z80" s="559">
        <v>85772</v>
      </c>
      <c r="AA80" s="559">
        <v>2724</v>
      </c>
      <c r="AB80" s="559">
        <v>375</v>
      </c>
      <c r="AC80" s="559">
        <v>2857</v>
      </c>
      <c r="AD80" s="559">
        <v>218</v>
      </c>
      <c r="AE80" s="559">
        <v>17</v>
      </c>
      <c r="AF80" s="559">
        <v>1</v>
      </c>
      <c r="AG80" s="559">
        <v>79</v>
      </c>
    </row>
    <row r="81">
      <c r="A81" s="552" t="s">
        <v>1203</v>
      </c>
      <c r="B81" s="552" t="s">
        <v>1160</v>
      </c>
      <c r="C81" s="552" t="s">
        <v>1194</v>
      </c>
      <c r="D81" s="552">
        <v>4</v>
      </c>
      <c r="E81" s="552">
        <v>7</v>
      </c>
      <c r="F81" s="552">
        <v>9</v>
      </c>
      <c r="G81" s="553">
        <v>24884.18</v>
      </c>
      <c r="H81" s="554">
        <v>8580.289999999999</v>
      </c>
      <c r="I81" s="555">
        <f t="shared" si="3"/>
      </c>
      <c r="J81" s="555">
        <f t="shared" si="1"/>
      </c>
      <c r="K81" s="555">
        <f t="shared" si="5"/>
      </c>
      <c r="L81" s="552"/>
      <c r="M81" s="552"/>
      <c r="N81" s="553"/>
      <c r="O81" s="553"/>
      <c r="P81" s="553"/>
      <c r="Q81" s="561">
        <v>2.8067680732744518</v>
      </c>
      <c r="R81" s="558">
        <v>0.27109558744259965</v>
      </c>
      <c r="S81" s="558">
        <v>0.03739861269130546</v>
      </c>
      <c r="T81" s="558">
        <v>0.03988206652720177</v>
      </c>
      <c r="U81" s="558">
        <v>0.08803680981595093</v>
      </c>
      <c r="V81" s="559">
        <v>22159.62441314554</v>
      </c>
      <c r="W81" s="558">
        <v>0.015975</v>
      </c>
      <c r="X81" s="559">
        <v>36.75</v>
      </c>
      <c r="Y81" s="560">
        <v>104.96923208671289</v>
      </c>
      <c r="Z81" s="559">
        <v>81741</v>
      </c>
      <c r="AA81" s="559">
        <v>3057</v>
      </c>
      <c r="AB81" s="559">
        <v>354</v>
      </c>
      <c r="AC81" s="559">
        <v>3260</v>
      </c>
      <c r="AD81" s="559">
        <v>287</v>
      </c>
      <c r="AE81" s="559">
        <v>27</v>
      </c>
      <c r="AF81" s="559">
        <v>7</v>
      </c>
      <c r="AG81" s="559">
        <v>64</v>
      </c>
    </row>
    <row r="82">
      <c r="A82" s="552" t="s">
        <v>1203</v>
      </c>
      <c r="B82" s="552" t="s">
        <v>1195</v>
      </c>
      <c r="C82" s="552" t="s">
        <v>1152</v>
      </c>
      <c r="D82" s="552">
        <v>3</v>
      </c>
      <c r="E82" s="552">
        <v>9</v>
      </c>
      <c r="F82" s="552">
        <v>11</v>
      </c>
      <c r="G82" s="553">
        <v>21210.63</v>
      </c>
      <c r="H82" s="554">
        <v>5326.469999999999</v>
      </c>
      <c r="I82" s="555">
        <f t="shared" si="3"/>
      </c>
      <c r="J82" s="555">
        <f t="shared" si="1"/>
      </c>
      <c r="K82" s="555">
        <f t="shared" si="5"/>
      </c>
      <c r="N82" s="553"/>
      <c r="O82" s="553"/>
      <c r="P82" s="553"/>
      <c r="Q82" s="561">
        <v>2.9991385135135133</v>
      </c>
      <c r="R82" s="558">
        <v>0.2798491073691925</v>
      </c>
      <c r="S82" s="558">
        <v>0.034174219246089016</v>
      </c>
      <c r="T82" s="558">
        <v>0.03654101483576748</v>
      </c>
      <c r="U82" s="558">
        <v>0.0995260663507109</v>
      </c>
      <c r="V82" s="559">
        <v>14543.478260869566</v>
      </c>
      <c r="W82" s="558">
        <v>0.015333333333333332</v>
      </c>
      <c r="X82" s="559">
        <v>40.666666666666664</v>
      </c>
      <c r="Y82" s="560">
        <v>102.4932171102003</v>
      </c>
      <c r="Z82" s="559">
        <v>51969</v>
      </c>
      <c r="AA82" s="559">
        <v>1776</v>
      </c>
      <c r="AB82" s="559">
        <v>223</v>
      </c>
      <c r="AC82" s="559">
        <v>1899</v>
      </c>
      <c r="AD82" s="559">
        <v>189</v>
      </c>
      <c r="AE82" s="559">
        <v>15</v>
      </c>
      <c r="AF82" s="559">
        <v>5</v>
      </c>
      <c r="AG82" s="559">
        <v>31</v>
      </c>
    </row>
    <row r="83">
      <c r="A83" s="552" t="s">
        <v>1203</v>
      </c>
      <c r="B83" s="552" t="s">
        <v>1155</v>
      </c>
      <c r="C83" s="552" t="s">
        <v>1171</v>
      </c>
      <c r="D83" s="552">
        <v>4</v>
      </c>
      <c r="E83" s="552">
        <v>12</v>
      </c>
      <c r="F83" s="552">
        <v>17</v>
      </c>
      <c r="G83" s="553">
        <v>28401.53</v>
      </c>
      <c r="H83" s="554">
        <v>8498.83</v>
      </c>
      <c r="I83" s="555">
        <f t="shared" si="3"/>
      </c>
      <c r="J83" s="555">
        <f t="shared" si="1"/>
      </c>
      <c r="K83" s="555">
        <f t="shared" si="5"/>
      </c>
      <c r="L83" s="552" t="s">
        <v>1153</v>
      </c>
      <c r="M83" s="552">
        <v>8</v>
      </c>
      <c r="N83" s="553"/>
      <c r="O83" s="553"/>
      <c r="P83" s="553"/>
      <c r="Q83" s="560">
        <v>3.614985112717992</v>
      </c>
      <c r="R83" s="558">
        <v>0.25840675181294465</v>
      </c>
      <c r="S83" s="558">
        <v>0.025755069399559613</v>
      </c>
      <c r="T83" s="558">
        <v>0.027617409594338487</v>
      </c>
      <c r="U83" s="558">
        <v>0.09837366124553748</v>
      </c>
      <c r="V83" s="559">
        <v>23588.143525741027</v>
      </c>
      <c r="W83" s="558">
        <v>0.016025</v>
      </c>
      <c r="X83" s="559">
        <v>44</v>
      </c>
      <c r="Y83" s="560">
        <v>93.10419245642672</v>
      </c>
      <c r="Z83" s="559">
        <v>91283</v>
      </c>
      <c r="AA83" s="559">
        <v>2351</v>
      </c>
      <c r="AB83" s="559">
        <v>378</v>
      </c>
      <c r="AC83" s="559">
        <v>2521</v>
      </c>
      <c r="AD83" s="559">
        <v>248</v>
      </c>
      <c r="AE83" s="559">
        <v>15</v>
      </c>
      <c r="AF83" s="559">
        <v>2</v>
      </c>
      <c r="AG83" s="559">
        <v>67</v>
      </c>
    </row>
    <row r="84">
      <c r="A84" s="562" t="s">
        <v>1203</v>
      </c>
      <c r="B84" s="563" t="s">
        <v>1158</v>
      </c>
      <c r="C84" s="563"/>
      <c r="D84" s="563">
        <f>SUM(D80:D83)</f>
      </c>
      <c r="E84" s="563">
        <f>SUM(E80:E83)</f>
      </c>
      <c r="F84" s="563">
        <f>SUM(F80:F83)</f>
      </c>
      <c r="G84" s="563">
        <f>SUM(G80:G83)</f>
      </c>
      <c r="H84" s="563">
        <f>SUM(H80:H83)</f>
      </c>
      <c r="I84" s="564">
        <f t="shared" si="3"/>
      </c>
      <c r="J84" s="564">
        <f t="shared" si="1"/>
      </c>
      <c r="K84" s="564">
        <f t="shared" si="5"/>
      </c>
      <c r="L84" s="563"/>
      <c r="M84" s="565">
        <f>SUM(M80:M83)</f>
      </c>
      <c r="N84" s="563"/>
      <c r="O84" s="563"/>
      <c r="P84" s="563"/>
      <c r="Q84" s="566">
        <f>AVERAGE(Q80:Q83)</f>
      </c>
      <c r="R84" s="567">
        <f>AVERAGE(R80:R83)</f>
      </c>
      <c r="S84" s="567">
        <f>AVERAGE(S80:S83)</f>
      </c>
      <c r="T84" s="567">
        <f>AVERAGE(T80:T83)</f>
      </c>
      <c r="U84" s="567">
        <f>AVERAGE(U80:U83)</f>
      </c>
      <c r="V84" s="568">
        <f>SUM(V80:V83)</f>
      </c>
      <c r="W84" s="567">
        <f>AVERAGE(W80:W83)</f>
      </c>
      <c r="X84" s="568"/>
      <c r="Y84" s="566">
        <f>AVERAGE(Y80:Y83)</f>
      </c>
      <c r="Z84" s="568">
        <f>SUM(Z80:Z83)</f>
      </c>
      <c r="AA84" s="568">
        <f>SUM(AA80:AA83)</f>
      </c>
      <c r="AB84" s="568">
        <f>SUM(AB80:AB83)</f>
      </c>
      <c r="AC84" s="568">
        <f>SUM(AC80:AC83)</f>
      </c>
      <c r="AD84" s="568">
        <f>SUM(AD80:AD83)</f>
      </c>
      <c r="AE84" s="568">
        <f>SUM(AE80:AE83)</f>
      </c>
      <c r="AF84" s="568">
        <f>SUM(AF80:AF83)</f>
      </c>
      <c r="AG84" s="568">
        <f>SUM(AG80:AG83)</f>
      </c>
    </row>
    <row r="85">
      <c r="A85" s="552" t="s">
        <v>1204</v>
      </c>
      <c r="B85" s="552" t="s">
        <v>1148</v>
      </c>
      <c r="C85" s="552" t="s">
        <v>1193</v>
      </c>
      <c r="D85" s="552">
        <v>4</v>
      </c>
      <c r="E85" s="552">
        <v>10</v>
      </c>
      <c r="F85" s="552">
        <v>10</v>
      </c>
      <c r="G85" s="553">
        <v>20666</v>
      </c>
      <c r="H85" s="554">
        <v>8109.35</v>
      </c>
      <c r="I85" s="555">
        <f t="shared" si="3"/>
      </c>
      <c r="J85" s="555">
        <f t="shared" si="1"/>
      </c>
      <c r="K85" s="555">
        <f t="shared" si="5"/>
      </c>
      <c r="L85" s="552" t="s">
        <v>1157</v>
      </c>
      <c r="M85" s="556">
        <v>7</v>
      </c>
      <c r="N85" s="553"/>
      <c r="O85" s="553"/>
      <c r="P85" s="553"/>
      <c r="Q85" s="557">
        <v>3.034936377245509</v>
      </c>
      <c r="R85" s="558">
        <v>0.2896998761015709</v>
      </c>
      <c r="S85" s="558">
        <v>0.031792492117318105</v>
      </c>
      <c r="T85" s="558">
        <v>0.03338687607829139</v>
      </c>
      <c r="U85" s="558">
        <v>0.07911617961511047</v>
      </c>
      <c r="V85" s="559">
        <v>24347.826086956524</v>
      </c>
      <c r="W85" s="558">
        <v>0.0138</v>
      </c>
      <c r="X85" s="559">
        <v>31.25</v>
      </c>
      <c r="Y85" s="560">
        <v>96.4881908501398</v>
      </c>
      <c r="Z85" s="559">
        <v>84045</v>
      </c>
      <c r="AA85" s="559">
        <v>2672</v>
      </c>
      <c r="AB85" s="559">
        <v>336</v>
      </c>
      <c r="AC85" s="559">
        <v>2806</v>
      </c>
      <c r="AD85" s="559">
        <v>222</v>
      </c>
      <c r="AE85" s="559">
        <v>16</v>
      </c>
      <c r="AF85" s="559">
        <v>4</v>
      </c>
      <c r="AG85" s="559">
        <v>39</v>
      </c>
    </row>
    <row r="86">
      <c r="A86" s="552" t="s">
        <v>1204</v>
      </c>
      <c r="B86" s="552" t="s">
        <v>1160</v>
      </c>
      <c r="C86" s="552" t="s">
        <v>1194</v>
      </c>
      <c r="D86" s="552">
        <v>4</v>
      </c>
      <c r="E86" s="552">
        <v>10</v>
      </c>
      <c r="F86" s="552">
        <v>15</v>
      </c>
      <c r="G86" s="553">
        <v>29374.53</v>
      </c>
      <c r="H86" s="554">
        <v>8766.89</v>
      </c>
      <c r="I86" s="555">
        <f t="shared" si="3"/>
      </c>
      <c r="J86" s="555">
        <f t="shared" si="1"/>
      </c>
      <c r="K86" s="555">
        <f t="shared" si="5"/>
      </c>
      <c r="L86" s="552"/>
      <c r="M86" s="552"/>
      <c r="N86" s="553"/>
      <c r="O86" s="553"/>
      <c r="P86" s="553"/>
      <c r="Q86" s="561">
        <v>2.3681496488384655</v>
      </c>
      <c r="R86" s="558">
        <v>0.25660742903035694</v>
      </c>
      <c r="S86" s="558">
        <v>0.03527427607695166</v>
      </c>
      <c r="T86" s="558">
        <v>0.0379041248606466</v>
      </c>
      <c r="U86" s="558">
        <v>0.05706385118149824</v>
      </c>
      <c r="V86" s="559">
        <v>26930.69306930693</v>
      </c>
      <c r="W86" s="558">
        <v>0.01515</v>
      </c>
      <c r="X86" s="559">
        <v>36.5</v>
      </c>
      <c r="Y86" s="560">
        <v>83.53476450466417</v>
      </c>
      <c r="Z86" s="559">
        <v>104949</v>
      </c>
      <c r="AA86" s="559">
        <v>3702</v>
      </c>
      <c r="AB86" s="559">
        <v>408</v>
      </c>
      <c r="AC86" s="559">
        <v>3978</v>
      </c>
      <c r="AD86" s="559">
        <v>227</v>
      </c>
      <c r="AE86" s="559">
        <v>14</v>
      </c>
      <c r="AF86" s="559">
        <v>8</v>
      </c>
      <c r="AG86" s="559">
        <v>53</v>
      </c>
    </row>
    <row r="87">
      <c r="A87" s="552" t="s">
        <v>1204</v>
      </c>
      <c r="B87" s="552" t="s">
        <v>1195</v>
      </c>
      <c r="C87" s="552" t="s">
        <v>1152</v>
      </c>
      <c r="D87" s="552">
        <v>3</v>
      </c>
      <c r="E87" s="552">
        <v>7</v>
      </c>
      <c r="F87" s="552">
        <v>8</v>
      </c>
      <c r="G87" s="553">
        <v>18712.99</v>
      </c>
      <c r="H87" s="554">
        <v>6203.76</v>
      </c>
      <c r="I87" s="555">
        <f t="shared" si="3"/>
      </c>
      <c r="J87" s="555">
        <f t="shared" si="1"/>
      </c>
      <c r="K87" s="555">
        <f t="shared" si="5"/>
      </c>
      <c r="N87" s="553"/>
      <c r="O87" s="553"/>
      <c r="P87" s="553"/>
      <c r="Q87" s="561">
        <v>2.62871186440678</v>
      </c>
      <c r="R87" s="558">
        <v>0.2533768048439683</v>
      </c>
      <c r="S87" s="558">
        <v>0.03312280701754386</v>
      </c>
      <c r="T87" s="558">
        <v>0.035256140350877194</v>
      </c>
      <c r="U87" s="558">
        <v>0.08479299363057324</v>
      </c>
      <c r="V87" s="559">
        <v>18053.09734513274</v>
      </c>
      <c r="W87" s="558">
        <v>0.015066666666666667</v>
      </c>
      <c r="X87" s="559">
        <v>37.666666666666664</v>
      </c>
      <c r="Y87" s="560">
        <v>87.0703157894737</v>
      </c>
      <c r="Z87" s="559">
        <v>71250</v>
      </c>
      <c r="AA87" s="559">
        <v>2360</v>
      </c>
      <c r="AB87" s="559">
        <v>272</v>
      </c>
      <c r="AC87" s="559">
        <v>2512</v>
      </c>
      <c r="AD87" s="559">
        <v>213</v>
      </c>
      <c r="AE87" s="559">
        <v>19</v>
      </c>
      <c r="AF87" s="559">
        <v>3</v>
      </c>
      <c r="AG87" s="559">
        <v>51</v>
      </c>
    </row>
    <row r="88">
      <c r="A88" s="552" t="s">
        <v>1204</v>
      </c>
      <c r="B88" s="552" t="s">
        <v>1155</v>
      </c>
      <c r="C88" s="552" t="s">
        <v>1171</v>
      </c>
      <c r="D88" s="552">
        <v>4</v>
      </c>
      <c r="E88" s="552">
        <v>14</v>
      </c>
      <c r="F88" s="552">
        <v>14</v>
      </c>
      <c r="G88" s="553">
        <v>30340.35</v>
      </c>
      <c r="H88" s="554">
        <v>8210.36</v>
      </c>
      <c r="I88" s="555">
        <f t="shared" si="3"/>
      </c>
      <c r="J88" s="555">
        <f t="shared" si="1"/>
      </c>
      <c r="K88" s="555">
        <f t="shared" si="5"/>
      </c>
      <c r="L88" s="552" t="s">
        <v>1153</v>
      </c>
      <c r="M88" s="552">
        <v>8</v>
      </c>
      <c r="N88" s="553"/>
      <c r="O88" s="553"/>
      <c r="P88" s="553"/>
      <c r="Q88" s="560">
        <v>2.758857526881721</v>
      </c>
      <c r="R88" s="558">
        <v>0.26279313264575255</v>
      </c>
      <c r="S88" s="558">
        <v>0.029396076572038167</v>
      </c>
      <c r="T88" s="558">
        <v>0.03129259764120192</v>
      </c>
      <c r="U88" s="558">
        <v>0.10101010101010101</v>
      </c>
      <c r="V88" s="559">
        <v>26604.6511627907</v>
      </c>
      <c r="W88" s="558">
        <v>0.016125</v>
      </c>
      <c r="X88" s="559">
        <v>38.5</v>
      </c>
      <c r="Y88" s="560">
        <v>81.0995871115589</v>
      </c>
      <c r="Z88" s="559">
        <v>101238</v>
      </c>
      <c r="AA88" s="559">
        <v>2976</v>
      </c>
      <c r="AB88" s="559">
        <v>429</v>
      </c>
      <c r="AC88" s="559">
        <v>3168</v>
      </c>
      <c r="AD88" s="559">
        <v>320</v>
      </c>
      <c r="AE88" s="559">
        <v>25</v>
      </c>
      <c r="AF88" s="559">
        <v>1</v>
      </c>
      <c r="AG88" s="559">
        <v>57</v>
      </c>
    </row>
    <row r="89">
      <c r="A89" s="562" t="s">
        <v>1204</v>
      </c>
      <c r="B89" s="563" t="s">
        <v>1158</v>
      </c>
      <c r="C89" s="563"/>
      <c r="D89" s="563">
        <f>SUM(D85:D88)</f>
      </c>
      <c r="E89" s="563">
        <f>SUM(E85:E88)</f>
      </c>
      <c r="F89" s="563">
        <f>SUM(F85:F88)</f>
      </c>
      <c r="G89" s="563">
        <f>SUM(G85:G88)</f>
      </c>
      <c r="H89" s="563">
        <f>SUM(H85:H88)</f>
      </c>
      <c r="I89" s="564">
        <f t="shared" si="3"/>
      </c>
      <c r="J89" s="564">
        <f t="shared" si="1"/>
      </c>
      <c r="K89" s="564">
        <f t="shared" si="5"/>
      </c>
      <c r="L89" s="563"/>
      <c r="M89" s="565">
        <f>SUM(M85:M88)</f>
      </c>
      <c r="N89" s="563"/>
      <c r="O89" s="563"/>
      <c r="P89" s="563"/>
      <c r="Q89" s="566">
        <f>AVERAGE(Q85:Q88)</f>
      </c>
      <c r="R89" s="567">
        <f>AVERAGE(R85:R88)</f>
      </c>
      <c r="S89" s="567">
        <f>AVERAGE(S85:S88)</f>
      </c>
      <c r="T89" s="567">
        <f>AVERAGE(T85:T88)</f>
      </c>
      <c r="U89" s="567">
        <f>AVERAGE(U85:U88)</f>
      </c>
      <c r="V89" s="568">
        <f>SUM(V85:V88)</f>
      </c>
      <c r="W89" s="567">
        <f>AVERAGE(W85:W88)</f>
      </c>
      <c r="X89" s="568"/>
      <c r="Y89" s="566">
        <f>AVERAGE(Y85:Y88)</f>
      </c>
      <c r="Z89" s="568">
        <f>SUM(Z85:Z88)</f>
      </c>
      <c r="AA89" s="568">
        <f>SUM(AA85:AA88)</f>
      </c>
      <c r="AB89" s="568">
        <f>SUM(AB85:AB88)</f>
      </c>
      <c r="AC89" s="568">
        <f>SUM(AC85:AC88)</f>
      </c>
      <c r="AD89" s="568">
        <f>SUM(AD85:AD88)</f>
      </c>
      <c r="AE89" s="568">
        <f>SUM(AE85:AE88)</f>
      </c>
      <c r="AF89" s="568">
        <f>SUM(AF85:AF88)</f>
      </c>
      <c r="AG89" s="568">
        <f>SUM(AG85:AG88)</f>
      </c>
    </row>
    <row r="90">
      <c r="A90" s="552" t="s">
        <v>1205</v>
      </c>
      <c r="B90" s="552" t="s">
        <v>1160</v>
      </c>
      <c r="C90" s="552" t="s">
        <v>1193</v>
      </c>
      <c r="D90" s="552">
        <v>4</v>
      </c>
      <c r="E90" s="552">
        <v>10</v>
      </c>
      <c r="F90" s="552">
        <v>12</v>
      </c>
      <c r="G90" s="553">
        <v>24654.12</v>
      </c>
      <c r="H90" s="554">
        <v>8351.7</v>
      </c>
      <c r="I90" s="555">
        <f t="shared" si="3"/>
      </c>
      <c r="J90" s="555">
        <f t="shared" si="1"/>
      </c>
      <c r="K90" s="555">
        <f t="shared" si="5"/>
      </c>
      <c r="L90" s="552" t="s">
        <v>1157</v>
      </c>
      <c r="M90" s="556">
        <v>7</v>
      </c>
      <c r="N90" s="553"/>
      <c r="O90" s="553"/>
      <c r="P90" s="553"/>
      <c r="Q90" s="557">
        <v>2.961595744680851</v>
      </c>
      <c r="R90" s="558">
        <v>0.28208107013581424</v>
      </c>
      <c r="S90" s="558">
        <v>0.028679813276109307</v>
      </c>
      <c r="T90" s="558">
        <v>0.03019516511232927</v>
      </c>
      <c r="U90" s="558">
        <v>0.09262377905018525</v>
      </c>
      <c r="V90" s="559">
        <v>27736.185383244207</v>
      </c>
      <c r="W90" s="558">
        <v>0.014025</v>
      </c>
      <c r="X90" s="559">
        <v>36.5</v>
      </c>
      <c r="Y90" s="560">
        <v>84.93801295676671</v>
      </c>
      <c r="Z90" s="559">
        <v>98327</v>
      </c>
      <c r="AA90" s="559">
        <v>2820</v>
      </c>
      <c r="AB90" s="559">
        <v>389</v>
      </c>
      <c r="AC90" s="559">
        <v>2969</v>
      </c>
      <c r="AD90" s="559">
        <v>275</v>
      </c>
      <c r="AE90" s="559">
        <v>23</v>
      </c>
      <c r="AF90" s="559">
        <v>4</v>
      </c>
      <c r="AG90" s="559">
        <v>67</v>
      </c>
    </row>
    <row r="91">
      <c r="A91" s="552" t="s">
        <v>1205</v>
      </c>
      <c r="B91" s="552" t="s">
        <v>1195</v>
      </c>
      <c r="C91" s="552" t="s">
        <v>1206</v>
      </c>
      <c r="D91" s="552">
        <v>3</v>
      </c>
      <c r="E91" s="552">
        <v>6</v>
      </c>
      <c r="F91" s="552">
        <v>7</v>
      </c>
      <c r="G91" s="553">
        <v>16499.35</v>
      </c>
      <c r="H91" s="554">
        <v>6336.929999999999</v>
      </c>
      <c r="I91" s="555">
        <f t="shared" si="3"/>
      </c>
      <c r="J91" s="555">
        <f t="shared" si="1"/>
      </c>
      <c r="K91" s="555">
        <f t="shared" si="5"/>
      </c>
      <c r="L91" s="552"/>
      <c r="M91" s="552"/>
      <c r="N91" s="553"/>
      <c r="O91" s="553"/>
      <c r="P91" s="553"/>
      <c r="Q91" s="561">
        <v>3.2970499479708635</v>
      </c>
      <c r="R91" s="558">
        <v>0.280630327246493</v>
      </c>
      <c r="S91" s="558">
        <v>0.02666555675795666</v>
      </c>
      <c r="T91" s="558">
        <v>0.027706096173589722</v>
      </c>
      <c r="U91" s="558">
        <v>0.10365548322483725</v>
      </c>
      <c r="V91" s="559">
        <v>20227.272727272724</v>
      </c>
      <c r="W91" s="558">
        <v>0.013200000000000002</v>
      </c>
      <c r="X91" s="559">
        <v>43</v>
      </c>
      <c r="Y91" s="560">
        <v>87.91767252143511</v>
      </c>
      <c r="Z91" s="559">
        <v>72078</v>
      </c>
      <c r="AA91" s="559">
        <v>1922</v>
      </c>
      <c r="AB91" s="559">
        <v>267</v>
      </c>
      <c r="AC91" s="559">
        <v>1997</v>
      </c>
      <c r="AD91" s="559">
        <v>207</v>
      </c>
      <c r="AE91" s="559">
        <v>19</v>
      </c>
      <c r="AF91" s="559">
        <v>5</v>
      </c>
      <c r="AG91" s="559">
        <v>40</v>
      </c>
    </row>
    <row r="92">
      <c r="A92" s="552" t="s">
        <v>1205</v>
      </c>
      <c r="B92" s="552" t="s">
        <v>1155</v>
      </c>
      <c r="C92" s="552" t="s">
        <v>1163</v>
      </c>
      <c r="D92" s="552">
        <v>4</v>
      </c>
      <c r="E92" s="552">
        <v>4</v>
      </c>
      <c r="F92" s="552">
        <v>5</v>
      </c>
      <c r="G92" s="553">
        <v>11074.64</v>
      </c>
      <c r="H92" s="554">
        <v>8684.859999999999</v>
      </c>
      <c r="I92" s="555">
        <f t="shared" si="3"/>
      </c>
      <c r="J92" s="555">
        <f t="shared" si="1"/>
      </c>
      <c r="K92" s="555">
        <f t="shared" si="5"/>
      </c>
      <c r="L92" s="552" t="s">
        <v>1153</v>
      </c>
      <c r="M92" s="574">
        <v>5</v>
      </c>
      <c r="N92" s="553"/>
      <c r="O92" s="553"/>
      <c r="P92" s="553"/>
      <c r="Q92" s="561">
        <v>3.292213798332069</v>
      </c>
      <c r="R92" s="558">
        <v>0.2608335852564545</v>
      </c>
      <c r="S92" s="558">
        <v>0.028206965131571914</v>
      </c>
      <c r="T92" s="558">
        <v>0.030142317932487197</v>
      </c>
      <c r="U92" s="558">
        <v>0.07059240865555161</v>
      </c>
      <c r="V92" s="559">
        <v>24393.939393939396</v>
      </c>
      <c r="W92" s="558">
        <v>0.0132</v>
      </c>
      <c r="X92" s="559">
        <v>42.75</v>
      </c>
      <c r="Y92" s="560">
        <v>92.86335981523261</v>
      </c>
      <c r="Z92" s="559">
        <v>93523</v>
      </c>
      <c r="AA92" s="559">
        <v>2638</v>
      </c>
      <c r="AB92" s="559">
        <v>322</v>
      </c>
      <c r="AC92" s="559">
        <v>2819</v>
      </c>
      <c r="AD92" s="559">
        <v>199</v>
      </c>
      <c r="AE92" s="559">
        <v>19</v>
      </c>
      <c r="AF92" s="559">
        <v>7</v>
      </c>
      <c r="AG92" s="559">
        <v>57</v>
      </c>
    </row>
    <row r="93">
      <c r="A93" s="552" t="s">
        <v>1205</v>
      </c>
      <c r="B93" s="552" t="s">
        <v>1148</v>
      </c>
      <c r="C93" s="552" t="s">
        <v>1171</v>
      </c>
      <c r="D93" s="552">
        <v>4</v>
      </c>
      <c r="E93" s="552">
        <v>17</v>
      </c>
      <c r="F93" s="552">
        <v>18</v>
      </c>
      <c r="G93" s="553">
        <v>36369.71</v>
      </c>
      <c r="H93" s="554">
        <v>9081.380000000001</v>
      </c>
      <c r="I93" s="555">
        <f t="shared" si="3"/>
      </c>
      <c r="J93" s="555">
        <f t="shared" si="1"/>
      </c>
      <c r="K93" s="555">
        <f t="shared" si="5"/>
      </c>
      <c r="L93" s="552" t="s">
        <v>1191</v>
      </c>
      <c r="M93" s="552">
        <v>3</v>
      </c>
      <c r="N93" s="553"/>
      <c r="O93" s="553"/>
      <c r="P93" s="553"/>
      <c r="Q93" s="560">
        <v>3.227213930348259</v>
      </c>
      <c r="R93" s="558">
        <v>0.2700155174060489</v>
      </c>
      <c r="S93" s="558">
        <v>0.028547660593271924</v>
      </c>
      <c r="T93" s="558">
        <v>0.030008521689729336</v>
      </c>
      <c r="U93" s="558">
        <v>0.10446247464503043</v>
      </c>
      <c r="V93" s="559">
        <v>26615.969581749054</v>
      </c>
      <c r="W93" s="558">
        <v>0.013149999999999998</v>
      </c>
      <c r="X93" s="559">
        <v>43</v>
      </c>
      <c r="Y93" s="560">
        <v>92.1294079454612</v>
      </c>
      <c r="Z93" s="559">
        <v>98572</v>
      </c>
      <c r="AA93" s="559">
        <v>2814</v>
      </c>
      <c r="AB93" s="559">
        <v>350</v>
      </c>
      <c r="AC93" s="559">
        <v>2958</v>
      </c>
      <c r="AD93" s="559">
        <v>309</v>
      </c>
      <c r="AE93" s="559">
        <v>21</v>
      </c>
      <c r="AF93" s="559">
        <v>4</v>
      </c>
      <c r="AG93" s="559">
        <v>48</v>
      </c>
    </row>
    <row r="94">
      <c r="A94" s="562" t="s">
        <v>1205</v>
      </c>
      <c r="B94" s="563" t="s">
        <v>1158</v>
      </c>
      <c r="C94" s="563"/>
      <c r="D94" s="563">
        <f>SUM(D90:D93)</f>
      </c>
      <c r="E94" s="563">
        <f>SUM(E90:E93)</f>
      </c>
      <c r="F94" s="563">
        <f>SUM(F90:F93)</f>
      </c>
      <c r="G94" s="563">
        <f>SUM(G90:G93)</f>
      </c>
      <c r="H94" s="563">
        <f>SUM(H90:H93)</f>
      </c>
      <c r="I94" s="564">
        <f t="shared" si="3"/>
      </c>
      <c r="J94" s="564">
        <f t="shared" si="1"/>
      </c>
      <c r="K94" s="564">
        <f t="shared" si="5"/>
      </c>
      <c r="L94" s="563"/>
      <c r="M94" s="565">
        <f>SUM(M90:M93)</f>
      </c>
      <c r="N94" s="563"/>
      <c r="O94" s="563"/>
      <c r="P94" s="563"/>
      <c r="Q94" s="566">
        <f>AVERAGE(Q90:Q93)</f>
      </c>
      <c r="R94" s="567">
        <f>AVERAGE(R90:R93)</f>
      </c>
      <c r="S94" s="567">
        <f>AVERAGE(S90:S93)</f>
      </c>
      <c r="T94" s="567">
        <f>AVERAGE(T90:T93)</f>
      </c>
      <c r="U94" s="567">
        <f>AVERAGE(U90:U93)</f>
      </c>
      <c r="V94" s="568">
        <f>SUM(V90:V93)</f>
      </c>
      <c r="W94" s="567">
        <f>AVERAGE(W90:W93)</f>
      </c>
      <c r="X94" s="568"/>
      <c r="Y94" s="566">
        <f>AVERAGE(Y90:Y93)</f>
      </c>
      <c r="Z94" s="568">
        <f>SUM(Z90:Z93)</f>
      </c>
      <c r="AA94" s="568">
        <f>SUM(AA90:AA93)</f>
      </c>
      <c r="AB94" s="568">
        <f>SUM(AB90:AB93)</f>
      </c>
      <c r="AC94" s="568">
        <f>SUM(AC90:AC93)</f>
      </c>
      <c r="AD94" s="568">
        <f>SUM(AD90:AD93)</f>
      </c>
      <c r="AE94" s="568">
        <f>SUM(AE90:AE93)</f>
      </c>
      <c r="AF94" s="568">
        <f>SUM(AF90:AF93)</f>
      </c>
      <c r="AG94" s="568">
        <f>SUM(AG90:AG93)</f>
      </c>
    </row>
    <row r="95">
      <c r="A95" s="552" t="s">
        <v>1207</v>
      </c>
      <c r="B95" s="552" t="s">
        <v>1160</v>
      </c>
      <c r="C95" s="552" t="s">
        <v>1193</v>
      </c>
      <c r="D95" s="552">
        <v>4</v>
      </c>
      <c r="E95" s="552">
        <v>10</v>
      </c>
      <c r="F95" s="552">
        <v>14</v>
      </c>
      <c r="G95" s="553">
        <v>32489.63</v>
      </c>
      <c r="H95" s="554">
        <v>8759.14</v>
      </c>
      <c r="I95" s="555">
        <f t="shared" si="3"/>
      </c>
      <c r="J95" s="555">
        <f t="shared" si="1"/>
      </c>
      <c r="K95" s="555">
        <f t="shared" si="5"/>
      </c>
      <c r="L95" s="552" t="s">
        <v>1157</v>
      </c>
      <c r="M95" s="556">
        <v>7</v>
      </c>
      <c r="N95" s="553"/>
      <c r="O95" s="553"/>
      <c r="P95" s="553"/>
      <c r="Q95" s="557">
        <v>3.297868975903614</v>
      </c>
      <c r="R95" s="558">
        <v>0.26587619739012636</v>
      </c>
      <c r="S95" s="558">
        <v>0.03300814018517368</v>
      </c>
      <c r="T95" s="558">
        <v>0.035120860001242774</v>
      </c>
      <c r="U95" s="558">
        <v>0.06723283793347487</v>
      </c>
      <c r="V95" s="559">
        <v>21393.728222996517</v>
      </c>
      <c r="W95" s="558">
        <v>0.01435</v>
      </c>
      <c r="X95" s="559">
        <v>42.25</v>
      </c>
      <c r="Y95" s="560">
        <v>108.85652146896166</v>
      </c>
      <c r="Z95" s="559">
        <v>80465</v>
      </c>
      <c r="AA95" s="559">
        <v>2656</v>
      </c>
      <c r="AB95" s="559">
        <v>307</v>
      </c>
      <c r="AC95" s="559">
        <v>2826</v>
      </c>
      <c r="AD95" s="559">
        <v>190</v>
      </c>
      <c r="AE95" s="559">
        <v>18</v>
      </c>
      <c r="AF95" s="559">
        <v>7</v>
      </c>
      <c r="AG95" s="559">
        <v>61</v>
      </c>
    </row>
    <row r="96">
      <c r="A96" s="552" t="s">
        <v>1207</v>
      </c>
      <c r="B96" s="552" t="s">
        <v>1195</v>
      </c>
      <c r="C96" s="552" t="s">
        <v>1206</v>
      </c>
      <c r="D96" s="552">
        <v>3</v>
      </c>
      <c r="E96" s="552">
        <v>5</v>
      </c>
      <c r="F96" s="552">
        <v>5</v>
      </c>
      <c r="G96" s="553">
        <v>12213.64</v>
      </c>
      <c r="H96" s="554">
        <v>6657.88</v>
      </c>
      <c r="I96" s="555">
        <f t="shared" si="3"/>
      </c>
      <c r="J96" s="555">
        <f t="shared" si="1"/>
      </c>
      <c r="K96" s="555">
        <f t="shared" si="5"/>
      </c>
      <c r="L96" s="552"/>
      <c r="M96" s="552"/>
      <c r="N96" s="553"/>
      <c r="O96" s="553"/>
      <c r="P96" s="553"/>
      <c r="Q96" s="561">
        <v>2.7706533499791925</v>
      </c>
      <c r="R96" s="558">
        <v>0.2705470044203218</v>
      </c>
      <c r="S96" s="558">
        <v>0.03448028468116857</v>
      </c>
      <c r="T96" s="558">
        <v>0.03643172817540033</v>
      </c>
      <c r="U96" s="558">
        <v>0.05553367467506892</v>
      </c>
      <c r="V96" s="559">
        <v>18854.961832061068</v>
      </c>
      <c r="W96" s="558">
        <v>0.0131</v>
      </c>
      <c r="X96" s="559">
        <v>40.666666666666664</v>
      </c>
      <c r="Y96" s="560">
        <v>95.53291626011594</v>
      </c>
      <c r="Z96" s="559">
        <v>69692</v>
      </c>
      <c r="AA96" s="559">
        <v>2403</v>
      </c>
      <c r="AB96" s="559">
        <v>247</v>
      </c>
      <c r="AC96" s="559">
        <v>2539</v>
      </c>
      <c r="AD96" s="559">
        <v>141</v>
      </c>
      <c r="AE96" s="559">
        <v>8</v>
      </c>
      <c r="AF96" s="559">
        <v>6</v>
      </c>
      <c r="AG96" s="559">
        <v>42</v>
      </c>
    </row>
    <row r="97">
      <c r="A97" s="552" t="s">
        <v>1207</v>
      </c>
      <c r="B97" s="552" t="s">
        <v>1155</v>
      </c>
      <c r="C97" s="552" t="s">
        <v>1163</v>
      </c>
      <c r="D97" s="552">
        <v>4</v>
      </c>
      <c r="E97" s="552">
        <v>7</v>
      </c>
      <c r="F97" s="552">
        <v>7</v>
      </c>
      <c r="G97" s="553">
        <v>12907.27</v>
      </c>
      <c r="H97" s="554">
        <v>8324.8</v>
      </c>
      <c r="I97" s="555">
        <f t="shared" si="3"/>
      </c>
      <c r="J97" s="555">
        <f t="shared" si="1"/>
      </c>
      <c r="K97" s="555">
        <f t="shared" si="5"/>
      </c>
      <c r="L97" s="552" t="s">
        <v>1153</v>
      </c>
      <c r="M97" s="574">
        <v>5</v>
      </c>
      <c r="N97" s="553"/>
      <c r="O97" s="553"/>
      <c r="P97" s="553"/>
      <c r="Q97" s="561">
        <v>3.0821177341725283</v>
      </c>
      <c r="R97" s="558">
        <v>0.24398181994033433</v>
      </c>
      <c r="S97" s="558">
        <v>0.0360985258543496</v>
      </c>
      <c r="T97" s="558">
        <v>0.03890514948612058</v>
      </c>
      <c r="U97" s="558">
        <v>0.08519409137753349</v>
      </c>
      <c r="V97" s="559">
        <v>18255.451713395636</v>
      </c>
      <c r="W97" s="558">
        <v>0.016050000000000002</v>
      </c>
      <c r="X97" s="559">
        <v>39.75</v>
      </c>
      <c r="Y97" s="560">
        <v>111.25990671317642</v>
      </c>
      <c r="Z97" s="559">
        <v>74823</v>
      </c>
      <c r="AA97" s="559">
        <v>2701</v>
      </c>
      <c r="AB97" s="559">
        <v>293</v>
      </c>
      <c r="AC97" s="559">
        <v>2911</v>
      </c>
      <c r="AD97" s="559">
        <v>248</v>
      </c>
      <c r="AE97" s="559">
        <v>27</v>
      </c>
      <c r="AF97" s="559">
        <v>3</v>
      </c>
      <c r="AG97" s="559">
        <v>35</v>
      </c>
    </row>
    <row r="98">
      <c r="A98" s="552" t="s">
        <v>1207</v>
      </c>
      <c r="B98" s="552" t="s">
        <v>1148</v>
      </c>
      <c r="C98" s="552" t="s">
        <v>1171</v>
      </c>
      <c r="D98" s="552">
        <v>4</v>
      </c>
      <c r="E98" s="552">
        <v>4</v>
      </c>
      <c r="F98" s="552">
        <v>8</v>
      </c>
      <c r="G98" s="553">
        <v>16589.44</v>
      </c>
      <c r="H98" s="554">
        <v>8331.48</v>
      </c>
      <c r="I98" s="555">
        <f t="shared" si="3"/>
      </c>
      <c r="J98" s="555">
        <f t="shared" si="1"/>
      </c>
      <c r="K98" s="555">
        <f t="shared" si="5"/>
      </c>
      <c r="L98" s="552" t="s">
        <v>1191</v>
      </c>
      <c r="M98" s="552">
        <v>3</v>
      </c>
      <c r="N98" s="553"/>
      <c r="O98" s="553"/>
      <c r="P98" s="553"/>
      <c r="Q98" s="560">
        <v>4.712375565610859</v>
      </c>
      <c r="R98" s="558">
        <v>0.32521447253359786</v>
      </c>
      <c r="S98" s="558">
        <v>0.02431811617127216</v>
      </c>
      <c r="T98" s="558">
        <v>0.02606494917678775</v>
      </c>
      <c r="U98" s="558">
        <v>0.13139841688654352</v>
      </c>
      <c r="V98" s="559">
        <v>23644.067796610165</v>
      </c>
      <c r="W98" s="558">
        <v>0.011800000000000001</v>
      </c>
      <c r="X98" s="559">
        <v>40.5</v>
      </c>
      <c r="Y98" s="560">
        <v>114.59609644718924</v>
      </c>
      <c r="Z98" s="559">
        <v>72703</v>
      </c>
      <c r="AA98" s="559">
        <v>1768</v>
      </c>
      <c r="AB98" s="559">
        <v>279</v>
      </c>
      <c r="AC98" s="559">
        <v>1895</v>
      </c>
      <c r="AD98" s="559">
        <v>249</v>
      </c>
      <c r="AE98" s="559">
        <v>19</v>
      </c>
      <c r="AF98" s="559">
        <v>2</v>
      </c>
      <c r="AG98" s="559">
        <v>38</v>
      </c>
    </row>
    <row r="99">
      <c r="A99" s="562" t="s">
        <v>1207</v>
      </c>
      <c r="B99" s="563" t="s">
        <v>1158</v>
      </c>
      <c r="C99" s="563"/>
      <c r="D99" s="563">
        <f>SUM(D95:D98)</f>
      </c>
      <c r="E99" s="563">
        <f>SUM(E95:E98)</f>
      </c>
      <c r="F99" s="563">
        <f>SUM(F95:F98)</f>
      </c>
      <c r="G99" s="563">
        <f>SUM(G95:G98)</f>
      </c>
      <c r="H99" s="563">
        <f>SUM(H95:H98)</f>
      </c>
      <c r="I99" s="564">
        <f t="shared" si="3"/>
      </c>
      <c r="J99" s="564">
        <f t="shared" si="1"/>
      </c>
      <c r="K99" s="564">
        <f t="shared" si="5"/>
      </c>
      <c r="L99" s="563"/>
      <c r="M99" s="565">
        <f>SUM(M95:M98)</f>
      </c>
      <c r="N99" s="563"/>
      <c r="O99" s="563"/>
      <c r="P99" s="563"/>
      <c r="Q99" s="566">
        <f>AVERAGE(Q95:Q98)</f>
      </c>
      <c r="R99" s="567">
        <f>AVERAGE(R95:R98)</f>
      </c>
      <c r="S99" s="567">
        <f>AVERAGE(S95:S98)</f>
      </c>
      <c r="T99" s="567">
        <f>AVERAGE(T95:T98)</f>
      </c>
      <c r="U99" s="567">
        <f>AVERAGE(U95:U98)</f>
      </c>
      <c r="V99" s="568">
        <f>SUM(V95:V98)</f>
      </c>
      <c r="W99" s="567">
        <f>AVERAGE(W95:W98)</f>
      </c>
      <c r="X99" s="568"/>
      <c r="Y99" s="566">
        <f>AVERAGE(Y95:Y98)</f>
      </c>
      <c r="Z99" s="568">
        <f>SUM(Z95:Z98)</f>
      </c>
      <c r="AA99" s="568">
        <f>SUM(AA95:AA98)</f>
      </c>
      <c r="AB99" s="568">
        <f>SUM(AB95:AB98)</f>
      </c>
      <c r="AC99" s="568">
        <f>SUM(AC95:AC98)</f>
      </c>
      <c r="AD99" s="568">
        <f>SUM(AD95:AD98)</f>
      </c>
      <c r="AE99" s="568">
        <f>SUM(AE95:AE98)</f>
      </c>
      <c r="AF99" s="568">
        <f>SUM(AF95:AF98)</f>
      </c>
      <c r="AG99" s="568">
        <f>SUM(AG95:AG98)</f>
      </c>
    </row>
    <row r="100">
      <c r="A100" s="552" t="s">
        <v>1208</v>
      </c>
      <c r="B100" s="552" t="s">
        <v>1160</v>
      </c>
      <c r="C100" s="552" t="s">
        <v>1193</v>
      </c>
      <c r="D100" s="552">
        <v>4</v>
      </c>
      <c r="E100" s="552">
        <v>12</v>
      </c>
      <c r="F100" s="552">
        <v>13</v>
      </c>
      <c r="G100" s="553">
        <v>28298.45</v>
      </c>
      <c r="H100" s="554">
        <v>9055.08</v>
      </c>
      <c r="I100" s="555">
        <f t="shared" si="3"/>
      </c>
      <c r="J100" s="555">
        <f t="shared" si="1"/>
      </c>
      <c r="K100" s="555">
        <f t="shared" si="5"/>
      </c>
      <c r="L100" s="552" t="s">
        <v>1157</v>
      </c>
      <c r="M100" s="556">
        <v>7</v>
      </c>
      <c r="N100" s="553"/>
      <c r="O100" s="553"/>
      <c r="P100" s="553"/>
      <c r="Q100" s="557">
        <v>3.796679245283019</v>
      </c>
      <c r="R100" s="558">
        <v>0.32991199597507365</v>
      </c>
      <c r="S100" s="558">
        <v>0.024439730701835284</v>
      </c>
      <c r="T100" s="558">
        <v>0.025700144486458236</v>
      </c>
      <c r="U100" s="558">
        <v>0.09409888357256778</v>
      </c>
      <c r="V100" s="559">
        <v>32195.121951219513</v>
      </c>
      <c r="W100" s="558">
        <v>0.011275</v>
      </c>
      <c r="X100" s="559">
        <v>50.75</v>
      </c>
      <c r="Y100" s="560">
        <v>92.78981831596421</v>
      </c>
      <c r="Z100" s="559">
        <v>97587</v>
      </c>
      <c r="AA100" s="559">
        <v>2385</v>
      </c>
      <c r="AB100" s="559">
        <v>363</v>
      </c>
      <c r="AC100" s="559">
        <v>2508</v>
      </c>
      <c r="AD100" s="559">
        <v>236</v>
      </c>
      <c r="AE100" s="559">
        <v>22</v>
      </c>
      <c r="AF100" s="559">
        <v>3</v>
      </c>
      <c r="AG100" s="559">
        <v>55</v>
      </c>
    </row>
    <row r="101">
      <c r="A101" s="552" t="s">
        <v>1208</v>
      </c>
      <c r="B101" s="552" t="s">
        <v>1195</v>
      </c>
      <c r="C101" s="552" t="s">
        <v>1206</v>
      </c>
      <c r="D101" s="552">
        <v>3</v>
      </c>
      <c r="E101" s="552">
        <v>7</v>
      </c>
      <c r="F101" s="552">
        <v>8</v>
      </c>
      <c r="G101" s="553">
        <v>17960.1</v>
      </c>
      <c r="H101" s="554">
        <v>6244.620000000001</v>
      </c>
      <c r="I101" s="555">
        <f t="shared" si="3"/>
      </c>
      <c r="J101" s="555">
        <f t="shared" si="1"/>
      </c>
      <c r="K101" s="555">
        <f t="shared" si="5"/>
      </c>
      <c r="L101" s="552"/>
      <c r="M101" s="552"/>
      <c r="N101" s="553"/>
      <c r="O101" s="553"/>
      <c r="P101" s="553"/>
      <c r="Q101" s="561">
        <v>2.3861750095529235</v>
      </c>
      <c r="R101" s="558">
        <v>0.30868370376412174</v>
      </c>
      <c r="S101" s="558">
        <v>0.0339372090309027</v>
      </c>
      <c r="T101" s="558">
        <v>0.035869438356697314</v>
      </c>
      <c r="U101" s="558">
        <v>0.07086044830079537</v>
      </c>
      <c r="V101" s="559">
        <v>23803.52644836272</v>
      </c>
      <c r="W101" s="558">
        <v>0.013233333333333333</v>
      </c>
      <c r="X101" s="559">
        <v>50.333333333333336</v>
      </c>
      <c r="Y101" s="560">
        <v>80.98012008351381</v>
      </c>
      <c r="Z101" s="559">
        <v>77113</v>
      </c>
      <c r="AA101" s="559">
        <v>2617</v>
      </c>
      <c r="AB101" s="559">
        <v>315</v>
      </c>
      <c r="AC101" s="559">
        <v>2766</v>
      </c>
      <c r="AD101" s="559">
        <v>196</v>
      </c>
      <c r="AE101" s="559">
        <v>16</v>
      </c>
      <c r="AF101" s="559">
        <v>6</v>
      </c>
      <c r="AG101" s="559">
        <v>49</v>
      </c>
    </row>
    <row r="102">
      <c r="A102" s="552" t="s">
        <v>1208</v>
      </c>
      <c r="B102" s="552" t="s">
        <v>1148</v>
      </c>
      <c r="C102" s="552" t="s">
        <v>1163</v>
      </c>
      <c r="D102" s="552">
        <v>4</v>
      </c>
      <c r="E102" s="552">
        <v>15</v>
      </c>
      <c r="F102" s="552">
        <v>15</v>
      </c>
      <c r="G102" s="553">
        <v>29285.949999999997</v>
      </c>
      <c r="H102" s="554">
        <v>9900.93</v>
      </c>
      <c r="I102" s="555">
        <f t="shared" si="3"/>
      </c>
      <c r="J102" s="555">
        <f t="shared" si="1"/>
      </c>
      <c r="K102" s="555">
        <f t="shared" si="5"/>
      </c>
      <c r="L102" s="552" t="s">
        <v>1153</v>
      </c>
      <c r="M102" s="574">
        <v>5</v>
      </c>
      <c r="N102" s="553"/>
      <c r="O102" s="553"/>
      <c r="P102" s="553"/>
      <c r="Q102" s="561">
        <v>4.683505203405866</v>
      </c>
      <c r="R102" s="558">
        <v>0.2821094592466358</v>
      </c>
      <c r="S102" s="558">
        <v>0.020996384728457353</v>
      </c>
      <c r="T102" s="558">
        <v>0.02198959119621787</v>
      </c>
      <c r="U102" s="558">
        <v>0.15898825654923215</v>
      </c>
      <c r="V102" s="559">
        <v>28403.908794788276</v>
      </c>
      <c r="W102" s="558">
        <v>0.015349999999999999</v>
      </c>
      <c r="X102" s="559">
        <v>48.75</v>
      </c>
      <c r="Y102" s="560">
        <v>98.33667712844147</v>
      </c>
      <c r="Z102" s="559">
        <v>100684</v>
      </c>
      <c r="AA102" s="559">
        <v>2114</v>
      </c>
      <c r="AB102" s="559">
        <v>436</v>
      </c>
      <c r="AC102" s="559">
        <v>2214</v>
      </c>
      <c r="AD102" s="559">
        <v>352</v>
      </c>
      <c r="AE102" s="559">
        <v>20</v>
      </c>
      <c r="AF102" s="559">
        <v>6</v>
      </c>
      <c r="AG102" s="559">
        <v>84</v>
      </c>
    </row>
    <row r="103">
      <c r="A103" s="552" t="s">
        <v>1208</v>
      </c>
      <c r="B103" s="552" t="s">
        <v>1155</v>
      </c>
      <c r="C103" s="552" t="s">
        <v>1171</v>
      </c>
      <c r="D103" s="552">
        <v>4</v>
      </c>
      <c r="E103" s="552">
        <v>18</v>
      </c>
      <c r="F103" s="552">
        <v>15</v>
      </c>
      <c r="G103" s="553">
        <v>38292.58</v>
      </c>
      <c r="H103" s="554">
        <v>9203.75</v>
      </c>
      <c r="I103" s="555">
        <f t="shared" si="3"/>
      </c>
      <c r="J103" s="555">
        <f t="shared" si="1"/>
      </c>
      <c r="K103" s="555">
        <f t="shared" si="5"/>
      </c>
      <c r="L103" s="552" t="s">
        <v>1191</v>
      </c>
      <c r="M103" s="552">
        <v>3</v>
      </c>
      <c r="N103" s="553"/>
      <c r="O103" s="553"/>
      <c r="P103" s="553"/>
      <c r="Q103" s="560">
        <v>3.9998913515862666</v>
      </c>
      <c r="R103" s="558">
        <v>0.2530247906446222</v>
      </c>
      <c r="S103" s="558">
        <v>0.022281398276362933</v>
      </c>
      <c r="T103" s="558">
        <v>0.0238791517381621</v>
      </c>
      <c r="U103" s="558">
        <v>0.1411192214111922</v>
      </c>
      <c r="V103" s="559">
        <v>26129.87012987013</v>
      </c>
      <c r="W103" s="558">
        <v>0.01925</v>
      </c>
      <c r="X103" s="559">
        <v>52.75</v>
      </c>
      <c r="Y103" s="560">
        <v>89.12317226687324</v>
      </c>
      <c r="Z103" s="559">
        <v>103270</v>
      </c>
      <c r="AA103" s="559">
        <v>2301</v>
      </c>
      <c r="AB103" s="559">
        <v>503</v>
      </c>
      <c r="AC103" s="559">
        <v>2466</v>
      </c>
      <c r="AD103" s="559">
        <v>348</v>
      </c>
      <c r="AE103" s="559">
        <v>25</v>
      </c>
      <c r="AF103" s="559">
        <v>4</v>
      </c>
      <c r="AG103" s="559">
        <v>70</v>
      </c>
    </row>
    <row r="104">
      <c r="A104" s="562" t="s">
        <v>1208</v>
      </c>
      <c r="B104" s="563" t="s">
        <v>1158</v>
      </c>
      <c r="C104" s="563"/>
      <c r="D104" s="563">
        <f>SUM(D100:D103)</f>
      </c>
      <c r="E104" s="563">
        <f>SUM(E100:E103)</f>
      </c>
      <c r="F104" s="563">
        <f>SUM(F100:F103)</f>
      </c>
      <c r="G104" s="563">
        <f>SUM(G100:G103)</f>
      </c>
      <c r="H104" s="563">
        <f>SUM(H100:H103)</f>
      </c>
      <c r="I104" s="564">
        <f t="shared" si="3"/>
      </c>
      <c r="J104" s="564">
        <f t="shared" si="1"/>
      </c>
      <c r="K104" s="564">
        <f t="shared" si="5"/>
      </c>
      <c r="L104" s="563"/>
      <c r="M104" s="565">
        <f>SUM(M100:M103)</f>
      </c>
      <c r="N104" s="563"/>
      <c r="O104" s="563"/>
      <c r="P104" s="563"/>
      <c r="Q104" s="566">
        <f>AVERAGE(Q100:Q103)</f>
      </c>
      <c r="R104" s="567">
        <f>AVERAGE(R100:R103)</f>
      </c>
      <c r="S104" s="567">
        <f>AVERAGE(S100:S103)</f>
      </c>
      <c r="T104" s="567">
        <f>AVERAGE(T100:T103)</f>
      </c>
      <c r="U104" s="567">
        <f>AVERAGE(U100:U103)</f>
      </c>
      <c r="V104" s="568">
        <f>SUM(V100:V103)</f>
      </c>
      <c r="W104" s="567">
        <f>AVERAGE(W100:W103)</f>
      </c>
      <c r="X104" s="568"/>
      <c r="Y104" s="566">
        <f>AVERAGE(Y100:Y103)</f>
      </c>
      <c r="Z104" s="568">
        <f>SUM(Z100:Z103)</f>
      </c>
      <c r="AA104" s="568">
        <f>SUM(AA100:AA103)</f>
      </c>
      <c r="AB104" s="568">
        <f>SUM(AB100:AB103)</f>
      </c>
      <c r="AC104" s="568">
        <f>SUM(AC100:AC103)</f>
      </c>
      <c r="AD104" s="568">
        <f>SUM(AD100:AD103)</f>
      </c>
      <c r="AE104" s="568">
        <f>SUM(AE100:AE103)</f>
      </c>
      <c r="AF104" s="568">
        <f>SUM(AF100:AF103)</f>
      </c>
      <c r="AG104" s="568">
        <f>SUM(AG100:AG103)</f>
      </c>
    </row>
    <row r="105">
      <c r="A105" s="552" t="s">
        <v>1209</v>
      </c>
      <c r="B105" s="552" t="s">
        <v>1155</v>
      </c>
      <c r="C105" s="552" t="s">
        <v>1193</v>
      </c>
      <c r="D105" s="552">
        <v>4</v>
      </c>
      <c r="E105" s="552">
        <v>12</v>
      </c>
      <c r="F105" s="552">
        <v>15</v>
      </c>
      <c r="G105" s="553">
        <v>28880.29</v>
      </c>
      <c r="H105" s="554">
        <v>8800.3</v>
      </c>
      <c r="I105" s="555">
        <f t="shared" si="3"/>
      </c>
      <c r="J105" s="555">
        <f t="shared" si="1"/>
      </c>
      <c r="K105" s="555">
        <f t="shared" si="5"/>
      </c>
      <c r="L105" s="552" t="s">
        <v>1157</v>
      </c>
      <c r="M105" s="556">
        <v>7</v>
      </c>
      <c r="N105" s="553"/>
      <c r="O105" s="553"/>
      <c r="P105" s="553"/>
      <c r="Q105" s="557">
        <v>2.982141646899356</v>
      </c>
      <c r="R105" s="558">
        <v>0.3093031678216128</v>
      </c>
      <c r="S105" s="558">
        <v>0.03183043900334376</v>
      </c>
      <c r="T105" s="558">
        <v>0.03307086614173228</v>
      </c>
      <c r="U105" s="558">
        <v>0.06881930854533594</v>
      </c>
      <c r="V105" s="559">
        <v>28675.496688741725</v>
      </c>
      <c r="W105" s="558">
        <v>0.015099999999999999</v>
      </c>
      <c r="X105" s="559">
        <v>38.5</v>
      </c>
      <c r="Y105" s="560">
        <v>94.92287779096105</v>
      </c>
      <c r="Z105" s="559">
        <v>92710</v>
      </c>
      <c r="AA105" s="559">
        <v>2951</v>
      </c>
      <c r="AB105" s="559">
        <v>433</v>
      </c>
      <c r="AC105" s="559">
        <v>3066</v>
      </c>
      <c r="AD105" s="559">
        <v>211</v>
      </c>
      <c r="AE105" s="559">
        <v>21</v>
      </c>
      <c r="AF105" s="559">
        <v>4</v>
      </c>
      <c r="AG105" s="559">
        <v>58</v>
      </c>
    </row>
    <row r="106">
      <c r="A106" s="552" t="s">
        <v>1209</v>
      </c>
      <c r="B106" s="552" t="s">
        <v>1160</v>
      </c>
      <c r="C106" s="552" t="s">
        <v>1206</v>
      </c>
      <c r="D106" s="552">
        <v>3</v>
      </c>
      <c r="E106" s="552">
        <v>6</v>
      </c>
      <c r="F106" s="552">
        <v>9</v>
      </c>
      <c r="G106" s="553">
        <v>19998.18</v>
      </c>
      <c r="H106" s="554">
        <v>7175.849999999999</v>
      </c>
      <c r="I106" s="555">
        <f t="shared" si="3"/>
      </c>
      <c r="J106" s="555">
        <f t="shared" si="1"/>
      </c>
      <c r="K106" s="555">
        <f t="shared" si="5"/>
      </c>
      <c r="L106" s="552"/>
      <c r="M106" s="552"/>
      <c r="N106" s="553"/>
      <c r="O106" s="553"/>
      <c r="P106" s="553"/>
      <c r="Q106" s="561">
        <v>2.642065537555228</v>
      </c>
      <c r="R106" s="558">
        <v>0.2917555667407562</v>
      </c>
      <c r="S106" s="558">
        <v>0.03478127241061367</v>
      </c>
      <c r="T106" s="558">
        <v>0.037470546050609566</v>
      </c>
      <c r="U106" s="558">
        <v>0.05775803144224197</v>
      </c>
      <c r="V106" s="559">
        <v>22782.608695652172</v>
      </c>
      <c r="W106" s="558">
        <v>0.011500000000000002</v>
      </c>
      <c r="X106" s="559">
        <v>39</v>
      </c>
      <c r="Y106" s="560">
        <v>91.89440118840282</v>
      </c>
      <c r="Z106" s="559">
        <v>78088</v>
      </c>
      <c r="AA106" s="559">
        <v>2716</v>
      </c>
      <c r="AB106" s="559">
        <v>262</v>
      </c>
      <c r="AC106" s="559">
        <v>2926</v>
      </c>
      <c r="AD106" s="559">
        <v>169</v>
      </c>
      <c r="AE106" s="559">
        <v>15</v>
      </c>
      <c r="AF106" s="559">
        <v>5</v>
      </c>
      <c r="AG106" s="559">
        <v>38</v>
      </c>
    </row>
    <row r="107">
      <c r="A107" s="552" t="s">
        <v>1209</v>
      </c>
      <c r="B107" s="552" t="s">
        <v>1195</v>
      </c>
      <c r="C107" s="552" t="s">
        <v>1163</v>
      </c>
      <c r="D107" s="552">
        <v>4</v>
      </c>
      <c r="E107" s="552">
        <v>9</v>
      </c>
      <c r="F107" s="552">
        <v>12</v>
      </c>
      <c r="G107" s="553">
        <v>23582.240000000005</v>
      </c>
      <c r="H107" s="554">
        <v>10399.17</v>
      </c>
      <c r="I107" s="555">
        <f t="shared" si="3"/>
      </c>
      <c r="J107" s="555">
        <f t="shared" si="1"/>
      </c>
      <c r="K107" s="555">
        <f t="shared" si="5"/>
      </c>
      <c r="L107" s="552" t="s">
        <v>1153</v>
      </c>
      <c r="M107" s="574">
        <v>5</v>
      </c>
      <c r="N107" s="553"/>
      <c r="O107" s="553"/>
      <c r="P107" s="553"/>
      <c r="Q107" s="561">
        <v>5.095134737873591</v>
      </c>
      <c r="R107" s="558">
        <v>0.24683649878150438</v>
      </c>
      <c r="S107" s="558">
        <v>0.020133566136939816</v>
      </c>
      <c r="T107" s="558">
        <v>0.021228532252177603</v>
      </c>
      <c r="U107" s="558">
        <v>0.1366171003717472</v>
      </c>
      <c r="V107" s="559">
        <v>25022.556390977443</v>
      </c>
      <c r="W107" s="558">
        <v>0.016625</v>
      </c>
      <c r="X107" s="559">
        <v>42.5</v>
      </c>
      <c r="Y107" s="560">
        <v>102.58323222159747</v>
      </c>
      <c r="Z107" s="559">
        <v>101373</v>
      </c>
      <c r="AA107" s="559">
        <v>2041</v>
      </c>
      <c r="AB107" s="559">
        <v>416</v>
      </c>
      <c r="AC107" s="559">
        <v>2152</v>
      </c>
      <c r="AD107" s="559">
        <v>294</v>
      </c>
      <c r="AE107" s="559">
        <v>21</v>
      </c>
      <c r="AF107" s="559">
        <v>4</v>
      </c>
      <c r="AG107" s="559">
        <v>78</v>
      </c>
    </row>
    <row r="108">
      <c r="A108" s="552" t="s">
        <v>1209</v>
      </c>
      <c r="B108" s="552" t="s">
        <v>1148</v>
      </c>
      <c r="C108" s="552" t="s">
        <v>1171</v>
      </c>
      <c r="D108" s="552">
        <v>4</v>
      </c>
      <c r="E108" s="552">
        <v>12</v>
      </c>
      <c r="F108" s="552">
        <v>13</v>
      </c>
      <c r="G108" s="553">
        <v>24200.430000000008</v>
      </c>
      <c r="H108" s="554">
        <v>9402.380000000001</v>
      </c>
      <c r="I108" s="555">
        <f t="shared" si="3"/>
      </c>
      <c r="J108" s="555">
        <f t="shared" si="1"/>
      </c>
      <c r="K108" s="555">
        <f t="shared" si="5"/>
      </c>
      <c r="L108" s="552" t="s">
        <v>1191</v>
      </c>
      <c r="M108" s="552">
        <v>3</v>
      </c>
      <c r="N108" s="553"/>
      <c r="O108" s="553"/>
      <c r="P108" s="553"/>
      <c r="Q108" s="560">
        <v>3.938994553833264</v>
      </c>
      <c r="R108" s="558">
        <v>0.27777364424140516</v>
      </c>
      <c r="S108" s="558">
        <v>0.025160215869803524</v>
      </c>
      <c r="T108" s="558">
        <v>0.02697318492284341</v>
      </c>
      <c r="U108" s="558">
        <v>0.11137162954279015</v>
      </c>
      <c r="V108" s="559">
        <v>26352.94117647059</v>
      </c>
      <c r="W108" s="558">
        <v>0.014875</v>
      </c>
      <c r="X108" s="559">
        <v>46.5</v>
      </c>
      <c r="Y108" s="560">
        <v>99.10595328442534</v>
      </c>
      <c r="Z108" s="559">
        <v>94872</v>
      </c>
      <c r="AA108" s="559">
        <v>2387</v>
      </c>
      <c r="AB108" s="559">
        <v>392</v>
      </c>
      <c r="AC108" s="559">
        <v>2559</v>
      </c>
      <c r="AD108" s="559">
        <v>285</v>
      </c>
      <c r="AE108" s="559">
        <v>26</v>
      </c>
      <c r="AF108" s="559">
        <v>8</v>
      </c>
      <c r="AG108" s="559">
        <v>77</v>
      </c>
    </row>
    <row r="109">
      <c r="A109" s="562" t="s">
        <v>1209</v>
      </c>
      <c r="B109" s="563" t="s">
        <v>1158</v>
      </c>
      <c r="C109" s="563"/>
      <c r="D109" s="563">
        <f>SUM(D105:D108)</f>
      </c>
      <c r="E109" s="563">
        <f>SUM(E105:E108)</f>
      </c>
      <c r="F109" s="563">
        <f>SUM(F105:F108)</f>
      </c>
      <c r="G109" s="563">
        <f>SUM(G105:G108)</f>
      </c>
      <c r="H109" s="563">
        <f>SUM(H105:H108)</f>
      </c>
      <c r="I109" s="564">
        <f t="shared" si="3"/>
      </c>
      <c r="J109" s="564">
        <f t="shared" si="1"/>
      </c>
      <c r="K109" s="564">
        <f t="shared" si="5"/>
      </c>
      <c r="L109" s="563"/>
      <c r="M109" s="565">
        <f>SUM(M105:M108)</f>
      </c>
      <c r="N109" s="563"/>
      <c r="O109" s="563"/>
      <c r="P109" s="563"/>
      <c r="Q109" s="566">
        <f>AVERAGE(Q105:Q108)</f>
      </c>
      <c r="R109" s="567">
        <f>AVERAGE(R105:R108)</f>
      </c>
      <c r="S109" s="567">
        <f>AVERAGE(S105:S108)</f>
      </c>
      <c r="T109" s="567">
        <f>AVERAGE(T105:T108)</f>
      </c>
      <c r="U109" s="567">
        <f>AVERAGE(U105:U108)</f>
      </c>
      <c r="V109" s="568">
        <f>SUM(V105:V108)</f>
      </c>
      <c r="W109" s="567">
        <f>AVERAGE(W105:W108)</f>
      </c>
      <c r="X109" s="568"/>
      <c r="Y109" s="566">
        <f>AVERAGE(Y105:Y108)</f>
      </c>
      <c r="Z109" s="568">
        <f>SUM(Z105:Z108)</f>
      </c>
      <c r="AA109" s="568">
        <f>SUM(AA105:AA108)</f>
      </c>
      <c r="AB109" s="568">
        <f>SUM(AB105:AB108)</f>
      </c>
      <c r="AC109" s="568">
        <f>SUM(AC105:AC108)</f>
      </c>
      <c r="AD109" s="568">
        <f>SUM(AD105:AD108)</f>
      </c>
      <c r="AE109" s="568">
        <f>SUM(AE105:AE108)</f>
      </c>
      <c r="AF109" s="568">
        <f>SUM(AF105:AF108)</f>
      </c>
      <c r="AG109" s="568">
        <f>SUM(AG105:AG108)</f>
      </c>
    </row>
    <row r="110">
      <c r="A110" s="552" t="s">
        <v>1210</v>
      </c>
      <c r="B110" s="552" t="s">
        <v>1155</v>
      </c>
      <c r="C110" s="552" t="s">
        <v>1193</v>
      </c>
      <c r="D110" s="552">
        <v>4</v>
      </c>
      <c r="E110" s="552">
        <v>14</v>
      </c>
      <c r="F110" s="552">
        <v>15</v>
      </c>
      <c r="G110" s="553">
        <v>31931.1</v>
      </c>
      <c r="H110" s="554">
        <v>9992.95</v>
      </c>
      <c r="I110" s="555">
        <f t="shared" si="3"/>
      </c>
      <c r="J110" s="555">
        <f t="shared" si="1"/>
      </c>
      <c r="K110" s="555">
        <f t="shared" si="5"/>
      </c>
      <c r="L110" s="552" t="s">
        <v>1157</v>
      </c>
      <c r="M110" s="556">
        <v>7</v>
      </c>
      <c r="N110" s="553"/>
      <c r="O110" s="553"/>
      <c r="P110" s="553"/>
      <c r="Q110" s="557">
        <v>3.407074667575861</v>
      </c>
      <c r="R110" s="558">
        <v>0.335627071851732</v>
      </c>
      <c r="S110" s="558">
        <v>0.028453352218158534</v>
      </c>
      <c r="T110" s="558">
        <v>0.02969509414926126</v>
      </c>
      <c r="U110" s="558">
        <v>0.07089186540346291</v>
      </c>
      <c r="V110" s="559">
        <v>34596.77419354839</v>
      </c>
      <c r="W110" s="558">
        <v>0.0124</v>
      </c>
      <c r="X110" s="559">
        <v>38</v>
      </c>
      <c r="Y110" s="560">
        <v>96.94269555010139</v>
      </c>
      <c r="Z110" s="559">
        <v>103081</v>
      </c>
      <c r="AA110" s="559">
        <v>2933</v>
      </c>
      <c r="AB110" s="559">
        <v>429</v>
      </c>
      <c r="AC110" s="559">
        <v>3061</v>
      </c>
      <c r="AD110" s="559">
        <v>217</v>
      </c>
      <c r="AE110" s="559">
        <v>14</v>
      </c>
      <c r="AF110" s="559">
        <v>7</v>
      </c>
      <c r="AG110" s="559">
        <v>70</v>
      </c>
    </row>
    <row r="111">
      <c r="A111" s="552" t="s">
        <v>1210</v>
      </c>
      <c r="B111" s="552" t="s">
        <v>1160</v>
      </c>
      <c r="C111" s="552" t="s">
        <v>1194</v>
      </c>
      <c r="D111" s="552">
        <v>4</v>
      </c>
      <c r="E111" s="552">
        <v>5</v>
      </c>
      <c r="F111" s="552">
        <v>6</v>
      </c>
      <c r="G111" s="553">
        <v>16628.060000000005</v>
      </c>
      <c r="H111" s="554">
        <v>8722.41</v>
      </c>
      <c r="I111" s="555">
        <f t="shared" si="3"/>
      </c>
      <c r="J111" s="555">
        <f t="shared" si="1"/>
      </c>
      <c r="K111" s="555">
        <f t="shared" si="5"/>
      </c>
      <c r="L111" s="575"/>
      <c r="M111" s="552"/>
      <c r="N111" s="553"/>
      <c r="O111" s="553"/>
      <c r="P111" s="553"/>
      <c r="Q111" s="561">
        <v>2.7813807397959183</v>
      </c>
      <c r="R111" s="558">
        <v>0.3059053797821119</v>
      </c>
      <c r="S111" s="558">
        <v>0.033854026103008646</v>
      </c>
      <c r="T111" s="558">
        <v>0.03645569073656257</v>
      </c>
      <c r="U111" s="558">
        <v>0.04856381403612674</v>
      </c>
      <c r="V111" s="559">
        <v>28336.93304535637</v>
      </c>
      <c r="W111" s="558">
        <v>0.011575</v>
      </c>
      <c r="X111" s="559">
        <v>38.5</v>
      </c>
      <c r="Y111" s="560">
        <v>94.16093616745653</v>
      </c>
      <c r="Z111" s="559">
        <v>92633</v>
      </c>
      <c r="AA111" s="559">
        <v>3136</v>
      </c>
      <c r="AB111" s="559">
        <v>328</v>
      </c>
      <c r="AC111" s="559">
        <v>3377</v>
      </c>
      <c r="AD111" s="559">
        <v>164</v>
      </c>
      <c r="AE111" s="559">
        <v>18</v>
      </c>
      <c r="AF111" s="559">
        <v>3</v>
      </c>
      <c r="AG111" s="559">
        <v>61</v>
      </c>
    </row>
    <row r="112">
      <c r="A112" s="552" t="s">
        <v>1210</v>
      </c>
      <c r="B112" s="552" t="s">
        <v>1195</v>
      </c>
      <c r="C112" s="552" t="s">
        <v>1152</v>
      </c>
      <c r="D112" s="552">
        <v>3</v>
      </c>
      <c r="E112" s="552">
        <v>6</v>
      </c>
      <c r="F112" s="552">
        <v>7</v>
      </c>
      <c r="G112" s="553">
        <v>17302.449999999997</v>
      </c>
      <c r="H112" s="554">
        <v>6893.110000000001</v>
      </c>
      <c r="I112" s="555">
        <f t="shared" si="3"/>
      </c>
      <c r="J112" s="555">
        <f t="shared" si="1"/>
      </c>
      <c r="K112" s="576">
        <f t="shared" si="5"/>
      </c>
      <c r="L112" s="577"/>
      <c r="M112" s="578"/>
      <c r="N112" s="553"/>
      <c r="O112" s="553"/>
      <c r="P112" s="553"/>
      <c r="Q112" s="561">
        <v>4.241913846153847</v>
      </c>
      <c r="R112" s="558">
        <v>0.32404196991594353</v>
      </c>
      <c r="S112" s="558">
        <v>0.022645874270106052</v>
      </c>
      <c r="T112" s="558">
        <v>0.024429672366459022</v>
      </c>
      <c r="U112" s="558">
        <v>0.127780946948089</v>
      </c>
      <c r="V112" s="559">
        <v>23252.27963525836</v>
      </c>
      <c r="W112" s="558">
        <v>0.010966666666666666</v>
      </c>
      <c r="X112" s="559">
        <v>39</v>
      </c>
      <c r="Y112" s="560">
        <v>96.061847624622</v>
      </c>
      <c r="Z112" s="559">
        <v>71757</v>
      </c>
      <c r="AA112" s="559">
        <v>1625</v>
      </c>
      <c r="AB112" s="559">
        <v>255</v>
      </c>
      <c r="AC112" s="559">
        <v>1753</v>
      </c>
      <c r="AD112" s="559">
        <v>224</v>
      </c>
      <c r="AE112" s="559">
        <v>15</v>
      </c>
      <c r="AF112" s="559">
        <v>5</v>
      </c>
      <c r="AG112" s="559">
        <v>60</v>
      </c>
    </row>
    <row r="113">
      <c r="A113" s="552" t="s">
        <v>1210</v>
      </c>
      <c r="B113" s="552" t="s">
        <v>1148</v>
      </c>
      <c r="C113" s="552" t="s">
        <v>1171</v>
      </c>
      <c r="D113" s="552">
        <v>4</v>
      </c>
      <c r="E113" s="552">
        <v>10</v>
      </c>
      <c r="F113" s="552">
        <v>12</v>
      </c>
      <c r="G113" s="553">
        <v>25037.009999999995</v>
      </c>
      <c r="H113" s="554">
        <v>9227.67</v>
      </c>
      <c r="I113" s="555">
        <f t="shared" si="3"/>
      </c>
      <c r="J113" s="555">
        <f t="shared" si="1"/>
      </c>
      <c r="K113" s="555">
        <f t="shared" si="5"/>
      </c>
      <c r="L113" s="579" t="s">
        <v>1153</v>
      </c>
      <c r="M113" s="552">
        <v>8</v>
      </c>
      <c r="N113" s="553"/>
      <c r="O113" s="553"/>
      <c r="P113" s="553"/>
      <c r="Q113" s="560">
        <v>3.734386887899636</v>
      </c>
      <c r="R113" s="558">
        <v>0.2784386209068757</v>
      </c>
      <c r="S113" s="558">
        <v>0.02756674141258632</v>
      </c>
      <c r="T113" s="558">
        <v>0.029095128127893614</v>
      </c>
      <c r="U113" s="558">
        <v>0.09394171779141104</v>
      </c>
      <c r="V113" s="559">
        <v>24958.40266222962</v>
      </c>
      <c r="W113" s="558">
        <v>0.015025</v>
      </c>
      <c r="X113" s="559">
        <v>40.75</v>
      </c>
      <c r="Y113" s="560">
        <v>102.94487767328224</v>
      </c>
      <c r="Z113" s="559">
        <v>89637</v>
      </c>
      <c r="AA113" s="559">
        <v>2471</v>
      </c>
      <c r="AB113" s="559">
        <v>375</v>
      </c>
      <c r="AC113" s="559">
        <v>2608</v>
      </c>
      <c r="AD113" s="559">
        <v>245</v>
      </c>
      <c r="AE113" s="559">
        <v>17</v>
      </c>
      <c r="AF113" s="559">
        <v>3</v>
      </c>
      <c r="AG113" s="559">
        <v>61</v>
      </c>
    </row>
    <row r="114">
      <c r="A114" s="562" t="s">
        <v>1210</v>
      </c>
      <c r="B114" s="563" t="s">
        <v>1158</v>
      </c>
      <c r="C114" s="563"/>
      <c r="D114" s="563">
        <f>SUM(D110:D113)</f>
      </c>
      <c r="E114" s="563">
        <f>SUM(E110:E113)</f>
      </c>
      <c r="F114" s="563">
        <f>SUM(F110:F113)</f>
      </c>
      <c r="G114" s="563">
        <f>SUM(G110:G113)</f>
      </c>
      <c r="H114" s="563">
        <f>SUM(H110:H113)</f>
      </c>
      <c r="I114" s="564">
        <f t="shared" si="3"/>
      </c>
      <c r="J114" s="564">
        <f t="shared" si="1"/>
      </c>
      <c r="K114" s="564">
        <f t="shared" si="5"/>
      </c>
      <c r="L114" s="563"/>
      <c r="M114" s="565">
        <f>SUM(M110:M113)</f>
      </c>
      <c r="N114" s="563"/>
      <c r="O114" s="563"/>
      <c r="P114" s="563"/>
      <c r="Q114" s="566">
        <f>AVERAGE(Q110:Q113)</f>
      </c>
      <c r="R114" s="567">
        <f>AVERAGE(R110:R113)</f>
      </c>
      <c r="S114" s="567">
        <f>AVERAGE(S110:S113)</f>
      </c>
      <c r="T114" s="567">
        <f>AVERAGE(T110:T113)</f>
      </c>
      <c r="U114" s="567">
        <f>AVERAGE(U110:U113)</f>
      </c>
      <c r="V114" s="568">
        <f>SUM(V110:V113)</f>
      </c>
      <c r="W114" s="567">
        <f>AVERAGE(W110:W113)</f>
      </c>
      <c r="X114" s="568"/>
      <c r="Y114" s="566">
        <f>AVERAGE(Y110:Y113)</f>
      </c>
      <c r="Z114" s="568">
        <f>SUM(Z110:Z113)</f>
      </c>
      <c r="AA114" s="568">
        <f>SUM(AA110:AA113)</f>
      </c>
      <c r="AB114" s="568">
        <f>SUM(AB110:AB113)</f>
      </c>
      <c r="AC114" s="568">
        <f>SUM(AC110:AC113)</f>
      </c>
      <c r="AD114" s="568">
        <f>SUM(AD110:AD113)</f>
      </c>
      <c r="AE114" s="568">
        <f>SUM(AE110:AE113)</f>
      </c>
      <c r="AF114" s="568">
        <f>SUM(AF110:AF113)</f>
      </c>
      <c r="AG114" s="568">
        <f>SUM(AG110:AG113)</f>
      </c>
    </row>
    <row r="115">
      <c r="A115" s="552" t="s">
        <v>1211</v>
      </c>
      <c r="B115" s="552" t="s">
        <v>1155</v>
      </c>
      <c r="C115" s="552" t="s">
        <v>1193</v>
      </c>
      <c r="D115" s="552">
        <v>4</v>
      </c>
      <c r="E115" s="552">
        <v>10</v>
      </c>
      <c r="F115" s="552">
        <v>12</v>
      </c>
      <c r="G115" s="553">
        <v>21316.55</v>
      </c>
      <c r="H115" s="554">
        <v>9201.79</v>
      </c>
      <c r="I115" s="555">
        <f t="shared" si="3"/>
      </c>
      <c r="J115" s="555">
        <f t="shared" si="1"/>
      </c>
      <c r="K115" s="555">
        <f t="shared" si="5"/>
      </c>
      <c r="L115" s="552" t="s">
        <v>1157</v>
      </c>
      <c r="M115" s="556">
        <v>8</v>
      </c>
      <c r="N115" s="553"/>
      <c r="O115" s="553"/>
      <c r="P115" s="553"/>
      <c r="Q115" s="557">
        <v>3.1213670284938946</v>
      </c>
      <c r="R115" s="558">
        <v>0.2987120686884253</v>
      </c>
      <c r="S115" s="558">
        <v>0.02838518347342981</v>
      </c>
      <c r="T115" s="558">
        <v>0.029877620189298747</v>
      </c>
      <c r="U115" s="558">
        <v>0.0705768611021592</v>
      </c>
      <c r="V115" s="559">
        <v>31023.33931777379</v>
      </c>
      <c r="W115" s="558">
        <v>0.013925</v>
      </c>
      <c r="X115" s="559">
        <v>40</v>
      </c>
      <c r="Y115" s="560">
        <v>88.60057579171361</v>
      </c>
      <c r="Z115" s="559">
        <v>103857</v>
      </c>
      <c r="AA115" s="559">
        <v>2948</v>
      </c>
      <c r="AB115" s="559">
        <v>432</v>
      </c>
      <c r="AC115" s="559">
        <v>3103</v>
      </c>
      <c r="AD115" s="559">
        <v>219</v>
      </c>
      <c r="AE115" s="559">
        <v>18</v>
      </c>
      <c r="AF115" s="559">
        <v>4</v>
      </c>
      <c r="AG115" s="559">
        <v>76</v>
      </c>
    </row>
    <row r="116">
      <c r="A116" s="552" t="s">
        <v>1211</v>
      </c>
      <c r="B116" s="552" t="s">
        <v>1160</v>
      </c>
      <c r="C116" s="552" t="s">
        <v>1194</v>
      </c>
      <c r="D116" s="552">
        <v>4</v>
      </c>
      <c r="E116" s="552">
        <v>15</v>
      </c>
      <c r="F116" s="552">
        <v>18</v>
      </c>
      <c r="G116" s="553">
        <v>41993.259999999995</v>
      </c>
      <c r="H116" s="554">
        <v>10205.15</v>
      </c>
      <c r="I116" s="555">
        <f t="shared" si="3"/>
      </c>
      <c r="J116" s="555">
        <f t="shared" si="1"/>
      </c>
      <c r="K116" s="555">
        <f t="shared" si="5"/>
      </c>
      <c r="L116" s="575"/>
      <c r="M116" s="552"/>
      <c r="N116" s="553"/>
      <c r="O116" s="553"/>
      <c r="P116" s="553"/>
      <c r="Q116" s="561">
        <v>3.8495473406261786</v>
      </c>
      <c r="R116" s="558">
        <v>0.2789588816410879</v>
      </c>
      <c r="S116" s="558">
        <v>0.024074830858647776</v>
      </c>
      <c r="T116" s="558">
        <v>0.02575489261226899</v>
      </c>
      <c r="U116" s="558">
        <v>0.10860366713681241</v>
      </c>
      <c r="V116" s="559">
        <v>30717.557251908394</v>
      </c>
      <c r="W116" s="558">
        <v>0.016375</v>
      </c>
      <c r="X116" s="559">
        <v>45.5</v>
      </c>
      <c r="Y116" s="560">
        <v>92.6772011079326</v>
      </c>
      <c r="Z116" s="559">
        <v>110115</v>
      </c>
      <c r="AA116" s="559">
        <v>2651</v>
      </c>
      <c r="AB116" s="559">
        <v>503</v>
      </c>
      <c r="AC116" s="559">
        <v>2836</v>
      </c>
      <c r="AD116" s="559">
        <v>308</v>
      </c>
      <c r="AE116" s="559">
        <v>20</v>
      </c>
      <c r="AF116" s="559">
        <v>7</v>
      </c>
      <c r="AG116" s="559">
        <v>92</v>
      </c>
    </row>
    <row r="117">
      <c r="A117" s="552" t="s">
        <v>1211</v>
      </c>
      <c r="B117" s="552" t="s">
        <v>1195</v>
      </c>
      <c r="C117" s="552" t="s">
        <v>1152</v>
      </c>
      <c r="D117" s="552">
        <v>3</v>
      </c>
      <c r="E117" s="552">
        <v>7</v>
      </c>
      <c r="F117" s="552">
        <v>11</v>
      </c>
      <c r="G117" s="553">
        <v>24532.630000000005</v>
      </c>
      <c r="H117" s="554">
        <v>7430.99</v>
      </c>
      <c r="I117" s="555">
        <f t="shared" si="3"/>
      </c>
      <c r="J117" s="555">
        <f t="shared" si="1"/>
      </c>
      <c r="K117" s="576">
        <f t="shared" si="5"/>
      </c>
      <c r="L117" s="577"/>
      <c r="M117" s="578"/>
      <c r="N117" s="553"/>
      <c r="O117" s="553"/>
      <c r="P117" s="553"/>
      <c r="Q117" s="561">
        <v>4.983896713615024</v>
      </c>
      <c r="R117" s="558">
        <v>0.2726476395922337</v>
      </c>
      <c r="S117" s="558">
        <v>0.018657089944441665</v>
      </c>
      <c r="T117" s="558">
        <v>0.019495470243755943</v>
      </c>
      <c r="U117" s="558">
        <v>0.1386392811296534</v>
      </c>
      <c r="V117" s="559">
        <v>21788.90876565295</v>
      </c>
      <c r="W117" s="558">
        <v>0.018633333333333335</v>
      </c>
      <c r="X117" s="559">
        <v>48.666666666666664</v>
      </c>
      <c r="Y117" s="560">
        <v>92.98500925972272</v>
      </c>
      <c r="Z117" s="559">
        <v>79916</v>
      </c>
      <c r="AA117" s="559">
        <v>1491</v>
      </c>
      <c r="AB117" s="559">
        <v>406</v>
      </c>
      <c r="AC117" s="559">
        <v>1558</v>
      </c>
      <c r="AD117" s="559">
        <v>216</v>
      </c>
      <c r="AE117" s="559">
        <v>25</v>
      </c>
      <c r="AF117" s="559">
        <v>4</v>
      </c>
      <c r="AG117" s="559">
        <v>84</v>
      </c>
    </row>
    <row r="118">
      <c r="A118" s="552" t="s">
        <v>1211</v>
      </c>
      <c r="B118" s="552" t="s">
        <v>1148</v>
      </c>
      <c r="C118" s="552" t="s">
        <v>1171</v>
      </c>
      <c r="D118" s="552">
        <v>4</v>
      </c>
      <c r="E118" s="552">
        <v>11</v>
      </c>
      <c r="F118" s="552">
        <v>18</v>
      </c>
      <c r="G118" s="553">
        <v>34638.86</v>
      </c>
      <c r="H118" s="554">
        <v>9518.49</v>
      </c>
      <c r="I118" s="555">
        <f t="shared" si="3"/>
      </c>
      <c r="J118" s="555">
        <f t="shared" si="1"/>
      </c>
      <c r="K118" s="555">
        <f t="shared" si="5"/>
      </c>
      <c r="L118" s="579" t="s">
        <v>1153</v>
      </c>
      <c r="M118" s="552">
        <v>7</v>
      </c>
      <c r="N118" s="553"/>
      <c r="O118" s="553"/>
      <c r="P118" s="553"/>
      <c r="Q118" s="560">
        <v>3.8978255528255525</v>
      </c>
      <c r="R118" s="558">
        <v>0.2894554980262753</v>
      </c>
      <c r="S118" s="558">
        <v>0.024241341314512048</v>
      </c>
      <c r="T118" s="558">
        <v>0.025452415696318134</v>
      </c>
      <c r="U118" s="558">
        <v>0.11817472698907956</v>
      </c>
      <c r="V118" s="559">
        <v>29158.878504672895</v>
      </c>
      <c r="W118" s="558">
        <v>0.016050000000000002</v>
      </c>
      <c r="X118" s="559">
        <v>51</v>
      </c>
      <c r="Y118" s="560">
        <v>94.48851961047083</v>
      </c>
      <c r="Z118" s="559">
        <v>100737</v>
      </c>
      <c r="AA118" s="559">
        <v>2442</v>
      </c>
      <c r="AB118" s="559">
        <v>468</v>
      </c>
      <c r="AC118" s="559">
        <v>2564</v>
      </c>
      <c r="AD118" s="559">
        <v>303</v>
      </c>
      <c r="AE118" s="559">
        <v>18</v>
      </c>
      <c r="AF118" s="559">
        <v>7</v>
      </c>
      <c r="AG118" s="559">
        <v>79</v>
      </c>
    </row>
    <row r="119">
      <c r="A119" s="562" t="s">
        <v>1211</v>
      </c>
      <c r="B119" s="563" t="s">
        <v>1158</v>
      </c>
      <c r="C119" s="563"/>
      <c r="D119" s="563">
        <f>SUM(D115:D118)</f>
      </c>
      <c r="E119" s="563">
        <f>SUM(E115:E118)</f>
      </c>
      <c r="F119" s="563">
        <f>SUM(F115:F118)</f>
      </c>
      <c r="G119" s="563">
        <f>SUM(G115:G118)</f>
      </c>
      <c r="H119" s="563">
        <f>SUM(H115:H118)</f>
      </c>
      <c r="I119" s="564">
        <f t="shared" si="3"/>
      </c>
      <c r="J119" s="564">
        <f t="shared" si="1"/>
      </c>
      <c r="K119" s="564">
        <f t="shared" si="5"/>
      </c>
      <c r="L119" s="563"/>
      <c r="M119" s="565">
        <f>SUM(M115:M118)</f>
      </c>
      <c r="N119" s="563"/>
      <c r="O119" s="563"/>
      <c r="P119" s="563"/>
      <c r="Q119" s="566">
        <f>AVERAGE(Q115:Q118)</f>
      </c>
      <c r="R119" s="567">
        <f>AVERAGE(R115:R118)</f>
      </c>
      <c r="S119" s="567">
        <f>AVERAGE(S115:S118)</f>
      </c>
      <c r="T119" s="567">
        <f>AVERAGE(T115:T118)</f>
      </c>
      <c r="U119" s="567">
        <f>AVERAGE(U115:U118)</f>
      </c>
      <c r="V119" s="568">
        <f>SUM(V115:V118)</f>
      </c>
      <c r="W119" s="567">
        <f>AVERAGE(W115:W118)</f>
      </c>
      <c r="X119" s="568"/>
      <c r="Y119" s="566">
        <f>AVERAGE(Y115:Y118)</f>
      </c>
      <c r="Z119" s="568">
        <f>SUM(Z115:Z118)</f>
      </c>
      <c r="AA119" s="568">
        <f>SUM(AA115:AA118)</f>
      </c>
      <c r="AB119" s="568">
        <f>SUM(AB115:AB118)</f>
      </c>
      <c r="AC119" s="568">
        <f>SUM(AC115:AC118)</f>
      </c>
      <c r="AD119" s="568">
        <f>SUM(AD115:AD118)</f>
      </c>
      <c r="AE119" s="568">
        <f>SUM(AE115:AE118)</f>
      </c>
      <c r="AF119" s="568">
        <f>SUM(AF115:AF118)</f>
      </c>
      <c r="AG119" s="568">
        <f>SUM(AG115:AG118)</f>
      </c>
    </row>
    <row r="120">
      <c r="A120" s="552" t="s">
        <v>1212</v>
      </c>
      <c r="B120" s="552" t="s">
        <v>1160</v>
      </c>
      <c r="C120" s="552" t="s">
        <v>1198</v>
      </c>
      <c r="D120" s="552">
        <v>5</v>
      </c>
      <c r="E120" s="552">
        <v>13</v>
      </c>
      <c r="F120" s="552">
        <v>14</v>
      </c>
      <c r="G120" s="553">
        <v>34231.3</v>
      </c>
      <c r="H120" s="554">
        <v>11790.67</v>
      </c>
      <c r="I120" s="555">
        <f t="shared" si="3"/>
      </c>
      <c r="J120" s="555">
        <f t="shared" si="1"/>
      </c>
      <c r="K120" s="555">
        <f t="shared" si="5"/>
      </c>
      <c r="L120" s="552" t="s">
        <v>1157</v>
      </c>
      <c r="M120" s="556">
        <v>7</v>
      </c>
      <c r="N120" s="553"/>
      <c r="O120" s="553"/>
      <c r="P120" s="553"/>
      <c r="Q120" s="557">
        <v>2.8541926894214478</v>
      </c>
      <c r="R120" s="558">
        <v>0.32792419382397814</v>
      </c>
      <c r="S120" s="558">
        <v>0.033962543367808344</v>
      </c>
      <c r="T120" s="558">
        <v>0.035861683410888405</v>
      </c>
      <c r="U120" s="558">
        <v>0.057542411737734986</v>
      </c>
      <c r="V120" s="559">
        <v>39886.73139158576</v>
      </c>
      <c r="W120" s="558">
        <v>0.01236</v>
      </c>
      <c r="X120" s="559">
        <v>36.6</v>
      </c>
      <c r="Y120" s="560">
        <v>96.93564299455744</v>
      </c>
      <c r="Z120" s="559">
        <v>121634</v>
      </c>
      <c r="AA120" s="559">
        <v>4131</v>
      </c>
      <c r="AB120" s="559">
        <v>493</v>
      </c>
      <c r="AC120" s="559">
        <v>4362</v>
      </c>
      <c r="AD120" s="559">
        <v>251</v>
      </c>
      <c r="AE120" s="559">
        <v>26</v>
      </c>
      <c r="AF120" s="559">
        <v>7</v>
      </c>
      <c r="AG120" s="559">
        <v>64</v>
      </c>
    </row>
    <row r="121">
      <c r="A121" s="552" t="s">
        <v>1212</v>
      </c>
      <c r="B121" s="552" t="s">
        <v>1155</v>
      </c>
      <c r="C121" s="552" t="s">
        <v>1213</v>
      </c>
      <c r="D121" s="552">
        <v>4</v>
      </c>
      <c r="E121" s="552">
        <v>11</v>
      </c>
      <c r="F121" s="552">
        <v>15</v>
      </c>
      <c r="G121" s="553">
        <v>25297.92</v>
      </c>
      <c r="H121" s="554">
        <v>8919.92</v>
      </c>
      <c r="I121" s="555">
        <f t="shared" si="3"/>
      </c>
      <c r="J121" s="555">
        <f t="shared" si="1"/>
      </c>
      <c r="K121" s="555">
        <f t="shared" si="5"/>
      </c>
      <c r="L121" s="575"/>
      <c r="M121" s="552"/>
      <c r="N121" s="553"/>
      <c r="O121" s="553"/>
      <c r="P121" s="553"/>
      <c r="Q121" s="561">
        <v>2.2073546151942587</v>
      </c>
      <c r="R121" s="558">
        <v>0.3311643068716095</v>
      </c>
      <c r="S121" s="558">
        <v>0.03990519922974374</v>
      </c>
      <c r="T121" s="558">
        <v>0.04299609934330716</v>
      </c>
      <c r="U121" s="558">
        <v>0.05466237942122187</v>
      </c>
      <c r="V121" s="559">
        <v>33535.35353535354</v>
      </c>
      <c r="W121" s="558">
        <v>0.012374999999999999</v>
      </c>
      <c r="X121" s="559">
        <v>33.75</v>
      </c>
      <c r="Y121" s="560">
        <v>88.08492569002122</v>
      </c>
      <c r="Z121" s="559">
        <v>101265</v>
      </c>
      <c r="AA121" s="559">
        <v>4041</v>
      </c>
      <c r="AB121" s="559">
        <v>415</v>
      </c>
      <c r="AC121" s="559">
        <v>4354</v>
      </c>
      <c r="AD121" s="559">
        <v>238</v>
      </c>
      <c r="AE121" s="559">
        <v>26</v>
      </c>
      <c r="AF121" s="559">
        <v>8</v>
      </c>
      <c r="AG121" s="559">
        <v>67</v>
      </c>
    </row>
    <row r="122">
      <c r="A122" s="552" t="s">
        <v>1212</v>
      </c>
      <c r="B122" s="552" t="s">
        <v>1214</v>
      </c>
      <c r="C122" s="552" t="s">
        <v>1215</v>
      </c>
      <c r="D122" s="552">
        <v>2</v>
      </c>
      <c r="E122" s="552">
        <v>1</v>
      </c>
      <c r="F122" s="552">
        <v>3</v>
      </c>
      <c r="G122" s="553">
        <v>7091.369999999995</v>
      </c>
      <c r="H122" s="554">
        <v>4477.52</v>
      </c>
      <c r="I122" s="555">
        <f t="shared" si="3"/>
      </c>
      <c r="J122" s="555">
        <f t="shared" si="1"/>
      </c>
      <c r="K122" s="576">
        <f t="shared" si="5"/>
      </c>
      <c r="L122" s="577"/>
      <c r="M122" s="578"/>
      <c r="N122" s="553"/>
      <c r="O122" s="553"/>
      <c r="P122" s="553"/>
      <c r="Q122" s="561">
        <v>2.6572818991097926</v>
      </c>
      <c r="R122" s="558">
        <v>0.3013578391183729</v>
      </c>
      <c r="S122" s="558">
        <v>0.037549583277621784</v>
      </c>
      <c r="T122" s="558">
        <v>0.04020145295716896</v>
      </c>
      <c r="U122" s="558">
        <v>0.05931263858093126</v>
      </c>
      <c r="V122" s="559">
        <v>13523.131672597865</v>
      </c>
      <c r="W122" s="558">
        <v>0.01405</v>
      </c>
      <c r="X122" s="559">
        <v>34.5</v>
      </c>
      <c r="Y122" s="560">
        <v>99.77982796274013</v>
      </c>
      <c r="Z122" s="559">
        <v>44874</v>
      </c>
      <c r="AA122" s="559">
        <v>1685</v>
      </c>
      <c r="AB122" s="559">
        <v>190</v>
      </c>
      <c r="AC122" s="559">
        <v>1804</v>
      </c>
      <c r="AD122" s="559">
        <v>107</v>
      </c>
      <c r="AE122" s="559">
        <v>23</v>
      </c>
      <c r="AF122" s="559">
        <v>6</v>
      </c>
      <c r="AG122" s="559">
        <v>30</v>
      </c>
    </row>
    <row r="123">
      <c r="A123" s="552" t="s">
        <v>1212</v>
      </c>
      <c r="B123" s="552" t="s">
        <v>1148</v>
      </c>
      <c r="C123" s="552" t="s">
        <v>1171</v>
      </c>
      <c r="D123" s="552">
        <v>4</v>
      </c>
      <c r="E123" s="552">
        <v>10</v>
      </c>
      <c r="F123" s="552">
        <v>11</v>
      </c>
      <c r="G123" s="553">
        <v>23166.020000000004</v>
      </c>
      <c r="H123" s="554">
        <v>7881.43</v>
      </c>
      <c r="I123" s="555">
        <f t="shared" si="3"/>
      </c>
      <c r="J123" s="555">
        <f t="shared" si="1"/>
      </c>
      <c r="K123" s="555">
        <f t="shared" si="5"/>
      </c>
      <c r="L123" s="579" t="s">
        <v>1153</v>
      </c>
      <c r="M123" s="552">
        <v>8</v>
      </c>
      <c r="N123" s="553"/>
      <c r="O123" s="553"/>
      <c r="P123" s="553"/>
      <c r="Q123" s="560">
        <v>2.9233790801186945</v>
      </c>
      <c r="R123" s="558">
        <v>0.31575650711524683</v>
      </c>
      <c r="S123" s="558">
        <v>0.026024170817406076</v>
      </c>
      <c r="T123" s="558">
        <v>0.02788717711108537</v>
      </c>
      <c r="U123" s="558">
        <v>0.08030460366908965</v>
      </c>
      <c r="V123" s="559">
        <v>32711.111111111113</v>
      </c>
      <c r="W123" s="558">
        <v>0.01125</v>
      </c>
      <c r="X123" s="559">
        <v>37.25</v>
      </c>
      <c r="Y123" s="560">
        <v>76.07851654504034</v>
      </c>
      <c r="Z123" s="559">
        <v>103596</v>
      </c>
      <c r="AA123" s="559">
        <v>2696</v>
      </c>
      <c r="AB123" s="559">
        <v>368</v>
      </c>
      <c r="AC123" s="559">
        <v>2889</v>
      </c>
      <c r="AD123" s="559">
        <v>232</v>
      </c>
      <c r="AE123" s="559">
        <v>15</v>
      </c>
      <c r="AF123" s="559">
        <v>7</v>
      </c>
      <c r="AG123" s="559">
        <v>89</v>
      </c>
    </row>
    <row r="124">
      <c r="A124" s="562" t="s">
        <v>1212</v>
      </c>
      <c r="B124" s="563" t="s">
        <v>1158</v>
      </c>
      <c r="C124" s="563"/>
      <c r="D124" s="563">
        <f>SUM(D120:D123)</f>
      </c>
      <c r="E124" s="563">
        <f>SUM(E120:E123)</f>
      </c>
      <c r="F124" s="563">
        <f>SUM(F120:F123)</f>
      </c>
      <c r="G124" s="563">
        <f>SUM(G120:G123)</f>
      </c>
      <c r="H124" s="563">
        <f>SUM(H120:H123)</f>
      </c>
      <c r="I124" s="564">
        <f t="shared" si="3"/>
      </c>
      <c r="J124" s="564">
        <f t="shared" si="1"/>
      </c>
      <c r="K124" s="564">
        <f t="shared" si="5"/>
      </c>
      <c r="L124" s="563"/>
      <c r="M124" s="565">
        <f>SUM(M120:M123)</f>
      </c>
      <c r="N124" s="563"/>
      <c r="O124" s="563"/>
      <c r="P124" s="563"/>
      <c r="Q124" s="566">
        <f>AVERAGE(Q120:Q123)</f>
      </c>
      <c r="R124" s="567">
        <f>AVERAGE(R120:R123)</f>
      </c>
      <c r="S124" s="567">
        <f>AVERAGE(S120:S123)</f>
      </c>
      <c r="T124" s="567">
        <f>AVERAGE(T120:T123)</f>
      </c>
      <c r="U124" s="567">
        <f>AVERAGE(U120:U123)</f>
      </c>
      <c r="V124" s="568">
        <f>SUM(V120:V123)</f>
      </c>
      <c r="W124" s="567">
        <f>AVERAGE(W120:W123)</f>
      </c>
      <c r="X124" s="568"/>
      <c r="Y124" s="566">
        <f>AVERAGE(Y120:Y123)</f>
      </c>
      <c r="Z124" s="568">
        <f>SUM(Z120:Z123)</f>
      </c>
      <c r="AA124" s="568">
        <f>SUM(AA120:AA123)</f>
      </c>
      <c r="AB124" s="568">
        <f>SUM(AB120:AB123)</f>
      </c>
      <c r="AC124" s="568">
        <f>SUM(AC120:AC123)</f>
      </c>
      <c r="AD124" s="568">
        <f>SUM(AD120:AD123)</f>
      </c>
      <c r="AE124" s="568">
        <f>SUM(AE120:AE123)</f>
      </c>
      <c r="AF124" s="568">
        <f>SUM(AF120:AF123)</f>
      </c>
      <c r="AG124" s="568">
        <f>SUM(AG120:AG123)</f>
      </c>
    </row>
    <row r="125">
      <c r="A125" s="552" t="s">
        <v>1216</v>
      </c>
      <c r="B125" s="552" t="s">
        <v>1160</v>
      </c>
      <c r="C125" s="552" t="s">
        <v>1193</v>
      </c>
      <c r="D125" s="552">
        <v>4</v>
      </c>
      <c r="E125" s="552">
        <v>6</v>
      </c>
      <c r="F125" s="552">
        <v>11</v>
      </c>
      <c r="G125" s="553">
        <v>22694.359999999997</v>
      </c>
      <c r="H125" s="554">
        <v>9647.81</v>
      </c>
      <c r="I125" s="555">
        <f t="shared" si="3"/>
      </c>
      <c r="J125" s="555">
        <f t="shared" si="1"/>
      </c>
      <c r="K125" s="555">
        <f t="shared" si="5"/>
      </c>
      <c r="L125" s="552" t="s">
        <v>1157</v>
      </c>
      <c r="M125" s="556">
        <v>7</v>
      </c>
      <c r="N125" s="553"/>
      <c r="O125" s="553"/>
      <c r="P125" s="553"/>
      <c r="Q125" s="557">
        <v>3.360435388366423</v>
      </c>
      <c r="R125" s="558">
        <v>0.3088228055718303</v>
      </c>
      <c r="S125" s="558">
        <v>0.02963031766672859</v>
      </c>
      <c r="T125" s="558">
        <v>0.03088942555782608</v>
      </c>
      <c r="U125" s="558">
        <v>0.04443701971266288</v>
      </c>
      <c r="V125" s="559">
        <v>29923.076923076922</v>
      </c>
      <c r="W125" s="558">
        <v>0.013000000000000001</v>
      </c>
      <c r="X125" s="559">
        <v>29.75</v>
      </c>
      <c r="Y125" s="560">
        <v>99.57076805581356</v>
      </c>
      <c r="Z125" s="559">
        <v>96894</v>
      </c>
      <c r="AA125" s="559">
        <v>2871</v>
      </c>
      <c r="AB125" s="559">
        <v>389</v>
      </c>
      <c r="AC125" s="559">
        <v>2993</v>
      </c>
      <c r="AD125" s="559">
        <v>133</v>
      </c>
      <c r="AE125" s="559">
        <v>13</v>
      </c>
      <c r="AF125" s="559">
        <v>5</v>
      </c>
      <c r="AG125" s="559">
        <v>74</v>
      </c>
    </row>
    <row r="126">
      <c r="A126" s="552" t="s">
        <v>1216</v>
      </c>
      <c r="B126" s="552" t="s">
        <v>1148</v>
      </c>
      <c r="C126" s="552" t="s">
        <v>1217</v>
      </c>
      <c r="D126" s="552">
        <v>5</v>
      </c>
      <c r="E126" s="552">
        <v>18</v>
      </c>
      <c r="F126" s="552">
        <v>22</v>
      </c>
      <c r="G126" s="553">
        <v>44359.22</v>
      </c>
      <c r="H126" s="554">
        <v>11842.66</v>
      </c>
      <c r="I126" s="555">
        <f t="shared" si="3"/>
      </c>
      <c r="J126" s="555">
        <f t="shared" si="1"/>
      </c>
      <c r="K126" s="555">
        <f t="shared" si="5"/>
      </c>
      <c r="L126" s="575"/>
      <c r="M126" s="552"/>
      <c r="N126" s="553"/>
      <c r="O126" s="553"/>
      <c r="P126" s="553"/>
      <c r="Q126" s="561">
        <v>3.7619631512071154</v>
      </c>
      <c r="R126" s="558">
        <v>0.28388236303922143</v>
      </c>
      <c r="S126" s="558">
        <v>0.027058621282447997</v>
      </c>
      <c r="T126" s="558">
        <v>0.028476878115867285</v>
      </c>
      <c r="U126" s="558">
        <v>0.09870208270449743</v>
      </c>
      <c r="V126" s="559">
        <v>33026.874115983024</v>
      </c>
      <c r="W126" s="558">
        <v>0.01414</v>
      </c>
      <c r="X126" s="559">
        <v>38</v>
      </c>
      <c r="Y126" s="560">
        <v>101.79353618703799</v>
      </c>
      <c r="Z126" s="559">
        <v>116340</v>
      </c>
      <c r="AA126" s="559">
        <v>3148</v>
      </c>
      <c r="AB126" s="559">
        <v>467</v>
      </c>
      <c r="AC126" s="559">
        <v>3313</v>
      </c>
      <c r="AD126" s="559">
        <v>327</v>
      </c>
      <c r="AE126" s="559">
        <v>25</v>
      </c>
      <c r="AF126" s="559">
        <v>3</v>
      </c>
      <c r="AG126" s="559">
        <v>69</v>
      </c>
    </row>
    <row r="127">
      <c r="A127" s="552" t="s">
        <v>1216</v>
      </c>
      <c r="B127" s="552" t="s">
        <v>1218</v>
      </c>
      <c r="C127" s="552" t="s">
        <v>1215</v>
      </c>
      <c r="D127" s="552">
        <v>2</v>
      </c>
      <c r="E127" s="552">
        <v>1</v>
      </c>
      <c r="F127" s="552">
        <v>2</v>
      </c>
      <c r="G127" s="553">
        <v>5102.960000000006</v>
      </c>
      <c r="H127" s="554">
        <v>3919.8</v>
      </c>
      <c r="I127" s="555">
        <f t="shared" si="3"/>
      </c>
      <c r="J127" s="555">
        <f t="shared" si="1"/>
      </c>
      <c r="K127" s="576">
        <f t="shared" si="5"/>
      </c>
      <c r="L127" s="577"/>
      <c r="M127" s="578"/>
      <c r="N127" s="553"/>
      <c r="O127" s="553"/>
      <c r="P127" s="553"/>
      <c r="Q127" s="561">
        <v>4.644312796208531</v>
      </c>
      <c r="R127" s="558">
        <v>0.30761601623514434</v>
      </c>
      <c r="S127" s="558">
        <v>0.023108726008268764</v>
      </c>
      <c r="T127" s="558">
        <v>0.025052706513703695</v>
      </c>
      <c r="U127" s="558">
        <v>0.1092896174863388</v>
      </c>
      <c r="V127" s="559">
        <v>11235.059760956177</v>
      </c>
      <c r="W127" s="558">
        <v>0.012549999999999999</v>
      </c>
      <c r="X127" s="559">
        <v>40.5</v>
      </c>
      <c r="Y127" s="560">
        <v>107.3241519042795</v>
      </c>
      <c r="Z127" s="559">
        <v>36523</v>
      </c>
      <c r="AA127" s="559">
        <v>844</v>
      </c>
      <c r="AB127" s="559">
        <v>141</v>
      </c>
      <c r="AC127" s="559">
        <v>915</v>
      </c>
      <c r="AD127" s="559">
        <v>100</v>
      </c>
      <c r="AE127" s="559">
        <v>2</v>
      </c>
      <c r="AF127" s="559">
        <v>9</v>
      </c>
      <c r="AG127" s="559">
        <v>30</v>
      </c>
    </row>
    <row r="128">
      <c r="A128" s="552" t="s">
        <v>1216</v>
      </c>
      <c r="B128" s="552" t="s">
        <v>1195</v>
      </c>
      <c r="C128" s="552" t="s">
        <v>1171</v>
      </c>
      <c r="D128" s="552">
        <v>4</v>
      </c>
      <c r="E128" s="552">
        <v>13</v>
      </c>
      <c r="F128" s="552">
        <v>15</v>
      </c>
      <c r="G128" s="553">
        <v>38764.55</v>
      </c>
      <c r="H128" s="554">
        <v>7999.160000000001</v>
      </c>
      <c r="I128" s="555">
        <f t="shared" si="3"/>
      </c>
      <c r="J128" s="555">
        <f t="shared" si="1"/>
      </c>
      <c r="K128" s="555">
        <f t="shared" si="5"/>
      </c>
      <c r="L128" s="579" t="s">
        <v>1153</v>
      </c>
      <c r="M128" s="552">
        <v>8</v>
      </c>
      <c r="N128" s="553"/>
      <c r="O128" s="553"/>
      <c r="P128" s="553"/>
      <c r="Q128" s="560">
        <v>4.100030753459764</v>
      </c>
      <c r="R128" s="558">
        <v>0.38686968600239674</v>
      </c>
      <c r="S128" s="558">
        <v>0.023920159876414552</v>
      </c>
      <c r="T128" s="558">
        <v>0.02567340583352746</v>
      </c>
      <c r="U128" s="558">
        <v>0.11461318051575932</v>
      </c>
      <c r="V128" s="559">
        <v>31554.252199413484</v>
      </c>
      <c r="W128" s="558">
        <v>0.008525000000000001</v>
      </c>
      <c r="X128" s="559">
        <v>42</v>
      </c>
      <c r="Y128" s="560">
        <v>98.07339112097398</v>
      </c>
      <c r="Z128" s="559">
        <v>81563</v>
      </c>
      <c r="AA128" s="559">
        <v>1951</v>
      </c>
      <c r="AB128" s="559">
        <v>269</v>
      </c>
      <c r="AC128" s="559">
        <v>2094</v>
      </c>
      <c r="AD128" s="559">
        <v>240</v>
      </c>
      <c r="AE128" s="559">
        <v>19</v>
      </c>
      <c r="AF128" s="559">
        <v>5</v>
      </c>
      <c r="AG128" s="559">
        <v>57</v>
      </c>
    </row>
    <row r="129">
      <c r="A129" s="562" t="s">
        <v>1216</v>
      </c>
      <c r="B129" s="563" t="s">
        <v>1158</v>
      </c>
      <c r="C129" s="563"/>
      <c r="D129" s="563">
        <f>SUM(D125:D128)</f>
      </c>
      <c r="E129" s="563">
        <f>SUM(E125:E128)</f>
      </c>
      <c r="F129" s="563">
        <f>SUM(F125:F128)</f>
      </c>
      <c r="G129" s="563">
        <f>SUM(G125:G128)</f>
      </c>
      <c r="H129" s="563">
        <f>SUM(H125:H128)</f>
      </c>
      <c r="I129" s="564">
        <f t="shared" si="3"/>
      </c>
      <c r="J129" s="564">
        <f t="shared" si="1"/>
      </c>
      <c r="K129" s="564">
        <f t="shared" si="5"/>
      </c>
      <c r="L129" s="563"/>
      <c r="M129" s="565">
        <f>SUM(M125:M128)</f>
      </c>
      <c r="N129" s="563"/>
      <c r="O129" s="563"/>
      <c r="P129" s="563"/>
      <c r="Q129" s="566">
        <f>AVERAGE(Q125:Q128)</f>
      </c>
      <c r="R129" s="567">
        <f>AVERAGE(R125:R128)</f>
      </c>
      <c r="S129" s="567">
        <f>AVERAGE(S125:S128)</f>
      </c>
      <c r="T129" s="567">
        <f>AVERAGE(T125:T128)</f>
      </c>
      <c r="U129" s="567">
        <f>AVERAGE(U125:U128)</f>
      </c>
      <c r="V129" s="568">
        <f>SUM(V125:V128)</f>
      </c>
      <c r="W129" s="567">
        <f>AVERAGE(W125:W128)</f>
      </c>
      <c r="X129" s="568"/>
      <c r="Y129" s="566">
        <f>AVERAGE(Y125:Y128)</f>
      </c>
      <c r="Z129" s="568">
        <f>SUM(Z125:Z128)</f>
      </c>
      <c r="AA129" s="568">
        <f>SUM(AA125:AA128)</f>
      </c>
      <c r="AB129" s="568">
        <f>SUM(AB125:AB128)</f>
      </c>
      <c r="AC129" s="568">
        <f>SUM(AC125:AC128)</f>
      </c>
      <c r="AD129" s="568">
        <f>SUM(AD125:AD128)</f>
      </c>
      <c r="AE129" s="568">
        <f>SUM(AE125:AE128)</f>
      </c>
      <c r="AF129" s="568">
        <f>SUM(AF125:AF128)</f>
      </c>
      <c r="AG129" s="568">
        <f>SUM(AG125:AG128)</f>
      </c>
    </row>
    <row r="130">
      <c r="A130" s="552" t="s">
        <v>1219</v>
      </c>
      <c r="B130" s="552" t="s">
        <v>1160</v>
      </c>
      <c r="C130" s="552" t="s">
        <v>1198</v>
      </c>
      <c r="D130" s="552">
        <v>5</v>
      </c>
      <c r="E130" s="552">
        <v>13</v>
      </c>
      <c r="F130" s="552">
        <v>17</v>
      </c>
      <c r="G130" s="553">
        <v>39824.11</v>
      </c>
      <c r="H130" s="554">
        <v>11596.92</v>
      </c>
      <c r="I130" s="555">
        <f t="shared" si="3"/>
      </c>
      <c r="J130" s="555">
        <f t="shared" si="1"/>
      </c>
      <c r="K130" s="555">
        <f t="shared" si="5"/>
      </c>
      <c r="L130" s="552" t="s">
        <v>1157</v>
      </c>
      <c r="M130" s="556">
        <v>7</v>
      </c>
      <c r="N130" s="553"/>
      <c r="O130" s="553"/>
      <c r="P130" s="553"/>
      <c r="Q130" s="557">
        <v>3.699948947032546</v>
      </c>
      <c r="R130" s="558">
        <v>0.3440978217304792</v>
      </c>
      <c r="S130" s="558">
        <v>0.022418862174787006</v>
      </c>
      <c r="T130" s="558">
        <v>0.02340603606761426</v>
      </c>
      <c r="U130" s="558">
        <v>0.10452322738386308</v>
      </c>
      <c r="V130" s="559">
        <v>48102.46679316888</v>
      </c>
      <c r="W130" s="558">
        <v>0.010539999999999999</v>
      </c>
      <c r="X130" s="559">
        <v>55.4</v>
      </c>
      <c r="Y130" s="560">
        <v>82.94864549727096</v>
      </c>
      <c r="Z130" s="559">
        <v>139793</v>
      </c>
      <c r="AA130" s="559">
        <v>3134</v>
      </c>
      <c r="AB130" s="559">
        <v>507</v>
      </c>
      <c r="AC130" s="559">
        <v>3272</v>
      </c>
      <c r="AD130" s="559">
        <v>342</v>
      </c>
      <c r="AE130" s="559">
        <v>14</v>
      </c>
      <c r="AF130" s="559">
        <v>7</v>
      </c>
      <c r="AG130" s="559">
        <v>85</v>
      </c>
    </row>
    <row r="131">
      <c r="A131" s="552" t="s">
        <v>1219</v>
      </c>
      <c r="B131" s="552" t="s">
        <v>1148</v>
      </c>
      <c r="C131" s="552" t="s">
        <v>1213</v>
      </c>
      <c r="D131" s="552">
        <v>4</v>
      </c>
      <c r="E131" s="552">
        <v>5</v>
      </c>
      <c r="F131" s="552">
        <v>12</v>
      </c>
      <c r="G131" s="553">
        <v>34961.39</v>
      </c>
      <c r="H131" s="554">
        <v>9786.119999999999</v>
      </c>
      <c r="I131" s="555">
        <f t="shared" si="3"/>
      </c>
      <c r="J131" s="555">
        <f t="shared" si="1"/>
      </c>
      <c r="K131" s="555">
        <f t="shared" si="5"/>
      </c>
      <c r="L131" s="575"/>
      <c r="M131" s="552"/>
      <c r="N131" s="553"/>
      <c r="O131" s="553"/>
      <c r="P131" s="553"/>
      <c r="Q131" s="561">
        <v>3.456771458848463</v>
      </c>
      <c r="R131" s="558">
        <v>0.3646451123244748</v>
      </c>
      <c r="S131" s="558">
        <v>0.02100631450852941</v>
      </c>
      <c r="T131" s="558">
        <v>0.022275152297635215</v>
      </c>
      <c r="U131" s="558">
        <v>0.09693537641572285</v>
      </c>
      <c r="V131" s="559">
        <v>49142.85714285714</v>
      </c>
      <c r="W131" s="558">
        <v>0.00875</v>
      </c>
      <c r="X131" s="559">
        <v>54</v>
      </c>
      <c r="Y131" s="560">
        <v>72.61402844867884</v>
      </c>
      <c r="Z131" s="559">
        <v>134769</v>
      </c>
      <c r="AA131" s="559">
        <v>2831</v>
      </c>
      <c r="AB131" s="559">
        <v>430</v>
      </c>
      <c r="AC131" s="559">
        <v>3002</v>
      </c>
      <c r="AD131" s="559">
        <v>291</v>
      </c>
      <c r="AE131" s="559">
        <v>19</v>
      </c>
      <c r="AF131" s="559">
        <v>4</v>
      </c>
      <c r="AG131" s="559">
        <v>80</v>
      </c>
    </row>
    <row r="132">
      <c r="A132" s="552" t="s">
        <v>1219</v>
      </c>
      <c r="B132" s="552" t="s">
        <v>1218</v>
      </c>
      <c r="C132" s="552" t="s">
        <v>1215</v>
      </c>
      <c r="D132" s="552">
        <v>2</v>
      </c>
      <c r="E132" s="552">
        <v>8</v>
      </c>
      <c r="F132" s="552">
        <v>8</v>
      </c>
      <c r="G132" s="553">
        <v>15978.11</v>
      </c>
      <c r="H132" s="554">
        <v>4471.59</v>
      </c>
      <c r="I132" s="555">
        <f t="shared" si="3"/>
      </c>
      <c r="J132" s="555">
        <f t="shared" si="1"/>
      </c>
      <c r="K132" s="576">
        <f t="shared" si="5"/>
      </c>
      <c r="L132" s="577"/>
      <c r="M132" s="578"/>
      <c r="N132" s="553"/>
      <c r="O132" s="553"/>
      <c r="P132" s="553"/>
      <c r="Q132" s="561">
        <v>3.496161063330727</v>
      </c>
      <c r="R132" s="558">
        <v>0.3898851648111129</v>
      </c>
      <c r="S132" s="558">
        <v>0.01866254213298703</v>
      </c>
      <c r="T132" s="558">
        <v>0.019494258240555645</v>
      </c>
      <c r="U132" s="558">
        <v>0.11751497005988024</v>
      </c>
      <c r="V132" s="559">
        <v>26720</v>
      </c>
      <c r="W132" s="558">
        <v>0.00625</v>
      </c>
      <c r="X132" s="559">
        <v>54</v>
      </c>
      <c r="Y132" s="560">
        <v>65.24725314811843</v>
      </c>
      <c r="Z132" s="559">
        <v>68533</v>
      </c>
      <c r="AA132" s="559">
        <v>1279</v>
      </c>
      <c r="AB132" s="559">
        <v>167</v>
      </c>
      <c r="AC132" s="559">
        <v>1336</v>
      </c>
      <c r="AD132" s="559">
        <v>157</v>
      </c>
      <c r="AE132" s="559">
        <v>11</v>
      </c>
      <c r="AF132" s="559">
        <v>1</v>
      </c>
      <c r="AG132" s="559">
        <v>43</v>
      </c>
    </row>
    <row r="133">
      <c r="A133" s="552" t="s">
        <v>1219</v>
      </c>
      <c r="B133" s="552" t="s">
        <v>1195</v>
      </c>
      <c r="C133" s="552" t="s">
        <v>1171</v>
      </c>
      <c r="D133" s="552">
        <v>4</v>
      </c>
      <c r="E133" s="552">
        <v>8</v>
      </c>
      <c r="F133" s="552">
        <v>10</v>
      </c>
      <c r="G133" s="553">
        <v>20260.590000000026</v>
      </c>
      <c r="H133" s="554">
        <v>9317.79</v>
      </c>
      <c r="I133" s="555">
        <f t="shared" si="3"/>
      </c>
      <c r="J133" s="555">
        <f t="shared" si="1"/>
      </c>
      <c r="K133" s="555">
        <f t="shared" si="5"/>
      </c>
      <c r="L133" s="579" t="s">
        <v>1153</v>
      </c>
      <c r="M133" s="552">
        <v>8</v>
      </c>
      <c r="N133" s="553"/>
      <c r="O133" s="553"/>
      <c r="P133" s="553"/>
      <c r="Q133" s="560">
        <v>4.1210924369747906</v>
      </c>
      <c r="R133" s="558">
        <v>0.4089094864438498</v>
      </c>
      <c r="S133" s="558">
        <v>0.016776979698444733</v>
      </c>
      <c r="T133" s="558">
        <v>0.018112608334322686</v>
      </c>
      <c r="U133" s="558">
        <v>0.08111429741909054</v>
      </c>
      <c r="V133" s="559">
        <v>55107.91366906475</v>
      </c>
      <c r="W133" s="558">
        <v>0.00695</v>
      </c>
      <c r="X133" s="559">
        <v>52.5</v>
      </c>
      <c r="Y133" s="560">
        <v>69.1394841505402</v>
      </c>
      <c r="Z133" s="559">
        <v>134768</v>
      </c>
      <c r="AA133" s="559">
        <v>2261</v>
      </c>
      <c r="AB133" s="559">
        <v>383</v>
      </c>
      <c r="AC133" s="559">
        <v>2441</v>
      </c>
      <c r="AD133" s="559">
        <v>198</v>
      </c>
      <c r="AE133" s="559">
        <v>25</v>
      </c>
      <c r="AF133" s="559">
        <v>5</v>
      </c>
      <c r="AG133" s="559">
        <v>61</v>
      </c>
    </row>
    <row r="134">
      <c r="A134" s="562" t="s">
        <v>1219</v>
      </c>
      <c r="B134" s="563" t="s">
        <v>1158</v>
      </c>
      <c r="C134" s="563"/>
      <c r="D134" s="563">
        <f>SUM(D130:D133)</f>
      </c>
      <c r="E134" s="563">
        <f>SUM(E130:E133)</f>
      </c>
      <c r="F134" s="563">
        <f>SUM(F130:F133)</f>
      </c>
      <c r="G134" s="563">
        <f>SUM(G130:G133)</f>
      </c>
      <c r="H134" s="563">
        <f>SUM(H130:H133)</f>
      </c>
      <c r="I134" s="564">
        <f t="shared" si="3"/>
      </c>
      <c r="J134" s="564">
        <f t="shared" si="1"/>
      </c>
      <c r="K134" s="564">
        <f t="shared" si="5"/>
      </c>
      <c r="L134" s="563"/>
      <c r="M134" s="565">
        <f>SUM(M130:M133)</f>
      </c>
      <c r="N134" s="563"/>
      <c r="O134" s="563"/>
      <c r="P134" s="563"/>
      <c r="Q134" s="566">
        <f>AVERAGE(Q130:Q133)</f>
      </c>
      <c r="R134" s="567">
        <f>AVERAGE(R130:R133)</f>
      </c>
      <c r="S134" s="567">
        <f>AVERAGE(S130:S133)</f>
      </c>
      <c r="T134" s="567">
        <f>AVERAGE(T130:T133)</f>
      </c>
      <c r="U134" s="567">
        <f>AVERAGE(U130:U133)</f>
      </c>
      <c r="V134" s="568">
        <f>SUM(V130:V133)</f>
      </c>
      <c r="W134" s="567">
        <f>AVERAGE(W130:W133)</f>
      </c>
      <c r="X134" s="568"/>
      <c r="Y134" s="566">
        <f>AVERAGE(Y130:Y133)</f>
      </c>
      <c r="Z134" s="568">
        <f>SUM(Z130:Z133)</f>
      </c>
      <c r="AA134" s="568">
        <f>SUM(AA130:AA133)</f>
      </c>
      <c r="AB134" s="568">
        <f>SUM(AB130:AB133)</f>
      </c>
      <c r="AC134" s="568">
        <f>SUM(AC130:AC133)</f>
      </c>
      <c r="AD134" s="568">
        <f>SUM(AD130:AD133)</f>
      </c>
      <c r="AE134" s="568">
        <f>SUM(AE130:AE133)</f>
      </c>
      <c r="AF134" s="568">
        <f>SUM(AF130:AF133)</f>
      </c>
      <c r="AG134" s="568">
        <f>SUM(AG130:AG133)</f>
      </c>
    </row>
    <row r="135">
      <c r="A135" s="552" t="s">
        <v>1220</v>
      </c>
      <c r="B135" s="552" t="s">
        <v>1160</v>
      </c>
      <c r="C135" s="552" t="s">
        <v>1193</v>
      </c>
      <c r="D135" s="552">
        <v>4</v>
      </c>
      <c r="E135" s="552">
        <v>15</v>
      </c>
      <c r="F135" s="552">
        <v>17</v>
      </c>
      <c r="G135" s="552">
        <v>34698.14</v>
      </c>
      <c r="H135" s="561">
        <v>11192.24</v>
      </c>
      <c r="I135" s="555">
        <f t="shared" si="3"/>
      </c>
      <c r="J135" s="555">
        <f t="shared" si="1"/>
      </c>
      <c r="K135" s="555">
        <f t="shared" si="5"/>
      </c>
      <c r="L135" s="552" t="s">
        <v>1221</v>
      </c>
      <c r="M135" s="556">
        <v>7</v>
      </c>
      <c r="N135" s="553"/>
      <c r="O135" s="553"/>
      <c r="P135" s="553"/>
      <c r="Q135" s="580">
        <v>3.325086155674391</v>
      </c>
      <c r="R135" s="581">
        <v>0.35703558677911923</v>
      </c>
      <c r="S135" s="558">
        <v>0.024679047737753958</v>
      </c>
      <c r="T135" s="558">
        <v>0.026138088290283083</v>
      </c>
      <c r="U135" s="558">
        <v>0.08330995792426367</v>
      </c>
      <c r="V135" s="559">
        <v>48696.44071639085</v>
      </c>
      <c r="W135" s="558">
        <v>0.011027499999999999</v>
      </c>
      <c r="X135" s="559">
        <v>46.75</v>
      </c>
      <c r="Y135" s="560">
        <v>82.05995996803308</v>
      </c>
      <c r="Z135" s="559">
        <v>136391</v>
      </c>
      <c r="AA135" s="559">
        <v>3366</v>
      </c>
      <c r="AB135" s="559">
        <v>537</v>
      </c>
      <c r="AC135" s="559">
        <v>3565</v>
      </c>
      <c r="AD135" s="559">
        <v>297</v>
      </c>
      <c r="AE135" s="559">
        <v>26</v>
      </c>
      <c r="AF135" s="559">
        <v>8</v>
      </c>
      <c r="AG135" s="559">
        <v>94</v>
      </c>
    </row>
    <row r="136">
      <c r="A136" s="552" t="s">
        <v>1220</v>
      </c>
      <c r="B136" s="552" t="s">
        <v>1148</v>
      </c>
      <c r="C136" s="552" t="s">
        <v>1217</v>
      </c>
      <c r="D136" s="552">
        <v>5</v>
      </c>
      <c r="E136" s="552">
        <v>16</v>
      </c>
      <c r="F136" s="552">
        <v>22</v>
      </c>
      <c r="G136" s="552">
        <v>44613.09</v>
      </c>
      <c r="H136" s="561">
        <v>14189.77</v>
      </c>
      <c r="I136" s="555">
        <f t="shared" si="3"/>
      </c>
      <c r="J136" s="555">
        <f t="shared" si="1"/>
      </c>
      <c r="K136" s="555">
        <f t="shared" si="5"/>
      </c>
      <c r="L136" s="575"/>
      <c r="M136" s="575"/>
      <c r="N136" s="553"/>
      <c r="O136" s="553"/>
      <c r="P136" s="553"/>
      <c r="Q136" s="561">
        <v>4.043821601595896</v>
      </c>
      <c r="R136" s="558">
        <v>0.2978339074484951</v>
      </c>
      <c r="S136" s="581">
        <v>0.019651437595905062</v>
      </c>
      <c r="T136" s="558">
        <v>0.02064829022972413</v>
      </c>
      <c r="U136" s="581">
        <v>0.0930295633306211</v>
      </c>
      <c r="V136" s="559">
        <v>53181.818181818184</v>
      </c>
      <c r="W136" s="558">
        <v>0.0132</v>
      </c>
      <c r="X136" s="559">
        <v>47.8</v>
      </c>
      <c r="Y136" s="560">
        <v>79.46690785273462</v>
      </c>
      <c r="Z136" s="559">
        <v>178562</v>
      </c>
      <c r="AA136" s="559">
        <v>3509</v>
      </c>
      <c r="AB136" s="559">
        <v>702</v>
      </c>
      <c r="AC136" s="559">
        <v>3687</v>
      </c>
      <c r="AD136" s="559">
        <v>343</v>
      </c>
      <c r="AE136" s="559">
        <v>32</v>
      </c>
      <c r="AF136" s="559">
        <v>7</v>
      </c>
      <c r="AG136" s="559">
        <v>133</v>
      </c>
    </row>
    <row r="137">
      <c r="A137" s="552" t="s">
        <v>1220</v>
      </c>
      <c r="B137" s="552" t="s">
        <v>1214</v>
      </c>
      <c r="C137" s="552" t="s">
        <v>1215</v>
      </c>
      <c r="D137" s="552">
        <v>2</v>
      </c>
      <c r="E137" s="552">
        <v>2</v>
      </c>
      <c r="F137" s="552">
        <v>3</v>
      </c>
      <c r="G137" s="552">
        <v>3931.08</v>
      </c>
      <c r="H137" s="561">
        <v>4595.12</v>
      </c>
      <c r="I137" s="555">
        <f t="shared" si="3"/>
      </c>
      <c r="J137" s="555">
        <f t="shared" si="1"/>
      </c>
      <c r="K137" s="576">
        <f t="shared" si="5"/>
      </c>
      <c r="L137" s="582" t="s">
        <v>1153</v>
      </c>
      <c r="M137" s="582">
        <v>1</v>
      </c>
      <c r="N137" s="583"/>
      <c r="O137" s="553"/>
      <c r="P137" s="553"/>
      <c r="Q137" s="561">
        <v>4.099125780553077</v>
      </c>
      <c r="R137" s="558">
        <v>0.3285922480630395</v>
      </c>
      <c r="S137" s="558">
        <v>0.017399537461002375</v>
      </c>
      <c r="T137" s="558">
        <v>0.0182532168190355</v>
      </c>
      <c r="U137" s="558">
        <v>0.05952380952380952</v>
      </c>
      <c r="V137" s="559">
        <v>21170.212765957447</v>
      </c>
      <c r="W137" s="558">
        <v>0.0094</v>
      </c>
      <c r="X137" s="559">
        <v>47.5</v>
      </c>
      <c r="Y137" s="560">
        <v>71.32289257609386</v>
      </c>
      <c r="Z137" s="559">
        <v>64427</v>
      </c>
      <c r="AA137" s="559">
        <v>1121</v>
      </c>
      <c r="AB137" s="559">
        <v>199</v>
      </c>
      <c r="AC137" s="559">
        <v>1176</v>
      </c>
      <c r="AD137" s="559">
        <v>70</v>
      </c>
      <c r="AE137" s="559">
        <v>6</v>
      </c>
      <c r="AF137" s="559">
        <v>4</v>
      </c>
      <c r="AG137" s="559">
        <v>40</v>
      </c>
    </row>
    <row r="138">
      <c r="A138" s="552" t="s">
        <v>1220</v>
      </c>
      <c r="B138" s="552" t="s">
        <v>1195</v>
      </c>
      <c r="C138" s="552" t="s">
        <v>1171</v>
      </c>
      <c r="D138" s="552">
        <v>4</v>
      </c>
      <c r="E138" s="552">
        <v>11</v>
      </c>
      <c r="F138" s="552">
        <v>17</v>
      </c>
      <c r="G138" s="552">
        <v>31740.66</v>
      </c>
      <c r="H138" s="561">
        <v>10222.22</v>
      </c>
      <c r="I138" s="555">
        <f t="shared" si="3"/>
      </c>
      <c r="J138" s="555">
        <f t="shared" si="1"/>
      </c>
      <c r="K138" s="576">
        <f t="shared" si="5"/>
      </c>
      <c r="L138" s="584" t="s">
        <v>1222</v>
      </c>
      <c r="M138" s="584">
        <v>7</v>
      </c>
      <c r="N138" s="583"/>
      <c r="O138" s="553"/>
      <c r="P138" s="553"/>
      <c r="Q138" s="560">
        <v>4.248636741479634</v>
      </c>
      <c r="R138" s="558">
        <v>0.2764409663886548</v>
      </c>
      <c r="S138" s="558">
        <v>0.01889815731184316</v>
      </c>
      <c r="T138" s="558">
        <v>0.01980143582009834</v>
      </c>
      <c r="U138" s="558">
        <v>0.12455374851249504</v>
      </c>
      <c r="V138" s="559">
        <v>35194.805194805194</v>
      </c>
      <c r="W138" s="558">
        <v>0.0154</v>
      </c>
      <c r="X138" s="559">
        <v>49.25</v>
      </c>
      <c r="Y138" s="560">
        <v>80.29140550135885</v>
      </c>
      <c r="Z138" s="559">
        <v>127314</v>
      </c>
      <c r="AA138" s="559">
        <v>2406</v>
      </c>
      <c r="AB138" s="559">
        <v>542</v>
      </c>
      <c r="AC138" s="559">
        <v>2521</v>
      </c>
      <c r="AD138" s="559">
        <v>314</v>
      </c>
      <c r="AE138" s="559">
        <v>25</v>
      </c>
      <c r="AF138" s="559">
        <v>11</v>
      </c>
      <c r="AG138" s="559">
        <v>111</v>
      </c>
    </row>
    <row r="139">
      <c r="A139" s="562" t="s">
        <v>1220</v>
      </c>
      <c r="B139" s="563" t="s">
        <v>1158</v>
      </c>
      <c r="C139" s="563"/>
      <c r="D139" s="563">
        <f>SUM(D135:D138)</f>
      </c>
      <c r="E139" s="563">
        <f>SUM(E135:E138)</f>
      </c>
      <c r="F139" s="563">
        <f>SUM(F135:F138)</f>
      </c>
      <c r="G139" s="563">
        <f>SUM(G135:G138)</f>
      </c>
      <c r="H139" s="563">
        <f>SUM(H135:H138)</f>
      </c>
      <c r="I139" s="564">
        <f t="shared" si="3"/>
      </c>
      <c r="J139" s="564">
        <f t="shared" si="1"/>
      </c>
      <c r="K139" s="564">
        <f t="shared" si="5"/>
      </c>
      <c r="L139" s="585"/>
      <c r="M139" s="586">
        <f>SUM(M135:M137)</f>
      </c>
      <c r="N139" s="563"/>
      <c r="O139" s="563"/>
      <c r="P139" s="563"/>
      <c r="Q139" s="566">
        <f>AVERAGE(Q135:Q138)</f>
      </c>
      <c r="R139" s="567">
        <f>AVERAGE(R135:R138)</f>
      </c>
      <c r="S139" s="567">
        <f>AVERAGE(S135:S138)</f>
      </c>
      <c r="T139" s="567">
        <f>AVERAGE(T135:T138)</f>
      </c>
      <c r="U139" s="567">
        <f>AVERAGE(U135:U138)</f>
      </c>
      <c r="V139" s="568">
        <f>SUM(V135:V138)</f>
      </c>
      <c r="W139" s="567">
        <f>AVERAGE(W135:W138)</f>
      </c>
      <c r="X139" s="568"/>
      <c r="Y139" s="566">
        <f>AVERAGE(Y135:Y138)</f>
      </c>
      <c r="Z139" s="568">
        <f>SUM(Z135:Z138)</f>
      </c>
      <c r="AA139" s="568">
        <f>SUM(AA135:AA138)</f>
      </c>
      <c r="AB139" s="568">
        <f>SUM(AB135:AB138)</f>
      </c>
      <c r="AC139" s="568">
        <f>SUM(AC135:AC138)</f>
      </c>
      <c r="AD139" s="568">
        <f>SUM(AD135:AD138)</f>
      </c>
      <c r="AE139" s="568">
        <f>SUM(AE135:AE138)</f>
      </c>
      <c r="AF139" s="568">
        <f>SUM(AF135:AF138)</f>
      </c>
      <c r="AG139" s="568">
        <f>SUM(AG135:AG138)</f>
      </c>
    </row>
    <row r="140">
      <c r="H140" s="587"/>
      <c r="I140" s="588"/>
    </row>
  </sheetData>
  <autoFilter ref="A1:AG14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3" min="3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</cols>
  <sheetData>
    <row customHeight="true" ht="16.071428571428573" r="1">
      <c r="A1" s="589" t="s">
        <v>1223</v>
      </c>
      <c r="B1" s="590" t="s">
        <v>1224</v>
      </c>
      <c r="C1" s="590" t="s">
        <v>1225</v>
      </c>
      <c r="D1" s="590" t="s">
        <v>1226</v>
      </c>
      <c r="E1" s="589" t="s">
        <v>1227</v>
      </c>
      <c r="F1" s="590" t="s">
        <v>1228</v>
      </c>
      <c r="G1" s="590" t="s">
        <v>1229</v>
      </c>
      <c r="H1" s="590" t="s">
        <v>1230</v>
      </c>
      <c r="I1" s="591" t="s">
        <v>1231</v>
      </c>
      <c r="J1" s="591" t="s">
        <v>1232</v>
      </c>
      <c r="K1" s="591" t="s">
        <v>1233</v>
      </c>
      <c r="L1" s="590" t="s">
        <v>1234</v>
      </c>
      <c r="M1" s="592" t="s">
        <v>1235</v>
      </c>
      <c r="N1" s="590" t="s">
        <v>1236</v>
      </c>
      <c r="O1" s="590" t="s">
        <v>1237</v>
      </c>
      <c r="P1" s="590"/>
      <c r="Q1" s="590" t="s">
        <v>1238</v>
      </c>
      <c r="R1" s="593" t="s">
        <v>1239</v>
      </c>
      <c r="S1" s="593" t="s">
        <v>1240</v>
      </c>
      <c r="T1" s="593" t="s">
        <v>1241</v>
      </c>
      <c r="U1" s="593" t="s">
        <v>1242</v>
      </c>
      <c r="V1" s="594" t="s">
        <v>1243</v>
      </c>
      <c r="W1" s="593" t="s">
        <v>1244</v>
      </c>
      <c r="X1" s="594" t="s">
        <v>1245</v>
      </c>
      <c r="Y1" s="595" t="s">
        <v>1246</v>
      </c>
      <c r="Z1" s="596" t="s">
        <v>1247</v>
      </c>
      <c r="AA1" s="594" t="s">
        <v>1248</v>
      </c>
      <c r="AB1" s="594" t="s">
        <v>1249</v>
      </c>
      <c r="AC1" s="594" t="s">
        <v>1250</v>
      </c>
      <c r="AD1" s="594" t="s">
        <v>1251</v>
      </c>
      <c r="AE1" s="594" t="s">
        <v>1252</v>
      </c>
      <c r="AF1" s="594" t="s">
        <v>1253</v>
      </c>
      <c r="AG1" s="594" t="s">
        <v>1254</v>
      </c>
    </row>
    <row r="2">
      <c r="A2" s="597" t="s">
        <v>1255</v>
      </c>
      <c r="B2" s="597" t="s">
        <v>1256</v>
      </c>
      <c r="C2" s="597" t="s">
        <v>1257</v>
      </c>
      <c r="D2" s="597">
        <v>4</v>
      </c>
      <c r="E2" s="597">
        <v>12</v>
      </c>
      <c r="F2" s="597">
        <v>14</v>
      </c>
      <c r="G2" s="598">
        <v>29388.21</v>
      </c>
      <c r="H2" s="599">
        <v>8763.1</v>
      </c>
      <c r="I2" s="600">
        <f t="shared" ref="I2:I94" si="0">G2/H2</f>
      </c>
      <c r="J2" s="600">
        <f t="shared" ref="J2:J93" si="2">G2/F2</f>
      </c>
      <c r="K2" s="600">
        <f t="shared" ref="K2:K93" si="1">H2/F2</f>
      </c>
      <c r="L2" s="597"/>
      <c r="M2" s="601"/>
      <c r="N2" s="598"/>
      <c r="O2" s="598"/>
      <c r="P2" s="598"/>
      <c r="Q2" s="602">
        <v>3.4057909055577147</v>
      </c>
      <c r="R2" s="603">
        <v>0.24395063747436135</v>
      </c>
      <c r="S2" s="603">
        <v>0.026299650428276467</v>
      </c>
      <c r="T2" s="603">
        <v>0.02768976020606333</v>
      </c>
      <c r="U2" s="603">
        <v>0.07345884090070137</v>
      </c>
      <c r="V2" s="604">
        <v>23866.666666666668</v>
      </c>
      <c r="W2" s="603">
        <v>0.015</v>
      </c>
      <c r="X2" s="604">
        <v>44.5</v>
      </c>
      <c r="Y2" s="605">
        <v>89.57111024797105</v>
      </c>
      <c r="Z2" s="604">
        <v>97834</v>
      </c>
      <c r="AA2" s="604">
        <v>2573</v>
      </c>
      <c r="AB2" s="604">
        <v>358</v>
      </c>
      <c r="AC2" s="604">
        <v>2709</v>
      </c>
      <c r="AD2" s="604">
        <v>199</v>
      </c>
      <c r="AE2" s="604">
        <v>18</v>
      </c>
      <c r="AF2" s="604">
        <v>3</v>
      </c>
      <c r="AG2" s="604">
        <v>77</v>
      </c>
    </row>
    <row r="3">
      <c r="A3" s="597" t="s">
        <v>1255</v>
      </c>
      <c r="B3" s="597" t="s">
        <v>1258</v>
      </c>
      <c r="C3" s="597" t="s">
        <v>1259</v>
      </c>
      <c r="D3" s="597">
        <v>4</v>
      </c>
      <c r="E3" s="597">
        <v>13</v>
      </c>
      <c r="F3" s="597">
        <v>16</v>
      </c>
      <c r="G3" s="598">
        <v>32309.93</v>
      </c>
      <c r="H3" s="599">
        <v>8861.220000000001</v>
      </c>
      <c r="I3" s="600">
        <f t="shared" si="0"/>
      </c>
      <c r="J3" s="600">
        <f t="shared" si="2"/>
      </c>
      <c r="K3" s="600">
        <f t="shared" si="1"/>
      </c>
      <c r="L3" s="597" t="s">
        <v>1260</v>
      </c>
      <c r="M3" s="601">
        <v>3.2</v>
      </c>
      <c r="N3" s="598"/>
      <c r="O3" s="598"/>
      <c r="P3" s="598"/>
      <c r="Q3" s="605">
        <v>2.8346833013435706</v>
      </c>
      <c r="R3" s="603">
        <v>0.23022625295262003</v>
      </c>
      <c r="S3" s="603">
        <v>0.031733463272018515</v>
      </c>
      <c r="T3" s="603">
        <v>0.033844966906241114</v>
      </c>
      <c r="U3" s="603">
        <v>0.06958608278344332</v>
      </c>
      <c r="V3" s="604">
        <v>22679.127725856695</v>
      </c>
      <c r="W3" s="603">
        <v>0.016050000000000002</v>
      </c>
      <c r="X3" s="604">
        <v>43</v>
      </c>
      <c r="Y3" s="605">
        <v>89.95431843099038</v>
      </c>
      <c r="Z3" s="604">
        <v>98508</v>
      </c>
      <c r="AA3" s="604">
        <v>3126</v>
      </c>
      <c r="AB3" s="604">
        <v>364</v>
      </c>
      <c r="AC3" s="604">
        <v>3334</v>
      </c>
      <c r="AD3" s="604">
        <v>232</v>
      </c>
      <c r="AE3" s="604">
        <v>28</v>
      </c>
      <c r="AF3" s="604">
        <v>9</v>
      </c>
      <c r="AG3" s="604">
        <v>91</v>
      </c>
    </row>
    <row r="4">
      <c r="A4" s="606" t="s">
        <v>1255</v>
      </c>
      <c r="B4" s="607" t="s">
        <v>1261</v>
      </c>
      <c r="C4" s="607"/>
      <c r="D4" s="607">
        <f>SUM(D2:D3)</f>
      </c>
      <c r="E4" s="607">
        <f>E2+E3</f>
      </c>
      <c r="F4" s="607">
        <f>SUM(F2:F3)</f>
      </c>
      <c r="G4" s="607">
        <f>SUM(G2:G3)</f>
      </c>
      <c r="H4" s="607">
        <f>SUM(H2:H3)</f>
      </c>
      <c r="I4" s="608">
        <f t="shared" si="0"/>
      </c>
      <c r="J4" s="608">
        <f t="shared" si="2"/>
      </c>
      <c r="K4" s="608">
        <f t="shared" si="1"/>
      </c>
      <c r="L4" s="607"/>
      <c r="M4" s="609">
        <f>SUM(M2:M3)</f>
      </c>
      <c r="N4" s="607"/>
      <c r="O4" s="607"/>
      <c r="P4" s="607"/>
      <c r="Q4" s="610">
        <f>AVERAGE(Q2:Q3)</f>
      </c>
      <c r="R4" s="611">
        <f>AVERAGE(R2:R3)</f>
      </c>
      <c r="S4" s="611">
        <f>AVERAGE(S2:S3)</f>
      </c>
      <c r="T4" s="611">
        <f>AVERAGE(T2:T3)</f>
      </c>
      <c r="U4" s="611">
        <f>AVERAGE(U2:U3)</f>
      </c>
      <c r="V4" s="612">
        <f>SUM(V2:V3)</f>
      </c>
      <c r="W4" s="611">
        <f>AVERAGE(W2:W3)</f>
      </c>
      <c r="X4" s="612"/>
      <c r="Y4" s="610">
        <f>AVERAGE(Y2:Y3)</f>
      </c>
      <c r="Z4" s="612">
        <f>SUM(Z2:Z3)</f>
      </c>
      <c r="AA4" s="612">
        <f>SUM(AA2:AA3)</f>
      </c>
      <c r="AB4" s="612">
        <f>SUM(AB2:AB3)</f>
      </c>
      <c r="AC4" s="612">
        <f>SUM(AC2:AC3)</f>
      </c>
      <c r="AD4" s="612">
        <f>SUM(AD2:AD3)</f>
      </c>
      <c r="AE4" s="612">
        <f>SUM(AE2:AE3)</f>
      </c>
      <c r="AF4" s="612">
        <f>SUM(AF2:AF3)</f>
      </c>
      <c r="AG4" s="612">
        <f>SUM(AG2:AG3)</f>
      </c>
    </row>
    <row r="5">
      <c r="A5" s="597" t="s">
        <v>1262</v>
      </c>
      <c r="B5" s="597" t="s">
        <v>1256</v>
      </c>
      <c r="C5" s="597" t="s">
        <v>1263</v>
      </c>
      <c r="D5" s="597">
        <v>3</v>
      </c>
      <c r="E5" s="597">
        <v>7</v>
      </c>
      <c r="F5" s="613">
        <v>8</v>
      </c>
      <c r="G5" s="614">
        <v>17520.91</v>
      </c>
      <c r="H5" s="599">
        <v>5695.9</v>
      </c>
      <c r="I5" s="600">
        <f t="shared" si="0"/>
      </c>
      <c r="J5" s="600">
        <f t="shared" si="2"/>
      </c>
      <c r="K5" s="600">
        <f t="shared" si="1"/>
      </c>
      <c r="L5" s="597"/>
      <c r="M5" s="601"/>
      <c r="N5" s="598"/>
      <c r="O5" s="598"/>
      <c r="P5" s="598"/>
      <c r="Q5" s="602">
        <v>3.639552715654952</v>
      </c>
      <c r="R5" s="603">
        <v>0.28502576047050954</v>
      </c>
      <c r="S5" s="603">
        <v>0.023331743097382073</v>
      </c>
      <c r="T5" s="603">
        <v>0.02492694853598903</v>
      </c>
      <c r="U5" s="603">
        <v>0.11961722488038277</v>
      </c>
      <c r="V5" s="604">
        <v>19118.3879093199</v>
      </c>
      <c r="W5" s="603">
        <v>0.013233333333333333</v>
      </c>
      <c r="X5" s="604">
        <v>43.666666666666664</v>
      </c>
      <c r="Y5" s="605">
        <v>84.9171089510406</v>
      </c>
      <c r="Z5" s="604">
        <v>67076</v>
      </c>
      <c r="AA5" s="604">
        <v>1565</v>
      </c>
      <c r="AB5" s="604">
        <v>253</v>
      </c>
      <c r="AC5" s="604">
        <v>1672</v>
      </c>
      <c r="AD5" s="604">
        <v>200</v>
      </c>
      <c r="AE5" s="604">
        <v>12</v>
      </c>
      <c r="AF5" s="604">
        <v>1</v>
      </c>
      <c r="AG5" s="604">
        <v>59</v>
      </c>
    </row>
    <row r="6">
      <c r="A6" s="597" t="s">
        <v>1262</v>
      </c>
      <c r="B6" s="597" t="s">
        <v>1258</v>
      </c>
      <c r="C6" s="597" t="s">
        <v>1264</v>
      </c>
      <c r="D6" s="597">
        <v>5</v>
      </c>
      <c r="E6" s="597">
        <v>10</v>
      </c>
      <c r="F6" s="613">
        <v>16</v>
      </c>
      <c r="G6" s="614">
        <v>32283.07</v>
      </c>
      <c r="H6" s="599">
        <v>10143.72</v>
      </c>
      <c r="I6" s="600">
        <f t="shared" si="0"/>
      </c>
      <c r="J6" s="600">
        <f t="shared" si="2"/>
      </c>
      <c r="K6" s="600">
        <f t="shared" si="1"/>
      </c>
      <c r="L6" s="597" t="s">
        <v>1260</v>
      </c>
      <c r="M6" s="601">
        <v>3.2</v>
      </c>
      <c r="N6" s="598"/>
      <c r="O6" s="598"/>
      <c r="P6" s="598"/>
      <c r="Q6" s="605">
        <v>2.8686990950226243</v>
      </c>
      <c r="R6" s="603">
        <v>0.2519335931327908</v>
      </c>
      <c r="S6" s="603">
        <v>0.03555412552536851</v>
      </c>
      <c r="T6" s="603">
        <v>0.03805779556377823</v>
      </c>
      <c r="U6" s="603">
        <v>0.07793923381770146</v>
      </c>
      <c r="V6" s="604">
        <v>25055.803571428572</v>
      </c>
      <c r="W6" s="603">
        <v>0.01792</v>
      </c>
      <c r="X6" s="604">
        <v>41.2</v>
      </c>
      <c r="Y6" s="605">
        <v>101.99408771894544</v>
      </c>
      <c r="Z6" s="604">
        <v>99454</v>
      </c>
      <c r="AA6" s="604">
        <v>3536</v>
      </c>
      <c r="AB6" s="604">
        <v>449</v>
      </c>
      <c r="AC6" s="604">
        <v>3785</v>
      </c>
      <c r="AD6" s="604">
        <v>295</v>
      </c>
      <c r="AE6" s="604">
        <v>21</v>
      </c>
      <c r="AF6" s="604">
        <v>8</v>
      </c>
      <c r="AG6" s="604">
        <v>67</v>
      </c>
    </row>
    <row r="7">
      <c r="A7" s="606" t="s">
        <v>1262</v>
      </c>
      <c r="B7" s="607" t="s">
        <v>1261</v>
      </c>
      <c r="C7" s="607"/>
      <c r="D7" s="607">
        <f>SUM(D5:D6)</f>
      </c>
      <c r="E7" s="607">
        <f>E5+E6</f>
      </c>
      <c r="F7" s="607">
        <f>SUM(F5:F6)</f>
      </c>
      <c r="G7" s="607">
        <f>SUM(G5:G6)</f>
      </c>
      <c r="H7" s="607">
        <f>SUM(H5:H6)</f>
      </c>
      <c r="I7" s="608">
        <f t="shared" si="0"/>
      </c>
      <c r="J7" s="608">
        <f t="shared" si="2"/>
      </c>
      <c r="K7" s="608">
        <f t="shared" si="1"/>
      </c>
      <c r="L7" s="607"/>
      <c r="M7" s="609">
        <f>SUM(M5:M6)</f>
      </c>
      <c r="N7" s="607"/>
      <c r="O7" s="607"/>
      <c r="P7" s="607"/>
      <c r="Q7" s="610">
        <f>AVERAGE(Q5:Q6)</f>
      </c>
      <c r="R7" s="611">
        <f>AVERAGE(R5:R6)</f>
      </c>
      <c r="S7" s="611">
        <f>AVERAGE(S5:S6)</f>
      </c>
      <c r="T7" s="611">
        <f>AVERAGE(T5:T6)</f>
      </c>
      <c r="U7" s="611">
        <f>AVERAGE(U5:U6)</f>
      </c>
      <c r="V7" s="612">
        <f>SUM(V5:V6)</f>
      </c>
      <c r="W7" s="611">
        <f>AVERAGE(W5:W6)</f>
      </c>
      <c r="X7" s="612"/>
      <c r="Y7" s="610">
        <f>AVERAGE(Y5:Y6)</f>
      </c>
      <c r="Z7" s="612">
        <f>SUM(Z5:Z6)</f>
      </c>
      <c r="AA7" s="612">
        <f>SUM(AA5:AA6)</f>
      </c>
      <c r="AB7" s="612">
        <f>SUM(AB5:AB6)</f>
      </c>
      <c r="AC7" s="612">
        <f>SUM(AC5:AC6)</f>
      </c>
      <c r="AD7" s="612">
        <f>SUM(AD5:AD6)</f>
      </c>
      <c r="AE7" s="612">
        <f>SUM(AE5:AE6)</f>
      </c>
      <c r="AF7" s="612">
        <f>SUM(AF5:AF6)</f>
      </c>
      <c r="AG7" s="612">
        <f>SUM(AG5:AG6)</f>
      </c>
    </row>
    <row r="8">
      <c r="A8" s="597" t="s">
        <v>1265</v>
      </c>
      <c r="B8" s="597" t="s">
        <v>1258</v>
      </c>
      <c r="C8" s="597" t="s">
        <v>1257</v>
      </c>
      <c r="D8" s="597">
        <v>4</v>
      </c>
      <c r="E8" s="597">
        <v>8</v>
      </c>
      <c r="F8" s="597">
        <v>8</v>
      </c>
      <c r="G8" s="598">
        <v>15961.58</v>
      </c>
      <c r="H8" s="599">
        <v>7554.41</v>
      </c>
      <c r="I8" s="600">
        <f t="shared" si="0"/>
      </c>
      <c r="J8" s="600">
        <f t="shared" si="2"/>
      </c>
      <c r="K8" s="600">
        <f t="shared" si="1"/>
      </c>
      <c r="L8" s="597"/>
      <c r="M8" s="601"/>
      <c r="N8" s="598"/>
      <c r="O8" s="598"/>
      <c r="P8" s="598"/>
      <c r="Q8" s="602">
        <v>4.201562847608454</v>
      </c>
      <c r="R8" s="603">
        <v>0.18593052404089397</v>
      </c>
      <c r="S8" s="603">
        <v>0.024579294883186834</v>
      </c>
      <c r="T8" s="603">
        <v>0.025440527128815737</v>
      </c>
      <c r="U8" s="603">
        <v>0.07952713594841483</v>
      </c>
      <c r="V8" s="604">
        <v>13601.003764115434</v>
      </c>
      <c r="W8" s="603">
        <v>0.019925</v>
      </c>
      <c r="X8" s="604">
        <v>34</v>
      </c>
      <c r="Y8" s="605">
        <v>103.27145220161037</v>
      </c>
      <c r="Z8" s="604">
        <v>73151</v>
      </c>
      <c r="AA8" s="604">
        <v>1798</v>
      </c>
      <c r="AB8" s="604">
        <v>271</v>
      </c>
      <c r="AC8" s="604">
        <v>1861</v>
      </c>
      <c r="AD8" s="604">
        <v>148</v>
      </c>
      <c r="AE8" s="604">
        <v>13</v>
      </c>
      <c r="AF8" s="604">
        <v>4</v>
      </c>
      <c r="AG8" s="604">
        <v>73</v>
      </c>
    </row>
    <row r="9">
      <c r="A9" s="597" t="s">
        <v>1265</v>
      </c>
      <c r="B9" s="597" t="s">
        <v>1256</v>
      </c>
      <c r="C9" s="597" t="s">
        <v>1259</v>
      </c>
      <c r="D9" s="597">
        <v>4</v>
      </c>
      <c r="E9" s="597">
        <v>10</v>
      </c>
      <c r="F9" s="597">
        <v>15</v>
      </c>
      <c r="G9" s="598">
        <v>28352.04</v>
      </c>
      <c r="H9" s="599">
        <v>7062.16</v>
      </c>
      <c r="I9" s="600">
        <f t="shared" si="0"/>
      </c>
      <c r="J9" s="600">
        <f t="shared" si="2"/>
      </c>
      <c r="K9" s="600">
        <f t="shared" si="1"/>
      </c>
      <c r="L9" s="597" t="s">
        <v>1260</v>
      </c>
      <c r="M9" s="601">
        <v>3.2</v>
      </c>
      <c r="N9" s="598"/>
      <c r="O9" s="598"/>
      <c r="P9" s="598"/>
      <c r="Q9" s="605">
        <v>3.1668878923766814</v>
      </c>
      <c r="R9" s="603">
        <v>0.23662867417529923</v>
      </c>
      <c r="S9" s="603">
        <v>0.03374595199903151</v>
      </c>
      <c r="T9" s="603">
        <v>0.03556187766714083</v>
      </c>
      <c r="U9" s="603">
        <v>0.09446808510638298</v>
      </c>
      <c r="V9" s="604">
        <v>15636.896046852124</v>
      </c>
      <c r="W9" s="603">
        <v>0.017075</v>
      </c>
      <c r="X9" s="604">
        <v>40.75</v>
      </c>
      <c r="Y9" s="605">
        <v>106.86964680245755</v>
      </c>
      <c r="Z9" s="604">
        <v>66082</v>
      </c>
      <c r="AA9" s="604">
        <v>2230</v>
      </c>
      <c r="AB9" s="604">
        <v>267</v>
      </c>
      <c r="AC9" s="604">
        <v>2350</v>
      </c>
      <c r="AD9" s="604">
        <v>222</v>
      </c>
      <c r="AE9" s="604">
        <v>18</v>
      </c>
      <c r="AF9" s="604">
        <v>3</v>
      </c>
      <c r="AG9" s="604">
        <v>61</v>
      </c>
    </row>
    <row r="10">
      <c r="A10" s="606" t="s">
        <v>1265</v>
      </c>
      <c r="B10" s="607" t="s">
        <v>1261</v>
      </c>
      <c r="C10" s="607"/>
      <c r="D10" s="607">
        <f>SUM(D8:D9)</f>
      </c>
      <c r="E10" s="607">
        <f>E8+E9</f>
      </c>
      <c r="F10" s="607">
        <f>SUM(F8:F9)</f>
      </c>
      <c r="G10" s="607">
        <f>SUM(G8:G9)</f>
      </c>
      <c r="H10" s="607">
        <f>SUM(H8:H9)</f>
      </c>
      <c r="I10" s="608">
        <f t="shared" si="0"/>
      </c>
      <c r="J10" s="608">
        <f t="shared" si="2"/>
      </c>
      <c r="K10" s="608">
        <f t="shared" si="1"/>
      </c>
      <c r="L10" s="607"/>
      <c r="M10" s="609">
        <f>SUM(M8:M9)</f>
      </c>
      <c r="N10" s="607"/>
      <c r="O10" s="607"/>
      <c r="P10" s="607"/>
      <c r="Q10" s="610">
        <f>AVERAGE(Q8:Q9)</f>
      </c>
      <c r="R10" s="611">
        <f>AVERAGE(R8:R9)</f>
      </c>
      <c r="S10" s="611">
        <f>AVERAGE(S8:S9)</f>
      </c>
      <c r="T10" s="611">
        <f>AVERAGE(T8:T9)</f>
      </c>
      <c r="U10" s="611">
        <f>AVERAGE(U8:U9)</f>
      </c>
      <c r="V10" s="612">
        <f>SUM(V8:V9)</f>
      </c>
      <c r="W10" s="611">
        <f>AVERAGE(W8:W9)</f>
      </c>
      <c r="X10" s="612"/>
      <c r="Y10" s="610">
        <f>AVERAGE(Y8:Y9)</f>
      </c>
      <c r="Z10" s="612">
        <f>SUM(Z8:Z9)</f>
      </c>
      <c r="AA10" s="612">
        <f>SUM(AA8:AA9)</f>
      </c>
      <c r="AB10" s="612">
        <f>SUM(AB8:AB9)</f>
      </c>
      <c r="AC10" s="612">
        <f>SUM(AC8:AC9)</f>
      </c>
      <c r="AD10" s="612">
        <f>SUM(AD8:AD9)</f>
      </c>
      <c r="AE10" s="612">
        <f>SUM(AE8:AE9)</f>
      </c>
      <c r="AF10" s="612">
        <f>SUM(AF8:AF9)</f>
      </c>
      <c r="AG10" s="612">
        <f>SUM(AG8:AG9)</f>
      </c>
    </row>
    <row r="11">
      <c r="A11" s="597" t="s">
        <v>1266</v>
      </c>
      <c r="B11" s="597" t="s">
        <v>1258</v>
      </c>
      <c r="C11" s="597" t="s">
        <v>1263</v>
      </c>
      <c r="D11" s="597">
        <v>3</v>
      </c>
      <c r="E11" s="597">
        <v>2</v>
      </c>
      <c r="F11" s="615">
        <v>4</v>
      </c>
      <c r="G11" s="614">
        <v>7200.77</v>
      </c>
      <c r="H11" s="599">
        <v>5390.79</v>
      </c>
      <c r="I11" s="600">
        <f t="shared" si="0"/>
      </c>
      <c r="J11" s="600">
        <f t="shared" si="2"/>
      </c>
      <c r="K11" s="600">
        <f t="shared" si="1"/>
      </c>
      <c r="L11" s="597"/>
      <c r="M11" s="601"/>
      <c r="N11" s="598"/>
      <c r="O11" s="598"/>
      <c r="P11" s="598"/>
      <c r="Q11" s="602">
        <v>4.115106870229008</v>
      </c>
      <c r="R11" s="603">
        <v>0.304978190553879</v>
      </c>
      <c r="S11" s="603">
        <v>0.024950955183513323</v>
      </c>
      <c r="T11" s="603">
        <v>0.027065120088375902</v>
      </c>
      <c r="U11" s="603">
        <v>0.04574243490499648</v>
      </c>
      <c r="V11" s="604">
        <v>16012.269938650308</v>
      </c>
      <c r="W11" s="603">
        <v>0.010866666666666665</v>
      </c>
      <c r="X11" s="604">
        <v>30.333333333333332</v>
      </c>
      <c r="Y11" s="605">
        <v>102.67584709445174</v>
      </c>
      <c r="Z11" s="604">
        <v>52503</v>
      </c>
      <c r="AA11" s="604">
        <v>1310</v>
      </c>
      <c r="AB11" s="604">
        <v>174</v>
      </c>
      <c r="AC11" s="604">
        <v>1421</v>
      </c>
      <c r="AD11" s="604">
        <v>65</v>
      </c>
      <c r="AE11" s="604">
        <v>7</v>
      </c>
      <c r="AF11" s="604">
        <v>2</v>
      </c>
      <c r="AG11" s="604">
        <v>43</v>
      </c>
    </row>
    <row r="12">
      <c r="A12" s="597" t="s">
        <v>1266</v>
      </c>
      <c r="B12" s="597" t="s">
        <v>1256</v>
      </c>
      <c r="C12" s="597" t="s">
        <v>1264</v>
      </c>
      <c r="D12" s="597">
        <v>5</v>
      </c>
      <c r="E12" s="597">
        <v>14</v>
      </c>
      <c r="F12" s="615">
        <v>17</v>
      </c>
      <c r="G12" s="614">
        <v>33373.7</v>
      </c>
      <c r="H12" s="599">
        <v>10433.949999999999</v>
      </c>
      <c r="I12" s="600">
        <f t="shared" si="0"/>
      </c>
      <c r="J12" s="600">
        <f t="shared" si="2"/>
      </c>
      <c r="K12" s="600">
        <f t="shared" si="1"/>
      </c>
      <c r="L12" s="597" t="s">
        <v>1260</v>
      </c>
      <c r="M12" s="601">
        <v>3.2</v>
      </c>
      <c r="N12" s="598"/>
      <c r="O12" s="598"/>
      <c r="P12" s="598"/>
      <c r="Q12" s="605">
        <v>3.3909489762755927</v>
      </c>
      <c r="R12" s="603">
        <v>0.29151803073273447</v>
      </c>
      <c r="S12" s="603">
        <v>0.03332358642797578</v>
      </c>
      <c r="T12" s="603">
        <v>0.035132178866543205</v>
      </c>
      <c r="U12" s="603">
        <v>0.09648581997533909</v>
      </c>
      <c r="V12" s="604">
        <v>26917.900403768504</v>
      </c>
      <c r="W12" s="603">
        <v>0.014860000000000002</v>
      </c>
      <c r="X12" s="604">
        <v>41.2</v>
      </c>
      <c r="Y12" s="605">
        <v>112.99858128377572</v>
      </c>
      <c r="Z12" s="604">
        <v>92337</v>
      </c>
      <c r="AA12" s="604">
        <v>3077</v>
      </c>
      <c r="AB12" s="604">
        <v>400</v>
      </c>
      <c r="AC12" s="604">
        <v>3244</v>
      </c>
      <c r="AD12" s="604">
        <v>313</v>
      </c>
      <c r="AE12" s="604">
        <v>27</v>
      </c>
      <c r="AF12" s="604">
        <v>6</v>
      </c>
      <c r="AG12" s="604">
        <v>94</v>
      </c>
    </row>
    <row r="13">
      <c r="A13" s="606" t="s">
        <v>1266</v>
      </c>
      <c r="B13" s="607" t="s">
        <v>1261</v>
      </c>
      <c r="C13" s="607"/>
      <c r="D13" s="607">
        <f>SUM(D11:D12)</f>
      </c>
      <c r="E13" s="607">
        <f>E11+E12</f>
      </c>
      <c r="F13" s="607">
        <f>SUM(F11:F12)</f>
      </c>
      <c r="G13" s="607">
        <f>SUM(G11:G12)</f>
      </c>
      <c r="H13" s="607">
        <f>SUM(H11:H12)</f>
      </c>
      <c r="I13" s="608">
        <f t="shared" si="0"/>
      </c>
      <c r="J13" s="608">
        <f t="shared" si="2"/>
      </c>
      <c r="K13" s="608">
        <f t="shared" si="1"/>
      </c>
      <c r="L13" s="607"/>
      <c r="M13" s="609">
        <f>SUM(M11:M12)</f>
      </c>
      <c r="N13" s="607"/>
      <c r="O13" s="607"/>
      <c r="P13" s="607"/>
      <c r="Q13" s="610">
        <f>AVERAGE(Q11:Q12)</f>
      </c>
      <c r="R13" s="611">
        <f>AVERAGE(R11:R12)</f>
      </c>
      <c r="S13" s="611">
        <f>AVERAGE(S11:S12)</f>
      </c>
      <c r="T13" s="611">
        <f>AVERAGE(T11:T12)</f>
      </c>
      <c r="U13" s="611">
        <f>AVERAGE(U11:U12)</f>
      </c>
      <c r="V13" s="612">
        <f>SUM(V11:V12)</f>
      </c>
      <c r="W13" s="611">
        <f>AVERAGE(W11:W12)</f>
      </c>
      <c r="X13" s="612"/>
      <c r="Y13" s="610">
        <f>AVERAGE(Y11:Y12)</f>
      </c>
      <c r="Z13" s="612">
        <f>SUM(Z11:Z12)</f>
      </c>
      <c r="AA13" s="612">
        <f>SUM(AA11:AA12)</f>
      </c>
      <c r="AB13" s="612">
        <f>SUM(AB11:AB12)</f>
      </c>
      <c r="AC13" s="612">
        <f>SUM(AC11:AC12)</f>
      </c>
      <c r="AD13" s="612">
        <f>SUM(AD11:AD12)</f>
      </c>
      <c r="AE13" s="612">
        <f>SUM(AE11:AE12)</f>
      </c>
      <c r="AF13" s="612">
        <f>SUM(AF11:AF12)</f>
      </c>
      <c r="AG13" s="612">
        <f>SUM(AG11:AG12)</f>
      </c>
    </row>
    <row r="14">
      <c r="A14" s="597" t="s">
        <v>1267</v>
      </c>
      <c r="B14" s="597" t="s">
        <v>1256</v>
      </c>
      <c r="C14" s="597" t="s">
        <v>1257</v>
      </c>
      <c r="D14" s="597">
        <v>4</v>
      </c>
      <c r="E14" s="597">
        <v>7</v>
      </c>
      <c r="F14" s="597">
        <v>8</v>
      </c>
      <c r="G14" s="598">
        <v>14851.77</v>
      </c>
      <c r="H14" s="599">
        <v>7959.8</v>
      </c>
      <c r="I14" s="600">
        <f t="shared" si="0"/>
      </c>
      <c r="J14" s="600">
        <f t="shared" si="2"/>
      </c>
      <c r="K14" s="600">
        <f t="shared" si="1"/>
      </c>
      <c r="L14" s="597" t="s">
        <v>1268</v>
      </c>
      <c r="M14" s="601">
        <v>3</v>
      </c>
      <c r="N14" s="598"/>
      <c r="O14" s="598"/>
      <c r="P14" s="598"/>
      <c r="Q14" s="602">
        <v>4.763494913225614</v>
      </c>
      <c r="R14" s="603">
        <v>0.22953483407938727</v>
      </c>
      <c r="S14" s="603">
        <v>0.024045241315797047</v>
      </c>
      <c r="T14" s="603">
        <v>0.02575761936282269</v>
      </c>
      <c r="U14" s="603">
        <v>0.09720670391061452</v>
      </c>
      <c r="V14" s="604">
        <v>15951.293759512939</v>
      </c>
      <c r="W14" s="603">
        <v>0.016425</v>
      </c>
      <c r="X14" s="604">
        <v>50.25</v>
      </c>
      <c r="Y14" s="605">
        <v>114.5393846950816</v>
      </c>
      <c r="Z14" s="604">
        <v>69494</v>
      </c>
      <c r="AA14" s="604">
        <v>1671</v>
      </c>
      <c r="AB14" s="604">
        <v>262</v>
      </c>
      <c r="AC14" s="604">
        <v>1790</v>
      </c>
      <c r="AD14" s="604">
        <v>174</v>
      </c>
      <c r="AE14" s="604">
        <v>9</v>
      </c>
      <c r="AF14" s="604">
        <v>4</v>
      </c>
      <c r="AG14" s="604">
        <v>67</v>
      </c>
    </row>
    <row r="15">
      <c r="A15" s="597" t="s">
        <v>1267</v>
      </c>
      <c r="B15" s="597" t="s">
        <v>1258</v>
      </c>
      <c r="C15" s="597" t="s">
        <v>1259</v>
      </c>
      <c r="D15" s="597">
        <v>4</v>
      </c>
      <c r="E15" s="597">
        <v>7</v>
      </c>
      <c r="F15" s="597">
        <v>11</v>
      </c>
      <c r="G15" s="598">
        <v>25096.51</v>
      </c>
      <c r="H15" s="599">
        <v>7216.18</v>
      </c>
      <c r="I15" s="600">
        <f t="shared" si="0"/>
      </c>
      <c r="J15" s="600">
        <f t="shared" si="2"/>
      </c>
      <c r="K15" s="600">
        <f t="shared" si="1"/>
      </c>
      <c r="L15" s="597" t="s">
        <v>1260</v>
      </c>
      <c r="M15" s="601">
        <v>2</v>
      </c>
      <c r="N15" s="598"/>
      <c r="O15" s="598"/>
      <c r="P15" s="598"/>
      <c r="Q15" s="605">
        <v>3.6426956082786472</v>
      </c>
      <c r="R15" s="603">
        <v>0.2601713263987729</v>
      </c>
      <c r="S15" s="603">
        <v>0.03363099280184707</v>
      </c>
      <c r="T15" s="603">
        <v>0.03619448594322966</v>
      </c>
      <c r="U15" s="603">
        <v>0.0900562851782364</v>
      </c>
      <c r="V15" s="604">
        <v>15325.13181019332</v>
      </c>
      <c r="W15" s="603">
        <v>0.014225000000000002</v>
      </c>
      <c r="X15" s="604">
        <v>45.5</v>
      </c>
      <c r="Y15" s="605">
        <v>122.50746978133913</v>
      </c>
      <c r="Z15" s="604">
        <v>58904</v>
      </c>
      <c r="AA15" s="604">
        <v>1981</v>
      </c>
      <c r="AB15" s="604">
        <v>218</v>
      </c>
      <c r="AC15" s="604">
        <v>2132</v>
      </c>
      <c r="AD15" s="604">
        <v>192</v>
      </c>
      <c r="AE15" s="604">
        <v>15</v>
      </c>
      <c r="AF15" s="604">
        <v>2</v>
      </c>
      <c r="AG15" s="604">
        <v>57</v>
      </c>
    </row>
    <row r="16">
      <c r="A16" s="606" t="s">
        <v>1267</v>
      </c>
      <c r="B16" s="607" t="s">
        <v>1261</v>
      </c>
      <c r="C16" s="607"/>
      <c r="D16" s="607">
        <f>SUM(D14:D15)</f>
      </c>
      <c r="E16" s="607">
        <f>E14+E15</f>
      </c>
      <c r="F16" s="607">
        <f>SUM(F14:F15)</f>
      </c>
      <c r="G16" s="607">
        <f>SUM(G14:G15)</f>
      </c>
      <c r="H16" s="607">
        <f>SUM(H14:H15)</f>
      </c>
      <c r="I16" s="608">
        <f t="shared" si="0"/>
      </c>
      <c r="J16" s="608">
        <f t="shared" si="2"/>
      </c>
      <c r="K16" s="608">
        <f t="shared" si="1"/>
      </c>
      <c r="L16" s="607"/>
      <c r="M16" s="609">
        <f>SUM(M14:M15)</f>
      </c>
      <c r="N16" s="607"/>
      <c r="O16" s="607"/>
      <c r="P16" s="607"/>
      <c r="Q16" s="610">
        <f>AVERAGE(Q14:Q15)</f>
      </c>
      <c r="R16" s="611">
        <f>AVERAGE(R14:R15)</f>
      </c>
      <c r="S16" s="611">
        <f>AVERAGE(S14:S15)</f>
      </c>
      <c r="T16" s="611">
        <f>AVERAGE(T14:T15)</f>
      </c>
      <c r="U16" s="611">
        <f>AVERAGE(U14:U15)</f>
      </c>
      <c r="V16" s="612">
        <f>SUM(V14:V15)</f>
      </c>
      <c r="W16" s="611">
        <f>AVERAGE(W14:W15)</f>
      </c>
      <c r="X16" s="612"/>
      <c r="Y16" s="610">
        <f>AVERAGE(Y14:Y15)</f>
      </c>
      <c r="Z16" s="612">
        <f>SUM(Z14:Z15)</f>
      </c>
      <c r="AA16" s="612">
        <f>SUM(AA14:AA15)</f>
      </c>
      <c r="AB16" s="612">
        <f>SUM(AB14:AB15)</f>
      </c>
      <c r="AC16" s="612">
        <f>SUM(AC14:AC15)</f>
      </c>
      <c r="AD16" s="612">
        <f>SUM(AD14:AD15)</f>
      </c>
      <c r="AE16" s="612">
        <f>SUM(AE14:AE15)</f>
      </c>
      <c r="AF16" s="612">
        <f>SUM(AF14:AF15)</f>
      </c>
      <c r="AG16" s="612">
        <f>SUM(AG14:AG15)</f>
      </c>
    </row>
    <row r="17">
      <c r="A17" s="597" t="s">
        <v>1269</v>
      </c>
      <c r="B17" s="597" t="s">
        <v>1258</v>
      </c>
      <c r="C17" s="597" t="s">
        <v>1257</v>
      </c>
      <c r="D17" s="597">
        <v>4</v>
      </c>
      <c r="E17" s="597">
        <v>12</v>
      </c>
      <c r="F17" s="597">
        <v>14</v>
      </c>
      <c r="G17" s="598">
        <v>29394.88</v>
      </c>
      <c r="H17" s="599">
        <v>7829.66</v>
      </c>
      <c r="I17" s="600">
        <f t="shared" si="0"/>
      </c>
      <c r="J17" s="600">
        <f t="shared" si="2"/>
      </c>
      <c r="K17" s="600">
        <f t="shared" si="1"/>
      </c>
      <c r="L17" s="597"/>
      <c r="M17" s="601"/>
      <c r="N17" s="598"/>
      <c r="O17" s="598"/>
      <c r="P17" s="598"/>
      <c r="Q17" s="602">
        <v>4.1057629785002625</v>
      </c>
      <c r="R17" s="603">
        <v>0.2659230340211935</v>
      </c>
      <c r="S17" s="603">
        <v>0.027738181818181818</v>
      </c>
      <c r="T17" s="603">
        <v>0.029076363636363636</v>
      </c>
      <c r="U17" s="603">
        <v>0.09804902451225612</v>
      </c>
      <c r="V17" s="604">
        <v>18282.20858895705</v>
      </c>
      <c r="W17" s="603">
        <v>0.016300000000000002</v>
      </c>
      <c r="X17" s="604">
        <v>41.5</v>
      </c>
      <c r="Y17" s="605">
        <v>113.88640000000001</v>
      </c>
      <c r="Z17" s="604">
        <v>68750</v>
      </c>
      <c r="AA17" s="604">
        <v>1907</v>
      </c>
      <c r="AB17" s="604">
        <v>298</v>
      </c>
      <c r="AC17" s="604">
        <v>1999</v>
      </c>
      <c r="AD17" s="604">
        <v>196</v>
      </c>
      <c r="AE17" s="604">
        <v>14</v>
      </c>
      <c r="AF17" s="604">
        <v>4</v>
      </c>
      <c r="AG17" s="604">
        <v>55</v>
      </c>
    </row>
    <row r="18">
      <c r="A18" s="597" t="s">
        <v>1269</v>
      </c>
      <c r="B18" s="597" t="s">
        <v>1256</v>
      </c>
      <c r="C18" s="597" t="s">
        <v>1259</v>
      </c>
      <c r="D18" s="597">
        <v>4</v>
      </c>
      <c r="E18" s="597">
        <v>14</v>
      </c>
      <c r="F18" s="597">
        <v>15</v>
      </c>
      <c r="G18" s="598">
        <v>27727.09</v>
      </c>
      <c r="H18" s="599">
        <v>8603.37</v>
      </c>
      <c r="I18" s="600">
        <f t="shared" si="0"/>
      </c>
      <c r="J18" s="600">
        <f t="shared" si="2"/>
      </c>
      <c r="K18" s="600">
        <f t="shared" si="1"/>
      </c>
      <c r="L18" s="597" t="s">
        <v>1260</v>
      </c>
      <c r="M18" s="601">
        <v>3.2</v>
      </c>
      <c r="N18" s="598"/>
      <c r="O18" s="598"/>
      <c r="P18" s="598"/>
      <c r="Q18" s="605">
        <v>2.8170825147347744</v>
      </c>
      <c r="R18" s="603">
        <v>0.2775910276341868</v>
      </c>
      <c r="S18" s="603">
        <v>0.0378635721193186</v>
      </c>
      <c r="T18" s="603">
        <v>0.04031838131369486</v>
      </c>
      <c r="U18" s="603">
        <v>0.07472324723247233</v>
      </c>
      <c r="V18" s="604">
        <v>22389.937106918238</v>
      </c>
      <c r="W18" s="603">
        <v>0.0159</v>
      </c>
      <c r="X18" s="604">
        <v>43.75</v>
      </c>
      <c r="Y18" s="605">
        <v>106.66480696273155</v>
      </c>
      <c r="Z18" s="604">
        <v>80658</v>
      </c>
      <c r="AA18" s="604">
        <v>3054</v>
      </c>
      <c r="AB18" s="604">
        <v>356</v>
      </c>
      <c r="AC18" s="604">
        <v>3252</v>
      </c>
      <c r="AD18" s="604">
        <v>243</v>
      </c>
      <c r="AE18" s="604">
        <v>23</v>
      </c>
      <c r="AF18" s="604">
        <v>5</v>
      </c>
      <c r="AG18" s="604">
        <v>75</v>
      </c>
    </row>
    <row r="19">
      <c r="A19" s="606" t="s">
        <v>1269</v>
      </c>
      <c r="B19" s="607" t="s">
        <v>1261</v>
      </c>
      <c r="C19" s="607"/>
      <c r="D19" s="607">
        <f>SUM(D17:D18)</f>
      </c>
      <c r="E19" s="607">
        <f>E17+E18</f>
      </c>
      <c r="F19" s="607">
        <f>SUM(F17:F18)</f>
      </c>
      <c r="G19" s="607">
        <f>SUM(G17:G18)</f>
      </c>
      <c r="H19" s="607">
        <f>SUM(H17:H18)</f>
      </c>
      <c r="I19" s="608">
        <f t="shared" si="0"/>
      </c>
      <c r="J19" s="608">
        <f t="shared" si="2"/>
      </c>
      <c r="K19" s="608">
        <f t="shared" si="1"/>
      </c>
      <c r="L19" s="607"/>
      <c r="M19" s="609">
        <f>SUM(M17:M18)</f>
      </c>
      <c r="N19" s="607"/>
      <c r="O19" s="607"/>
      <c r="P19" s="607"/>
      <c r="Q19" s="610">
        <f>AVERAGE(Q17:Q18)</f>
      </c>
      <c r="R19" s="611">
        <f>AVERAGE(R17:R18)</f>
      </c>
      <c r="S19" s="611">
        <f>AVERAGE(S17:S18)</f>
      </c>
      <c r="T19" s="611">
        <f>AVERAGE(T17:T18)</f>
      </c>
      <c r="U19" s="611">
        <f>AVERAGE(U17:U18)</f>
      </c>
      <c r="V19" s="612">
        <f>SUM(V17:V18)</f>
      </c>
      <c r="W19" s="611">
        <f>AVERAGE(W17:W18)</f>
      </c>
      <c r="X19" s="612"/>
      <c r="Y19" s="610">
        <f>AVERAGE(Y17:Y18)</f>
      </c>
      <c r="Z19" s="612">
        <f>SUM(Z17:Z18)</f>
      </c>
      <c r="AA19" s="612">
        <f>SUM(AA17:AA18)</f>
      </c>
      <c r="AB19" s="612">
        <f>SUM(AB17:AB18)</f>
      </c>
      <c r="AC19" s="612">
        <f>SUM(AC17:AC18)</f>
      </c>
      <c r="AD19" s="612">
        <f>SUM(AD17:AD18)</f>
      </c>
      <c r="AE19" s="612">
        <f>SUM(AE17:AE18)</f>
      </c>
      <c r="AF19" s="612">
        <f>SUM(AF17:AF18)</f>
      </c>
      <c r="AG19" s="612">
        <f>SUM(AG17:AG18)</f>
      </c>
    </row>
    <row r="20">
      <c r="A20" s="597" t="s">
        <v>1270</v>
      </c>
      <c r="B20" s="597" t="s">
        <v>1258</v>
      </c>
      <c r="C20" s="597" t="s">
        <v>1263</v>
      </c>
      <c r="D20" s="597">
        <v>3</v>
      </c>
      <c r="E20" s="597">
        <v>0</v>
      </c>
      <c r="F20" s="615">
        <v>0</v>
      </c>
      <c r="G20" s="616">
        <v>0</v>
      </c>
      <c r="H20" s="599">
        <v>4887.37</v>
      </c>
      <c r="I20" s="600">
        <f t="shared" si="0"/>
      </c>
      <c r="J20" s="600">
        <f t="shared" si="2"/>
      </c>
      <c r="K20" s="600">
        <f t="shared" si="1"/>
      </c>
      <c r="L20" s="597"/>
      <c r="M20" s="601"/>
      <c r="N20" s="598"/>
      <c r="O20" s="598"/>
      <c r="P20" s="598"/>
      <c r="Q20" s="602">
        <v>3.9414274193548384</v>
      </c>
      <c r="R20" s="603">
        <v>0.3332781186002518</v>
      </c>
      <c r="S20" s="603">
        <v>0.0253921448171356</v>
      </c>
      <c r="T20" s="603">
        <v>0.02682557234713519</v>
      </c>
      <c r="U20" s="603">
        <v>0.08549618320610687</v>
      </c>
      <c r="V20" s="604">
        <v>16275.303643724696</v>
      </c>
      <c r="W20" s="603">
        <v>0.008233333333333334</v>
      </c>
      <c r="X20" s="604">
        <v>29.666666666666668</v>
      </c>
      <c r="Y20" s="605">
        <v>100.0812958184871</v>
      </c>
      <c r="Z20" s="604">
        <v>48834</v>
      </c>
      <c r="AA20" s="604">
        <v>1240</v>
      </c>
      <c r="AB20" s="604">
        <v>134</v>
      </c>
      <c r="AC20" s="604">
        <v>1310</v>
      </c>
      <c r="AD20" s="604">
        <v>112</v>
      </c>
      <c r="AE20" s="604">
        <v>12</v>
      </c>
      <c r="AF20" s="604">
        <v>1</v>
      </c>
      <c r="AG20" s="604">
        <v>28</v>
      </c>
    </row>
    <row r="21">
      <c r="A21" s="597" t="s">
        <v>1270</v>
      </c>
      <c r="B21" s="597" t="s">
        <v>1256</v>
      </c>
      <c r="C21" s="597" t="s">
        <v>1264</v>
      </c>
      <c r="D21" s="597">
        <v>5</v>
      </c>
      <c r="E21" s="597">
        <v>10</v>
      </c>
      <c r="F21" s="615">
        <v>12</v>
      </c>
      <c r="G21" s="614">
        <v>23202.72</v>
      </c>
      <c r="H21" s="599">
        <v>9499.62</v>
      </c>
      <c r="I21" s="600">
        <f t="shared" si="0"/>
      </c>
      <c r="J21" s="600">
        <f t="shared" si="2"/>
      </c>
      <c r="K21" s="600">
        <f t="shared" si="1"/>
      </c>
      <c r="L21" s="597" t="s">
        <v>1260</v>
      </c>
      <c r="M21" s="601">
        <v>3.2</v>
      </c>
      <c r="N21" s="598"/>
      <c r="O21" s="598"/>
      <c r="P21" s="598"/>
      <c r="Q21" s="605">
        <v>2.9157826887661145</v>
      </c>
      <c r="R21" s="603">
        <v>0.3881622088576964</v>
      </c>
      <c r="S21" s="603">
        <v>0.038208045033423246</v>
      </c>
      <c r="T21" s="603">
        <v>0.040612173097220594</v>
      </c>
      <c r="U21" s="603">
        <v>0.08691885648281837</v>
      </c>
      <c r="V21" s="604">
        <v>33098.59154929577</v>
      </c>
      <c r="W21" s="603">
        <v>0.00852</v>
      </c>
      <c r="X21" s="604">
        <v>32.6</v>
      </c>
      <c r="Y21" s="605">
        <v>111.40635628005161</v>
      </c>
      <c r="Z21" s="604">
        <v>85270</v>
      </c>
      <c r="AA21" s="604">
        <v>3258</v>
      </c>
      <c r="AB21" s="604">
        <v>282</v>
      </c>
      <c r="AC21" s="604">
        <v>3463</v>
      </c>
      <c r="AD21" s="604">
        <v>301</v>
      </c>
      <c r="AE21" s="604">
        <v>21</v>
      </c>
      <c r="AF21" s="604">
        <v>5</v>
      </c>
      <c r="AG21" s="604">
        <v>64</v>
      </c>
    </row>
    <row r="22">
      <c r="A22" s="606" t="s">
        <v>1270</v>
      </c>
      <c r="B22" s="607" t="s">
        <v>1261</v>
      </c>
      <c r="C22" s="607"/>
      <c r="D22" s="607">
        <f>SUM(D20:D21)</f>
      </c>
      <c r="E22" s="607">
        <f>E20+E21</f>
      </c>
      <c r="F22" s="607">
        <f>SUM(F20:F21)</f>
      </c>
      <c r="G22" s="607">
        <f>SUM(G20:G21)</f>
      </c>
      <c r="H22" s="607">
        <f>SUM(H20:H21)</f>
      </c>
      <c r="I22" s="608">
        <f t="shared" si="0"/>
      </c>
      <c r="J22" s="608">
        <f t="shared" si="2"/>
      </c>
      <c r="K22" s="608">
        <f t="shared" si="1"/>
      </c>
      <c r="L22" s="607"/>
      <c r="M22" s="609">
        <f>SUM(M20:M21)</f>
      </c>
      <c r="N22" s="607"/>
      <c r="O22" s="607"/>
      <c r="P22" s="607"/>
      <c r="Q22" s="610">
        <f>AVERAGE(Q20:Q21)</f>
      </c>
      <c r="R22" s="611">
        <f>AVERAGE(R20:R21)</f>
      </c>
      <c r="S22" s="611">
        <f>AVERAGE(S20:S21)</f>
      </c>
      <c r="T22" s="611">
        <f>AVERAGE(T20:T21)</f>
      </c>
      <c r="U22" s="611">
        <f>AVERAGE(U20:U21)</f>
      </c>
      <c r="V22" s="612">
        <f>SUM(V20:V21)</f>
      </c>
      <c r="W22" s="611">
        <f>AVERAGE(W20:W21)</f>
      </c>
      <c r="X22" s="612"/>
      <c r="Y22" s="610">
        <f>AVERAGE(Y20:Y21)</f>
      </c>
      <c r="Z22" s="612">
        <f>SUM(Z20:Z21)</f>
      </c>
      <c r="AA22" s="612">
        <f>SUM(AA20:AA21)</f>
      </c>
      <c r="AB22" s="612">
        <f>SUM(AB20:AB21)</f>
      </c>
      <c r="AC22" s="612">
        <f>SUM(AC20:AC21)</f>
      </c>
      <c r="AD22" s="612">
        <f>SUM(AD20:AD21)</f>
      </c>
      <c r="AE22" s="612">
        <f>SUM(AE20:AE21)</f>
      </c>
      <c r="AF22" s="612">
        <f>SUM(AF20:AF21)</f>
      </c>
      <c r="AG22" s="612">
        <f>SUM(AG20:AG21)</f>
      </c>
    </row>
    <row r="23">
      <c r="A23" s="597" t="s">
        <v>1271</v>
      </c>
      <c r="B23" s="597" t="s">
        <v>1256</v>
      </c>
      <c r="C23" s="597" t="s">
        <v>1257</v>
      </c>
      <c r="D23" s="597">
        <v>4</v>
      </c>
      <c r="E23" s="597">
        <v>8</v>
      </c>
      <c r="F23" s="597">
        <v>9</v>
      </c>
      <c r="G23" s="598">
        <v>18567.74</v>
      </c>
      <c r="H23" s="599">
        <v>6897.79</v>
      </c>
      <c r="I23" s="600">
        <f t="shared" si="0"/>
      </c>
      <c r="J23" s="600">
        <f t="shared" si="2"/>
      </c>
      <c r="K23" s="600">
        <f t="shared" si="1"/>
      </c>
      <c r="L23" s="597"/>
      <c r="M23" s="601"/>
      <c r="N23" s="598"/>
      <c r="O23" s="598"/>
      <c r="P23" s="598"/>
      <c r="Q23" s="602">
        <v>3.694584895554365</v>
      </c>
      <c r="R23" s="603">
        <v>0.39174122445248716</v>
      </c>
      <c r="S23" s="603">
        <v>0.02844258923538642</v>
      </c>
      <c r="T23" s="603">
        <v>0.03039258999710547</v>
      </c>
      <c r="U23" s="603">
        <v>0.10225563909774436</v>
      </c>
      <c r="V23" s="604">
        <v>25714.28571428571</v>
      </c>
      <c r="W23" s="603">
        <v>0.008050000000000002</v>
      </c>
      <c r="X23" s="604">
        <v>44.5</v>
      </c>
      <c r="Y23" s="605">
        <v>105.08356057951585</v>
      </c>
      <c r="Z23" s="604">
        <v>65641</v>
      </c>
      <c r="AA23" s="604">
        <v>1867</v>
      </c>
      <c r="AB23" s="604">
        <v>207</v>
      </c>
      <c r="AC23" s="604">
        <v>1995</v>
      </c>
      <c r="AD23" s="604">
        <v>204</v>
      </c>
      <c r="AE23" s="604">
        <v>13</v>
      </c>
      <c r="AF23" s="604">
        <v>1</v>
      </c>
      <c r="AG23" s="604">
        <v>38</v>
      </c>
    </row>
    <row r="24">
      <c r="A24" s="597" t="s">
        <v>1271</v>
      </c>
      <c r="B24" s="597" t="s">
        <v>1258</v>
      </c>
      <c r="C24" s="597" t="s">
        <v>1259</v>
      </c>
      <c r="D24" s="597">
        <v>4</v>
      </c>
      <c r="E24" s="597">
        <v>12</v>
      </c>
      <c r="F24" s="597">
        <v>16</v>
      </c>
      <c r="G24" s="597">
        <v>26189.05</v>
      </c>
      <c r="H24" s="599">
        <v>8729.61</v>
      </c>
      <c r="I24" s="600">
        <f t="shared" si="0"/>
      </c>
      <c r="J24" s="600">
        <f t="shared" si="2"/>
      </c>
      <c r="K24" s="600">
        <f t="shared" si="1"/>
      </c>
      <c r="L24" s="597" t="s">
        <v>1260</v>
      </c>
      <c r="M24" s="601">
        <v>3.2</v>
      </c>
      <c r="N24" s="598"/>
      <c r="O24" s="598"/>
      <c r="P24" s="598"/>
      <c r="Q24" s="605">
        <v>2.581197516262567</v>
      </c>
      <c r="R24" s="603">
        <v>0.39868835879284703</v>
      </c>
      <c r="S24" s="603">
        <v>0.03824450701677014</v>
      </c>
      <c r="T24" s="603">
        <v>0.04119596069251733</v>
      </c>
      <c r="U24" s="603">
        <v>0.048860828987098544</v>
      </c>
      <c r="V24" s="604">
        <v>35256.41025641026</v>
      </c>
      <c r="W24" s="603">
        <v>0.0078</v>
      </c>
      <c r="X24" s="604">
        <v>36</v>
      </c>
      <c r="Y24" s="605">
        <v>98.71662652237339</v>
      </c>
      <c r="Z24" s="604">
        <v>88431</v>
      </c>
      <c r="AA24" s="604">
        <v>3382</v>
      </c>
      <c r="AB24" s="604">
        <v>275</v>
      </c>
      <c r="AC24" s="604">
        <v>3643</v>
      </c>
      <c r="AD24" s="604">
        <v>178</v>
      </c>
      <c r="AE24" s="604">
        <v>19</v>
      </c>
      <c r="AF24" s="604">
        <v>3</v>
      </c>
      <c r="AG24" s="604">
        <v>58</v>
      </c>
    </row>
    <row r="25">
      <c r="A25" s="606" t="s">
        <v>1271</v>
      </c>
      <c r="B25" s="607" t="s">
        <v>1261</v>
      </c>
      <c r="C25" s="607"/>
      <c r="D25" s="607">
        <f>SUM(D23:D24)</f>
      </c>
      <c r="E25" s="607">
        <f>E23+E24</f>
      </c>
      <c r="F25" s="607">
        <f>SUM(F23:F24)</f>
      </c>
      <c r="G25" s="607">
        <f>SUM(G23:G24)</f>
      </c>
      <c r="H25" s="607">
        <f>SUM(H23:H24)</f>
      </c>
      <c r="I25" s="608">
        <f t="shared" si="0"/>
      </c>
      <c r="J25" s="608">
        <f t="shared" si="2"/>
      </c>
      <c r="K25" s="608">
        <f t="shared" si="1"/>
      </c>
      <c r="L25" s="607"/>
      <c r="M25" s="609">
        <f>SUM(M23:M24)</f>
      </c>
      <c r="N25" s="607"/>
      <c r="O25" s="607"/>
      <c r="P25" s="607"/>
      <c r="Q25" s="610">
        <f>AVERAGE(Q23:Q24)</f>
      </c>
      <c r="R25" s="611">
        <f>AVERAGE(R23:R24)</f>
      </c>
      <c r="S25" s="611">
        <f>AVERAGE(S23:S24)</f>
      </c>
      <c r="T25" s="611">
        <f>AVERAGE(T23:T24)</f>
      </c>
      <c r="U25" s="611">
        <f>AVERAGE(U23:U24)</f>
      </c>
      <c r="V25" s="612">
        <f>SUM(V23:V24)</f>
      </c>
      <c r="W25" s="611">
        <f>AVERAGE(W23:W24)</f>
      </c>
      <c r="X25" s="612"/>
      <c r="Y25" s="610">
        <f>AVERAGE(Y23:Y24)</f>
      </c>
      <c r="Z25" s="612">
        <f>SUM(Z23:Z24)</f>
      </c>
      <c r="AA25" s="612">
        <f>SUM(AA23:AA24)</f>
      </c>
      <c r="AB25" s="612">
        <f>SUM(AB23:AB24)</f>
      </c>
      <c r="AC25" s="612">
        <f>SUM(AC23:AC24)</f>
      </c>
      <c r="AD25" s="612">
        <f>SUM(AD23:AD24)</f>
      </c>
      <c r="AE25" s="612">
        <f>SUM(AE23:AE24)</f>
      </c>
      <c r="AF25" s="612">
        <f>SUM(AF23:AF24)</f>
      </c>
      <c r="AG25" s="612">
        <f>SUM(AG23:AG24)</f>
      </c>
    </row>
    <row r="26">
      <c r="A26" s="597" t="s">
        <v>1272</v>
      </c>
      <c r="B26" s="598" t="s">
        <v>1256</v>
      </c>
      <c r="C26" s="598" t="s">
        <v>1257</v>
      </c>
      <c r="D26" s="598">
        <v>4</v>
      </c>
      <c r="E26" s="597">
        <v>6</v>
      </c>
      <c r="F26" s="597">
        <v>8</v>
      </c>
      <c r="G26" s="598">
        <v>15688.55</v>
      </c>
      <c r="H26" s="599">
        <v>7951.99</v>
      </c>
      <c r="I26" s="600">
        <f t="shared" si="0"/>
      </c>
      <c r="J26" s="600">
        <f t="shared" si="2"/>
      </c>
      <c r="K26" s="600">
        <f t="shared" si="1"/>
      </c>
      <c r="L26" s="598"/>
      <c r="M26" s="617"/>
      <c r="N26" s="598"/>
      <c r="O26" s="598"/>
      <c r="P26" s="598"/>
      <c r="Q26" s="602">
        <v>3.280523927392739</v>
      </c>
      <c r="R26" s="603">
        <v>0.4342403156630058</v>
      </c>
      <c r="S26" s="603">
        <v>0.023829184853132006</v>
      </c>
      <c r="T26" s="603">
        <v>0.025618339821477723</v>
      </c>
      <c r="U26" s="603">
        <v>0.06139677666922486</v>
      </c>
      <c r="V26" s="604">
        <v>44172.6618705036</v>
      </c>
      <c r="W26" s="603">
        <v>0.00695</v>
      </c>
      <c r="X26" s="604">
        <v>37.25</v>
      </c>
      <c r="Y26" s="605">
        <v>78.17221108096417</v>
      </c>
      <c r="Z26" s="604">
        <v>101724</v>
      </c>
      <c r="AA26" s="604">
        <v>2424</v>
      </c>
      <c r="AB26" s="604">
        <v>307</v>
      </c>
      <c r="AC26" s="604">
        <v>2606</v>
      </c>
      <c r="AD26" s="604">
        <v>160</v>
      </c>
      <c r="AE26" s="604">
        <v>12</v>
      </c>
      <c r="AF26" s="604">
        <v>0</v>
      </c>
      <c r="AG26" s="604">
        <v>71</v>
      </c>
    </row>
    <row r="27">
      <c r="A27" s="597" t="s">
        <v>1272</v>
      </c>
      <c r="B27" s="598" t="s">
        <v>1258</v>
      </c>
      <c r="C27" s="598" t="s">
        <v>1259</v>
      </c>
      <c r="D27" s="598">
        <v>4</v>
      </c>
      <c r="E27" s="597">
        <v>8</v>
      </c>
      <c r="F27" s="597">
        <v>11</v>
      </c>
      <c r="G27" s="598">
        <v>21048.5</v>
      </c>
      <c r="H27" s="599">
        <v>8139.460000000001</v>
      </c>
      <c r="I27" s="600">
        <f t="shared" si="0"/>
      </c>
      <c r="J27" s="600">
        <f t="shared" si="2"/>
      </c>
      <c r="K27" s="600">
        <f t="shared" si="1"/>
      </c>
      <c r="L27" s="598" t="s">
        <v>1260</v>
      </c>
      <c r="M27" s="617">
        <v>3.2</v>
      </c>
      <c r="N27" s="598"/>
      <c r="O27" s="598"/>
      <c r="P27" s="598"/>
      <c r="Q27" s="605">
        <v>2.8183725761772855</v>
      </c>
      <c r="R27" s="603">
        <v>0.44909046976327566</v>
      </c>
      <c r="S27" s="603">
        <v>0.029957263184100243</v>
      </c>
      <c r="T27" s="603">
        <v>0.031824405626322556</v>
      </c>
      <c r="U27" s="603">
        <v>0.0635593220338983</v>
      </c>
      <c r="V27" s="604">
        <v>43294.117647058825</v>
      </c>
      <c r="W27" s="603">
        <v>0.006375</v>
      </c>
      <c r="X27" s="604">
        <v>34.5</v>
      </c>
      <c r="Y27" s="605">
        <v>84.43072901539355</v>
      </c>
      <c r="Z27" s="604">
        <v>96404</v>
      </c>
      <c r="AA27" s="604">
        <v>2888</v>
      </c>
      <c r="AB27" s="604">
        <v>276</v>
      </c>
      <c r="AC27" s="604">
        <v>3068</v>
      </c>
      <c r="AD27" s="604">
        <v>195</v>
      </c>
      <c r="AE27" s="604">
        <v>10</v>
      </c>
      <c r="AF27" s="604">
        <v>0</v>
      </c>
      <c r="AG27" s="604">
        <v>56</v>
      </c>
    </row>
    <row r="28">
      <c r="A28" s="607" t="s">
        <v>1272</v>
      </c>
      <c r="B28" s="607" t="s">
        <v>1261</v>
      </c>
      <c r="C28" s="607"/>
      <c r="D28" s="607">
        <f>SUM(D26:D27)</f>
      </c>
      <c r="E28" s="607">
        <f>E26+E27</f>
      </c>
      <c r="F28" s="607">
        <f>SUM(F26:F27)</f>
      </c>
      <c r="G28" s="607">
        <f>SUM(G26:G27)</f>
      </c>
      <c r="H28" s="607">
        <f>SUM(H26:H27)</f>
      </c>
      <c r="I28" s="608">
        <f t="shared" si="0"/>
      </c>
      <c r="J28" s="608">
        <f t="shared" si="2"/>
      </c>
      <c r="K28" s="608">
        <f t="shared" si="1"/>
      </c>
      <c r="L28" s="607"/>
      <c r="M28" s="609">
        <f>SUM(M26:M27)</f>
      </c>
      <c r="N28" s="607"/>
      <c r="O28" s="607"/>
      <c r="P28" s="607"/>
      <c r="Q28" s="610">
        <f>AVERAGE(Q26:Q27)</f>
      </c>
      <c r="R28" s="611">
        <f>AVERAGE(R26:R27)</f>
      </c>
      <c r="S28" s="611">
        <f>AVERAGE(S26:S27)</f>
      </c>
      <c r="T28" s="611">
        <f>AVERAGE(T26:T27)</f>
      </c>
      <c r="U28" s="611">
        <f>AVERAGE(U26:U27)</f>
      </c>
      <c r="V28" s="612">
        <f>SUM(V26:V27)</f>
      </c>
      <c r="W28" s="611">
        <f>AVERAGE(W26:W27)</f>
      </c>
      <c r="X28" s="612"/>
      <c r="Y28" s="610">
        <f>AVERAGE(Y26:Y27)</f>
      </c>
      <c r="Z28" s="612">
        <f>SUM(Z26:Z27)</f>
      </c>
      <c r="AA28" s="612">
        <f>SUM(AA26:AA27)</f>
      </c>
      <c r="AB28" s="612">
        <f>SUM(AB26:AB27)</f>
      </c>
      <c r="AC28" s="612">
        <f>SUM(AC26:AC27)</f>
      </c>
      <c r="AD28" s="612">
        <f>SUM(AD26:AD27)</f>
      </c>
      <c r="AE28" s="612">
        <f>SUM(AE26:AE27)</f>
      </c>
      <c r="AF28" s="612">
        <f>SUM(AF26:AF27)</f>
      </c>
      <c r="AG28" s="612">
        <f>SUM(AG26:AG27)</f>
      </c>
    </row>
    <row r="29">
      <c r="A29" s="597" t="s">
        <v>1273</v>
      </c>
      <c r="B29" s="598" t="s">
        <v>1258</v>
      </c>
      <c r="C29" s="598" t="s">
        <v>1257</v>
      </c>
      <c r="D29" s="598">
        <v>4</v>
      </c>
      <c r="E29" s="597">
        <v>8</v>
      </c>
      <c r="F29" s="597">
        <v>8</v>
      </c>
      <c r="G29" s="598">
        <v>15958.58</v>
      </c>
      <c r="H29" s="599">
        <v>7891.0599999999995</v>
      </c>
      <c r="I29" s="600">
        <f t="shared" si="0"/>
      </c>
      <c r="J29" s="600">
        <f t="shared" si="2"/>
      </c>
      <c r="K29" s="600">
        <f t="shared" si="1"/>
      </c>
      <c r="L29" s="598"/>
      <c r="M29" s="617"/>
      <c r="N29" s="598"/>
      <c r="O29" s="598"/>
      <c r="P29" s="598"/>
      <c r="Q29" s="602">
        <v>3.460991228070175</v>
      </c>
      <c r="R29" s="603">
        <v>0.44387007840096504</v>
      </c>
      <c r="S29" s="603">
        <v>0.020821917808219178</v>
      </c>
      <c r="T29" s="603">
        <v>0.02204566210045662</v>
      </c>
      <c r="U29" s="603">
        <v>0.07125103562551781</v>
      </c>
      <c r="V29" s="604">
        <v>48603.77358490567</v>
      </c>
      <c r="W29" s="603">
        <v>0.006624999999999999</v>
      </c>
      <c r="X29" s="604">
        <v>39.25</v>
      </c>
      <c r="Y29" s="605">
        <v>72.06447488584475</v>
      </c>
      <c r="Z29" s="604">
        <v>109500</v>
      </c>
      <c r="AA29" s="604">
        <v>2280</v>
      </c>
      <c r="AB29" s="604">
        <v>322</v>
      </c>
      <c r="AC29" s="604">
        <v>2414</v>
      </c>
      <c r="AD29" s="604">
        <v>172</v>
      </c>
      <c r="AE29" s="604">
        <v>12</v>
      </c>
      <c r="AF29" s="604">
        <v>1</v>
      </c>
      <c r="AG29" s="604">
        <v>61</v>
      </c>
    </row>
    <row r="30">
      <c r="A30" s="597" t="s">
        <v>1273</v>
      </c>
      <c r="B30" s="598" t="s">
        <v>1256</v>
      </c>
      <c r="C30" s="598" t="s">
        <v>1259</v>
      </c>
      <c r="D30" s="598">
        <v>4</v>
      </c>
      <c r="E30" s="597">
        <v>5</v>
      </c>
      <c r="F30" s="597">
        <v>6</v>
      </c>
      <c r="G30" s="598">
        <v>13988.35</v>
      </c>
      <c r="H30" s="599">
        <v>7468.86</v>
      </c>
      <c r="I30" s="600">
        <f t="shared" si="0"/>
      </c>
      <c r="J30" s="600">
        <f t="shared" si="2"/>
      </c>
      <c r="K30" s="600">
        <f t="shared" si="1"/>
      </c>
      <c r="L30" s="598" t="s">
        <v>1260</v>
      </c>
      <c r="M30" s="617">
        <v>3.2</v>
      </c>
      <c r="N30" s="598"/>
      <c r="O30" s="598"/>
      <c r="P30" s="598"/>
      <c r="Q30" s="605">
        <v>2.960309155766944</v>
      </c>
      <c r="R30" s="603">
        <v>0.4042920945543857</v>
      </c>
      <c r="S30" s="603">
        <v>0.028788553041454147</v>
      </c>
      <c r="T30" s="603">
        <v>0.030739739157224524</v>
      </c>
      <c r="U30" s="603">
        <v>0.0645879732739421</v>
      </c>
      <c r="V30" s="604">
        <v>35431.75487465181</v>
      </c>
      <c r="W30" s="603">
        <v>0.008975</v>
      </c>
      <c r="X30" s="604">
        <v>33</v>
      </c>
      <c r="Y30" s="605">
        <v>85.22301714989901</v>
      </c>
      <c r="Z30" s="604">
        <v>87639</v>
      </c>
      <c r="AA30" s="604">
        <v>2523</v>
      </c>
      <c r="AB30" s="604">
        <v>318</v>
      </c>
      <c r="AC30" s="604">
        <v>2694</v>
      </c>
      <c r="AD30" s="604">
        <v>174</v>
      </c>
      <c r="AE30" s="604">
        <v>11</v>
      </c>
      <c r="AF30" s="604">
        <v>2</v>
      </c>
      <c r="AG30" s="604">
        <v>91</v>
      </c>
    </row>
    <row r="31">
      <c r="A31" s="607" t="s">
        <v>1273</v>
      </c>
      <c r="B31" s="607" t="s">
        <v>1261</v>
      </c>
      <c r="C31" s="607"/>
      <c r="D31" s="607">
        <f>SUM(D29:D30)</f>
      </c>
      <c r="E31" s="607">
        <f>E29+E30</f>
      </c>
      <c r="F31" s="607">
        <f>SUM(F29:F30)</f>
      </c>
      <c r="G31" s="607">
        <f>SUM(G29:G30)</f>
      </c>
      <c r="H31" s="607">
        <f>SUM(H29:H30)</f>
      </c>
      <c r="I31" s="608">
        <f t="shared" si="0"/>
      </c>
      <c r="J31" s="608">
        <f t="shared" si="2"/>
      </c>
      <c r="K31" s="608">
        <f t="shared" si="1"/>
      </c>
      <c r="L31" s="607"/>
      <c r="M31" s="609">
        <f>SUM(M29:M30)</f>
      </c>
      <c r="N31" s="607"/>
      <c r="O31" s="607"/>
      <c r="P31" s="607"/>
      <c r="Q31" s="610">
        <f>AVERAGE(Q29:Q30)</f>
      </c>
      <c r="R31" s="611">
        <f>AVERAGE(R29:R30)</f>
      </c>
      <c r="S31" s="611">
        <f>AVERAGE(S29:S30)</f>
      </c>
      <c r="T31" s="611">
        <f>AVERAGE(T29:T30)</f>
      </c>
      <c r="U31" s="611">
        <f>AVERAGE(U29:U30)</f>
      </c>
      <c r="V31" s="612">
        <f>SUM(V29:V30)</f>
      </c>
      <c r="W31" s="611">
        <f>AVERAGE(W29:W30)</f>
      </c>
      <c r="X31" s="612"/>
      <c r="Y31" s="610">
        <f>AVERAGE(Y29:Y30)</f>
      </c>
      <c r="Z31" s="612">
        <f>SUM(Z29:Z30)</f>
      </c>
      <c r="AA31" s="612">
        <f>SUM(AA29:AA30)</f>
      </c>
      <c r="AB31" s="612">
        <f>SUM(AB29:AB30)</f>
      </c>
      <c r="AC31" s="612">
        <f>SUM(AC29:AC30)</f>
      </c>
      <c r="AD31" s="612">
        <f>SUM(AD29:AD30)</f>
      </c>
      <c r="AE31" s="612">
        <f>SUM(AE29:AE30)</f>
      </c>
      <c r="AF31" s="612">
        <f>SUM(AF29:AF30)</f>
      </c>
      <c r="AG31" s="612">
        <f>SUM(AG29:AG30)</f>
      </c>
    </row>
    <row r="32">
      <c r="A32" s="597" t="s">
        <v>1274</v>
      </c>
      <c r="B32" s="598" t="s">
        <v>1258</v>
      </c>
      <c r="C32" s="598" t="s">
        <v>1257</v>
      </c>
      <c r="D32" s="598">
        <v>4</v>
      </c>
      <c r="E32" s="597">
        <v>9</v>
      </c>
      <c r="F32" s="597">
        <v>9</v>
      </c>
      <c r="G32" s="598">
        <v>16017.58</v>
      </c>
      <c r="H32" s="599">
        <v>7899.32</v>
      </c>
      <c r="I32" s="600">
        <f t="shared" si="0"/>
      </c>
      <c r="J32" s="600">
        <f t="shared" si="2"/>
      </c>
      <c r="K32" s="600">
        <f t="shared" si="1"/>
      </c>
      <c r="L32" s="598"/>
      <c r="M32" s="617"/>
      <c r="N32" s="598"/>
      <c r="O32" s="598"/>
      <c r="P32" s="598"/>
      <c r="Q32" s="602">
        <v>3.3757777777777775</v>
      </c>
      <c r="R32" s="603">
        <v>0.47552878119372827</v>
      </c>
      <c r="S32" s="603">
        <v>0.02231270203007447</v>
      </c>
      <c r="T32" s="603">
        <v>0.023504619873561356</v>
      </c>
      <c r="U32" s="603">
        <v>0.05922920892494929</v>
      </c>
      <c r="V32" s="604">
        <v>49870.129870129866</v>
      </c>
      <c r="W32" s="603">
        <v>0.005775000000000001</v>
      </c>
      <c r="X32" s="604">
        <v>34.25</v>
      </c>
      <c r="Y32" s="605">
        <v>75.3227236753025</v>
      </c>
      <c r="Z32" s="604">
        <v>104873</v>
      </c>
      <c r="AA32" s="604">
        <v>2340</v>
      </c>
      <c r="AB32" s="604">
        <v>288</v>
      </c>
      <c r="AC32" s="604">
        <v>2465</v>
      </c>
      <c r="AD32" s="604">
        <v>146</v>
      </c>
      <c r="AE32" s="604">
        <v>12</v>
      </c>
      <c r="AF32" s="604">
        <v>2</v>
      </c>
      <c r="AG32" s="604">
        <v>62</v>
      </c>
    </row>
    <row r="33">
      <c r="A33" s="597" t="s">
        <v>1274</v>
      </c>
      <c r="B33" s="598" t="s">
        <v>1256</v>
      </c>
      <c r="C33" s="598" t="s">
        <v>1259</v>
      </c>
      <c r="D33" s="598">
        <v>4</v>
      </c>
      <c r="E33" s="597">
        <v>6</v>
      </c>
      <c r="F33" s="597">
        <v>9</v>
      </c>
      <c r="G33" s="598">
        <v>21447.87</v>
      </c>
      <c r="H33" s="599">
        <v>7525.859999999999</v>
      </c>
      <c r="I33" s="600">
        <f t="shared" si="0"/>
      </c>
      <c r="J33" s="600">
        <f t="shared" si="2"/>
      </c>
      <c r="K33" s="600">
        <f t="shared" si="1"/>
      </c>
      <c r="L33" s="598" t="s">
        <v>1260</v>
      </c>
      <c r="M33" s="617">
        <v>3.2</v>
      </c>
      <c r="N33" s="598"/>
      <c r="O33" s="598"/>
      <c r="P33" s="598"/>
      <c r="Q33" s="605">
        <v>2.874660045836516</v>
      </c>
      <c r="R33" s="603">
        <v>0.40209353026001676</v>
      </c>
      <c r="S33" s="603">
        <v>0.027578796561604585</v>
      </c>
      <c r="T33" s="603">
        <v>0.029243215911006235</v>
      </c>
      <c r="U33" s="603">
        <v>0.06159942363112392</v>
      </c>
      <c r="V33" s="604">
        <v>38169.93464052287</v>
      </c>
      <c r="W33" s="603">
        <v>0.0076500000000000005</v>
      </c>
      <c r="X33" s="604">
        <v>34.5</v>
      </c>
      <c r="Y33" s="605">
        <v>79.27966458789818</v>
      </c>
      <c r="Z33" s="604">
        <v>94928</v>
      </c>
      <c r="AA33" s="604">
        <v>2618</v>
      </c>
      <c r="AB33" s="604">
        <v>292</v>
      </c>
      <c r="AC33" s="604">
        <v>2776</v>
      </c>
      <c r="AD33" s="604">
        <v>171</v>
      </c>
      <c r="AE33" s="604">
        <v>25</v>
      </c>
      <c r="AF33" s="604">
        <v>3</v>
      </c>
      <c r="AG33" s="604">
        <v>71</v>
      </c>
    </row>
    <row r="34">
      <c r="A34" s="607" t="s">
        <v>1274</v>
      </c>
      <c r="B34" s="607" t="s">
        <v>1261</v>
      </c>
      <c r="C34" s="607"/>
      <c r="D34" s="607">
        <f>SUM(D32:D33)</f>
      </c>
      <c r="E34" s="607">
        <f>E32+E33</f>
      </c>
      <c r="F34" s="607">
        <f>SUM(F32:F33)</f>
      </c>
      <c r="G34" s="607">
        <f>SUM(G32:G33)</f>
      </c>
      <c r="H34" s="607">
        <f>SUM(H32:H33)</f>
      </c>
      <c r="I34" s="608">
        <f t="shared" si="0"/>
      </c>
      <c r="J34" s="608">
        <f t="shared" si="2"/>
      </c>
      <c r="K34" s="608">
        <f t="shared" si="1"/>
      </c>
      <c r="L34" s="607"/>
      <c r="M34" s="609">
        <f>SUM(M32:M33)</f>
      </c>
      <c r="N34" s="607"/>
      <c r="O34" s="607"/>
      <c r="P34" s="607"/>
      <c r="Q34" s="610">
        <f>AVERAGE(Q32:Q33)</f>
      </c>
      <c r="R34" s="611">
        <f>AVERAGE(R32:R33)</f>
      </c>
      <c r="S34" s="611">
        <f>AVERAGE(S32:S33)</f>
      </c>
      <c r="T34" s="611">
        <f>AVERAGE(T32:T33)</f>
      </c>
      <c r="U34" s="611">
        <f>AVERAGE(U32:U33)</f>
      </c>
      <c r="V34" s="612">
        <f>SUM(V32:V33)</f>
      </c>
      <c r="W34" s="611">
        <f>AVERAGE(W32:W33)</f>
      </c>
      <c r="X34" s="612"/>
      <c r="Y34" s="610">
        <f>AVERAGE(Y32:Y33)</f>
      </c>
      <c r="Z34" s="612">
        <f>SUM(Z32:Z33)</f>
      </c>
      <c r="AA34" s="612">
        <f>SUM(AA32:AA33)</f>
      </c>
      <c r="AB34" s="612">
        <f>SUM(AB32:AB33)</f>
      </c>
      <c r="AC34" s="612">
        <f>SUM(AC32:AC33)</f>
      </c>
      <c r="AD34" s="612">
        <f>SUM(AD32:AD33)</f>
      </c>
      <c r="AE34" s="612">
        <f>SUM(AE32:AE33)</f>
      </c>
      <c r="AF34" s="612">
        <f>SUM(AF32:AF33)</f>
      </c>
      <c r="AG34" s="612">
        <f>SUM(AG32:AG33)</f>
      </c>
    </row>
    <row r="35">
      <c r="A35" s="597" t="s">
        <v>1275</v>
      </c>
      <c r="B35" s="598" t="s">
        <v>1256</v>
      </c>
      <c r="C35" s="598" t="s">
        <v>1257</v>
      </c>
      <c r="D35" s="598">
        <v>4</v>
      </c>
      <c r="E35" s="597">
        <v>8</v>
      </c>
      <c r="F35" s="597">
        <v>8</v>
      </c>
      <c r="G35" s="598">
        <v>17998.71</v>
      </c>
      <c r="H35" s="599">
        <v>7600.2300000000005</v>
      </c>
      <c r="I35" s="600">
        <f t="shared" si="0"/>
      </c>
      <c r="J35" s="600">
        <f t="shared" si="2"/>
      </c>
      <c r="K35" s="600">
        <f t="shared" si="1"/>
      </c>
      <c r="L35" s="598"/>
      <c r="M35" s="617"/>
      <c r="N35" s="598"/>
      <c r="O35" s="598"/>
      <c r="P35" s="598"/>
      <c r="Q35" s="602">
        <v>3.3305127081507453</v>
      </c>
      <c r="R35" s="603">
        <v>0.40372458772867387</v>
      </c>
      <c r="S35" s="603">
        <v>0.021623772884054124</v>
      </c>
      <c r="T35" s="603">
        <v>0.022713489747185688</v>
      </c>
      <c r="U35" s="603">
        <v>0.05673758865248227</v>
      </c>
      <c r="V35" s="604">
        <v>42605.86319218241</v>
      </c>
      <c r="W35" s="603">
        <v>0.0076749999999999995</v>
      </c>
      <c r="X35" s="604">
        <v>41</v>
      </c>
      <c r="Y35" s="605">
        <v>72.01825038850777</v>
      </c>
      <c r="Z35" s="604">
        <v>105532</v>
      </c>
      <c r="AA35" s="604">
        <v>2282</v>
      </c>
      <c r="AB35" s="604">
        <v>327</v>
      </c>
      <c r="AC35" s="604">
        <v>2397</v>
      </c>
      <c r="AD35" s="604">
        <v>136</v>
      </c>
      <c r="AE35" s="604">
        <v>16</v>
      </c>
      <c r="AF35" s="604">
        <v>5</v>
      </c>
      <c r="AG35" s="604">
        <v>58</v>
      </c>
    </row>
    <row r="36">
      <c r="A36" s="597" t="s">
        <v>1275</v>
      </c>
      <c r="B36" s="598" t="s">
        <v>1258</v>
      </c>
      <c r="C36" s="598" t="s">
        <v>1259</v>
      </c>
      <c r="D36" s="598">
        <v>4</v>
      </c>
      <c r="E36" s="597">
        <v>4</v>
      </c>
      <c r="F36" s="597">
        <v>8</v>
      </c>
      <c r="G36" s="598">
        <v>14935.41</v>
      </c>
      <c r="H36" s="599">
        <v>7797.380000000001</v>
      </c>
      <c r="I36" s="600">
        <f t="shared" si="0"/>
      </c>
      <c r="J36" s="600">
        <f t="shared" si="2"/>
      </c>
      <c r="K36" s="600">
        <f t="shared" si="1"/>
      </c>
      <c r="L36" s="598" t="s">
        <v>1260</v>
      </c>
      <c r="M36" s="617">
        <v>3.2</v>
      </c>
      <c r="N36" s="598"/>
      <c r="O36" s="598"/>
      <c r="P36" s="598"/>
      <c r="Q36" s="605">
        <v>3.5866513339466426</v>
      </c>
      <c r="R36" s="603">
        <v>0.47097318952183453</v>
      </c>
      <c r="S36" s="603">
        <v>0.02121182554395551</v>
      </c>
      <c r="T36" s="603">
        <v>0.022509513123231534</v>
      </c>
      <c r="U36" s="603">
        <v>0.06762028608582575</v>
      </c>
      <c r="V36" s="604">
        <v>48270.04219409282</v>
      </c>
      <c r="W36" s="603">
        <v>0.005925000000000001</v>
      </c>
      <c r="X36" s="604">
        <v>38</v>
      </c>
      <c r="Y36" s="605">
        <v>76.07942238267148</v>
      </c>
      <c r="Z36" s="604">
        <v>102490</v>
      </c>
      <c r="AA36" s="604">
        <v>2174</v>
      </c>
      <c r="AB36" s="604">
        <v>286</v>
      </c>
      <c r="AC36" s="604">
        <v>2307</v>
      </c>
      <c r="AD36" s="604">
        <v>156</v>
      </c>
      <c r="AE36" s="604">
        <v>10</v>
      </c>
      <c r="AF36" s="604">
        <v>2</v>
      </c>
      <c r="AG36" s="604">
        <v>47</v>
      </c>
    </row>
    <row r="37">
      <c r="A37" s="607" t="s">
        <v>1275</v>
      </c>
      <c r="B37" s="607" t="s">
        <v>1261</v>
      </c>
      <c r="C37" s="607"/>
      <c r="D37" s="607">
        <f>SUM(D35:D36)</f>
      </c>
      <c r="E37" s="607">
        <f>E35+E36</f>
      </c>
      <c r="F37" s="607">
        <f>SUM(F35:F36)</f>
      </c>
      <c r="G37" s="607">
        <f>SUM(G35:G36)</f>
      </c>
      <c r="H37" s="607">
        <f>SUM(H35:H36)</f>
      </c>
      <c r="I37" s="608">
        <f t="shared" si="0"/>
      </c>
      <c r="J37" s="608">
        <f t="shared" si="2"/>
      </c>
      <c r="K37" s="608">
        <f t="shared" si="1"/>
      </c>
      <c r="L37" s="607"/>
      <c r="M37" s="609">
        <f>SUM(M35:M36)</f>
      </c>
      <c r="N37" s="607"/>
      <c r="O37" s="607"/>
      <c r="P37" s="607"/>
      <c r="Q37" s="610">
        <f>AVERAGE(Q35:Q36)</f>
      </c>
      <c r="R37" s="611">
        <f>AVERAGE(R35:R36)</f>
      </c>
      <c r="S37" s="611">
        <f>AVERAGE(S35:S36)</f>
      </c>
      <c r="T37" s="611">
        <f>AVERAGE(T35:T36)</f>
      </c>
      <c r="U37" s="611">
        <f>AVERAGE(U35:U36)</f>
      </c>
      <c r="V37" s="612">
        <f>SUM(V35:V36)</f>
      </c>
      <c r="W37" s="611">
        <f>AVERAGE(W35:W36)</f>
      </c>
      <c r="X37" s="612"/>
      <c r="Y37" s="610">
        <f>AVERAGE(Y35:Y36)</f>
      </c>
      <c r="Z37" s="612">
        <f>SUM(Z35:Z36)</f>
      </c>
      <c r="AA37" s="612">
        <f>SUM(AA35:AA36)</f>
      </c>
      <c r="AB37" s="612">
        <f>SUM(AB35:AB36)</f>
      </c>
      <c r="AC37" s="612">
        <f>SUM(AC35:AC36)</f>
      </c>
      <c r="AD37" s="612">
        <f>SUM(AD35:AD36)</f>
      </c>
      <c r="AE37" s="612">
        <f>SUM(AE35:AE36)</f>
      </c>
      <c r="AF37" s="612">
        <f>SUM(AF35:AF36)</f>
      </c>
      <c r="AG37" s="612">
        <f>SUM(AG35:AG36)</f>
      </c>
    </row>
    <row r="38">
      <c r="A38" s="597" t="s">
        <v>1276</v>
      </c>
      <c r="B38" s="598" t="s">
        <v>1256</v>
      </c>
      <c r="C38" s="597" t="s">
        <v>1277</v>
      </c>
      <c r="D38" s="597">
        <v>5</v>
      </c>
      <c r="E38" s="597">
        <v>12</v>
      </c>
      <c r="F38" s="597">
        <v>16</v>
      </c>
      <c r="G38" s="598">
        <v>32792.8</v>
      </c>
      <c r="H38" s="599">
        <v>8949.18</v>
      </c>
      <c r="I38" s="600">
        <f t="shared" si="0"/>
      </c>
      <c r="J38" s="600">
        <f t="shared" si="2"/>
      </c>
      <c r="K38" s="600">
        <f t="shared" si="1"/>
      </c>
      <c r="L38" s="598"/>
      <c r="M38" s="617"/>
      <c r="N38" s="598"/>
      <c r="O38" s="598"/>
      <c r="P38" s="598"/>
      <c r="Q38" s="602">
        <v>3.3305127081507453</v>
      </c>
      <c r="R38" s="603">
        <v>0.40372458772867387</v>
      </c>
      <c r="S38" s="603">
        <v>0.021623772884054124</v>
      </c>
      <c r="T38" s="603">
        <v>0.022713489747185688</v>
      </c>
      <c r="U38" s="603">
        <v>0.05673758865248227</v>
      </c>
      <c r="V38" s="604">
        <v>42605.86319218241</v>
      </c>
      <c r="W38" s="603">
        <v>0.0076749999999999995</v>
      </c>
      <c r="X38" s="604">
        <v>41</v>
      </c>
      <c r="Y38" s="605">
        <v>72.01825038850777</v>
      </c>
      <c r="Z38" s="604">
        <v>105532</v>
      </c>
      <c r="AA38" s="604">
        <v>2282</v>
      </c>
      <c r="AB38" s="604">
        <v>327</v>
      </c>
      <c r="AC38" s="604">
        <v>2397</v>
      </c>
      <c r="AD38" s="604">
        <v>136</v>
      </c>
      <c r="AE38" s="604">
        <v>16</v>
      </c>
      <c r="AF38" s="604">
        <v>5</v>
      </c>
      <c r="AG38" s="604">
        <v>58</v>
      </c>
    </row>
    <row r="39">
      <c r="A39" s="597" t="s">
        <v>1276</v>
      </c>
      <c r="B39" s="597" t="s">
        <v>1278</v>
      </c>
      <c r="C39" s="597" t="s">
        <v>1279</v>
      </c>
      <c r="D39" s="597">
        <v>3</v>
      </c>
      <c r="E39" s="597">
        <v>12</v>
      </c>
      <c r="F39" s="597">
        <v>18</v>
      </c>
      <c r="G39" s="598">
        <v>40586.66</v>
      </c>
      <c r="H39" s="599">
        <v>6718.42</v>
      </c>
      <c r="I39" s="600">
        <f t="shared" si="0"/>
      </c>
      <c r="J39" s="600">
        <f t="shared" si="2"/>
      </c>
      <c r="K39" s="600">
        <f t="shared" si="1"/>
      </c>
      <c r="L39" s="597" t="s">
        <v>1280</v>
      </c>
      <c r="M39" s="617">
        <v>3.2</v>
      </c>
      <c r="N39" s="598"/>
      <c r="O39" s="598"/>
      <c r="P39" s="598"/>
      <c r="Q39" s="605">
        <v>3.5866513339466426</v>
      </c>
      <c r="R39" s="603">
        <v>0.47097318952183453</v>
      </c>
      <c r="S39" s="603">
        <v>0.02121182554395551</v>
      </c>
      <c r="T39" s="603">
        <v>0.022509513123231534</v>
      </c>
      <c r="U39" s="603">
        <v>0.06762028608582575</v>
      </c>
      <c r="V39" s="604">
        <v>48270.04219409282</v>
      </c>
      <c r="W39" s="603">
        <v>0.005925000000000001</v>
      </c>
      <c r="X39" s="604">
        <v>38</v>
      </c>
      <c r="Y39" s="605">
        <v>76.07942238267148</v>
      </c>
      <c r="Z39" s="604">
        <v>102490</v>
      </c>
      <c r="AA39" s="604">
        <v>2174</v>
      </c>
      <c r="AB39" s="604">
        <v>286</v>
      </c>
      <c r="AC39" s="604">
        <v>2307</v>
      </c>
      <c r="AD39" s="604">
        <v>156</v>
      </c>
      <c r="AE39" s="604">
        <v>10</v>
      </c>
      <c r="AF39" s="604">
        <v>2</v>
      </c>
      <c r="AG39" s="604">
        <v>47</v>
      </c>
    </row>
    <row r="40">
      <c r="A40" s="607" t="s">
        <v>1276</v>
      </c>
      <c r="B40" s="607" t="s">
        <v>1261</v>
      </c>
      <c r="C40" s="607"/>
      <c r="D40" s="607">
        <f>SUM(D38:D39)</f>
      </c>
      <c r="E40" s="607">
        <f>E38+E39</f>
      </c>
      <c r="F40" s="607">
        <f>SUM(F38:F39)</f>
      </c>
      <c r="G40" s="607">
        <f>SUM(G38:G39)</f>
      </c>
      <c r="H40" s="607">
        <f>SUM(H38:H39)</f>
      </c>
      <c r="I40" s="608">
        <f t="shared" si="0"/>
      </c>
      <c r="J40" s="608">
        <f t="shared" si="2"/>
      </c>
      <c r="K40" s="608">
        <f t="shared" si="1"/>
      </c>
      <c r="L40" s="607"/>
      <c r="M40" s="609">
        <f>SUM(M38:M39)</f>
      </c>
      <c r="N40" s="607"/>
      <c r="O40" s="607"/>
      <c r="P40" s="607"/>
      <c r="Q40" s="610">
        <f>AVERAGE(Q38:Q39)</f>
      </c>
      <c r="R40" s="611">
        <f>AVERAGE(R38:R39)</f>
      </c>
      <c r="S40" s="611">
        <f>AVERAGE(S38:S39)</f>
      </c>
      <c r="T40" s="611">
        <f>AVERAGE(T38:T39)</f>
      </c>
      <c r="U40" s="611">
        <f>AVERAGE(U38:U39)</f>
      </c>
      <c r="V40" s="612">
        <f>SUM(V38:V39)</f>
      </c>
      <c r="W40" s="611">
        <f>AVERAGE(W38:W39)</f>
      </c>
      <c r="X40" s="612"/>
      <c r="Y40" s="610">
        <f>AVERAGE(Y38:Y39)</f>
      </c>
      <c r="Z40" s="612">
        <f>SUM(Z38:Z39)</f>
      </c>
      <c r="AA40" s="612">
        <f>SUM(AA38:AA39)</f>
      </c>
      <c r="AB40" s="612">
        <f>SUM(AB38:AB39)</f>
      </c>
      <c r="AC40" s="612">
        <f>SUM(AC38:AC39)</f>
      </c>
      <c r="AD40" s="612">
        <f>SUM(AD38:AD39)</f>
      </c>
      <c r="AE40" s="612">
        <f>SUM(AE38:AE39)</f>
      </c>
      <c r="AF40" s="612">
        <f>SUM(AF38:AF39)</f>
      </c>
      <c r="AG40" s="612">
        <f>SUM(AG38:AG39)</f>
      </c>
    </row>
    <row r="41">
      <c r="A41" s="597" t="s">
        <v>1281</v>
      </c>
      <c r="B41" s="598" t="s">
        <v>1256</v>
      </c>
      <c r="C41" s="597" t="s">
        <v>1277</v>
      </c>
      <c r="D41" s="597">
        <v>5</v>
      </c>
      <c r="E41" s="597">
        <v>8</v>
      </c>
      <c r="F41" s="597">
        <v>9</v>
      </c>
      <c r="G41" s="598">
        <v>18963.96</v>
      </c>
      <c r="H41" s="599">
        <v>9379.289999999999</v>
      </c>
      <c r="I41" s="600">
        <f t="shared" si="0"/>
      </c>
      <c r="J41" s="600">
        <f t="shared" si="2"/>
      </c>
      <c r="K41" s="600">
        <f t="shared" si="1"/>
      </c>
      <c r="L41" s="597" t="s">
        <v>1280</v>
      </c>
      <c r="M41" s="601">
        <v>1.6</v>
      </c>
      <c r="N41" s="598"/>
      <c r="O41" s="598"/>
      <c r="P41" s="598"/>
      <c r="Q41" s="602">
        <v>2.9653145747707867</v>
      </c>
      <c r="R41" s="603">
        <v>0.23789665638122665</v>
      </c>
      <c r="S41" s="603">
        <v>0.02740283818203871</v>
      </c>
      <c r="T41" s="603">
        <v>0.0293348119141268</v>
      </c>
      <c r="U41" s="603">
        <v>0.07383343177790903</v>
      </c>
      <c r="V41" s="604">
        <v>27459.459459459467</v>
      </c>
      <c r="W41" s="603">
        <v>0.018499999999999996</v>
      </c>
      <c r="X41" s="604">
        <v>38.2</v>
      </c>
      <c r="Y41" s="605">
        <v>81.2580354512848</v>
      </c>
      <c r="Z41" s="604">
        <v>115426</v>
      </c>
      <c r="AA41" s="604">
        <v>3163</v>
      </c>
      <c r="AB41" s="604">
        <v>508</v>
      </c>
      <c r="AC41" s="604">
        <v>3386</v>
      </c>
      <c r="AD41" s="604">
        <v>250</v>
      </c>
      <c r="AE41" s="604">
        <v>23</v>
      </c>
      <c r="AF41" s="604">
        <v>5</v>
      </c>
      <c r="AG41" s="604">
        <v>139</v>
      </c>
    </row>
    <row r="42">
      <c r="A42" s="597" t="s">
        <v>1281</v>
      </c>
      <c r="B42" s="597" t="s">
        <v>1278</v>
      </c>
      <c r="C42" s="597" t="s">
        <v>1279</v>
      </c>
      <c r="D42" s="597">
        <v>3</v>
      </c>
      <c r="E42" s="597">
        <v>6</v>
      </c>
      <c r="F42" s="597">
        <v>8</v>
      </c>
      <c r="G42" s="598">
        <v>19012.51</v>
      </c>
      <c r="H42" s="599">
        <v>4905.219999999999</v>
      </c>
      <c r="I42" s="600">
        <f t="shared" si="0"/>
      </c>
      <c r="J42" s="600">
        <f t="shared" si="2"/>
      </c>
      <c r="K42" s="600">
        <f t="shared" si="1"/>
      </c>
      <c r="L42" s="597" t="s">
        <v>1282</v>
      </c>
      <c r="M42" s="601">
        <v>1.6</v>
      </c>
      <c r="N42" s="598"/>
      <c r="O42" s="598"/>
      <c r="P42" s="598"/>
      <c r="Q42" s="605">
        <v>3.6308068097705397</v>
      </c>
      <c r="R42" s="603">
        <v>0.2834086603720112</v>
      </c>
      <c r="S42" s="603">
        <v>0.026197401590071747</v>
      </c>
      <c r="T42" s="603">
        <v>0.028776420399457048</v>
      </c>
      <c r="U42" s="603">
        <v>0.14016172506738545</v>
      </c>
      <c r="V42" s="604">
        <v>14615.384615384617</v>
      </c>
      <c r="W42" s="603">
        <v>0.015599999999999998</v>
      </c>
      <c r="X42" s="604">
        <v>45.666666666666664</v>
      </c>
      <c r="Y42" s="605">
        <v>95.11770409152606</v>
      </c>
      <c r="Z42" s="604">
        <v>51570</v>
      </c>
      <c r="AA42" s="604">
        <v>1351</v>
      </c>
      <c r="AB42" s="604">
        <v>228</v>
      </c>
      <c r="AC42" s="604">
        <v>1484</v>
      </c>
      <c r="AD42" s="604">
        <v>208</v>
      </c>
      <c r="AE42" s="604">
        <v>14</v>
      </c>
      <c r="AF42" s="604">
        <v>4</v>
      </c>
      <c r="AG42" s="604">
        <v>61</v>
      </c>
    </row>
    <row r="43">
      <c r="A43" s="607" t="s">
        <v>1281</v>
      </c>
      <c r="B43" s="607" t="s">
        <v>1261</v>
      </c>
      <c r="C43" s="607"/>
      <c r="D43" s="607">
        <f>SUM(D41:D42)</f>
      </c>
      <c r="E43" s="607">
        <f>E41+E42</f>
      </c>
      <c r="F43" s="607">
        <f>SUM(F41:F42)</f>
      </c>
      <c r="G43" s="607">
        <f>SUM(G41:G42)</f>
      </c>
      <c r="H43" s="607">
        <f>SUM(H41:H42)</f>
      </c>
      <c r="I43" s="608">
        <f t="shared" si="0"/>
      </c>
      <c r="J43" s="608">
        <f t="shared" si="2"/>
      </c>
      <c r="K43" s="608">
        <f t="shared" si="1"/>
      </c>
      <c r="L43" s="607"/>
      <c r="M43" s="609">
        <f>SUM(M41:M42)</f>
      </c>
      <c r="N43" s="607"/>
      <c r="O43" s="607"/>
      <c r="P43" s="607"/>
      <c r="Q43" s="610">
        <f>AVERAGE(Q41:Q42)</f>
      </c>
      <c r="R43" s="611">
        <f>AVERAGE(R41:R42)</f>
      </c>
      <c r="S43" s="611">
        <f>AVERAGE(S41:S42)</f>
      </c>
      <c r="T43" s="611">
        <f>AVERAGE(T41:T42)</f>
      </c>
      <c r="U43" s="611">
        <f>AVERAGE(U41:U42)</f>
      </c>
      <c r="V43" s="612">
        <f>SUM(V41:V42)</f>
      </c>
      <c r="W43" s="611">
        <f>AVERAGE(W41:W42)</f>
      </c>
      <c r="X43" s="612"/>
      <c r="Y43" s="610">
        <f>AVERAGE(Y41:Y42)</f>
      </c>
      <c r="Z43" s="612">
        <f>SUM(Z41:Z42)</f>
      </c>
      <c r="AA43" s="612">
        <f>SUM(AA41:AA42)</f>
      </c>
      <c r="AB43" s="612">
        <f>SUM(AB41:AB42)</f>
      </c>
      <c r="AC43" s="612">
        <f>SUM(AC41:AC42)</f>
      </c>
      <c r="AD43" s="612">
        <f>SUM(AD41:AD42)</f>
      </c>
      <c r="AE43" s="612">
        <f>SUM(AE41:AE42)</f>
      </c>
      <c r="AF43" s="612">
        <f>SUM(AF41:AF42)</f>
      </c>
      <c r="AG43" s="612">
        <f>SUM(AG41:AG42)</f>
      </c>
    </row>
    <row r="44">
      <c r="A44" s="597" t="s">
        <v>1283</v>
      </c>
      <c r="B44" s="597" t="s">
        <v>1258</v>
      </c>
      <c r="C44" s="597" t="s">
        <v>1277</v>
      </c>
      <c r="D44" s="597">
        <v>5</v>
      </c>
      <c r="E44" s="597">
        <v>6</v>
      </c>
      <c r="F44" s="597">
        <v>8</v>
      </c>
      <c r="G44" s="598">
        <v>14054.05</v>
      </c>
      <c r="H44" s="599">
        <v>8970.560000000001</v>
      </c>
      <c r="I44" s="600">
        <f t="shared" si="0"/>
      </c>
      <c r="J44" s="600">
        <f t="shared" si="2"/>
      </c>
      <c r="K44" s="600">
        <f t="shared" si="1"/>
      </c>
      <c r="L44" s="597"/>
      <c r="M44" s="601"/>
      <c r="N44" s="598"/>
      <c r="O44" s="598"/>
      <c r="P44" s="598"/>
      <c r="Q44" s="602">
        <v>3.1126162387231093</v>
      </c>
      <c r="R44" s="603">
        <v>0.23599590629671863</v>
      </c>
      <c r="S44" s="603">
        <v>0.022716345206472817</v>
      </c>
      <c r="T44" s="603">
        <v>0.024789349644121102</v>
      </c>
      <c r="U44" s="603">
        <v>0.06391096979332274</v>
      </c>
      <c r="V44" s="604">
        <v>29940.564635958395</v>
      </c>
      <c r="W44" s="603">
        <v>0.01346</v>
      </c>
      <c r="X44" s="604">
        <v>25.2</v>
      </c>
      <c r="Y44" s="605">
        <v>70.70726497410716</v>
      </c>
      <c r="Z44" s="604">
        <v>126869</v>
      </c>
      <c r="AA44" s="604">
        <v>2882</v>
      </c>
      <c r="AB44" s="604">
        <v>403</v>
      </c>
      <c r="AC44" s="604">
        <v>3145</v>
      </c>
      <c r="AD44" s="604">
        <v>201</v>
      </c>
      <c r="AE44" s="604">
        <v>22</v>
      </c>
      <c r="AF44" s="604">
        <v>5</v>
      </c>
      <c r="AG44" s="604">
        <v>158</v>
      </c>
    </row>
    <row r="45">
      <c r="A45" s="597" t="s">
        <v>1283</v>
      </c>
      <c r="B45" s="597" t="s">
        <v>1278</v>
      </c>
      <c r="C45" s="597" t="s">
        <v>1284</v>
      </c>
      <c r="D45" s="597">
        <v>4</v>
      </c>
      <c r="E45" s="597">
        <v>8</v>
      </c>
      <c r="F45" s="597">
        <v>10</v>
      </c>
      <c r="G45" s="598">
        <v>23358.73</v>
      </c>
      <c r="H45" s="599">
        <v>5514.59</v>
      </c>
      <c r="I45" s="600">
        <f t="shared" si="0"/>
      </c>
      <c r="J45" s="600">
        <f t="shared" si="2"/>
      </c>
      <c r="K45" s="600">
        <f t="shared" si="1"/>
      </c>
      <c r="L45" s="597" t="s">
        <v>1282</v>
      </c>
      <c r="M45" s="601">
        <v>3.6</v>
      </c>
      <c r="N45" s="598"/>
      <c r="O45" s="598"/>
      <c r="P45" s="598"/>
      <c r="Q45" s="605">
        <v>2.3708469475494414</v>
      </c>
      <c r="R45" s="618">
        <v>0.0715038085141628</v>
      </c>
      <c r="S45" s="603">
        <v>0.02958647620743605</v>
      </c>
      <c r="T45" s="603">
        <v>0.031977816502792016</v>
      </c>
      <c r="U45" s="603">
        <v>0.08870326173428798</v>
      </c>
      <c r="V45" s="604">
        <v>5621.414913957935</v>
      </c>
      <c r="W45" s="603">
        <v>0.0523</v>
      </c>
      <c r="X45" s="604">
        <v>138</v>
      </c>
      <c r="Y45" s="605">
        <v>70.14500680514394</v>
      </c>
      <c r="Z45" s="604">
        <v>78617</v>
      </c>
      <c r="AA45" s="604">
        <v>2326</v>
      </c>
      <c r="AB45" s="604">
        <v>294</v>
      </c>
      <c r="AC45" s="604">
        <v>2514</v>
      </c>
      <c r="AD45" s="604">
        <v>223</v>
      </c>
      <c r="AE45" s="604">
        <v>18</v>
      </c>
      <c r="AF45" s="604">
        <v>1</v>
      </c>
      <c r="AG45" s="604">
        <v>82</v>
      </c>
    </row>
    <row r="46">
      <c r="A46" s="607" t="s">
        <v>1283</v>
      </c>
      <c r="B46" s="607" t="s">
        <v>1261</v>
      </c>
      <c r="C46" s="607"/>
      <c r="D46" s="607">
        <f>SUM(D44:D45)</f>
      </c>
      <c r="E46" s="607">
        <f>E44+E45</f>
      </c>
      <c r="F46" s="607">
        <f>SUM(F44:F45)</f>
      </c>
      <c r="G46" s="607">
        <f>SUM(G44:G45)</f>
      </c>
      <c r="H46" s="607">
        <f>SUM(H44:H45)</f>
      </c>
      <c r="I46" s="608">
        <f t="shared" si="0"/>
      </c>
      <c r="J46" s="608">
        <f t="shared" si="2"/>
      </c>
      <c r="K46" s="608">
        <f t="shared" si="1"/>
      </c>
      <c r="L46" s="607"/>
      <c r="M46" s="609">
        <f>SUM(M44:M45)</f>
      </c>
      <c r="N46" s="607"/>
      <c r="O46" s="607"/>
      <c r="P46" s="607"/>
      <c r="Q46" s="610">
        <f>AVERAGE(Q44:Q45)</f>
      </c>
      <c r="R46" s="611">
        <f>AVERAGE(R44:R45)</f>
      </c>
      <c r="S46" s="611">
        <f>AVERAGE(S44:S45)</f>
      </c>
      <c r="T46" s="611">
        <f>AVERAGE(T44:T45)</f>
      </c>
      <c r="U46" s="611">
        <f>AVERAGE(U44:U45)</f>
      </c>
      <c r="V46" s="612">
        <f>SUM(V44:V45)</f>
      </c>
      <c r="W46" s="611">
        <f>AVERAGE(W44:W45)</f>
      </c>
      <c r="X46" s="612"/>
      <c r="Y46" s="610">
        <f>AVERAGE(Y44:Y45)</f>
      </c>
      <c r="Z46" s="612">
        <f>SUM(Z44:Z45)</f>
      </c>
      <c r="AA46" s="612">
        <f>SUM(AA44:AA45)</f>
      </c>
      <c r="AB46" s="612">
        <f>SUM(AB44:AB45)</f>
      </c>
      <c r="AC46" s="612">
        <f>SUM(AC44:AC45)</f>
      </c>
      <c r="AD46" s="612">
        <f>SUM(AD44:AD45)</f>
      </c>
      <c r="AE46" s="612">
        <f>SUM(AE44:AE45)</f>
      </c>
      <c r="AF46" s="612">
        <f>SUM(AF44:AF45)</f>
      </c>
      <c r="AG46" s="612">
        <f>SUM(AG44:AG45)</f>
      </c>
    </row>
    <row r="47">
      <c r="A47" s="597" t="s">
        <v>1285</v>
      </c>
      <c r="B47" s="597" t="s">
        <v>1258</v>
      </c>
      <c r="C47" s="597" t="s">
        <v>1286</v>
      </c>
      <c r="D47" s="597">
        <v>5</v>
      </c>
      <c r="E47" s="597">
        <v>11</v>
      </c>
      <c r="F47" s="597">
        <v>12</v>
      </c>
      <c r="G47" s="598">
        <v>23929.89</v>
      </c>
      <c r="H47" s="599">
        <v>9573</v>
      </c>
      <c r="I47" s="600">
        <f t="shared" si="0"/>
      </c>
      <c r="J47" s="600">
        <f t="shared" si="2"/>
      </c>
      <c r="K47" s="600">
        <f t="shared" si="1"/>
      </c>
      <c r="L47" s="597" t="s">
        <v>1260</v>
      </c>
      <c r="M47" s="601">
        <v>1.6</v>
      </c>
      <c r="N47" s="598"/>
      <c r="O47" s="598"/>
      <c r="P47" s="598"/>
      <c r="Q47" s="602">
        <v>2.4826244813278007</v>
      </c>
      <c r="R47" s="603">
        <v>0.2301678406349309</v>
      </c>
      <c r="S47" s="603">
        <v>0.02806894945259725</v>
      </c>
      <c r="T47" s="603">
        <v>0.03102434195201491</v>
      </c>
      <c r="U47" s="603">
        <v>0.06358517128108869</v>
      </c>
      <c r="V47" s="604">
        <v>31619.537275064267</v>
      </c>
      <c r="W47" s="603">
        <v>0.01556</v>
      </c>
      <c r="X47" s="604">
        <v>28.4</v>
      </c>
      <c r="Y47" s="605">
        <v>69.68466107617051</v>
      </c>
      <c r="Z47" s="604">
        <v>137376</v>
      </c>
      <c r="AA47" s="604">
        <v>3856</v>
      </c>
      <c r="AB47" s="604">
        <v>492</v>
      </c>
      <c r="AC47" s="604">
        <v>4262</v>
      </c>
      <c r="AD47" s="604">
        <v>271</v>
      </c>
      <c r="AE47" s="604">
        <v>23</v>
      </c>
      <c r="AF47" s="604">
        <v>6</v>
      </c>
      <c r="AG47" s="604">
        <v>166</v>
      </c>
    </row>
    <row customHeight="true" ht="16.071428571428573" r="48">
      <c r="A48" s="597" t="s">
        <v>1285</v>
      </c>
      <c r="B48" s="597" t="s">
        <v>1287</v>
      </c>
      <c r="C48" s="597" t="s">
        <v>1288</v>
      </c>
      <c r="D48" s="597">
        <v>2</v>
      </c>
      <c r="E48" s="597">
        <v>5</v>
      </c>
      <c r="F48" s="597">
        <v>5</v>
      </c>
      <c r="G48" s="598">
        <v>9296.68</v>
      </c>
      <c r="H48" s="599">
        <v>3420.73</v>
      </c>
      <c r="I48" s="600">
        <f t="shared" si="0"/>
      </c>
      <c r="J48" s="600">
        <f t="shared" si="2"/>
      </c>
      <c r="K48" s="600">
        <f t="shared" si="1"/>
      </c>
      <c r="L48" s="597"/>
      <c r="M48" s="601"/>
      <c r="N48" s="598"/>
      <c r="O48" s="598"/>
      <c r="P48" s="598"/>
      <c r="Q48" s="619">
        <v>2.2593989431968295</v>
      </c>
      <c r="R48" s="603">
        <v>0.13164776015533403</v>
      </c>
      <c r="S48" s="603">
        <v>0.02892017344463334</v>
      </c>
      <c r="T48" s="603">
        <v>0.03560581459761991</v>
      </c>
      <c r="U48" s="603">
        <v>0.03379828326180258</v>
      </c>
      <c r="V48" s="604">
        <v>6891.891891891892</v>
      </c>
      <c r="W48" s="603">
        <v>0.0222</v>
      </c>
      <c r="X48" s="604">
        <v>61</v>
      </c>
      <c r="Y48" s="605">
        <v>65.34220931787358</v>
      </c>
      <c r="Z48" s="604">
        <v>52351</v>
      </c>
      <c r="AA48" s="604">
        <v>1514</v>
      </c>
      <c r="AB48" s="604">
        <v>153</v>
      </c>
      <c r="AC48" s="604">
        <v>1864</v>
      </c>
      <c r="AD48" s="604">
        <v>63</v>
      </c>
      <c r="AE48" s="604">
        <v>8</v>
      </c>
      <c r="AF48" s="604">
        <v>1</v>
      </c>
      <c r="AG48" s="604">
        <v>60</v>
      </c>
    </row>
    <row r="49">
      <c r="A49" s="597" t="s">
        <v>1285</v>
      </c>
      <c r="B49" s="597" t="s">
        <v>1278</v>
      </c>
      <c r="C49" s="597" t="s">
        <v>1289</v>
      </c>
      <c r="D49" s="597">
        <v>4</v>
      </c>
      <c r="E49" s="597">
        <v>4</v>
      </c>
      <c r="F49" s="597">
        <v>6</v>
      </c>
      <c r="G49" s="598">
        <v>11935.02</v>
      </c>
      <c r="H49" s="599">
        <v>5135.21</v>
      </c>
      <c r="I49" s="600">
        <f t="shared" si="0"/>
      </c>
      <c r="J49" s="600">
        <f t="shared" si="2"/>
      </c>
      <c r="K49" s="600">
        <f t="shared" si="1"/>
      </c>
      <c r="L49" s="597" t="s">
        <v>1290</v>
      </c>
      <c r="M49" s="601">
        <v>7</v>
      </c>
      <c r="N49" s="598"/>
      <c r="O49" s="598"/>
      <c r="P49" s="598"/>
      <c r="Q49" s="605">
        <v>1.6474847609881296</v>
      </c>
      <c r="R49" s="603">
        <v>0.05906084931164996</v>
      </c>
      <c r="S49" s="603">
        <v>0.04321424115127064</v>
      </c>
      <c r="T49" s="603">
        <v>0.05186540781100528</v>
      </c>
      <c r="U49" s="603">
        <v>0.02566158781074579</v>
      </c>
      <c r="V49" s="604">
        <v>4260</v>
      </c>
      <c r="W49" s="603">
        <v>0.05</v>
      </c>
      <c r="X49" s="604">
        <v>114</v>
      </c>
      <c r="Y49" s="605">
        <v>71.1948037543845</v>
      </c>
      <c r="Z49" s="604">
        <v>72129</v>
      </c>
      <c r="AA49" s="604">
        <v>3117</v>
      </c>
      <c r="AB49" s="604">
        <v>213</v>
      </c>
      <c r="AC49" s="604">
        <v>3741</v>
      </c>
      <c r="AD49" s="604">
        <v>96</v>
      </c>
      <c r="AE49" s="604">
        <v>11</v>
      </c>
      <c r="AF49" s="604">
        <v>1</v>
      </c>
      <c r="AG49" s="604">
        <v>77</v>
      </c>
    </row>
    <row r="50">
      <c r="A50" s="606" t="s">
        <v>1285</v>
      </c>
      <c r="B50" s="607" t="s">
        <v>1261</v>
      </c>
      <c r="C50" s="607"/>
      <c r="D50" s="607">
        <f>SUM(D47:D49)</f>
      </c>
      <c r="E50" s="607">
        <f>E47+E49</f>
      </c>
      <c r="F50" s="607">
        <f>SUM(F47:F49)</f>
      </c>
      <c r="G50" s="607">
        <f>SUM(G47:G49)</f>
      </c>
      <c r="H50" s="607">
        <f>SUM(H47:H49)</f>
      </c>
      <c r="I50" s="608">
        <f t="shared" si="0"/>
      </c>
      <c r="J50" s="608">
        <f t="shared" si="2"/>
      </c>
      <c r="K50" s="608">
        <f t="shared" si="1"/>
      </c>
      <c r="L50" s="607"/>
      <c r="M50" s="609">
        <f>SUM(M47:M49)</f>
      </c>
      <c r="N50" s="607"/>
      <c r="O50" s="607"/>
      <c r="P50" s="607"/>
      <c r="Q50" s="610">
        <f>AVERAGE(Q47:Q49)</f>
      </c>
      <c r="R50" s="611">
        <f>AVERAGE(R47:R49)</f>
      </c>
      <c r="S50" s="611">
        <f>AVERAGE(S47:S49)</f>
      </c>
      <c r="T50" s="611">
        <f>AVERAGE(T47:T49)</f>
      </c>
      <c r="U50" s="611">
        <f>AVERAGE(U47:U49)</f>
      </c>
      <c r="V50" s="612">
        <f>SUM(V47:V49)</f>
      </c>
      <c r="W50" s="611">
        <f>AVERAGE(W47:W49)</f>
      </c>
      <c r="X50" s="612"/>
      <c r="Y50" s="610">
        <f>AVERAGE(Y47:Y49)</f>
      </c>
      <c r="Z50" s="612">
        <f>SUM(Z47:Z49)</f>
      </c>
      <c r="AA50" s="612">
        <f>SUM(AA47:AA49)</f>
      </c>
      <c r="AB50" s="612">
        <f>SUM(AB47:AB49)</f>
      </c>
      <c r="AC50" s="612">
        <f>SUM(AC47:AC49)</f>
      </c>
      <c r="AD50" s="612">
        <f>SUM(AD47:AD49)</f>
      </c>
      <c r="AE50" s="612">
        <f>SUM(AE47:AE49)</f>
      </c>
      <c r="AF50" s="612">
        <f>SUM(AF47:AF49)</f>
      </c>
      <c r="AG50" s="612">
        <f>SUM(AG47:AG49)</f>
      </c>
    </row>
    <row r="51">
      <c r="A51" s="597" t="s">
        <v>1291</v>
      </c>
      <c r="B51" s="597" t="s">
        <v>1258</v>
      </c>
      <c r="C51" s="597" t="s">
        <v>1292</v>
      </c>
      <c r="D51" s="597">
        <v>5</v>
      </c>
      <c r="E51" s="597">
        <v>10</v>
      </c>
      <c r="F51" s="597">
        <v>11</v>
      </c>
      <c r="G51" s="598">
        <v>22619.42</v>
      </c>
      <c r="H51" s="599">
        <v>8283.4</v>
      </c>
      <c r="I51" s="600">
        <f t="shared" si="0"/>
      </c>
      <c r="J51" s="600">
        <f t="shared" si="2"/>
      </c>
      <c r="K51" s="600">
        <f t="shared" si="1"/>
      </c>
      <c r="L51" s="597" t="s">
        <v>1260</v>
      </c>
      <c r="M51" s="601">
        <v>1.2</v>
      </c>
      <c r="N51" s="598"/>
      <c r="O51" s="598"/>
      <c r="P51" s="598"/>
      <c r="Q51" s="602">
        <v>2.064656031904287</v>
      </c>
      <c r="R51" s="603">
        <v>0.2521784328544981</v>
      </c>
      <c r="S51" s="603">
        <v>0.037262350351540366</v>
      </c>
      <c r="T51" s="603">
        <v>0.0415997176531778</v>
      </c>
      <c r="U51" s="603">
        <v>0.044652824291136414</v>
      </c>
      <c r="V51" s="604">
        <v>27151.799687010956</v>
      </c>
      <c r="W51" s="603">
        <v>0.01278</v>
      </c>
      <c r="X51" s="604">
        <v>27.4</v>
      </c>
      <c r="Y51" s="605">
        <v>76.93393641623865</v>
      </c>
      <c r="Z51" s="604">
        <v>107669</v>
      </c>
      <c r="AA51" s="604">
        <v>4012</v>
      </c>
      <c r="AB51" s="604">
        <v>347</v>
      </c>
      <c r="AC51" s="604">
        <v>4479</v>
      </c>
      <c r="AD51" s="604">
        <v>200</v>
      </c>
      <c r="AE51" s="604">
        <v>15</v>
      </c>
      <c r="AF51" s="604">
        <v>1</v>
      </c>
      <c r="AG51" s="604">
        <v>113</v>
      </c>
    </row>
    <row r="52">
      <c r="A52" s="597" t="s">
        <v>1291</v>
      </c>
      <c r="B52" s="597" t="s">
        <v>1287</v>
      </c>
      <c r="C52" s="597" t="s">
        <v>1293</v>
      </c>
      <c r="D52" s="597">
        <v>2</v>
      </c>
      <c r="E52" s="597">
        <v>3</v>
      </c>
      <c r="F52" s="597">
        <v>3</v>
      </c>
      <c r="G52" s="598">
        <v>6447.88</v>
      </c>
      <c r="H52" s="599">
        <v>3938.71</v>
      </c>
      <c r="I52" s="600">
        <f t="shared" si="0"/>
      </c>
      <c r="J52" s="600">
        <f t="shared" si="2"/>
      </c>
      <c r="K52" s="600">
        <f t="shared" si="1"/>
      </c>
      <c r="L52" s="597"/>
      <c r="M52" s="601"/>
      <c r="N52" s="598"/>
      <c r="O52" s="598"/>
      <c r="P52" s="598"/>
      <c r="Q52" s="619">
        <v>2.3361269276393832</v>
      </c>
      <c r="R52" s="603">
        <v>0.11232697471580516</v>
      </c>
      <c r="S52" s="603">
        <v>0.03224634216314431</v>
      </c>
      <c r="T52" s="603">
        <v>0.03838577029740844</v>
      </c>
      <c r="U52" s="603">
        <v>0.03487792725460887</v>
      </c>
      <c r="V52" s="604">
        <v>5873.015873015873</v>
      </c>
      <c r="W52" s="603">
        <v>0.0252</v>
      </c>
      <c r="X52" s="604">
        <v>61</v>
      </c>
      <c r="Y52" s="605">
        <v>75.33154824519461</v>
      </c>
      <c r="Z52" s="604">
        <v>52285</v>
      </c>
      <c r="AA52" s="604">
        <v>1686</v>
      </c>
      <c r="AB52" s="604">
        <v>148</v>
      </c>
      <c r="AC52" s="604">
        <v>2007</v>
      </c>
      <c r="AD52" s="604">
        <v>70</v>
      </c>
      <c r="AE52" s="604">
        <v>10</v>
      </c>
      <c r="AF52" s="604">
        <v>2</v>
      </c>
      <c r="AG52" s="604">
        <v>52</v>
      </c>
    </row>
    <row r="53">
      <c r="A53" s="597" t="s">
        <v>1291</v>
      </c>
      <c r="B53" s="597" t="s">
        <v>1278</v>
      </c>
      <c r="C53" s="597" t="s">
        <v>1259</v>
      </c>
      <c r="D53" s="597">
        <v>4</v>
      </c>
      <c r="E53" s="597">
        <v>8</v>
      </c>
      <c r="F53" s="597">
        <v>8</v>
      </c>
      <c r="G53" s="598">
        <v>15919.97</v>
      </c>
      <c r="H53" s="599">
        <v>8250.08</v>
      </c>
      <c r="I53" s="600">
        <f t="shared" si="0"/>
      </c>
      <c r="J53" s="600">
        <f t="shared" si="2"/>
      </c>
      <c r="K53" s="600">
        <f t="shared" si="1"/>
      </c>
      <c r="L53" s="597" t="s">
        <v>1294</v>
      </c>
      <c r="M53" s="601">
        <v>5.6</v>
      </c>
      <c r="N53" s="620" t="s">
        <v>1295</v>
      </c>
      <c r="O53" s="598"/>
      <c r="P53" s="598"/>
      <c r="Q53" s="605">
        <v>1.972287831699737</v>
      </c>
      <c r="R53" s="603">
        <v>0.06065901532368374</v>
      </c>
      <c r="S53" s="603">
        <v>0.03561940120576314</v>
      </c>
      <c r="T53" s="603">
        <v>0.039298000613099904</v>
      </c>
      <c r="U53" s="603">
        <v>0.03856988082340195</v>
      </c>
      <c r="V53" s="604">
        <v>7123.552123552124</v>
      </c>
      <c r="W53" s="603">
        <v>0.0518</v>
      </c>
      <c r="X53" s="604">
        <v>121</v>
      </c>
      <c r="Y53" s="605">
        <v>70.25171157055757</v>
      </c>
      <c r="Z53" s="604">
        <v>117436</v>
      </c>
      <c r="AA53" s="604">
        <v>4183</v>
      </c>
      <c r="AB53" s="604">
        <v>369</v>
      </c>
      <c r="AC53" s="604">
        <v>4615</v>
      </c>
      <c r="AD53" s="604">
        <v>178</v>
      </c>
      <c r="AE53" s="604">
        <v>31</v>
      </c>
      <c r="AF53" s="604">
        <v>4</v>
      </c>
      <c r="AG53" s="604">
        <v>99</v>
      </c>
    </row>
    <row r="54">
      <c r="A54" s="606" t="s">
        <v>1291</v>
      </c>
      <c r="B54" s="607" t="s">
        <v>1261</v>
      </c>
      <c r="C54" s="607"/>
      <c r="D54" s="607">
        <f>SUM(D51:D53)</f>
      </c>
      <c r="E54" s="607">
        <f>SUM(E51:E53)</f>
      </c>
      <c r="F54" s="607">
        <f>SUM(F51:F53)</f>
      </c>
      <c r="G54" s="607">
        <f>SUM(G51:G53)</f>
      </c>
      <c r="H54" s="607">
        <f>SUM(H51:H53)</f>
      </c>
      <c r="I54" s="608">
        <f t="shared" si="0"/>
      </c>
      <c r="J54" s="608">
        <f t="shared" si="2"/>
      </c>
      <c r="K54" s="608">
        <f t="shared" si="1"/>
      </c>
      <c r="L54" s="607"/>
      <c r="M54" s="609">
        <f>SUM(M51:M53)</f>
      </c>
      <c r="N54" s="607"/>
      <c r="O54" s="607"/>
      <c r="P54" s="607"/>
      <c r="Q54" s="610">
        <f>AVERAGE(Q51:Q53)</f>
      </c>
      <c r="R54" s="611">
        <f>AVERAGE(R51:R53)</f>
      </c>
      <c r="S54" s="611">
        <f>AVERAGE(S51:S53)</f>
      </c>
      <c r="T54" s="611">
        <f>AVERAGE(T51:T53)</f>
      </c>
      <c r="U54" s="611">
        <f>AVERAGE(U51:U53)</f>
      </c>
      <c r="V54" s="612">
        <f>SUM(V51:V53)</f>
      </c>
      <c r="W54" s="611">
        <f>AVERAGE(W51:W53)</f>
      </c>
      <c r="X54" s="612"/>
      <c r="Y54" s="610">
        <f>AVERAGE(Y51:Y53)</f>
      </c>
      <c r="Z54" s="612">
        <f>SUM(Z51:Z53)</f>
      </c>
      <c r="AA54" s="612">
        <f>SUM(AA51:AA53)</f>
      </c>
      <c r="AB54" s="612">
        <f>SUM(AB51:AB53)</f>
      </c>
      <c r="AC54" s="612">
        <f>SUM(AC51:AC53)</f>
      </c>
      <c r="AD54" s="612">
        <f>SUM(AD51:AD53)</f>
      </c>
      <c r="AE54" s="612">
        <f>SUM(AE51:AE53)</f>
      </c>
      <c r="AF54" s="612">
        <f>SUM(AF51:AF53)</f>
      </c>
      <c r="AG54" s="612">
        <f>SUM(AG51:AG53)</f>
      </c>
    </row>
    <row r="55">
      <c r="A55" s="597" t="s">
        <v>1296</v>
      </c>
      <c r="B55" s="598" t="s">
        <v>1256</v>
      </c>
      <c r="C55" s="597" t="s">
        <v>1286</v>
      </c>
      <c r="D55" s="597">
        <v>5</v>
      </c>
      <c r="E55" s="597">
        <v>5</v>
      </c>
      <c r="F55" s="597">
        <v>6</v>
      </c>
      <c r="G55" s="598">
        <v>14974.57</v>
      </c>
      <c r="H55" s="599">
        <v>8372.77</v>
      </c>
      <c r="I55" s="600">
        <f t="shared" si="0"/>
      </c>
      <c r="J55" s="600">
        <f t="shared" si="2"/>
      </c>
      <c r="K55" s="600">
        <f t="shared" si="1"/>
      </c>
      <c r="L55" s="597" t="s">
        <v>1268</v>
      </c>
      <c r="M55" s="601">
        <v>4</v>
      </c>
      <c r="N55" s="598"/>
      <c r="O55" s="598"/>
      <c r="P55" s="598"/>
      <c r="Q55" s="602">
        <v>2.780727333111923</v>
      </c>
      <c r="R55" s="603">
        <v>0.26144299909689317</v>
      </c>
      <c r="S55" s="603">
        <v>0.025789928994184204</v>
      </c>
      <c r="T55" s="603">
        <v>0.028539370112461562</v>
      </c>
      <c r="U55" s="603">
        <v>0.05942376950780312</v>
      </c>
      <c r="V55" s="604">
        <v>30523.731587561375</v>
      </c>
      <c r="W55" s="603">
        <v>0.01222</v>
      </c>
      <c r="X55" s="604">
        <v>42.4</v>
      </c>
      <c r="Y55" s="605">
        <v>71.71476047314371</v>
      </c>
      <c r="Z55" s="604">
        <v>116751</v>
      </c>
      <c r="AA55" s="604">
        <v>3011</v>
      </c>
      <c r="AB55" s="604">
        <v>373</v>
      </c>
      <c r="AC55" s="604">
        <v>3332</v>
      </c>
      <c r="AD55" s="604">
        <v>198</v>
      </c>
      <c r="AE55" s="604">
        <v>17</v>
      </c>
      <c r="AF55" s="604">
        <v>7</v>
      </c>
      <c r="AG55" s="604">
        <v>83</v>
      </c>
    </row>
    <row r="56">
      <c r="A56" s="597" t="s">
        <v>1296</v>
      </c>
      <c r="B56" s="597" t="s">
        <v>1287</v>
      </c>
      <c r="C56" s="597" t="s">
        <v>1288</v>
      </c>
      <c r="D56" s="597">
        <v>2</v>
      </c>
      <c r="E56" s="597">
        <v>3</v>
      </c>
      <c r="F56" s="597">
        <v>4</v>
      </c>
      <c r="G56" s="598">
        <v>7335.9</v>
      </c>
      <c r="H56" s="599">
        <v>3810.0699999999997</v>
      </c>
      <c r="I56" s="600">
        <f t="shared" si="0"/>
      </c>
      <c r="J56" s="600">
        <f t="shared" si="2"/>
      </c>
      <c r="K56" s="600">
        <f t="shared" si="1"/>
      </c>
      <c r="L56" s="597"/>
      <c r="M56" s="601"/>
      <c r="N56" s="598"/>
      <c r="O56" s="598"/>
      <c r="P56" s="598"/>
      <c r="Q56" s="619">
        <v>2.1746974885844748</v>
      </c>
      <c r="R56" s="603">
        <v>0.2876170946715827</v>
      </c>
      <c r="S56" s="603">
        <v>0.028823374572255856</v>
      </c>
      <c r="T56" s="603">
        <v>0.0318175835746249</v>
      </c>
      <c r="U56" s="603">
        <v>0.04653567735263702</v>
      </c>
      <c r="V56" s="604">
        <v>17482.517482517484</v>
      </c>
      <c r="W56" s="603">
        <v>0.009724</v>
      </c>
      <c r="X56" s="604">
        <v>41.08</v>
      </c>
      <c r="Y56" s="605">
        <v>62.68212029481442</v>
      </c>
      <c r="Z56" s="604">
        <v>60784</v>
      </c>
      <c r="AA56" s="604">
        <v>1752</v>
      </c>
      <c r="AB56" s="604">
        <v>170</v>
      </c>
      <c r="AC56" s="604">
        <v>1934</v>
      </c>
      <c r="AD56" s="604">
        <v>90</v>
      </c>
      <c r="AE56" s="604">
        <v>9</v>
      </c>
      <c r="AF56" s="604">
        <v>1</v>
      </c>
      <c r="AG56" s="604">
        <v>39</v>
      </c>
    </row>
    <row r="57">
      <c r="A57" s="597" t="s">
        <v>1296</v>
      </c>
      <c r="B57" s="597" t="s">
        <v>1278</v>
      </c>
      <c r="C57" s="597" t="s">
        <v>1289</v>
      </c>
      <c r="D57" s="597">
        <v>4</v>
      </c>
      <c r="E57" s="597">
        <v>14</v>
      </c>
      <c r="F57" s="597">
        <v>16</v>
      </c>
      <c r="G57" s="598">
        <v>30957.22</v>
      </c>
      <c r="H57" s="599">
        <v>7114.47</v>
      </c>
      <c r="I57" s="600">
        <f t="shared" si="0"/>
      </c>
      <c r="J57" s="600">
        <f t="shared" si="2"/>
      </c>
      <c r="K57" s="600">
        <f t="shared" si="1"/>
      </c>
      <c r="L57" s="597" t="s">
        <v>1294</v>
      </c>
      <c r="M57" s="601">
        <v>3.4</v>
      </c>
      <c r="N57" s="620" t="s">
        <v>1295</v>
      </c>
      <c r="O57" s="598"/>
      <c r="P57" s="598"/>
      <c r="Q57" s="605">
        <v>2.1683846388296253</v>
      </c>
      <c r="R57" s="603">
        <v>0.33025207532631423</v>
      </c>
      <c r="S57" s="603">
        <v>0.025088125769427812</v>
      </c>
      <c r="T57" s="603">
        <v>0.026678595187300713</v>
      </c>
      <c r="U57" s="603">
        <v>0.07738607050730868</v>
      </c>
      <c r="V57" s="604">
        <v>43190.03615910005</v>
      </c>
      <c r="W57" s="603">
        <v>0.0079648</v>
      </c>
      <c r="X57" s="604">
        <v>36</v>
      </c>
      <c r="Y57" s="605">
        <v>54.40070653545294</v>
      </c>
      <c r="Z57" s="604">
        <v>130779</v>
      </c>
      <c r="AA57" s="604">
        <v>3281</v>
      </c>
      <c r="AB57" s="604">
        <v>344</v>
      </c>
      <c r="AC57" s="604">
        <v>3489</v>
      </c>
      <c r="AD57" s="604">
        <v>270</v>
      </c>
      <c r="AE57" s="604">
        <v>14</v>
      </c>
      <c r="AF57" s="604">
        <v>10</v>
      </c>
      <c r="AG57" s="604">
        <v>98</v>
      </c>
    </row>
    <row r="58">
      <c r="A58" s="606" t="s">
        <v>1296</v>
      </c>
      <c r="B58" s="607" t="s">
        <v>1261</v>
      </c>
      <c r="C58" s="607"/>
      <c r="D58" s="607">
        <f>SUM(D55:D57)</f>
      </c>
      <c r="E58" s="607">
        <f>SUM(E55:E57)</f>
      </c>
      <c r="F58" s="607">
        <f>SUM(F55:F57)</f>
      </c>
      <c r="G58" s="607">
        <f>SUM(G55:G57)</f>
      </c>
      <c r="H58" s="607">
        <f>SUM(H55:H57)</f>
      </c>
      <c r="I58" s="608">
        <f t="shared" si="0"/>
      </c>
      <c r="J58" s="608">
        <f t="shared" si="2"/>
      </c>
      <c r="K58" s="608">
        <f t="shared" si="1"/>
      </c>
      <c r="L58" s="607"/>
      <c r="M58" s="609">
        <f>SUM(M55:M57)</f>
      </c>
      <c r="N58" s="607"/>
      <c r="O58" s="607"/>
      <c r="P58" s="607"/>
      <c r="Q58" s="610">
        <f>AVERAGE(Q55:Q57)</f>
      </c>
      <c r="R58" s="611">
        <f>AVERAGE(R55:R57)</f>
      </c>
      <c r="S58" s="611">
        <f>AVERAGE(S55:S57)</f>
      </c>
      <c r="T58" s="611">
        <f>AVERAGE(T55:T57)</f>
      </c>
      <c r="U58" s="611">
        <f>AVERAGE(U55:U57)</f>
      </c>
      <c r="V58" s="612">
        <f>SUM(V55:V57)</f>
      </c>
      <c r="W58" s="611">
        <f>AVERAGE(W55:W57)</f>
      </c>
      <c r="X58" s="612"/>
      <c r="Y58" s="610">
        <f>AVERAGE(Y55:Y57)</f>
      </c>
      <c r="Z58" s="612">
        <f>SUM(Z55:Z57)</f>
      </c>
      <c r="AA58" s="612">
        <f>SUM(AA55:AA57)</f>
      </c>
      <c r="AB58" s="612">
        <f>SUM(AB55:AB57)</f>
      </c>
      <c r="AC58" s="612">
        <f>SUM(AC55:AC57)</f>
      </c>
      <c r="AD58" s="612">
        <f>SUM(AD55:AD57)</f>
      </c>
      <c r="AE58" s="612">
        <f>SUM(AE55:AE57)</f>
      </c>
      <c r="AF58" s="612">
        <f>SUM(AF55:AF57)</f>
      </c>
      <c r="AG58" s="612">
        <f>SUM(AG55:AG57)</f>
      </c>
    </row>
    <row r="59">
      <c r="A59" s="597" t="s">
        <v>1297</v>
      </c>
      <c r="B59" s="598" t="s">
        <v>1256</v>
      </c>
      <c r="C59" s="597" t="s">
        <v>1286</v>
      </c>
      <c r="D59" s="597">
        <v>5</v>
      </c>
      <c r="E59" s="597">
        <v>16</v>
      </c>
      <c r="F59" s="597">
        <v>18</v>
      </c>
      <c r="G59" s="598">
        <v>34670.05</v>
      </c>
      <c r="H59" s="599">
        <v>9754.59</v>
      </c>
      <c r="I59" s="600">
        <f t="shared" si="0"/>
      </c>
      <c r="J59" s="600">
        <f t="shared" si="2"/>
      </c>
      <c r="K59" s="600">
        <f t="shared" si="1"/>
      </c>
      <c r="L59" s="597" t="s">
        <v>1260</v>
      </c>
      <c r="M59" s="601">
        <v>1.6</v>
      </c>
      <c r="N59" s="598"/>
      <c r="O59" s="598"/>
      <c r="P59" s="598"/>
      <c r="Q59" s="602">
        <v>1.9281656453844633</v>
      </c>
      <c r="R59" s="603">
        <v>0.44243827083587</v>
      </c>
      <c r="S59" s="603">
        <v>0.02719702386392349</v>
      </c>
      <c r="T59" s="603">
        <v>0.028804438399466704</v>
      </c>
      <c r="U59" s="603">
        <v>0.0681224337439343</v>
      </c>
      <c r="V59" s="604">
        <v>82299.27007299269</v>
      </c>
      <c r="W59" s="603">
        <v>0.0054800000000000005</v>
      </c>
      <c r="X59" s="604">
        <v>23.6</v>
      </c>
      <c r="Y59" s="605">
        <v>52.440367071118686</v>
      </c>
      <c r="Z59" s="604">
        <v>186013</v>
      </c>
      <c r="AA59" s="604">
        <v>5059</v>
      </c>
      <c r="AB59" s="604">
        <v>451</v>
      </c>
      <c r="AC59" s="604">
        <v>5358</v>
      </c>
      <c r="AD59" s="604">
        <v>365</v>
      </c>
      <c r="AE59" s="604">
        <v>22</v>
      </c>
      <c r="AF59" s="604">
        <v>10</v>
      </c>
      <c r="AG59" s="604">
        <v>115</v>
      </c>
    </row>
    <row r="60">
      <c r="A60" s="597" t="s">
        <v>1297</v>
      </c>
      <c r="B60" s="597" t="s">
        <v>1287</v>
      </c>
      <c r="C60" s="597" t="s">
        <v>1288</v>
      </c>
      <c r="D60" s="597">
        <v>2</v>
      </c>
      <c r="E60" s="597">
        <v>5</v>
      </c>
      <c r="F60" s="597">
        <v>5</v>
      </c>
      <c r="G60" s="598">
        <v>9953.6</v>
      </c>
      <c r="H60" s="599">
        <v>4426.2699999999995</v>
      </c>
      <c r="I60" s="600">
        <f t="shared" si="0"/>
      </c>
      <c r="J60" s="600">
        <f t="shared" si="2"/>
      </c>
      <c r="K60" s="600">
        <f t="shared" si="1"/>
      </c>
      <c r="L60" s="597"/>
      <c r="M60" s="601"/>
      <c r="N60" s="598"/>
      <c r="O60" s="598"/>
      <c r="P60" s="598"/>
      <c r="Q60" s="619">
        <v>2.373335120643431</v>
      </c>
      <c r="R60" s="603">
        <v>0.43008118108111987</v>
      </c>
      <c r="S60" s="603">
        <v>0.02045763678645079</v>
      </c>
      <c r="T60" s="603">
        <v>0.021916546005001973</v>
      </c>
      <c r="U60" s="603">
        <v>0.05005005005005005</v>
      </c>
      <c r="V60" s="604">
        <v>39207.92079207921</v>
      </c>
      <c r="W60" s="603">
        <v>0.00505</v>
      </c>
      <c r="X60" s="604">
        <v>26.5</v>
      </c>
      <c r="Y60" s="605">
        <v>48.55282787065069</v>
      </c>
      <c r="Z60" s="604">
        <v>91164</v>
      </c>
      <c r="AA60" s="604">
        <v>1865</v>
      </c>
      <c r="AB60" s="604">
        <v>198</v>
      </c>
      <c r="AC60" s="604">
        <v>1998</v>
      </c>
      <c r="AD60" s="604">
        <v>100</v>
      </c>
      <c r="AE60" s="604">
        <v>6</v>
      </c>
      <c r="AF60" s="604">
        <v>2</v>
      </c>
      <c r="AG60" s="604">
        <v>73</v>
      </c>
    </row>
    <row r="61">
      <c r="A61" s="597" t="s">
        <v>1297</v>
      </c>
      <c r="B61" s="597" t="s">
        <v>1258</v>
      </c>
      <c r="C61" s="597" t="s">
        <v>1289</v>
      </c>
      <c r="D61" s="597">
        <v>4</v>
      </c>
      <c r="E61" s="597">
        <v>12</v>
      </c>
      <c r="F61" s="597">
        <v>15</v>
      </c>
      <c r="G61" s="598">
        <v>27773.26</v>
      </c>
      <c r="H61" s="599">
        <v>10034.59</v>
      </c>
      <c r="I61" s="600">
        <f t="shared" si="0"/>
      </c>
      <c r="J61" s="600">
        <f t="shared" si="2"/>
      </c>
      <c r="K61" s="600">
        <f t="shared" si="1"/>
      </c>
      <c r="L61" s="597" t="s">
        <v>1298</v>
      </c>
      <c r="M61" s="601">
        <v>2.8</v>
      </c>
      <c r="N61" s="598"/>
      <c r="O61" s="598"/>
      <c r="P61" s="598"/>
      <c r="Q61" s="605">
        <v>2.688071256362175</v>
      </c>
      <c r="R61" s="603">
        <v>0.4043403144199085</v>
      </c>
      <c r="S61" s="603">
        <v>0.019301266241656196</v>
      </c>
      <c r="T61" s="603">
        <v>0.02001995791258848</v>
      </c>
      <c r="U61" s="603">
        <v>0.054235537190082644</v>
      </c>
      <c r="V61" s="604">
        <v>78202.24719101124</v>
      </c>
      <c r="W61" s="603">
        <v>0.006675</v>
      </c>
      <c r="X61" s="604">
        <v>28.25</v>
      </c>
      <c r="Y61" s="605">
        <v>51.88317899558961</v>
      </c>
      <c r="Z61" s="604">
        <v>193407</v>
      </c>
      <c r="AA61" s="604">
        <v>3733</v>
      </c>
      <c r="AB61" s="604">
        <v>522</v>
      </c>
      <c r="AC61" s="604">
        <v>3872</v>
      </c>
      <c r="AD61" s="604">
        <v>210</v>
      </c>
      <c r="AE61" s="604">
        <v>24</v>
      </c>
      <c r="AF61" s="604">
        <v>8</v>
      </c>
      <c r="AG61" s="604">
        <v>136</v>
      </c>
    </row>
    <row r="62">
      <c r="A62" s="606" t="s">
        <v>1297</v>
      </c>
      <c r="B62" s="607" t="s">
        <v>1261</v>
      </c>
      <c r="C62" s="607"/>
      <c r="D62" s="607">
        <f>SUM(D59:D61)</f>
      </c>
      <c r="E62" s="607">
        <f>SUM(E59:E61)</f>
      </c>
      <c r="F62" s="607">
        <f>SUM(F59:F61)</f>
      </c>
      <c r="G62" s="607">
        <f>SUM(G59:G61)</f>
      </c>
      <c r="H62" s="607">
        <f>SUM(H59:H61)</f>
      </c>
      <c r="I62" s="608">
        <f t="shared" si="0"/>
      </c>
      <c r="J62" s="608">
        <f t="shared" si="2"/>
      </c>
      <c r="K62" s="608">
        <f t="shared" si="1"/>
      </c>
      <c r="L62" s="607"/>
      <c r="M62" s="609">
        <f>SUM(M59:M61)</f>
      </c>
      <c r="N62" s="607"/>
      <c r="O62" s="607"/>
      <c r="P62" s="607"/>
      <c r="Q62" s="610">
        <f>AVERAGE(Q59:Q61)</f>
      </c>
      <c r="R62" s="611">
        <f>AVERAGE(R59:R61)</f>
      </c>
      <c r="S62" s="611">
        <f>AVERAGE(S59:S61)</f>
      </c>
      <c r="T62" s="611">
        <f>AVERAGE(T59:T61)</f>
      </c>
      <c r="U62" s="611">
        <f>AVERAGE(U59:U61)</f>
      </c>
      <c r="V62" s="612">
        <f>SUM(V59:V61)</f>
      </c>
      <c r="W62" s="611">
        <f>AVERAGE(W59:W61)</f>
      </c>
      <c r="X62" s="612"/>
      <c r="Y62" s="610">
        <f>AVERAGE(Y59:Y61)</f>
      </c>
      <c r="Z62" s="612">
        <f>SUM(Z59:Z61)</f>
      </c>
      <c r="AA62" s="612">
        <f>SUM(AA59:AA61)</f>
      </c>
      <c r="AB62" s="612">
        <f>SUM(AB59:AB61)</f>
      </c>
      <c r="AC62" s="612">
        <f>SUM(AC59:AC61)</f>
      </c>
      <c r="AD62" s="612">
        <f>SUM(AD59:AD61)</f>
      </c>
      <c r="AE62" s="612">
        <f>SUM(AE59:AE61)</f>
      </c>
      <c r="AF62" s="612">
        <f>SUM(AF59:AF61)</f>
      </c>
      <c r="AG62" s="612">
        <f>SUM(AG59:AG61)</f>
      </c>
    </row>
    <row r="63">
      <c r="A63" s="597" t="s">
        <v>1299</v>
      </c>
      <c r="B63" s="598" t="s">
        <v>1256</v>
      </c>
      <c r="C63" s="597" t="s">
        <v>1286</v>
      </c>
      <c r="D63" s="597">
        <v>5</v>
      </c>
      <c r="E63" s="597">
        <v>14</v>
      </c>
      <c r="F63" s="597">
        <v>18</v>
      </c>
      <c r="G63" s="598">
        <v>40307.06</v>
      </c>
      <c r="H63" s="599">
        <v>11095.63</v>
      </c>
      <c r="I63" s="600">
        <f t="shared" si="0"/>
      </c>
      <c r="J63" s="600">
        <f t="shared" si="2"/>
      </c>
      <c r="K63" s="600">
        <f t="shared" si="1"/>
      </c>
      <c r="L63" s="597" t="s">
        <v>1300</v>
      </c>
      <c r="M63" s="597">
        <v>4</v>
      </c>
      <c r="N63" s="598"/>
      <c r="O63" s="598"/>
      <c r="P63" s="598"/>
      <c r="Q63" s="602">
        <v>3.0993379888268153</v>
      </c>
      <c r="R63" s="603">
        <v>0.2802936549635367</v>
      </c>
      <c r="S63" s="603">
        <v>0.018684954957776178</v>
      </c>
      <c r="T63" s="603">
        <v>0.019326924080627146</v>
      </c>
      <c r="U63" s="603">
        <v>0.09289765055360519</v>
      </c>
      <c r="V63" s="604">
        <v>53703.7037037037</v>
      </c>
      <c r="W63" s="603">
        <v>0.01026</v>
      </c>
      <c r="X63" s="604">
        <v>37</v>
      </c>
      <c r="Y63" s="605">
        <v>57.91099072015365</v>
      </c>
      <c r="Z63" s="604">
        <v>191598</v>
      </c>
      <c r="AA63" s="604">
        <v>3580</v>
      </c>
      <c r="AB63" s="604">
        <v>551</v>
      </c>
      <c r="AC63" s="604">
        <v>3703</v>
      </c>
      <c r="AD63" s="604">
        <v>344</v>
      </c>
      <c r="AE63" s="604">
        <v>22</v>
      </c>
      <c r="AF63" s="604">
        <v>11</v>
      </c>
      <c r="AG63" s="604">
        <v>176</v>
      </c>
    </row>
    <row r="64">
      <c r="A64" s="597" t="s">
        <v>1299</v>
      </c>
      <c r="B64" s="597" t="s">
        <v>1287</v>
      </c>
      <c r="C64" s="597" t="s">
        <v>1288</v>
      </c>
      <c r="D64" s="597">
        <v>2</v>
      </c>
      <c r="E64" s="597">
        <v>4</v>
      </c>
      <c r="F64" s="597">
        <v>10</v>
      </c>
      <c r="G64" s="598">
        <v>19184.15</v>
      </c>
      <c r="H64" s="599">
        <v>4904.37</v>
      </c>
      <c r="I64" s="600">
        <f t="shared" si="0"/>
      </c>
      <c r="J64" s="600">
        <f t="shared" si="2"/>
      </c>
      <c r="K64" s="600">
        <f t="shared" si="1"/>
      </c>
      <c r="L64" s="597"/>
      <c r="M64" s="597"/>
      <c r="N64" s="598"/>
      <c r="O64" s="598"/>
      <c r="P64" s="598"/>
      <c r="Q64" s="619">
        <v>4.626764150943396</v>
      </c>
      <c r="R64" s="603">
        <v>0.27455706839716565</v>
      </c>
      <c r="S64" s="603">
        <v>0.011762094984465158</v>
      </c>
      <c r="T64" s="603">
        <v>0.011950732356857523</v>
      </c>
      <c r="U64" s="603">
        <v>0.11792014856081709</v>
      </c>
      <c r="V64" s="604">
        <v>24743.083003952568</v>
      </c>
      <c r="W64" s="603">
        <v>0.01265</v>
      </c>
      <c r="X64" s="604">
        <v>45.5</v>
      </c>
      <c r="Y64" s="605">
        <v>54.42043941411451</v>
      </c>
      <c r="Z64" s="604">
        <v>90120</v>
      </c>
      <c r="AA64" s="604">
        <v>1060</v>
      </c>
      <c r="AB64" s="604">
        <v>313</v>
      </c>
      <c r="AC64" s="604">
        <v>1077</v>
      </c>
      <c r="AD64" s="604">
        <v>127</v>
      </c>
      <c r="AE64" s="604">
        <v>11</v>
      </c>
      <c r="AF64" s="604">
        <v>6</v>
      </c>
      <c r="AG64" s="604">
        <v>109</v>
      </c>
    </row>
    <row r="65">
      <c r="A65" s="597" t="s">
        <v>1299</v>
      </c>
      <c r="B65" s="597" t="s">
        <v>1278</v>
      </c>
      <c r="C65" s="597" t="s">
        <v>1301</v>
      </c>
      <c r="D65" s="597">
        <v>3</v>
      </c>
      <c r="E65" s="597">
        <v>6</v>
      </c>
      <c r="F65" s="597">
        <v>8</v>
      </c>
      <c r="G65" s="598">
        <v>17374.83</v>
      </c>
      <c r="H65" s="599">
        <v>6453.54</v>
      </c>
      <c r="I65" s="600">
        <f t="shared" si="0"/>
      </c>
      <c r="J65" s="600">
        <f t="shared" si="2"/>
      </c>
      <c r="K65" s="600">
        <f t="shared" si="1"/>
      </c>
      <c r="L65" s="597" t="s">
        <v>1302</v>
      </c>
      <c r="M65" s="597">
        <v>6</v>
      </c>
      <c r="N65" s="598"/>
      <c r="O65" s="598"/>
      <c r="P65" s="598"/>
      <c r="Q65" s="605">
        <v>3.73685002895194</v>
      </c>
      <c r="R65" s="603">
        <v>0.23864023832282172</v>
      </c>
      <c r="S65" s="603">
        <v>0.014735620611097365</v>
      </c>
      <c r="T65" s="603">
        <v>0.015136647923617096</v>
      </c>
      <c r="U65" s="603">
        <v>0.1133032694475761</v>
      </c>
      <c r="V65" s="604">
        <v>27968.397291196383</v>
      </c>
      <c r="W65" s="603">
        <v>0.01476666666666667</v>
      </c>
      <c r="X65" s="604">
        <v>47.333333333333336</v>
      </c>
      <c r="Y65" s="605">
        <v>55.064804307203985</v>
      </c>
      <c r="Z65" s="604">
        <v>117199</v>
      </c>
      <c r="AA65" s="604">
        <v>1727</v>
      </c>
      <c r="AB65" s="604">
        <v>413</v>
      </c>
      <c r="AC65" s="604">
        <v>1774</v>
      </c>
      <c r="AD65" s="604">
        <v>201</v>
      </c>
      <c r="AE65" s="604">
        <v>18</v>
      </c>
      <c r="AF65" s="604">
        <v>4</v>
      </c>
      <c r="AG65" s="604">
        <v>137</v>
      </c>
    </row>
    <row r="66">
      <c r="A66" s="606" t="s">
        <v>1299</v>
      </c>
      <c r="B66" s="607" t="s">
        <v>1261</v>
      </c>
      <c r="C66" s="607"/>
      <c r="D66" s="607">
        <f>SUM(D63:D65)</f>
      </c>
      <c r="E66" s="607">
        <f>SUM(E63:E65)</f>
      </c>
      <c r="F66" s="607">
        <f>SUM(F63:F65)</f>
      </c>
      <c r="G66" s="607">
        <f>SUM(G63:G65)</f>
      </c>
      <c r="H66" s="607">
        <f>SUM(H63:H65)</f>
      </c>
      <c r="I66" s="608">
        <f t="shared" si="0"/>
      </c>
      <c r="J66" s="608">
        <f t="shared" si="2"/>
      </c>
      <c r="K66" s="608">
        <f t="shared" si="1"/>
      </c>
      <c r="L66" s="607"/>
      <c r="M66" s="609">
        <f>SUM(M63:M65)</f>
      </c>
      <c r="N66" s="607"/>
      <c r="O66" s="607"/>
      <c r="P66" s="607"/>
      <c r="Q66" s="610">
        <f>AVERAGE(Q63:Q65)</f>
      </c>
      <c r="R66" s="611">
        <f>AVERAGE(R63:R65)</f>
      </c>
      <c r="S66" s="611">
        <f>AVERAGE(S63:S65)</f>
      </c>
      <c r="T66" s="611">
        <f>AVERAGE(T63:T65)</f>
      </c>
      <c r="U66" s="611">
        <f>AVERAGE(U63:U65)</f>
      </c>
      <c r="V66" s="612">
        <f>SUM(V63:V65)</f>
      </c>
      <c r="W66" s="611">
        <f>AVERAGE(W63:W65)</f>
      </c>
      <c r="X66" s="612"/>
      <c r="Y66" s="610">
        <f>AVERAGE(Y63:Y65)</f>
      </c>
      <c r="Z66" s="612">
        <f>SUM(Z63:Z65)</f>
      </c>
      <c r="AA66" s="612">
        <f>SUM(AA63:AA65)</f>
      </c>
      <c r="AB66" s="612">
        <f>SUM(AB63:AB65)</f>
      </c>
      <c r="AC66" s="612">
        <f>SUM(AC63:AC65)</f>
      </c>
      <c r="AD66" s="612">
        <f>SUM(AD63:AD65)</f>
      </c>
      <c r="AE66" s="612">
        <f>SUM(AE63:AE65)</f>
      </c>
      <c r="AF66" s="612">
        <f>SUM(AF63:AF65)</f>
      </c>
      <c r="AG66" s="612">
        <f>SUM(AG63:AG65)</f>
      </c>
    </row>
    <row r="67">
      <c r="A67" s="597" t="s">
        <v>1303</v>
      </c>
      <c r="B67" s="598" t="s">
        <v>1256</v>
      </c>
      <c r="C67" s="597" t="s">
        <v>1286</v>
      </c>
      <c r="D67" s="597">
        <v>5</v>
      </c>
      <c r="E67" s="597">
        <v>12</v>
      </c>
      <c r="F67" s="597">
        <v>16</v>
      </c>
      <c r="G67" s="598">
        <v>29612.04</v>
      </c>
      <c r="H67" s="599">
        <v>10241.96</v>
      </c>
      <c r="I67" s="600">
        <f t="shared" si="0"/>
      </c>
      <c r="J67" s="600">
        <f t="shared" si="2"/>
      </c>
      <c r="K67" s="600">
        <f t="shared" si="1"/>
      </c>
      <c r="L67" s="597" t="s">
        <v>1300</v>
      </c>
      <c r="M67" s="621">
        <v>4</v>
      </c>
      <c r="N67" s="598"/>
      <c r="O67" s="598"/>
      <c r="P67" s="598"/>
      <c r="Q67" s="602">
        <v>2.4374012375059495</v>
      </c>
      <c r="R67" s="603">
        <v>0.23701753957842295</v>
      </c>
      <c r="S67" s="603">
        <v>0.02632287810164565</v>
      </c>
      <c r="T67" s="603">
        <v>0.02809569449925767</v>
      </c>
      <c r="U67" s="603">
        <v>0.06644370122630992</v>
      </c>
      <c r="V67" s="604">
        <v>37835.82089552239</v>
      </c>
      <c r="W67" s="603">
        <v>0.0134</v>
      </c>
      <c r="X67" s="604">
        <v>28.4</v>
      </c>
      <c r="Y67" s="605">
        <v>64.15941565966936</v>
      </c>
      <c r="Z67" s="604">
        <v>159633</v>
      </c>
      <c r="AA67" s="604">
        <v>4202</v>
      </c>
      <c r="AB67" s="604">
        <v>507</v>
      </c>
      <c r="AC67" s="604">
        <v>4485</v>
      </c>
      <c r="AD67" s="604">
        <v>298</v>
      </c>
      <c r="AE67" s="604">
        <v>28</v>
      </c>
      <c r="AF67" s="604">
        <v>5</v>
      </c>
      <c r="AG67" s="604">
        <v>128</v>
      </c>
    </row>
    <row r="68">
      <c r="A68" s="597" t="s">
        <v>1303</v>
      </c>
      <c r="B68" s="597" t="s">
        <v>1287</v>
      </c>
      <c r="C68" s="597" t="s">
        <v>1288</v>
      </c>
      <c r="D68" s="597">
        <v>2</v>
      </c>
      <c r="E68" s="597">
        <v>6</v>
      </c>
      <c r="F68" s="597">
        <v>6</v>
      </c>
      <c r="G68" s="598">
        <v>12772.77</v>
      </c>
      <c r="H68" s="599">
        <v>5417.8099999999995</v>
      </c>
      <c r="I68" s="600">
        <f t="shared" si="0"/>
      </c>
      <c r="J68" s="600">
        <f t="shared" si="2"/>
      </c>
      <c r="K68" s="600">
        <f t="shared" si="1"/>
      </c>
      <c r="L68" s="597"/>
      <c r="M68" s="621"/>
      <c r="N68" s="598"/>
      <c r="O68" s="598"/>
      <c r="P68" s="598"/>
      <c r="Q68" s="619">
        <v>3.192581025338833</v>
      </c>
      <c r="R68" s="603">
        <v>0.27013060859797905</v>
      </c>
      <c r="S68" s="603">
        <v>0.02086458307718789</v>
      </c>
      <c r="T68" s="603">
        <v>0.02167605183564069</v>
      </c>
      <c r="U68" s="603">
        <v>0.06409529211571185</v>
      </c>
      <c r="V68" s="604">
        <v>21970.80291970803</v>
      </c>
      <c r="W68" s="603">
        <v>0.0137</v>
      </c>
      <c r="X68" s="604">
        <v>36</v>
      </c>
      <c r="Y68" s="605">
        <v>66.61187203383578</v>
      </c>
      <c r="Z68" s="604">
        <v>81334</v>
      </c>
      <c r="AA68" s="604">
        <v>1697</v>
      </c>
      <c r="AB68" s="604">
        <v>301</v>
      </c>
      <c r="AC68" s="604">
        <v>1763</v>
      </c>
      <c r="AD68" s="604">
        <v>113</v>
      </c>
      <c r="AE68" s="604">
        <v>17</v>
      </c>
      <c r="AF68" s="604">
        <v>14</v>
      </c>
      <c r="AG68" s="604">
        <v>77</v>
      </c>
    </row>
    <row r="69">
      <c r="A69" s="597" t="s">
        <v>1303</v>
      </c>
      <c r="B69" s="597" t="s">
        <v>1278</v>
      </c>
      <c r="C69" s="597" t="s">
        <v>1289</v>
      </c>
      <c r="D69" s="597">
        <v>4</v>
      </c>
      <c r="E69" s="597">
        <v>7</v>
      </c>
      <c r="F69" s="597">
        <v>9</v>
      </c>
      <c r="G69" s="598">
        <v>20296</v>
      </c>
      <c r="H69" s="599">
        <v>7275.74</v>
      </c>
      <c r="I69" s="600">
        <f t="shared" si="0"/>
      </c>
      <c r="J69" s="600">
        <f t="shared" si="2"/>
      </c>
      <c r="K69" s="600">
        <f t="shared" si="1"/>
      </c>
      <c r="L69" s="597" t="s">
        <v>1304</v>
      </c>
      <c r="M69" s="621">
        <v>1.2</v>
      </c>
      <c r="N69" s="598"/>
      <c r="O69" s="598"/>
      <c r="P69" s="598"/>
      <c r="Q69" s="605">
        <v>3.2293564136706614</v>
      </c>
      <c r="R69" s="603">
        <v>0.29140524876145296</v>
      </c>
      <c r="S69" s="603">
        <v>0.020650021997360317</v>
      </c>
      <c r="T69" s="603">
        <v>0.022052353717553895</v>
      </c>
      <c r="U69" s="603">
        <v>0.0798004987531172</v>
      </c>
      <c r="V69" s="604">
        <v>31793.478260869564</v>
      </c>
      <c r="W69" s="603">
        <v>0.012266666666666667</v>
      </c>
      <c r="X69" s="604">
        <v>38.333333333333336</v>
      </c>
      <c r="Y69" s="605">
        <v>66.68628097961577</v>
      </c>
      <c r="Z69" s="604">
        <v>109104</v>
      </c>
      <c r="AA69" s="604">
        <v>2253</v>
      </c>
      <c r="AB69" s="604">
        <v>390</v>
      </c>
      <c r="AC69" s="604">
        <v>2406</v>
      </c>
      <c r="AD69" s="604">
        <v>192</v>
      </c>
      <c r="AE69" s="604">
        <v>22</v>
      </c>
      <c r="AF69" s="604">
        <v>5</v>
      </c>
      <c r="AG69" s="604">
        <v>109</v>
      </c>
    </row>
    <row r="70">
      <c r="A70" s="606" t="s">
        <v>1303</v>
      </c>
      <c r="B70" s="607" t="s">
        <v>1261</v>
      </c>
      <c r="C70" s="607"/>
      <c r="D70" s="607">
        <f>SUM(D67:D69)</f>
      </c>
      <c r="E70" s="607">
        <f>SUM(E67:E69)</f>
      </c>
      <c r="F70" s="607">
        <f>SUM(F67:F69)</f>
      </c>
      <c r="G70" s="607">
        <f>SUM(G67:G69)</f>
      </c>
      <c r="H70" s="607">
        <f>SUM(H67:H69)</f>
      </c>
      <c r="I70" s="608">
        <f t="shared" si="0"/>
      </c>
      <c r="J70" s="608">
        <f t="shared" si="2"/>
      </c>
      <c r="K70" s="608">
        <f t="shared" si="1"/>
      </c>
      <c r="L70" s="607"/>
      <c r="M70" s="622">
        <f>SUM(M67:M69)</f>
      </c>
      <c r="N70" s="607"/>
      <c r="O70" s="607"/>
      <c r="P70" s="607"/>
      <c r="Q70" s="610">
        <f>AVERAGE(Q67:Q69)</f>
      </c>
      <c r="R70" s="611">
        <f>AVERAGE(R67:R69)</f>
      </c>
      <c r="S70" s="611">
        <f>AVERAGE(S67:S69)</f>
      </c>
      <c r="T70" s="611">
        <f>AVERAGE(T67:T69)</f>
      </c>
      <c r="U70" s="611">
        <f>AVERAGE(U67:U69)</f>
      </c>
      <c r="V70" s="612">
        <f>SUM(V67:V69)</f>
      </c>
      <c r="W70" s="611">
        <f>AVERAGE(W67:W69)</f>
      </c>
      <c r="X70" s="612"/>
      <c r="Y70" s="610">
        <f>AVERAGE(Y67:Y69)</f>
      </c>
      <c r="Z70" s="612">
        <f>SUM(Z67:Z69)</f>
      </c>
      <c r="AA70" s="612">
        <f>SUM(AA67:AA69)</f>
      </c>
      <c r="AB70" s="612">
        <f>SUM(AB67:AB69)</f>
      </c>
      <c r="AC70" s="612">
        <f>SUM(AC67:AC69)</f>
      </c>
      <c r="AD70" s="612">
        <f>SUM(AD67:AD69)</f>
      </c>
      <c r="AE70" s="612">
        <f>SUM(AE67:AE69)</f>
      </c>
      <c r="AF70" s="612">
        <f>SUM(AF67:AF69)</f>
      </c>
      <c r="AG70" s="612">
        <f>SUM(AG67:AG69)</f>
      </c>
    </row>
    <row r="71">
      <c r="A71" s="597" t="s">
        <v>1305</v>
      </c>
      <c r="B71" s="597" t="s">
        <v>1258</v>
      </c>
      <c r="C71" s="597" t="s">
        <v>1286</v>
      </c>
      <c r="D71" s="597">
        <v>5</v>
      </c>
      <c r="E71" s="597">
        <v>18</v>
      </c>
      <c r="F71" s="597">
        <v>19</v>
      </c>
      <c r="G71" s="598">
        <v>35873.8</v>
      </c>
      <c r="H71" s="599">
        <v>12541.560000000001</v>
      </c>
      <c r="I71" s="600">
        <f t="shared" si="0"/>
      </c>
      <c r="J71" s="600">
        <f t="shared" si="2"/>
      </c>
      <c r="K71" s="600">
        <f t="shared" si="1"/>
      </c>
      <c r="L71" s="597" t="s">
        <v>1306</v>
      </c>
      <c r="M71" s="621">
        <v>1.6</v>
      </c>
      <c r="N71" s="598"/>
      <c r="O71" s="598"/>
      <c r="P71" s="598"/>
      <c r="Q71" s="602">
        <v>3.5690267501422883</v>
      </c>
      <c r="R71" s="603">
        <v>0.263181485394133</v>
      </c>
      <c r="S71" s="603">
        <v>0.019640501687942947</v>
      </c>
      <c r="T71" s="603">
        <v>0.02031120749401954</v>
      </c>
      <c r="U71" s="603">
        <v>0.08723170060539351</v>
      </c>
      <c r="V71" s="604">
        <v>47087.378640776704</v>
      </c>
      <c r="W71" s="603">
        <v>0.01236</v>
      </c>
      <c r="X71" s="604">
        <v>36.4</v>
      </c>
      <c r="Y71" s="605">
        <v>70.09747591048314</v>
      </c>
      <c r="Z71" s="604">
        <v>178916</v>
      </c>
      <c r="AA71" s="604">
        <v>3514</v>
      </c>
      <c r="AB71" s="604">
        <v>582</v>
      </c>
      <c r="AC71" s="604">
        <v>3634</v>
      </c>
      <c r="AD71" s="604">
        <v>317</v>
      </c>
      <c r="AE71" s="604">
        <v>27</v>
      </c>
      <c r="AF71" s="604">
        <v>5</v>
      </c>
      <c r="AG71" s="604">
        <v>159</v>
      </c>
    </row>
    <row r="72">
      <c r="A72" s="597" t="s">
        <v>1305</v>
      </c>
      <c r="B72" s="597" t="s">
        <v>1287</v>
      </c>
      <c r="C72" s="597" t="s">
        <v>1288</v>
      </c>
      <c r="D72" s="597">
        <v>2</v>
      </c>
      <c r="E72" s="597">
        <v>11</v>
      </c>
      <c r="F72" s="597">
        <v>11</v>
      </c>
      <c r="G72" s="598">
        <v>18801.68</v>
      </c>
      <c r="H72" s="599">
        <v>5095.4</v>
      </c>
      <c r="I72" s="600">
        <f t="shared" si="0"/>
      </c>
      <c r="J72" s="600">
        <f t="shared" si="2"/>
      </c>
      <c r="K72" s="600">
        <f t="shared" si="1"/>
      </c>
      <c r="L72" s="597"/>
      <c r="M72" s="621"/>
      <c r="N72" s="598"/>
      <c r="O72" s="598"/>
      <c r="P72" s="598"/>
      <c r="Q72" s="619">
        <v>6.116926770708283</v>
      </c>
      <c r="R72" s="603">
        <v>0.23957556838157304</v>
      </c>
      <c r="S72" s="603">
        <v>0.012938398931378336</v>
      </c>
      <c r="T72" s="603">
        <v>0.013202447889161566</v>
      </c>
      <c r="U72" s="603">
        <v>0.13058823529411764</v>
      </c>
      <c r="V72" s="604">
        <v>15424.354243542435</v>
      </c>
      <c r="W72" s="603">
        <v>0.01355</v>
      </c>
      <c r="X72" s="604">
        <v>40.5</v>
      </c>
      <c r="Y72" s="605">
        <v>79.14323879345159</v>
      </c>
      <c r="Z72" s="604">
        <v>64382</v>
      </c>
      <c r="AA72" s="604">
        <v>833</v>
      </c>
      <c r="AB72" s="604">
        <v>209</v>
      </c>
      <c r="AC72" s="604">
        <v>850</v>
      </c>
      <c r="AD72" s="604">
        <v>111</v>
      </c>
      <c r="AE72" s="604">
        <v>10</v>
      </c>
      <c r="AF72" s="604">
        <v>3</v>
      </c>
      <c r="AG72" s="604">
        <v>59</v>
      </c>
    </row>
    <row r="73">
      <c r="A73" s="597" t="s">
        <v>1305</v>
      </c>
      <c r="B73" s="597" t="s">
        <v>1256</v>
      </c>
      <c r="C73" s="597" t="s">
        <v>1289</v>
      </c>
      <c r="D73" s="597">
        <v>4</v>
      </c>
      <c r="E73" s="597">
        <v>7</v>
      </c>
      <c r="F73" s="597">
        <v>11</v>
      </c>
      <c r="G73" s="598">
        <v>23846.77</v>
      </c>
      <c r="H73" s="599">
        <v>9741</v>
      </c>
      <c r="I73" s="600">
        <f t="shared" si="0"/>
      </c>
      <c r="J73" s="600">
        <f t="shared" si="2"/>
      </c>
      <c r="K73" s="600">
        <f t="shared" si="1"/>
      </c>
      <c r="L73" s="597" t="s">
        <v>1307</v>
      </c>
      <c r="M73" s="621">
        <v>2.8</v>
      </c>
      <c r="N73" s="598"/>
      <c r="O73" s="598"/>
      <c r="P73" s="598"/>
      <c r="Q73" s="605">
        <v>2.8449182242990654</v>
      </c>
      <c r="R73" s="603">
        <v>0.3347869036719874</v>
      </c>
      <c r="S73" s="603">
        <v>0.024964092244653936</v>
      </c>
      <c r="T73" s="603">
        <v>0.02593378391186742</v>
      </c>
      <c r="U73" s="603">
        <v>0.04891762721394433</v>
      </c>
      <c r="V73" s="604">
        <v>45918.36734693877</v>
      </c>
      <c r="W73" s="603">
        <v>0.009800000000000001</v>
      </c>
      <c r="X73" s="604">
        <v>40</v>
      </c>
      <c r="Y73" s="605">
        <v>71.02080097989895</v>
      </c>
      <c r="Z73" s="604">
        <v>137157</v>
      </c>
      <c r="AA73" s="604">
        <v>3424</v>
      </c>
      <c r="AB73" s="604">
        <v>450</v>
      </c>
      <c r="AC73" s="604">
        <v>3557</v>
      </c>
      <c r="AD73" s="604">
        <v>174</v>
      </c>
      <c r="AE73" s="604">
        <v>27</v>
      </c>
      <c r="AF73" s="604">
        <v>3</v>
      </c>
      <c r="AG73" s="604">
        <v>85</v>
      </c>
    </row>
    <row r="74">
      <c r="A74" s="606" t="s">
        <v>1305</v>
      </c>
      <c r="B74" s="607" t="s">
        <v>1261</v>
      </c>
      <c r="C74" s="607"/>
      <c r="D74" s="607">
        <f>SUM(D71:D73)</f>
      </c>
      <c r="E74" s="607">
        <f>SUM(E71:E73)</f>
      </c>
      <c r="F74" s="607">
        <f>SUM(F71:F73)</f>
      </c>
      <c r="G74" s="607">
        <f>SUM(G71:G73)</f>
      </c>
      <c r="H74" s="607">
        <f>SUM(H71:H73)</f>
      </c>
      <c r="I74" s="608">
        <f t="shared" si="0"/>
      </c>
      <c r="J74" s="608">
        <f t="shared" si="2"/>
      </c>
      <c r="K74" s="608">
        <f t="shared" si="1"/>
      </c>
      <c r="L74" s="607"/>
      <c r="M74" s="622">
        <f>SUM(M71:M73)</f>
      </c>
      <c r="N74" s="607"/>
      <c r="O74" s="607"/>
      <c r="P74" s="607"/>
      <c r="Q74" s="610">
        <f>AVERAGE(Q71:Q73)</f>
      </c>
      <c r="R74" s="611">
        <f>AVERAGE(R71:R73)</f>
      </c>
      <c r="S74" s="611">
        <f>AVERAGE(S71:S73)</f>
      </c>
      <c r="T74" s="611">
        <f>AVERAGE(T71:T73)</f>
      </c>
      <c r="U74" s="611">
        <f>AVERAGE(U71:U73)</f>
      </c>
      <c r="V74" s="612">
        <f>SUM(V71:V73)</f>
      </c>
      <c r="W74" s="611">
        <f>AVERAGE(W71:W73)</f>
      </c>
      <c r="X74" s="612"/>
      <c r="Y74" s="610">
        <f>AVERAGE(Y71:Y73)</f>
      </c>
      <c r="Z74" s="612">
        <f>SUM(Z71:Z73)</f>
      </c>
      <c r="AA74" s="612">
        <f>SUM(AA71:AA73)</f>
      </c>
      <c r="AB74" s="612">
        <f>SUM(AB71:AB73)</f>
      </c>
      <c r="AC74" s="612">
        <f>SUM(AC71:AC73)</f>
      </c>
      <c r="AD74" s="612">
        <f>SUM(AD71:AD73)</f>
      </c>
      <c r="AE74" s="612">
        <f>SUM(AE71:AE73)</f>
      </c>
      <c r="AF74" s="612">
        <f>SUM(AF71:AF73)</f>
      </c>
      <c r="AG74" s="612">
        <f>SUM(AG71:AG73)</f>
      </c>
    </row>
    <row r="75">
      <c r="A75" s="597" t="s">
        <v>1308</v>
      </c>
      <c r="B75" s="597" t="s">
        <v>1258</v>
      </c>
      <c r="C75" s="597" t="s">
        <v>1286</v>
      </c>
      <c r="D75" s="597">
        <v>5</v>
      </c>
      <c r="E75" s="597">
        <v>5</v>
      </c>
      <c r="F75" s="597">
        <v>5</v>
      </c>
      <c r="G75" s="598">
        <v>8925.35</v>
      </c>
      <c r="H75" s="599">
        <v>9397.47</v>
      </c>
      <c r="I75" s="600">
        <f t="shared" si="0"/>
      </c>
      <c r="J75" s="600">
        <f t="shared" si="2"/>
      </c>
      <c r="K75" s="600">
        <f t="shared" si="1"/>
      </c>
      <c r="L75" s="597" t="s">
        <v>1306</v>
      </c>
      <c r="M75" s="621">
        <v>1.6</v>
      </c>
      <c r="N75" s="598"/>
      <c r="O75" s="598"/>
      <c r="P75" s="598"/>
      <c r="Q75" s="602">
        <v>3.0333989670755326</v>
      </c>
      <c r="R75" s="603">
        <v>0.30800929937315474</v>
      </c>
      <c r="S75" s="603">
        <v>0.022039782590136878</v>
      </c>
      <c r="T75" s="603">
        <v>0.023462622008480122</v>
      </c>
      <c r="U75" s="603">
        <v>0.04972710733778047</v>
      </c>
      <c r="V75" s="604">
        <v>43295.01915708812</v>
      </c>
      <c r="W75" s="603">
        <v>0.01044</v>
      </c>
      <c r="X75" s="604">
        <v>32.4</v>
      </c>
      <c r="Y75" s="605">
        <v>66.8554537434905</v>
      </c>
      <c r="Z75" s="604">
        <v>140564</v>
      </c>
      <c r="AA75" s="604">
        <v>3098</v>
      </c>
      <c r="AB75" s="604">
        <v>452</v>
      </c>
      <c r="AC75" s="604">
        <v>3298</v>
      </c>
      <c r="AD75" s="604">
        <v>164</v>
      </c>
      <c r="AE75" s="604">
        <v>11</v>
      </c>
      <c r="AF75" s="604">
        <v>9</v>
      </c>
      <c r="AG75" s="604">
        <v>115</v>
      </c>
    </row>
    <row r="76">
      <c r="A76" s="597" t="s">
        <v>1308</v>
      </c>
      <c r="B76" s="597" t="s">
        <v>1278</v>
      </c>
      <c r="C76" s="597" t="s">
        <v>1309</v>
      </c>
      <c r="D76" s="597">
        <v>3</v>
      </c>
      <c r="E76" s="597">
        <v>6</v>
      </c>
      <c r="F76" s="597">
        <v>8</v>
      </c>
      <c r="G76" s="598">
        <v>14800.27</v>
      </c>
      <c r="H76" s="599">
        <v>6674.93</v>
      </c>
      <c r="I76" s="600">
        <f t="shared" si="0"/>
      </c>
      <c r="J76" s="600">
        <f t="shared" si="2"/>
      </c>
      <c r="K76" s="600">
        <f t="shared" si="1"/>
      </c>
      <c r="L76" s="597"/>
      <c r="M76" s="621"/>
      <c r="N76" s="598"/>
      <c r="O76" s="598"/>
      <c r="P76" s="598"/>
      <c r="Q76" s="619">
        <v>6.285244821092279</v>
      </c>
      <c r="R76" s="603">
        <v>0.17015493519558025</v>
      </c>
      <c r="S76" s="603">
        <v>0.012012351683652117</v>
      </c>
      <c r="T76" s="603">
        <v>0.012136773405422525</v>
      </c>
      <c r="U76" s="603">
        <v>0.12208760484622554</v>
      </c>
      <c r="V76" s="604">
        <v>15043.227665706056</v>
      </c>
      <c r="W76" s="603">
        <v>0.02313333333333333</v>
      </c>
      <c r="X76" s="604">
        <v>58</v>
      </c>
      <c r="Y76" s="605">
        <v>75.50057120881358</v>
      </c>
      <c r="Z76" s="604">
        <v>88409</v>
      </c>
      <c r="AA76" s="604">
        <v>1062</v>
      </c>
      <c r="AB76" s="604">
        <v>348</v>
      </c>
      <c r="AC76" s="604">
        <v>1073</v>
      </c>
      <c r="AD76" s="604">
        <v>131</v>
      </c>
      <c r="AE76" s="604">
        <v>17</v>
      </c>
      <c r="AF76" s="604">
        <v>2</v>
      </c>
      <c r="AG76" s="604">
        <v>102</v>
      </c>
    </row>
    <row r="77">
      <c r="A77" s="597" t="s">
        <v>1308</v>
      </c>
      <c r="B77" s="597" t="s">
        <v>1256</v>
      </c>
      <c r="C77" s="597" t="s">
        <v>1310</v>
      </c>
      <c r="D77" s="597">
        <v>5</v>
      </c>
      <c r="E77" s="597">
        <v>18</v>
      </c>
      <c r="F77" s="597">
        <v>21</v>
      </c>
      <c r="G77" s="598">
        <v>43865.45</v>
      </c>
      <c r="H77" s="599">
        <v>11045.48</v>
      </c>
      <c r="I77" s="600">
        <f t="shared" si="0"/>
      </c>
      <c r="J77" s="600">
        <f t="shared" si="2"/>
      </c>
      <c r="K77" s="600">
        <f t="shared" si="1"/>
      </c>
      <c r="L77" s="597" t="s">
        <v>1294</v>
      </c>
      <c r="M77" s="621">
        <v>0.4</v>
      </c>
      <c r="N77" s="620" t="s">
        <v>1295</v>
      </c>
      <c r="O77" s="598"/>
      <c r="P77" s="598"/>
      <c r="Q77" s="605">
        <v>3.9307758007117437</v>
      </c>
      <c r="R77" s="603">
        <v>0.094520509309328</v>
      </c>
      <c r="S77" s="603">
        <v>0.018233492524916944</v>
      </c>
      <c r="T77" s="603">
        <v>0.01940796303986711</v>
      </c>
      <c r="U77" s="603">
        <v>0.12036108324974924</v>
      </c>
      <c r="V77" s="604">
        <v>14566.744730679156</v>
      </c>
      <c r="W77" s="603">
        <v>0.0427</v>
      </c>
      <c r="X77" s="604">
        <v>65.4</v>
      </c>
      <c r="Y77" s="605">
        <v>71.67177117940199</v>
      </c>
      <c r="Z77" s="604">
        <v>154112</v>
      </c>
      <c r="AA77" s="604">
        <v>2810</v>
      </c>
      <c r="AB77" s="604">
        <v>622</v>
      </c>
      <c r="AC77" s="604">
        <v>2991</v>
      </c>
      <c r="AD77" s="604">
        <v>360</v>
      </c>
      <c r="AE77" s="604">
        <v>32</v>
      </c>
      <c r="AF77" s="604">
        <v>7</v>
      </c>
      <c r="AG77" s="604">
        <v>185</v>
      </c>
    </row>
    <row r="78">
      <c r="A78" s="606" t="s">
        <v>1308</v>
      </c>
      <c r="B78" s="607" t="s">
        <v>1261</v>
      </c>
      <c r="C78" s="607"/>
      <c r="D78" s="607">
        <f>SUM(D75:D77)</f>
      </c>
      <c r="E78" s="607">
        <f>SUM(E75:E77)</f>
      </c>
      <c r="F78" s="607">
        <f>SUM(F75:F77)</f>
      </c>
      <c r="G78" s="607">
        <f>SUM(G75:G77)</f>
      </c>
      <c r="H78" s="607">
        <f>SUM(H75:H77)</f>
      </c>
      <c r="I78" s="608">
        <f t="shared" si="0"/>
      </c>
      <c r="J78" s="608">
        <f t="shared" si="2"/>
      </c>
      <c r="K78" s="608">
        <f t="shared" si="1"/>
      </c>
      <c r="L78" s="607"/>
      <c r="M78" s="622">
        <f>SUM(M75:M77)</f>
      </c>
      <c r="N78" s="607"/>
      <c r="O78" s="607"/>
      <c r="P78" s="607"/>
      <c r="Q78" s="610">
        <f>AVERAGE(Q75:Q77)</f>
      </c>
      <c r="R78" s="611">
        <f>AVERAGE(R75:R77)</f>
      </c>
      <c r="S78" s="611">
        <f>AVERAGE(S75:S77)</f>
      </c>
      <c r="T78" s="611">
        <f>AVERAGE(T75:T77)</f>
      </c>
      <c r="U78" s="611">
        <f>AVERAGE(U75:U77)</f>
      </c>
      <c r="V78" s="612">
        <f>SUM(V75:V77)</f>
      </c>
      <c r="W78" s="611">
        <f>AVERAGE(W75:W77)</f>
      </c>
      <c r="X78" s="612"/>
      <c r="Y78" s="610">
        <f>AVERAGE(Y75:Y77)</f>
      </c>
      <c r="Z78" s="612">
        <f>SUM(Z75:Z77)</f>
      </c>
      <c r="AA78" s="612">
        <f>SUM(AA75:AA77)</f>
      </c>
      <c r="AB78" s="612">
        <f>SUM(AB75:AB77)</f>
      </c>
      <c r="AC78" s="612">
        <f>SUM(AC75:AC77)</f>
      </c>
      <c r="AD78" s="612">
        <f>SUM(AD75:AD77)</f>
      </c>
      <c r="AE78" s="612">
        <f>SUM(AE75:AE77)</f>
      </c>
      <c r="AF78" s="612">
        <f>SUM(AF75:AF77)</f>
      </c>
      <c r="AG78" s="612">
        <f>SUM(AG75:AG77)</f>
      </c>
    </row>
    <row r="79">
      <c r="A79" s="597" t="s">
        <v>1311</v>
      </c>
      <c r="B79" s="597" t="s">
        <v>1278</v>
      </c>
      <c r="C79" s="597" t="s">
        <v>1257</v>
      </c>
      <c r="D79" s="597">
        <v>4</v>
      </c>
      <c r="E79" s="597">
        <v>7</v>
      </c>
      <c r="F79" s="597">
        <v>6</v>
      </c>
      <c r="G79" s="598">
        <v>13667.96</v>
      </c>
      <c r="H79" s="599">
        <v>8798.31</v>
      </c>
      <c r="I79" s="600">
        <f t="shared" si="0"/>
      </c>
      <c r="J79" s="600">
        <f t="shared" si="2"/>
      </c>
      <c r="K79" s="600">
        <f t="shared" si="1"/>
      </c>
      <c r="L79" s="597"/>
      <c r="M79" s="621"/>
      <c r="N79" s="598"/>
      <c r="O79" s="598"/>
      <c r="P79" s="598"/>
      <c r="Q79" s="619">
        <v>5.769383606557377</v>
      </c>
      <c r="R79" s="603">
        <v>0.269856202624828</v>
      </c>
      <c r="S79" s="603">
        <v>0.013133418305832098</v>
      </c>
      <c r="T79" s="603">
        <v>0.013701815425953357</v>
      </c>
      <c r="U79" s="603">
        <v>0.12822124450031427</v>
      </c>
      <c r="V79" s="604">
        <v>31334.62282398453</v>
      </c>
      <c r="W79" s="603">
        <v>0.012924999999999999</v>
      </c>
      <c r="X79" s="604">
        <v>54</v>
      </c>
      <c r="Y79" s="605">
        <v>75.77172827172826</v>
      </c>
      <c r="Z79" s="604">
        <v>116116</v>
      </c>
      <c r="AA79" s="604">
        <v>1525</v>
      </c>
      <c r="AB79" s="604">
        <v>405</v>
      </c>
      <c r="AC79" s="604">
        <v>1591</v>
      </c>
      <c r="AD79" s="604">
        <v>204</v>
      </c>
      <c r="AE79" s="604">
        <v>18</v>
      </c>
      <c r="AF79" s="604">
        <v>6</v>
      </c>
      <c r="AG79" s="604">
        <v>110</v>
      </c>
    </row>
    <row r="80">
      <c r="A80" s="597" t="s">
        <v>1311</v>
      </c>
      <c r="B80" s="597" t="s">
        <v>1256</v>
      </c>
      <c r="C80" s="597" t="s">
        <v>1259</v>
      </c>
      <c r="D80" s="597">
        <v>4</v>
      </c>
      <c r="E80" s="597">
        <v>9</v>
      </c>
      <c r="F80" s="597">
        <v>15</v>
      </c>
      <c r="G80" s="598">
        <v>28015.17</v>
      </c>
      <c r="H80" s="599">
        <v>7848.3</v>
      </c>
      <c r="I80" s="600">
        <f t="shared" si="0"/>
      </c>
      <c r="J80" s="600">
        <f t="shared" si="2"/>
      </c>
      <c r="K80" s="600">
        <f t="shared" si="1"/>
      </c>
      <c r="L80" s="597" t="s">
        <v>1260</v>
      </c>
      <c r="M80" s="621">
        <v>3.2</v>
      </c>
      <c r="O80" s="598"/>
      <c r="P80" s="598"/>
      <c r="Q80" s="605">
        <v>3.216516393442623</v>
      </c>
      <c r="R80" s="603">
        <v>0.4076459270248609</v>
      </c>
      <c r="S80" s="603">
        <v>0.021836992222808917</v>
      </c>
      <c r="T80" s="603">
        <v>0.02281249720325407</v>
      </c>
      <c r="U80" s="603">
        <v>0.07414672420557081</v>
      </c>
      <c r="V80" s="604">
        <v>45549.13294797688</v>
      </c>
      <c r="W80" s="603">
        <v>0.00865</v>
      </c>
      <c r="X80" s="604">
        <v>51.75</v>
      </c>
      <c r="Y80" s="605">
        <v>70.23904346814395</v>
      </c>
      <c r="Z80" s="604">
        <v>111737</v>
      </c>
      <c r="AA80" s="604">
        <v>2440</v>
      </c>
      <c r="AB80" s="604">
        <v>394</v>
      </c>
      <c r="AC80" s="604">
        <v>2549</v>
      </c>
      <c r="AD80" s="604">
        <v>189</v>
      </c>
      <c r="AE80" s="604">
        <v>19</v>
      </c>
      <c r="AF80" s="604">
        <v>9</v>
      </c>
      <c r="AG80" s="604">
        <v>69</v>
      </c>
    </row>
    <row r="81">
      <c r="A81" s="606" t="s">
        <v>1311</v>
      </c>
      <c r="B81" s="607" t="s">
        <v>1261</v>
      </c>
      <c r="C81" s="607"/>
      <c r="D81" s="607">
        <f>SUM(D79:D80)</f>
      </c>
      <c r="E81" s="607">
        <f>SUM(E79:E80)</f>
      </c>
      <c r="F81" s="607">
        <f>SUM(F79:F80)</f>
      </c>
      <c r="G81" s="607">
        <f>SUM(G79:G80)</f>
      </c>
      <c r="H81" s="607">
        <f>SUM(H79:H80)</f>
      </c>
      <c r="I81" s="608">
        <f t="shared" si="0"/>
      </c>
      <c r="J81" s="608">
        <f t="shared" si="2"/>
      </c>
      <c r="K81" s="608">
        <f t="shared" si="1"/>
      </c>
      <c r="L81" s="607"/>
      <c r="M81" s="622">
        <f>SUM(M79:M80)</f>
      </c>
      <c r="N81" s="607"/>
      <c r="O81" s="607"/>
      <c r="P81" s="607"/>
      <c r="Q81" s="610">
        <f>AVERAGE(Q79:Q80)</f>
      </c>
      <c r="R81" s="611">
        <f>AVERAGE(R79:R80)</f>
      </c>
      <c r="S81" s="611">
        <f>AVERAGE(S79:S80)</f>
      </c>
      <c r="T81" s="611">
        <f>AVERAGE(T79:T80)</f>
      </c>
      <c r="U81" s="611">
        <f>AVERAGE(U79:U80)</f>
      </c>
      <c r="V81" s="612">
        <f>SUM(V79:V80)</f>
      </c>
      <c r="W81" s="611">
        <f>AVERAGE(W79:W80)</f>
      </c>
      <c r="X81" s="612"/>
      <c r="Y81" s="610">
        <f>AVERAGE(Y79:Y80)</f>
      </c>
      <c r="Z81" s="612">
        <f>SUM(Z79:Z80)</f>
      </c>
      <c r="AA81" s="612">
        <f>SUM(AA79:AA80)</f>
      </c>
      <c r="AB81" s="612">
        <f>SUM(AB79:AB80)</f>
      </c>
      <c r="AC81" s="612">
        <f>SUM(AC79:AC80)</f>
      </c>
      <c r="AD81" s="612">
        <f>SUM(AD79:AD80)</f>
      </c>
      <c r="AE81" s="612">
        <f>SUM(AE79:AE80)</f>
      </c>
      <c r="AF81" s="612">
        <f>SUM(AF79:AF80)</f>
      </c>
      <c r="AG81" s="612">
        <f>SUM(AG79:AG80)</f>
      </c>
    </row>
    <row r="82">
      <c r="A82" s="597" t="s">
        <v>1312</v>
      </c>
      <c r="B82" s="598" t="s">
        <v>1256</v>
      </c>
      <c r="C82" s="597" t="s">
        <v>1277</v>
      </c>
      <c r="D82" s="597">
        <v>5</v>
      </c>
      <c r="E82" s="597">
        <v>14</v>
      </c>
      <c r="F82" s="597">
        <v>14</v>
      </c>
      <c r="G82" s="598">
        <v>29478.76</v>
      </c>
      <c r="H82" s="599">
        <v>10453.76</v>
      </c>
      <c r="I82" s="600">
        <f t="shared" si="0"/>
      </c>
      <c r="J82" s="600">
        <f t="shared" si="2"/>
      </c>
      <c r="K82" s="600">
        <f t="shared" si="1"/>
      </c>
      <c r="L82" s="598"/>
      <c r="M82" s="617"/>
      <c r="N82" s="598"/>
      <c r="O82" s="598"/>
      <c r="P82" s="598"/>
      <c r="Q82" s="602">
        <v>4.637870452528838</v>
      </c>
      <c r="R82" s="603">
        <v>0.2740163071289958</v>
      </c>
      <c r="S82" s="603">
        <v>0.01718302128438129</v>
      </c>
      <c r="T82" s="603">
        <v>0.01764804537415381</v>
      </c>
      <c r="U82" s="603">
        <v>0.12699784017278617</v>
      </c>
      <c r="V82" s="604">
        <v>35944.36310395315</v>
      </c>
      <c r="W82" s="603">
        <v>0.01366</v>
      </c>
      <c r="X82" s="604">
        <v>45.8</v>
      </c>
      <c r="Y82" s="605">
        <v>79.6926267000061</v>
      </c>
      <c r="Z82" s="604">
        <v>131176</v>
      </c>
      <c r="AA82" s="604">
        <v>2254</v>
      </c>
      <c r="AB82" s="604">
        <v>491</v>
      </c>
      <c r="AC82" s="604">
        <v>2315</v>
      </c>
      <c r="AD82" s="604">
        <v>294</v>
      </c>
      <c r="AE82" s="604">
        <v>25</v>
      </c>
      <c r="AF82" s="604">
        <v>7</v>
      </c>
      <c r="AG82" s="604">
        <v>108</v>
      </c>
    </row>
    <row r="83">
      <c r="A83" s="597" t="s">
        <v>1312</v>
      </c>
      <c r="B83" s="597" t="s">
        <v>1258</v>
      </c>
      <c r="C83" s="597" t="s">
        <v>1279</v>
      </c>
      <c r="D83" s="597">
        <v>3</v>
      </c>
      <c r="E83" s="597">
        <v>9</v>
      </c>
      <c r="F83" s="597">
        <v>13</v>
      </c>
      <c r="G83" s="598">
        <v>22438.07</v>
      </c>
      <c r="H83" s="599">
        <v>5835.84</v>
      </c>
      <c r="I83" s="600">
        <f t="shared" si="0"/>
      </c>
      <c r="J83" s="600">
        <f t="shared" si="2"/>
      </c>
      <c r="K83" s="600">
        <f t="shared" si="1"/>
      </c>
      <c r="L83" s="597" t="s">
        <v>1260</v>
      </c>
      <c r="M83" s="617">
        <v>3.2</v>
      </c>
      <c r="N83" s="598"/>
      <c r="O83" s="598"/>
      <c r="P83" s="598"/>
      <c r="Q83" s="605">
        <v>4.465065034429992</v>
      </c>
      <c r="R83" s="603">
        <v>0.1082455860224546</v>
      </c>
      <c r="S83" s="603">
        <v>0.014862744206145239</v>
      </c>
      <c r="T83" s="603">
        <v>0.015408583320066411</v>
      </c>
      <c r="U83" s="603">
        <v>0.16088560885608857</v>
      </c>
      <c r="V83" s="604">
        <v>9518.900343642612</v>
      </c>
      <c r="W83" s="603">
        <v>0.029099999999999997</v>
      </c>
      <c r="X83" s="604">
        <v>159</v>
      </c>
      <c r="Y83" s="605">
        <v>66.36311947053606</v>
      </c>
      <c r="Z83" s="604">
        <v>87938</v>
      </c>
      <c r="AA83" s="604">
        <v>1307</v>
      </c>
      <c r="AB83" s="604">
        <v>277</v>
      </c>
      <c r="AC83" s="604">
        <v>1355</v>
      </c>
      <c r="AD83" s="604">
        <v>218</v>
      </c>
      <c r="AE83" s="604">
        <v>12</v>
      </c>
      <c r="AF83" s="604">
        <v>5</v>
      </c>
      <c r="AG83" s="604">
        <v>66</v>
      </c>
    </row>
    <row r="84">
      <c r="A84" s="607" t="s">
        <v>1312</v>
      </c>
      <c r="B84" s="607" t="s">
        <v>1261</v>
      </c>
      <c r="C84" s="607"/>
      <c r="D84" s="607">
        <f>SUM(D82:D83)</f>
      </c>
      <c r="E84" s="607">
        <f>E82+E83</f>
      </c>
      <c r="F84" s="607">
        <f>SUM(F82:F83)</f>
      </c>
      <c r="G84" s="607">
        <f>SUM(G82:G83)</f>
      </c>
      <c r="H84" s="607">
        <f>SUM(H82:H83)</f>
      </c>
      <c r="I84" s="608">
        <f t="shared" si="0"/>
      </c>
      <c r="J84" s="608">
        <f t="shared" si="2"/>
      </c>
      <c r="K84" s="608">
        <f t="shared" si="1"/>
      </c>
      <c r="L84" s="607"/>
      <c r="M84" s="609">
        <f>SUM(M82:M83)</f>
      </c>
      <c r="N84" s="607"/>
      <c r="O84" s="607"/>
      <c r="P84" s="607"/>
      <c r="Q84" s="610">
        <f>AVERAGE(Q82:Q83)</f>
      </c>
      <c r="R84" s="611">
        <f>AVERAGE(R82:R83)</f>
      </c>
      <c r="S84" s="611">
        <f>AVERAGE(S82:S83)</f>
      </c>
      <c r="T84" s="611">
        <f>AVERAGE(T82:T83)</f>
      </c>
      <c r="U84" s="611">
        <f>AVERAGE(U82:U83)</f>
      </c>
      <c r="V84" s="612">
        <f>SUM(V82:V83)</f>
      </c>
      <c r="W84" s="611">
        <f>AVERAGE(W82:W83)</f>
      </c>
      <c r="X84" s="612"/>
      <c r="Y84" s="610">
        <f>AVERAGE(Y82:Y83)</f>
      </c>
      <c r="Z84" s="612">
        <f>SUM(Z82:Z83)</f>
      </c>
      <c r="AA84" s="612">
        <f>SUM(AA82:AA83)</f>
      </c>
      <c r="AB84" s="612">
        <f>SUM(AB82:AB83)</f>
      </c>
      <c r="AC84" s="612">
        <f>SUM(AC82:AC83)</f>
      </c>
      <c r="AD84" s="612">
        <f>SUM(AD82:AD83)</f>
      </c>
      <c r="AE84" s="612">
        <f>SUM(AE82:AE83)</f>
      </c>
      <c r="AF84" s="612">
        <f>SUM(AF82:AF83)</f>
      </c>
      <c r="AG84" s="612">
        <f>SUM(AG82:AG83)</f>
      </c>
    </row>
    <row r="85">
      <c r="A85" s="597" t="s">
        <v>1313</v>
      </c>
      <c r="B85" s="597" t="s">
        <v>1258</v>
      </c>
      <c r="C85" s="597" t="s">
        <v>1277</v>
      </c>
      <c r="D85" s="597">
        <v>5</v>
      </c>
      <c r="E85" s="597">
        <v>12</v>
      </c>
      <c r="F85" s="597">
        <v>10</v>
      </c>
      <c r="G85" s="598">
        <v>19530.23</v>
      </c>
      <c r="H85" s="599">
        <v>11916.56</v>
      </c>
      <c r="I85" s="600">
        <f t="shared" si="0"/>
      </c>
      <c r="J85" s="600">
        <f t="shared" si="2"/>
      </c>
      <c r="K85" s="600">
        <f t="shared" si="1"/>
      </c>
      <c r="L85" s="598"/>
      <c r="M85" s="617"/>
      <c r="N85" s="598"/>
      <c r="O85" s="598"/>
      <c r="P85" s="598"/>
      <c r="Q85" s="602">
        <v>4.33171937477281</v>
      </c>
      <c r="R85" s="603">
        <v>0.35946007684759734</v>
      </c>
      <c r="S85" s="603">
        <v>0.01643329908484863</v>
      </c>
      <c r="T85" s="603">
        <v>0.01697689421997085</v>
      </c>
      <c r="U85" s="603">
        <v>0.08691062631949331</v>
      </c>
      <c r="V85" s="604">
        <v>60175.05470459518</v>
      </c>
      <c r="W85" s="603">
        <v>0.00914</v>
      </c>
      <c r="X85" s="604">
        <v>33.4</v>
      </c>
      <c r="Y85" s="605">
        <v>71.18444003727508</v>
      </c>
      <c r="Z85" s="604">
        <v>167404</v>
      </c>
      <c r="AA85" s="604">
        <v>2751</v>
      </c>
      <c r="AB85" s="604">
        <v>550</v>
      </c>
      <c r="AC85" s="604">
        <v>2842</v>
      </c>
      <c r="AD85" s="604">
        <v>247</v>
      </c>
      <c r="AE85" s="604">
        <v>21</v>
      </c>
      <c r="AF85" s="604">
        <v>7</v>
      </c>
      <c r="AG85" s="604">
        <v>111</v>
      </c>
    </row>
    <row r="86">
      <c r="A86" s="597" t="s">
        <v>1313</v>
      </c>
      <c r="B86" s="597" t="s">
        <v>1278</v>
      </c>
      <c r="C86" s="597" t="s">
        <v>1279</v>
      </c>
      <c r="D86" s="597">
        <v>3</v>
      </c>
      <c r="E86" s="597">
        <v>3</v>
      </c>
      <c r="F86" s="597">
        <v>7</v>
      </c>
      <c r="G86" s="598">
        <v>11690.5</v>
      </c>
      <c r="H86" s="599">
        <v>5221.450000000001</v>
      </c>
      <c r="I86" s="600">
        <f t="shared" si="0"/>
      </c>
      <c r="J86" s="600">
        <f t="shared" si="2"/>
      </c>
      <c r="K86" s="600">
        <f t="shared" si="1"/>
      </c>
      <c r="L86" s="597" t="s">
        <v>1260</v>
      </c>
      <c r="M86" s="617">
        <v>3.2</v>
      </c>
      <c r="N86" s="598"/>
      <c r="O86" s="598"/>
      <c r="P86" s="598"/>
      <c r="Q86" s="605">
        <v>4.265890522875818</v>
      </c>
      <c r="R86" s="603">
        <v>0.13198056695179058</v>
      </c>
      <c r="S86" s="603">
        <v>0.01496039894397184</v>
      </c>
      <c r="T86" s="603">
        <v>0.015437078322088588</v>
      </c>
      <c r="U86" s="603">
        <v>0.08867775138558986</v>
      </c>
      <c r="V86" s="604">
        <v>10798.122065727699</v>
      </c>
      <c r="W86" s="603">
        <v>0.0213</v>
      </c>
      <c r="X86" s="604">
        <v>116</v>
      </c>
      <c r="Y86" s="605">
        <v>63.81942407353086</v>
      </c>
      <c r="Z86" s="604">
        <v>81816</v>
      </c>
      <c r="AA86" s="604">
        <v>1224</v>
      </c>
      <c r="AB86" s="604">
        <v>230</v>
      </c>
      <c r="AC86" s="604">
        <v>1263</v>
      </c>
      <c r="AD86" s="604">
        <v>112</v>
      </c>
      <c r="AE86" s="604">
        <v>8</v>
      </c>
      <c r="AF86" s="604">
        <v>3</v>
      </c>
      <c r="AG86" s="604">
        <v>36</v>
      </c>
    </row>
    <row r="87">
      <c r="A87" s="607" t="s">
        <v>1313</v>
      </c>
      <c r="B87" s="607" t="s">
        <v>1261</v>
      </c>
      <c r="C87" s="607"/>
      <c r="D87" s="607">
        <f>SUM(D85:D86)</f>
      </c>
      <c r="E87" s="607">
        <f>E85+E86</f>
      </c>
      <c r="F87" s="607">
        <f>SUM(F85:F86)</f>
      </c>
      <c r="G87" s="607">
        <f>SUM(G85:G86)</f>
      </c>
      <c r="H87" s="607">
        <f>SUM(H85:H86)</f>
      </c>
      <c r="I87" s="608">
        <f t="shared" si="0"/>
      </c>
      <c r="J87" s="608">
        <f t="shared" si="2"/>
      </c>
      <c r="K87" s="608">
        <f t="shared" si="1"/>
      </c>
      <c r="L87" s="607"/>
      <c r="M87" s="609">
        <f>SUM(M85:M86)</f>
      </c>
      <c r="N87" s="607"/>
      <c r="O87" s="607"/>
      <c r="P87" s="607"/>
      <c r="Q87" s="610">
        <f>AVERAGE(Q85:Q86)</f>
      </c>
      <c r="R87" s="611">
        <f>AVERAGE(R85:R86)</f>
      </c>
      <c r="S87" s="611">
        <f>AVERAGE(S85:S86)</f>
      </c>
      <c r="T87" s="611">
        <f>AVERAGE(T85:T86)</f>
      </c>
      <c r="U87" s="611">
        <f>AVERAGE(U85:U86)</f>
      </c>
      <c r="V87" s="612">
        <f>SUM(V85:V86)</f>
      </c>
      <c r="W87" s="611">
        <f>AVERAGE(W85:W86)</f>
      </c>
      <c r="X87" s="612"/>
      <c r="Y87" s="610">
        <f>AVERAGE(Y85:Y86)</f>
      </c>
      <c r="Z87" s="612">
        <f>SUM(Z85:Z86)</f>
      </c>
      <c r="AA87" s="612">
        <f>SUM(AA85:AA86)</f>
      </c>
      <c r="AB87" s="612">
        <f>SUM(AB85:AB86)</f>
      </c>
      <c r="AC87" s="612">
        <f>SUM(AC85:AC86)</f>
      </c>
      <c r="AD87" s="612">
        <f>SUM(AD85:AD86)</f>
      </c>
      <c r="AE87" s="612">
        <f>SUM(AE85:AE86)</f>
      </c>
      <c r="AF87" s="612">
        <f>SUM(AF85:AF86)</f>
      </c>
      <c r="AG87" s="612">
        <f>SUM(AG85:AG86)</f>
      </c>
    </row>
    <row r="88">
      <c r="A88" s="597" t="s">
        <v>1314</v>
      </c>
      <c r="B88" s="597" t="s">
        <v>1278</v>
      </c>
      <c r="C88" s="597" t="s">
        <v>1257</v>
      </c>
      <c r="D88" s="597">
        <v>4</v>
      </c>
      <c r="E88" s="597">
        <v>15</v>
      </c>
      <c r="F88" s="597">
        <v>15</v>
      </c>
      <c r="G88" s="598">
        <v>27363.23</v>
      </c>
      <c r="H88" s="599">
        <v>8877.95</v>
      </c>
      <c r="I88" s="600">
        <f t="shared" si="0"/>
      </c>
      <c r="J88" s="600">
        <f t="shared" si="2"/>
      </c>
      <c r="K88" s="600">
        <f t="shared" si="1"/>
      </c>
      <c r="L88" s="597"/>
      <c r="M88" s="621"/>
      <c r="N88" s="598"/>
      <c r="O88" s="598"/>
      <c r="P88" s="598"/>
      <c r="Q88" s="619">
        <v>4.197612293144209</v>
      </c>
      <c r="R88" s="603">
        <v>0.34434964561260306</v>
      </c>
      <c r="S88" s="603">
        <v>0.01721513629667011</v>
      </c>
      <c r="T88" s="603">
        <v>0.017491880804512562</v>
      </c>
      <c r="U88" s="603">
        <v>0.140995812005584</v>
      </c>
      <c r="V88" s="604">
        <v>42305.76441102757</v>
      </c>
      <c r="W88" s="603">
        <v>0.009975</v>
      </c>
      <c r="X88" s="604">
        <v>46.25</v>
      </c>
      <c r="Y88" s="605">
        <v>72.26246774705552</v>
      </c>
      <c r="Z88" s="604">
        <v>122857</v>
      </c>
      <c r="AA88" s="604">
        <v>2115</v>
      </c>
      <c r="AB88" s="604">
        <v>422</v>
      </c>
      <c r="AC88" s="604">
        <v>2149</v>
      </c>
      <c r="AD88" s="604">
        <v>303</v>
      </c>
      <c r="AE88" s="604">
        <v>25</v>
      </c>
      <c r="AF88" s="604">
        <v>3</v>
      </c>
      <c r="AG88" s="604">
        <v>72</v>
      </c>
    </row>
    <row r="89">
      <c r="A89" s="597" t="s">
        <v>1314</v>
      </c>
      <c r="B89" s="597" t="s">
        <v>1256</v>
      </c>
      <c r="C89" s="597" t="s">
        <v>1259</v>
      </c>
      <c r="D89" s="597">
        <v>4</v>
      </c>
      <c r="E89" s="597">
        <v>9</v>
      </c>
      <c r="F89" s="597">
        <v>11</v>
      </c>
      <c r="G89" s="598">
        <v>23770.2</v>
      </c>
      <c r="H89" s="599">
        <v>8434.73</v>
      </c>
      <c r="I89" s="600">
        <f t="shared" si="0"/>
      </c>
      <c r="J89" s="600">
        <f t="shared" si="2"/>
      </c>
      <c r="K89" s="600">
        <f t="shared" si="1"/>
      </c>
      <c r="L89" s="597" t="s">
        <v>1260</v>
      </c>
      <c r="M89" s="621">
        <v>3.2</v>
      </c>
      <c r="O89" s="598"/>
      <c r="P89" s="598"/>
      <c r="Q89" s="605">
        <v>5.190603076923077</v>
      </c>
      <c r="R89" s="603">
        <v>0.5358998097232412</v>
      </c>
      <c r="S89" s="603">
        <v>0.01149831947638422</v>
      </c>
      <c r="T89" s="603">
        <v>0.011512471254201309</v>
      </c>
      <c r="U89" s="603">
        <v>0.11555009219422249</v>
      </c>
      <c r="V89" s="604">
        <v>75736.04060913707</v>
      </c>
      <c r="W89" s="603">
        <v>0.004925</v>
      </c>
      <c r="X89" s="604">
        <v>59.25</v>
      </c>
      <c r="Y89" s="605">
        <v>59.68321245356448</v>
      </c>
      <c r="Z89" s="604">
        <v>141325</v>
      </c>
      <c r="AA89" s="604">
        <v>1625</v>
      </c>
      <c r="AB89" s="604">
        <v>373</v>
      </c>
      <c r="AC89" s="604">
        <v>1627</v>
      </c>
      <c r="AD89" s="604">
        <v>188</v>
      </c>
      <c r="AE89" s="604">
        <v>16</v>
      </c>
      <c r="AF89" s="604">
        <v>1</v>
      </c>
      <c r="AG89" s="604">
        <v>63</v>
      </c>
    </row>
    <row r="90">
      <c r="A90" s="606" t="s">
        <v>1314</v>
      </c>
      <c r="B90" s="607" t="s">
        <v>1261</v>
      </c>
      <c r="C90" s="607"/>
      <c r="D90" s="607">
        <f>SUM(D88:D89)</f>
      </c>
      <c r="E90" s="607">
        <f>SUM(E88:E89)</f>
      </c>
      <c r="F90" s="607">
        <f>SUM(F88:F89)</f>
      </c>
      <c r="G90" s="607">
        <f>SUM(G88:G89)</f>
      </c>
      <c r="H90" s="607">
        <f>SUM(H88:H89)</f>
      </c>
      <c r="I90" s="608">
        <f t="shared" si="0"/>
      </c>
      <c r="J90" s="608">
        <f t="shared" si="2"/>
      </c>
      <c r="K90" s="608">
        <f t="shared" si="1"/>
      </c>
      <c r="L90" s="607"/>
      <c r="M90" s="622">
        <f>SUM(M88:M89)</f>
      </c>
      <c r="N90" s="607"/>
      <c r="O90" s="607"/>
      <c r="P90" s="607"/>
      <c r="Q90" s="610">
        <f>AVERAGE(Q88:Q89)</f>
      </c>
      <c r="R90" s="611">
        <f>AVERAGE(R88:R89)</f>
      </c>
      <c r="S90" s="611">
        <f>AVERAGE(S88:S89)</f>
      </c>
      <c r="T90" s="611">
        <f>AVERAGE(T88:T89)</f>
      </c>
      <c r="U90" s="611">
        <f>AVERAGE(U88:U89)</f>
      </c>
      <c r="V90" s="612">
        <f>SUM(V88:V89)</f>
      </c>
      <c r="W90" s="611">
        <f>AVERAGE(W88:W89)</f>
      </c>
      <c r="X90" s="612"/>
      <c r="Y90" s="610">
        <f>AVERAGE(Y88:Y89)</f>
      </c>
      <c r="Z90" s="612">
        <f>SUM(Z88:Z89)</f>
      </c>
      <c r="AA90" s="612">
        <f>SUM(AA88:AA89)</f>
      </c>
      <c r="AB90" s="612">
        <f>SUM(AB88:AB89)</f>
      </c>
      <c r="AC90" s="612">
        <f>SUM(AC88:AC89)</f>
      </c>
      <c r="AD90" s="612">
        <f>SUM(AD88:AD89)</f>
      </c>
      <c r="AE90" s="612">
        <f>SUM(AE88:AE89)</f>
      </c>
      <c r="AF90" s="612">
        <f>SUM(AF88:AF89)</f>
      </c>
      <c r="AG90" s="612">
        <f>SUM(AG88:AG89)</f>
      </c>
    </row>
    <row r="91">
      <c r="A91" s="597" t="s">
        <v>1315</v>
      </c>
      <c r="B91" s="597" t="s">
        <v>1258</v>
      </c>
      <c r="C91" s="597" t="s">
        <v>1257</v>
      </c>
      <c r="D91" s="597">
        <v>4</v>
      </c>
      <c r="E91" s="597">
        <v>4</v>
      </c>
      <c r="F91" s="597">
        <v>6</v>
      </c>
      <c r="G91" s="598">
        <v>11614.47</v>
      </c>
      <c r="H91" s="599">
        <v>7953.23</v>
      </c>
      <c r="I91" s="600">
        <f t="shared" si="0"/>
      </c>
      <c r="J91" s="600">
        <f t="shared" si="2"/>
      </c>
      <c r="K91" s="600">
        <f t="shared" si="1"/>
      </c>
      <c r="L91" s="597"/>
      <c r="M91" s="621"/>
      <c r="N91" s="598"/>
      <c r="O91" s="598"/>
      <c r="P91" s="598"/>
      <c r="Q91" s="619">
        <v>3.8495788964181994</v>
      </c>
      <c r="R91" s="603">
        <v>0.23943089825268926</v>
      </c>
      <c r="S91" s="603">
        <v>0.02081444316830885</v>
      </c>
      <c r="T91" s="603">
        <v>0.0211771343367789</v>
      </c>
      <c r="U91" s="603">
        <v>0.06327307326355852</v>
      </c>
      <c r="V91" s="604">
        <v>23765.432098765432</v>
      </c>
      <c r="W91" s="603">
        <v>0.0162</v>
      </c>
      <c r="X91" s="604">
        <v>40.75</v>
      </c>
      <c r="Y91" s="605">
        <v>80.12684116141772</v>
      </c>
      <c r="Z91" s="604">
        <v>99258</v>
      </c>
      <c r="AA91" s="604">
        <v>2066</v>
      </c>
      <c r="AB91" s="604">
        <v>385</v>
      </c>
      <c r="AC91" s="604">
        <v>2102</v>
      </c>
      <c r="AD91" s="604">
        <v>133</v>
      </c>
      <c r="AE91" s="604">
        <v>15</v>
      </c>
      <c r="AF91" s="604">
        <v>5</v>
      </c>
      <c r="AG91" s="604">
        <v>94</v>
      </c>
    </row>
    <row r="92">
      <c r="A92" s="597" t="s">
        <v>1315</v>
      </c>
      <c r="B92" s="597" t="s">
        <v>1278</v>
      </c>
      <c r="C92" s="597" t="s">
        <v>1316</v>
      </c>
      <c r="D92" s="597">
        <v>5</v>
      </c>
      <c r="E92" s="597">
        <v>15</v>
      </c>
      <c r="F92" s="597">
        <v>15</v>
      </c>
      <c r="G92" s="598">
        <v>29654.34</v>
      </c>
      <c r="H92" s="599">
        <v>9707.429999999998</v>
      </c>
      <c r="I92" s="600">
        <f t="shared" si="0"/>
      </c>
      <c r="J92" s="600">
        <f t="shared" si="2"/>
      </c>
      <c r="K92" s="600">
        <f t="shared" si="1"/>
      </c>
      <c r="L92" s="597" t="s">
        <v>1260</v>
      </c>
      <c r="M92" s="621">
        <v>3.6</v>
      </c>
      <c r="O92" s="598"/>
      <c r="P92" s="598"/>
      <c r="Q92" s="605">
        <v>4.596321022727272</v>
      </c>
      <c r="R92" s="603">
        <v>0.28270862757392656</v>
      </c>
      <c r="S92" s="603">
        <v>0.01635421748321602</v>
      </c>
      <c r="T92" s="603">
        <v>0.01706661710843187</v>
      </c>
      <c r="U92" s="603">
        <v>0.12931034482758622</v>
      </c>
      <c r="V92" s="604">
        <v>36509.27487352445</v>
      </c>
      <c r="W92" s="603">
        <v>0.01186</v>
      </c>
      <c r="X92" s="604">
        <v>56.4</v>
      </c>
      <c r="Y92" s="605">
        <v>75.16923362835969</v>
      </c>
      <c r="Z92" s="604">
        <v>129141</v>
      </c>
      <c r="AA92" s="604">
        <v>2112</v>
      </c>
      <c r="AB92" s="604">
        <v>433</v>
      </c>
      <c r="AC92" s="604">
        <v>2204</v>
      </c>
      <c r="AD92" s="604">
        <v>285</v>
      </c>
      <c r="AE92" s="604">
        <v>19</v>
      </c>
      <c r="AF92" s="604">
        <v>5</v>
      </c>
      <c r="AG92" s="604">
        <v>82</v>
      </c>
    </row>
    <row r="93">
      <c r="A93" s="606" t="s">
        <v>1315</v>
      </c>
      <c r="B93" s="607" t="s">
        <v>1261</v>
      </c>
      <c r="C93" s="607"/>
      <c r="D93" s="607">
        <f>SUM(D91:D92)</f>
      </c>
      <c r="E93" s="607">
        <f>SUM(E91:E92)</f>
      </c>
      <c r="F93" s="607">
        <f>SUM(F91:F92)</f>
      </c>
      <c r="G93" s="607">
        <f>SUM(G91:G92)</f>
      </c>
      <c r="H93" s="607">
        <f>SUM(H91:H92)</f>
      </c>
      <c r="I93" s="608">
        <f t="shared" si="0"/>
      </c>
      <c r="J93" s="608">
        <f t="shared" si="2"/>
      </c>
      <c r="K93" s="608">
        <f t="shared" si="1"/>
      </c>
      <c r="L93" s="607"/>
      <c r="M93" s="622">
        <f>SUM(M91:M92)</f>
      </c>
      <c r="N93" s="607"/>
      <c r="O93" s="607"/>
      <c r="P93" s="607"/>
      <c r="Q93" s="610">
        <f>AVERAGE(Q91:Q92)</f>
      </c>
      <c r="R93" s="611">
        <f>AVERAGE(R91:R92)</f>
      </c>
      <c r="S93" s="611">
        <f>AVERAGE(S91:S92)</f>
      </c>
      <c r="T93" s="611">
        <f>AVERAGE(T91:T92)</f>
      </c>
      <c r="U93" s="611">
        <f>AVERAGE(U91:U92)</f>
      </c>
      <c r="V93" s="612">
        <f>SUM(V91:V92)</f>
      </c>
      <c r="W93" s="611">
        <f>AVERAGE(W91:W92)</f>
      </c>
      <c r="X93" s="612"/>
      <c r="Y93" s="610">
        <f>AVERAGE(Y91:Y92)</f>
      </c>
      <c r="Z93" s="612">
        <f>SUM(Z91:Z92)</f>
      </c>
      <c r="AA93" s="612">
        <f>SUM(AA91:AA92)</f>
      </c>
      <c r="AB93" s="612">
        <f>SUM(AB91:AB92)</f>
      </c>
      <c r="AC93" s="612">
        <f>SUM(AC91:AC92)</f>
      </c>
      <c r="AD93" s="612">
        <f>SUM(AD91:AD92)</f>
      </c>
      <c r="AE93" s="612">
        <f>SUM(AE91:AE92)</f>
      </c>
      <c r="AF93" s="612">
        <f>SUM(AF91:AF92)</f>
      </c>
      <c r="AG93" s="612">
        <f>SUM(AG91:AG92)</f>
      </c>
    </row>
    <row r="94">
      <c r="A94" s="623"/>
      <c r="B94" s="623"/>
      <c r="C94" s="623"/>
      <c r="D94" s="623"/>
      <c r="E94" s="623"/>
      <c r="F94" s="623"/>
      <c r="G94" s="624">
        <v>1365968.79</v>
      </c>
      <c r="H94" s="625">
        <v>499286.41</v>
      </c>
      <c r="I94" s="626">
        <f t="shared" si="0"/>
      </c>
      <c r="J94" s="627"/>
      <c r="K94" s="627"/>
      <c r="L94" s="623"/>
      <c r="M94" s="628"/>
      <c r="N94" s="629"/>
      <c r="O94" s="629"/>
      <c r="P94" s="629"/>
      <c r="Q94" s="630"/>
      <c r="R94" s="631"/>
      <c r="S94" s="631"/>
      <c r="T94" s="631"/>
      <c r="U94" s="631"/>
      <c r="V94" s="632"/>
      <c r="W94" s="631"/>
      <c r="X94" s="632"/>
      <c r="Y94" s="633"/>
      <c r="Z94" s="632"/>
      <c r="AA94" s="632"/>
      <c r="AB94" s="632"/>
      <c r="AC94" s="632"/>
      <c r="AD94" s="632"/>
      <c r="AE94" s="632"/>
      <c r="AF94" s="632"/>
      <c r="AG94" s="632"/>
      <c r="AH94" s="634"/>
    </row>
    <row r="95">
      <c r="A95" s="623"/>
      <c r="B95" s="623"/>
      <c r="C95" s="623"/>
      <c r="D95" s="623"/>
      <c r="E95" s="623"/>
      <c r="F95" s="623"/>
      <c r="G95" s="629"/>
      <c r="H95" s="635"/>
      <c r="I95" s="627"/>
      <c r="J95" s="627"/>
      <c r="K95" s="627"/>
      <c r="L95" s="623"/>
      <c r="M95" s="628"/>
      <c r="N95" s="629"/>
      <c r="O95" s="629"/>
      <c r="P95" s="629"/>
      <c r="Q95" s="636"/>
      <c r="R95" s="631"/>
      <c r="S95" s="631"/>
      <c r="T95" s="631"/>
      <c r="U95" s="631"/>
      <c r="V95" s="632"/>
      <c r="W95" s="631"/>
      <c r="X95" s="632"/>
      <c r="Y95" s="633"/>
      <c r="Z95" s="632"/>
      <c r="AA95" s="632"/>
      <c r="AB95" s="632"/>
      <c r="AC95" s="632"/>
      <c r="AD95" s="632"/>
      <c r="AE95" s="632"/>
      <c r="AF95" s="632"/>
      <c r="AG95" s="632"/>
      <c r="AH95" s="634"/>
    </row>
    <row r="96">
      <c r="A96" s="623"/>
      <c r="B96" s="623"/>
      <c r="C96" s="623"/>
      <c r="D96" s="623"/>
      <c r="E96" s="623"/>
      <c r="F96" s="623"/>
      <c r="G96" s="629"/>
      <c r="H96" s="635"/>
      <c r="I96" s="627"/>
      <c r="J96" s="627"/>
      <c r="K96" s="627"/>
      <c r="L96" s="623"/>
      <c r="M96" s="628"/>
      <c r="N96" s="629"/>
      <c r="O96" s="629"/>
      <c r="P96" s="629"/>
      <c r="Q96" s="633"/>
      <c r="R96" s="631"/>
      <c r="S96" s="631"/>
      <c r="T96" s="631"/>
      <c r="U96" s="631"/>
      <c r="V96" s="632"/>
      <c r="W96" s="631"/>
      <c r="X96" s="632"/>
      <c r="Y96" s="633"/>
      <c r="Z96" s="632"/>
      <c r="AA96" s="632"/>
      <c r="AB96" s="632"/>
      <c r="AC96" s="632"/>
      <c r="AD96" s="632"/>
      <c r="AE96" s="632"/>
      <c r="AF96" s="632"/>
      <c r="AG96" s="632"/>
      <c r="AH96" s="634"/>
    </row>
    <row r="97">
      <c r="A97" s="623"/>
      <c r="B97" s="629"/>
      <c r="C97" s="629"/>
      <c r="D97" s="629"/>
      <c r="E97" s="629"/>
      <c r="F97" s="629"/>
      <c r="G97" s="629"/>
      <c r="H97" s="629"/>
      <c r="I97" s="627"/>
      <c r="J97" s="627"/>
      <c r="K97" s="627"/>
      <c r="L97" s="629"/>
      <c r="M97" s="637"/>
      <c r="N97" s="629"/>
      <c r="O97" s="629"/>
      <c r="P97" s="629"/>
      <c r="Q97" s="633"/>
      <c r="R97" s="631"/>
      <c r="S97" s="631"/>
      <c r="T97" s="631"/>
      <c r="U97" s="631"/>
      <c r="V97" s="632"/>
      <c r="W97" s="631"/>
      <c r="X97" s="632"/>
      <c r="Y97" s="633"/>
      <c r="Z97" s="632"/>
      <c r="AA97" s="632"/>
      <c r="AB97" s="632"/>
      <c r="AC97" s="632"/>
      <c r="AD97" s="632"/>
      <c r="AE97" s="632"/>
      <c r="AF97" s="632"/>
      <c r="AG97" s="632"/>
      <c r="AH97" s="634"/>
    </row>
    <row r="98"/>
    <row r="99">
      <c r="A99" s="634"/>
      <c r="B99" s="634"/>
      <c r="C99" s="634"/>
      <c r="D99" s="634"/>
      <c r="E99" s="634"/>
      <c r="F99" s="634"/>
      <c r="G99" s="634"/>
      <c r="H99" s="634"/>
      <c r="I99" s="634"/>
      <c r="J99" s="634"/>
      <c r="K99" s="634"/>
      <c r="L99" s="634"/>
      <c r="M99" s="634"/>
      <c r="N99" s="634"/>
      <c r="O99" s="634"/>
      <c r="P99" s="634"/>
      <c r="Q99" s="634"/>
      <c r="R99" s="634"/>
      <c r="S99" s="634"/>
      <c r="T99" s="634"/>
      <c r="U99" s="634"/>
      <c r="V99" s="634"/>
      <c r="W99" s="634"/>
      <c r="X99" s="634"/>
      <c r="Y99" s="634"/>
      <c r="Z99" s="634"/>
      <c r="AA99" s="634"/>
      <c r="AB99" s="634"/>
      <c r="AC99" s="634"/>
      <c r="AD99" s="634"/>
      <c r="AE99" s="634"/>
      <c r="AF99" s="634"/>
      <c r="AG99" s="634"/>
      <c r="AH99" s="634"/>
    </row>
    <row r="100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8"/>
      <c r="P100" s="638"/>
      <c r="Q100" s="638"/>
      <c r="R100" s="638"/>
      <c r="S100" s="638"/>
      <c r="T100" s="638"/>
      <c r="U100" s="638"/>
      <c r="V100" s="638"/>
      <c r="W100" s="638"/>
      <c r="X100" s="638"/>
      <c r="Y100" s="638"/>
      <c r="Z100" s="638"/>
      <c r="AA100" s="638"/>
      <c r="AB100" s="638"/>
      <c r="AC100" s="638"/>
      <c r="AD100" s="638"/>
      <c r="AE100" s="638"/>
      <c r="AF100" s="638"/>
      <c r="AG100" s="638"/>
      <c r="AH100" s="638"/>
    </row>
  </sheetData>
  <autoFilter ref="A1:O98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</cols>
  <sheetData>
    <row r="1">
      <c r="A1" s="639" t="s">
        <v>1317</v>
      </c>
      <c r="B1" s="640" t="s">
        <v>1318</v>
      </c>
      <c r="C1" s="640" t="s">
        <v>1319</v>
      </c>
      <c r="D1" s="640" t="s">
        <v>1320</v>
      </c>
      <c r="E1" s="639" t="s">
        <v>1321</v>
      </c>
      <c r="F1" s="640" t="s">
        <v>1322</v>
      </c>
      <c r="G1" s="640" t="s">
        <v>1323</v>
      </c>
      <c r="H1" s="640" t="s">
        <v>1324</v>
      </c>
      <c r="I1" s="641" t="s">
        <v>1325</v>
      </c>
      <c r="J1" s="641" t="s">
        <v>1326</v>
      </c>
      <c r="K1" s="641" t="s">
        <v>1327</v>
      </c>
      <c r="L1" s="640" t="s">
        <v>1328</v>
      </c>
      <c r="M1" s="642" t="s">
        <v>1329</v>
      </c>
      <c r="N1" s="640" t="s">
        <v>1330</v>
      </c>
      <c r="O1" s="640" t="s">
        <v>1331</v>
      </c>
      <c r="P1" s="640"/>
      <c r="Q1" s="640" t="s">
        <v>1332</v>
      </c>
      <c r="R1" s="643" t="s">
        <v>1333</v>
      </c>
      <c r="S1" s="643" t="s">
        <v>1334</v>
      </c>
      <c r="T1" s="643" t="s">
        <v>1335</v>
      </c>
      <c r="U1" s="643" t="s">
        <v>1336</v>
      </c>
      <c r="V1" s="644" t="s">
        <v>1337</v>
      </c>
      <c r="W1" s="643" t="s">
        <v>1338</v>
      </c>
      <c r="X1" s="644" t="s">
        <v>1339</v>
      </c>
      <c r="Y1" s="645" t="s">
        <v>1340</v>
      </c>
      <c r="Z1" s="646" t="s">
        <v>1341</v>
      </c>
      <c r="AA1" s="644" t="s">
        <v>1342</v>
      </c>
      <c r="AB1" s="644" t="s">
        <v>1343</v>
      </c>
      <c r="AC1" s="644" t="s">
        <v>1344</v>
      </c>
      <c r="AD1" s="644" t="s">
        <v>1345</v>
      </c>
      <c r="AE1" s="644" t="s">
        <v>1346</v>
      </c>
      <c r="AF1" s="644" t="s">
        <v>1347</v>
      </c>
      <c r="AG1" s="644" t="s">
        <v>1348</v>
      </c>
    </row>
    <row r="2">
      <c r="A2" s="647" t="s">
        <v>1349</v>
      </c>
      <c r="B2" s="648" t="s">
        <v>1350</v>
      </c>
      <c r="C2" s="647" t="s">
        <v>1351</v>
      </c>
      <c r="D2" s="647">
        <v>3</v>
      </c>
      <c r="E2" s="647">
        <v>7</v>
      </c>
      <c r="F2" s="647">
        <v>7</v>
      </c>
      <c r="G2" s="647">
        <v>13648.64</v>
      </c>
      <c r="H2" s="649">
        <v>4271.49</v>
      </c>
      <c r="I2" s="650">
        <f t="shared" ref="I2:I88" si="0">G2/H2</f>
      </c>
      <c r="J2" s="650">
        <f t="shared" ref="J2:J88" si="1">G2/F2</f>
      </c>
      <c r="K2" s="650">
        <f t="shared" ref="K2:K88" si="2">H2/F2</f>
      </c>
      <c r="L2" s="651" t="s">
        <v>1352</v>
      </c>
      <c r="M2" s="652">
        <v>2</v>
      </c>
      <c r="N2" s="653"/>
      <c r="O2" s="647"/>
      <c r="P2" s="653"/>
      <c r="Q2" s="654">
        <v>4.520095238095238</v>
      </c>
      <c r="R2" s="655">
        <v>0.15459352347898647</v>
      </c>
      <c r="S2" s="655">
        <v>0.022191433402216795</v>
      </c>
      <c r="T2" s="655">
        <v>0.02416400526019162</v>
      </c>
      <c r="U2" s="655">
        <v>0.13994169096209913</v>
      </c>
      <c r="V2" s="656">
        <v>6583.21060382916</v>
      </c>
      <c r="W2" s="655">
        <v>0.022633333333333335</v>
      </c>
      <c r="X2" s="656">
        <v>52</v>
      </c>
      <c r="Y2" s="657">
        <v>100.30739244786774</v>
      </c>
      <c r="Z2" s="656">
        <v>42584</v>
      </c>
      <c r="AA2" s="656">
        <v>945</v>
      </c>
      <c r="AB2" s="656">
        <v>149</v>
      </c>
      <c r="AC2" s="656">
        <v>1029</v>
      </c>
      <c r="AD2" s="656">
        <v>144</v>
      </c>
      <c r="AE2" s="656">
        <v>13</v>
      </c>
      <c r="AF2" s="656">
        <v>0</v>
      </c>
      <c r="AG2" s="656">
        <v>31</v>
      </c>
    </row>
    <row r="3">
      <c r="A3" s="647" t="s">
        <v>1349</v>
      </c>
      <c r="B3" s="648" t="s">
        <v>1353</v>
      </c>
      <c r="C3" s="647" t="s">
        <v>1354</v>
      </c>
      <c r="D3" s="647">
        <v>3</v>
      </c>
      <c r="E3" s="647">
        <v>3</v>
      </c>
      <c r="F3" s="647">
        <v>4</v>
      </c>
      <c r="G3" s="647">
        <v>8140.28</v>
      </c>
      <c r="H3" s="649">
        <v>4349.53</v>
      </c>
      <c r="I3" s="650">
        <f t="shared" si="0"/>
      </c>
      <c r="J3" s="650">
        <f t="shared" si="1"/>
      </c>
      <c r="K3" s="650">
        <f t="shared" si="2"/>
      </c>
      <c r="L3" s="647" t="s">
        <v>1355</v>
      </c>
      <c r="M3" s="652">
        <v>0.4</v>
      </c>
      <c r="N3" s="647"/>
      <c r="O3" s="647"/>
      <c r="P3" s="653"/>
      <c r="Q3" s="657">
        <v>4.784961496149615</v>
      </c>
      <c r="R3" s="655">
        <v>0.15165316280531102</v>
      </c>
      <c r="S3" s="655">
        <v>0.021042153753559112</v>
      </c>
      <c r="T3" s="655">
        <v>0.022523669529387256</v>
      </c>
      <c r="U3" s="655">
        <v>0.09660842754367935</v>
      </c>
      <c r="V3" s="656">
        <v>6551.264980026631</v>
      </c>
      <c r="W3" s="655">
        <v>0.025033333333333335</v>
      </c>
      <c r="X3" s="656">
        <v>55.333333333333336</v>
      </c>
      <c r="Y3" s="657">
        <v>100.68589550684042</v>
      </c>
      <c r="Z3" s="656">
        <v>43199</v>
      </c>
      <c r="AA3" s="656">
        <v>909</v>
      </c>
      <c r="AB3" s="656">
        <v>164</v>
      </c>
      <c r="AC3" s="656">
        <v>973</v>
      </c>
      <c r="AD3" s="656">
        <v>94</v>
      </c>
      <c r="AE3" s="656">
        <v>12</v>
      </c>
      <c r="AF3" s="656">
        <v>0</v>
      </c>
      <c r="AG3" s="656">
        <v>49</v>
      </c>
    </row>
    <row r="4">
      <c r="A4" s="658" t="s">
        <v>1349</v>
      </c>
      <c r="B4" s="658" t="s">
        <v>1356</v>
      </c>
      <c r="C4" s="659"/>
      <c r="D4" s="659">
        <f>SUM(D2:D3)</f>
      </c>
      <c r="E4" s="659">
        <f>E2+E3</f>
      </c>
      <c r="F4" s="659">
        <f>SUM(F2:F3)</f>
      </c>
      <c r="G4" s="659">
        <f>SUM(G2:G3)</f>
      </c>
      <c r="H4" s="659">
        <f>SUM(H2:H3)</f>
      </c>
      <c r="I4" s="660">
        <f t="shared" si="0"/>
      </c>
      <c r="J4" s="660">
        <f t="shared" si="1"/>
      </c>
      <c r="K4" s="660">
        <f t="shared" si="2"/>
      </c>
      <c r="L4" s="659"/>
      <c r="M4" s="661">
        <f>SUM(M2:M3)</f>
      </c>
      <c r="N4" s="659"/>
      <c r="O4" s="659"/>
      <c r="P4" s="659"/>
      <c r="Q4" s="662">
        <f>AVERAGE(Q2:Q3)</f>
      </c>
      <c r="R4" s="663">
        <f>AVERAGE(R2:R3)</f>
      </c>
      <c r="S4" s="663">
        <f>AVERAGE(S2:S3)</f>
      </c>
      <c r="T4" s="663">
        <f>AVERAGE(T2:T3)</f>
      </c>
      <c r="U4" s="663">
        <f>AVERAGE(U2:U3)</f>
      </c>
      <c r="V4" s="664">
        <f>SUM(V2:V3)</f>
      </c>
      <c r="W4" s="663">
        <f>AVERAGE(W2:W3)</f>
      </c>
      <c r="X4" s="665"/>
      <c r="Y4" s="662">
        <f>AVERAGE(Y2:Y3)</f>
      </c>
      <c r="Z4" s="664">
        <f>SUM(Z2:Z3)</f>
      </c>
      <c r="AA4" s="664">
        <f>SUM(AA2:AA3)</f>
      </c>
      <c r="AB4" s="664">
        <f>SUM(AB2:AB3)</f>
      </c>
      <c r="AC4" s="664">
        <f>SUM(AC2:AC3)</f>
      </c>
      <c r="AD4" s="664">
        <f>SUM(AD2:AD3)</f>
      </c>
      <c r="AE4" s="664">
        <f>SUM(AE2:AE3)</f>
      </c>
      <c r="AF4" s="664">
        <f>SUM(AF2:AF3)</f>
      </c>
      <c r="AG4" s="664">
        <f>SUM(AG2:AG3)</f>
      </c>
    </row>
    <row r="5">
      <c r="A5" s="647" t="s">
        <v>1357</v>
      </c>
      <c r="B5" s="648" t="s">
        <v>1350</v>
      </c>
      <c r="C5" s="647" t="s">
        <v>1358</v>
      </c>
      <c r="D5" s="647">
        <v>3</v>
      </c>
      <c r="E5" s="647">
        <v>5</v>
      </c>
      <c r="F5" s="647">
        <v>4</v>
      </c>
      <c r="G5" s="647">
        <v>9362.7</v>
      </c>
      <c r="H5" s="649">
        <v>6523.51</v>
      </c>
      <c r="I5" s="650">
        <f t="shared" si="0"/>
      </c>
      <c r="J5" s="650">
        <f t="shared" si="1"/>
      </c>
      <c r="K5" s="650">
        <f t="shared" si="2"/>
      </c>
      <c r="L5" s="651" t="s">
        <v>1352</v>
      </c>
      <c r="M5" s="652">
        <v>2</v>
      </c>
      <c r="N5" s="653"/>
      <c r="O5" s="647"/>
      <c r="P5" s="653"/>
      <c r="Q5" s="654">
        <v>4.846589895988113</v>
      </c>
      <c r="R5" s="655">
        <v>0.19386263923430966</v>
      </c>
      <c r="S5" s="655">
        <v>0.0219411208554755</v>
      </c>
      <c r="T5" s="655">
        <v>0.022919179734620022</v>
      </c>
      <c r="U5" s="655">
        <v>0.1415362731152205</v>
      </c>
      <c r="V5" s="656">
        <v>11892.69746646796</v>
      </c>
      <c r="W5" s="655">
        <v>0.022366666666666663</v>
      </c>
      <c r="X5" s="656">
        <v>48.333333333333336</v>
      </c>
      <c r="Y5" s="657">
        <v>106.33961464480161</v>
      </c>
      <c r="Z5" s="656">
        <v>61346</v>
      </c>
      <c r="AA5" s="656">
        <v>1346</v>
      </c>
      <c r="AB5" s="656">
        <v>266</v>
      </c>
      <c r="AC5" s="656">
        <v>1406</v>
      </c>
      <c r="AD5" s="656">
        <v>199</v>
      </c>
      <c r="AE5" s="656">
        <v>14</v>
      </c>
      <c r="AF5" s="656">
        <v>1</v>
      </c>
      <c r="AG5" s="656">
        <v>68</v>
      </c>
    </row>
    <row r="6">
      <c r="A6" s="647" t="s">
        <v>1357</v>
      </c>
      <c r="B6" s="648" t="s">
        <v>1353</v>
      </c>
      <c r="C6" s="647" t="s">
        <v>1359</v>
      </c>
      <c r="D6" s="647">
        <v>3</v>
      </c>
      <c r="E6" s="647">
        <v>2</v>
      </c>
      <c r="F6" s="647">
        <v>3</v>
      </c>
      <c r="G6" s="647">
        <v>7091.37</v>
      </c>
      <c r="H6" s="649">
        <v>3815.71</v>
      </c>
      <c r="I6" s="650">
        <f t="shared" si="0"/>
      </c>
      <c r="J6" s="650">
        <f t="shared" si="1"/>
      </c>
      <c r="K6" s="650">
        <f t="shared" si="2"/>
      </c>
      <c r="L6" s="647" t="s">
        <v>1355</v>
      </c>
      <c r="M6" s="652">
        <v>0.4</v>
      </c>
      <c r="N6" s="647"/>
      <c r="O6" s="647"/>
      <c r="P6" s="653"/>
      <c r="Q6" s="657">
        <v>3.8777540650406506</v>
      </c>
      <c r="R6" s="655">
        <v>0.25612074291794074</v>
      </c>
      <c r="S6" s="655">
        <v>0.028455754771544245</v>
      </c>
      <c r="T6" s="655">
        <v>0.030884904569115097</v>
      </c>
      <c r="U6" s="655">
        <v>0.09176029962546817</v>
      </c>
      <c r="V6" s="656">
        <v>8856.655290102392</v>
      </c>
      <c r="W6" s="655">
        <v>0.01953333333333333</v>
      </c>
      <c r="X6" s="656">
        <v>50.333333333333336</v>
      </c>
      <c r="Y6" s="657">
        <v>110.34441873915559</v>
      </c>
      <c r="Z6" s="656">
        <v>34580</v>
      </c>
      <c r="AA6" s="656">
        <v>984</v>
      </c>
      <c r="AB6" s="656">
        <v>173</v>
      </c>
      <c r="AC6" s="656">
        <v>1068</v>
      </c>
      <c r="AD6" s="656">
        <v>98</v>
      </c>
      <c r="AE6" s="656">
        <v>15</v>
      </c>
      <c r="AF6" s="656">
        <v>4</v>
      </c>
      <c r="AG6" s="656">
        <v>37</v>
      </c>
    </row>
    <row r="7">
      <c r="A7" s="658" t="s">
        <v>1357</v>
      </c>
      <c r="B7" s="658" t="s">
        <v>1356</v>
      </c>
      <c r="C7" s="659"/>
      <c r="D7" s="659">
        <f>SUM(D5:D6)</f>
      </c>
      <c r="E7" s="659">
        <f>E5+E6</f>
      </c>
      <c r="F7" s="659">
        <f>SUM(F5:F6)</f>
      </c>
      <c r="G7" s="659">
        <f>SUM(G5:G6)</f>
      </c>
      <c r="H7" s="659">
        <f>SUM(H5:H6)</f>
      </c>
      <c r="I7" s="660">
        <f t="shared" si="0"/>
      </c>
      <c r="J7" s="660">
        <f t="shared" si="1"/>
      </c>
      <c r="K7" s="660">
        <f t="shared" si="2"/>
      </c>
      <c r="L7" s="659"/>
      <c r="M7" s="661">
        <f>SUM(M5:M6)</f>
      </c>
      <c r="N7" s="659"/>
      <c r="O7" s="659"/>
      <c r="P7" s="659"/>
      <c r="Q7" s="662">
        <f>AVERAGE(Q5:Q6)</f>
      </c>
      <c r="R7" s="663">
        <f>AVERAGE(R5:R6)</f>
      </c>
      <c r="S7" s="663">
        <f>AVERAGE(S5:S6)</f>
      </c>
      <c r="T7" s="663">
        <f>AVERAGE(T5:T6)</f>
      </c>
      <c r="U7" s="663">
        <f>AVERAGE(U5:U6)</f>
      </c>
      <c r="V7" s="664">
        <f>SUM(V5:V6)</f>
      </c>
      <c r="W7" s="663">
        <f>AVERAGE(W5:W6)</f>
      </c>
      <c r="X7" s="665"/>
      <c r="Y7" s="662">
        <f>AVERAGE(Y5:Y6)</f>
      </c>
      <c r="Z7" s="664">
        <f>SUM(Z5:Z6)</f>
      </c>
      <c r="AA7" s="664">
        <f>SUM(AA5:AA6)</f>
      </c>
      <c r="AB7" s="664">
        <f>SUM(AB5:AB6)</f>
      </c>
      <c r="AC7" s="664">
        <f>SUM(AC5:AC6)</f>
      </c>
      <c r="AD7" s="664">
        <f>SUM(AD5:AD6)</f>
      </c>
      <c r="AE7" s="664">
        <f>SUM(AE5:AE6)</f>
      </c>
      <c r="AF7" s="664">
        <f>SUM(AF5:AF6)</f>
      </c>
      <c r="AG7" s="664">
        <f>SUM(AG5:AG6)</f>
      </c>
    </row>
    <row r="8">
      <c r="A8" s="647" t="s">
        <v>1360</v>
      </c>
      <c r="B8" s="648" t="s">
        <v>1350</v>
      </c>
      <c r="C8" s="647" t="s">
        <v>1361</v>
      </c>
      <c r="D8" s="647">
        <v>4</v>
      </c>
      <c r="E8" s="647">
        <v>9</v>
      </c>
      <c r="F8" s="647">
        <v>10</v>
      </c>
      <c r="G8" s="647">
        <v>21615.56</v>
      </c>
      <c r="H8" s="649">
        <v>7827.28</v>
      </c>
      <c r="I8" s="650">
        <f t="shared" si="0"/>
      </c>
      <c r="J8" s="650">
        <f t="shared" si="1"/>
      </c>
      <c r="K8" s="650">
        <f t="shared" si="2"/>
      </c>
      <c r="L8" s="651" t="s">
        <v>1362</v>
      </c>
      <c r="M8" s="652">
        <v>2</v>
      </c>
      <c r="N8" s="653"/>
      <c r="O8" s="647"/>
      <c r="P8" s="653"/>
      <c r="Q8" s="654">
        <v>4.628787699586043</v>
      </c>
      <c r="R8" s="655">
        <v>0.19361104869342485</v>
      </c>
      <c r="S8" s="655">
        <v>0.022779012595137066</v>
      </c>
      <c r="T8" s="655">
        <v>0.02493433016771065</v>
      </c>
      <c r="U8" s="655">
        <v>0.09724473257698542</v>
      </c>
      <c r="V8" s="656">
        <v>14372.716199756394</v>
      </c>
      <c r="W8" s="655">
        <v>0.020525</v>
      </c>
      <c r="X8" s="656">
        <v>45.5</v>
      </c>
      <c r="Y8" s="657">
        <v>105.43921330908601</v>
      </c>
      <c r="Z8" s="656">
        <v>74235</v>
      </c>
      <c r="AA8" s="656">
        <v>1691</v>
      </c>
      <c r="AB8" s="656">
        <v>295</v>
      </c>
      <c r="AC8" s="656">
        <v>1851</v>
      </c>
      <c r="AD8" s="656">
        <v>180</v>
      </c>
      <c r="AE8" s="656">
        <v>16</v>
      </c>
      <c r="AF8" s="656">
        <v>6</v>
      </c>
      <c r="AG8" s="656">
        <v>82</v>
      </c>
    </row>
    <row r="9">
      <c r="A9" s="647" t="s">
        <v>1360</v>
      </c>
      <c r="B9" s="648" t="s">
        <v>1353</v>
      </c>
      <c r="C9" s="647" t="s">
        <v>1363</v>
      </c>
      <c r="D9" s="647">
        <v>5</v>
      </c>
      <c r="E9" s="647">
        <v>16</v>
      </c>
      <c r="F9" s="647">
        <v>16</v>
      </c>
      <c r="G9" s="647">
        <v>32972.62</v>
      </c>
      <c r="H9" s="649">
        <v>8950.509999999998</v>
      </c>
      <c r="I9" s="650">
        <f t="shared" si="0"/>
      </c>
      <c r="J9" s="650">
        <f t="shared" si="1"/>
      </c>
      <c r="K9" s="650">
        <f t="shared" si="2"/>
      </c>
      <c r="L9" s="647" t="s">
        <v>1355</v>
      </c>
      <c r="M9" s="652">
        <v>2.8</v>
      </c>
      <c r="N9" s="647"/>
      <c r="O9" s="647"/>
      <c r="P9" s="653"/>
      <c r="Q9" s="657">
        <v>3.414921785578023</v>
      </c>
      <c r="R9" s="655">
        <v>0.18946906635624053</v>
      </c>
      <c r="S9" s="655">
        <v>0.033088420946321265</v>
      </c>
      <c r="T9" s="655">
        <v>0.03796141998687068</v>
      </c>
      <c r="U9" s="655">
        <v>0.09245094778849351</v>
      </c>
      <c r="V9" s="656">
        <v>15008.223684210525</v>
      </c>
      <c r="W9" s="655">
        <v>0.02432</v>
      </c>
      <c r="X9" s="656">
        <v>46</v>
      </c>
      <c r="Y9" s="657">
        <v>112.99436953996867</v>
      </c>
      <c r="Z9" s="656">
        <v>79212</v>
      </c>
      <c r="AA9" s="656">
        <v>2621</v>
      </c>
      <c r="AB9" s="656">
        <v>365</v>
      </c>
      <c r="AC9" s="656">
        <v>3007</v>
      </c>
      <c r="AD9" s="656">
        <v>278</v>
      </c>
      <c r="AE9" s="656">
        <v>17</v>
      </c>
      <c r="AF9" s="656">
        <v>6</v>
      </c>
      <c r="AG9" s="656">
        <v>82</v>
      </c>
    </row>
    <row r="10">
      <c r="A10" s="658" t="s">
        <v>1360</v>
      </c>
      <c r="B10" s="658" t="s">
        <v>1356</v>
      </c>
      <c r="C10" s="659"/>
      <c r="D10" s="659">
        <f>SUM(D8:D9)</f>
      </c>
      <c r="E10" s="659">
        <f>E8+E9</f>
      </c>
      <c r="F10" s="659">
        <f>SUM(F8:F9)</f>
      </c>
      <c r="G10" s="659">
        <f>SUM(G8:G9)</f>
      </c>
      <c r="H10" s="659">
        <f>SUM(H8:H9)</f>
      </c>
      <c r="I10" s="660">
        <f t="shared" si="0"/>
      </c>
      <c r="J10" s="660">
        <f t="shared" si="1"/>
      </c>
      <c r="K10" s="660">
        <f t="shared" si="2"/>
      </c>
      <c r="L10" s="659"/>
      <c r="M10" s="661">
        <f>SUM(M8:M9)</f>
      </c>
      <c r="N10" s="659"/>
      <c r="O10" s="659"/>
      <c r="P10" s="659"/>
      <c r="Q10" s="662">
        <f>AVERAGE(Q8:Q9)</f>
      </c>
      <c r="R10" s="663">
        <f>AVERAGE(R8:R9)</f>
      </c>
      <c r="S10" s="663">
        <f>AVERAGE(S8:S9)</f>
      </c>
      <c r="T10" s="663">
        <f>AVERAGE(T8:T9)</f>
      </c>
      <c r="U10" s="663">
        <f>AVERAGE(U8:U9)</f>
      </c>
      <c r="V10" s="664">
        <f>SUM(V8:V9)</f>
      </c>
      <c r="W10" s="663">
        <f>AVERAGE(W8:W9)</f>
      </c>
      <c r="X10" s="665"/>
      <c r="Y10" s="662">
        <f>AVERAGE(Y8:Y9)</f>
      </c>
      <c r="Z10" s="664">
        <f>SUM(Z8:Z9)</f>
      </c>
      <c r="AA10" s="664">
        <f>SUM(AA8:AA9)</f>
      </c>
      <c r="AB10" s="664">
        <f>SUM(AB8:AB9)</f>
      </c>
      <c r="AC10" s="664">
        <f>SUM(AC8:AC9)</f>
      </c>
      <c r="AD10" s="664">
        <f>SUM(AD8:AD9)</f>
      </c>
      <c r="AE10" s="664">
        <f>SUM(AE8:AE9)</f>
      </c>
      <c r="AF10" s="664">
        <f>SUM(AF8:AF9)</f>
      </c>
      <c r="AG10" s="664">
        <f>SUM(AG8:AG9)</f>
      </c>
    </row>
    <row r="11">
      <c r="A11" s="647" t="s">
        <v>1364</v>
      </c>
      <c r="B11" s="648" t="s">
        <v>1353</v>
      </c>
      <c r="C11" s="647" t="s">
        <v>1365</v>
      </c>
      <c r="D11" s="647">
        <v>4</v>
      </c>
      <c r="E11" s="647">
        <v>10</v>
      </c>
      <c r="F11" s="647">
        <v>10</v>
      </c>
      <c r="G11" s="647">
        <v>17880.97</v>
      </c>
      <c r="H11" s="649">
        <v>8227.74</v>
      </c>
      <c r="I11" s="650">
        <f t="shared" si="0"/>
      </c>
      <c r="J11" s="650">
        <f t="shared" si="1"/>
      </c>
      <c r="K11" s="650">
        <f t="shared" si="2"/>
      </c>
      <c r="L11" s="651"/>
      <c r="M11" s="652"/>
      <c r="N11" s="653"/>
      <c r="O11" s="647"/>
      <c r="P11" s="653"/>
      <c r="Q11" s="654">
        <v>4.624924114671163</v>
      </c>
      <c r="R11" s="655">
        <v>0.19021841049842275</v>
      </c>
      <c r="S11" s="655">
        <v>0.024758538146797675</v>
      </c>
      <c r="T11" s="655">
        <v>0.025398725192751968</v>
      </c>
      <c r="U11" s="655">
        <v>0.16054794520547946</v>
      </c>
      <c r="V11" s="656">
        <v>13667.953667953669</v>
      </c>
      <c r="W11" s="655">
        <v>0.0259</v>
      </c>
      <c r="X11" s="656">
        <v>64.5</v>
      </c>
      <c r="Y11" s="657">
        <v>114.50636011913046</v>
      </c>
      <c r="Z11" s="656">
        <v>71854</v>
      </c>
      <c r="AA11" s="656">
        <v>1779</v>
      </c>
      <c r="AB11" s="656">
        <v>354</v>
      </c>
      <c r="AC11" s="656">
        <v>1825</v>
      </c>
      <c r="AD11" s="656">
        <v>293</v>
      </c>
      <c r="AE11" s="656">
        <v>32</v>
      </c>
      <c r="AF11" s="656">
        <v>7</v>
      </c>
      <c r="AG11" s="656">
        <v>78</v>
      </c>
    </row>
    <row r="12">
      <c r="A12" s="647" t="s">
        <v>1364</v>
      </c>
      <c r="B12" s="648" t="s">
        <v>1350</v>
      </c>
      <c r="C12" s="647" t="s">
        <v>1366</v>
      </c>
      <c r="D12" s="647">
        <v>4</v>
      </c>
      <c r="E12" s="647">
        <v>8</v>
      </c>
      <c r="F12" s="647">
        <v>13</v>
      </c>
      <c r="G12" s="647">
        <v>27103.74</v>
      </c>
      <c r="H12" s="649">
        <v>6171.05</v>
      </c>
      <c r="I12" s="650">
        <f t="shared" si="0"/>
      </c>
      <c r="J12" s="650">
        <f t="shared" si="1"/>
      </c>
      <c r="K12" s="650">
        <f t="shared" si="2"/>
      </c>
      <c r="L12" s="647" t="s">
        <v>1355</v>
      </c>
      <c r="M12" s="652">
        <v>3.2</v>
      </c>
      <c r="N12" s="647"/>
      <c r="O12" s="647"/>
      <c r="P12" s="653"/>
      <c r="Q12" s="657">
        <v>3.3981552863436124</v>
      </c>
      <c r="R12" s="655">
        <v>0.2663369531830182</v>
      </c>
      <c r="S12" s="655">
        <v>0.031773804108198904</v>
      </c>
      <c r="T12" s="655">
        <v>0.03355845610106029</v>
      </c>
      <c r="U12" s="655">
        <v>0.10792492179353493</v>
      </c>
      <c r="V12" s="656">
        <v>15222.222222222223</v>
      </c>
      <c r="W12" s="655">
        <v>0.018</v>
      </c>
      <c r="X12" s="656">
        <v>61.5</v>
      </c>
      <c r="Y12" s="657">
        <v>107.97232039752248</v>
      </c>
      <c r="Z12" s="656">
        <v>57154</v>
      </c>
      <c r="AA12" s="656">
        <v>1816</v>
      </c>
      <c r="AB12" s="656">
        <v>274</v>
      </c>
      <c r="AC12" s="656">
        <v>1918</v>
      </c>
      <c r="AD12" s="656">
        <v>207</v>
      </c>
      <c r="AE12" s="656">
        <v>19</v>
      </c>
      <c r="AF12" s="656">
        <v>3</v>
      </c>
      <c r="AG12" s="656">
        <v>63</v>
      </c>
    </row>
    <row r="13">
      <c r="A13" s="658" t="s">
        <v>1364</v>
      </c>
      <c r="B13" s="658" t="s">
        <v>1356</v>
      </c>
      <c r="C13" s="659"/>
      <c r="D13" s="659">
        <f>SUM(D11:D12)</f>
      </c>
      <c r="E13" s="659">
        <f>E11+E12</f>
      </c>
      <c r="F13" s="659">
        <f>SUM(F11:F12)</f>
      </c>
      <c r="G13" s="659">
        <f>SUM(G11:G12)</f>
      </c>
      <c r="H13" s="659">
        <f>SUM(H11:H12)</f>
      </c>
      <c r="I13" s="660">
        <f t="shared" si="0"/>
      </c>
      <c r="J13" s="660">
        <f t="shared" si="1"/>
      </c>
      <c r="K13" s="660">
        <f t="shared" si="2"/>
      </c>
      <c r="L13" s="659"/>
      <c r="M13" s="661">
        <f>SUM(M11:M12)</f>
      </c>
      <c r="N13" s="659"/>
      <c r="O13" s="659"/>
      <c r="P13" s="659"/>
      <c r="Q13" s="662">
        <f>AVERAGE(Q11:Q12)</f>
      </c>
      <c r="R13" s="663">
        <f>AVERAGE(R11:R12)</f>
      </c>
      <c r="S13" s="663">
        <f>AVERAGE(S11:S12)</f>
      </c>
      <c r="T13" s="663">
        <f>AVERAGE(T11:T12)</f>
      </c>
      <c r="U13" s="663">
        <f>AVERAGE(U11:U12)</f>
      </c>
      <c r="V13" s="664">
        <f>SUM(V11:V12)</f>
      </c>
      <c r="W13" s="663">
        <f>AVERAGE(W11:W12)</f>
      </c>
      <c r="X13" s="665"/>
      <c r="Y13" s="662">
        <f>AVERAGE(Y11:Y12)</f>
      </c>
      <c r="Z13" s="664">
        <f>SUM(Z11:Z12)</f>
      </c>
      <c r="AA13" s="664">
        <f>SUM(AA11:AA12)</f>
      </c>
      <c r="AB13" s="664">
        <f>SUM(AB11:AB12)</f>
      </c>
      <c r="AC13" s="664">
        <f>SUM(AC11:AC12)</f>
      </c>
      <c r="AD13" s="664">
        <f>SUM(AD11:AD12)</f>
      </c>
      <c r="AE13" s="664">
        <f>SUM(AE11:AE12)</f>
      </c>
      <c r="AF13" s="664">
        <f>SUM(AF11:AF12)</f>
      </c>
      <c r="AG13" s="664">
        <f>SUM(AG11:AG12)</f>
      </c>
    </row>
    <row r="14">
      <c r="A14" s="647" t="s">
        <v>1367</v>
      </c>
      <c r="B14" s="648" t="s">
        <v>1350</v>
      </c>
      <c r="C14" s="647" t="s">
        <v>1365</v>
      </c>
      <c r="D14" s="647">
        <v>3</v>
      </c>
      <c r="E14" s="647">
        <v>4</v>
      </c>
      <c r="F14" s="647">
        <v>5</v>
      </c>
      <c r="G14" s="647">
        <v>8678.76</v>
      </c>
      <c r="H14" s="649">
        <v>5574.3</v>
      </c>
      <c r="I14" s="650">
        <f t="shared" si="0"/>
      </c>
      <c r="J14" s="650">
        <f t="shared" si="1"/>
      </c>
      <c r="K14" s="650">
        <f t="shared" si="2"/>
      </c>
      <c r="L14" s="651"/>
      <c r="M14" s="652"/>
      <c r="N14" s="653"/>
      <c r="O14" s="647"/>
      <c r="P14" s="653"/>
      <c r="Q14" s="654">
        <v>4.6030553261767135</v>
      </c>
      <c r="R14" s="655">
        <v>0.20646871520561516</v>
      </c>
      <c r="S14" s="655">
        <v>0.0189630603967993</v>
      </c>
      <c r="T14" s="655">
        <v>0.0186968572368112</v>
      </c>
      <c r="U14" s="655">
        <v>0.16080402010050251</v>
      </c>
      <c r="V14" s="656">
        <v>13185.29862174579</v>
      </c>
      <c r="W14" s="655">
        <v>0.021766666666666667</v>
      </c>
      <c r="X14" s="656">
        <v>57.333333333333336</v>
      </c>
      <c r="Y14" s="657">
        <v>87.28801616009771</v>
      </c>
      <c r="Z14" s="656">
        <v>63861</v>
      </c>
      <c r="AA14" s="656">
        <v>1211</v>
      </c>
      <c r="AB14" s="656">
        <v>287</v>
      </c>
      <c r="AC14" s="656">
        <v>1194</v>
      </c>
      <c r="AD14" s="656">
        <v>192</v>
      </c>
      <c r="AE14" s="656">
        <v>5</v>
      </c>
      <c r="AF14" s="656">
        <v>0</v>
      </c>
      <c r="AG14" s="656">
        <v>71</v>
      </c>
    </row>
    <row r="15">
      <c r="A15" s="647" t="s">
        <v>1367</v>
      </c>
      <c r="B15" s="648" t="s">
        <v>1353</v>
      </c>
      <c r="C15" s="647" t="s">
        <v>1368</v>
      </c>
      <c r="D15" s="647">
        <v>3</v>
      </c>
      <c r="E15" s="647">
        <v>2</v>
      </c>
      <c r="F15" s="647">
        <v>4</v>
      </c>
      <c r="G15" s="647">
        <v>7837.83</v>
      </c>
      <c r="H15" s="649">
        <v>4383.03</v>
      </c>
      <c r="I15" s="650">
        <f t="shared" si="0"/>
      </c>
      <c r="J15" s="650">
        <f t="shared" si="1"/>
      </c>
      <c r="K15" s="650">
        <f t="shared" si="2"/>
      </c>
      <c r="L15" s="647" t="s">
        <v>1355</v>
      </c>
      <c r="M15" s="652">
        <v>2.4</v>
      </c>
      <c r="N15" s="647"/>
      <c r="O15" s="647"/>
      <c r="P15" s="653"/>
      <c r="Q15" s="657">
        <v>3.667807531380753</v>
      </c>
      <c r="R15" s="655">
        <v>0.24689802279815634</v>
      </c>
      <c r="S15" s="655">
        <v>0.022101797736184065</v>
      </c>
      <c r="T15" s="655">
        <v>0.023562920766442258</v>
      </c>
      <c r="U15" s="655">
        <v>0.15149136577708006</v>
      </c>
      <c r="V15" s="656">
        <v>13349.282296650717</v>
      </c>
      <c r="W15" s="655">
        <v>0.013933333333333334</v>
      </c>
      <c r="X15" s="656">
        <v>60.333333333333336</v>
      </c>
      <c r="Y15" s="657">
        <v>81.06514019382999</v>
      </c>
      <c r="Z15" s="656">
        <v>54068</v>
      </c>
      <c r="AA15" s="656">
        <v>1195</v>
      </c>
      <c r="AB15" s="656">
        <v>186</v>
      </c>
      <c r="AC15" s="656">
        <v>1274</v>
      </c>
      <c r="AD15" s="656">
        <v>193</v>
      </c>
      <c r="AE15" s="656">
        <v>8</v>
      </c>
      <c r="AF15" s="656">
        <v>1</v>
      </c>
      <c r="AG15" s="656">
        <v>46</v>
      </c>
    </row>
    <row r="16">
      <c r="A16" s="658" t="s">
        <v>1367</v>
      </c>
      <c r="B16" s="658" t="s">
        <v>1356</v>
      </c>
      <c r="C16" s="659"/>
      <c r="D16" s="659">
        <f>SUM(D14:D15)</f>
      </c>
      <c r="E16" s="659">
        <f>E14+E15</f>
      </c>
      <c r="F16" s="659">
        <f>SUM(F14:F15)</f>
      </c>
      <c r="G16" s="659">
        <f>SUM(G14:G15)</f>
      </c>
      <c r="H16" s="659">
        <f>SUM(H14:H15)</f>
      </c>
      <c r="I16" s="660">
        <f t="shared" si="0"/>
      </c>
      <c r="J16" s="660">
        <f t="shared" si="1"/>
      </c>
      <c r="K16" s="660">
        <f t="shared" si="2"/>
      </c>
      <c r="L16" s="659"/>
      <c r="M16" s="661">
        <f>SUM(M14:M15)</f>
      </c>
      <c r="N16" s="659"/>
      <c r="O16" s="659"/>
      <c r="P16" s="659"/>
      <c r="Q16" s="662">
        <f>AVERAGE(Q14:Q15)</f>
      </c>
      <c r="R16" s="663">
        <f>AVERAGE(R14:R15)</f>
      </c>
      <c r="S16" s="663">
        <f>AVERAGE(S14:S15)</f>
      </c>
      <c r="T16" s="663">
        <f>AVERAGE(T14:T15)</f>
      </c>
      <c r="U16" s="663">
        <f>AVERAGE(U14:U15)</f>
      </c>
      <c r="V16" s="664">
        <f>SUM(V14:V15)</f>
      </c>
      <c r="W16" s="663">
        <f>AVERAGE(W14:W15)</f>
      </c>
      <c r="X16" s="665"/>
      <c r="Y16" s="662">
        <f>AVERAGE(Y14:Y15)</f>
      </c>
      <c r="Z16" s="664">
        <f>SUM(Z14:Z15)</f>
      </c>
      <c r="AA16" s="664">
        <f>SUM(AA14:AA15)</f>
      </c>
      <c r="AB16" s="664">
        <f>SUM(AB14:AB15)</f>
      </c>
      <c r="AC16" s="664">
        <f>SUM(AC14:AC15)</f>
      </c>
      <c r="AD16" s="664">
        <f>SUM(AD14:AD15)</f>
      </c>
      <c r="AE16" s="664">
        <f>SUM(AE14:AE15)</f>
      </c>
      <c r="AF16" s="664">
        <f>SUM(AF14:AF15)</f>
      </c>
      <c r="AG16" s="664">
        <f>SUM(AG14:AG15)</f>
      </c>
    </row>
    <row r="17">
      <c r="A17" s="666" t="s">
        <v>1369</v>
      </c>
      <c r="B17" s="666" t="s">
        <v>1353</v>
      </c>
      <c r="C17" s="666" t="s">
        <v>1365</v>
      </c>
      <c r="D17" s="666">
        <v>3</v>
      </c>
      <c r="E17" s="666">
        <v>5</v>
      </c>
      <c r="F17" s="648">
        <v>4</v>
      </c>
      <c r="G17" s="666">
        <v>6992.16</v>
      </c>
      <c r="H17" s="667">
        <v>5143.73</v>
      </c>
      <c r="I17" s="668">
        <f t="shared" si="0"/>
      </c>
      <c r="J17" s="668">
        <f t="shared" si="1"/>
      </c>
      <c r="K17" s="668">
        <f t="shared" si="2"/>
      </c>
      <c r="L17" s="669"/>
      <c r="M17" s="670"/>
      <c r="N17" s="666"/>
      <c r="O17" s="666"/>
      <c r="P17" s="666"/>
      <c r="Q17" s="671">
        <v>5.082737154150197</v>
      </c>
      <c r="R17" s="672">
        <v>0.2522649390852406</v>
      </c>
      <c r="S17" s="672">
        <v>0.02058081835190759</v>
      </c>
      <c r="T17" s="672">
        <v>0.02131294232490035</v>
      </c>
      <c r="U17" s="672">
        <v>0.1269083969465649</v>
      </c>
      <c r="V17" s="673">
        <v>12404.371584699453</v>
      </c>
      <c r="W17" s="672">
        <v>0.0183</v>
      </c>
      <c r="X17" s="673">
        <v>54.333333333333336</v>
      </c>
      <c r="Y17" s="674">
        <v>104.60689010005693</v>
      </c>
      <c r="Z17" s="673">
        <v>49172</v>
      </c>
      <c r="AA17" s="673">
        <v>1012</v>
      </c>
      <c r="AB17" s="673">
        <v>227</v>
      </c>
      <c r="AC17" s="673">
        <v>1048</v>
      </c>
      <c r="AD17" s="673">
        <v>133</v>
      </c>
      <c r="AE17" s="673">
        <v>7</v>
      </c>
      <c r="AF17" s="673">
        <v>2</v>
      </c>
      <c r="AG17" s="673">
        <v>47</v>
      </c>
      <c r="AH17" s="675"/>
    </row>
    <row r="18">
      <c r="A18" s="666" t="s">
        <v>1369</v>
      </c>
      <c r="B18" s="666" t="s">
        <v>1350</v>
      </c>
      <c r="C18" s="666" t="s">
        <v>1366</v>
      </c>
      <c r="D18" s="666">
        <v>4</v>
      </c>
      <c r="E18" s="666">
        <v>6</v>
      </c>
      <c r="F18" s="648">
        <v>8</v>
      </c>
      <c r="G18" s="666">
        <v>17914.82</v>
      </c>
      <c r="H18" s="667">
        <v>5582.21</v>
      </c>
      <c r="I18" s="668">
        <f t="shared" si="0"/>
      </c>
      <c r="J18" s="668">
        <f t="shared" si="1"/>
      </c>
      <c r="K18" s="668">
        <f t="shared" si="2"/>
      </c>
      <c r="L18" s="666" t="s">
        <v>1355</v>
      </c>
      <c r="M18" s="670">
        <v>2.8</v>
      </c>
      <c r="N18" s="666"/>
      <c r="O18" s="666"/>
      <c r="P18" s="666"/>
      <c r="Q18" s="674">
        <v>3.917340350877193</v>
      </c>
      <c r="R18" s="672">
        <v>0.17054852669899564</v>
      </c>
      <c r="S18" s="672">
        <v>0.029902423670129054</v>
      </c>
      <c r="T18" s="672">
        <v>0.03158115622704858</v>
      </c>
      <c r="U18" s="672">
        <v>0.10498338870431893</v>
      </c>
      <c r="V18" s="673">
        <v>8127.490039840638</v>
      </c>
      <c r="W18" s="672">
        <v>0.025099999999999997</v>
      </c>
      <c r="X18" s="673">
        <v>58</v>
      </c>
      <c r="Y18" s="674">
        <v>117.13797083202182</v>
      </c>
      <c r="Z18" s="673">
        <v>47655</v>
      </c>
      <c r="AA18" s="673">
        <v>1425</v>
      </c>
      <c r="AB18" s="673">
        <v>204</v>
      </c>
      <c r="AC18" s="673">
        <v>1505</v>
      </c>
      <c r="AD18" s="673">
        <v>158</v>
      </c>
      <c r="AE18" s="673">
        <v>12</v>
      </c>
      <c r="AF18" s="673">
        <v>3</v>
      </c>
      <c r="AG18" s="673">
        <v>37</v>
      </c>
      <c r="AH18" s="675"/>
    </row>
    <row r="19">
      <c r="A19" s="676" t="s">
        <v>1369</v>
      </c>
      <c r="B19" s="676" t="s">
        <v>1356</v>
      </c>
      <c r="C19" s="676"/>
      <c r="D19" s="676">
        <f>SUM(D17:D18)</f>
      </c>
      <c r="E19" s="676">
        <f>E17+E18</f>
      </c>
      <c r="F19" s="676">
        <f>SUM(F17:F18)</f>
      </c>
      <c r="G19" s="676">
        <f>SUM(G17:G18)</f>
      </c>
      <c r="H19" s="676">
        <f>SUM(H17:H18)</f>
      </c>
      <c r="I19" s="677">
        <f t="shared" si="0"/>
      </c>
      <c r="J19" s="677">
        <f t="shared" si="1"/>
      </c>
      <c r="K19" s="677">
        <f t="shared" si="2"/>
      </c>
      <c r="L19" s="676"/>
      <c r="M19" s="678">
        <f>SUM(M17:M18)</f>
      </c>
      <c r="N19" s="676"/>
      <c r="O19" s="676"/>
      <c r="P19" s="676"/>
      <c r="Q19" s="679">
        <f>AVERAGE(Q17:Q18)</f>
      </c>
      <c r="R19" s="680">
        <f>AVERAGE(R17:R18)</f>
      </c>
      <c r="S19" s="680">
        <f>AVERAGE(S17:S18)</f>
      </c>
      <c r="T19" s="680">
        <f>AVERAGE(T17:T18)</f>
      </c>
      <c r="U19" s="680">
        <f>AVERAGE(U17:U18)</f>
      </c>
      <c r="V19" s="681">
        <f>SUM(V17:V18)</f>
      </c>
      <c r="W19" s="680">
        <f>AVERAGE(W17:W18)</f>
      </c>
      <c r="X19" s="681"/>
      <c r="Y19" s="679">
        <f>AVERAGE(Y17:Y18)</f>
      </c>
      <c r="Z19" s="681">
        <f>SUM(Z17:Z18)</f>
      </c>
      <c r="AA19" s="681">
        <f>SUM(AA17:AA18)</f>
      </c>
      <c r="AB19" s="681">
        <f>SUM(AB17:AB18)</f>
      </c>
      <c r="AC19" s="681">
        <f>SUM(AC17:AC18)</f>
      </c>
      <c r="AD19" s="681">
        <f>SUM(AD17:AD18)</f>
      </c>
      <c r="AE19" s="681">
        <f>SUM(AE17:AE18)</f>
      </c>
      <c r="AF19" s="681">
        <f>SUM(AF17:AF18)</f>
      </c>
      <c r="AG19" s="681">
        <f>SUM(AG17:AG18)</f>
      </c>
      <c r="AH19" s="675"/>
    </row>
    <row customHeight="true" ht="16.071428571428573" r="20">
      <c r="A20" s="648" t="s">
        <v>1370</v>
      </c>
      <c r="B20" s="648" t="s">
        <v>1350</v>
      </c>
      <c r="C20" s="648" t="s">
        <v>1361</v>
      </c>
      <c r="D20" s="648">
        <v>4</v>
      </c>
      <c r="E20" s="648">
        <v>8</v>
      </c>
      <c r="F20" s="648">
        <v>8</v>
      </c>
      <c r="G20" s="666">
        <v>23037.4</v>
      </c>
      <c r="H20" s="682">
        <v>5651.21</v>
      </c>
      <c r="I20" s="668">
        <f t="shared" si="0"/>
      </c>
      <c r="J20" s="668">
        <f t="shared" si="1"/>
      </c>
      <c r="K20" s="668">
        <f t="shared" si="2"/>
      </c>
      <c r="L20" s="669"/>
      <c r="M20" s="670"/>
      <c r="N20" s="666"/>
      <c r="O20" s="666"/>
      <c r="P20" s="666"/>
      <c r="Q20" s="671">
        <v>5.247177344475394</v>
      </c>
      <c r="R20" s="672">
        <v>0.2125379858277963</v>
      </c>
      <c r="S20" s="672">
        <v>0.025291783105934294</v>
      </c>
      <c r="T20" s="672">
        <v>0.026066740248455955</v>
      </c>
      <c r="U20" s="672">
        <v>0.15495495495495495</v>
      </c>
      <c r="V20" s="673">
        <v>9050.50505050505</v>
      </c>
      <c r="W20" s="672">
        <v>0.02475</v>
      </c>
      <c r="X20" s="673">
        <v>73.25</v>
      </c>
      <c r="Y20" s="674">
        <v>132.71047131484391</v>
      </c>
      <c r="Z20" s="673">
        <v>42583</v>
      </c>
      <c r="AA20" s="673">
        <v>1077</v>
      </c>
      <c r="AB20" s="673">
        <v>224</v>
      </c>
      <c r="AC20" s="673">
        <v>1110</v>
      </c>
      <c r="AD20" s="673">
        <v>172</v>
      </c>
      <c r="AE20" s="673">
        <v>17</v>
      </c>
      <c r="AF20" s="673">
        <v>2</v>
      </c>
      <c r="AG20" s="673">
        <v>40</v>
      </c>
      <c r="AH20" s="675"/>
    </row>
    <row customHeight="true" ht="16.071428571428573" r="21">
      <c r="A21" s="648" t="s">
        <v>1370</v>
      </c>
      <c r="B21" s="648" t="s">
        <v>1353</v>
      </c>
      <c r="C21" s="648" t="s">
        <v>1371</v>
      </c>
      <c r="D21" s="648">
        <v>3</v>
      </c>
      <c r="E21" s="648">
        <v>4</v>
      </c>
      <c r="F21" s="648">
        <v>4</v>
      </c>
      <c r="G21" s="666">
        <v>7541.82</v>
      </c>
      <c r="H21" s="682">
        <v>5745</v>
      </c>
      <c r="I21" s="668">
        <f t="shared" si="0"/>
      </c>
      <c r="J21" s="668">
        <f t="shared" si="1"/>
      </c>
      <c r="K21" s="668">
        <f t="shared" si="2"/>
      </c>
      <c r="L21" s="666" t="s">
        <v>1355</v>
      </c>
      <c r="M21" s="683">
        <v>2.8</v>
      </c>
      <c r="N21" s="666"/>
      <c r="O21" s="666"/>
      <c r="P21" s="666"/>
      <c r="Q21" s="674">
        <v>3.9432395332875774</v>
      </c>
      <c r="R21" s="672">
        <v>0.193083326182099</v>
      </c>
      <c r="S21" s="672">
        <v>0.03360239852398524</v>
      </c>
      <c r="T21" s="672">
        <v>0.035032287822878226</v>
      </c>
      <c r="U21" s="672">
        <v>0.11784068466096116</v>
      </c>
      <c r="V21" s="673">
        <v>8372.093023255813</v>
      </c>
      <c r="W21" s="672">
        <v>0.02866666666666667</v>
      </c>
      <c r="X21" s="673">
        <v>69.33333333333333</v>
      </c>
      <c r="Y21" s="674">
        <v>132.50230627306271</v>
      </c>
      <c r="Z21" s="673">
        <v>43360</v>
      </c>
      <c r="AA21" s="673">
        <v>1457</v>
      </c>
      <c r="AB21" s="673">
        <v>240</v>
      </c>
      <c r="AC21" s="673">
        <v>1519</v>
      </c>
      <c r="AD21" s="673">
        <v>179</v>
      </c>
      <c r="AE21" s="673">
        <v>19</v>
      </c>
      <c r="AF21" s="673">
        <v>0</v>
      </c>
      <c r="AG21" s="673">
        <v>55</v>
      </c>
      <c r="AH21" s="675"/>
    </row>
    <row customHeight="true" ht="16.071428571428573" r="22">
      <c r="A22" s="684" t="s">
        <v>1370</v>
      </c>
      <c r="B22" s="676" t="s">
        <v>1356</v>
      </c>
      <c r="C22" s="676"/>
      <c r="D22" s="676">
        <f>SUM(D20:D21)</f>
      </c>
      <c r="E22" s="676">
        <f>E20+E21</f>
      </c>
      <c r="F22" s="676">
        <f>SUM(F20:F21)</f>
      </c>
      <c r="G22" s="676">
        <f>SUM(G20:G21)</f>
      </c>
      <c r="H22" s="676">
        <f>SUM(H20:H21)</f>
      </c>
      <c r="I22" s="677">
        <f t="shared" si="0"/>
      </c>
      <c r="J22" s="677">
        <f t="shared" si="1"/>
      </c>
      <c r="K22" s="677">
        <f t="shared" si="2"/>
      </c>
      <c r="L22" s="676"/>
      <c r="M22" s="678">
        <f>SUM(M20:M21)</f>
      </c>
      <c r="N22" s="676"/>
      <c r="O22" s="676"/>
      <c r="P22" s="676"/>
      <c r="Q22" s="679">
        <f>AVERAGE(Q20:Q21)</f>
      </c>
      <c r="R22" s="680">
        <f>AVERAGE(R20:R21)</f>
      </c>
      <c r="S22" s="680">
        <f>AVERAGE(S20:S21)</f>
      </c>
      <c r="T22" s="680">
        <f>AVERAGE(T20:T21)</f>
      </c>
      <c r="U22" s="680">
        <f>AVERAGE(U20:U21)</f>
      </c>
      <c r="V22" s="681">
        <f>SUM(V20:V21)</f>
      </c>
      <c r="W22" s="680">
        <f>AVERAGE(W20:W21)</f>
      </c>
      <c r="X22" s="681"/>
      <c r="Y22" s="679">
        <f>AVERAGE(Y20:Y21)</f>
      </c>
      <c r="Z22" s="681">
        <f>SUM(Z20:Z21)</f>
      </c>
      <c r="AA22" s="681">
        <f>SUM(AA20:AA21)</f>
      </c>
      <c r="AB22" s="681">
        <f>SUM(AB20:AB21)</f>
      </c>
      <c r="AC22" s="681">
        <f>SUM(AC20:AC21)</f>
      </c>
      <c r="AD22" s="681">
        <f>SUM(AD20:AD21)</f>
      </c>
      <c r="AE22" s="681">
        <f>SUM(AE20:AE21)</f>
      </c>
      <c r="AF22" s="681">
        <f>SUM(AF20:AF21)</f>
      </c>
      <c r="AG22" s="681">
        <f>SUM(AG20:AG21)</f>
      </c>
      <c r="AH22" s="675"/>
    </row>
    <row r="23">
      <c r="A23" s="666" t="s">
        <v>1372</v>
      </c>
      <c r="B23" s="666" t="s">
        <v>1350</v>
      </c>
      <c r="C23" s="666" t="s">
        <v>1365</v>
      </c>
      <c r="D23" s="666">
        <v>3</v>
      </c>
      <c r="E23" s="666">
        <v>4</v>
      </c>
      <c r="F23" s="648">
        <v>6</v>
      </c>
      <c r="G23" s="666">
        <v>14149.88</v>
      </c>
      <c r="H23" s="667">
        <v>4372.32</v>
      </c>
      <c r="I23" s="668">
        <f t="shared" si="0"/>
      </c>
      <c r="J23" s="668">
        <f t="shared" si="1"/>
      </c>
      <c r="K23" s="668">
        <f t="shared" si="2"/>
      </c>
      <c r="L23" s="666" t="s">
        <v>1373</v>
      </c>
      <c r="M23" s="670">
        <v>1.2</v>
      </c>
      <c r="N23" s="666"/>
      <c r="O23" s="666"/>
      <c r="P23" s="666"/>
      <c r="Q23" s="671">
        <v>5.031438434982738</v>
      </c>
      <c r="R23" s="672">
        <v>0.287355614066632</v>
      </c>
      <c r="S23" s="672">
        <v>0.026398128740241198</v>
      </c>
      <c r="T23" s="672">
        <v>0.028585315471308364</v>
      </c>
      <c r="U23" s="672">
        <v>0.12539851222104145</v>
      </c>
      <c r="V23" s="673">
        <v>9459.45945945946</v>
      </c>
      <c r="W23" s="672">
        <v>0.014799999999999999</v>
      </c>
      <c r="X23" s="673">
        <v>61.666666666666664</v>
      </c>
      <c r="Y23" s="674">
        <v>132.82055955527204</v>
      </c>
      <c r="Z23" s="673">
        <v>32919</v>
      </c>
      <c r="AA23" s="673">
        <v>869</v>
      </c>
      <c r="AB23" s="673">
        <v>140</v>
      </c>
      <c r="AC23" s="673">
        <v>941</v>
      </c>
      <c r="AD23" s="673">
        <v>118</v>
      </c>
      <c r="AE23" s="673">
        <v>8</v>
      </c>
      <c r="AF23" s="673">
        <v>1</v>
      </c>
      <c r="AG23" s="673">
        <v>30</v>
      </c>
      <c r="AH23" s="675"/>
    </row>
    <row r="24">
      <c r="A24" s="666" t="s">
        <v>1372</v>
      </c>
      <c r="B24" s="666" t="s">
        <v>1353</v>
      </c>
      <c r="C24" s="666" t="s">
        <v>1368</v>
      </c>
      <c r="D24" s="666">
        <v>3</v>
      </c>
      <c r="E24" s="666">
        <v>4</v>
      </c>
      <c r="F24" s="648">
        <v>7</v>
      </c>
      <c r="G24" s="666">
        <v>11042.47</v>
      </c>
      <c r="H24" s="667">
        <v>5765.92</v>
      </c>
      <c r="I24" s="668">
        <f t="shared" si="0"/>
      </c>
      <c r="J24" s="668">
        <f t="shared" si="1"/>
      </c>
      <c r="K24" s="668">
        <f t="shared" si="2"/>
      </c>
      <c r="L24" s="666" t="s">
        <v>1374</v>
      </c>
      <c r="M24" s="670">
        <v>1.2</v>
      </c>
      <c r="N24" s="666"/>
      <c r="O24" s="666"/>
      <c r="P24" s="666"/>
      <c r="Q24" s="674">
        <v>4.151130309575234</v>
      </c>
      <c r="R24" s="672">
        <v>0.2816754819429851</v>
      </c>
      <c r="S24" s="672">
        <v>0.02983567823005048</v>
      </c>
      <c r="T24" s="672">
        <v>0.03189775534314252</v>
      </c>
      <c r="U24" s="672">
        <v>0.13265993265993267</v>
      </c>
      <c r="V24" s="673">
        <v>13113.402061855671</v>
      </c>
      <c r="W24" s="672">
        <v>0.016166666666666666</v>
      </c>
      <c r="X24" s="673">
        <v>54.333333333333336</v>
      </c>
      <c r="Y24" s="674">
        <v>123.85178820749651</v>
      </c>
      <c r="Z24" s="673">
        <v>46555</v>
      </c>
      <c r="AA24" s="673">
        <v>1389</v>
      </c>
      <c r="AB24" s="673">
        <v>212</v>
      </c>
      <c r="AC24" s="673">
        <v>1485</v>
      </c>
      <c r="AD24" s="673">
        <v>197</v>
      </c>
      <c r="AE24" s="673">
        <v>10</v>
      </c>
      <c r="AF24" s="673">
        <v>5</v>
      </c>
      <c r="AG24" s="673">
        <v>49</v>
      </c>
      <c r="AH24" s="675"/>
    </row>
    <row r="25">
      <c r="A25" s="676" t="s">
        <v>1372</v>
      </c>
      <c r="B25" s="676" t="s">
        <v>1356</v>
      </c>
      <c r="C25" s="676"/>
      <c r="D25" s="676">
        <f>SUM(D23:D24)</f>
      </c>
      <c r="E25" s="676">
        <f>E23+E24</f>
      </c>
      <c r="F25" s="676">
        <f>SUM(F23:F24)</f>
      </c>
      <c r="G25" s="676">
        <f>SUM(G23:G24)</f>
      </c>
      <c r="H25" s="676">
        <f>SUM(H23:H24)</f>
      </c>
      <c r="I25" s="677">
        <f t="shared" si="0"/>
      </c>
      <c r="J25" s="677">
        <f t="shared" si="1"/>
      </c>
      <c r="K25" s="677">
        <f t="shared" si="2"/>
      </c>
      <c r="L25" s="676"/>
      <c r="M25" s="678">
        <f>SUM(M23:M24)</f>
      </c>
      <c r="N25" s="676"/>
      <c r="O25" s="676"/>
      <c r="P25" s="676"/>
      <c r="Q25" s="679">
        <f>AVERAGE(Q23:Q24)</f>
      </c>
      <c r="R25" s="680">
        <f>AVERAGE(R23:R24)</f>
      </c>
      <c r="S25" s="680">
        <f>AVERAGE(S23:S24)</f>
      </c>
      <c r="T25" s="680">
        <f>AVERAGE(T23:T24)</f>
      </c>
      <c r="U25" s="680">
        <f>AVERAGE(U23:U24)</f>
      </c>
      <c r="V25" s="681">
        <f>SUM(V23:V24)</f>
      </c>
      <c r="W25" s="680">
        <f>AVERAGE(W23:W24)</f>
      </c>
      <c r="X25" s="681"/>
      <c r="Y25" s="679">
        <f>AVERAGE(Y23:Y24)</f>
      </c>
      <c r="Z25" s="681">
        <f>SUM(Z23:Z24)</f>
      </c>
      <c r="AA25" s="681">
        <f>SUM(AA23:AA24)</f>
      </c>
      <c r="AB25" s="681">
        <f>SUM(AB23:AB24)</f>
      </c>
      <c r="AC25" s="681">
        <f>SUM(AC23:AC24)</f>
      </c>
      <c r="AD25" s="681">
        <f>SUM(AD23:AD24)</f>
      </c>
      <c r="AE25" s="681">
        <f>SUM(AE23:AE24)</f>
      </c>
      <c r="AF25" s="681">
        <f>SUM(AF23:AF24)</f>
      </c>
      <c r="AG25" s="681">
        <f>SUM(AG23:AG24)</f>
      </c>
      <c r="AH25" s="675"/>
    </row>
    <row r="26">
      <c r="A26" s="648" t="s">
        <v>1375</v>
      </c>
      <c r="B26" s="666" t="s">
        <v>1353</v>
      </c>
      <c r="C26" s="648" t="s">
        <v>1361</v>
      </c>
      <c r="D26" s="648">
        <v>4</v>
      </c>
      <c r="E26" s="648">
        <v>5</v>
      </c>
      <c r="F26" s="648">
        <v>5</v>
      </c>
      <c r="G26" s="666">
        <v>9717.16</v>
      </c>
      <c r="H26" s="667">
        <v>5100.55</v>
      </c>
      <c r="I26" s="668">
        <f t="shared" si="0"/>
      </c>
      <c r="J26" s="668">
        <f t="shared" si="1"/>
      </c>
      <c r="K26" s="668">
        <f t="shared" si="2"/>
      </c>
      <c r="L26" s="666" t="s">
        <v>1373</v>
      </c>
      <c r="M26" s="670">
        <v>1.2</v>
      </c>
      <c r="N26" s="666"/>
      <c r="O26" s="666"/>
      <c r="P26" s="666"/>
      <c r="Q26" s="671">
        <v>4.289781328847772</v>
      </c>
      <c r="R26" s="672">
        <v>0.23272796191622908</v>
      </c>
      <c r="S26" s="672">
        <v>0.02402602651147753</v>
      </c>
      <c r="T26" s="672">
        <v>0.02527885548011639</v>
      </c>
      <c r="U26" s="672">
        <v>0.08313349320543566</v>
      </c>
      <c r="V26" s="673">
        <v>11517.241379310344</v>
      </c>
      <c r="W26" s="672">
        <v>0.0145</v>
      </c>
      <c r="X26" s="673">
        <v>36.75</v>
      </c>
      <c r="Y26" s="674">
        <v>103.06639993533787</v>
      </c>
      <c r="Z26" s="673">
        <v>49488</v>
      </c>
      <c r="AA26" s="673">
        <v>1189</v>
      </c>
      <c r="AB26" s="673">
        <v>167</v>
      </c>
      <c r="AC26" s="673">
        <v>1251</v>
      </c>
      <c r="AD26" s="673">
        <v>104</v>
      </c>
      <c r="AE26" s="673">
        <v>12</v>
      </c>
      <c r="AF26" s="673">
        <v>1</v>
      </c>
      <c r="AG26" s="673">
        <v>37</v>
      </c>
      <c r="AH26" s="675"/>
    </row>
    <row r="27">
      <c r="A27" s="648" t="s">
        <v>1375</v>
      </c>
      <c r="B27" s="666" t="s">
        <v>1350</v>
      </c>
      <c r="C27" s="648" t="s">
        <v>1376</v>
      </c>
      <c r="D27" s="648">
        <v>4</v>
      </c>
      <c r="E27" s="648">
        <v>4</v>
      </c>
      <c r="F27" s="648">
        <v>7</v>
      </c>
      <c r="G27" s="666">
        <v>14760.02</v>
      </c>
      <c r="H27" s="667">
        <v>5600.6900000000005</v>
      </c>
      <c r="I27" s="668">
        <f t="shared" si="0"/>
      </c>
      <c r="J27" s="668">
        <f t="shared" si="1"/>
      </c>
      <c r="K27" s="668">
        <f t="shared" si="2"/>
      </c>
      <c r="L27" s="666" t="s">
        <v>1374</v>
      </c>
      <c r="M27" s="683">
        <v>2</v>
      </c>
      <c r="N27" s="666"/>
      <c r="O27" s="666"/>
      <c r="P27" s="666"/>
      <c r="Q27" s="674">
        <v>3.9552895480225994</v>
      </c>
      <c r="R27" s="672">
        <v>0.21717327381109203</v>
      </c>
      <c r="S27" s="672">
        <v>0.03038757028198635</v>
      </c>
      <c r="T27" s="672">
        <v>0.03279110691445985</v>
      </c>
      <c r="U27" s="672">
        <v>0.1243455497382199</v>
      </c>
      <c r="V27" s="673">
        <v>10119.840213049267</v>
      </c>
      <c r="W27" s="672">
        <v>0.018775</v>
      </c>
      <c r="X27" s="673">
        <v>41</v>
      </c>
      <c r="Y27" s="674">
        <v>120.19163912614276</v>
      </c>
      <c r="Z27" s="673">
        <v>46598</v>
      </c>
      <c r="AA27" s="673">
        <v>1416</v>
      </c>
      <c r="AB27" s="673">
        <v>190</v>
      </c>
      <c r="AC27" s="673">
        <v>1528</v>
      </c>
      <c r="AD27" s="673">
        <v>190</v>
      </c>
      <c r="AE27" s="673">
        <v>14</v>
      </c>
      <c r="AF27" s="673">
        <v>2</v>
      </c>
      <c r="AG27" s="673">
        <v>49</v>
      </c>
      <c r="AH27" s="675"/>
    </row>
    <row r="28">
      <c r="A28" s="684" t="s">
        <v>1375</v>
      </c>
      <c r="B28" s="676" t="s">
        <v>1356</v>
      </c>
      <c r="C28" s="676"/>
      <c r="D28" s="676">
        <f>SUM(D26:D27)</f>
      </c>
      <c r="E28" s="676">
        <f>E26+E27</f>
      </c>
      <c r="F28" s="676">
        <f>SUM(F26:F27)</f>
      </c>
      <c r="G28" s="676">
        <f>SUM(G26:G27)</f>
      </c>
      <c r="H28" s="676">
        <f>SUM(H26:H27)</f>
      </c>
      <c r="I28" s="677">
        <f t="shared" si="0"/>
      </c>
      <c r="J28" s="677">
        <f t="shared" si="1"/>
      </c>
      <c r="K28" s="677">
        <f t="shared" si="2"/>
      </c>
      <c r="L28" s="676"/>
      <c r="M28" s="678">
        <f>SUM(M26:M27)</f>
      </c>
      <c r="N28" s="676"/>
      <c r="O28" s="676"/>
      <c r="P28" s="676"/>
      <c r="Q28" s="679">
        <f>AVERAGE(Q26:Q27)</f>
      </c>
      <c r="R28" s="680">
        <f>AVERAGE(R26:R27)</f>
      </c>
      <c r="S28" s="680">
        <f>AVERAGE(S26:S27)</f>
      </c>
      <c r="T28" s="680">
        <f>AVERAGE(T26:T27)</f>
      </c>
      <c r="U28" s="680">
        <f>AVERAGE(U26:U27)</f>
      </c>
      <c r="V28" s="681">
        <f>SUM(V26:V27)</f>
      </c>
      <c r="W28" s="680">
        <f>AVERAGE(W26:W27)</f>
      </c>
      <c r="X28" s="681"/>
      <c r="Y28" s="679">
        <f>AVERAGE(Y26:Y27)</f>
      </c>
      <c r="Z28" s="681">
        <f>SUM(Z26:Z27)</f>
      </c>
      <c r="AA28" s="681">
        <f>SUM(AA26:AA27)</f>
      </c>
      <c r="AB28" s="681">
        <f>SUM(AB26:AB27)</f>
      </c>
      <c r="AC28" s="681">
        <f>SUM(AC26:AC27)</f>
      </c>
      <c r="AD28" s="681">
        <f>SUM(AD26:AD27)</f>
      </c>
      <c r="AE28" s="681">
        <f>SUM(AE26:AE27)</f>
      </c>
      <c r="AF28" s="681">
        <f>SUM(AF26:AF27)</f>
      </c>
      <c r="AG28" s="681">
        <f>SUM(AG26:AG27)</f>
      </c>
      <c r="AH28" s="675"/>
    </row>
    <row r="29">
      <c r="A29" s="648" t="s">
        <v>1377</v>
      </c>
      <c r="B29" s="666" t="s">
        <v>1353</v>
      </c>
      <c r="C29" s="648" t="s">
        <v>1361</v>
      </c>
      <c r="D29" s="648">
        <v>4</v>
      </c>
      <c r="E29" s="648">
        <v>7</v>
      </c>
      <c r="F29" s="648">
        <v>9</v>
      </c>
      <c r="G29" s="666">
        <v>15752.2</v>
      </c>
      <c r="H29" s="667">
        <v>6470</v>
      </c>
      <c r="I29" s="668">
        <f t="shared" si="0"/>
      </c>
      <c r="J29" s="668">
        <f t="shared" si="1"/>
      </c>
      <c r="K29" s="668">
        <f t="shared" si="2"/>
      </c>
      <c r="L29" s="648" t="s">
        <v>1378</v>
      </c>
      <c r="M29" s="683">
        <v>2.8</v>
      </c>
      <c r="N29" s="666"/>
      <c r="O29" s="666"/>
      <c r="P29" s="666"/>
      <c r="Q29" s="671">
        <v>4.598436389481166</v>
      </c>
      <c r="R29" s="672">
        <v>0.27199933108312657</v>
      </c>
      <c r="S29" s="672">
        <v>0.022914936238823472</v>
      </c>
      <c r="T29" s="672">
        <v>0.02452728782918845</v>
      </c>
      <c r="U29" s="672">
        <v>0.09760956175298804</v>
      </c>
      <c r="V29" s="673">
        <v>16701.030927835054</v>
      </c>
      <c r="W29" s="672">
        <v>0.014549999999999999</v>
      </c>
      <c r="X29" s="673">
        <v>41</v>
      </c>
      <c r="Y29" s="674">
        <v>105.37287666324653</v>
      </c>
      <c r="Z29" s="673">
        <v>61401</v>
      </c>
      <c r="AA29" s="673">
        <v>1407</v>
      </c>
      <c r="AB29" s="673">
        <v>243</v>
      </c>
      <c r="AC29" s="673">
        <v>1506</v>
      </c>
      <c r="AD29" s="673">
        <v>147</v>
      </c>
      <c r="AE29" s="673">
        <v>16</v>
      </c>
      <c r="AF29" s="673">
        <v>1</v>
      </c>
      <c r="AG29" s="673">
        <v>67</v>
      </c>
      <c r="AH29" s="675"/>
    </row>
    <row r="30">
      <c r="A30" s="648" t="s">
        <v>1377</v>
      </c>
      <c r="B30" s="666" t="s">
        <v>1350</v>
      </c>
      <c r="C30" s="648" t="s">
        <v>1376</v>
      </c>
      <c r="D30" s="648">
        <v>4</v>
      </c>
      <c r="E30" s="648">
        <v>11</v>
      </c>
      <c r="F30" s="648">
        <v>12</v>
      </c>
      <c r="G30" s="666">
        <v>23351.66</v>
      </c>
      <c r="H30" s="667">
        <v>8529.369999999999</v>
      </c>
      <c r="I30" s="668">
        <f t="shared" si="0"/>
      </c>
      <c r="J30" s="668">
        <f t="shared" si="1"/>
      </c>
      <c r="K30" s="668">
        <f t="shared" si="2"/>
      </c>
      <c r="L30" s="666" t="s">
        <v>1374</v>
      </c>
      <c r="M30" s="683">
        <v>0.4</v>
      </c>
      <c r="N30" s="666"/>
      <c r="O30" s="666"/>
      <c r="P30" s="666"/>
      <c r="Q30" s="674">
        <v>4.0423554502369665</v>
      </c>
      <c r="R30" s="672">
        <v>0.08354044164041445</v>
      </c>
      <c r="S30" s="672">
        <v>0.0273170984321798</v>
      </c>
      <c r="T30" s="672">
        <v>0.028689426599862768</v>
      </c>
      <c r="U30" s="672">
        <v>0.0983754512635379</v>
      </c>
      <c r="V30" s="673">
        <v>6452.747252747253</v>
      </c>
      <c r="W30" s="672">
        <v>0.056875</v>
      </c>
      <c r="X30" s="673">
        <v>51.75</v>
      </c>
      <c r="Y30" s="674">
        <v>110.4254217319817</v>
      </c>
      <c r="Z30" s="673">
        <v>77241</v>
      </c>
      <c r="AA30" s="673">
        <v>2110</v>
      </c>
      <c r="AB30" s="673">
        <v>367</v>
      </c>
      <c r="AC30" s="673">
        <v>2216</v>
      </c>
      <c r="AD30" s="673">
        <v>218</v>
      </c>
      <c r="AE30" s="673">
        <v>26</v>
      </c>
      <c r="AF30" s="673">
        <v>7</v>
      </c>
      <c r="AG30" s="673">
        <v>96</v>
      </c>
      <c r="AH30" s="675"/>
    </row>
    <row r="31">
      <c r="A31" s="684" t="s">
        <v>1377</v>
      </c>
      <c r="B31" s="676" t="s">
        <v>1356</v>
      </c>
      <c r="C31" s="676"/>
      <c r="D31" s="676">
        <f>SUM(D29:D30)</f>
      </c>
      <c r="E31" s="676">
        <f>E29+E30</f>
      </c>
      <c r="F31" s="676">
        <f>SUM(F29:F30)</f>
      </c>
      <c r="G31" s="676">
        <f>SUM(G29:G30)</f>
      </c>
      <c r="H31" s="676">
        <f>SUM(H29:H30)</f>
      </c>
      <c r="I31" s="677">
        <f t="shared" si="0"/>
      </c>
      <c r="J31" s="677">
        <f t="shared" si="1"/>
      </c>
      <c r="K31" s="677">
        <f t="shared" si="2"/>
      </c>
      <c r="L31" s="676"/>
      <c r="M31" s="678">
        <f>SUM(M29:M30)</f>
      </c>
      <c r="N31" s="676"/>
      <c r="O31" s="676"/>
      <c r="P31" s="676"/>
      <c r="Q31" s="679">
        <f>AVERAGE(Q29:Q30)</f>
      </c>
      <c r="R31" s="680">
        <f>AVERAGE(R29:R30)</f>
      </c>
      <c r="S31" s="680">
        <f>AVERAGE(S29:S30)</f>
      </c>
      <c r="T31" s="680">
        <f>AVERAGE(T29:T30)</f>
      </c>
      <c r="U31" s="680">
        <f>AVERAGE(U29:U30)</f>
      </c>
      <c r="V31" s="681">
        <f>SUM(V29:V30)</f>
      </c>
      <c r="W31" s="680">
        <f>AVERAGE(W29:W30)</f>
      </c>
      <c r="X31" s="681"/>
      <c r="Y31" s="679">
        <f>AVERAGE(Y29:Y30)</f>
      </c>
      <c r="Z31" s="681">
        <f>SUM(Z29:Z30)</f>
      </c>
      <c r="AA31" s="681">
        <f>SUM(AA29:AA30)</f>
      </c>
      <c r="AB31" s="681">
        <f>SUM(AB29:AB30)</f>
      </c>
      <c r="AC31" s="681">
        <f>SUM(AC29:AC30)</f>
      </c>
      <c r="AD31" s="681">
        <f>SUM(AD29:AD30)</f>
      </c>
      <c r="AE31" s="681">
        <f>SUM(AE29:AE30)</f>
      </c>
      <c r="AF31" s="681">
        <f>SUM(AF29:AF30)</f>
      </c>
      <c r="AG31" s="681">
        <f>SUM(AG29:AG30)</f>
      </c>
      <c r="AH31" s="675"/>
    </row>
    <row r="32">
      <c r="A32" s="648" t="s">
        <v>1379</v>
      </c>
      <c r="B32" s="666" t="s">
        <v>1350</v>
      </c>
      <c r="C32" s="648" t="s">
        <v>1380</v>
      </c>
      <c r="D32" s="648">
        <v>4</v>
      </c>
      <c r="E32" s="648">
        <v>4</v>
      </c>
      <c r="F32" s="648">
        <v>6</v>
      </c>
      <c r="G32" s="666">
        <v>10831.17</v>
      </c>
      <c r="H32" s="667">
        <v>5992.49</v>
      </c>
      <c r="I32" s="668">
        <f t="shared" si="0"/>
      </c>
      <c r="J32" s="668">
        <f t="shared" si="1"/>
      </c>
      <c r="K32" s="668">
        <f t="shared" si="2"/>
      </c>
      <c r="L32" s="648" t="s">
        <v>1381</v>
      </c>
      <c r="M32" s="683">
        <v>1</v>
      </c>
      <c r="N32" s="666"/>
      <c r="O32" s="666"/>
      <c r="P32" s="666"/>
      <c r="Q32" s="671">
        <v>4.090436860068259</v>
      </c>
      <c r="R32" s="672">
        <v>0.1530153772803398</v>
      </c>
      <c r="S32" s="672">
        <v>0.027625351209669816</v>
      </c>
      <c r="T32" s="672">
        <v>0.02911504591653938</v>
      </c>
      <c r="U32" s="672">
        <v>0.08419689119170984</v>
      </c>
      <c r="V32" s="673">
        <v>8114.558472553699</v>
      </c>
      <c r="W32" s="672">
        <v>0.031425</v>
      </c>
      <c r="X32" s="673">
        <v>59.75</v>
      </c>
      <c r="Y32" s="674">
        <v>112.99975486036469</v>
      </c>
      <c r="Z32" s="673">
        <v>53031</v>
      </c>
      <c r="AA32" s="673">
        <v>1465</v>
      </c>
      <c r="AB32" s="673">
        <v>255</v>
      </c>
      <c r="AC32" s="673">
        <v>1544</v>
      </c>
      <c r="AD32" s="673">
        <v>130</v>
      </c>
      <c r="AE32" s="673">
        <v>17</v>
      </c>
      <c r="AF32" s="673">
        <v>2</v>
      </c>
      <c r="AG32" s="673">
        <v>63</v>
      </c>
      <c r="AH32" s="675"/>
    </row>
    <row r="33">
      <c r="A33" s="648" t="s">
        <v>1379</v>
      </c>
      <c r="B33" s="666" t="s">
        <v>1353</v>
      </c>
      <c r="C33" s="648" t="s">
        <v>1382</v>
      </c>
      <c r="D33" s="648">
        <v>4</v>
      </c>
      <c r="E33" s="648">
        <v>5</v>
      </c>
      <c r="F33" s="648">
        <v>6</v>
      </c>
      <c r="G33" s="666">
        <v>9604.2</v>
      </c>
      <c r="H33" s="667">
        <v>4849.63</v>
      </c>
      <c r="I33" s="668">
        <f t="shared" si="0"/>
      </c>
      <c r="J33" s="668">
        <f t="shared" si="1"/>
      </c>
      <c r="K33" s="668">
        <f t="shared" si="2"/>
      </c>
      <c r="L33" s="648" t="s">
        <v>1352</v>
      </c>
      <c r="M33" s="683">
        <v>2.8</v>
      </c>
      <c r="N33" s="666"/>
      <c r="O33" s="666"/>
      <c r="P33" s="666"/>
      <c r="Q33" s="674">
        <v>3.4839295977011493</v>
      </c>
      <c r="R33" s="672">
        <v>0.15368471639794157</v>
      </c>
      <c r="S33" s="672">
        <v>0.03204346124628807</v>
      </c>
      <c r="T33" s="672">
        <v>0.03344766464860385</v>
      </c>
      <c r="U33" s="672">
        <v>0.11768754301445286</v>
      </c>
      <c r="V33" s="673">
        <v>6676.217765042979</v>
      </c>
      <c r="W33" s="672">
        <v>0.0349</v>
      </c>
      <c r="X33" s="673">
        <v>66.75</v>
      </c>
      <c r="Y33" s="674">
        <v>111.63716304873276</v>
      </c>
      <c r="Z33" s="673">
        <v>43441</v>
      </c>
      <c r="AA33" s="673">
        <v>1392</v>
      </c>
      <c r="AB33" s="673">
        <v>233</v>
      </c>
      <c r="AC33" s="673">
        <v>1453</v>
      </c>
      <c r="AD33" s="673">
        <v>171</v>
      </c>
      <c r="AE33" s="673">
        <v>15</v>
      </c>
      <c r="AF33" s="673">
        <v>3</v>
      </c>
      <c r="AG33" s="673">
        <v>45</v>
      </c>
      <c r="AH33" s="675"/>
    </row>
    <row r="34">
      <c r="A34" s="684" t="s">
        <v>1379</v>
      </c>
      <c r="B34" s="676" t="s">
        <v>1356</v>
      </c>
      <c r="C34" s="676"/>
      <c r="D34" s="676">
        <f>SUM(D32:D33)</f>
      </c>
      <c r="E34" s="676">
        <f>E32+E33</f>
      </c>
      <c r="F34" s="676">
        <f>SUM(F32:F33)</f>
      </c>
      <c r="G34" s="676">
        <f>SUM(G32:G33)</f>
      </c>
      <c r="H34" s="676">
        <f>SUM(H32:H33)</f>
      </c>
      <c r="I34" s="677">
        <f t="shared" si="0"/>
      </c>
      <c r="J34" s="677">
        <f t="shared" si="1"/>
      </c>
      <c r="K34" s="677">
        <f t="shared" si="2"/>
      </c>
      <c r="L34" s="676"/>
      <c r="M34" s="678">
        <f>SUM(M32:M33)</f>
      </c>
      <c r="N34" s="676"/>
      <c r="O34" s="676"/>
      <c r="P34" s="676"/>
      <c r="Q34" s="679">
        <f>AVERAGE(Q32:Q33)</f>
      </c>
      <c r="R34" s="680">
        <f>AVERAGE(R32:R33)</f>
      </c>
      <c r="S34" s="680">
        <f>AVERAGE(S32:S33)</f>
      </c>
      <c r="T34" s="680">
        <f>AVERAGE(T32:T33)</f>
      </c>
      <c r="U34" s="680">
        <f>AVERAGE(U32:U33)</f>
      </c>
      <c r="V34" s="681">
        <f>SUM(V32:V33)</f>
      </c>
      <c r="W34" s="680">
        <f>AVERAGE(W32:W33)</f>
      </c>
      <c r="X34" s="681"/>
      <c r="Y34" s="679">
        <f>AVERAGE(Y32:Y33)</f>
      </c>
      <c r="Z34" s="681">
        <f>SUM(Z32:Z33)</f>
      </c>
      <c r="AA34" s="681">
        <f>SUM(AA32:AA33)</f>
      </c>
      <c r="AB34" s="681">
        <f>SUM(AB32:AB33)</f>
      </c>
      <c r="AC34" s="681">
        <f>SUM(AC32:AC33)</f>
      </c>
      <c r="AD34" s="681">
        <f>SUM(AD32:AD33)</f>
      </c>
      <c r="AE34" s="681">
        <f>SUM(AE32:AE33)</f>
      </c>
      <c r="AF34" s="681">
        <f>SUM(AF32:AF33)</f>
      </c>
      <c r="AG34" s="681">
        <f>SUM(AG32:AG33)</f>
      </c>
      <c r="AH34" s="675"/>
    </row>
    <row r="35">
      <c r="A35" s="648" t="s">
        <v>1383</v>
      </c>
      <c r="B35" s="666" t="s">
        <v>1350</v>
      </c>
      <c r="C35" s="648" t="s">
        <v>1380</v>
      </c>
      <c r="D35" s="648">
        <v>4</v>
      </c>
      <c r="E35" s="648">
        <v>10</v>
      </c>
      <c r="F35" s="648">
        <v>11</v>
      </c>
      <c r="G35" s="666">
        <v>24743.07</v>
      </c>
      <c r="H35" s="667">
        <v>6976.79</v>
      </c>
      <c r="I35" s="668">
        <f t="shared" si="0"/>
      </c>
      <c r="J35" s="668">
        <f t="shared" si="1"/>
      </c>
      <c r="K35" s="668">
        <f t="shared" si="2"/>
      </c>
      <c r="L35" s="648"/>
      <c r="M35" s="683"/>
      <c r="N35" s="666"/>
      <c r="O35" s="666"/>
      <c r="P35" s="666"/>
      <c r="Q35" s="671">
        <v>4.617332892124421</v>
      </c>
      <c r="R35" s="672">
        <v>0.24117537168617526</v>
      </c>
      <c r="S35" s="672">
        <v>0.025532705858497103</v>
      </c>
      <c r="T35" s="672">
        <v>0.026614170567262035</v>
      </c>
      <c r="U35" s="672">
        <v>0.12126984126984126</v>
      </c>
      <c r="V35" s="673">
        <v>14272.517321016165</v>
      </c>
      <c r="W35" s="672">
        <v>0.021650000000000003</v>
      </c>
      <c r="X35" s="673">
        <v>67</v>
      </c>
      <c r="Y35" s="674">
        <v>117.89300258537656</v>
      </c>
      <c r="Z35" s="673">
        <v>59179</v>
      </c>
      <c r="AA35" s="673">
        <v>1511</v>
      </c>
      <c r="AB35" s="673">
        <v>309</v>
      </c>
      <c r="AC35" s="673">
        <v>1575</v>
      </c>
      <c r="AD35" s="673">
        <v>191</v>
      </c>
      <c r="AE35" s="673">
        <v>17</v>
      </c>
      <c r="AF35" s="673">
        <v>2</v>
      </c>
      <c r="AG35" s="673">
        <v>59</v>
      </c>
      <c r="AH35" s="675"/>
    </row>
    <row r="36">
      <c r="A36" s="648" t="s">
        <v>1383</v>
      </c>
      <c r="B36" s="666" t="s">
        <v>1353</v>
      </c>
      <c r="C36" s="648" t="s">
        <v>1382</v>
      </c>
      <c r="D36" s="648">
        <v>4</v>
      </c>
      <c r="E36" s="648">
        <v>6</v>
      </c>
      <c r="F36" s="648">
        <v>7</v>
      </c>
      <c r="G36" s="666">
        <v>14496.16</v>
      </c>
      <c r="H36" s="667">
        <v>4992.87</v>
      </c>
      <c r="I36" s="668">
        <f t="shared" si="0"/>
      </c>
      <c r="J36" s="668">
        <f t="shared" si="1"/>
      </c>
      <c r="K36" s="668">
        <f t="shared" si="2"/>
      </c>
      <c r="L36" s="648" t="s">
        <v>1352</v>
      </c>
      <c r="M36" s="683">
        <v>3.2</v>
      </c>
      <c r="N36" s="666"/>
      <c r="O36" s="666"/>
      <c r="P36" s="666"/>
      <c r="Q36" s="674">
        <v>5.283460317460317</v>
      </c>
      <c r="R36" s="672">
        <v>0.037055051156771955</v>
      </c>
      <c r="S36" s="672">
        <v>0.0192116123523552</v>
      </c>
      <c r="T36" s="672">
        <v>0.0199638130476326</v>
      </c>
      <c r="U36" s="672">
        <v>0.10081466395112017</v>
      </c>
      <c r="V36" s="673">
        <v>1822.7009113504557</v>
      </c>
      <c r="W36" s="672">
        <v>0.1207</v>
      </c>
      <c r="X36" s="673">
        <v>70</v>
      </c>
      <c r="Y36" s="674">
        <v>101.50379149809918</v>
      </c>
      <c r="Z36" s="673">
        <v>49189</v>
      </c>
      <c r="AA36" s="673">
        <v>945</v>
      </c>
      <c r="AB36" s="673">
        <v>220</v>
      </c>
      <c r="AC36" s="673">
        <v>982</v>
      </c>
      <c r="AD36" s="673">
        <v>99</v>
      </c>
      <c r="AE36" s="673">
        <v>10</v>
      </c>
      <c r="AF36" s="673">
        <v>5</v>
      </c>
      <c r="AG36" s="673">
        <v>70</v>
      </c>
      <c r="AH36" s="675"/>
    </row>
    <row r="37">
      <c r="A37" s="684" t="s">
        <v>1383</v>
      </c>
      <c r="B37" s="676" t="s">
        <v>1356</v>
      </c>
      <c r="C37" s="676"/>
      <c r="D37" s="676">
        <f>SUM(D35:D36)</f>
      </c>
      <c r="E37" s="676">
        <f>E35+E36</f>
      </c>
      <c r="F37" s="676">
        <f>SUM(F35:F36)</f>
      </c>
      <c r="G37" s="676">
        <f>SUM(G35:G36)</f>
      </c>
      <c r="H37" s="676">
        <f>SUM(H35:H36)</f>
      </c>
      <c r="I37" s="677">
        <f t="shared" si="0"/>
      </c>
      <c r="J37" s="677">
        <f t="shared" si="1"/>
      </c>
      <c r="K37" s="677">
        <f t="shared" si="2"/>
      </c>
      <c r="L37" s="676"/>
      <c r="M37" s="678">
        <f>SUM(M35:M36)</f>
      </c>
      <c r="N37" s="676"/>
      <c r="O37" s="676"/>
      <c r="P37" s="676"/>
      <c r="Q37" s="679">
        <f>AVERAGE(Q35:Q36)</f>
      </c>
      <c r="R37" s="680">
        <f>AVERAGE(R35:R36)</f>
      </c>
      <c r="S37" s="680">
        <f>AVERAGE(S35:S36)</f>
      </c>
      <c r="T37" s="680">
        <f>AVERAGE(T35:T36)</f>
      </c>
      <c r="U37" s="680">
        <f>AVERAGE(U35:U36)</f>
      </c>
      <c r="V37" s="681">
        <f>SUM(V35:V36)</f>
      </c>
      <c r="W37" s="680">
        <f>AVERAGE(W35:W36)</f>
      </c>
      <c r="X37" s="681"/>
      <c r="Y37" s="679">
        <f>AVERAGE(Y35:Y36)</f>
      </c>
      <c r="Z37" s="681">
        <f>SUM(Z35:Z36)</f>
      </c>
      <c r="AA37" s="681">
        <f>SUM(AA35:AA36)</f>
      </c>
      <c r="AB37" s="681">
        <f>SUM(AB35:AB36)</f>
      </c>
      <c r="AC37" s="681">
        <f>SUM(AC35:AC36)</f>
      </c>
      <c r="AD37" s="681">
        <f>SUM(AD35:AD36)</f>
      </c>
      <c r="AE37" s="681">
        <f>SUM(AE35:AE36)</f>
      </c>
      <c r="AF37" s="681">
        <f>SUM(AF35:AF36)</f>
      </c>
      <c r="AG37" s="681">
        <f>SUM(AG35:AG36)</f>
      </c>
      <c r="AH37" s="675"/>
    </row>
    <row r="38">
      <c r="A38" s="648" t="s">
        <v>1384</v>
      </c>
      <c r="B38" s="666" t="s">
        <v>1353</v>
      </c>
      <c r="C38" s="648" t="s">
        <v>1361</v>
      </c>
      <c r="D38" s="648">
        <v>4</v>
      </c>
      <c r="E38" s="648">
        <v>6</v>
      </c>
      <c r="F38" s="648">
        <v>7</v>
      </c>
      <c r="G38" s="666">
        <v>13648.65</v>
      </c>
      <c r="H38" s="667">
        <v>6273.08</v>
      </c>
      <c r="I38" s="668">
        <f t="shared" si="0"/>
      </c>
      <c r="J38" s="668">
        <f t="shared" si="1"/>
      </c>
      <c r="K38" s="668">
        <f t="shared" si="2"/>
      </c>
      <c r="L38" s="648"/>
      <c r="M38" s="683"/>
      <c r="N38" s="666"/>
      <c r="O38" s="666"/>
      <c r="P38" s="666"/>
      <c r="Q38" s="671">
        <v>3.3671926999463233</v>
      </c>
      <c r="R38" s="672">
        <v>0.2605884491044796</v>
      </c>
      <c r="S38" s="672">
        <v>0.02409467149508536</v>
      </c>
      <c r="T38" s="672">
        <v>0.025142265907915157</v>
      </c>
      <c r="U38" s="672">
        <v>0.07407407407407407</v>
      </c>
      <c r="V38" s="673">
        <v>20148.698884758363</v>
      </c>
      <c r="W38" s="672">
        <v>0.01345</v>
      </c>
      <c r="X38" s="673">
        <v>41.75</v>
      </c>
      <c r="Y38" s="674">
        <v>81.13140196585618</v>
      </c>
      <c r="Z38" s="673">
        <v>77320</v>
      </c>
      <c r="AA38" s="673">
        <v>1863</v>
      </c>
      <c r="AB38" s="673">
        <v>271</v>
      </c>
      <c r="AC38" s="673">
        <v>1944</v>
      </c>
      <c r="AD38" s="673">
        <v>144</v>
      </c>
      <c r="AE38" s="673">
        <v>13</v>
      </c>
      <c r="AF38" s="673">
        <v>3</v>
      </c>
      <c r="AG38" s="673">
        <v>94</v>
      </c>
      <c r="AH38" s="675"/>
    </row>
    <row r="39">
      <c r="A39" s="648" t="s">
        <v>1384</v>
      </c>
      <c r="B39" s="666" t="s">
        <v>1350</v>
      </c>
      <c r="C39" s="648" t="s">
        <v>1376</v>
      </c>
      <c r="D39" s="648">
        <v>4</v>
      </c>
      <c r="E39" s="648">
        <v>8</v>
      </c>
      <c r="F39" s="648">
        <v>10</v>
      </c>
      <c r="G39" s="666">
        <v>21902.63</v>
      </c>
      <c r="H39" s="667">
        <v>5992.99</v>
      </c>
      <c r="I39" s="668">
        <f t="shared" si="0"/>
      </c>
      <c r="J39" s="668">
        <f t="shared" si="1"/>
      </c>
      <c r="K39" s="668">
        <f t="shared" si="2"/>
      </c>
      <c r="L39" s="648" t="s">
        <v>1385</v>
      </c>
      <c r="M39" s="683">
        <v>3.2</v>
      </c>
      <c r="N39" s="666"/>
      <c r="O39" s="666"/>
      <c r="P39" s="666"/>
      <c r="Q39" s="674">
        <v>3.026762626262626</v>
      </c>
      <c r="R39" s="672">
        <v>0.2471949970809707</v>
      </c>
      <c r="S39" s="672">
        <v>0.02888950493893809</v>
      </c>
      <c r="T39" s="672">
        <v>0.030523658753665903</v>
      </c>
      <c r="U39" s="672">
        <v>0.10994263862332695</v>
      </c>
      <c r="V39" s="673">
        <v>16942.00351493849</v>
      </c>
      <c r="W39" s="672">
        <v>0.014224999999999998</v>
      </c>
      <c r="X39" s="673">
        <v>42</v>
      </c>
      <c r="Y39" s="674">
        <v>87.44167384040736</v>
      </c>
      <c r="Z39" s="673">
        <v>68537</v>
      </c>
      <c r="AA39" s="673">
        <v>1980</v>
      </c>
      <c r="AB39" s="673">
        <v>241</v>
      </c>
      <c r="AC39" s="673">
        <v>2092</v>
      </c>
      <c r="AD39" s="673">
        <v>230</v>
      </c>
      <c r="AE39" s="673">
        <v>20</v>
      </c>
      <c r="AF39" s="673">
        <v>3</v>
      </c>
      <c r="AG39" s="673">
        <v>68</v>
      </c>
      <c r="AH39" s="675"/>
    </row>
    <row r="40">
      <c r="A40" s="684" t="s">
        <v>1384</v>
      </c>
      <c r="B40" s="676" t="s">
        <v>1356</v>
      </c>
      <c r="C40" s="676"/>
      <c r="D40" s="676">
        <f>SUM(D38:D39)</f>
      </c>
      <c r="E40" s="676">
        <f>E38+E39</f>
      </c>
      <c r="F40" s="676">
        <f>SUM(F38:F39)</f>
      </c>
      <c r="G40" s="676">
        <f>SUM(G38:G39)</f>
      </c>
      <c r="H40" s="676">
        <f>SUM(H38:H39)</f>
      </c>
      <c r="I40" s="677">
        <f t="shared" si="0"/>
      </c>
      <c r="J40" s="677">
        <f t="shared" si="1"/>
      </c>
      <c r="K40" s="677">
        <f t="shared" si="2"/>
      </c>
      <c r="L40" s="676"/>
      <c r="M40" s="678">
        <f>SUM(M38:M39)</f>
      </c>
      <c r="N40" s="676"/>
      <c r="O40" s="676"/>
      <c r="P40" s="676"/>
      <c r="Q40" s="679">
        <f>AVERAGE(Q38:Q39)</f>
      </c>
      <c r="R40" s="680">
        <f>AVERAGE(R38:R39)</f>
      </c>
      <c r="S40" s="680">
        <f>AVERAGE(S38:S39)</f>
      </c>
      <c r="T40" s="680">
        <f>AVERAGE(T38:T39)</f>
      </c>
      <c r="U40" s="680">
        <f>AVERAGE(U38:U39)</f>
      </c>
      <c r="V40" s="681">
        <f>SUM(V38:V39)</f>
      </c>
      <c r="W40" s="680">
        <f>AVERAGE(W38:W39)</f>
      </c>
      <c r="X40" s="681"/>
      <c r="Y40" s="679">
        <f>AVERAGE(Y38:Y39)</f>
      </c>
      <c r="Z40" s="681">
        <f>SUM(Z38:Z39)</f>
      </c>
      <c r="AA40" s="681">
        <f>SUM(AA38:AA39)</f>
      </c>
      <c r="AB40" s="681">
        <f>SUM(AB38:AB39)</f>
      </c>
      <c r="AC40" s="681">
        <f>SUM(AC38:AC39)</f>
      </c>
      <c r="AD40" s="681">
        <f>SUM(AD38:AD39)</f>
      </c>
      <c r="AE40" s="681">
        <f>SUM(AE38:AE39)</f>
      </c>
      <c r="AF40" s="681">
        <f>SUM(AF38:AF39)</f>
      </c>
      <c r="AG40" s="681">
        <f>SUM(AG38:AG39)</f>
      </c>
      <c r="AH40" s="675"/>
    </row>
    <row r="41">
      <c r="A41" s="648" t="s">
        <v>1386</v>
      </c>
      <c r="B41" s="666" t="s">
        <v>1350</v>
      </c>
      <c r="C41" s="648" t="s">
        <v>1361</v>
      </c>
      <c r="D41" s="648">
        <v>4</v>
      </c>
      <c r="E41" s="648">
        <v>16</v>
      </c>
      <c r="F41" s="648">
        <v>16</v>
      </c>
      <c r="G41" s="666">
        <v>34770.92</v>
      </c>
      <c r="H41" s="667">
        <v>6638.63</v>
      </c>
      <c r="I41" s="668">
        <f t="shared" si="0"/>
      </c>
      <c r="J41" s="668">
        <f t="shared" si="1"/>
      </c>
      <c r="K41" s="668">
        <f t="shared" si="2"/>
      </c>
      <c r="L41" s="648"/>
      <c r="M41" s="683"/>
      <c r="N41" s="666"/>
      <c r="O41" s="666"/>
      <c r="P41" s="666"/>
      <c r="Q41" s="671">
        <v>2.9531272241992883</v>
      </c>
      <c r="R41" s="672">
        <v>0.25660455054567416</v>
      </c>
      <c r="S41" s="672">
        <v>0.02386361223753211</v>
      </c>
      <c r="T41" s="672">
        <v>0.022037748667756523</v>
      </c>
      <c r="U41" s="672">
        <v>0.11753371868978806</v>
      </c>
      <c r="V41" s="673">
        <v>24172.661870503598</v>
      </c>
      <c r="W41" s="672">
        <v>0.010425</v>
      </c>
      <c r="X41" s="673">
        <v>58.5</v>
      </c>
      <c r="Y41" s="674">
        <v>70.47228296639136</v>
      </c>
      <c r="Z41" s="673">
        <v>94202</v>
      </c>
      <c r="AA41" s="673">
        <v>2248</v>
      </c>
      <c r="AB41" s="673">
        <v>252</v>
      </c>
      <c r="AC41" s="673">
        <v>2076</v>
      </c>
      <c r="AD41" s="673">
        <v>244</v>
      </c>
      <c r="AE41" s="673">
        <v>19</v>
      </c>
      <c r="AF41" s="673">
        <v>3</v>
      </c>
      <c r="AG41" s="673">
        <v>113</v>
      </c>
      <c r="AH41" s="675"/>
    </row>
    <row r="42">
      <c r="A42" s="648" t="s">
        <v>1386</v>
      </c>
      <c r="B42" s="666" t="s">
        <v>1353</v>
      </c>
      <c r="C42" s="648" t="s">
        <v>1387</v>
      </c>
      <c r="D42" s="648">
        <v>5</v>
      </c>
      <c r="E42" s="648">
        <v>16</v>
      </c>
      <c r="F42" s="648">
        <v>21</v>
      </c>
      <c r="G42" s="666">
        <v>40787.55</v>
      </c>
      <c r="H42" s="667">
        <v>10144.55</v>
      </c>
      <c r="I42" s="668">
        <f t="shared" si="0"/>
      </c>
      <c r="J42" s="668">
        <f t="shared" si="1"/>
      </c>
      <c r="K42" s="668">
        <f t="shared" si="2"/>
      </c>
      <c r="L42" s="648" t="s">
        <v>1352</v>
      </c>
      <c r="M42" s="683">
        <v>3.6</v>
      </c>
      <c r="N42" s="666"/>
      <c r="O42" s="666"/>
      <c r="P42" s="666"/>
      <c r="Q42" s="674">
        <v>2.6186241610738255</v>
      </c>
      <c r="R42" s="672">
        <v>0.25212808135416204</v>
      </c>
      <c r="S42" s="672">
        <v>0.02722761839164476</v>
      </c>
      <c r="T42" s="672">
        <v>0.027986674350936873</v>
      </c>
      <c r="U42" s="672">
        <v>0.08814665996986439</v>
      </c>
      <c r="V42" s="673">
        <v>35873.28767123288</v>
      </c>
      <c r="W42" s="672">
        <v>0.01168</v>
      </c>
      <c r="X42" s="673">
        <v>57</v>
      </c>
      <c r="Y42" s="674">
        <v>71.29889936885903</v>
      </c>
      <c r="Z42" s="673">
        <v>142282</v>
      </c>
      <c r="AA42" s="673">
        <v>3874</v>
      </c>
      <c r="AB42" s="673">
        <v>419</v>
      </c>
      <c r="AC42" s="673">
        <v>3982</v>
      </c>
      <c r="AD42" s="673">
        <v>351</v>
      </c>
      <c r="AE42" s="673">
        <v>26</v>
      </c>
      <c r="AF42" s="673">
        <v>9</v>
      </c>
      <c r="AG42" s="673">
        <v>141</v>
      </c>
      <c r="AH42" s="675"/>
    </row>
    <row r="43">
      <c r="A43" s="684" t="s">
        <v>1386</v>
      </c>
      <c r="B43" s="676" t="s">
        <v>1356</v>
      </c>
      <c r="C43" s="676"/>
      <c r="D43" s="676">
        <f>SUM(D41:D42)</f>
      </c>
      <c r="E43" s="676">
        <f>E41+E42</f>
      </c>
      <c r="F43" s="676">
        <f>SUM(F41:F42)</f>
      </c>
      <c r="G43" s="676">
        <f>SUM(G41:G42)</f>
      </c>
      <c r="H43" s="676">
        <f>SUM(H41:H42)</f>
      </c>
      <c r="I43" s="677">
        <f t="shared" si="0"/>
      </c>
      <c r="J43" s="677">
        <f t="shared" si="1"/>
      </c>
      <c r="K43" s="677">
        <f t="shared" si="2"/>
      </c>
      <c r="L43" s="676"/>
      <c r="M43" s="678">
        <f>SUM(M41:M42)</f>
      </c>
      <c r="N43" s="676"/>
      <c r="O43" s="676"/>
      <c r="P43" s="676"/>
      <c r="Q43" s="679">
        <f>AVERAGE(Q41:Q42)</f>
      </c>
      <c r="R43" s="680">
        <f>AVERAGE(R41:R42)</f>
      </c>
      <c r="S43" s="680">
        <f>AVERAGE(S41:S42)</f>
      </c>
      <c r="T43" s="680">
        <f>AVERAGE(T41:T42)</f>
      </c>
      <c r="U43" s="680">
        <f>AVERAGE(U41:U42)</f>
      </c>
      <c r="V43" s="681">
        <f>SUM(V41:V42)</f>
      </c>
      <c r="W43" s="680">
        <f>AVERAGE(W41:W42)</f>
      </c>
      <c r="X43" s="681"/>
      <c r="Y43" s="679">
        <f>AVERAGE(Y41:Y42)</f>
      </c>
      <c r="Z43" s="681">
        <f>SUM(Z41:Z42)</f>
      </c>
      <c r="AA43" s="681">
        <f>SUM(AA41:AA42)</f>
      </c>
      <c r="AB43" s="681">
        <f>SUM(AB41:AB42)</f>
      </c>
      <c r="AC43" s="681">
        <f>SUM(AC41:AC42)</f>
      </c>
      <c r="AD43" s="681">
        <f>SUM(AD41:AD42)</f>
      </c>
      <c r="AE43" s="681">
        <f>SUM(AE41:AE42)</f>
      </c>
      <c r="AF43" s="681">
        <f>SUM(AF41:AF42)</f>
      </c>
      <c r="AG43" s="681">
        <f>SUM(AG41:AG42)</f>
      </c>
      <c r="AH43" s="675"/>
    </row>
    <row r="44">
      <c r="A44" s="648" t="s">
        <v>1388</v>
      </c>
      <c r="B44" s="666" t="s">
        <v>1350</v>
      </c>
      <c r="C44" s="648" t="s">
        <v>1389</v>
      </c>
      <c r="D44" s="648">
        <v>5</v>
      </c>
      <c r="E44" s="648">
        <v>5</v>
      </c>
      <c r="F44" s="648">
        <v>5</v>
      </c>
      <c r="G44" s="666">
        <v>10526.96</v>
      </c>
      <c r="H44" s="667">
        <v>8424.34</v>
      </c>
      <c r="I44" s="668">
        <f t="shared" si="0"/>
      </c>
      <c r="J44" s="668">
        <f t="shared" si="1"/>
      </c>
      <c r="K44" s="668">
        <f t="shared" si="2"/>
      </c>
      <c r="L44" s="648"/>
      <c r="M44" s="683"/>
      <c r="N44" s="666"/>
      <c r="O44" s="666"/>
      <c r="P44" s="666"/>
      <c r="Q44" s="671">
        <v>3.3232110453648915</v>
      </c>
      <c r="R44" s="672">
        <v>0.30881858622888547</v>
      </c>
      <c r="S44" s="672">
        <v>0.025637913771655692</v>
      </c>
      <c r="T44" s="672">
        <v>0.02660881701507934</v>
      </c>
      <c r="U44" s="672">
        <v>0.07639680729760548</v>
      </c>
      <c r="V44" s="673">
        <v>30535.05535055351</v>
      </c>
      <c r="W44" s="672">
        <v>0.010839999999999999</v>
      </c>
      <c r="X44" s="673">
        <v>46</v>
      </c>
      <c r="Y44" s="674">
        <v>85.20019822607887</v>
      </c>
      <c r="Z44" s="673">
        <v>98877</v>
      </c>
      <c r="AA44" s="673">
        <v>2535</v>
      </c>
      <c r="AB44" s="673">
        <v>331</v>
      </c>
      <c r="AC44" s="673">
        <v>2631</v>
      </c>
      <c r="AD44" s="673">
        <v>201</v>
      </c>
      <c r="AE44" s="673">
        <v>15</v>
      </c>
      <c r="AF44" s="673">
        <v>2</v>
      </c>
      <c r="AG44" s="673">
        <v>68</v>
      </c>
      <c r="AH44" s="675"/>
    </row>
    <row r="45">
      <c r="A45" s="648" t="s">
        <v>1388</v>
      </c>
      <c r="B45" s="666" t="s">
        <v>1353</v>
      </c>
      <c r="C45" s="648" t="s">
        <v>1390</v>
      </c>
      <c r="D45" s="648">
        <v>3</v>
      </c>
      <c r="E45" s="648">
        <v>10</v>
      </c>
      <c r="F45" s="648">
        <v>12</v>
      </c>
      <c r="G45" s="666">
        <v>26123.5</v>
      </c>
      <c r="H45" s="667">
        <v>5616.2699999999995</v>
      </c>
      <c r="I45" s="668">
        <f t="shared" si="0"/>
      </c>
      <c r="J45" s="668">
        <f t="shared" si="1"/>
      </c>
      <c r="K45" s="668">
        <f t="shared" si="2"/>
      </c>
      <c r="L45" s="648" t="s">
        <v>1352</v>
      </c>
      <c r="M45" s="683">
        <v>3.2</v>
      </c>
      <c r="N45" s="666"/>
      <c r="O45" s="666"/>
      <c r="P45" s="666"/>
      <c r="Q45" s="674">
        <v>2.4156</v>
      </c>
      <c r="R45" s="672">
        <v>0.3874067913476781</v>
      </c>
      <c r="S45" s="672">
        <v>0.03594619666048238</v>
      </c>
      <c r="T45" s="672">
        <v>0.03778602350030921</v>
      </c>
      <c r="U45" s="672">
        <v>0.09165302782324058</v>
      </c>
      <c r="V45" s="673">
        <v>25057.471264367818</v>
      </c>
      <c r="W45" s="672">
        <v>0.0087</v>
      </c>
      <c r="X45" s="673">
        <v>42.666666666666664</v>
      </c>
      <c r="Y45" s="674">
        <v>86.83163265306122</v>
      </c>
      <c r="Z45" s="673">
        <v>64680</v>
      </c>
      <c r="AA45" s="673">
        <v>2325</v>
      </c>
      <c r="AB45" s="673">
        <v>218</v>
      </c>
      <c r="AC45" s="673">
        <v>2444</v>
      </c>
      <c r="AD45" s="673">
        <v>224</v>
      </c>
      <c r="AE45" s="673">
        <v>16</v>
      </c>
      <c r="AF45" s="673">
        <v>3</v>
      </c>
      <c r="AG45" s="673">
        <v>54</v>
      </c>
      <c r="AH45" s="675"/>
    </row>
    <row r="46">
      <c r="A46" s="684" t="s">
        <v>1388</v>
      </c>
      <c r="B46" s="676" t="s">
        <v>1356</v>
      </c>
      <c r="C46" s="676"/>
      <c r="D46" s="676">
        <f>SUM(D44:D45)</f>
      </c>
      <c r="E46" s="676">
        <f>E44+E45</f>
      </c>
      <c r="F46" s="676">
        <f>SUM(F44:F45)</f>
      </c>
      <c r="G46" s="676">
        <f>SUM(G44:G45)</f>
      </c>
      <c r="H46" s="676">
        <f>SUM(H44:H45)</f>
      </c>
      <c r="I46" s="677">
        <f t="shared" si="0"/>
      </c>
      <c r="J46" s="677">
        <f t="shared" si="1"/>
      </c>
      <c r="K46" s="677">
        <f t="shared" si="2"/>
      </c>
      <c r="L46" s="676"/>
      <c r="M46" s="678">
        <f>SUM(M44:M45)</f>
      </c>
      <c r="N46" s="676"/>
      <c r="O46" s="676"/>
      <c r="P46" s="676"/>
      <c r="Q46" s="679">
        <f>AVERAGE(Q44:Q45)</f>
      </c>
      <c r="R46" s="680">
        <f>AVERAGE(R44:R45)</f>
      </c>
      <c r="S46" s="680">
        <f>AVERAGE(S44:S45)</f>
      </c>
      <c r="T46" s="680">
        <f>AVERAGE(T44:T45)</f>
      </c>
      <c r="U46" s="680">
        <f>AVERAGE(U44:U45)</f>
      </c>
      <c r="V46" s="681">
        <f>SUM(V44:V45)</f>
      </c>
      <c r="W46" s="680">
        <f>AVERAGE(W44:W45)</f>
      </c>
      <c r="X46" s="681"/>
      <c r="Y46" s="679">
        <f>AVERAGE(Y44:Y45)</f>
      </c>
      <c r="Z46" s="681">
        <f>SUM(Z44:Z45)</f>
      </c>
      <c r="AA46" s="681">
        <f>SUM(AA44:AA45)</f>
      </c>
      <c r="AB46" s="681">
        <f>SUM(AB44:AB45)</f>
      </c>
      <c r="AC46" s="681">
        <f>SUM(AC44:AC45)</f>
      </c>
      <c r="AD46" s="681">
        <f>SUM(AD44:AD45)</f>
      </c>
      <c r="AE46" s="681">
        <f>SUM(AE44:AE45)</f>
      </c>
      <c r="AF46" s="681">
        <f>SUM(AF44:AF45)</f>
      </c>
      <c r="AG46" s="681">
        <f>SUM(AG44:AG45)</f>
      </c>
      <c r="AH46" s="675"/>
    </row>
    <row r="47">
      <c r="A47" s="648" t="s">
        <v>1391</v>
      </c>
      <c r="B47" s="666" t="s">
        <v>1353</v>
      </c>
      <c r="C47" s="648" t="s">
        <v>1365</v>
      </c>
      <c r="D47" s="648">
        <v>3</v>
      </c>
      <c r="E47" s="648">
        <v>8</v>
      </c>
      <c r="F47" s="648">
        <v>8</v>
      </c>
      <c r="G47" s="666">
        <v>12929.01</v>
      </c>
      <c r="H47" s="667">
        <v>5456.16</v>
      </c>
      <c r="I47" s="668">
        <f t="shared" si="0"/>
      </c>
      <c r="J47" s="668">
        <f t="shared" si="1"/>
      </c>
      <c r="K47" s="668">
        <f t="shared" si="2"/>
      </c>
      <c r="L47" s="648"/>
      <c r="M47" s="683"/>
      <c r="N47" s="666"/>
      <c r="O47" s="666"/>
      <c r="P47" s="666"/>
      <c r="Q47" s="671">
        <v>3.3994766355140187</v>
      </c>
      <c r="R47" s="672">
        <v>0.3467344279347595</v>
      </c>
      <c r="S47" s="672">
        <v>0.022612959127604717</v>
      </c>
      <c r="T47" s="672">
        <v>0.02397959902503628</v>
      </c>
      <c r="U47" s="672">
        <v>0.09106933019976499</v>
      </c>
      <c r="V47" s="673">
        <v>24610.169491525427</v>
      </c>
      <c r="W47" s="672">
        <v>0.009833333333333333</v>
      </c>
      <c r="X47" s="673">
        <v>45.333333333333336</v>
      </c>
      <c r="Y47" s="674">
        <v>76.8722262141257</v>
      </c>
      <c r="Z47" s="673">
        <v>70977</v>
      </c>
      <c r="AA47" s="673">
        <v>1605</v>
      </c>
      <c r="AB47" s="673">
        <v>242</v>
      </c>
      <c r="AC47" s="673">
        <v>1702</v>
      </c>
      <c r="AD47" s="673">
        <v>155</v>
      </c>
      <c r="AE47" s="673">
        <v>10</v>
      </c>
      <c r="AF47" s="673">
        <v>4</v>
      </c>
      <c r="AG47" s="673">
        <v>38</v>
      </c>
      <c r="AH47" s="675"/>
    </row>
    <row r="48">
      <c r="A48" s="648" t="s">
        <v>1391</v>
      </c>
      <c r="B48" s="666" t="s">
        <v>1350</v>
      </c>
      <c r="C48" s="648" t="s">
        <v>1366</v>
      </c>
      <c r="D48" s="648">
        <v>5</v>
      </c>
      <c r="E48" s="648">
        <v>7</v>
      </c>
      <c r="F48" s="648">
        <v>11</v>
      </c>
      <c r="G48" s="666">
        <v>23514.59</v>
      </c>
      <c r="H48" s="667">
        <v>8903.980000000001</v>
      </c>
      <c r="I48" s="668">
        <f t="shared" si="0"/>
      </c>
      <c r="J48" s="668">
        <f t="shared" si="1"/>
      </c>
      <c r="K48" s="668">
        <f t="shared" si="2"/>
      </c>
      <c r="L48" s="648" t="s">
        <v>1352</v>
      </c>
      <c r="M48" s="683">
        <v>3.2</v>
      </c>
      <c r="N48" s="666"/>
      <c r="O48" s="666"/>
      <c r="P48" s="666"/>
      <c r="Q48" s="674">
        <v>2.606551522248244</v>
      </c>
      <c r="R48" s="672">
        <v>0.3591898308064267</v>
      </c>
      <c r="S48" s="672">
        <v>0.03286132060951208</v>
      </c>
      <c r="T48" s="672">
        <v>0.03469870709558258</v>
      </c>
      <c r="U48" s="672">
        <v>0.06071527585250901</v>
      </c>
      <c r="V48" s="673">
        <v>37338.50129198967</v>
      </c>
      <c r="W48" s="672">
        <v>0.0077399999999999995</v>
      </c>
      <c r="X48" s="673">
        <v>42.2</v>
      </c>
      <c r="Y48" s="674">
        <v>85.65472525781132</v>
      </c>
      <c r="Z48" s="673">
        <v>103952</v>
      </c>
      <c r="AA48" s="673">
        <v>3416</v>
      </c>
      <c r="AB48" s="673">
        <v>289</v>
      </c>
      <c r="AC48" s="673">
        <v>3607</v>
      </c>
      <c r="AD48" s="673">
        <v>219</v>
      </c>
      <c r="AE48" s="673">
        <v>21</v>
      </c>
      <c r="AF48" s="673">
        <v>4</v>
      </c>
      <c r="AG48" s="673">
        <v>56</v>
      </c>
      <c r="AH48" s="675"/>
    </row>
    <row r="49">
      <c r="A49" s="684" t="s">
        <v>1391</v>
      </c>
      <c r="B49" s="676" t="s">
        <v>1356</v>
      </c>
      <c r="C49" s="676"/>
      <c r="D49" s="676">
        <f>SUM(D47:D48)</f>
      </c>
      <c r="E49" s="676">
        <f>E47+E48</f>
      </c>
      <c r="F49" s="676">
        <f>SUM(F47:F48)</f>
      </c>
      <c r="G49" s="676">
        <f>SUM(G47:G48)</f>
      </c>
      <c r="H49" s="676">
        <f>SUM(H47:H48)</f>
      </c>
      <c r="I49" s="677">
        <f t="shared" si="0"/>
      </c>
      <c r="J49" s="677">
        <f t="shared" si="1"/>
      </c>
      <c r="K49" s="677">
        <f t="shared" si="2"/>
      </c>
      <c r="L49" s="676"/>
      <c r="M49" s="678">
        <f>SUM(M47:M48)</f>
      </c>
      <c r="N49" s="676"/>
      <c r="O49" s="676"/>
      <c r="P49" s="676"/>
      <c r="Q49" s="679">
        <f>AVERAGE(Q47:Q48)</f>
      </c>
      <c r="R49" s="680">
        <f>AVERAGE(R47:R48)</f>
      </c>
      <c r="S49" s="680">
        <f>AVERAGE(S47:S48)</f>
      </c>
      <c r="T49" s="680">
        <f>AVERAGE(T47:T48)</f>
      </c>
      <c r="U49" s="680">
        <f>AVERAGE(U47:U48)</f>
      </c>
      <c r="V49" s="681">
        <f>SUM(V47:V48)</f>
      </c>
      <c r="W49" s="680">
        <f>AVERAGE(W47:W48)</f>
      </c>
      <c r="X49" s="681"/>
      <c r="Y49" s="679">
        <f>AVERAGE(Y47:Y48)</f>
      </c>
      <c r="Z49" s="681">
        <f>SUM(Z47:Z48)</f>
      </c>
      <c r="AA49" s="681">
        <f>SUM(AA47:AA48)</f>
      </c>
      <c r="AB49" s="681">
        <f>SUM(AB47:AB48)</f>
      </c>
      <c r="AC49" s="681">
        <f>SUM(AC47:AC48)</f>
      </c>
      <c r="AD49" s="681">
        <f>SUM(AD47:AD48)</f>
      </c>
      <c r="AE49" s="681">
        <f>SUM(AE47:AE48)</f>
      </c>
      <c r="AF49" s="681">
        <f>SUM(AF47:AF48)</f>
      </c>
      <c r="AG49" s="681">
        <f>SUM(AG47:AG48)</f>
      </c>
      <c r="AH49" s="675"/>
    </row>
    <row r="50">
      <c r="A50" s="648" t="s">
        <v>1392</v>
      </c>
      <c r="B50" s="666" t="s">
        <v>1353</v>
      </c>
      <c r="C50" s="648" t="s">
        <v>1361</v>
      </c>
      <c r="D50" s="648">
        <v>4</v>
      </c>
      <c r="E50" s="648">
        <v>14</v>
      </c>
      <c r="F50" s="648">
        <v>14</v>
      </c>
      <c r="G50" s="666">
        <v>24959.47</v>
      </c>
      <c r="H50" s="667">
        <v>8774.460000000001</v>
      </c>
      <c r="I50" s="668">
        <f t="shared" si="0"/>
      </c>
      <c r="J50" s="668">
        <f t="shared" si="1"/>
      </c>
      <c r="K50" s="668">
        <f t="shared" si="2"/>
      </c>
      <c r="L50" s="648"/>
      <c r="M50" s="683"/>
      <c r="N50" s="666"/>
      <c r="O50" s="666"/>
      <c r="P50" s="666"/>
      <c r="Q50" s="671">
        <v>3.6882976040353093</v>
      </c>
      <c r="R50" s="672">
        <v>0.30192864745547876</v>
      </c>
      <c r="S50" s="672">
        <v>0.0216323858366523</v>
      </c>
      <c r="T50" s="672">
        <v>0.022541691672577156</v>
      </c>
      <c r="U50" s="672">
        <v>0.1189995966115369</v>
      </c>
      <c r="V50" s="673">
        <v>33204.30107526882</v>
      </c>
      <c r="W50" s="672">
        <v>0.011625</v>
      </c>
      <c r="X50" s="673">
        <v>51</v>
      </c>
      <c r="Y50" s="674">
        <v>79.78667685089204</v>
      </c>
      <c r="Z50" s="673">
        <v>109974</v>
      </c>
      <c r="AA50" s="673">
        <v>2379</v>
      </c>
      <c r="AB50" s="673">
        <v>386</v>
      </c>
      <c r="AC50" s="673">
        <v>2479</v>
      </c>
      <c r="AD50" s="673">
        <v>295</v>
      </c>
      <c r="AE50" s="673">
        <v>17</v>
      </c>
      <c r="AF50" s="673">
        <v>10</v>
      </c>
      <c r="AG50" s="673">
        <v>81</v>
      </c>
      <c r="AH50" s="675"/>
    </row>
    <row r="51">
      <c r="A51" s="648" t="s">
        <v>1392</v>
      </c>
      <c r="B51" s="666" t="s">
        <v>1350</v>
      </c>
      <c r="C51" s="648" t="s">
        <v>1376</v>
      </c>
      <c r="D51" s="648">
        <v>4</v>
      </c>
      <c r="E51" s="648">
        <v>10</v>
      </c>
      <c r="F51" s="648">
        <v>13</v>
      </c>
      <c r="G51" s="666">
        <v>27139.16</v>
      </c>
      <c r="H51" s="667">
        <v>7963.389999999999</v>
      </c>
      <c r="I51" s="668">
        <f t="shared" si="0"/>
      </c>
      <c r="J51" s="668">
        <f t="shared" si="1"/>
      </c>
      <c r="K51" s="668">
        <f t="shared" si="2"/>
      </c>
      <c r="L51" s="648" t="s">
        <v>1352</v>
      </c>
      <c r="M51" s="683">
        <v>3.2</v>
      </c>
      <c r="N51" s="666"/>
      <c r="O51" s="666"/>
      <c r="P51" s="666"/>
      <c r="Q51" s="674">
        <v>2.413879963625341</v>
      </c>
      <c r="R51" s="672">
        <v>0.4133512784617285</v>
      </c>
      <c r="S51" s="672">
        <v>0.03395849631490098</v>
      </c>
      <c r="T51" s="672">
        <v>0.035584880800428216</v>
      </c>
      <c r="U51" s="672">
        <v>0.06421752964998553</v>
      </c>
      <c r="V51" s="673">
        <v>40156.25</v>
      </c>
      <c r="W51" s="672">
        <v>0.0063999999999999994</v>
      </c>
      <c r="X51" s="673">
        <v>47.75</v>
      </c>
      <c r="Y51" s="674">
        <v>81.97173384938445</v>
      </c>
      <c r="Z51" s="673">
        <v>97148</v>
      </c>
      <c r="AA51" s="673">
        <v>3299</v>
      </c>
      <c r="AB51" s="673">
        <v>257</v>
      </c>
      <c r="AC51" s="673">
        <v>3457</v>
      </c>
      <c r="AD51" s="673">
        <v>222</v>
      </c>
      <c r="AE51" s="673">
        <v>23</v>
      </c>
      <c r="AF51" s="673">
        <v>2</v>
      </c>
      <c r="AG51" s="673">
        <v>68</v>
      </c>
      <c r="AH51" s="675"/>
    </row>
    <row r="52">
      <c r="A52" s="684" t="s">
        <v>1392</v>
      </c>
      <c r="B52" s="676" t="s">
        <v>1356</v>
      </c>
      <c r="C52" s="676"/>
      <c r="D52" s="676">
        <f>SUM(D50:D51)</f>
      </c>
      <c r="E52" s="676">
        <f>E50+E51</f>
      </c>
      <c r="F52" s="676">
        <f>SUM(F50:F51)</f>
      </c>
      <c r="G52" s="676">
        <f>SUM(G50:G51)</f>
      </c>
      <c r="H52" s="676">
        <f>SUM(H50:H51)</f>
      </c>
      <c r="I52" s="677">
        <f t="shared" si="0"/>
      </c>
      <c r="J52" s="677">
        <f t="shared" si="1"/>
      </c>
      <c r="K52" s="677">
        <f t="shared" si="2"/>
      </c>
      <c r="L52" s="676"/>
      <c r="M52" s="678">
        <f>SUM(M50:M51)</f>
      </c>
      <c r="N52" s="676"/>
      <c r="O52" s="676"/>
      <c r="P52" s="676"/>
      <c r="Q52" s="679">
        <f>AVERAGE(Q50:Q51)</f>
      </c>
      <c r="R52" s="680">
        <f>AVERAGE(R50:R51)</f>
      </c>
      <c r="S52" s="680">
        <f>AVERAGE(S50:S51)</f>
      </c>
      <c r="T52" s="680">
        <f>AVERAGE(T50:T51)</f>
      </c>
      <c r="U52" s="680">
        <f>AVERAGE(U50:U51)</f>
      </c>
      <c r="V52" s="681">
        <f>SUM(V50:V51)</f>
      </c>
      <c r="W52" s="680">
        <f>AVERAGE(W50:W51)</f>
      </c>
      <c r="X52" s="681"/>
      <c r="Y52" s="679">
        <f>AVERAGE(Y50:Y51)</f>
      </c>
      <c r="Z52" s="681">
        <f>SUM(Z50:Z51)</f>
      </c>
      <c r="AA52" s="681">
        <f>SUM(AA50:AA51)</f>
      </c>
      <c r="AB52" s="681">
        <f>SUM(AB50:AB51)</f>
      </c>
      <c r="AC52" s="681">
        <f>SUM(AC50:AC51)</f>
      </c>
      <c r="AD52" s="681">
        <f>SUM(AD50:AD51)</f>
      </c>
      <c r="AE52" s="681">
        <f>SUM(AE50:AE51)</f>
      </c>
      <c r="AF52" s="681">
        <f>SUM(AF50:AF51)</f>
      </c>
      <c r="AG52" s="681">
        <f>SUM(AG50:AG51)</f>
      </c>
      <c r="AH52" s="675"/>
    </row>
    <row r="53">
      <c r="A53" s="648" t="s">
        <v>1393</v>
      </c>
      <c r="B53" s="648" t="s">
        <v>1350</v>
      </c>
      <c r="C53" s="648" t="s">
        <v>1361</v>
      </c>
      <c r="D53" s="648">
        <v>4</v>
      </c>
      <c r="E53" s="648">
        <v>6</v>
      </c>
      <c r="F53" s="648">
        <v>6</v>
      </c>
      <c r="G53" s="666">
        <v>11587.54</v>
      </c>
      <c r="H53" s="667">
        <v>7180.86</v>
      </c>
      <c r="I53" s="668">
        <f t="shared" si="0"/>
      </c>
      <c r="J53" s="668">
        <f t="shared" si="1"/>
      </c>
      <c r="K53" s="668">
        <f t="shared" si="2"/>
      </c>
      <c r="L53" s="648"/>
      <c r="M53" s="683"/>
      <c r="N53" s="666"/>
      <c r="O53" s="666"/>
      <c r="P53" s="666"/>
      <c r="Q53" s="671">
        <v>3.5286781326781327</v>
      </c>
      <c r="R53" s="672">
        <v>0.3064935457146491</v>
      </c>
      <c r="S53" s="672">
        <v>0.024046130758959696</v>
      </c>
      <c r="T53" s="672">
        <v>0.024778740148176156</v>
      </c>
      <c r="U53" s="672">
        <v>0.09918931807343824</v>
      </c>
      <c r="V53" s="673">
        <v>25938.242280285038</v>
      </c>
      <c r="W53" s="672">
        <v>0.010525</v>
      </c>
      <c r="X53" s="673">
        <v>50.5</v>
      </c>
      <c r="Y53" s="674">
        <v>84.85105578466009</v>
      </c>
      <c r="Z53" s="673">
        <v>84629</v>
      </c>
      <c r="AA53" s="673">
        <v>2035</v>
      </c>
      <c r="AB53" s="673">
        <v>273</v>
      </c>
      <c r="AC53" s="673">
        <v>2097</v>
      </c>
      <c r="AD53" s="673">
        <v>208</v>
      </c>
      <c r="AE53" s="673">
        <v>7</v>
      </c>
      <c r="AF53" s="673">
        <v>4</v>
      </c>
      <c r="AG53" s="673">
        <v>54</v>
      </c>
      <c r="AH53" s="675"/>
    </row>
    <row r="54">
      <c r="A54" s="648" t="s">
        <v>1393</v>
      </c>
      <c r="B54" s="648" t="s">
        <v>1353</v>
      </c>
      <c r="C54" s="648" t="s">
        <v>1371</v>
      </c>
      <c r="D54" s="648">
        <v>3</v>
      </c>
      <c r="E54" s="648">
        <v>2</v>
      </c>
      <c r="F54" s="648">
        <v>4</v>
      </c>
      <c r="G54" s="666">
        <v>8339.06</v>
      </c>
      <c r="H54" s="667">
        <v>5810.81</v>
      </c>
      <c r="I54" s="668">
        <f t="shared" si="0"/>
      </c>
      <c r="J54" s="668">
        <f t="shared" si="1"/>
      </c>
      <c r="K54" s="668">
        <f t="shared" si="2"/>
      </c>
      <c r="L54" s="648" t="s">
        <v>1352</v>
      </c>
      <c r="M54" s="683">
        <v>2.8</v>
      </c>
      <c r="N54" s="666"/>
      <c r="O54" s="666"/>
      <c r="P54" s="666"/>
      <c r="Q54" s="674">
        <v>2.852631320569465</v>
      </c>
      <c r="R54" s="672">
        <v>0.2877428729687152</v>
      </c>
      <c r="S54" s="672">
        <v>0.025643285160380683</v>
      </c>
      <c r="T54" s="672">
        <v>0.02639861020192356</v>
      </c>
      <c r="U54" s="672">
        <v>0.04864091559370529</v>
      </c>
      <c r="V54" s="673">
        <v>22857.14285714286</v>
      </c>
      <c r="W54" s="672">
        <v>0.007699999999999999</v>
      </c>
      <c r="X54" s="673">
        <v>40.333333333333336</v>
      </c>
      <c r="Y54" s="674">
        <v>73.15083841079611</v>
      </c>
      <c r="Z54" s="673">
        <v>79436</v>
      </c>
      <c r="AA54" s="673">
        <v>2037</v>
      </c>
      <c r="AB54" s="673">
        <v>176</v>
      </c>
      <c r="AC54" s="673">
        <v>2097</v>
      </c>
      <c r="AD54" s="673">
        <v>102</v>
      </c>
      <c r="AE54" s="673">
        <v>15</v>
      </c>
      <c r="AF54" s="673">
        <v>3</v>
      </c>
      <c r="AG54" s="673">
        <v>69</v>
      </c>
      <c r="AH54" s="675"/>
    </row>
    <row r="55">
      <c r="A55" s="684" t="s">
        <v>1393</v>
      </c>
      <c r="B55" s="676" t="s">
        <v>1356</v>
      </c>
      <c r="C55" s="676"/>
      <c r="D55" s="676">
        <f>SUM(D53:D54)</f>
      </c>
      <c r="E55" s="676">
        <f>E53+E54</f>
      </c>
      <c r="F55" s="676">
        <f>SUM(F53:F54)</f>
      </c>
      <c r="G55" s="676">
        <f>SUM(G53:G54)</f>
      </c>
      <c r="H55" s="676">
        <f>SUM(H53:H54)</f>
      </c>
      <c r="I55" s="677">
        <f t="shared" si="0"/>
      </c>
      <c r="J55" s="677">
        <f t="shared" si="1"/>
      </c>
      <c r="K55" s="677">
        <f t="shared" si="2"/>
      </c>
      <c r="L55" s="676"/>
      <c r="M55" s="678">
        <f>SUM(M53:M54)</f>
      </c>
      <c r="N55" s="676"/>
      <c r="O55" s="676"/>
      <c r="P55" s="676"/>
      <c r="Q55" s="679">
        <f>AVERAGE(Q53:Q54)</f>
      </c>
      <c r="R55" s="680">
        <f>AVERAGE(R53:R54)</f>
      </c>
      <c r="S55" s="680">
        <f>AVERAGE(S53:S54)</f>
      </c>
      <c r="T55" s="680">
        <f>AVERAGE(T53:T54)</f>
      </c>
      <c r="U55" s="680">
        <f>AVERAGE(U53:U54)</f>
      </c>
      <c r="V55" s="681">
        <f>SUM(V53:V54)</f>
      </c>
      <c r="W55" s="680">
        <f>AVERAGE(W53:W54)</f>
      </c>
      <c r="X55" s="681"/>
      <c r="Y55" s="679">
        <f>AVERAGE(Y53:Y54)</f>
      </c>
      <c r="Z55" s="681">
        <f>SUM(Z53:Z54)</f>
      </c>
      <c r="AA55" s="681">
        <f>SUM(AA53:AA54)</f>
      </c>
      <c r="AB55" s="681">
        <f>SUM(AB53:AB54)</f>
      </c>
      <c r="AC55" s="681">
        <f>SUM(AC53:AC54)</f>
      </c>
      <c r="AD55" s="681">
        <f>SUM(AD53:AD54)</f>
      </c>
      <c r="AE55" s="681">
        <f>SUM(AE53:AE54)</f>
      </c>
      <c r="AF55" s="681">
        <f>SUM(AF53:AF54)</f>
      </c>
      <c r="AG55" s="681">
        <f>SUM(AG53:AG54)</f>
      </c>
      <c r="AH55" s="675"/>
    </row>
    <row r="56">
      <c r="A56" s="648" t="s">
        <v>1394</v>
      </c>
      <c r="B56" s="648" t="s">
        <v>1350</v>
      </c>
      <c r="C56" s="648" t="s">
        <v>1389</v>
      </c>
      <c r="D56" s="648">
        <v>5</v>
      </c>
      <c r="E56" s="648">
        <v>13</v>
      </c>
      <c r="F56" s="648">
        <v>16</v>
      </c>
      <c r="G56" s="666">
        <v>32713.17</v>
      </c>
      <c r="H56" s="667">
        <v>10000</v>
      </c>
      <c r="I56" s="668">
        <f t="shared" si="0"/>
      </c>
      <c r="J56" s="668">
        <f t="shared" si="1"/>
      </c>
      <c r="K56" s="668">
        <f t="shared" si="2"/>
      </c>
      <c r="L56" s="648"/>
      <c r="M56" s="683"/>
      <c r="N56" s="666"/>
      <c r="O56" s="666"/>
      <c r="P56" s="666"/>
      <c r="Q56" s="671">
        <v>3.50754121360926</v>
      </c>
      <c r="R56" s="672">
        <v>0.2839506767533384</v>
      </c>
      <c r="S56" s="672">
        <v>0.022407004251907857</v>
      </c>
      <c r="T56" s="672">
        <v>0.023373704189819</v>
      </c>
      <c r="U56" s="672">
        <v>0.10558170813718896</v>
      </c>
      <c r="V56" s="673">
        <v>36129.032258064515</v>
      </c>
      <c r="W56" s="672">
        <v>0.0124</v>
      </c>
      <c r="X56" s="673">
        <v>58.2</v>
      </c>
      <c r="Y56" s="674">
        <v>78.59349088708473</v>
      </c>
      <c r="Z56" s="673">
        <v>127237</v>
      </c>
      <c r="AA56" s="673">
        <v>2851</v>
      </c>
      <c r="AB56" s="673">
        <v>448</v>
      </c>
      <c r="AC56" s="673">
        <v>2974</v>
      </c>
      <c r="AD56" s="673">
        <v>314</v>
      </c>
      <c r="AE56" s="673">
        <v>19</v>
      </c>
      <c r="AF56" s="673">
        <v>10</v>
      </c>
      <c r="AG56" s="673">
        <v>85</v>
      </c>
      <c r="AH56" s="675"/>
    </row>
    <row r="57">
      <c r="A57" s="648" t="s">
        <v>1394</v>
      </c>
      <c r="B57" s="648" t="s">
        <v>1353</v>
      </c>
      <c r="C57" s="648" t="s">
        <v>1395</v>
      </c>
      <c r="D57" s="648">
        <v>4</v>
      </c>
      <c r="E57" s="648">
        <v>12</v>
      </c>
      <c r="F57" s="648">
        <v>12</v>
      </c>
      <c r="G57" s="666">
        <v>25662.81</v>
      </c>
      <c r="H57" s="667">
        <v>7173.03</v>
      </c>
      <c r="I57" s="668">
        <f t="shared" si="0"/>
      </c>
      <c r="J57" s="668">
        <f t="shared" si="1"/>
      </c>
      <c r="K57" s="668">
        <f t="shared" si="2"/>
      </c>
      <c r="L57" s="648" t="s">
        <v>1352</v>
      </c>
      <c r="M57" s="683">
        <v>3.6</v>
      </c>
      <c r="N57" s="666"/>
      <c r="O57" s="666"/>
      <c r="P57" s="666"/>
      <c r="Q57" s="674">
        <v>2.9194261294261294</v>
      </c>
      <c r="R57" s="672">
        <v>0.37149724534792566</v>
      </c>
      <c r="S57" s="672">
        <v>0.027383061954595608</v>
      </c>
      <c r="T57" s="672">
        <v>0.02872045203784814</v>
      </c>
      <c r="U57" s="672">
        <v>0.09934031819945673</v>
      </c>
      <c r="V57" s="673">
        <v>33333.33333333333</v>
      </c>
      <c r="W57" s="672">
        <v>0.008400000000000001</v>
      </c>
      <c r="X57" s="673">
        <v>53.5</v>
      </c>
      <c r="Y57" s="674">
        <v>79.94282657394095</v>
      </c>
      <c r="Z57" s="673">
        <v>89727</v>
      </c>
      <c r="AA57" s="673">
        <v>2457</v>
      </c>
      <c r="AB57" s="673">
        <v>280</v>
      </c>
      <c r="AC57" s="673">
        <v>2577</v>
      </c>
      <c r="AD57" s="673">
        <v>256</v>
      </c>
      <c r="AE57" s="673">
        <v>28</v>
      </c>
      <c r="AF57" s="673">
        <v>4</v>
      </c>
      <c r="AG57" s="673">
        <v>77</v>
      </c>
      <c r="AH57" s="675"/>
    </row>
    <row r="58">
      <c r="A58" s="684" t="s">
        <v>1394</v>
      </c>
      <c r="B58" s="676" t="s">
        <v>1356</v>
      </c>
      <c r="C58" s="676"/>
      <c r="D58" s="676">
        <f>SUM(D56:D57)</f>
      </c>
      <c r="E58" s="676">
        <f>E56+E57</f>
      </c>
      <c r="F58" s="676">
        <f>SUM(F56:F57)</f>
      </c>
      <c r="G58" s="676">
        <f>SUM(G56:G57)</f>
      </c>
      <c r="H58" s="676">
        <f>SUM(H56:H57)</f>
      </c>
      <c r="I58" s="677">
        <f t="shared" si="0"/>
      </c>
      <c r="J58" s="677">
        <f t="shared" si="1"/>
      </c>
      <c r="K58" s="677">
        <f t="shared" si="2"/>
      </c>
      <c r="L58" s="676"/>
      <c r="M58" s="678">
        <f>SUM(M56:M57)</f>
      </c>
      <c r="N58" s="676"/>
      <c r="O58" s="676"/>
      <c r="P58" s="676"/>
      <c r="Q58" s="679">
        <f>AVERAGE(Q56:Q57)</f>
      </c>
      <c r="R58" s="680">
        <f>AVERAGE(R56:R57)</f>
      </c>
      <c r="S58" s="680">
        <f>AVERAGE(S56:S57)</f>
      </c>
      <c r="T58" s="680">
        <f>AVERAGE(T56:T57)</f>
      </c>
      <c r="U58" s="680">
        <f>AVERAGE(U56:U57)</f>
      </c>
      <c r="V58" s="681">
        <f>SUM(V56:V57)</f>
      </c>
      <c r="W58" s="680">
        <f>AVERAGE(W56:W57)</f>
      </c>
      <c r="X58" s="681"/>
      <c r="Y58" s="679">
        <f>AVERAGE(Y56:Y57)</f>
      </c>
      <c r="Z58" s="681">
        <f>SUM(Z56:Z57)</f>
      </c>
      <c r="AA58" s="681">
        <f>SUM(AA56:AA57)</f>
      </c>
      <c r="AB58" s="681">
        <f>SUM(AB56:AB57)</f>
      </c>
      <c r="AC58" s="681">
        <f>SUM(AC56:AC57)</f>
      </c>
      <c r="AD58" s="681">
        <f>SUM(AD56:AD57)</f>
      </c>
      <c r="AE58" s="681">
        <f>SUM(AE56:AE57)</f>
      </c>
      <c r="AF58" s="681">
        <f>SUM(AF56:AF57)</f>
      </c>
      <c r="AG58" s="681">
        <f>SUM(AG56:AG57)</f>
      </c>
      <c r="AH58" s="675"/>
    </row>
    <row r="59">
      <c r="A59" s="648" t="s">
        <v>1396</v>
      </c>
      <c r="B59" s="666" t="s">
        <v>1353</v>
      </c>
      <c r="C59" s="648" t="s">
        <v>1361</v>
      </c>
      <c r="D59" s="648">
        <v>4</v>
      </c>
      <c r="E59" s="648">
        <v>7</v>
      </c>
      <c r="F59" s="648">
        <v>9</v>
      </c>
      <c r="G59" s="666">
        <v>18181.84</v>
      </c>
      <c r="H59" s="667">
        <v>8297.86</v>
      </c>
      <c r="I59" s="668">
        <f t="shared" si="0"/>
      </c>
      <c r="J59" s="668">
        <f t="shared" si="1"/>
      </c>
      <c r="K59" s="668">
        <f t="shared" si="2"/>
      </c>
      <c r="L59" s="648"/>
      <c r="M59" s="683"/>
      <c r="N59" s="666"/>
      <c r="O59" s="666"/>
      <c r="P59" s="666"/>
      <c r="Q59" s="671">
        <v>4.351263765076036</v>
      </c>
      <c r="R59" s="672">
        <v>0.15326249666706557</v>
      </c>
      <c r="S59" s="672">
        <v>0.020719252498913515</v>
      </c>
      <c r="T59" s="672">
        <v>0.021794871794871794</v>
      </c>
      <c r="U59" s="672">
        <v>0.11814556331006978</v>
      </c>
      <c r="V59" s="673">
        <v>14106.280193236715</v>
      </c>
      <c r="W59" s="672">
        <v>0.025875000000000002</v>
      </c>
      <c r="X59" s="673">
        <v>52.5</v>
      </c>
      <c r="Y59" s="674">
        <v>90.15493263798349</v>
      </c>
      <c r="Z59" s="673">
        <v>92040</v>
      </c>
      <c r="AA59" s="673">
        <v>1907</v>
      </c>
      <c r="AB59" s="673">
        <v>365</v>
      </c>
      <c r="AC59" s="673">
        <v>2006</v>
      </c>
      <c r="AD59" s="673">
        <v>237</v>
      </c>
      <c r="AE59" s="673">
        <v>20</v>
      </c>
      <c r="AF59" s="673">
        <v>4</v>
      </c>
      <c r="AG59" s="673">
        <v>93</v>
      </c>
      <c r="AH59" s="675"/>
    </row>
    <row r="60">
      <c r="A60" s="648" t="s">
        <v>1396</v>
      </c>
      <c r="B60" s="666" t="s">
        <v>1350</v>
      </c>
      <c r="C60" s="648" t="s">
        <v>1376</v>
      </c>
      <c r="D60" s="648">
        <v>4</v>
      </c>
      <c r="E60" s="648">
        <v>14</v>
      </c>
      <c r="F60" s="648">
        <v>19</v>
      </c>
      <c r="G60" s="666">
        <v>39031.78</v>
      </c>
      <c r="H60" s="667">
        <v>8099.4400000000005</v>
      </c>
      <c r="I60" s="668">
        <f t="shared" si="0"/>
      </c>
      <c r="J60" s="668">
        <f t="shared" si="1"/>
      </c>
      <c r="K60" s="668">
        <f t="shared" si="2"/>
      </c>
      <c r="L60" s="648" t="s">
        <v>1352</v>
      </c>
      <c r="M60" s="683">
        <v>3.2</v>
      </c>
      <c r="N60" s="666"/>
      <c r="O60" s="666"/>
      <c r="P60" s="666"/>
      <c r="Q60" s="674">
        <v>3.110384024577573</v>
      </c>
      <c r="R60" s="672">
        <v>0.18084052571743897</v>
      </c>
      <c r="S60" s="672">
        <v>0.0310217891137823</v>
      </c>
      <c r="T60" s="672">
        <v>0.03270154036763918</v>
      </c>
      <c r="U60" s="672">
        <v>0.08633879781420765</v>
      </c>
      <c r="V60" s="673">
        <v>15179.934569247545</v>
      </c>
      <c r="W60" s="672">
        <v>0.022925</v>
      </c>
      <c r="X60" s="673">
        <v>57.25</v>
      </c>
      <c r="Y60" s="674">
        <v>96.48967727332293</v>
      </c>
      <c r="Z60" s="673">
        <v>83941</v>
      </c>
      <c r="AA60" s="673">
        <v>2604</v>
      </c>
      <c r="AB60" s="673">
        <v>348</v>
      </c>
      <c r="AC60" s="673">
        <v>2745</v>
      </c>
      <c r="AD60" s="673">
        <v>237</v>
      </c>
      <c r="AE60" s="673">
        <v>21</v>
      </c>
      <c r="AF60" s="673">
        <v>2</v>
      </c>
      <c r="AG60" s="673">
        <v>71</v>
      </c>
      <c r="AH60" s="675"/>
    </row>
    <row r="61">
      <c r="A61" s="684" t="s">
        <v>1396</v>
      </c>
      <c r="B61" s="676" t="s">
        <v>1356</v>
      </c>
      <c r="C61" s="676"/>
      <c r="D61" s="676">
        <f>SUM(D59:D60)</f>
      </c>
      <c r="E61" s="676">
        <f>E59+E60</f>
      </c>
      <c r="F61" s="676">
        <f>SUM(F59:F60)</f>
      </c>
      <c r="G61" s="676">
        <f>SUM(G59:G60)</f>
      </c>
      <c r="H61" s="676">
        <f>SUM(H59:H60)</f>
      </c>
      <c r="I61" s="677">
        <f t="shared" si="0"/>
      </c>
      <c r="J61" s="677">
        <f t="shared" si="1"/>
      </c>
      <c r="K61" s="677">
        <f t="shared" si="2"/>
      </c>
      <c r="L61" s="676"/>
      <c r="M61" s="678">
        <f>SUM(M59:M60)</f>
      </c>
      <c r="N61" s="676"/>
      <c r="O61" s="676"/>
      <c r="P61" s="676"/>
      <c r="Q61" s="679">
        <f>AVERAGE(Q59:Q60)</f>
      </c>
      <c r="R61" s="680">
        <f>AVERAGE(R59:R60)</f>
      </c>
      <c r="S61" s="680">
        <f>AVERAGE(S59:S60)</f>
      </c>
      <c r="T61" s="680">
        <f>AVERAGE(T59:T60)</f>
      </c>
      <c r="U61" s="680">
        <f>AVERAGE(U59:U60)</f>
      </c>
      <c r="V61" s="681">
        <f>SUM(V59:V60)</f>
      </c>
      <c r="W61" s="680">
        <f>AVERAGE(W59:W60)</f>
      </c>
      <c r="X61" s="681"/>
      <c r="Y61" s="679">
        <f>AVERAGE(Y59:Y60)</f>
      </c>
      <c r="Z61" s="681">
        <f>SUM(Z59:Z60)</f>
      </c>
      <c r="AA61" s="681">
        <f>SUM(AA59:AA60)</f>
      </c>
      <c r="AB61" s="681">
        <f>SUM(AB59:AB60)</f>
      </c>
      <c r="AC61" s="681">
        <f>SUM(AC59:AC60)</f>
      </c>
      <c r="AD61" s="681">
        <f>SUM(AD59:AD60)</f>
      </c>
      <c r="AE61" s="681">
        <f>SUM(AE59:AE60)</f>
      </c>
      <c r="AF61" s="681">
        <f>SUM(AF59:AF60)</f>
      </c>
      <c r="AG61" s="681">
        <f>SUM(AG59:AG60)</f>
      </c>
      <c r="AH61" s="675"/>
    </row>
    <row r="62">
      <c r="A62" s="648" t="s">
        <v>1397</v>
      </c>
      <c r="B62" s="666" t="s">
        <v>1353</v>
      </c>
      <c r="C62" s="648" t="s">
        <v>1361</v>
      </c>
      <c r="D62" s="648">
        <v>4</v>
      </c>
      <c r="E62" s="648">
        <v>11</v>
      </c>
      <c r="F62" s="648">
        <v>10</v>
      </c>
      <c r="G62" s="666">
        <v>18874.24</v>
      </c>
      <c r="H62" s="667">
        <v>6940.599999999999</v>
      </c>
      <c r="I62" s="668">
        <f t="shared" si="0"/>
      </c>
      <c r="J62" s="668">
        <f t="shared" si="1"/>
      </c>
      <c r="K62" s="668">
        <f t="shared" si="2"/>
      </c>
      <c r="L62" s="648"/>
      <c r="M62" s="683"/>
      <c r="N62" s="666"/>
      <c r="O62" s="666"/>
      <c r="P62" s="666"/>
      <c r="Q62" s="671">
        <v>3.9345804988662127</v>
      </c>
      <c r="R62" s="672">
        <v>0.23571892161026592</v>
      </c>
      <c r="S62" s="672">
        <v>0.022601186434163156</v>
      </c>
      <c r="T62" s="672">
        <v>0.023767120654973158</v>
      </c>
      <c r="U62" s="672">
        <v>0.12398921832884097</v>
      </c>
      <c r="V62" s="673">
        <v>18397.626112759644</v>
      </c>
      <c r="W62" s="672">
        <v>0.01685</v>
      </c>
      <c r="X62" s="673">
        <v>49.75</v>
      </c>
      <c r="Y62" s="674">
        <v>88.92618739509794</v>
      </c>
      <c r="Z62" s="673">
        <v>78049</v>
      </c>
      <c r="AA62" s="673">
        <v>1764</v>
      </c>
      <c r="AB62" s="673">
        <v>310</v>
      </c>
      <c r="AC62" s="673">
        <v>1855</v>
      </c>
      <c r="AD62" s="673">
        <v>230</v>
      </c>
      <c r="AE62" s="673">
        <v>16</v>
      </c>
      <c r="AF62" s="673">
        <v>3</v>
      </c>
      <c r="AG62" s="673">
        <v>57</v>
      </c>
      <c r="AH62" s="675"/>
    </row>
    <row r="63">
      <c r="A63" s="648" t="s">
        <v>1397</v>
      </c>
      <c r="B63" s="666" t="s">
        <v>1350</v>
      </c>
      <c r="C63" s="648" t="s">
        <v>1376</v>
      </c>
      <c r="D63" s="648">
        <v>4</v>
      </c>
      <c r="E63" s="648">
        <v>6</v>
      </c>
      <c r="F63" s="648">
        <v>9</v>
      </c>
      <c r="G63" s="666">
        <v>17132.63</v>
      </c>
      <c r="H63" s="667">
        <v>6650.17</v>
      </c>
      <c r="I63" s="668">
        <f t="shared" si="0"/>
      </c>
      <c r="J63" s="668">
        <f t="shared" si="1"/>
      </c>
      <c r="K63" s="668">
        <f t="shared" si="2"/>
      </c>
      <c r="L63" s="648" t="s">
        <v>1352</v>
      </c>
      <c r="M63" s="683">
        <v>3.2</v>
      </c>
      <c r="N63" s="666"/>
      <c r="O63" s="666"/>
      <c r="P63" s="666"/>
      <c r="Q63" s="674">
        <v>3.1280197554092193</v>
      </c>
      <c r="R63" s="672">
        <v>0.19076811532194646</v>
      </c>
      <c r="S63" s="672">
        <v>0.028765881445600553</v>
      </c>
      <c r="T63" s="672">
        <v>0.030944294857050077</v>
      </c>
      <c r="U63" s="672">
        <v>0.08395277656318322</v>
      </c>
      <c r="V63" s="673">
        <v>14099.099099099098</v>
      </c>
      <c r="W63" s="672">
        <v>0.0222</v>
      </c>
      <c r="X63" s="673">
        <v>54.75</v>
      </c>
      <c r="Y63" s="674">
        <v>89.98024544359804</v>
      </c>
      <c r="Z63" s="673">
        <v>73907</v>
      </c>
      <c r="AA63" s="673">
        <v>2126</v>
      </c>
      <c r="AB63" s="673">
        <v>313</v>
      </c>
      <c r="AC63" s="673">
        <v>2287</v>
      </c>
      <c r="AD63" s="673">
        <v>192</v>
      </c>
      <c r="AE63" s="673">
        <v>15</v>
      </c>
      <c r="AF63" s="673">
        <v>5</v>
      </c>
      <c r="AG63" s="673">
        <v>57</v>
      </c>
      <c r="AH63" s="675"/>
    </row>
    <row r="64">
      <c r="A64" s="684" t="s">
        <v>1397</v>
      </c>
      <c r="B64" s="676" t="s">
        <v>1356</v>
      </c>
      <c r="C64" s="676"/>
      <c r="D64" s="676">
        <f>SUM(D62:D63)</f>
      </c>
      <c r="E64" s="676">
        <f>E62+E63</f>
      </c>
      <c r="F64" s="676">
        <f>SUM(F62:F63)</f>
      </c>
      <c r="G64" s="676">
        <f>SUM(G62:G63)</f>
      </c>
      <c r="H64" s="676">
        <f>SUM(H62:H63)</f>
      </c>
      <c r="I64" s="677">
        <f t="shared" si="0"/>
      </c>
      <c r="J64" s="677">
        <f t="shared" si="1"/>
      </c>
      <c r="K64" s="677">
        <f t="shared" si="2"/>
      </c>
      <c r="L64" s="676"/>
      <c r="M64" s="678">
        <f>SUM(M62:M63)</f>
      </c>
      <c r="N64" s="676"/>
      <c r="O64" s="676"/>
      <c r="P64" s="676"/>
      <c r="Q64" s="679">
        <f>AVERAGE(Q62:Q63)</f>
      </c>
      <c r="R64" s="680">
        <f>AVERAGE(R62:R63)</f>
      </c>
      <c r="S64" s="680">
        <f>AVERAGE(S62:S63)</f>
      </c>
      <c r="T64" s="680">
        <f>AVERAGE(T62:T63)</f>
      </c>
      <c r="U64" s="680">
        <f>AVERAGE(U62:U63)</f>
      </c>
      <c r="V64" s="681">
        <f>SUM(V62:V63)</f>
      </c>
      <c r="W64" s="680">
        <f>AVERAGE(W62:W63)</f>
      </c>
      <c r="X64" s="681"/>
      <c r="Y64" s="679">
        <f>AVERAGE(Y62:Y63)</f>
      </c>
      <c r="Z64" s="681">
        <f>SUM(Z62:Z63)</f>
      </c>
      <c r="AA64" s="681">
        <f>SUM(AA62:AA63)</f>
      </c>
      <c r="AB64" s="681">
        <f>SUM(AB62:AB63)</f>
      </c>
      <c r="AC64" s="681">
        <f>SUM(AC62:AC63)</f>
      </c>
      <c r="AD64" s="681">
        <f>SUM(AD62:AD63)</f>
      </c>
      <c r="AE64" s="681">
        <f>SUM(AE62:AE63)</f>
      </c>
      <c r="AF64" s="681">
        <f>SUM(AF62:AF63)</f>
      </c>
      <c r="AG64" s="681">
        <f>SUM(AG62:AG63)</f>
      </c>
      <c r="AH64" s="675"/>
    </row>
    <row r="65">
      <c r="A65" s="648" t="s">
        <v>1398</v>
      </c>
      <c r="B65" s="648" t="s">
        <v>1350</v>
      </c>
      <c r="C65" s="648" t="s">
        <v>1389</v>
      </c>
      <c r="D65" s="648">
        <v>4</v>
      </c>
      <c r="E65" s="648">
        <v>8</v>
      </c>
      <c r="F65" s="648">
        <v>8</v>
      </c>
      <c r="G65" s="666">
        <v>13486.84</v>
      </c>
      <c r="H65" s="667">
        <v>9071.01</v>
      </c>
      <c r="I65" s="668">
        <f t="shared" si="0"/>
      </c>
      <c r="J65" s="668">
        <f t="shared" si="1"/>
      </c>
      <c r="K65" s="668">
        <f t="shared" si="2"/>
      </c>
      <c r="L65" s="648" t="s">
        <v>1373</v>
      </c>
      <c r="M65" s="683">
        <v>0.4</v>
      </c>
      <c r="N65" s="666"/>
      <c r="O65" s="666"/>
      <c r="P65" s="666"/>
      <c r="Q65" s="671">
        <v>4.09341606498195</v>
      </c>
      <c r="R65" s="672">
        <v>0.1943620960652849</v>
      </c>
      <c r="S65" s="672">
        <v>0.02101709061249265</v>
      </c>
      <c r="T65" s="672">
        <v>0.02203190500578539</v>
      </c>
      <c r="U65" s="672">
        <v>0.07877744296168747</v>
      </c>
      <c r="V65" s="673">
        <v>20493.15068493151</v>
      </c>
      <c r="W65" s="672">
        <v>0.01825</v>
      </c>
      <c r="X65" s="673">
        <v>42.25</v>
      </c>
      <c r="Y65" s="674">
        <v>86.03169635235874</v>
      </c>
      <c r="Z65" s="673">
        <v>105438</v>
      </c>
      <c r="AA65" s="673">
        <v>2216</v>
      </c>
      <c r="AB65" s="673">
        <v>374</v>
      </c>
      <c r="AC65" s="673">
        <v>2323</v>
      </c>
      <c r="AD65" s="673">
        <v>183</v>
      </c>
      <c r="AE65" s="673">
        <v>16</v>
      </c>
      <c r="AF65" s="673">
        <v>3</v>
      </c>
      <c r="AG65" s="673">
        <v>90</v>
      </c>
      <c r="AH65" s="675"/>
    </row>
    <row r="66">
      <c r="A66" s="648" t="s">
        <v>1398</v>
      </c>
      <c r="B66" s="648" t="s">
        <v>1353</v>
      </c>
      <c r="C66" s="648" t="s">
        <v>1390</v>
      </c>
      <c r="D66" s="648">
        <v>3</v>
      </c>
      <c r="E66" s="648">
        <v>4</v>
      </c>
      <c r="F66" s="648">
        <v>5</v>
      </c>
      <c r="G66" s="666">
        <v>9404.29</v>
      </c>
      <c r="H66" s="667">
        <v>5254.79</v>
      </c>
      <c r="I66" s="668">
        <f t="shared" si="0"/>
      </c>
      <c r="J66" s="668">
        <f t="shared" si="1"/>
      </c>
      <c r="K66" s="668">
        <f t="shared" si="2"/>
      </c>
      <c r="L66" s="648" t="s">
        <v>1355</v>
      </c>
      <c r="M66" s="683">
        <v>2.4</v>
      </c>
      <c r="N66" s="666"/>
      <c r="O66" s="666"/>
      <c r="P66" s="666"/>
      <c r="Q66" s="674">
        <v>3.0783772700644407</v>
      </c>
      <c r="R66" s="672">
        <v>0.22281827784355268</v>
      </c>
      <c r="S66" s="672">
        <v>0.03186722921256021</v>
      </c>
      <c r="T66" s="672">
        <v>0.033939439196505244</v>
      </c>
      <c r="U66" s="672">
        <v>0.06655665566556655</v>
      </c>
      <c r="V66" s="673">
        <v>11935.483870967742</v>
      </c>
      <c r="W66" s="672">
        <v>0.0155</v>
      </c>
      <c r="X66" s="673">
        <v>39.666666666666664</v>
      </c>
      <c r="Y66" s="674">
        <v>98.09935406787888</v>
      </c>
      <c r="Z66" s="673">
        <v>53566</v>
      </c>
      <c r="AA66" s="673">
        <v>1707</v>
      </c>
      <c r="AB66" s="673">
        <v>185</v>
      </c>
      <c r="AC66" s="673">
        <v>1818</v>
      </c>
      <c r="AD66" s="673">
        <v>121</v>
      </c>
      <c r="AE66" s="673">
        <v>11</v>
      </c>
      <c r="AF66" s="673">
        <v>3</v>
      </c>
      <c r="AG66" s="673">
        <v>46</v>
      </c>
      <c r="AH66" s="675"/>
    </row>
    <row r="67">
      <c r="A67" s="684" t="s">
        <v>1398</v>
      </c>
      <c r="B67" s="676" t="s">
        <v>1356</v>
      </c>
      <c r="C67" s="676"/>
      <c r="D67" s="676">
        <f>SUM(D65:D66)</f>
      </c>
      <c r="E67" s="676">
        <f>E65+E66</f>
      </c>
      <c r="F67" s="676">
        <f>SUM(F65:F66)</f>
      </c>
      <c r="G67" s="676">
        <f>SUM(G65:G66)</f>
      </c>
      <c r="H67" s="676">
        <f>SUM(H65:H66)</f>
      </c>
      <c r="I67" s="677">
        <f t="shared" si="0"/>
      </c>
      <c r="J67" s="677">
        <f t="shared" si="1"/>
      </c>
      <c r="K67" s="677">
        <f t="shared" si="2"/>
      </c>
      <c r="L67" s="676"/>
      <c r="M67" s="678">
        <f>SUM(M65:M66)</f>
      </c>
      <c r="N67" s="676"/>
      <c r="O67" s="676"/>
      <c r="P67" s="676"/>
      <c r="Q67" s="679">
        <f>AVERAGE(Q65:Q66)</f>
      </c>
      <c r="R67" s="680">
        <f>AVERAGE(R65:R66)</f>
      </c>
      <c r="S67" s="680">
        <f>AVERAGE(S65:S66)</f>
      </c>
      <c r="T67" s="680">
        <f>AVERAGE(T65:T66)</f>
      </c>
      <c r="U67" s="680">
        <f>AVERAGE(U65:U66)</f>
      </c>
      <c r="V67" s="681">
        <f>SUM(V65:V66)</f>
      </c>
      <c r="W67" s="680">
        <f>AVERAGE(W65:W66)</f>
      </c>
      <c r="X67" s="681"/>
      <c r="Y67" s="679">
        <f>AVERAGE(Y65:Y66)</f>
      </c>
      <c r="Z67" s="681">
        <f>SUM(Z65:Z66)</f>
      </c>
      <c r="AA67" s="681">
        <f>SUM(AA65:AA66)</f>
      </c>
      <c r="AB67" s="681">
        <f>SUM(AB65:AB66)</f>
      </c>
      <c r="AC67" s="681">
        <f>SUM(AC65:AC66)</f>
      </c>
      <c r="AD67" s="681">
        <f>SUM(AD65:AD66)</f>
      </c>
      <c r="AE67" s="681">
        <f>SUM(AE65:AE66)</f>
      </c>
      <c r="AF67" s="681">
        <f>SUM(AF65:AF66)</f>
      </c>
      <c r="AG67" s="681">
        <f>SUM(AG65:AG66)</f>
      </c>
      <c r="AH67" s="675"/>
    </row>
    <row r="68">
      <c r="A68" s="648" t="s">
        <v>1399</v>
      </c>
      <c r="B68" s="648" t="s">
        <v>1350</v>
      </c>
      <c r="C68" s="648" t="s">
        <v>1361</v>
      </c>
      <c r="D68" s="648">
        <v>4</v>
      </c>
      <c r="E68" s="648">
        <v>7</v>
      </c>
      <c r="F68" s="648">
        <v>10</v>
      </c>
      <c r="G68" s="666">
        <v>18961.69</v>
      </c>
      <c r="H68" s="667">
        <v>6959.66</v>
      </c>
      <c r="I68" s="668">
        <f t="shared" si="0"/>
      </c>
      <c r="J68" s="668">
        <f t="shared" si="1"/>
      </c>
      <c r="K68" s="668">
        <f t="shared" si="2"/>
      </c>
      <c r="L68" s="648"/>
      <c r="M68" s="683"/>
      <c r="N68" s="666"/>
      <c r="O68" s="666"/>
      <c r="P68" s="666"/>
      <c r="Q68" s="671">
        <v>4.093917647058824</v>
      </c>
      <c r="R68" s="672">
        <v>0.17874165872259296</v>
      </c>
      <c r="S68" s="672">
        <v>0.020257387988560534</v>
      </c>
      <c r="T68" s="672">
        <v>0.02113918017159199</v>
      </c>
      <c r="U68" s="672">
        <v>0.07215332581736189</v>
      </c>
      <c r="V68" s="673">
        <v>15000</v>
      </c>
      <c r="W68" s="672">
        <v>0.02</v>
      </c>
      <c r="X68" s="673">
        <v>48</v>
      </c>
      <c r="Y68" s="674">
        <v>82.93207816968541</v>
      </c>
      <c r="Z68" s="673">
        <v>83920</v>
      </c>
      <c r="AA68" s="673">
        <v>1700</v>
      </c>
      <c r="AB68" s="673">
        <v>300</v>
      </c>
      <c r="AC68" s="673">
        <v>1774</v>
      </c>
      <c r="AD68" s="673">
        <v>128</v>
      </c>
      <c r="AE68" s="673">
        <v>14</v>
      </c>
      <c r="AF68" s="673">
        <v>1</v>
      </c>
      <c r="AG68" s="673">
        <v>69</v>
      </c>
      <c r="AH68" s="675"/>
    </row>
    <row r="69">
      <c r="A69" s="648" t="s">
        <v>1399</v>
      </c>
      <c r="B69" s="648" t="s">
        <v>1353</v>
      </c>
      <c r="C69" s="648" t="s">
        <v>1376</v>
      </c>
      <c r="D69" s="648">
        <v>4</v>
      </c>
      <c r="E69" s="648">
        <v>15</v>
      </c>
      <c r="F69" s="648">
        <v>16</v>
      </c>
      <c r="G69" s="666">
        <v>27754.24</v>
      </c>
      <c r="H69" s="667">
        <v>7253.790000000001</v>
      </c>
      <c r="I69" s="668">
        <f t="shared" si="0"/>
      </c>
      <c r="J69" s="668">
        <f t="shared" si="1"/>
      </c>
      <c r="K69" s="668">
        <f t="shared" si="2"/>
      </c>
      <c r="L69" s="648" t="s">
        <v>1355</v>
      </c>
      <c r="M69" s="683">
        <v>3.2</v>
      </c>
      <c r="N69" s="666"/>
      <c r="O69" s="666"/>
      <c r="P69" s="666"/>
      <c r="Q69" s="674">
        <v>3.485723209995195</v>
      </c>
      <c r="R69" s="672">
        <v>0.18482600802120064</v>
      </c>
      <c r="S69" s="672">
        <v>0.02510374445087821</v>
      </c>
      <c r="T69" s="672">
        <v>0.026394518432734992</v>
      </c>
      <c r="U69" s="672">
        <v>0.12522851919561243</v>
      </c>
      <c r="V69" s="673">
        <v>15321.336760925447</v>
      </c>
      <c r="W69" s="672">
        <v>0.019450000000000002</v>
      </c>
      <c r="X69" s="673">
        <v>52</v>
      </c>
      <c r="Y69" s="674">
        <v>87.50470469021425</v>
      </c>
      <c r="Z69" s="673">
        <v>82896</v>
      </c>
      <c r="AA69" s="673">
        <v>2081</v>
      </c>
      <c r="AB69" s="673">
        <v>298</v>
      </c>
      <c r="AC69" s="673">
        <v>2188</v>
      </c>
      <c r="AD69" s="673">
        <v>274</v>
      </c>
      <c r="AE69" s="673">
        <v>26</v>
      </c>
      <c r="AF69" s="673">
        <v>7</v>
      </c>
      <c r="AG69" s="673">
        <v>73</v>
      </c>
      <c r="AH69" s="675"/>
    </row>
    <row r="70">
      <c r="A70" s="684" t="s">
        <v>1399</v>
      </c>
      <c r="B70" s="676" t="s">
        <v>1356</v>
      </c>
      <c r="C70" s="676"/>
      <c r="D70" s="676">
        <f>SUM(D68:D69)</f>
      </c>
      <c r="E70" s="676">
        <f>E68+E69</f>
      </c>
      <c r="F70" s="676">
        <f>SUM(F68:F69)</f>
      </c>
      <c r="G70" s="676">
        <f>SUM(G68:G69)</f>
      </c>
      <c r="H70" s="676">
        <f>SUM(H68:H69)</f>
      </c>
      <c r="I70" s="677">
        <f t="shared" si="0"/>
      </c>
      <c r="J70" s="677">
        <f t="shared" si="1"/>
      </c>
      <c r="K70" s="677">
        <f t="shared" si="2"/>
      </c>
      <c r="L70" s="676"/>
      <c r="M70" s="678">
        <f>SUM(M68:M69)</f>
      </c>
      <c r="N70" s="676"/>
      <c r="O70" s="676"/>
      <c r="P70" s="676"/>
      <c r="Q70" s="679">
        <f>AVERAGE(Q68:Q69)</f>
      </c>
      <c r="R70" s="680">
        <f>AVERAGE(R68:R69)</f>
      </c>
      <c r="S70" s="680">
        <f>AVERAGE(S68:S69)</f>
      </c>
      <c r="T70" s="680">
        <f>AVERAGE(T68:T69)</f>
      </c>
      <c r="U70" s="680">
        <f>AVERAGE(U68:U69)</f>
      </c>
      <c r="V70" s="681">
        <f>SUM(V68:V69)</f>
      </c>
      <c r="W70" s="680">
        <f>AVERAGE(W68:W69)</f>
      </c>
      <c r="X70" s="681"/>
      <c r="Y70" s="679">
        <f>AVERAGE(Y68:Y69)</f>
      </c>
      <c r="Z70" s="681">
        <f>SUM(Z68:Z69)</f>
      </c>
      <c r="AA70" s="681">
        <f>SUM(AA68:AA69)</f>
      </c>
      <c r="AB70" s="681">
        <f>SUM(AB68:AB69)</f>
      </c>
      <c r="AC70" s="681">
        <f>SUM(AC68:AC69)</f>
      </c>
      <c r="AD70" s="681">
        <f>SUM(AD68:AD69)</f>
      </c>
      <c r="AE70" s="681">
        <f>SUM(AE68:AE69)</f>
      </c>
      <c r="AF70" s="681">
        <f>SUM(AF68:AF69)</f>
      </c>
      <c r="AG70" s="681">
        <f>SUM(AG68:AG69)</f>
      </c>
      <c r="AH70" s="675"/>
    </row>
    <row r="71">
      <c r="A71" s="648" t="s">
        <v>1400</v>
      </c>
      <c r="B71" s="648" t="s">
        <v>1350</v>
      </c>
      <c r="C71" s="648" t="s">
        <v>1361</v>
      </c>
      <c r="D71" s="648">
        <v>4</v>
      </c>
      <c r="E71" s="648">
        <v>12</v>
      </c>
      <c r="F71" s="648">
        <v>15</v>
      </c>
      <c r="G71" s="666">
        <v>34265.94</v>
      </c>
      <c r="H71" s="667">
        <v>8433.029999999999</v>
      </c>
      <c r="I71" s="668">
        <f t="shared" si="0"/>
      </c>
      <c r="J71" s="668">
        <f t="shared" si="1"/>
      </c>
      <c r="K71" s="668">
        <f t="shared" si="2"/>
      </c>
      <c r="L71" s="648"/>
      <c r="M71" s="683"/>
      <c r="N71" s="666"/>
      <c r="O71" s="666"/>
      <c r="P71" s="666"/>
      <c r="Q71" s="671">
        <v>3.3135677799607066</v>
      </c>
      <c r="R71" s="672">
        <v>0.19173710484661674</v>
      </c>
      <c r="S71" s="672">
        <v>0.02492044063647491</v>
      </c>
      <c r="T71" s="672">
        <v>0.02603671970624235</v>
      </c>
      <c r="U71" s="672">
        <v>0.08725084618277548</v>
      </c>
      <c r="V71" s="673">
        <v>19581.151832460735</v>
      </c>
      <c r="W71" s="672">
        <v>0.0191</v>
      </c>
      <c r="X71" s="673">
        <v>39.75</v>
      </c>
      <c r="Y71" s="674">
        <v>82.57556915544674</v>
      </c>
      <c r="Z71" s="673">
        <v>102125</v>
      </c>
      <c r="AA71" s="673">
        <v>2545</v>
      </c>
      <c r="AB71" s="673">
        <v>374</v>
      </c>
      <c r="AC71" s="673">
        <v>2659</v>
      </c>
      <c r="AD71" s="673">
        <v>232</v>
      </c>
      <c r="AE71" s="673">
        <v>12</v>
      </c>
      <c r="AF71" s="673">
        <v>3</v>
      </c>
      <c r="AG71" s="673">
        <v>114</v>
      </c>
      <c r="AH71" s="675"/>
    </row>
    <row r="72">
      <c r="A72" s="648" t="s">
        <v>1400</v>
      </c>
      <c r="B72" s="648" t="s">
        <v>1353</v>
      </c>
      <c r="C72" s="648" t="s">
        <v>1371</v>
      </c>
      <c r="D72" s="648">
        <v>3</v>
      </c>
      <c r="E72" s="648">
        <v>6</v>
      </c>
      <c r="F72" s="648">
        <v>6</v>
      </c>
      <c r="G72" s="666">
        <v>13287.58</v>
      </c>
      <c r="H72" s="667">
        <v>7066.97</v>
      </c>
      <c r="I72" s="668">
        <f t="shared" si="0"/>
      </c>
      <c r="J72" s="668">
        <f t="shared" si="1"/>
      </c>
      <c r="K72" s="668">
        <f t="shared" si="2"/>
      </c>
      <c r="L72" s="648" t="s">
        <v>1355</v>
      </c>
      <c r="M72" s="683">
        <v>2.8</v>
      </c>
      <c r="N72" s="666"/>
      <c r="O72" s="666"/>
      <c r="P72" s="666"/>
      <c r="Q72" s="674">
        <v>3.0213638306968793</v>
      </c>
      <c r="R72" s="672">
        <v>0.2201150866134212</v>
      </c>
      <c r="S72" s="672">
        <v>0.025131621360266466</v>
      </c>
      <c r="T72" s="672">
        <v>0.02594821102396046</v>
      </c>
      <c r="U72" s="672">
        <v>0.07743271221532091</v>
      </c>
      <c r="V72" s="673">
        <v>20486.11111111111</v>
      </c>
      <c r="W72" s="672">
        <v>0.014400000000000001</v>
      </c>
      <c r="X72" s="673">
        <v>40.666666666666664</v>
      </c>
      <c r="Y72" s="674">
        <v>75.9317717846782</v>
      </c>
      <c r="Z72" s="673">
        <v>93070</v>
      </c>
      <c r="AA72" s="673">
        <v>2339</v>
      </c>
      <c r="AB72" s="673">
        <v>295</v>
      </c>
      <c r="AC72" s="673">
        <v>2415</v>
      </c>
      <c r="AD72" s="673">
        <v>187</v>
      </c>
      <c r="AE72" s="673">
        <v>18</v>
      </c>
      <c r="AF72" s="673">
        <v>1</v>
      </c>
      <c r="AG72" s="673">
        <v>66</v>
      </c>
      <c r="AH72" s="675"/>
    </row>
    <row r="73">
      <c r="A73" s="684" t="s">
        <v>1400</v>
      </c>
      <c r="B73" s="676" t="s">
        <v>1356</v>
      </c>
      <c r="C73" s="676"/>
      <c r="D73" s="676">
        <f>SUM(D71:D72)</f>
      </c>
      <c r="E73" s="676">
        <f>E71+E72</f>
      </c>
      <c r="F73" s="676">
        <f>SUM(F71:F72)</f>
      </c>
      <c r="G73" s="676">
        <f>SUM(G71:G72)</f>
      </c>
      <c r="H73" s="676">
        <f>SUM(H71:H72)</f>
      </c>
      <c r="I73" s="677">
        <f t="shared" si="0"/>
      </c>
      <c r="J73" s="677">
        <f t="shared" si="1"/>
      </c>
      <c r="K73" s="677">
        <f t="shared" si="2"/>
      </c>
      <c r="L73" s="676"/>
      <c r="M73" s="678">
        <f>SUM(M71:M72)</f>
      </c>
      <c r="N73" s="676"/>
      <c r="O73" s="676"/>
      <c r="P73" s="676"/>
      <c r="Q73" s="679">
        <f>AVERAGE(Q71:Q72)</f>
      </c>
      <c r="R73" s="680">
        <f>AVERAGE(R71:R72)</f>
      </c>
      <c r="S73" s="680">
        <f>AVERAGE(S71:S72)</f>
      </c>
      <c r="T73" s="680">
        <f>AVERAGE(T71:T72)</f>
      </c>
      <c r="U73" s="680">
        <f>AVERAGE(U71:U72)</f>
      </c>
      <c r="V73" s="681">
        <f>SUM(V71:V72)</f>
      </c>
      <c r="W73" s="680">
        <f>AVERAGE(W71:W72)</f>
      </c>
      <c r="X73" s="681"/>
      <c r="Y73" s="679">
        <f>AVERAGE(Y71:Y72)</f>
      </c>
      <c r="Z73" s="681">
        <f>SUM(Z71:Z72)</f>
      </c>
      <c r="AA73" s="681">
        <f>SUM(AA71:AA72)</f>
      </c>
      <c r="AB73" s="681">
        <f>SUM(AB71:AB72)</f>
      </c>
      <c r="AC73" s="681">
        <f>SUM(AC71:AC72)</f>
      </c>
      <c r="AD73" s="681">
        <f>SUM(AD71:AD72)</f>
      </c>
      <c r="AE73" s="681">
        <f>SUM(AE71:AE72)</f>
      </c>
      <c r="AF73" s="681">
        <f>SUM(AF71:AF72)</f>
      </c>
      <c r="AG73" s="681">
        <f>SUM(AG71:AG72)</f>
      </c>
      <c r="AH73" s="675"/>
    </row>
    <row customHeight="true" ht="16.071428571428573" r="74">
      <c r="A74" s="648" t="s">
        <v>1401</v>
      </c>
      <c r="B74" s="648" t="s">
        <v>1353</v>
      </c>
      <c r="C74" s="648" t="s">
        <v>1361</v>
      </c>
      <c r="D74" s="648">
        <v>4</v>
      </c>
      <c r="E74" s="648">
        <v>8</v>
      </c>
      <c r="F74" s="648">
        <v>11</v>
      </c>
      <c r="G74" s="666">
        <v>16776.06</v>
      </c>
      <c r="H74" s="667">
        <v>7968.950000000001</v>
      </c>
      <c r="I74" s="668">
        <f t="shared" si="0"/>
      </c>
      <c r="J74" s="668">
        <f t="shared" si="1"/>
      </c>
      <c r="K74" s="668">
        <f t="shared" si="2"/>
      </c>
      <c r="L74" s="648"/>
      <c r="M74" s="683"/>
      <c r="N74" s="666"/>
      <c r="O74" s="666"/>
      <c r="P74" s="666"/>
      <c r="Q74" s="671">
        <v>4.307540540540541</v>
      </c>
      <c r="R74" s="672">
        <v>0.1587487348863619</v>
      </c>
      <c r="S74" s="672">
        <v>0.01804209171234079</v>
      </c>
      <c r="T74" s="672">
        <v>0.018519963330667653</v>
      </c>
      <c r="U74" s="672">
        <v>0.08004212743549237</v>
      </c>
      <c r="V74" s="673">
        <v>16277.777777777776</v>
      </c>
      <c r="W74" s="672">
        <v>0.018000000000000002</v>
      </c>
      <c r="X74" s="673">
        <v>40</v>
      </c>
      <c r="Y74" s="674">
        <v>77.71704148705847</v>
      </c>
      <c r="Z74" s="673">
        <v>102538</v>
      </c>
      <c r="AA74" s="673">
        <v>1850</v>
      </c>
      <c r="AB74" s="673">
        <v>293</v>
      </c>
      <c r="AC74" s="673">
        <v>1899</v>
      </c>
      <c r="AD74" s="673">
        <v>152</v>
      </c>
      <c r="AE74" s="673">
        <v>12</v>
      </c>
      <c r="AF74" s="673">
        <v>4</v>
      </c>
      <c r="AG74" s="673">
        <v>100</v>
      </c>
      <c r="AH74" s="675"/>
    </row>
    <row customHeight="true" ht="16.071428571428573" r="75">
      <c r="A75" s="648" t="s">
        <v>1401</v>
      </c>
      <c r="B75" s="648" t="s">
        <v>1350</v>
      </c>
      <c r="C75" s="648" t="s">
        <v>1371</v>
      </c>
      <c r="D75" s="648">
        <v>3</v>
      </c>
      <c r="E75" s="648">
        <v>2</v>
      </c>
      <c r="F75" s="648">
        <v>3</v>
      </c>
      <c r="G75" s="666">
        <v>4496.16</v>
      </c>
      <c r="H75" s="667">
        <v>5474.44</v>
      </c>
      <c r="I75" s="668">
        <f t="shared" si="0"/>
      </c>
      <c r="J75" s="668">
        <f t="shared" si="1"/>
      </c>
      <c r="K75" s="668">
        <f t="shared" si="2"/>
      </c>
      <c r="L75" s="648" t="s">
        <v>1355</v>
      </c>
      <c r="M75" s="683">
        <v>2.8</v>
      </c>
      <c r="N75" s="666"/>
      <c r="O75" s="666"/>
      <c r="P75" s="666"/>
      <c r="Q75" s="674">
        <v>3.7089701897018967</v>
      </c>
      <c r="R75" s="672">
        <v>0.2436780384815468</v>
      </c>
      <c r="S75" s="672">
        <v>0.027536285959479125</v>
      </c>
      <c r="T75" s="672">
        <v>0.02925263982687213</v>
      </c>
      <c r="U75" s="672">
        <v>0.07525510204081633</v>
      </c>
      <c r="V75" s="673">
        <v>13061.630218687871</v>
      </c>
      <c r="W75" s="672">
        <v>0.01676666666666667</v>
      </c>
      <c r="X75" s="673">
        <v>43</v>
      </c>
      <c r="Y75" s="674">
        <v>102.13126375881495</v>
      </c>
      <c r="Z75" s="673">
        <v>53602</v>
      </c>
      <c r="AA75" s="673">
        <v>1476</v>
      </c>
      <c r="AB75" s="673">
        <v>219</v>
      </c>
      <c r="AC75" s="673">
        <v>1568</v>
      </c>
      <c r="AD75" s="673">
        <v>118</v>
      </c>
      <c r="AE75" s="673">
        <v>11</v>
      </c>
      <c r="AF75" s="673">
        <v>1</v>
      </c>
      <c r="AG75" s="673">
        <v>44</v>
      </c>
      <c r="AH75" s="675"/>
    </row>
    <row customHeight="true" ht="16.071428571428573" r="76">
      <c r="A76" s="684" t="s">
        <v>1401</v>
      </c>
      <c r="B76" s="676" t="s">
        <v>1356</v>
      </c>
      <c r="C76" s="676"/>
      <c r="D76" s="676">
        <f>SUM(D74:D75)</f>
      </c>
      <c r="E76" s="676">
        <f>E74+E75</f>
      </c>
      <c r="F76" s="676">
        <f>SUM(F74:F75)</f>
      </c>
      <c r="G76" s="676">
        <f>SUM(G74:G75)</f>
      </c>
      <c r="H76" s="676">
        <f>SUM(H74:H75)</f>
      </c>
      <c r="I76" s="677">
        <f t="shared" si="0"/>
      </c>
      <c r="J76" s="677">
        <f t="shared" si="1"/>
      </c>
      <c r="K76" s="677">
        <f t="shared" si="2"/>
      </c>
      <c r="L76" s="676"/>
      <c r="M76" s="678">
        <f>SUM(M74:M75)</f>
      </c>
      <c r="N76" s="676"/>
      <c r="O76" s="676"/>
      <c r="P76" s="676"/>
      <c r="Q76" s="679">
        <f>AVERAGE(Q74:Q75)</f>
      </c>
      <c r="R76" s="680">
        <f>AVERAGE(R74:R75)</f>
      </c>
      <c r="S76" s="680">
        <f>AVERAGE(S74:S75)</f>
      </c>
      <c r="T76" s="680">
        <f>AVERAGE(T74:T75)</f>
      </c>
      <c r="U76" s="680">
        <f>AVERAGE(U74:U75)</f>
      </c>
      <c r="V76" s="681">
        <f>SUM(V74:V75)</f>
      </c>
      <c r="W76" s="680">
        <f>AVERAGE(W74:W75)</f>
      </c>
      <c r="X76" s="681"/>
      <c r="Y76" s="679">
        <f>AVERAGE(Y74:Y75)</f>
      </c>
      <c r="Z76" s="681">
        <f>SUM(Z74:Z75)</f>
      </c>
      <c r="AA76" s="681">
        <f>SUM(AA74:AA75)</f>
      </c>
      <c r="AB76" s="681">
        <f>SUM(AB74:AB75)</f>
      </c>
      <c r="AC76" s="681">
        <f>SUM(AC74:AC75)</f>
      </c>
      <c r="AD76" s="681">
        <f>SUM(AD74:AD75)</f>
      </c>
      <c r="AE76" s="681">
        <f>SUM(AE74:AE75)</f>
      </c>
      <c r="AF76" s="681">
        <f>SUM(AF74:AF75)</f>
      </c>
      <c r="AG76" s="681">
        <f>SUM(AG74:AG75)</f>
      </c>
      <c r="AH76" s="675"/>
    </row>
    <row r="77">
      <c r="A77" s="648" t="s">
        <v>1402</v>
      </c>
      <c r="B77" s="648" t="s">
        <v>1350</v>
      </c>
      <c r="C77" s="648" t="s">
        <v>1361</v>
      </c>
      <c r="D77" s="648">
        <v>4</v>
      </c>
      <c r="E77" s="648">
        <v>6</v>
      </c>
      <c r="F77" s="648">
        <v>6</v>
      </c>
      <c r="G77" s="666">
        <v>13106.75</v>
      </c>
      <c r="H77" s="667">
        <v>4821.13</v>
      </c>
      <c r="I77" s="668">
        <f t="shared" si="0"/>
      </c>
      <c r="J77" s="668">
        <f t="shared" si="1"/>
      </c>
      <c r="K77" s="668">
        <f t="shared" si="2"/>
      </c>
      <c r="L77" s="648" t="s">
        <v>1352</v>
      </c>
      <c r="M77" s="683">
        <v>0.4</v>
      </c>
      <c r="N77" s="666"/>
      <c r="O77" s="666"/>
      <c r="P77" s="666"/>
      <c r="Q77" s="671">
        <v>5.374726867335563</v>
      </c>
      <c r="R77" s="672">
        <v>0.028172801320240075</v>
      </c>
      <c r="S77" s="672">
        <v>0.018562589243217516</v>
      </c>
      <c r="T77" s="672">
        <v>0.01951451689671585</v>
      </c>
      <c r="U77" s="672">
        <v>0.176033934252386</v>
      </c>
      <c r="V77" s="673">
        <v>1361.394278197961</v>
      </c>
      <c r="W77" s="672">
        <v>0.15205000000000002</v>
      </c>
      <c r="X77" s="673">
        <v>67</v>
      </c>
      <c r="Y77" s="674">
        <v>99.76884713283529</v>
      </c>
      <c r="Z77" s="673">
        <v>48323</v>
      </c>
      <c r="AA77" s="673">
        <v>897</v>
      </c>
      <c r="AB77" s="673">
        <v>207</v>
      </c>
      <c r="AC77" s="673">
        <v>943</v>
      </c>
      <c r="AD77" s="673">
        <v>166</v>
      </c>
      <c r="AE77" s="673">
        <v>12</v>
      </c>
      <c r="AF77" s="673">
        <v>2</v>
      </c>
      <c r="AG77" s="673">
        <v>50</v>
      </c>
      <c r="AH77" s="675"/>
    </row>
    <row r="78">
      <c r="A78" s="648" t="s">
        <v>1402</v>
      </c>
      <c r="B78" s="648"/>
      <c r="C78" s="648"/>
      <c r="D78" s="648"/>
      <c r="E78" s="648"/>
      <c r="F78" s="648"/>
      <c r="G78" s="666"/>
      <c r="H78" s="667"/>
      <c r="I78" s="668">
        <f t="shared" si="0"/>
      </c>
      <c r="J78" s="668">
        <f t="shared" si="1"/>
      </c>
      <c r="K78" s="668">
        <f t="shared" si="2"/>
      </c>
      <c r="L78" s="648" t="s">
        <v>1355</v>
      </c>
      <c r="M78" s="683">
        <v>1.2</v>
      </c>
      <c r="N78" s="666"/>
      <c r="O78" s="666"/>
      <c r="P78" s="666"/>
      <c r="Q78" s="674"/>
      <c r="R78" s="672"/>
      <c r="S78" s="672"/>
      <c r="T78" s="672"/>
      <c r="U78" s="672"/>
      <c r="V78" s="673"/>
      <c r="W78" s="672"/>
      <c r="X78" s="673"/>
      <c r="Y78" s="674"/>
      <c r="Z78" s="673"/>
      <c r="AA78" s="673"/>
      <c r="AB78" s="673"/>
      <c r="AC78" s="673"/>
      <c r="AD78" s="673"/>
      <c r="AE78" s="673"/>
      <c r="AF78" s="673"/>
      <c r="AG78" s="673"/>
      <c r="AH78" s="675"/>
    </row>
    <row r="79">
      <c r="A79" s="684" t="s">
        <v>1402</v>
      </c>
      <c r="B79" s="676" t="s">
        <v>1356</v>
      </c>
      <c r="C79" s="676"/>
      <c r="D79" s="676">
        <f>SUM(D77)</f>
      </c>
      <c r="E79" s="676">
        <f>E77+E78</f>
      </c>
      <c r="F79" s="676">
        <f>SUM(F77:F78)</f>
      </c>
      <c r="G79" s="676">
        <f>SUM(G77:G78)</f>
      </c>
      <c r="H79" s="676">
        <f>SUM(H77:H78)</f>
      </c>
      <c r="I79" s="677">
        <f t="shared" si="0"/>
      </c>
      <c r="J79" s="677">
        <f t="shared" si="1"/>
      </c>
      <c r="K79" s="677">
        <f t="shared" si="2"/>
      </c>
      <c r="L79" s="676"/>
      <c r="M79" s="678">
        <f>SUM(M77:M78)</f>
      </c>
      <c r="N79" s="676"/>
      <c r="O79" s="676"/>
      <c r="P79" s="676"/>
      <c r="Q79" s="679">
        <f>AVERAGE(Q77:Q78)</f>
      </c>
      <c r="R79" s="680">
        <f>AVERAGE(R77:R78)</f>
      </c>
      <c r="S79" s="680">
        <f>AVERAGE(S77:S78)</f>
      </c>
      <c r="T79" s="680">
        <f>AVERAGE(T77:T78)</f>
      </c>
      <c r="U79" s="680">
        <f>AVERAGE(U77:U78)</f>
      </c>
      <c r="V79" s="681">
        <f>SUM(V77:V78)</f>
      </c>
      <c r="W79" s="680">
        <f>AVERAGE(W77:W78)</f>
      </c>
      <c r="X79" s="681"/>
      <c r="Y79" s="679">
        <f>AVERAGE(Y77:Y78)</f>
      </c>
      <c r="Z79" s="681">
        <f>SUM(Z77:Z78)</f>
      </c>
      <c r="AA79" s="681">
        <f>SUM(AA77:AA78)</f>
      </c>
      <c r="AB79" s="681">
        <f>SUM(AB77:AB78)</f>
      </c>
      <c r="AC79" s="681">
        <f>SUM(AC77:AC78)</f>
      </c>
      <c r="AD79" s="681">
        <f>SUM(AD77:AD78)</f>
      </c>
      <c r="AE79" s="681">
        <f>SUM(AE77:AE78)</f>
      </c>
      <c r="AF79" s="681">
        <f>SUM(AF77:AF78)</f>
      </c>
      <c r="AG79" s="681">
        <f>SUM(AG77:AG78)</f>
      </c>
      <c r="AH79" s="675"/>
    </row>
    <row r="80">
      <c r="A80" s="648" t="s">
        <v>1403</v>
      </c>
      <c r="B80" s="648" t="s">
        <v>1353</v>
      </c>
      <c r="C80" s="648" t="s">
        <v>1361</v>
      </c>
      <c r="D80" s="648">
        <v>4</v>
      </c>
      <c r="E80" s="648">
        <v>6</v>
      </c>
      <c r="F80" s="648">
        <v>7</v>
      </c>
      <c r="G80" s="666">
        <v>17004.03</v>
      </c>
      <c r="H80" s="667">
        <v>8724.35</v>
      </c>
      <c r="I80" s="668">
        <f t="shared" si="0"/>
      </c>
      <c r="J80" s="668">
        <f t="shared" si="1"/>
      </c>
      <c r="K80" s="668">
        <f t="shared" si="2"/>
      </c>
      <c r="L80" s="648"/>
      <c r="M80" s="683"/>
      <c r="N80" s="666"/>
      <c r="O80" s="666"/>
      <c r="P80" s="666"/>
      <c r="Q80" s="671">
        <v>4.190369836695485</v>
      </c>
      <c r="R80" s="672">
        <v>0.1280915107037704</v>
      </c>
      <c r="S80" s="672">
        <v>0.019605812059175276</v>
      </c>
      <c r="T80" s="672">
        <v>0.0201143201529291</v>
      </c>
      <c r="U80" s="672">
        <v>0.10908239700374532</v>
      </c>
      <c r="V80" s="673">
        <v>13602.421796165489</v>
      </c>
      <c r="W80" s="672">
        <v>0.024775000000000002</v>
      </c>
      <c r="X80" s="673">
        <v>41.75</v>
      </c>
      <c r="Y80" s="674">
        <v>82.15560347668867</v>
      </c>
      <c r="Z80" s="673">
        <v>106193</v>
      </c>
      <c r="AA80" s="673">
        <v>2082</v>
      </c>
      <c r="AB80" s="673">
        <v>337</v>
      </c>
      <c r="AC80" s="673">
        <v>2136</v>
      </c>
      <c r="AD80" s="673">
        <v>233</v>
      </c>
      <c r="AE80" s="673">
        <v>11</v>
      </c>
      <c r="AF80" s="673">
        <v>5</v>
      </c>
      <c r="AG80" s="673">
        <v>95</v>
      </c>
      <c r="AH80" s="675"/>
    </row>
    <row r="81">
      <c r="A81" s="648" t="s">
        <v>1403</v>
      </c>
      <c r="B81" s="648" t="s">
        <v>1350</v>
      </c>
      <c r="C81" s="648" t="s">
        <v>1376</v>
      </c>
      <c r="D81" s="648">
        <v>4</v>
      </c>
      <c r="E81" s="648">
        <v>11</v>
      </c>
      <c r="F81" s="648">
        <v>15</v>
      </c>
      <c r="G81" s="666">
        <v>29645.84</v>
      </c>
      <c r="H81" s="667">
        <v>7833.860000000001</v>
      </c>
      <c r="I81" s="668">
        <f t="shared" si="0"/>
      </c>
      <c r="J81" s="668">
        <f t="shared" si="1"/>
      </c>
      <c r="K81" s="668">
        <f t="shared" si="2"/>
      </c>
      <c r="L81" s="648" t="s">
        <v>1355</v>
      </c>
      <c r="M81" s="683">
        <v>3.2</v>
      </c>
      <c r="N81" s="666"/>
      <c r="O81" s="666"/>
      <c r="P81" s="666"/>
      <c r="Q81" s="674">
        <v>3.834488497307881</v>
      </c>
      <c r="R81" s="672">
        <v>0.15454751242409592</v>
      </c>
      <c r="S81" s="672">
        <v>0.02742245070535966</v>
      </c>
      <c r="T81" s="672">
        <v>0.02920766164212561</v>
      </c>
      <c r="U81" s="672">
        <v>0.09145220588235294</v>
      </c>
      <c r="V81" s="673">
        <v>11513.94422310757</v>
      </c>
      <c r="W81" s="672">
        <v>0.0251</v>
      </c>
      <c r="X81" s="673">
        <v>47.25</v>
      </c>
      <c r="Y81" s="674">
        <v>105.15107179769399</v>
      </c>
      <c r="Z81" s="673">
        <v>74501</v>
      </c>
      <c r="AA81" s="673">
        <v>2043</v>
      </c>
      <c r="AB81" s="673">
        <v>289</v>
      </c>
      <c r="AC81" s="673">
        <v>2176</v>
      </c>
      <c r="AD81" s="673">
        <v>199</v>
      </c>
      <c r="AE81" s="673">
        <v>14</v>
      </c>
      <c r="AF81" s="673">
        <v>3</v>
      </c>
      <c r="AG81" s="673">
        <v>79</v>
      </c>
      <c r="AH81" s="675"/>
    </row>
    <row r="82">
      <c r="A82" s="684" t="s">
        <v>1403</v>
      </c>
      <c r="B82" s="676" t="s">
        <v>1356</v>
      </c>
      <c r="C82" s="676"/>
      <c r="D82" s="676">
        <f>SUM(D80:D81)</f>
      </c>
      <c r="E82" s="676">
        <f>E80+E81</f>
      </c>
      <c r="F82" s="676">
        <f>SUM(F80:F81)</f>
      </c>
      <c r="G82" s="676">
        <f>SUM(G80:G81)</f>
      </c>
      <c r="H82" s="676">
        <f>SUM(H80:H81)</f>
      </c>
      <c r="I82" s="677">
        <f t="shared" si="0"/>
      </c>
      <c r="J82" s="677">
        <f t="shared" si="1"/>
      </c>
      <c r="K82" s="677">
        <f t="shared" si="2"/>
      </c>
      <c r="L82" s="676"/>
      <c r="M82" s="678">
        <f>SUM(M80:M81)</f>
      </c>
      <c r="N82" s="676"/>
      <c r="O82" s="676"/>
      <c r="P82" s="676"/>
      <c r="Q82" s="679">
        <f>AVERAGE(Q80:Q81)</f>
      </c>
      <c r="R82" s="680">
        <f>AVERAGE(R80:R81)</f>
      </c>
      <c r="S82" s="680">
        <f>AVERAGE(S80:S81)</f>
      </c>
      <c r="T82" s="680">
        <f>AVERAGE(T80:T81)</f>
      </c>
      <c r="U82" s="680">
        <f>AVERAGE(U80:U81)</f>
      </c>
      <c r="V82" s="681">
        <f>SUM(V80:V81)</f>
      </c>
      <c r="W82" s="680">
        <f>AVERAGE(W80:W81)</f>
      </c>
      <c r="X82" s="681"/>
      <c r="Y82" s="679">
        <f>AVERAGE(Y80:Y81)</f>
      </c>
      <c r="Z82" s="681">
        <f>SUM(Z80:Z81)</f>
      </c>
      <c r="AA82" s="681">
        <f>SUM(AA80:AA81)</f>
      </c>
      <c r="AB82" s="681">
        <f>SUM(AB80:AB81)</f>
      </c>
      <c r="AC82" s="681">
        <f>SUM(AC80:AC81)</f>
      </c>
      <c r="AD82" s="681">
        <f>SUM(AD80:AD81)</f>
      </c>
      <c r="AE82" s="681">
        <f>SUM(AE80:AE81)</f>
      </c>
      <c r="AF82" s="681">
        <f>SUM(AF80:AF81)</f>
      </c>
      <c r="AG82" s="681">
        <f>SUM(AG80:AG81)</f>
      </c>
      <c r="AH82" s="675"/>
    </row>
    <row r="83">
      <c r="A83" s="648" t="s">
        <v>1404</v>
      </c>
      <c r="B83" s="648" t="s">
        <v>1353</v>
      </c>
      <c r="C83" s="648" t="s">
        <v>1361</v>
      </c>
      <c r="D83" s="648">
        <v>4</v>
      </c>
      <c r="E83" s="648">
        <v>8</v>
      </c>
      <c r="F83" s="648">
        <v>8</v>
      </c>
      <c r="G83" s="666">
        <v>14852</v>
      </c>
      <c r="H83" s="667">
        <v>8176.889999999999</v>
      </c>
      <c r="I83" s="668">
        <f t="shared" si="0"/>
      </c>
      <c r="J83" s="668">
        <f t="shared" si="1"/>
      </c>
      <c r="K83" s="668">
        <f t="shared" si="2"/>
      </c>
      <c r="L83" s="648"/>
      <c r="M83" s="683"/>
      <c r="N83" s="666"/>
      <c r="O83" s="666"/>
      <c r="P83" s="666"/>
      <c r="Q83" s="671">
        <v>4.004353574926542</v>
      </c>
      <c r="R83" s="672">
        <v>0.17542870389514376</v>
      </c>
      <c r="S83" s="672">
        <v>0.02413369262043209</v>
      </c>
      <c r="T83" s="672">
        <v>0.025540112513591454</v>
      </c>
      <c r="U83" s="672">
        <v>0.09023600185099491</v>
      </c>
      <c r="V83" s="673">
        <v>14843.373493975903</v>
      </c>
      <c r="W83" s="672">
        <v>0.02075</v>
      </c>
      <c r="X83" s="673">
        <v>32.5</v>
      </c>
      <c r="Y83" s="674">
        <v>96.63983832080555</v>
      </c>
      <c r="Z83" s="673">
        <v>84612</v>
      </c>
      <c r="AA83" s="673">
        <v>2042</v>
      </c>
      <c r="AB83" s="673">
        <v>308</v>
      </c>
      <c r="AC83" s="673">
        <v>2161</v>
      </c>
      <c r="AD83" s="673">
        <v>195</v>
      </c>
      <c r="AE83" s="673">
        <v>11</v>
      </c>
      <c r="AF83" s="673">
        <v>4</v>
      </c>
      <c r="AG83" s="673">
        <v>78</v>
      </c>
      <c r="AH83" s="675"/>
    </row>
    <row r="84">
      <c r="A84" s="648" t="s">
        <v>1404</v>
      </c>
      <c r="B84" s="648" t="s">
        <v>1350</v>
      </c>
      <c r="C84" s="648" t="s">
        <v>1376</v>
      </c>
      <c r="D84" s="648">
        <v>4</v>
      </c>
      <c r="E84" s="648">
        <v>10</v>
      </c>
      <c r="F84" s="648">
        <v>12</v>
      </c>
      <c r="G84" s="666">
        <v>25906.15</v>
      </c>
      <c r="H84" s="667">
        <v>8466.46</v>
      </c>
      <c r="I84" s="668">
        <f t="shared" si="0"/>
      </c>
      <c r="J84" s="668">
        <f t="shared" si="1"/>
      </c>
      <c r="K84" s="668">
        <f t="shared" si="2"/>
      </c>
      <c r="L84" s="648" t="s">
        <v>1355</v>
      </c>
      <c r="M84" s="683">
        <v>3.2</v>
      </c>
      <c r="N84" s="666"/>
      <c r="O84" s="666"/>
      <c r="P84" s="666"/>
      <c r="Q84" s="674">
        <v>4.54941429339065</v>
      </c>
      <c r="R84" s="672">
        <v>0.04409010608888279</v>
      </c>
      <c r="S84" s="672">
        <v>0.02199373633516516</v>
      </c>
      <c r="T84" s="672">
        <v>0.022868285764935294</v>
      </c>
      <c r="U84" s="672">
        <v>0.12248062015503876</v>
      </c>
      <c r="V84" s="673">
        <v>3730.684326710817</v>
      </c>
      <c r="W84" s="672">
        <v>0.0906</v>
      </c>
      <c r="X84" s="673">
        <v>44.25</v>
      </c>
      <c r="Y84" s="674">
        <v>100.05861844826566</v>
      </c>
      <c r="Z84" s="673">
        <v>84615</v>
      </c>
      <c r="AA84" s="673">
        <v>1861</v>
      </c>
      <c r="AB84" s="673">
        <v>338</v>
      </c>
      <c r="AC84" s="673">
        <v>1935</v>
      </c>
      <c r="AD84" s="673">
        <v>237</v>
      </c>
      <c r="AE84" s="673">
        <v>25</v>
      </c>
      <c r="AF84" s="673">
        <v>3</v>
      </c>
      <c r="AG84" s="673">
        <v>85</v>
      </c>
      <c r="AH84" s="675"/>
    </row>
    <row r="85">
      <c r="A85" s="684" t="s">
        <v>1404</v>
      </c>
      <c r="B85" s="676" t="s">
        <v>1356</v>
      </c>
      <c r="C85" s="676"/>
      <c r="D85" s="676">
        <f>SUM(D83:D84)</f>
      </c>
      <c r="E85" s="676">
        <f>E83+E84</f>
      </c>
      <c r="F85" s="676">
        <f>SUM(F83:F84)</f>
      </c>
      <c r="G85" s="676">
        <f>SUM(G83:G84)</f>
      </c>
      <c r="H85" s="676">
        <f>SUM(H83:H84)</f>
      </c>
      <c r="I85" s="677">
        <f t="shared" si="0"/>
      </c>
      <c r="J85" s="677">
        <f t="shared" si="1"/>
      </c>
      <c r="K85" s="677">
        <f t="shared" si="2"/>
      </c>
      <c r="L85" s="676"/>
      <c r="M85" s="678">
        <f>SUM(M83:M84)</f>
      </c>
      <c r="N85" s="676"/>
      <c r="O85" s="676"/>
      <c r="P85" s="676"/>
      <c r="Q85" s="679">
        <f>AVERAGE(Q83:Q84)</f>
      </c>
      <c r="R85" s="680">
        <f>AVERAGE(R83:R84)</f>
      </c>
      <c r="S85" s="680">
        <f>AVERAGE(S83:S84)</f>
      </c>
      <c r="T85" s="680">
        <f>AVERAGE(T83:T84)</f>
      </c>
      <c r="U85" s="680">
        <f>AVERAGE(U83:U84)</f>
      </c>
      <c r="V85" s="681">
        <f>SUM(V83:V84)</f>
      </c>
      <c r="W85" s="680">
        <f>AVERAGE(W83:W84)</f>
      </c>
      <c r="X85" s="681"/>
      <c r="Y85" s="679">
        <f>AVERAGE(Y83:Y84)</f>
      </c>
      <c r="Z85" s="681">
        <f>SUM(Z83:Z84)</f>
      </c>
      <c r="AA85" s="681">
        <f>SUM(AA83:AA84)</f>
      </c>
      <c r="AB85" s="681">
        <f>SUM(AB83:AB84)</f>
      </c>
      <c r="AC85" s="681">
        <f>SUM(AC83:AC84)</f>
      </c>
      <c r="AD85" s="681">
        <f>SUM(AD83:AD84)</f>
      </c>
      <c r="AE85" s="681">
        <f>SUM(AE83:AE84)</f>
      </c>
      <c r="AF85" s="681">
        <f>SUM(AF83:AF84)</f>
      </c>
      <c r="AG85" s="681">
        <f>SUM(AG83:AG84)</f>
      </c>
      <c r="AH85" s="675"/>
    </row>
    <row r="86">
      <c r="A86" s="648" t="s">
        <v>1405</v>
      </c>
      <c r="B86" s="648" t="s">
        <v>1353</v>
      </c>
      <c r="C86" s="648" t="s">
        <v>1361</v>
      </c>
      <c r="D86" s="648">
        <v>4</v>
      </c>
      <c r="E86" s="648">
        <v>5</v>
      </c>
      <c r="F86" s="648">
        <v>5</v>
      </c>
      <c r="G86" s="666">
        <v>9027.6</v>
      </c>
      <c r="H86" s="667">
        <v>8649.07</v>
      </c>
      <c r="I86" s="668">
        <f t="shared" si="0"/>
      </c>
      <c r="J86" s="668">
        <f t="shared" si="1"/>
      </c>
      <c r="K86" s="668">
        <f t="shared" si="2"/>
      </c>
      <c r="L86" s="648"/>
      <c r="M86" s="683"/>
      <c r="N86" s="666"/>
      <c r="O86" s="666"/>
      <c r="P86" s="666"/>
      <c r="Q86" s="671">
        <v>4.3881633688483</v>
      </c>
      <c r="R86" s="672">
        <v>0.1820786562307136</v>
      </c>
      <c r="S86" s="672">
        <v>0.021263971000733614</v>
      </c>
      <c r="T86" s="672">
        <v>0.022288870668450353</v>
      </c>
      <c r="U86" s="672">
        <v>0.08228460793804453</v>
      </c>
      <c r="V86" s="673">
        <v>16877.234803337305</v>
      </c>
      <c r="W86" s="672">
        <v>0.020975</v>
      </c>
      <c r="X86" s="673">
        <v>28.75</v>
      </c>
      <c r="Y86" s="674">
        <v>93.30977862167177</v>
      </c>
      <c r="Z86" s="673">
        <v>92692</v>
      </c>
      <c r="AA86" s="673">
        <v>1971</v>
      </c>
      <c r="AB86" s="673">
        <v>354</v>
      </c>
      <c r="AC86" s="673">
        <v>2066</v>
      </c>
      <c r="AD86" s="673">
        <v>170</v>
      </c>
      <c r="AE86" s="673">
        <v>16</v>
      </c>
      <c r="AF86" s="673">
        <v>5</v>
      </c>
      <c r="AG86" s="673">
        <v>79</v>
      </c>
      <c r="AH86" s="675"/>
    </row>
    <row r="87">
      <c r="A87" s="648" t="s">
        <v>1405</v>
      </c>
      <c r="B87" s="648" t="s">
        <v>1350</v>
      </c>
      <c r="C87" s="648" t="s">
        <v>1376</v>
      </c>
      <c r="D87" s="648">
        <v>4</v>
      </c>
      <c r="E87" s="648">
        <v>7</v>
      </c>
      <c r="F87" s="648">
        <v>10</v>
      </c>
      <c r="G87" s="666">
        <v>19984.33</v>
      </c>
      <c r="H87" s="667">
        <v>8445.51</v>
      </c>
      <c r="I87" s="668">
        <f t="shared" si="0"/>
      </c>
      <c r="J87" s="668">
        <f t="shared" si="1"/>
      </c>
      <c r="K87" s="668">
        <f t="shared" si="2"/>
      </c>
      <c r="L87" s="648" t="s">
        <v>1355</v>
      </c>
      <c r="M87" s="683">
        <v>3.2</v>
      </c>
      <c r="N87" s="666"/>
      <c r="O87" s="666"/>
      <c r="P87" s="666"/>
      <c r="Q87" s="674">
        <v>3.9063413506012954</v>
      </c>
      <c r="R87" s="672">
        <v>0.18885439250187142</v>
      </c>
      <c r="S87" s="672">
        <v>0.02617750332970093</v>
      </c>
      <c r="T87" s="672">
        <v>0.027666787746700568</v>
      </c>
      <c r="U87" s="672">
        <v>0.09715536105032822</v>
      </c>
      <c r="V87" s="673">
        <v>15597.48427672956</v>
      </c>
      <c r="W87" s="672">
        <v>0.019875</v>
      </c>
      <c r="X87" s="673">
        <v>40.75</v>
      </c>
      <c r="Y87" s="674">
        <v>102.25826371231385</v>
      </c>
      <c r="Z87" s="673">
        <v>82590</v>
      </c>
      <c r="AA87" s="673">
        <v>2162</v>
      </c>
      <c r="AB87" s="673">
        <v>310</v>
      </c>
      <c r="AC87" s="673">
        <v>2285</v>
      </c>
      <c r="AD87" s="673">
        <v>222</v>
      </c>
      <c r="AE87" s="673">
        <v>15</v>
      </c>
      <c r="AF87" s="673">
        <v>7</v>
      </c>
      <c r="AG87" s="673">
        <v>88</v>
      </c>
      <c r="AH87" s="675"/>
    </row>
    <row r="88">
      <c r="A88" s="684" t="s">
        <v>1405</v>
      </c>
      <c r="B88" s="676" t="s">
        <v>1356</v>
      </c>
      <c r="C88" s="676"/>
      <c r="D88" s="676">
        <f>SUM(D86:D87)</f>
      </c>
      <c r="E88" s="676">
        <f>E86+E87</f>
      </c>
      <c r="F88" s="676">
        <f>SUM(F86:F87)</f>
      </c>
      <c r="G88" s="676">
        <f>SUM(G86:G87)</f>
      </c>
      <c r="H88" s="676">
        <f>SUM(H86:H87)</f>
      </c>
      <c r="I88" s="677">
        <f t="shared" si="0"/>
      </c>
      <c r="J88" s="677">
        <f t="shared" si="1"/>
      </c>
      <c r="K88" s="677">
        <f t="shared" si="2"/>
      </c>
      <c r="L88" s="676"/>
      <c r="M88" s="678">
        <f>SUM(M86:M87)</f>
      </c>
      <c r="N88" s="676"/>
      <c r="O88" s="676"/>
      <c r="P88" s="676"/>
      <c r="Q88" s="679">
        <f>AVERAGE(Q86:Q87)</f>
      </c>
      <c r="R88" s="680">
        <f>AVERAGE(R86:R87)</f>
      </c>
      <c r="S88" s="680">
        <f>AVERAGE(S86:S87)</f>
      </c>
      <c r="T88" s="680">
        <f>AVERAGE(T86:T87)</f>
      </c>
      <c r="U88" s="680">
        <f>AVERAGE(U86:U87)</f>
      </c>
      <c r="V88" s="681">
        <f>SUM(V86:V87)</f>
      </c>
      <c r="W88" s="680">
        <f>AVERAGE(W86:W87)</f>
      </c>
      <c r="X88" s="681"/>
      <c r="Y88" s="679">
        <f>AVERAGE(Y86:Y87)</f>
      </c>
      <c r="Z88" s="681">
        <f>SUM(Z86:Z87)</f>
      </c>
      <c r="AA88" s="681">
        <f>SUM(AA86:AA87)</f>
      </c>
      <c r="AB88" s="681">
        <f>SUM(AB86:AB87)</f>
      </c>
      <c r="AC88" s="681">
        <f>SUM(AC86:AC87)</f>
      </c>
      <c r="AD88" s="681">
        <f>SUM(AD86:AD87)</f>
      </c>
      <c r="AE88" s="681">
        <f>SUM(AE86:AE87)</f>
      </c>
      <c r="AF88" s="681">
        <f>SUM(AF86:AF87)</f>
      </c>
      <c r="AG88" s="681">
        <f>SUM(AG86:AG87)</f>
      </c>
      <c r="AH88" s="675"/>
    </row>
    <row r="89">
      <c r="A89" s="675"/>
      <c r="B89" s="675"/>
      <c r="C89" s="675"/>
      <c r="D89" s="675"/>
      <c r="E89" s="675"/>
      <c r="F89" s="675"/>
      <c r="G89" s="685"/>
      <c r="H89" s="686">
        <f>H4+H7+H10+H13+H16++H22+H25+H28+H31+H34+H37+H40+H43+H46+H49+H52+H55+H58+H61+H64+H67+H70+H73+H76+H79+H82+H85+H88+H19</f>
      </c>
      <c r="I89" s="687"/>
      <c r="J89" s="675"/>
      <c r="K89" s="675"/>
      <c r="L89" s="675"/>
      <c r="M89" s="675"/>
      <c r="N89" s="675"/>
      <c r="O89" s="675"/>
      <c r="P89" s="675"/>
      <c r="Q89" s="675"/>
      <c r="R89" s="675"/>
      <c r="S89" s="675"/>
      <c r="T89" s="675"/>
      <c r="U89" s="675"/>
      <c r="V89" s="675"/>
      <c r="W89" s="675"/>
      <c r="X89" s="675"/>
      <c r="Y89" s="675"/>
      <c r="Z89" s="675"/>
      <c r="AA89" s="675"/>
      <c r="AB89" s="675"/>
      <c r="AC89" s="675"/>
      <c r="AD89" s="675"/>
      <c r="AE89" s="675"/>
      <c r="AF89" s="675"/>
      <c r="AG89" s="675"/>
      <c r="AH89" s="675"/>
    </row>
    <row r="90">
      <c r="A90" s="675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5"/>
      <c r="P90" s="675"/>
      <c r="Q90" s="675"/>
      <c r="R90" s="675"/>
      <c r="S90" s="675"/>
      <c r="T90" s="675"/>
      <c r="U90" s="675"/>
      <c r="V90" s="675"/>
      <c r="W90" s="675"/>
      <c r="X90" s="675"/>
      <c r="Y90" s="675"/>
      <c r="Z90" s="675"/>
      <c r="AA90" s="675"/>
      <c r="AB90" s="675"/>
      <c r="AC90" s="675"/>
      <c r="AD90" s="675"/>
      <c r="AE90" s="675"/>
      <c r="AF90" s="675"/>
      <c r="AG90" s="675"/>
      <c r="AH90" s="675"/>
    </row>
    <row r="91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5"/>
      <c r="P91" s="675"/>
      <c r="Q91" s="675"/>
      <c r="R91" s="675"/>
      <c r="S91" s="675"/>
      <c r="T91" s="675"/>
      <c r="U91" s="675"/>
      <c r="V91" s="675"/>
      <c r="W91" s="675"/>
      <c r="X91" s="675"/>
      <c r="Y91" s="675"/>
      <c r="Z91" s="675"/>
      <c r="AA91" s="675"/>
      <c r="AB91" s="675"/>
      <c r="AC91" s="675"/>
      <c r="AD91" s="675"/>
      <c r="AE91" s="675"/>
      <c r="AF91" s="675"/>
      <c r="AG91" s="675"/>
      <c r="AH91" s="675"/>
    </row>
    <row r="92">
      <c r="A92" s="675"/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75"/>
      <c r="AB92" s="675"/>
      <c r="AC92" s="675"/>
      <c r="AD92" s="675"/>
      <c r="AE92" s="675"/>
      <c r="AF92" s="675"/>
      <c r="AG92" s="675"/>
      <c r="AH92" s="675"/>
    </row>
    <row r="93">
      <c r="A93" s="675"/>
      <c r="B93" s="675"/>
      <c r="C93" s="675"/>
      <c r="D93" s="675"/>
      <c r="E93" s="675"/>
      <c r="F93" s="675"/>
      <c r="G93" s="675"/>
      <c r="H93" s="675"/>
      <c r="I93" s="675"/>
      <c r="J93" s="675"/>
      <c r="K93" s="675"/>
      <c r="L93" s="675"/>
      <c r="M93" s="675"/>
      <c r="N93" s="675"/>
      <c r="O93" s="675"/>
      <c r="P93" s="675"/>
      <c r="Q93" s="675"/>
      <c r="R93" s="675"/>
      <c r="S93" s="675"/>
      <c r="T93" s="675"/>
      <c r="U93" s="675"/>
      <c r="V93" s="675"/>
      <c r="W93" s="675"/>
      <c r="X93" s="675"/>
      <c r="Y93" s="675"/>
      <c r="Z93" s="675"/>
      <c r="AA93" s="675"/>
      <c r="AB93" s="675"/>
      <c r="AC93" s="675"/>
      <c r="AD93" s="675"/>
      <c r="AE93" s="675"/>
      <c r="AF93" s="675"/>
      <c r="AG93" s="675"/>
      <c r="AH93" s="675"/>
    </row>
    <row r="94">
      <c r="A94" s="675"/>
      <c r="B94" s="675"/>
      <c r="C94" s="675"/>
      <c r="D94" s="675"/>
      <c r="E94" s="675"/>
      <c r="F94" s="675"/>
      <c r="G94" s="675"/>
      <c r="H94" s="675"/>
      <c r="I94" s="675"/>
      <c r="J94" s="675"/>
      <c r="K94" s="675"/>
      <c r="L94" s="675"/>
      <c r="M94" s="675"/>
      <c r="N94" s="675"/>
      <c r="O94" s="675"/>
      <c r="P94" s="675"/>
      <c r="Q94" s="675"/>
      <c r="R94" s="675"/>
      <c r="S94" s="675"/>
      <c r="T94" s="675"/>
      <c r="U94" s="675"/>
      <c r="V94" s="675"/>
      <c r="W94" s="675"/>
      <c r="X94" s="675"/>
      <c r="Y94" s="675"/>
      <c r="Z94" s="675"/>
      <c r="AA94" s="675"/>
      <c r="AB94" s="675"/>
      <c r="AC94" s="675"/>
      <c r="AD94" s="675"/>
      <c r="AE94" s="675"/>
      <c r="AF94" s="675"/>
      <c r="AG94" s="675"/>
      <c r="AH94" s="675"/>
    </row>
    <row r="95">
      <c r="A95" s="675"/>
      <c r="B95" s="675"/>
      <c r="C95" s="675"/>
      <c r="D95" s="675"/>
      <c r="E95" s="675"/>
      <c r="F95" s="675"/>
      <c r="G95" s="675"/>
      <c r="H95" s="675"/>
      <c r="I95" s="675"/>
      <c r="J95" s="675"/>
      <c r="K95" s="675"/>
      <c r="L95" s="675"/>
      <c r="M95" s="675"/>
      <c r="N95" s="675"/>
      <c r="O95" s="675"/>
      <c r="P95" s="675"/>
      <c r="Q95" s="675"/>
      <c r="R95" s="675"/>
      <c r="S95" s="675"/>
      <c r="T95" s="675"/>
      <c r="U95" s="675"/>
      <c r="V95" s="675"/>
      <c r="W95" s="675"/>
      <c r="X95" s="675"/>
      <c r="Y95" s="675"/>
      <c r="Z95" s="675"/>
      <c r="AA95" s="675"/>
      <c r="AB95" s="675"/>
      <c r="AC95" s="675"/>
      <c r="AD95" s="675"/>
      <c r="AE95" s="675"/>
      <c r="AF95" s="675"/>
      <c r="AG95" s="675"/>
      <c r="AH95" s="675"/>
    </row>
    <row r="96">
      <c r="A96" s="675"/>
      <c r="B96" s="675"/>
      <c r="C96" s="675"/>
      <c r="D96" s="675"/>
      <c r="E96" s="675"/>
      <c r="F96" s="675"/>
      <c r="G96" s="675"/>
      <c r="H96" s="675"/>
      <c r="I96" s="675"/>
      <c r="J96" s="675"/>
      <c r="K96" s="675"/>
      <c r="L96" s="675"/>
      <c r="M96" s="675"/>
      <c r="N96" s="675"/>
      <c r="O96" s="675"/>
      <c r="P96" s="675"/>
      <c r="Q96" s="675"/>
      <c r="R96" s="675"/>
      <c r="S96" s="675"/>
      <c r="T96" s="675"/>
      <c r="U96" s="675"/>
      <c r="V96" s="675"/>
      <c r="W96" s="675"/>
      <c r="X96" s="675"/>
      <c r="Y96" s="675"/>
      <c r="Z96" s="675"/>
      <c r="AA96" s="675"/>
      <c r="AB96" s="675"/>
      <c r="AC96" s="675"/>
      <c r="AD96" s="675"/>
      <c r="AE96" s="675"/>
      <c r="AF96" s="675"/>
      <c r="AG96" s="675"/>
      <c r="AH96" s="675"/>
    </row>
    <row r="97">
      <c r="A97" s="675"/>
      <c r="B97" s="675"/>
      <c r="C97" s="675"/>
      <c r="D97" s="675"/>
      <c r="E97" s="675"/>
      <c r="F97" s="675"/>
      <c r="G97" s="675"/>
      <c r="H97" s="675"/>
      <c r="I97" s="675"/>
      <c r="J97" s="675"/>
      <c r="K97" s="675"/>
      <c r="L97" s="675"/>
      <c r="M97" s="675"/>
      <c r="N97" s="675"/>
      <c r="O97" s="675"/>
      <c r="P97" s="675"/>
      <c r="Q97" s="675"/>
      <c r="R97" s="675"/>
      <c r="S97" s="675"/>
      <c r="T97" s="675"/>
      <c r="U97" s="675"/>
      <c r="V97" s="675"/>
      <c r="W97" s="675"/>
      <c r="X97" s="675"/>
      <c r="Y97" s="675"/>
      <c r="Z97" s="675"/>
      <c r="AA97" s="675"/>
      <c r="AB97" s="675"/>
      <c r="AC97" s="675"/>
      <c r="AD97" s="675"/>
      <c r="AE97" s="675"/>
      <c r="AF97" s="675"/>
      <c r="AG97" s="675"/>
      <c r="AH97" s="675"/>
    </row>
    <row r="98">
      <c r="A98" s="675"/>
      <c r="B98" s="675"/>
      <c r="C98" s="675"/>
      <c r="D98" s="675"/>
      <c r="E98" s="675"/>
      <c r="F98" s="675"/>
      <c r="G98" s="675"/>
      <c r="H98" s="675"/>
      <c r="I98" s="675"/>
      <c r="J98" s="675"/>
      <c r="K98" s="675"/>
      <c r="L98" s="675"/>
      <c r="M98" s="675"/>
      <c r="N98" s="675"/>
      <c r="O98" s="675"/>
      <c r="P98" s="675"/>
      <c r="Q98" s="675"/>
      <c r="R98" s="675"/>
      <c r="S98" s="675"/>
      <c r="T98" s="675"/>
      <c r="U98" s="675"/>
      <c r="V98" s="675"/>
      <c r="W98" s="675"/>
      <c r="X98" s="675"/>
      <c r="Y98" s="675"/>
      <c r="Z98" s="675"/>
      <c r="AA98" s="675"/>
      <c r="AB98" s="675"/>
      <c r="AC98" s="675"/>
      <c r="AD98" s="675"/>
      <c r="AE98" s="675"/>
      <c r="AF98" s="675"/>
      <c r="AG98" s="675"/>
      <c r="AH98" s="675"/>
    </row>
    <row r="99">
      <c r="A99" s="675"/>
      <c r="B99" s="675"/>
      <c r="C99" s="675"/>
      <c r="D99" s="675"/>
      <c r="E99" s="675"/>
      <c r="F99" s="675"/>
      <c r="G99" s="675"/>
      <c r="H99" s="675"/>
      <c r="I99" s="675"/>
      <c r="J99" s="675"/>
      <c r="K99" s="675"/>
      <c r="L99" s="675"/>
      <c r="M99" s="675"/>
      <c r="N99" s="675"/>
      <c r="O99" s="675"/>
      <c r="P99" s="675"/>
      <c r="Q99" s="675"/>
      <c r="R99" s="675"/>
      <c r="S99" s="675"/>
      <c r="T99" s="675"/>
      <c r="U99" s="675"/>
      <c r="V99" s="675"/>
      <c r="W99" s="675"/>
      <c r="X99" s="675"/>
      <c r="Y99" s="675"/>
      <c r="Z99" s="675"/>
      <c r="AA99" s="675"/>
      <c r="AB99" s="675"/>
      <c r="AC99" s="675"/>
      <c r="AD99" s="675"/>
      <c r="AE99" s="675"/>
      <c r="AF99" s="675"/>
      <c r="AG99" s="675"/>
      <c r="AH99" s="675"/>
    </row>
    <row r="100">
      <c r="A100" s="675"/>
      <c r="B100" s="675"/>
      <c r="C100" s="675"/>
      <c r="D100" s="675"/>
      <c r="E100" s="675"/>
      <c r="F100" s="675"/>
      <c r="G100" s="675"/>
      <c r="H100" s="675"/>
      <c r="I100" s="675"/>
      <c r="J100" s="675"/>
      <c r="K100" s="675"/>
      <c r="L100" s="675"/>
      <c r="M100" s="675"/>
      <c r="N100" s="675"/>
      <c r="O100" s="675"/>
      <c r="P100" s="675"/>
      <c r="Q100" s="675"/>
      <c r="R100" s="675"/>
      <c r="S100" s="675"/>
      <c r="T100" s="675"/>
      <c r="U100" s="675"/>
      <c r="V100" s="675"/>
      <c r="W100" s="675"/>
      <c r="X100" s="675"/>
      <c r="Y100" s="675"/>
      <c r="Z100" s="675"/>
      <c r="AA100" s="675"/>
      <c r="AB100" s="675"/>
      <c r="AC100" s="675"/>
      <c r="AD100" s="675"/>
      <c r="AE100" s="675"/>
      <c r="AF100" s="675"/>
      <c r="AG100" s="675"/>
      <c r="AH100" s="675"/>
    </row>
    <row r="101">
      <c r="A101" s="675"/>
      <c r="B101" s="675"/>
      <c r="C101" s="675"/>
      <c r="D101" s="675"/>
      <c r="E101" s="675"/>
      <c r="F101" s="675"/>
      <c r="G101" s="675"/>
      <c r="H101" s="675"/>
      <c r="I101" s="675"/>
      <c r="J101" s="675"/>
      <c r="K101" s="675"/>
      <c r="L101" s="675"/>
      <c r="M101" s="675"/>
      <c r="N101" s="675"/>
      <c r="O101" s="675"/>
      <c r="P101" s="675"/>
      <c r="Q101" s="675"/>
      <c r="R101" s="675"/>
      <c r="S101" s="675"/>
      <c r="T101" s="675"/>
      <c r="U101" s="675"/>
      <c r="V101" s="675"/>
      <c r="W101" s="675"/>
      <c r="X101" s="675"/>
      <c r="Y101" s="675"/>
      <c r="Z101" s="675"/>
      <c r="AA101" s="675"/>
      <c r="AB101" s="675"/>
      <c r="AC101" s="675"/>
      <c r="AD101" s="675"/>
      <c r="AE101" s="675"/>
      <c r="AF101" s="675"/>
      <c r="AG101" s="675"/>
      <c r="AH101" s="675"/>
    </row>
    <row r="102">
      <c r="A102" s="675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5"/>
      <c r="P102" s="675"/>
      <c r="Q102" s="675"/>
      <c r="R102" s="675"/>
      <c r="S102" s="675"/>
      <c r="T102" s="675"/>
      <c r="U102" s="675"/>
      <c r="V102" s="675"/>
      <c r="W102" s="675"/>
      <c r="X102" s="675"/>
      <c r="Y102" s="675"/>
      <c r="Z102" s="675"/>
      <c r="AA102" s="675"/>
      <c r="AB102" s="675"/>
      <c r="AC102" s="675"/>
      <c r="AD102" s="675"/>
      <c r="AE102" s="675"/>
      <c r="AF102" s="675"/>
      <c r="AG102" s="675"/>
      <c r="AH102" s="675"/>
    </row>
    <row r="103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5"/>
      <c r="P103" s="675"/>
      <c r="Q103" s="675"/>
      <c r="R103" s="675"/>
      <c r="S103" s="675"/>
      <c r="T103" s="675"/>
      <c r="U103" s="675"/>
      <c r="V103" s="675"/>
      <c r="W103" s="675"/>
      <c r="X103" s="675"/>
      <c r="Y103" s="675"/>
      <c r="Z103" s="675"/>
      <c r="AA103" s="675"/>
      <c r="AB103" s="675"/>
      <c r="AC103" s="675"/>
      <c r="AD103" s="675"/>
      <c r="AE103" s="675"/>
      <c r="AF103" s="675"/>
      <c r="AG103" s="675"/>
      <c r="AH103" s="675"/>
    </row>
    <row r="104">
      <c r="A104" s="675"/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75"/>
      <c r="AB104" s="675"/>
      <c r="AC104" s="675"/>
      <c r="AD104" s="675"/>
      <c r="AE104" s="675"/>
      <c r="AF104" s="675"/>
      <c r="AG104" s="675"/>
      <c r="AH104" s="675"/>
    </row>
    <row r="105">
      <c r="A105" s="675"/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75"/>
      <c r="AB105" s="675"/>
      <c r="AC105" s="675"/>
      <c r="AD105" s="675"/>
      <c r="AE105" s="675"/>
      <c r="AF105" s="675"/>
      <c r="AG105" s="675"/>
      <c r="AH105" s="675"/>
    </row>
    <row r="106">
      <c r="A106" s="675"/>
      <c r="B106" s="675"/>
      <c r="C106" s="675"/>
      <c r="D106" s="675"/>
      <c r="E106" s="675"/>
      <c r="F106" s="675"/>
      <c r="G106" s="675"/>
      <c r="H106" s="675"/>
      <c r="I106" s="675"/>
      <c r="J106" s="675"/>
      <c r="K106" s="675"/>
      <c r="L106" s="675"/>
      <c r="M106" s="675"/>
      <c r="N106" s="675"/>
      <c r="O106" s="675"/>
      <c r="P106" s="675"/>
      <c r="Q106" s="675"/>
      <c r="R106" s="675"/>
      <c r="S106" s="675"/>
      <c r="T106" s="675"/>
      <c r="U106" s="675"/>
      <c r="V106" s="675"/>
      <c r="W106" s="675"/>
      <c r="X106" s="675"/>
      <c r="Y106" s="675"/>
      <c r="Z106" s="675"/>
      <c r="AA106" s="675"/>
      <c r="AB106" s="675"/>
      <c r="AC106" s="675"/>
      <c r="AD106" s="675"/>
      <c r="AE106" s="675"/>
      <c r="AF106" s="675"/>
      <c r="AG106" s="675"/>
      <c r="AH106" s="675"/>
    </row>
    <row r="107">
      <c r="A107" s="675"/>
      <c r="B107" s="675"/>
      <c r="C107" s="675"/>
      <c r="D107" s="675"/>
      <c r="E107" s="675"/>
      <c r="F107" s="675"/>
      <c r="G107" s="675"/>
      <c r="H107" s="675"/>
      <c r="I107" s="675"/>
      <c r="J107" s="675"/>
      <c r="K107" s="675"/>
      <c r="L107" s="675"/>
      <c r="M107" s="675"/>
      <c r="N107" s="675"/>
      <c r="O107" s="675"/>
      <c r="P107" s="675"/>
      <c r="Q107" s="675"/>
      <c r="R107" s="675"/>
      <c r="S107" s="675"/>
      <c r="T107" s="675"/>
      <c r="U107" s="675"/>
      <c r="V107" s="675"/>
      <c r="W107" s="675"/>
      <c r="X107" s="675"/>
      <c r="Y107" s="675"/>
      <c r="Z107" s="675"/>
      <c r="AA107" s="675"/>
      <c r="AB107" s="675"/>
      <c r="AC107" s="675"/>
      <c r="AD107" s="675"/>
      <c r="AE107" s="675"/>
      <c r="AF107" s="675"/>
      <c r="AG107" s="675"/>
      <c r="AH107" s="675"/>
    </row>
    <row r="108">
      <c r="A108" s="675"/>
      <c r="B108" s="675"/>
      <c r="C108" s="675"/>
      <c r="D108" s="675"/>
      <c r="E108" s="675"/>
      <c r="F108" s="675"/>
      <c r="G108" s="675"/>
      <c r="H108" s="675"/>
      <c r="I108" s="675"/>
      <c r="J108" s="675"/>
      <c r="K108" s="675"/>
      <c r="L108" s="675"/>
      <c r="M108" s="675"/>
      <c r="N108" s="675"/>
      <c r="O108" s="675"/>
      <c r="P108" s="675"/>
      <c r="Q108" s="675"/>
      <c r="R108" s="675"/>
      <c r="S108" s="675"/>
      <c r="T108" s="675"/>
      <c r="U108" s="675"/>
      <c r="V108" s="675"/>
      <c r="W108" s="675"/>
      <c r="X108" s="675"/>
      <c r="Y108" s="675"/>
      <c r="Z108" s="675"/>
      <c r="AA108" s="675"/>
      <c r="AB108" s="675"/>
      <c r="AC108" s="675"/>
      <c r="AD108" s="675"/>
      <c r="AE108" s="675"/>
      <c r="AF108" s="675"/>
      <c r="AG108" s="675"/>
      <c r="AH108" s="675"/>
    </row>
    <row r="109">
      <c r="A109" s="675"/>
      <c r="B109" s="675"/>
      <c r="C109" s="675"/>
      <c r="D109" s="675"/>
      <c r="E109" s="675"/>
      <c r="F109" s="675"/>
      <c r="G109" s="675"/>
      <c r="H109" s="675"/>
      <c r="I109" s="675"/>
      <c r="J109" s="675"/>
      <c r="K109" s="675"/>
      <c r="L109" s="675"/>
      <c r="M109" s="675"/>
      <c r="N109" s="675"/>
      <c r="O109" s="675"/>
      <c r="P109" s="675"/>
      <c r="Q109" s="675"/>
      <c r="R109" s="675"/>
      <c r="S109" s="675"/>
      <c r="T109" s="675"/>
      <c r="U109" s="675"/>
      <c r="V109" s="675"/>
      <c r="W109" s="675"/>
      <c r="X109" s="675"/>
      <c r="Y109" s="675"/>
      <c r="Z109" s="675"/>
      <c r="AA109" s="675"/>
      <c r="AB109" s="675"/>
      <c r="AC109" s="675"/>
      <c r="AD109" s="675"/>
      <c r="AE109" s="675"/>
      <c r="AF109" s="675"/>
      <c r="AG109" s="675"/>
      <c r="AH109" s="675"/>
    </row>
    <row r="110">
      <c r="A110" s="675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5"/>
      <c r="P110" s="675"/>
      <c r="Q110" s="675"/>
      <c r="R110" s="675"/>
      <c r="S110" s="675"/>
      <c r="T110" s="675"/>
      <c r="U110" s="675"/>
      <c r="V110" s="675"/>
      <c r="W110" s="675"/>
      <c r="X110" s="675"/>
      <c r="Y110" s="675"/>
      <c r="Z110" s="675"/>
      <c r="AA110" s="675"/>
      <c r="AB110" s="675"/>
      <c r="AC110" s="675"/>
      <c r="AD110" s="675"/>
      <c r="AE110" s="675"/>
      <c r="AF110" s="675"/>
      <c r="AG110" s="675"/>
      <c r="AH110" s="675"/>
    </row>
    <row r="111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5"/>
      <c r="P111" s="675"/>
      <c r="Q111" s="675"/>
      <c r="R111" s="675"/>
      <c r="S111" s="675"/>
      <c r="T111" s="675"/>
      <c r="U111" s="675"/>
      <c r="V111" s="675"/>
      <c r="W111" s="675"/>
      <c r="X111" s="675"/>
      <c r="Y111" s="675"/>
      <c r="Z111" s="675"/>
      <c r="AA111" s="675"/>
      <c r="AB111" s="675"/>
      <c r="AC111" s="675"/>
      <c r="AD111" s="675"/>
      <c r="AE111" s="675"/>
      <c r="AF111" s="675"/>
      <c r="AG111" s="675"/>
      <c r="AH111" s="675"/>
    </row>
    <row r="112">
      <c r="A112" s="675"/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75"/>
      <c r="AB112" s="675"/>
      <c r="AC112" s="675"/>
      <c r="AD112" s="675"/>
      <c r="AE112" s="675"/>
      <c r="AF112" s="675"/>
      <c r="AG112" s="675"/>
      <c r="AH112" s="675"/>
    </row>
    <row r="113">
      <c r="A113" s="675"/>
      <c r="B113" s="675"/>
      <c r="C113" s="675"/>
      <c r="D113" s="675"/>
      <c r="E113" s="675"/>
      <c r="F113" s="675"/>
      <c r="G113" s="675"/>
      <c r="H113" s="675"/>
      <c r="I113" s="675"/>
      <c r="J113" s="675"/>
      <c r="K113" s="675"/>
      <c r="L113" s="675"/>
      <c r="M113" s="675"/>
      <c r="N113" s="675"/>
      <c r="O113" s="675"/>
      <c r="P113" s="675"/>
      <c r="Q113" s="675"/>
      <c r="R113" s="675"/>
      <c r="S113" s="675"/>
      <c r="T113" s="675"/>
      <c r="U113" s="675"/>
      <c r="V113" s="675"/>
      <c r="W113" s="675"/>
      <c r="X113" s="675"/>
      <c r="Y113" s="675"/>
      <c r="Z113" s="675"/>
      <c r="AA113" s="675"/>
      <c r="AB113" s="675"/>
      <c r="AC113" s="675"/>
      <c r="AD113" s="675"/>
      <c r="AE113" s="675"/>
      <c r="AF113" s="675"/>
      <c r="AG113" s="675"/>
      <c r="AH113" s="675"/>
    </row>
    <row r="114">
      <c r="A114" s="675"/>
      <c r="B114" s="675"/>
      <c r="C114" s="675"/>
      <c r="D114" s="675"/>
      <c r="E114" s="675"/>
      <c r="F114" s="675"/>
      <c r="G114" s="675"/>
      <c r="H114" s="675"/>
      <c r="I114" s="675"/>
      <c r="J114" s="675"/>
      <c r="K114" s="675"/>
      <c r="L114" s="675"/>
      <c r="M114" s="675"/>
      <c r="N114" s="675"/>
      <c r="O114" s="675"/>
      <c r="P114" s="675"/>
      <c r="Q114" s="675"/>
      <c r="R114" s="675"/>
      <c r="S114" s="675"/>
      <c r="T114" s="675"/>
      <c r="U114" s="675"/>
      <c r="V114" s="675"/>
      <c r="W114" s="675"/>
      <c r="X114" s="675"/>
      <c r="Y114" s="675"/>
      <c r="Z114" s="675"/>
      <c r="AA114" s="675"/>
      <c r="AB114" s="675"/>
      <c r="AC114" s="675"/>
      <c r="AD114" s="675"/>
      <c r="AE114" s="675"/>
      <c r="AF114" s="675"/>
      <c r="AG114" s="675"/>
      <c r="AH114" s="675"/>
    </row>
    <row r="115">
      <c r="A115" s="675"/>
      <c r="B115" s="675"/>
      <c r="C115" s="675"/>
      <c r="D115" s="675"/>
      <c r="E115" s="675"/>
      <c r="F115" s="675"/>
      <c r="G115" s="675"/>
      <c r="H115" s="675"/>
      <c r="I115" s="675"/>
      <c r="J115" s="675"/>
      <c r="K115" s="675"/>
      <c r="L115" s="675"/>
      <c r="M115" s="675"/>
      <c r="N115" s="675"/>
      <c r="O115" s="675"/>
      <c r="P115" s="675"/>
      <c r="Q115" s="675"/>
      <c r="R115" s="675"/>
      <c r="S115" s="675"/>
      <c r="T115" s="675"/>
      <c r="U115" s="675"/>
      <c r="V115" s="675"/>
      <c r="W115" s="675"/>
      <c r="X115" s="675"/>
      <c r="Y115" s="675"/>
      <c r="Z115" s="675"/>
      <c r="AA115" s="675"/>
      <c r="AB115" s="675"/>
      <c r="AC115" s="675"/>
      <c r="AD115" s="675"/>
      <c r="AE115" s="675"/>
      <c r="AF115" s="675"/>
      <c r="AG115" s="675"/>
      <c r="AH115" s="675"/>
    </row>
    <row r="116">
      <c r="A116" s="675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5"/>
      <c r="P116" s="675"/>
      <c r="Q116" s="675"/>
      <c r="R116" s="675"/>
      <c r="S116" s="675"/>
      <c r="T116" s="675"/>
      <c r="U116" s="675"/>
      <c r="V116" s="675"/>
      <c r="W116" s="675"/>
      <c r="X116" s="675"/>
      <c r="Y116" s="675"/>
      <c r="Z116" s="675"/>
      <c r="AA116" s="675"/>
      <c r="AB116" s="675"/>
      <c r="AC116" s="675"/>
      <c r="AD116" s="675"/>
      <c r="AE116" s="675"/>
      <c r="AF116" s="675"/>
      <c r="AG116" s="675"/>
      <c r="AH116" s="675"/>
    </row>
    <row r="117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5"/>
      <c r="P117" s="675"/>
      <c r="Q117" s="675"/>
      <c r="R117" s="675"/>
      <c r="S117" s="675"/>
      <c r="T117" s="675"/>
      <c r="U117" s="675"/>
      <c r="V117" s="675"/>
      <c r="W117" s="675"/>
      <c r="X117" s="675"/>
      <c r="Y117" s="675"/>
      <c r="Z117" s="675"/>
      <c r="AA117" s="675"/>
      <c r="AB117" s="675"/>
      <c r="AC117" s="675"/>
      <c r="AD117" s="675"/>
      <c r="AE117" s="675"/>
      <c r="AF117" s="675"/>
      <c r="AG117" s="675"/>
      <c r="AH117" s="675"/>
    </row>
    <row r="118">
      <c r="A118" s="675"/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75"/>
      <c r="AB118" s="675"/>
      <c r="AC118" s="675"/>
      <c r="AD118" s="675"/>
      <c r="AE118" s="675"/>
      <c r="AF118" s="675"/>
      <c r="AG118" s="675"/>
      <c r="AH118" s="675"/>
    </row>
    <row r="119">
      <c r="A119" s="675"/>
      <c r="B119" s="675"/>
      <c r="C119" s="675"/>
      <c r="D119" s="675"/>
      <c r="E119" s="675"/>
      <c r="F119" s="675"/>
      <c r="G119" s="675"/>
      <c r="H119" s="675"/>
      <c r="I119" s="675"/>
      <c r="J119" s="675"/>
      <c r="K119" s="675"/>
      <c r="L119" s="675"/>
      <c r="M119" s="675"/>
      <c r="N119" s="675"/>
      <c r="O119" s="675"/>
      <c r="P119" s="675"/>
      <c r="Q119" s="675"/>
      <c r="R119" s="675"/>
      <c r="S119" s="675"/>
      <c r="T119" s="675"/>
      <c r="U119" s="675"/>
      <c r="V119" s="675"/>
      <c r="W119" s="675"/>
      <c r="X119" s="675"/>
      <c r="Y119" s="675"/>
      <c r="Z119" s="675"/>
      <c r="AA119" s="675"/>
      <c r="AB119" s="675"/>
      <c r="AC119" s="675"/>
      <c r="AD119" s="675"/>
      <c r="AE119" s="675"/>
      <c r="AF119" s="675"/>
      <c r="AG119" s="675"/>
      <c r="AH119" s="675"/>
    </row>
    <row r="120">
      <c r="A120" s="675"/>
      <c r="B120" s="675"/>
      <c r="C120" s="675"/>
      <c r="D120" s="675"/>
      <c r="E120" s="675"/>
      <c r="F120" s="675"/>
      <c r="G120" s="675"/>
      <c r="H120" s="675"/>
      <c r="I120" s="675"/>
      <c r="J120" s="675"/>
      <c r="K120" s="675"/>
      <c r="L120" s="675"/>
      <c r="M120" s="675"/>
      <c r="N120" s="675"/>
      <c r="O120" s="675"/>
      <c r="P120" s="675"/>
      <c r="Q120" s="675"/>
      <c r="R120" s="675"/>
      <c r="S120" s="675"/>
      <c r="T120" s="675"/>
      <c r="U120" s="675"/>
      <c r="V120" s="675"/>
      <c r="W120" s="675"/>
      <c r="X120" s="675"/>
      <c r="Y120" s="675"/>
      <c r="Z120" s="675"/>
      <c r="AA120" s="675"/>
      <c r="AB120" s="675"/>
      <c r="AC120" s="675"/>
      <c r="AD120" s="675"/>
      <c r="AE120" s="675"/>
      <c r="AF120" s="675"/>
      <c r="AG120" s="675"/>
      <c r="AH120" s="675"/>
    </row>
    <row r="121">
      <c r="A121" s="675"/>
      <c r="B121" s="675"/>
      <c r="C121" s="675"/>
      <c r="D121" s="675"/>
      <c r="E121" s="675"/>
      <c r="F121" s="675"/>
      <c r="G121" s="675"/>
      <c r="H121" s="675"/>
      <c r="I121" s="675"/>
      <c r="J121" s="675"/>
      <c r="K121" s="675"/>
      <c r="L121" s="675"/>
      <c r="M121" s="675"/>
      <c r="N121" s="675"/>
      <c r="O121" s="675"/>
      <c r="P121" s="675"/>
      <c r="Q121" s="675"/>
      <c r="R121" s="675"/>
      <c r="S121" s="675"/>
      <c r="T121" s="675"/>
      <c r="U121" s="675"/>
      <c r="V121" s="675"/>
      <c r="W121" s="675"/>
      <c r="X121" s="675"/>
      <c r="Y121" s="675"/>
      <c r="Z121" s="675"/>
      <c r="AA121" s="675"/>
      <c r="AB121" s="675"/>
      <c r="AC121" s="675"/>
      <c r="AD121" s="675"/>
      <c r="AE121" s="675"/>
      <c r="AF121" s="675"/>
      <c r="AG121" s="675"/>
      <c r="AH121" s="675"/>
    </row>
    <row r="122">
      <c r="A122" s="675"/>
      <c r="B122" s="675"/>
      <c r="C122" s="675"/>
      <c r="D122" s="675"/>
      <c r="E122" s="675"/>
      <c r="F122" s="675"/>
      <c r="G122" s="675"/>
      <c r="H122" s="675"/>
      <c r="I122" s="675"/>
      <c r="J122" s="675"/>
      <c r="K122" s="675"/>
      <c r="L122" s="675"/>
      <c r="M122" s="675"/>
      <c r="N122" s="675"/>
      <c r="O122" s="675"/>
      <c r="P122" s="675"/>
      <c r="Q122" s="675"/>
      <c r="R122" s="675"/>
      <c r="S122" s="675"/>
      <c r="T122" s="675"/>
      <c r="U122" s="675"/>
      <c r="V122" s="675"/>
      <c r="W122" s="675"/>
      <c r="X122" s="675"/>
      <c r="Y122" s="675"/>
      <c r="Z122" s="675"/>
      <c r="AA122" s="675"/>
      <c r="AB122" s="675"/>
      <c r="AC122" s="675"/>
      <c r="AD122" s="675"/>
      <c r="AE122" s="675"/>
      <c r="AF122" s="675"/>
      <c r="AG122" s="675"/>
      <c r="AH122" s="675"/>
    </row>
    <row r="123">
      <c r="A123" s="675"/>
      <c r="B123" s="675"/>
      <c r="C123" s="675"/>
      <c r="D123" s="675"/>
      <c r="E123" s="675"/>
      <c r="F123" s="675"/>
      <c r="G123" s="675"/>
      <c r="H123" s="675"/>
      <c r="I123" s="675"/>
      <c r="J123" s="675"/>
      <c r="K123" s="675"/>
      <c r="L123" s="675"/>
      <c r="M123" s="675"/>
      <c r="N123" s="675"/>
      <c r="O123" s="675"/>
      <c r="P123" s="675"/>
      <c r="Q123" s="675"/>
      <c r="R123" s="675"/>
      <c r="S123" s="675"/>
      <c r="T123" s="675"/>
      <c r="U123" s="675"/>
      <c r="V123" s="675"/>
      <c r="W123" s="675"/>
      <c r="X123" s="675"/>
      <c r="Y123" s="675"/>
      <c r="Z123" s="675"/>
      <c r="AA123" s="675"/>
      <c r="AB123" s="675"/>
      <c r="AC123" s="675"/>
      <c r="AD123" s="675"/>
      <c r="AE123" s="675"/>
      <c r="AF123" s="675"/>
      <c r="AG123" s="675"/>
      <c r="AH123" s="675"/>
    </row>
    <row r="124">
      <c r="A124" s="675"/>
      <c r="B124" s="675"/>
      <c r="C124" s="675"/>
      <c r="D124" s="675"/>
      <c r="E124" s="675"/>
      <c r="F124" s="675"/>
      <c r="G124" s="675"/>
      <c r="H124" s="675"/>
      <c r="I124" s="675"/>
      <c r="J124" s="675"/>
      <c r="K124" s="675"/>
      <c r="L124" s="675"/>
      <c r="M124" s="675"/>
      <c r="N124" s="675"/>
      <c r="O124" s="675"/>
      <c r="P124" s="675"/>
      <c r="Q124" s="675"/>
      <c r="R124" s="675"/>
      <c r="S124" s="675"/>
      <c r="T124" s="675"/>
      <c r="U124" s="675"/>
      <c r="V124" s="675"/>
      <c r="W124" s="675"/>
      <c r="X124" s="675"/>
      <c r="Y124" s="675"/>
      <c r="Z124" s="675"/>
      <c r="AA124" s="675"/>
      <c r="AB124" s="675"/>
      <c r="AC124" s="675"/>
      <c r="AD124" s="675"/>
      <c r="AE124" s="675"/>
      <c r="AF124" s="675"/>
      <c r="AG124" s="675"/>
      <c r="AH124" s="675"/>
    </row>
    <row r="125">
      <c r="A125" s="675"/>
      <c r="B125" s="675"/>
      <c r="C125" s="675"/>
      <c r="D125" s="675"/>
      <c r="E125" s="675"/>
      <c r="F125" s="675"/>
      <c r="G125" s="675"/>
      <c r="H125" s="675"/>
      <c r="I125" s="675"/>
      <c r="J125" s="675"/>
      <c r="K125" s="675"/>
      <c r="L125" s="675"/>
      <c r="M125" s="675"/>
      <c r="N125" s="675"/>
      <c r="O125" s="675"/>
      <c r="P125" s="675"/>
      <c r="Q125" s="675"/>
      <c r="R125" s="675"/>
      <c r="S125" s="675"/>
      <c r="T125" s="675"/>
      <c r="U125" s="675"/>
      <c r="V125" s="675"/>
      <c r="W125" s="675"/>
      <c r="X125" s="675"/>
      <c r="Y125" s="675"/>
      <c r="Z125" s="675"/>
      <c r="AA125" s="675"/>
      <c r="AB125" s="675"/>
      <c r="AC125" s="675"/>
      <c r="AD125" s="675"/>
      <c r="AE125" s="675"/>
      <c r="AF125" s="675"/>
      <c r="AG125" s="675"/>
      <c r="AH125" s="675"/>
    </row>
    <row r="126">
      <c r="A126" s="675"/>
      <c r="B126" s="675"/>
      <c r="C126" s="675"/>
      <c r="D126" s="675"/>
      <c r="E126" s="675"/>
      <c r="F126" s="675"/>
      <c r="G126" s="675"/>
      <c r="H126" s="675"/>
      <c r="I126" s="675"/>
      <c r="J126" s="675"/>
      <c r="K126" s="675"/>
      <c r="L126" s="675"/>
      <c r="M126" s="675"/>
      <c r="N126" s="675"/>
      <c r="O126" s="675"/>
      <c r="P126" s="675"/>
      <c r="Q126" s="675"/>
      <c r="R126" s="675"/>
      <c r="S126" s="675"/>
      <c r="T126" s="675"/>
      <c r="U126" s="675"/>
      <c r="V126" s="675"/>
      <c r="W126" s="675"/>
      <c r="X126" s="675"/>
      <c r="Y126" s="675"/>
      <c r="Z126" s="675"/>
      <c r="AA126" s="675"/>
      <c r="AB126" s="675"/>
      <c r="AC126" s="675"/>
      <c r="AD126" s="675"/>
      <c r="AE126" s="675"/>
      <c r="AF126" s="675"/>
      <c r="AG126" s="675"/>
      <c r="AH126" s="675"/>
    </row>
    <row r="127">
      <c r="A127" s="675"/>
      <c r="B127" s="675"/>
      <c r="C127" s="675"/>
      <c r="D127" s="675"/>
      <c r="E127" s="675"/>
      <c r="F127" s="675"/>
      <c r="G127" s="675"/>
      <c r="H127" s="675"/>
      <c r="I127" s="675"/>
      <c r="J127" s="675"/>
      <c r="K127" s="675"/>
      <c r="L127" s="675"/>
      <c r="M127" s="675"/>
      <c r="N127" s="675"/>
      <c r="O127" s="675"/>
      <c r="P127" s="675"/>
      <c r="Q127" s="675"/>
      <c r="R127" s="675"/>
      <c r="S127" s="675"/>
      <c r="T127" s="675"/>
      <c r="U127" s="675"/>
      <c r="V127" s="675"/>
      <c r="W127" s="675"/>
      <c r="X127" s="675"/>
      <c r="Y127" s="675"/>
      <c r="Z127" s="675"/>
      <c r="AA127" s="675"/>
      <c r="AB127" s="675"/>
      <c r="AC127" s="675"/>
      <c r="AD127" s="675"/>
      <c r="AE127" s="675"/>
      <c r="AF127" s="675"/>
      <c r="AG127" s="675"/>
      <c r="AH127" s="675"/>
    </row>
    <row r="128">
      <c r="A128" s="675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5"/>
      <c r="P128" s="675"/>
      <c r="Q128" s="675"/>
      <c r="R128" s="675"/>
      <c r="S128" s="675"/>
      <c r="T128" s="675"/>
      <c r="U128" s="675"/>
      <c r="V128" s="675"/>
      <c r="W128" s="675"/>
      <c r="X128" s="675"/>
      <c r="Y128" s="675"/>
      <c r="Z128" s="675"/>
      <c r="AA128" s="675"/>
      <c r="AB128" s="675"/>
      <c r="AC128" s="675"/>
      <c r="AD128" s="675"/>
      <c r="AE128" s="675"/>
      <c r="AF128" s="675"/>
      <c r="AG128" s="675"/>
      <c r="AH128" s="675"/>
    </row>
    <row r="129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5"/>
      <c r="P129" s="675"/>
      <c r="Q129" s="675"/>
      <c r="R129" s="675"/>
      <c r="S129" s="675"/>
      <c r="T129" s="675"/>
      <c r="U129" s="675"/>
      <c r="V129" s="675"/>
      <c r="W129" s="675"/>
      <c r="X129" s="675"/>
      <c r="Y129" s="675"/>
      <c r="Z129" s="675"/>
      <c r="AA129" s="675"/>
      <c r="AB129" s="675"/>
      <c r="AC129" s="675"/>
      <c r="AD129" s="675"/>
      <c r="AE129" s="675"/>
      <c r="AF129" s="675"/>
      <c r="AG129" s="675"/>
      <c r="AH129" s="675"/>
    </row>
    <row r="130">
      <c r="A130" s="675"/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75"/>
      <c r="AB130" s="675"/>
      <c r="AC130" s="675"/>
      <c r="AD130" s="675"/>
      <c r="AE130" s="675"/>
      <c r="AF130" s="675"/>
      <c r="AG130" s="675"/>
      <c r="AH130" s="675"/>
    </row>
    <row r="131">
      <c r="A131" s="675"/>
      <c r="B131" s="675"/>
      <c r="C131" s="675"/>
      <c r="D131" s="675"/>
      <c r="E131" s="675"/>
      <c r="F131" s="675"/>
      <c r="G131" s="675"/>
      <c r="H131" s="675"/>
      <c r="I131" s="675"/>
      <c r="J131" s="675"/>
      <c r="K131" s="675"/>
      <c r="L131" s="675"/>
      <c r="M131" s="675"/>
      <c r="N131" s="675"/>
      <c r="O131" s="675"/>
      <c r="P131" s="675"/>
      <c r="Q131" s="675"/>
      <c r="R131" s="675"/>
      <c r="S131" s="675"/>
      <c r="T131" s="675"/>
      <c r="U131" s="675"/>
      <c r="V131" s="675"/>
      <c r="W131" s="675"/>
      <c r="X131" s="675"/>
      <c r="Y131" s="675"/>
      <c r="Z131" s="675"/>
      <c r="AA131" s="675"/>
      <c r="AB131" s="675"/>
      <c r="AC131" s="675"/>
      <c r="AD131" s="675"/>
      <c r="AE131" s="675"/>
      <c r="AF131" s="675"/>
      <c r="AG131" s="675"/>
      <c r="AH131" s="675"/>
    </row>
    <row r="132">
      <c r="A132" s="675"/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  <c r="V132" s="675"/>
      <c r="W132" s="675"/>
      <c r="X132" s="675"/>
      <c r="Y132" s="675"/>
      <c r="Z132" s="675"/>
      <c r="AA132" s="675"/>
      <c r="AB132" s="675"/>
      <c r="AC132" s="675"/>
      <c r="AD132" s="675"/>
      <c r="AE132" s="675"/>
      <c r="AF132" s="675"/>
      <c r="AG132" s="675"/>
      <c r="AH132" s="675"/>
    </row>
    <row r="133">
      <c r="A133" s="675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5"/>
      <c r="P133" s="675"/>
      <c r="Q133" s="675"/>
      <c r="R133" s="675"/>
      <c r="S133" s="675"/>
      <c r="T133" s="675"/>
      <c r="U133" s="675"/>
      <c r="V133" s="675"/>
      <c r="W133" s="675"/>
      <c r="X133" s="675"/>
      <c r="Y133" s="675"/>
      <c r="Z133" s="675"/>
      <c r="AA133" s="675"/>
      <c r="AB133" s="675"/>
      <c r="AC133" s="675"/>
      <c r="AD133" s="675"/>
      <c r="AE133" s="675"/>
      <c r="AF133" s="675"/>
      <c r="AG133" s="675"/>
      <c r="AH133" s="675"/>
    </row>
    <row r="134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5"/>
      <c r="P134" s="675"/>
      <c r="Q134" s="675"/>
      <c r="R134" s="675"/>
      <c r="S134" s="675"/>
      <c r="T134" s="675"/>
      <c r="U134" s="675"/>
      <c r="V134" s="675"/>
      <c r="W134" s="675"/>
      <c r="X134" s="675"/>
      <c r="Y134" s="675"/>
      <c r="Z134" s="675"/>
      <c r="AA134" s="675"/>
      <c r="AB134" s="675"/>
      <c r="AC134" s="675"/>
      <c r="AD134" s="675"/>
      <c r="AE134" s="675"/>
      <c r="AF134" s="675"/>
      <c r="AG134" s="675"/>
      <c r="AH134" s="675"/>
    </row>
    <row r="135">
      <c r="A135" s="675"/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75"/>
      <c r="AB135" s="675"/>
      <c r="AC135" s="675"/>
      <c r="AD135" s="675"/>
      <c r="AE135" s="675"/>
      <c r="AF135" s="675"/>
      <c r="AG135" s="675"/>
      <c r="AH135" s="675"/>
    </row>
    <row r="136">
      <c r="A136" s="675"/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75"/>
      <c r="AB136" s="675"/>
      <c r="AC136" s="675"/>
      <c r="AD136" s="675"/>
      <c r="AE136" s="675"/>
      <c r="AF136" s="675"/>
      <c r="AG136" s="675"/>
      <c r="AH136" s="675"/>
    </row>
    <row r="137">
      <c r="A137" s="675"/>
      <c r="B137" s="675"/>
      <c r="C137" s="675"/>
      <c r="D137" s="675"/>
      <c r="E137" s="675"/>
      <c r="F137" s="675"/>
      <c r="G137" s="675"/>
      <c r="H137" s="675"/>
      <c r="I137" s="675"/>
      <c r="J137" s="675"/>
      <c r="K137" s="675"/>
      <c r="L137" s="675"/>
      <c r="M137" s="675"/>
      <c r="N137" s="675"/>
      <c r="O137" s="675"/>
      <c r="P137" s="675"/>
      <c r="Q137" s="675"/>
      <c r="R137" s="675"/>
      <c r="S137" s="675"/>
      <c r="T137" s="675"/>
      <c r="U137" s="675"/>
      <c r="V137" s="675"/>
      <c r="W137" s="675"/>
      <c r="X137" s="675"/>
      <c r="Y137" s="675"/>
      <c r="Z137" s="675"/>
      <c r="AA137" s="675"/>
      <c r="AB137" s="675"/>
      <c r="AC137" s="675"/>
      <c r="AD137" s="675"/>
      <c r="AE137" s="675"/>
      <c r="AF137" s="675"/>
      <c r="AG137" s="675"/>
      <c r="AH137" s="675"/>
    </row>
    <row r="138">
      <c r="A138" s="675"/>
      <c r="B138" s="675"/>
      <c r="C138" s="675"/>
      <c r="D138" s="675"/>
      <c r="E138" s="675"/>
      <c r="F138" s="675"/>
      <c r="G138" s="675"/>
      <c r="H138" s="675"/>
      <c r="I138" s="675"/>
      <c r="J138" s="675"/>
      <c r="K138" s="675"/>
      <c r="L138" s="675"/>
      <c r="M138" s="675"/>
      <c r="N138" s="675"/>
      <c r="O138" s="675"/>
      <c r="P138" s="675"/>
      <c r="Q138" s="675"/>
      <c r="R138" s="675"/>
      <c r="S138" s="675"/>
      <c r="T138" s="675"/>
      <c r="U138" s="675"/>
      <c r="V138" s="675"/>
      <c r="W138" s="675"/>
      <c r="X138" s="675"/>
      <c r="Y138" s="675"/>
      <c r="Z138" s="675"/>
      <c r="AA138" s="675"/>
      <c r="AB138" s="675"/>
      <c r="AC138" s="675"/>
      <c r="AD138" s="675"/>
      <c r="AE138" s="675"/>
      <c r="AF138" s="675"/>
      <c r="AG138" s="675"/>
      <c r="AH138" s="675"/>
    </row>
    <row r="139">
      <c r="A139" s="675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5"/>
      <c r="P139" s="675"/>
      <c r="Q139" s="675"/>
      <c r="R139" s="675"/>
      <c r="S139" s="675"/>
      <c r="T139" s="675"/>
      <c r="U139" s="675"/>
      <c r="V139" s="675"/>
      <c r="W139" s="675"/>
      <c r="X139" s="675"/>
      <c r="Y139" s="675"/>
      <c r="Z139" s="675"/>
      <c r="AA139" s="675"/>
      <c r="AB139" s="675"/>
      <c r="AC139" s="675"/>
      <c r="AD139" s="675"/>
      <c r="AE139" s="675"/>
      <c r="AF139" s="675"/>
      <c r="AG139" s="675"/>
      <c r="AH139" s="675"/>
    </row>
    <row r="140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5"/>
      <c r="P140" s="675"/>
      <c r="Q140" s="675"/>
      <c r="R140" s="675"/>
      <c r="S140" s="675"/>
      <c r="T140" s="675"/>
      <c r="U140" s="675"/>
      <c r="V140" s="675"/>
      <c r="W140" s="675"/>
      <c r="X140" s="675"/>
      <c r="Y140" s="675"/>
      <c r="Z140" s="675"/>
      <c r="AA140" s="675"/>
      <c r="AB140" s="675"/>
      <c r="AC140" s="675"/>
      <c r="AD140" s="675"/>
      <c r="AE140" s="675"/>
      <c r="AF140" s="675"/>
      <c r="AG140" s="675"/>
      <c r="AH140" s="675"/>
    </row>
    <row r="141">
      <c r="A141" s="675"/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75"/>
      <c r="AB141" s="675"/>
      <c r="AC141" s="675"/>
      <c r="AD141" s="675"/>
      <c r="AE141" s="675"/>
      <c r="AF141" s="675"/>
      <c r="AG141" s="675"/>
      <c r="AH141" s="675"/>
    </row>
    <row r="142">
      <c r="A142" s="675"/>
      <c r="B142" s="675"/>
      <c r="C142" s="675"/>
      <c r="D142" s="675"/>
      <c r="E142" s="675"/>
      <c r="F142" s="675"/>
      <c r="G142" s="675"/>
      <c r="H142" s="675"/>
      <c r="I142" s="675"/>
      <c r="J142" s="675"/>
      <c r="K142" s="675"/>
      <c r="L142" s="675"/>
      <c r="M142" s="675"/>
      <c r="N142" s="675"/>
      <c r="O142" s="675"/>
      <c r="P142" s="675"/>
      <c r="Q142" s="675"/>
      <c r="R142" s="675"/>
      <c r="S142" s="675"/>
      <c r="T142" s="675"/>
      <c r="U142" s="675"/>
      <c r="V142" s="675"/>
      <c r="W142" s="675"/>
      <c r="X142" s="675"/>
      <c r="Y142" s="675"/>
      <c r="Z142" s="675"/>
      <c r="AA142" s="675"/>
      <c r="AB142" s="675"/>
      <c r="AC142" s="675"/>
      <c r="AD142" s="675"/>
      <c r="AE142" s="675"/>
      <c r="AF142" s="675"/>
      <c r="AG142" s="675"/>
      <c r="AH142" s="675"/>
    </row>
    <row r="143">
      <c r="A143" s="675"/>
      <c r="B143" s="675"/>
      <c r="C143" s="675"/>
      <c r="D143" s="675"/>
      <c r="E143" s="675"/>
      <c r="F143" s="675"/>
      <c r="G143" s="675"/>
      <c r="H143" s="675"/>
      <c r="I143" s="675"/>
      <c r="J143" s="675"/>
      <c r="K143" s="675"/>
      <c r="L143" s="675"/>
      <c r="M143" s="675"/>
      <c r="N143" s="675"/>
      <c r="O143" s="675"/>
      <c r="P143" s="675"/>
      <c r="Q143" s="675"/>
      <c r="R143" s="675"/>
      <c r="S143" s="675"/>
      <c r="T143" s="675"/>
      <c r="U143" s="675"/>
      <c r="V143" s="675"/>
      <c r="W143" s="675"/>
      <c r="X143" s="675"/>
      <c r="Y143" s="675"/>
      <c r="Z143" s="675"/>
      <c r="AA143" s="675"/>
      <c r="AB143" s="675"/>
      <c r="AC143" s="675"/>
      <c r="AD143" s="675"/>
      <c r="AE143" s="675"/>
      <c r="AF143" s="675"/>
      <c r="AG143" s="675"/>
      <c r="AH143" s="675"/>
    </row>
    <row r="144">
      <c r="A144" s="675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5"/>
      <c r="P144" s="675"/>
      <c r="Q144" s="675"/>
      <c r="R144" s="675"/>
      <c r="S144" s="675"/>
      <c r="T144" s="675"/>
      <c r="U144" s="675"/>
      <c r="V144" s="675"/>
      <c r="W144" s="675"/>
      <c r="X144" s="675"/>
      <c r="Y144" s="675"/>
      <c r="Z144" s="675"/>
      <c r="AA144" s="675"/>
      <c r="AB144" s="675"/>
      <c r="AC144" s="675"/>
      <c r="AD144" s="675"/>
      <c r="AE144" s="675"/>
      <c r="AF144" s="675"/>
      <c r="AG144" s="675"/>
      <c r="AH144" s="675"/>
    </row>
    <row r="145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5"/>
      <c r="P145" s="675"/>
      <c r="Q145" s="675"/>
      <c r="R145" s="675"/>
      <c r="S145" s="675"/>
      <c r="T145" s="675"/>
      <c r="U145" s="675"/>
      <c r="V145" s="675"/>
      <c r="W145" s="675"/>
      <c r="X145" s="675"/>
      <c r="Y145" s="675"/>
      <c r="Z145" s="675"/>
      <c r="AA145" s="675"/>
      <c r="AB145" s="675"/>
      <c r="AC145" s="675"/>
      <c r="AD145" s="675"/>
      <c r="AE145" s="675"/>
      <c r="AF145" s="675"/>
      <c r="AG145" s="675"/>
      <c r="AH145" s="675"/>
    </row>
    <row r="146">
      <c r="A146" s="675"/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75"/>
      <c r="AB146" s="675"/>
      <c r="AC146" s="675"/>
      <c r="AD146" s="675"/>
      <c r="AE146" s="675"/>
      <c r="AF146" s="675"/>
      <c r="AG146" s="675"/>
      <c r="AH146" s="675"/>
    </row>
    <row r="147">
      <c r="A147" s="675"/>
      <c r="B147" s="675"/>
      <c r="C147" s="675"/>
      <c r="D147" s="675"/>
      <c r="E147" s="675"/>
      <c r="F147" s="675"/>
      <c r="G147" s="675"/>
      <c r="H147" s="675"/>
      <c r="I147" s="675"/>
      <c r="J147" s="675"/>
      <c r="K147" s="675"/>
      <c r="L147" s="675"/>
      <c r="M147" s="675"/>
      <c r="N147" s="675"/>
      <c r="O147" s="675"/>
      <c r="P147" s="675"/>
      <c r="Q147" s="675"/>
      <c r="R147" s="675"/>
      <c r="S147" s="675"/>
      <c r="T147" s="675"/>
      <c r="U147" s="675"/>
      <c r="V147" s="675"/>
      <c r="W147" s="675"/>
      <c r="X147" s="675"/>
      <c r="Y147" s="675"/>
      <c r="Z147" s="675"/>
      <c r="AA147" s="675"/>
      <c r="AB147" s="675"/>
      <c r="AC147" s="675"/>
      <c r="AD147" s="675"/>
      <c r="AE147" s="675"/>
      <c r="AF147" s="675"/>
      <c r="AG147" s="675"/>
      <c r="AH147" s="675"/>
    </row>
    <row r="148">
      <c r="A148" s="675"/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75"/>
      <c r="P148" s="675"/>
      <c r="Q148" s="675"/>
      <c r="R148" s="675"/>
      <c r="S148" s="675"/>
      <c r="T148" s="675"/>
      <c r="U148" s="675"/>
      <c r="V148" s="675"/>
      <c r="W148" s="675"/>
      <c r="X148" s="675"/>
      <c r="Y148" s="675"/>
      <c r="Z148" s="675"/>
      <c r="AA148" s="675"/>
      <c r="AB148" s="675"/>
      <c r="AC148" s="675"/>
      <c r="AD148" s="675"/>
      <c r="AE148" s="675"/>
      <c r="AF148" s="675"/>
      <c r="AG148" s="675"/>
      <c r="AH148" s="675"/>
    </row>
    <row r="149">
      <c r="A149" s="675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5"/>
      <c r="P149" s="675"/>
      <c r="Q149" s="675"/>
      <c r="R149" s="675"/>
      <c r="S149" s="675"/>
      <c r="T149" s="675"/>
      <c r="U149" s="675"/>
      <c r="V149" s="675"/>
      <c r="W149" s="675"/>
      <c r="X149" s="675"/>
      <c r="Y149" s="675"/>
      <c r="Z149" s="675"/>
      <c r="AA149" s="675"/>
      <c r="AB149" s="675"/>
      <c r="AC149" s="675"/>
      <c r="AD149" s="675"/>
      <c r="AE149" s="675"/>
      <c r="AF149" s="675"/>
      <c r="AG149" s="675"/>
      <c r="AH149" s="675"/>
    </row>
    <row r="150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5"/>
      <c r="P150" s="675"/>
      <c r="Q150" s="675"/>
      <c r="R150" s="675"/>
      <c r="S150" s="675"/>
      <c r="T150" s="675"/>
      <c r="U150" s="675"/>
      <c r="V150" s="675"/>
      <c r="W150" s="675"/>
      <c r="X150" s="675"/>
      <c r="Y150" s="675"/>
      <c r="Z150" s="675"/>
      <c r="AA150" s="675"/>
      <c r="AB150" s="675"/>
      <c r="AC150" s="675"/>
      <c r="AD150" s="675"/>
      <c r="AE150" s="675"/>
      <c r="AF150" s="675"/>
      <c r="AG150" s="675"/>
      <c r="AH150" s="675"/>
    </row>
    <row r="151">
      <c r="A151" s="675"/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75"/>
      <c r="AB151" s="675"/>
      <c r="AC151" s="675"/>
      <c r="AD151" s="675"/>
      <c r="AE151" s="675"/>
      <c r="AF151" s="675"/>
      <c r="AG151" s="675"/>
      <c r="AH151" s="675"/>
    </row>
    <row r="152">
      <c r="A152" s="675"/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75"/>
      <c r="AB152" s="675"/>
      <c r="AC152" s="675"/>
      <c r="AD152" s="675"/>
      <c r="AE152" s="675"/>
      <c r="AF152" s="675"/>
      <c r="AG152" s="675"/>
      <c r="AH152" s="675"/>
    </row>
    <row r="153">
      <c r="A153" s="675"/>
      <c r="B153" s="675"/>
      <c r="C153" s="675"/>
      <c r="D153" s="675"/>
      <c r="E153" s="675"/>
      <c r="F153" s="675"/>
      <c r="G153" s="675"/>
      <c r="H153" s="675"/>
      <c r="I153" s="675"/>
      <c r="J153" s="675"/>
      <c r="K153" s="675"/>
      <c r="L153" s="675"/>
      <c r="M153" s="675"/>
      <c r="N153" s="675"/>
      <c r="O153" s="675"/>
      <c r="P153" s="675"/>
      <c r="Q153" s="675"/>
      <c r="R153" s="675"/>
      <c r="S153" s="675"/>
      <c r="T153" s="675"/>
      <c r="U153" s="675"/>
      <c r="V153" s="675"/>
      <c r="W153" s="675"/>
      <c r="X153" s="675"/>
      <c r="Y153" s="675"/>
      <c r="Z153" s="675"/>
      <c r="AA153" s="675"/>
      <c r="AB153" s="675"/>
      <c r="AC153" s="675"/>
      <c r="AD153" s="675"/>
      <c r="AE153" s="675"/>
      <c r="AF153" s="675"/>
      <c r="AG153" s="675"/>
      <c r="AH153" s="675"/>
    </row>
    <row r="154">
      <c r="A154" s="675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5"/>
      <c r="P154" s="675"/>
      <c r="Q154" s="675"/>
      <c r="R154" s="675"/>
      <c r="S154" s="675"/>
      <c r="T154" s="675"/>
      <c r="U154" s="675"/>
      <c r="V154" s="675"/>
      <c r="W154" s="675"/>
      <c r="X154" s="675"/>
      <c r="Y154" s="675"/>
      <c r="Z154" s="675"/>
      <c r="AA154" s="675"/>
      <c r="AB154" s="675"/>
      <c r="AC154" s="675"/>
      <c r="AD154" s="675"/>
      <c r="AE154" s="675"/>
      <c r="AF154" s="675"/>
      <c r="AG154" s="675"/>
      <c r="AH154" s="675"/>
    </row>
    <row r="155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5"/>
      <c r="P155" s="675"/>
      <c r="Q155" s="675"/>
      <c r="R155" s="675"/>
      <c r="S155" s="675"/>
      <c r="T155" s="675"/>
      <c r="U155" s="675"/>
      <c r="V155" s="675"/>
      <c r="W155" s="675"/>
      <c r="X155" s="675"/>
      <c r="Y155" s="675"/>
      <c r="Z155" s="675"/>
      <c r="AA155" s="675"/>
      <c r="AB155" s="675"/>
      <c r="AC155" s="675"/>
      <c r="AD155" s="675"/>
      <c r="AE155" s="675"/>
      <c r="AF155" s="675"/>
      <c r="AG155" s="675"/>
      <c r="AH155" s="675"/>
    </row>
    <row r="156">
      <c r="A156" s="675"/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75"/>
      <c r="AB156" s="675"/>
      <c r="AC156" s="675"/>
      <c r="AD156" s="675"/>
      <c r="AE156" s="675"/>
      <c r="AF156" s="675"/>
      <c r="AG156" s="675"/>
      <c r="AH156" s="675"/>
    </row>
    <row r="157">
      <c r="A157" s="675"/>
      <c r="B157" s="675"/>
      <c r="C157" s="675"/>
      <c r="D157" s="675"/>
      <c r="E157" s="675"/>
      <c r="F157" s="675"/>
      <c r="G157" s="675"/>
      <c r="H157" s="675"/>
      <c r="I157" s="675"/>
      <c r="J157" s="675"/>
      <c r="K157" s="675"/>
      <c r="L157" s="675"/>
      <c r="M157" s="675"/>
      <c r="N157" s="675"/>
      <c r="O157" s="675"/>
      <c r="P157" s="675"/>
      <c r="Q157" s="675"/>
      <c r="R157" s="675"/>
      <c r="S157" s="675"/>
      <c r="T157" s="675"/>
      <c r="U157" s="675"/>
      <c r="V157" s="675"/>
      <c r="W157" s="675"/>
      <c r="X157" s="675"/>
      <c r="Y157" s="675"/>
      <c r="Z157" s="675"/>
      <c r="AA157" s="675"/>
      <c r="AB157" s="675"/>
      <c r="AC157" s="675"/>
      <c r="AD157" s="675"/>
      <c r="AE157" s="675"/>
      <c r="AF157" s="675"/>
      <c r="AG157" s="675"/>
      <c r="AH157" s="675"/>
    </row>
    <row r="158">
      <c r="A158" s="675"/>
      <c r="B158" s="675"/>
      <c r="C158" s="675"/>
      <c r="D158" s="675"/>
      <c r="E158" s="675"/>
      <c r="F158" s="675"/>
      <c r="G158" s="675"/>
      <c r="H158" s="675"/>
      <c r="I158" s="675"/>
      <c r="J158" s="675"/>
      <c r="K158" s="675"/>
      <c r="L158" s="675"/>
      <c r="M158" s="675"/>
      <c r="N158" s="675"/>
      <c r="O158" s="675"/>
      <c r="P158" s="675"/>
      <c r="Q158" s="675"/>
      <c r="R158" s="675"/>
      <c r="S158" s="675"/>
      <c r="T158" s="675"/>
      <c r="U158" s="675"/>
      <c r="V158" s="675"/>
      <c r="W158" s="675"/>
      <c r="X158" s="675"/>
      <c r="Y158" s="675"/>
      <c r="Z158" s="675"/>
      <c r="AA158" s="675"/>
      <c r="AB158" s="675"/>
      <c r="AC158" s="675"/>
      <c r="AD158" s="675"/>
      <c r="AE158" s="675"/>
      <c r="AF158" s="675"/>
      <c r="AG158" s="675"/>
      <c r="AH158" s="675"/>
    </row>
    <row r="159">
      <c r="A159" s="675"/>
      <c r="B159" s="675"/>
      <c r="C159" s="675"/>
      <c r="D159" s="675"/>
      <c r="E159" s="675"/>
      <c r="F159" s="675"/>
      <c r="G159" s="675"/>
      <c r="H159" s="675"/>
      <c r="I159" s="675"/>
      <c r="J159" s="675"/>
      <c r="K159" s="675"/>
      <c r="L159" s="675"/>
      <c r="M159" s="675"/>
      <c r="N159" s="675"/>
      <c r="O159" s="675"/>
      <c r="P159" s="675"/>
      <c r="Q159" s="675"/>
      <c r="R159" s="675"/>
      <c r="S159" s="675"/>
      <c r="T159" s="675"/>
      <c r="U159" s="675"/>
      <c r="V159" s="675"/>
      <c r="W159" s="675"/>
      <c r="X159" s="675"/>
      <c r="Y159" s="675"/>
      <c r="Z159" s="675"/>
      <c r="AA159" s="675"/>
      <c r="AB159" s="675"/>
      <c r="AC159" s="675"/>
      <c r="AD159" s="675"/>
      <c r="AE159" s="675"/>
      <c r="AF159" s="675"/>
      <c r="AG159" s="675"/>
      <c r="AH159" s="675"/>
    </row>
    <row r="160">
      <c r="A160" s="675"/>
      <c r="B160" s="675"/>
      <c r="C160" s="675"/>
      <c r="D160" s="675"/>
      <c r="E160" s="675"/>
      <c r="F160" s="675"/>
      <c r="G160" s="675"/>
      <c r="H160" s="675"/>
      <c r="I160" s="675"/>
      <c r="J160" s="675"/>
      <c r="K160" s="675"/>
      <c r="L160" s="675"/>
      <c r="M160" s="675"/>
      <c r="N160" s="675"/>
      <c r="O160" s="675"/>
      <c r="P160" s="675"/>
      <c r="Q160" s="675"/>
      <c r="R160" s="675"/>
      <c r="S160" s="675"/>
      <c r="T160" s="675"/>
      <c r="U160" s="675"/>
      <c r="V160" s="675"/>
      <c r="W160" s="675"/>
      <c r="X160" s="675"/>
      <c r="Y160" s="675"/>
      <c r="Z160" s="675"/>
      <c r="AA160" s="675"/>
      <c r="AB160" s="675"/>
      <c r="AC160" s="675"/>
      <c r="AD160" s="675"/>
      <c r="AE160" s="675"/>
      <c r="AF160" s="675"/>
      <c r="AG160" s="675"/>
      <c r="AH160" s="675"/>
    </row>
    <row r="161">
      <c r="A161" s="675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5"/>
      <c r="P161" s="675"/>
      <c r="Q161" s="675"/>
      <c r="R161" s="675"/>
      <c r="S161" s="675"/>
      <c r="T161" s="675"/>
      <c r="U161" s="675"/>
      <c r="V161" s="675"/>
      <c r="W161" s="675"/>
      <c r="X161" s="675"/>
      <c r="Y161" s="675"/>
      <c r="Z161" s="675"/>
      <c r="AA161" s="675"/>
      <c r="AB161" s="675"/>
      <c r="AC161" s="675"/>
      <c r="AD161" s="675"/>
      <c r="AE161" s="675"/>
      <c r="AF161" s="675"/>
      <c r="AG161" s="675"/>
      <c r="AH161" s="675"/>
    </row>
    <row r="16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5"/>
      <c r="P162" s="675"/>
      <c r="Q162" s="675"/>
      <c r="R162" s="675"/>
      <c r="S162" s="675"/>
      <c r="T162" s="675"/>
      <c r="U162" s="675"/>
      <c r="V162" s="675"/>
      <c r="W162" s="675"/>
      <c r="X162" s="675"/>
      <c r="Y162" s="675"/>
      <c r="Z162" s="675"/>
      <c r="AA162" s="675"/>
      <c r="AB162" s="675"/>
      <c r="AC162" s="675"/>
      <c r="AD162" s="675"/>
      <c r="AE162" s="675"/>
      <c r="AF162" s="675"/>
      <c r="AG162" s="675"/>
      <c r="AH162" s="675"/>
    </row>
    <row r="163">
      <c r="A163" s="675"/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75"/>
      <c r="AB163" s="675"/>
      <c r="AC163" s="675"/>
      <c r="AD163" s="675"/>
      <c r="AE163" s="675"/>
      <c r="AF163" s="675"/>
      <c r="AG163" s="675"/>
      <c r="AH163" s="675"/>
    </row>
    <row r="164">
      <c r="A164" s="675"/>
      <c r="B164" s="675"/>
      <c r="C164" s="675"/>
      <c r="D164" s="675"/>
      <c r="E164" s="675"/>
      <c r="F164" s="675"/>
      <c r="G164" s="675"/>
      <c r="H164" s="675"/>
      <c r="I164" s="675"/>
      <c r="J164" s="675"/>
      <c r="K164" s="675"/>
      <c r="L164" s="675"/>
      <c r="M164" s="675"/>
      <c r="N164" s="675"/>
      <c r="O164" s="675"/>
      <c r="P164" s="675"/>
      <c r="Q164" s="675"/>
      <c r="R164" s="675"/>
      <c r="S164" s="675"/>
      <c r="T164" s="675"/>
      <c r="U164" s="675"/>
      <c r="V164" s="675"/>
      <c r="W164" s="675"/>
      <c r="X164" s="675"/>
      <c r="Y164" s="675"/>
      <c r="Z164" s="675"/>
      <c r="AA164" s="675"/>
      <c r="AB164" s="675"/>
      <c r="AC164" s="675"/>
      <c r="AD164" s="675"/>
      <c r="AE164" s="675"/>
      <c r="AF164" s="675"/>
      <c r="AG164" s="675"/>
      <c r="AH164" s="675"/>
    </row>
    <row r="165">
      <c r="A165" s="675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5"/>
      <c r="P165" s="675"/>
      <c r="Q165" s="675"/>
      <c r="R165" s="675"/>
      <c r="S165" s="675"/>
      <c r="T165" s="675"/>
      <c r="U165" s="675"/>
      <c r="V165" s="675"/>
      <c r="W165" s="675"/>
      <c r="X165" s="675"/>
      <c r="Y165" s="675"/>
      <c r="Z165" s="675"/>
      <c r="AA165" s="675"/>
      <c r="AB165" s="675"/>
      <c r="AC165" s="675"/>
      <c r="AD165" s="675"/>
      <c r="AE165" s="675"/>
      <c r="AF165" s="675"/>
      <c r="AG165" s="675"/>
      <c r="AH165" s="675"/>
    </row>
    <row r="166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5"/>
      <c r="P166" s="675"/>
      <c r="Q166" s="675"/>
      <c r="R166" s="675"/>
      <c r="S166" s="675"/>
      <c r="T166" s="675"/>
      <c r="U166" s="675"/>
      <c r="V166" s="675"/>
      <c r="W166" s="675"/>
      <c r="X166" s="675"/>
      <c r="Y166" s="675"/>
      <c r="Z166" s="675"/>
      <c r="AA166" s="675"/>
      <c r="AB166" s="675"/>
      <c r="AC166" s="675"/>
      <c r="AD166" s="675"/>
      <c r="AE166" s="675"/>
      <c r="AF166" s="675"/>
      <c r="AG166" s="675"/>
      <c r="AH166" s="675"/>
    </row>
    <row r="167">
      <c r="A167" s="675"/>
      <c r="B167" s="675"/>
      <c r="C167" s="675"/>
      <c r="D167" s="675"/>
      <c r="E167" s="675"/>
      <c r="F167" s="675"/>
      <c r="G167" s="675"/>
      <c r="H167" s="675"/>
      <c r="I167" s="675"/>
      <c r="J167" s="675"/>
      <c r="K167" s="675"/>
      <c r="L167" s="675"/>
      <c r="M167" s="675"/>
      <c r="N167" s="675"/>
      <c r="O167" s="675"/>
      <c r="P167" s="675"/>
      <c r="Q167" s="675"/>
      <c r="R167" s="675"/>
      <c r="S167" s="675"/>
      <c r="T167" s="675"/>
      <c r="U167" s="675"/>
      <c r="V167" s="675"/>
      <c r="W167" s="675"/>
      <c r="X167" s="675"/>
      <c r="Y167" s="675"/>
      <c r="Z167" s="675"/>
      <c r="AA167" s="675"/>
      <c r="AB167" s="675"/>
      <c r="AC167" s="675"/>
      <c r="AD167" s="675"/>
      <c r="AE167" s="675"/>
      <c r="AF167" s="675"/>
      <c r="AG167" s="675"/>
      <c r="AH167" s="675"/>
    </row>
    <row r="168">
      <c r="A168" s="675"/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75"/>
      <c r="AB168" s="675"/>
      <c r="AC168" s="675"/>
      <c r="AD168" s="675"/>
      <c r="AE168" s="675"/>
      <c r="AF168" s="675"/>
      <c r="AG168" s="675"/>
      <c r="AH168" s="675"/>
    </row>
    <row r="169">
      <c r="A169" s="675"/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75"/>
      <c r="AB169" s="675"/>
      <c r="AC169" s="675"/>
      <c r="AD169" s="675"/>
      <c r="AE169" s="675"/>
      <c r="AF169" s="675"/>
      <c r="AG169" s="675"/>
      <c r="AH169" s="675"/>
    </row>
    <row r="170">
      <c r="A170" s="675"/>
      <c r="B170" s="675"/>
      <c r="C170" s="675"/>
      <c r="D170" s="675"/>
      <c r="E170" s="675"/>
      <c r="F170" s="675"/>
      <c r="G170" s="675"/>
      <c r="H170" s="675"/>
      <c r="I170" s="675"/>
      <c r="J170" s="675"/>
      <c r="K170" s="675"/>
      <c r="L170" s="675"/>
      <c r="M170" s="675"/>
      <c r="N170" s="675"/>
      <c r="O170" s="675"/>
      <c r="P170" s="675"/>
      <c r="Q170" s="675"/>
      <c r="R170" s="675"/>
      <c r="S170" s="675"/>
      <c r="T170" s="675"/>
      <c r="U170" s="675"/>
      <c r="V170" s="675"/>
      <c r="W170" s="675"/>
      <c r="X170" s="675"/>
      <c r="Y170" s="675"/>
      <c r="Z170" s="675"/>
      <c r="AA170" s="675"/>
      <c r="AB170" s="675"/>
      <c r="AC170" s="675"/>
      <c r="AD170" s="675"/>
      <c r="AE170" s="675"/>
      <c r="AF170" s="675"/>
      <c r="AG170" s="675"/>
      <c r="AH170" s="675"/>
    </row>
    <row r="171">
      <c r="A171" s="675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5"/>
      <c r="P171" s="675"/>
      <c r="Q171" s="675"/>
      <c r="R171" s="675"/>
      <c r="S171" s="675"/>
      <c r="T171" s="675"/>
      <c r="U171" s="675"/>
      <c r="V171" s="675"/>
      <c r="W171" s="675"/>
      <c r="X171" s="675"/>
      <c r="Y171" s="675"/>
      <c r="Z171" s="675"/>
      <c r="AA171" s="675"/>
      <c r="AB171" s="675"/>
      <c r="AC171" s="675"/>
      <c r="AD171" s="675"/>
      <c r="AE171" s="675"/>
      <c r="AF171" s="675"/>
      <c r="AG171" s="675"/>
      <c r="AH171" s="675"/>
    </row>
    <row r="17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5"/>
      <c r="P172" s="675"/>
      <c r="Q172" s="675"/>
      <c r="R172" s="675"/>
      <c r="S172" s="675"/>
      <c r="T172" s="675"/>
      <c r="U172" s="675"/>
      <c r="V172" s="675"/>
      <c r="W172" s="675"/>
      <c r="X172" s="675"/>
      <c r="Y172" s="675"/>
      <c r="Z172" s="675"/>
      <c r="AA172" s="675"/>
      <c r="AB172" s="675"/>
      <c r="AC172" s="675"/>
      <c r="AD172" s="675"/>
      <c r="AE172" s="675"/>
      <c r="AF172" s="675"/>
      <c r="AG172" s="675"/>
      <c r="AH172" s="675"/>
    </row>
    <row r="173">
      <c r="A173" s="675"/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75"/>
      <c r="AB173" s="675"/>
      <c r="AC173" s="675"/>
      <c r="AD173" s="675"/>
      <c r="AE173" s="675"/>
      <c r="AF173" s="675"/>
      <c r="AG173" s="675"/>
      <c r="AH173" s="675"/>
    </row>
    <row r="174">
      <c r="A174" s="675"/>
      <c r="B174" s="675"/>
      <c r="C174" s="675"/>
      <c r="D174" s="675"/>
      <c r="E174" s="675"/>
      <c r="F174" s="675"/>
      <c r="G174" s="675"/>
      <c r="H174" s="675"/>
      <c r="I174" s="675"/>
      <c r="J174" s="675"/>
      <c r="K174" s="675"/>
      <c r="L174" s="675"/>
      <c r="M174" s="675"/>
      <c r="N174" s="675"/>
      <c r="O174" s="675"/>
      <c r="P174" s="675"/>
      <c r="Q174" s="675"/>
      <c r="R174" s="675"/>
      <c r="S174" s="675"/>
      <c r="T174" s="675"/>
      <c r="U174" s="675"/>
      <c r="V174" s="675"/>
      <c r="W174" s="675"/>
      <c r="X174" s="675"/>
      <c r="Y174" s="675"/>
      <c r="Z174" s="675"/>
      <c r="AA174" s="675"/>
      <c r="AB174" s="675"/>
      <c r="AC174" s="675"/>
      <c r="AD174" s="675"/>
      <c r="AE174" s="675"/>
      <c r="AF174" s="675"/>
      <c r="AG174" s="675"/>
      <c r="AH174" s="675"/>
    </row>
    <row r="175">
      <c r="A175" s="675"/>
      <c r="B175" s="675"/>
      <c r="C175" s="675"/>
      <c r="D175" s="675"/>
      <c r="E175" s="675"/>
      <c r="F175" s="675"/>
      <c r="G175" s="675"/>
      <c r="H175" s="675"/>
      <c r="I175" s="675"/>
      <c r="J175" s="675"/>
      <c r="K175" s="675"/>
      <c r="L175" s="675"/>
      <c r="M175" s="675"/>
      <c r="N175" s="675"/>
      <c r="O175" s="675"/>
      <c r="P175" s="675"/>
      <c r="Q175" s="675"/>
      <c r="R175" s="675"/>
      <c r="S175" s="675"/>
      <c r="T175" s="675"/>
      <c r="U175" s="675"/>
      <c r="V175" s="675"/>
      <c r="W175" s="675"/>
      <c r="X175" s="675"/>
      <c r="Y175" s="675"/>
      <c r="Z175" s="675"/>
      <c r="AA175" s="675"/>
      <c r="AB175" s="675"/>
      <c r="AC175" s="675"/>
      <c r="AD175" s="675"/>
      <c r="AE175" s="675"/>
      <c r="AF175" s="675"/>
      <c r="AG175" s="675"/>
      <c r="AH175" s="675"/>
    </row>
    <row r="176">
      <c r="A176" s="675"/>
      <c r="B176" s="675"/>
      <c r="C176" s="675"/>
      <c r="D176" s="675"/>
      <c r="E176" s="675"/>
      <c r="F176" s="675"/>
      <c r="G176" s="675"/>
      <c r="H176" s="675"/>
      <c r="I176" s="675"/>
      <c r="J176" s="675"/>
      <c r="K176" s="675"/>
      <c r="L176" s="675"/>
      <c r="M176" s="675"/>
      <c r="N176" s="675"/>
      <c r="O176" s="675"/>
      <c r="P176" s="675"/>
      <c r="Q176" s="675"/>
      <c r="R176" s="675"/>
      <c r="S176" s="675"/>
      <c r="T176" s="675"/>
      <c r="U176" s="675"/>
      <c r="V176" s="675"/>
      <c r="W176" s="675"/>
      <c r="X176" s="675"/>
      <c r="Y176" s="675"/>
      <c r="Z176" s="675"/>
      <c r="AA176" s="675"/>
      <c r="AB176" s="675"/>
      <c r="AC176" s="675"/>
      <c r="AD176" s="675"/>
      <c r="AE176" s="675"/>
      <c r="AF176" s="675"/>
      <c r="AG176" s="675"/>
      <c r="AH176" s="675"/>
    </row>
    <row r="177">
      <c r="A177" s="675"/>
      <c r="B177" s="675"/>
      <c r="C177" s="675"/>
      <c r="D177" s="675"/>
      <c r="E177" s="675"/>
      <c r="F177" s="675"/>
      <c r="G177" s="675"/>
      <c r="H177" s="675"/>
      <c r="I177" s="675"/>
      <c r="J177" s="675"/>
      <c r="K177" s="675"/>
      <c r="L177" s="675"/>
      <c r="M177" s="675"/>
      <c r="N177" s="675"/>
      <c r="O177" s="675"/>
      <c r="P177" s="675"/>
      <c r="Q177" s="675"/>
      <c r="R177" s="675"/>
      <c r="S177" s="675"/>
      <c r="T177" s="675"/>
      <c r="U177" s="675"/>
      <c r="V177" s="675"/>
      <c r="W177" s="675"/>
      <c r="X177" s="675"/>
      <c r="Y177" s="675"/>
      <c r="Z177" s="675"/>
      <c r="AA177" s="675"/>
      <c r="AB177" s="675"/>
      <c r="AC177" s="675"/>
      <c r="AD177" s="675"/>
      <c r="AE177" s="675"/>
      <c r="AF177" s="675"/>
      <c r="AG177" s="675"/>
      <c r="AH177" s="675"/>
    </row>
    <row r="178">
      <c r="A178" s="675"/>
      <c r="B178" s="675"/>
      <c r="C178" s="675"/>
      <c r="D178" s="675"/>
      <c r="E178" s="675"/>
      <c r="F178" s="675"/>
      <c r="G178" s="675"/>
      <c r="H178" s="675"/>
      <c r="I178" s="675"/>
      <c r="J178" s="675"/>
      <c r="K178" s="675"/>
      <c r="L178" s="675"/>
      <c r="M178" s="675"/>
      <c r="N178" s="675"/>
      <c r="O178" s="675"/>
      <c r="P178" s="675"/>
      <c r="Q178" s="675"/>
      <c r="R178" s="675"/>
      <c r="S178" s="675"/>
      <c r="T178" s="675"/>
      <c r="U178" s="675"/>
      <c r="V178" s="675"/>
      <c r="W178" s="675"/>
      <c r="X178" s="675"/>
      <c r="Y178" s="675"/>
      <c r="Z178" s="675"/>
      <c r="AA178" s="675"/>
      <c r="AB178" s="675"/>
      <c r="AC178" s="675"/>
      <c r="AD178" s="675"/>
      <c r="AE178" s="675"/>
      <c r="AF178" s="675"/>
      <c r="AG178" s="675"/>
      <c r="AH178" s="675"/>
    </row>
    <row r="179">
      <c r="A179" s="675"/>
      <c r="B179" s="675"/>
      <c r="C179" s="675"/>
      <c r="D179" s="675"/>
      <c r="E179" s="675"/>
      <c r="F179" s="675"/>
      <c r="G179" s="675"/>
      <c r="H179" s="675"/>
      <c r="I179" s="675"/>
      <c r="J179" s="675"/>
      <c r="K179" s="675"/>
      <c r="L179" s="675"/>
      <c r="M179" s="675"/>
      <c r="N179" s="675"/>
      <c r="O179" s="675"/>
      <c r="P179" s="675"/>
      <c r="Q179" s="675"/>
      <c r="R179" s="675"/>
      <c r="S179" s="675"/>
      <c r="T179" s="675"/>
      <c r="U179" s="675"/>
      <c r="V179" s="675"/>
      <c r="W179" s="675"/>
      <c r="X179" s="675"/>
      <c r="Y179" s="675"/>
      <c r="Z179" s="675"/>
      <c r="AA179" s="675"/>
      <c r="AB179" s="675"/>
      <c r="AC179" s="675"/>
      <c r="AD179" s="675"/>
      <c r="AE179" s="675"/>
      <c r="AF179" s="675"/>
      <c r="AG179" s="675"/>
      <c r="AH179" s="675"/>
    </row>
    <row r="180">
      <c r="A180" s="675"/>
      <c r="B180" s="675"/>
      <c r="C180" s="675"/>
      <c r="D180" s="675"/>
      <c r="E180" s="675"/>
      <c r="F180" s="675"/>
      <c r="G180" s="675"/>
      <c r="H180" s="675"/>
      <c r="I180" s="675"/>
      <c r="J180" s="675"/>
      <c r="K180" s="675"/>
      <c r="L180" s="675"/>
      <c r="M180" s="675"/>
      <c r="N180" s="675"/>
      <c r="O180" s="675"/>
      <c r="P180" s="675"/>
      <c r="Q180" s="675"/>
      <c r="R180" s="675"/>
      <c r="S180" s="675"/>
      <c r="T180" s="675"/>
      <c r="U180" s="675"/>
      <c r="V180" s="675"/>
      <c r="W180" s="675"/>
      <c r="X180" s="675"/>
      <c r="Y180" s="675"/>
      <c r="Z180" s="675"/>
      <c r="AA180" s="675"/>
      <c r="AB180" s="675"/>
      <c r="AC180" s="675"/>
      <c r="AD180" s="675"/>
      <c r="AE180" s="675"/>
      <c r="AF180" s="675"/>
      <c r="AG180" s="675"/>
      <c r="AH180" s="675"/>
    </row>
    <row r="181">
      <c r="A181" s="675"/>
      <c r="B181" s="675"/>
      <c r="C181" s="675"/>
      <c r="D181" s="675"/>
      <c r="E181" s="675"/>
      <c r="F181" s="675"/>
      <c r="G181" s="675"/>
      <c r="H181" s="675"/>
      <c r="I181" s="675"/>
      <c r="J181" s="675"/>
      <c r="K181" s="675"/>
      <c r="L181" s="675"/>
      <c r="M181" s="675"/>
      <c r="N181" s="675"/>
      <c r="O181" s="675"/>
      <c r="P181" s="675"/>
      <c r="Q181" s="675"/>
      <c r="R181" s="675"/>
      <c r="S181" s="675"/>
      <c r="T181" s="675"/>
      <c r="U181" s="675"/>
      <c r="V181" s="675"/>
      <c r="W181" s="675"/>
      <c r="X181" s="675"/>
      <c r="Y181" s="675"/>
      <c r="Z181" s="675"/>
      <c r="AA181" s="675"/>
      <c r="AB181" s="675"/>
      <c r="AC181" s="675"/>
      <c r="AD181" s="675"/>
      <c r="AE181" s="675"/>
      <c r="AF181" s="675"/>
      <c r="AG181" s="675"/>
      <c r="AH181" s="675"/>
    </row>
    <row r="182">
      <c r="A182" s="675"/>
      <c r="B182" s="675"/>
      <c r="C182" s="675"/>
      <c r="D182" s="675"/>
      <c r="E182" s="675"/>
      <c r="F182" s="675"/>
      <c r="G182" s="675"/>
      <c r="H182" s="675"/>
      <c r="I182" s="675"/>
      <c r="J182" s="675"/>
      <c r="K182" s="675"/>
      <c r="L182" s="675"/>
      <c r="M182" s="675"/>
      <c r="N182" s="675"/>
      <c r="O182" s="675"/>
      <c r="P182" s="675"/>
      <c r="Q182" s="675"/>
      <c r="R182" s="675"/>
      <c r="S182" s="675"/>
      <c r="T182" s="675"/>
      <c r="U182" s="675"/>
      <c r="V182" s="675"/>
      <c r="W182" s="675"/>
      <c r="X182" s="675"/>
      <c r="Y182" s="675"/>
      <c r="Z182" s="675"/>
      <c r="AA182" s="675"/>
      <c r="AB182" s="675"/>
      <c r="AC182" s="675"/>
      <c r="AD182" s="675"/>
      <c r="AE182" s="675"/>
      <c r="AF182" s="675"/>
      <c r="AG182" s="675"/>
      <c r="AH182" s="675"/>
    </row>
    <row r="183">
      <c r="A183" s="675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5"/>
      <c r="P183" s="675"/>
      <c r="Q183" s="675"/>
      <c r="R183" s="675"/>
      <c r="S183" s="675"/>
      <c r="T183" s="675"/>
      <c r="U183" s="675"/>
      <c r="V183" s="675"/>
      <c r="W183" s="675"/>
      <c r="X183" s="675"/>
      <c r="Y183" s="675"/>
      <c r="Z183" s="675"/>
      <c r="AA183" s="675"/>
      <c r="AB183" s="675"/>
      <c r="AC183" s="675"/>
      <c r="AD183" s="675"/>
      <c r="AE183" s="675"/>
      <c r="AF183" s="675"/>
      <c r="AG183" s="675"/>
      <c r="AH183" s="675"/>
    </row>
    <row r="184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5"/>
      <c r="P184" s="675"/>
      <c r="Q184" s="675"/>
      <c r="R184" s="675"/>
      <c r="S184" s="675"/>
      <c r="T184" s="675"/>
      <c r="U184" s="675"/>
      <c r="V184" s="675"/>
      <c r="W184" s="675"/>
      <c r="X184" s="675"/>
      <c r="Y184" s="675"/>
      <c r="Z184" s="675"/>
      <c r="AA184" s="675"/>
      <c r="AB184" s="675"/>
      <c r="AC184" s="675"/>
      <c r="AD184" s="675"/>
      <c r="AE184" s="675"/>
      <c r="AF184" s="675"/>
      <c r="AG184" s="675"/>
      <c r="AH184" s="675"/>
    </row>
    <row r="185">
      <c r="A185" s="675"/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75"/>
      <c r="AB185" s="675"/>
      <c r="AC185" s="675"/>
      <c r="AD185" s="675"/>
      <c r="AE185" s="675"/>
      <c r="AF185" s="675"/>
      <c r="AG185" s="675"/>
      <c r="AH185" s="675"/>
    </row>
    <row r="186">
      <c r="A186" s="675"/>
      <c r="B186" s="675"/>
      <c r="C186" s="675"/>
      <c r="D186" s="675"/>
      <c r="E186" s="675"/>
      <c r="F186" s="675"/>
      <c r="G186" s="675"/>
      <c r="H186" s="675"/>
      <c r="I186" s="675"/>
      <c r="J186" s="675"/>
      <c r="K186" s="675"/>
      <c r="L186" s="675"/>
      <c r="M186" s="675"/>
      <c r="N186" s="675"/>
      <c r="O186" s="675"/>
      <c r="P186" s="675"/>
      <c r="Q186" s="675"/>
      <c r="R186" s="675"/>
      <c r="S186" s="675"/>
      <c r="T186" s="675"/>
      <c r="U186" s="675"/>
      <c r="V186" s="675"/>
      <c r="W186" s="675"/>
      <c r="X186" s="675"/>
      <c r="Y186" s="675"/>
      <c r="Z186" s="675"/>
      <c r="AA186" s="675"/>
      <c r="AB186" s="675"/>
      <c r="AC186" s="675"/>
      <c r="AD186" s="675"/>
      <c r="AE186" s="675"/>
      <c r="AF186" s="675"/>
      <c r="AG186" s="675"/>
      <c r="AH186" s="675"/>
    </row>
    <row r="187">
      <c r="A187" s="675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5"/>
      <c r="P187" s="675"/>
      <c r="Q187" s="675"/>
      <c r="R187" s="675"/>
      <c r="S187" s="675"/>
      <c r="T187" s="675"/>
      <c r="U187" s="675"/>
      <c r="V187" s="675"/>
      <c r="W187" s="675"/>
      <c r="X187" s="675"/>
      <c r="Y187" s="675"/>
      <c r="Z187" s="675"/>
      <c r="AA187" s="675"/>
      <c r="AB187" s="675"/>
      <c r="AC187" s="675"/>
      <c r="AD187" s="675"/>
      <c r="AE187" s="675"/>
      <c r="AF187" s="675"/>
      <c r="AG187" s="675"/>
      <c r="AH187" s="675"/>
    </row>
    <row r="188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5"/>
      <c r="P188" s="675"/>
      <c r="Q188" s="675"/>
      <c r="R188" s="675"/>
      <c r="S188" s="675"/>
      <c r="T188" s="675"/>
      <c r="U188" s="675"/>
      <c r="V188" s="675"/>
      <c r="W188" s="675"/>
      <c r="X188" s="675"/>
      <c r="Y188" s="675"/>
      <c r="Z188" s="675"/>
      <c r="AA188" s="675"/>
      <c r="AB188" s="675"/>
      <c r="AC188" s="675"/>
      <c r="AD188" s="675"/>
      <c r="AE188" s="675"/>
      <c r="AF188" s="675"/>
      <c r="AG188" s="675"/>
      <c r="AH188" s="675"/>
    </row>
    <row r="189">
      <c r="A189" s="675"/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75"/>
      <c r="AB189" s="675"/>
      <c r="AC189" s="675"/>
      <c r="AD189" s="675"/>
      <c r="AE189" s="675"/>
      <c r="AF189" s="675"/>
      <c r="AG189" s="675"/>
      <c r="AH189" s="675"/>
    </row>
    <row r="190">
      <c r="A190" s="675"/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75"/>
      <c r="AB190" s="675"/>
      <c r="AC190" s="675"/>
      <c r="AD190" s="675"/>
      <c r="AE190" s="675"/>
      <c r="AF190" s="675"/>
      <c r="AG190" s="675"/>
      <c r="AH190" s="675"/>
    </row>
    <row r="191">
      <c r="A191" s="675"/>
      <c r="B191" s="675"/>
      <c r="C191" s="675"/>
      <c r="D191" s="675"/>
      <c r="E191" s="675"/>
      <c r="F191" s="675"/>
      <c r="G191" s="675"/>
      <c r="H191" s="675"/>
      <c r="I191" s="675"/>
      <c r="J191" s="675"/>
      <c r="K191" s="675"/>
      <c r="L191" s="675"/>
      <c r="M191" s="675"/>
      <c r="N191" s="675"/>
      <c r="O191" s="675"/>
      <c r="P191" s="675"/>
      <c r="Q191" s="675"/>
      <c r="R191" s="675"/>
      <c r="S191" s="675"/>
      <c r="T191" s="675"/>
      <c r="U191" s="675"/>
      <c r="V191" s="675"/>
      <c r="W191" s="675"/>
      <c r="X191" s="675"/>
      <c r="Y191" s="675"/>
      <c r="Z191" s="675"/>
      <c r="AA191" s="675"/>
      <c r="AB191" s="675"/>
      <c r="AC191" s="675"/>
      <c r="AD191" s="675"/>
      <c r="AE191" s="675"/>
      <c r="AF191" s="675"/>
      <c r="AG191" s="675"/>
      <c r="AH191" s="675"/>
    </row>
    <row r="192">
      <c r="A192" s="675"/>
      <c r="B192" s="675"/>
      <c r="C192" s="675"/>
      <c r="D192" s="675"/>
      <c r="E192" s="675"/>
      <c r="F192" s="675"/>
      <c r="G192" s="675"/>
      <c r="H192" s="675"/>
      <c r="I192" s="675"/>
      <c r="J192" s="675"/>
      <c r="K192" s="675"/>
      <c r="L192" s="675"/>
      <c r="M192" s="675"/>
      <c r="N192" s="675"/>
      <c r="O192" s="675"/>
      <c r="P192" s="675"/>
      <c r="Q192" s="675"/>
      <c r="R192" s="675"/>
      <c r="S192" s="675"/>
      <c r="T192" s="675"/>
      <c r="U192" s="675"/>
      <c r="V192" s="675"/>
      <c r="W192" s="675"/>
      <c r="X192" s="675"/>
      <c r="Y192" s="675"/>
      <c r="Z192" s="675"/>
      <c r="AA192" s="675"/>
      <c r="AB192" s="675"/>
      <c r="AC192" s="675"/>
      <c r="AD192" s="675"/>
      <c r="AE192" s="675"/>
      <c r="AF192" s="675"/>
      <c r="AG192" s="675"/>
      <c r="AH192" s="675"/>
    </row>
    <row r="193">
      <c r="A193" s="675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5"/>
      <c r="P193" s="675"/>
      <c r="Q193" s="675"/>
      <c r="R193" s="675"/>
      <c r="S193" s="675"/>
      <c r="T193" s="675"/>
      <c r="U193" s="675"/>
      <c r="V193" s="675"/>
      <c r="W193" s="675"/>
      <c r="X193" s="675"/>
      <c r="Y193" s="675"/>
      <c r="Z193" s="675"/>
      <c r="AA193" s="675"/>
      <c r="AB193" s="675"/>
      <c r="AC193" s="675"/>
      <c r="AD193" s="675"/>
      <c r="AE193" s="675"/>
      <c r="AF193" s="675"/>
      <c r="AG193" s="675"/>
      <c r="AH193" s="675"/>
    </row>
    <row r="194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5"/>
      <c r="P194" s="675"/>
      <c r="Q194" s="675"/>
      <c r="R194" s="675"/>
      <c r="S194" s="675"/>
      <c r="T194" s="675"/>
      <c r="U194" s="675"/>
      <c r="V194" s="675"/>
      <c r="W194" s="675"/>
      <c r="X194" s="675"/>
      <c r="Y194" s="675"/>
      <c r="Z194" s="675"/>
      <c r="AA194" s="675"/>
      <c r="AB194" s="675"/>
      <c r="AC194" s="675"/>
      <c r="AD194" s="675"/>
      <c r="AE194" s="675"/>
      <c r="AF194" s="675"/>
      <c r="AG194" s="675"/>
      <c r="AH194" s="675"/>
    </row>
    <row r="195">
      <c r="A195" s="675"/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75"/>
      <c r="AB195" s="675"/>
      <c r="AC195" s="675"/>
      <c r="AD195" s="675"/>
      <c r="AE195" s="675"/>
      <c r="AF195" s="675"/>
      <c r="AG195" s="675"/>
      <c r="AH195" s="675"/>
    </row>
    <row r="196">
      <c r="A196" s="675"/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75"/>
      <c r="P196" s="675"/>
      <c r="Q196" s="675"/>
      <c r="R196" s="675"/>
      <c r="S196" s="675"/>
      <c r="T196" s="675"/>
      <c r="U196" s="675"/>
      <c r="V196" s="675"/>
      <c r="W196" s="675"/>
      <c r="X196" s="675"/>
      <c r="Y196" s="675"/>
      <c r="Z196" s="675"/>
      <c r="AA196" s="675"/>
      <c r="AB196" s="675"/>
      <c r="AC196" s="675"/>
      <c r="AD196" s="675"/>
      <c r="AE196" s="675"/>
      <c r="AF196" s="675"/>
      <c r="AG196" s="675"/>
      <c r="AH196" s="675"/>
    </row>
    <row r="197">
      <c r="A197" s="675"/>
      <c r="B197" s="675"/>
      <c r="C197" s="675"/>
      <c r="D197" s="675"/>
      <c r="E197" s="675"/>
      <c r="F197" s="675"/>
      <c r="G197" s="675"/>
      <c r="H197" s="675"/>
      <c r="I197" s="675"/>
      <c r="J197" s="675"/>
      <c r="K197" s="675"/>
      <c r="L197" s="675"/>
      <c r="M197" s="675"/>
      <c r="N197" s="675"/>
      <c r="O197" s="675"/>
      <c r="P197" s="675"/>
      <c r="Q197" s="675"/>
      <c r="R197" s="675"/>
      <c r="S197" s="675"/>
      <c r="T197" s="675"/>
      <c r="U197" s="675"/>
      <c r="V197" s="675"/>
      <c r="W197" s="675"/>
      <c r="X197" s="675"/>
      <c r="Y197" s="675"/>
      <c r="Z197" s="675"/>
      <c r="AA197" s="675"/>
      <c r="AB197" s="675"/>
      <c r="AC197" s="675"/>
      <c r="AD197" s="675"/>
      <c r="AE197" s="675"/>
      <c r="AF197" s="675"/>
      <c r="AG197" s="675"/>
      <c r="AH197" s="675"/>
    </row>
    <row r="198">
      <c r="A198" s="675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5"/>
      <c r="P198" s="675"/>
      <c r="Q198" s="675"/>
      <c r="R198" s="675"/>
      <c r="S198" s="675"/>
      <c r="T198" s="675"/>
      <c r="U198" s="675"/>
      <c r="V198" s="675"/>
      <c r="W198" s="675"/>
      <c r="X198" s="675"/>
      <c r="Y198" s="675"/>
      <c r="Z198" s="675"/>
      <c r="AA198" s="675"/>
      <c r="AB198" s="675"/>
      <c r="AC198" s="675"/>
      <c r="AD198" s="675"/>
      <c r="AE198" s="675"/>
      <c r="AF198" s="675"/>
      <c r="AG198" s="675"/>
      <c r="AH198" s="675"/>
    </row>
    <row r="199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5"/>
      <c r="P199" s="675"/>
      <c r="Q199" s="675"/>
      <c r="R199" s="675"/>
      <c r="S199" s="675"/>
      <c r="T199" s="675"/>
      <c r="U199" s="675"/>
      <c r="V199" s="675"/>
      <c r="W199" s="675"/>
      <c r="X199" s="675"/>
      <c r="Y199" s="675"/>
      <c r="Z199" s="675"/>
      <c r="AA199" s="675"/>
      <c r="AB199" s="675"/>
      <c r="AC199" s="675"/>
      <c r="AD199" s="675"/>
      <c r="AE199" s="675"/>
      <c r="AF199" s="675"/>
      <c r="AG199" s="675"/>
      <c r="AH199" s="675"/>
    </row>
    <row r="200">
      <c r="A200" s="675"/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75"/>
      <c r="AB200" s="675"/>
      <c r="AC200" s="675"/>
      <c r="AD200" s="675"/>
      <c r="AE200" s="675"/>
      <c r="AF200" s="675"/>
      <c r="AG200" s="675"/>
      <c r="AH200" s="675"/>
    </row>
    <row r="201">
      <c r="A201" s="675"/>
      <c r="B201" s="675"/>
      <c r="C201" s="675"/>
      <c r="D201" s="675"/>
      <c r="E201" s="675"/>
      <c r="F201" s="675"/>
      <c r="G201" s="675"/>
      <c r="H201" s="675"/>
      <c r="I201" s="675"/>
      <c r="J201" s="675"/>
      <c r="K201" s="675"/>
      <c r="L201" s="675"/>
      <c r="M201" s="675"/>
      <c r="N201" s="675"/>
      <c r="O201" s="675"/>
      <c r="P201" s="675"/>
      <c r="Q201" s="675"/>
      <c r="R201" s="675"/>
      <c r="S201" s="675"/>
      <c r="T201" s="675"/>
      <c r="U201" s="675"/>
      <c r="V201" s="675"/>
      <c r="W201" s="675"/>
      <c r="X201" s="675"/>
      <c r="Y201" s="675"/>
      <c r="Z201" s="675"/>
      <c r="AA201" s="675"/>
      <c r="AB201" s="675"/>
      <c r="AC201" s="675"/>
      <c r="AD201" s="675"/>
      <c r="AE201" s="675"/>
      <c r="AF201" s="675"/>
      <c r="AG201" s="675"/>
      <c r="AH201" s="675"/>
    </row>
    <row r="202">
      <c r="A202" s="675"/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675"/>
      <c r="AB202" s="675"/>
      <c r="AC202" s="675"/>
      <c r="AD202" s="675"/>
      <c r="AE202" s="675"/>
      <c r="AF202" s="675"/>
      <c r="AG202" s="675"/>
      <c r="AH202" s="675"/>
    </row>
    <row r="203">
      <c r="A203" s="675"/>
      <c r="B203" s="675"/>
      <c r="C203" s="675"/>
      <c r="D203" s="675"/>
      <c r="E203" s="675"/>
      <c r="F203" s="675"/>
      <c r="G203" s="675"/>
      <c r="H203" s="675"/>
      <c r="I203" s="675"/>
      <c r="J203" s="675"/>
      <c r="K203" s="675"/>
      <c r="L203" s="675"/>
      <c r="M203" s="675"/>
      <c r="N203" s="675"/>
      <c r="O203" s="675"/>
      <c r="P203" s="675"/>
      <c r="Q203" s="675"/>
      <c r="R203" s="675"/>
      <c r="S203" s="675"/>
      <c r="T203" s="675"/>
      <c r="U203" s="675"/>
      <c r="V203" s="675"/>
      <c r="W203" s="675"/>
      <c r="X203" s="675"/>
      <c r="Y203" s="675"/>
      <c r="Z203" s="675"/>
      <c r="AA203" s="675"/>
      <c r="AB203" s="675"/>
      <c r="AC203" s="675"/>
      <c r="AD203" s="675"/>
      <c r="AE203" s="675"/>
      <c r="AF203" s="675"/>
      <c r="AG203" s="675"/>
      <c r="AH203" s="675"/>
    </row>
    <row r="204">
      <c r="A204" s="675"/>
      <c r="B204" s="675"/>
      <c r="C204" s="675"/>
      <c r="D204" s="675"/>
      <c r="E204" s="675"/>
      <c r="F204" s="675"/>
      <c r="G204" s="675"/>
      <c r="H204" s="675"/>
      <c r="I204" s="675"/>
      <c r="J204" s="675"/>
      <c r="K204" s="675"/>
      <c r="L204" s="675"/>
      <c r="M204" s="675"/>
      <c r="N204" s="675"/>
      <c r="O204" s="675"/>
      <c r="P204" s="675"/>
      <c r="Q204" s="675"/>
      <c r="R204" s="675"/>
      <c r="S204" s="675"/>
      <c r="T204" s="675"/>
      <c r="U204" s="675"/>
      <c r="V204" s="675"/>
      <c r="W204" s="675"/>
      <c r="X204" s="675"/>
      <c r="Y204" s="675"/>
      <c r="Z204" s="675"/>
      <c r="AA204" s="675"/>
      <c r="AB204" s="675"/>
      <c r="AC204" s="675"/>
      <c r="AD204" s="675"/>
      <c r="AE204" s="675"/>
      <c r="AF204" s="675"/>
      <c r="AG204" s="675"/>
      <c r="AH204" s="675"/>
    </row>
    <row r="205">
      <c r="A205" s="675"/>
      <c r="B205" s="675"/>
      <c r="C205" s="675"/>
      <c r="D205" s="675"/>
      <c r="E205" s="675"/>
      <c r="F205" s="675"/>
      <c r="G205" s="675"/>
      <c r="H205" s="675"/>
      <c r="I205" s="675"/>
      <c r="J205" s="675"/>
      <c r="K205" s="675"/>
      <c r="L205" s="675"/>
      <c r="M205" s="675"/>
      <c r="N205" s="675"/>
      <c r="O205" s="675"/>
      <c r="P205" s="675"/>
      <c r="Q205" s="675"/>
      <c r="R205" s="675"/>
      <c r="S205" s="675"/>
      <c r="T205" s="675"/>
      <c r="U205" s="675"/>
      <c r="V205" s="675"/>
      <c r="W205" s="675"/>
      <c r="X205" s="675"/>
      <c r="Y205" s="675"/>
      <c r="Z205" s="675"/>
      <c r="AA205" s="675"/>
      <c r="AB205" s="675"/>
      <c r="AC205" s="675"/>
      <c r="AD205" s="675"/>
      <c r="AE205" s="675"/>
      <c r="AF205" s="675"/>
      <c r="AG205" s="675"/>
      <c r="AH205" s="675"/>
    </row>
    <row r="206">
      <c r="A206" s="675"/>
      <c r="B206" s="675"/>
      <c r="C206" s="675"/>
      <c r="D206" s="675"/>
      <c r="E206" s="675"/>
      <c r="F206" s="675"/>
      <c r="G206" s="675"/>
      <c r="H206" s="675"/>
      <c r="I206" s="675"/>
      <c r="J206" s="675"/>
      <c r="K206" s="675"/>
      <c r="L206" s="675"/>
      <c r="M206" s="675"/>
      <c r="N206" s="675"/>
      <c r="O206" s="675"/>
      <c r="P206" s="675"/>
      <c r="Q206" s="675"/>
      <c r="R206" s="675"/>
      <c r="S206" s="675"/>
      <c r="T206" s="675"/>
      <c r="U206" s="675"/>
      <c r="V206" s="675"/>
      <c r="W206" s="675"/>
      <c r="X206" s="675"/>
      <c r="Y206" s="675"/>
      <c r="Z206" s="675"/>
      <c r="AA206" s="675"/>
      <c r="AB206" s="675"/>
      <c r="AC206" s="675"/>
      <c r="AD206" s="675"/>
      <c r="AE206" s="675"/>
      <c r="AF206" s="675"/>
      <c r="AG206" s="675"/>
      <c r="AH206" s="675"/>
    </row>
    <row r="207">
      <c r="A207" s="675"/>
      <c r="B207" s="675"/>
      <c r="C207" s="675"/>
      <c r="D207" s="675"/>
      <c r="E207" s="675"/>
      <c r="F207" s="675"/>
      <c r="G207" s="675"/>
      <c r="H207" s="675"/>
      <c r="I207" s="675"/>
      <c r="J207" s="675"/>
      <c r="K207" s="675"/>
      <c r="L207" s="675"/>
      <c r="M207" s="675"/>
      <c r="N207" s="675"/>
      <c r="O207" s="675"/>
      <c r="P207" s="675"/>
      <c r="Q207" s="675"/>
      <c r="R207" s="675"/>
      <c r="S207" s="675"/>
      <c r="T207" s="675"/>
      <c r="U207" s="675"/>
      <c r="V207" s="675"/>
      <c r="W207" s="675"/>
      <c r="X207" s="675"/>
      <c r="Y207" s="675"/>
      <c r="Z207" s="675"/>
      <c r="AA207" s="675"/>
      <c r="AB207" s="675"/>
      <c r="AC207" s="675"/>
      <c r="AD207" s="675"/>
      <c r="AE207" s="675"/>
      <c r="AF207" s="675"/>
      <c r="AG207" s="675"/>
      <c r="AH207" s="675"/>
    </row>
    <row r="208">
      <c r="A208" s="675"/>
      <c r="B208" s="675"/>
      <c r="C208" s="675"/>
      <c r="D208" s="675"/>
      <c r="E208" s="675"/>
      <c r="F208" s="675"/>
      <c r="G208" s="675"/>
      <c r="H208" s="675"/>
      <c r="I208" s="675"/>
      <c r="J208" s="675"/>
      <c r="K208" s="675"/>
      <c r="L208" s="675"/>
      <c r="M208" s="675"/>
      <c r="N208" s="675"/>
      <c r="O208" s="675"/>
      <c r="P208" s="675"/>
      <c r="Q208" s="675"/>
      <c r="R208" s="675"/>
      <c r="S208" s="675"/>
      <c r="T208" s="675"/>
      <c r="U208" s="675"/>
      <c r="V208" s="675"/>
      <c r="W208" s="675"/>
      <c r="X208" s="675"/>
      <c r="Y208" s="675"/>
      <c r="Z208" s="675"/>
      <c r="AA208" s="675"/>
      <c r="AB208" s="675"/>
      <c r="AC208" s="675"/>
      <c r="AD208" s="675"/>
      <c r="AE208" s="675"/>
      <c r="AF208" s="675"/>
      <c r="AG208" s="675"/>
      <c r="AH208" s="675"/>
    </row>
    <row r="209">
      <c r="A209" s="675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5"/>
      <c r="P209" s="675"/>
      <c r="Q209" s="675"/>
      <c r="R209" s="675"/>
      <c r="S209" s="675"/>
      <c r="T209" s="675"/>
      <c r="U209" s="675"/>
      <c r="V209" s="675"/>
      <c r="W209" s="675"/>
      <c r="X209" s="675"/>
      <c r="Y209" s="675"/>
      <c r="Z209" s="675"/>
      <c r="AA209" s="675"/>
      <c r="AB209" s="675"/>
      <c r="AC209" s="675"/>
      <c r="AD209" s="675"/>
      <c r="AE209" s="675"/>
      <c r="AF209" s="675"/>
      <c r="AG209" s="675"/>
      <c r="AH209" s="675"/>
    </row>
    <row r="210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5"/>
      <c r="P210" s="675"/>
      <c r="Q210" s="675"/>
      <c r="R210" s="675"/>
      <c r="S210" s="675"/>
      <c r="T210" s="675"/>
      <c r="U210" s="675"/>
      <c r="V210" s="675"/>
      <c r="W210" s="675"/>
      <c r="X210" s="675"/>
      <c r="Y210" s="675"/>
      <c r="Z210" s="675"/>
      <c r="AA210" s="675"/>
      <c r="AB210" s="675"/>
      <c r="AC210" s="675"/>
      <c r="AD210" s="675"/>
      <c r="AE210" s="675"/>
      <c r="AF210" s="675"/>
      <c r="AG210" s="675"/>
      <c r="AH210" s="675"/>
    </row>
    <row r="211">
      <c r="A211" s="675"/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75"/>
      <c r="AB211" s="675"/>
      <c r="AC211" s="675"/>
      <c r="AD211" s="675"/>
      <c r="AE211" s="675"/>
      <c r="AF211" s="675"/>
      <c r="AG211" s="675"/>
      <c r="AH211" s="675"/>
    </row>
    <row r="212">
      <c r="A212" s="675"/>
      <c r="B212" s="675"/>
      <c r="C212" s="675"/>
      <c r="D212" s="675"/>
      <c r="E212" s="675"/>
      <c r="F212" s="675"/>
      <c r="G212" s="675"/>
      <c r="H212" s="675"/>
      <c r="I212" s="675"/>
      <c r="J212" s="675"/>
      <c r="K212" s="675"/>
      <c r="L212" s="675"/>
      <c r="M212" s="675"/>
      <c r="N212" s="675"/>
      <c r="O212" s="675"/>
      <c r="P212" s="675"/>
      <c r="Q212" s="675"/>
      <c r="R212" s="675"/>
      <c r="S212" s="675"/>
      <c r="T212" s="675"/>
      <c r="U212" s="675"/>
      <c r="V212" s="675"/>
      <c r="W212" s="675"/>
      <c r="X212" s="675"/>
      <c r="Y212" s="675"/>
      <c r="Z212" s="675"/>
      <c r="AA212" s="675"/>
      <c r="AB212" s="675"/>
      <c r="AC212" s="675"/>
      <c r="AD212" s="675"/>
      <c r="AE212" s="675"/>
      <c r="AF212" s="675"/>
      <c r="AG212" s="675"/>
      <c r="AH212" s="675"/>
    </row>
    <row r="213">
      <c r="A213" s="675"/>
      <c r="B213" s="675"/>
      <c r="C213" s="675"/>
      <c r="D213" s="675"/>
      <c r="E213" s="675"/>
      <c r="F213" s="675"/>
      <c r="G213" s="675"/>
      <c r="H213" s="675"/>
      <c r="I213" s="675"/>
      <c r="J213" s="675"/>
      <c r="K213" s="675"/>
      <c r="L213" s="675"/>
      <c r="M213" s="675"/>
      <c r="N213" s="675"/>
      <c r="O213" s="675"/>
      <c r="P213" s="675"/>
      <c r="Q213" s="675"/>
      <c r="R213" s="675"/>
      <c r="S213" s="675"/>
      <c r="T213" s="675"/>
      <c r="U213" s="675"/>
      <c r="V213" s="675"/>
      <c r="W213" s="675"/>
      <c r="X213" s="675"/>
      <c r="Y213" s="675"/>
      <c r="Z213" s="675"/>
      <c r="AA213" s="675"/>
      <c r="AB213" s="675"/>
      <c r="AC213" s="675"/>
      <c r="AD213" s="675"/>
      <c r="AE213" s="675"/>
      <c r="AF213" s="675"/>
      <c r="AG213" s="675"/>
      <c r="AH213" s="675"/>
    </row>
    <row r="214">
      <c r="A214" s="675"/>
      <c r="B214" s="675"/>
      <c r="C214" s="675"/>
      <c r="D214" s="675"/>
      <c r="E214" s="675"/>
      <c r="F214" s="675"/>
      <c r="G214" s="675"/>
      <c r="H214" s="675"/>
      <c r="I214" s="675"/>
      <c r="J214" s="675"/>
      <c r="K214" s="675"/>
      <c r="L214" s="675"/>
      <c r="M214" s="675"/>
      <c r="N214" s="675"/>
      <c r="O214" s="675"/>
      <c r="P214" s="675"/>
      <c r="Q214" s="675"/>
      <c r="R214" s="675"/>
      <c r="S214" s="675"/>
      <c r="T214" s="675"/>
      <c r="U214" s="675"/>
      <c r="V214" s="675"/>
      <c r="W214" s="675"/>
      <c r="X214" s="675"/>
      <c r="Y214" s="675"/>
      <c r="Z214" s="675"/>
      <c r="AA214" s="675"/>
      <c r="AB214" s="675"/>
      <c r="AC214" s="675"/>
      <c r="AD214" s="675"/>
      <c r="AE214" s="675"/>
      <c r="AF214" s="675"/>
      <c r="AG214" s="675"/>
      <c r="AH214" s="675"/>
    </row>
    <row r="215">
      <c r="A215" s="675"/>
      <c r="B215" s="675"/>
      <c r="C215" s="675"/>
      <c r="D215" s="675"/>
      <c r="E215" s="675"/>
      <c r="F215" s="675"/>
      <c r="G215" s="675"/>
      <c r="H215" s="675"/>
      <c r="I215" s="675"/>
      <c r="J215" s="675"/>
      <c r="K215" s="675"/>
      <c r="L215" s="675"/>
      <c r="M215" s="675"/>
      <c r="N215" s="675"/>
      <c r="O215" s="675"/>
      <c r="P215" s="675"/>
      <c r="Q215" s="675"/>
      <c r="R215" s="675"/>
      <c r="S215" s="675"/>
      <c r="T215" s="675"/>
      <c r="U215" s="675"/>
      <c r="V215" s="675"/>
      <c r="W215" s="675"/>
      <c r="X215" s="675"/>
      <c r="Y215" s="675"/>
      <c r="Z215" s="675"/>
      <c r="AA215" s="675"/>
      <c r="AB215" s="675"/>
      <c r="AC215" s="675"/>
      <c r="AD215" s="675"/>
      <c r="AE215" s="675"/>
      <c r="AF215" s="675"/>
      <c r="AG215" s="675"/>
      <c r="AH215" s="675"/>
    </row>
    <row r="216">
      <c r="A216" s="675"/>
      <c r="B216" s="675"/>
      <c r="C216" s="675"/>
      <c r="D216" s="675"/>
      <c r="E216" s="675"/>
      <c r="F216" s="675"/>
      <c r="G216" s="675"/>
      <c r="H216" s="675"/>
      <c r="I216" s="675"/>
      <c r="J216" s="675"/>
      <c r="K216" s="675"/>
      <c r="L216" s="675"/>
      <c r="M216" s="675"/>
      <c r="N216" s="675"/>
      <c r="O216" s="675"/>
      <c r="P216" s="675"/>
      <c r="Q216" s="675"/>
      <c r="R216" s="675"/>
      <c r="S216" s="675"/>
      <c r="T216" s="675"/>
      <c r="U216" s="675"/>
      <c r="V216" s="675"/>
      <c r="W216" s="675"/>
      <c r="X216" s="675"/>
      <c r="Y216" s="675"/>
      <c r="Z216" s="675"/>
      <c r="AA216" s="675"/>
      <c r="AB216" s="675"/>
      <c r="AC216" s="675"/>
      <c r="AD216" s="675"/>
      <c r="AE216" s="675"/>
      <c r="AF216" s="675"/>
      <c r="AG216" s="675"/>
      <c r="AH216" s="675"/>
    </row>
    <row r="217">
      <c r="A217" s="675"/>
      <c r="B217" s="675"/>
      <c r="C217" s="675"/>
      <c r="D217" s="675"/>
      <c r="E217" s="675"/>
      <c r="F217" s="675"/>
      <c r="G217" s="675"/>
      <c r="H217" s="675"/>
      <c r="I217" s="675"/>
      <c r="J217" s="675"/>
      <c r="K217" s="675"/>
      <c r="L217" s="675"/>
      <c r="M217" s="675"/>
      <c r="N217" s="675"/>
      <c r="O217" s="675"/>
      <c r="P217" s="675"/>
      <c r="Q217" s="675"/>
      <c r="R217" s="675"/>
      <c r="S217" s="675"/>
      <c r="T217" s="675"/>
      <c r="U217" s="675"/>
      <c r="V217" s="675"/>
      <c r="W217" s="675"/>
      <c r="X217" s="675"/>
      <c r="Y217" s="675"/>
      <c r="Z217" s="675"/>
      <c r="AA217" s="675"/>
      <c r="AB217" s="675"/>
      <c r="AC217" s="675"/>
      <c r="AD217" s="675"/>
      <c r="AE217" s="675"/>
      <c r="AF217" s="675"/>
      <c r="AG217" s="675"/>
      <c r="AH217" s="675"/>
    </row>
    <row r="218">
      <c r="A218" s="675"/>
      <c r="B218" s="675"/>
      <c r="C218" s="675"/>
      <c r="D218" s="675"/>
      <c r="E218" s="675"/>
      <c r="F218" s="675"/>
      <c r="G218" s="675"/>
      <c r="H218" s="675"/>
      <c r="I218" s="675"/>
      <c r="J218" s="675"/>
      <c r="K218" s="675"/>
      <c r="L218" s="675"/>
      <c r="M218" s="675"/>
      <c r="N218" s="675"/>
      <c r="O218" s="675"/>
      <c r="P218" s="675"/>
      <c r="Q218" s="675"/>
      <c r="R218" s="675"/>
      <c r="S218" s="675"/>
      <c r="T218" s="675"/>
      <c r="U218" s="675"/>
      <c r="V218" s="675"/>
      <c r="W218" s="675"/>
      <c r="X218" s="675"/>
      <c r="Y218" s="675"/>
      <c r="Z218" s="675"/>
      <c r="AA218" s="675"/>
      <c r="AB218" s="675"/>
      <c r="AC218" s="675"/>
      <c r="AD218" s="675"/>
      <c r="AE218" s="675"/>
      <c r="AF218" s="675"/>
      <c r="AG218" s="675"/>
      <c r="AH218" s="675"/>
    </row>
    <row r="219">
      <c r="A219" s="675"/>
      <c r="B219" s="675"/>
      <c r="C219" s="675"/>
      <c r="D219" s="675"/>
      <c r="E219" s="675"/>
      <c r="F219" s="675"/>
      <c r="G219" s="675"/>
      <c r="H219" s="675"/>
      <c r="I219" s="675"/>
      <c r="J219" s="675"/>
      <c r="K219" s="675"/>
      <c r="L219" s="675"/>
      <c r="M219" s="675"/>
      <c r="N219" s="675"/>
      <c r="O219" s="675"/>
      <c r="P219" s="675"/>
      <c r="Q219" s="675"/>
      <c r="R219" s="675"/>
      <c r="S219" s="675"/>
      <c r="T219" s="675"/>
      <c r="U219" s="675"/>
      <c r="V219" s="675"/>
      <c r="W219" s="675"/>
      <c r="X219" s="675"/>
      <c r="Y219" s="675"/>
      <c r="Z219" s="675"/>
      <c r="AA219" s="675"/>
      <c r="AB219" s="675"/>
      <c r="AC219" s="675"/>
      <c r="AD219" s="675"/>
      <c r="AE219" s="675"/>
      <c r="AF219" s="675"/>
      <c r="AG219" s="675"/>
      <c r="AH219" s="675"/>
    </row>
    <row r="220">
      <c r="A220" s="675"/>
      <c r="B220" s="675"/>
      <c r="C220" s="675"/>
      <c r="D220" s="675"/>
      <c r="E220" s="675"/>
      <c r="F220" s="675"/>
      <c r="G220" s="675"/>
      <c r="H220" s="675"/>
      <c r="I220" s="675"/>
      <c r="J220" s="675"/>
      <c r="K220" s="675"/>
      <c r="L220" s="675"/>
      <c r="M220" s="675"/>
      <c r="N220" s="675"/>
      <c r="O220" s="675"/>
      <c r="P220" s="675"/>
      <c r="Q220" s="675"/>
      <c r="R220" s="675"/>
      <c r="S220" s="675"/>
      <c r="T220" s="675"/>
      <c r="U220" s="675"/>
      <c r="V220" s="675"/>
      <c r="W220" s="675"/>
      <c r="X220" s="675"/>
      <c r="Y220" s="675"/>
      <c r="Z220" s="675"/>
      <c r="AA220" s="675"/>
      <c r="AB220" s="675"/>
      <c r="AC220" s="675"/>
      <c r="AD220" s="675"/>
      <c r="AE220" s="675"/>
      <c r="AF220" s="675"/>
      <c r="AG220" s="675"/>
      <c r="AH220" s="675"/>
    </row>
    <row r="221">
      <c r="A221" s="675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5"/>
      <c r="P221" s="675"/>
      <c r="Q221" s="675"/>
      <c r="R221" s="675"/>
      <c r="S221" s="675"/>
      <c r="T221" s="675"/>
      <c r="U221" s="675"/>
      <c r="V221" s="675"/>
      <c r="W221" s="675"/>
      <c r="X221" s="675"/>
      <c r="Y221" s="675"/>
      <c r="Z221" s="675"/>
      <c r="AA221" s="675"/>
      <c r="AB221" s="675"/>
      <c r="AC221" s="675"/>
      <c r="AD221" s="675"/>
      <c r="AE221" s="675"/>
      <c r="AF221" s="675"/>
      <c r="AG221" s="675"/>
      <c r="AH221" s="675"/>
    </row>
    <row r="222">
      <c r="A222" s="675"/>
      <c r="B222" s="675"/>
      <c r="C222" s="675"/>
      <c r="D222" s="675"/>
      <c r="E222" s="675"/>
      <c r="F222" s="675"/>
      <c r="G222" s="685">
        <v>410384.17</v>
      </c>
      <c r="H222" s="688">
        <v>136276.34</v>
      </c>
      <c r="I222" s="668">
        <f>G222/H222</f>
      </c>
      <c r="J222" s="675"/>
      <c r="K222" s="675"/>
      <c r="L222" s="675"/>
      <c r="M222" s="675"/>
      <c r="N222" s="675"/>
      <c r="O222" s="675"/>
      <c r="P222" s="675"/>
      <c r="Q222" s="675"/>
      <c r="R222" s="675"/>
      <c r="S222" s="675"/>
      <c r="T222" s="675"/>
      <c r="U222" s="675"/>
      <c r="V222" s="675"/>
      <c r="W222" s="675"/>
      <c r="X222" s="675"/>
      <c r="Y222" s="675"/>
      <c r="Z222" s="675"/>
      <c r="AA222" s="675"/>
      <c r="AB222" s="675"/>
      <c r="AC222" s="675"/>
      <c r="AD222" s="675"/>
      <c r="AE222" s="675"/>
      <c r="AF222" s="675"/>
      <c r="AG222" s="675"/>
      <c r="AH222" s="675"/>
    </row>
    <row r="223">
      <c r="A223" s="675"/>
      <c r="B223" s="675"/>
      <c r="C223" s="675"/>
      <c r="D223" s="675"/>
      <c r="E223" s="675"/>
      <c r="F223" s="675"/>
      <c r="G223" s="685"/>
      <c r="H223" s="689"/>
      <c r="I223" s="668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75"/>
      <c r="AB223" s="675"/>
      <c r="AC223" s="675"/>
      <c r="AD223" s="675"/>
      <c r="AE223" s="675"/>
      <c r="AF223" s="675"/>
      <c r="AG223" s="675"/>
      <c r="AH223" s="675"/>
    </row>
    <row r="224">
      <c r="A224" s="675"/>
      <c r="B224" s="675"/>
      <c r="C224" s="675"/>
      <c r="D224" s="675"/>
      <c r="E224" s="675"/>
      <c r="F224" s="675"/>
      <c r="G224" s="685"/>
      <c r="H224" s="685"/>
      <c r="I224" s="677"/>
      <c r="J224" s="675"/>
      <c r="K224" s="675"/>
      <c r="L224" s="675"/>
      <c r="M224" s="675"/>
      <c r="N224" s="675"/>
      <c r="O224" s="675"/>
      <c r="P224" s="675"/>
      <c r="Q224" s="675"/>
      <c r="R224" s="675"/>
      <c r="S224" s="675"/>
      <c r="T224" s="675"/>
      <c r="U224" s="675"/>
      <c r="V224" s="675"/>
      <c r="W224" s="675"/>
      <c r="X224" s="675"/>
      <c r="Y224" s="675"/>
      <c r="Z224" s="675"/>
      <c r="AA224" s="675"/>
      <c r="AB224" s="675"/>
      <c r="AC224" s="675"/>
      <c r="AD224" s="675"/>
      <c r="AE224" s="675"/>
      <c r="AF224" s="675"/>
      <c r="AG224" s="675"/>
      <c r="AH224" s="675"/>
    </row>
    <row r="225">
      <c r="A225" s="675"/>
      <c r="B225" s="675"/>
      <c r="C225" s="675"/>
      <c r="D225" s="675"/>
      <c r="E225" s="675"/>
      <c r="F225" s="675"/>
      <c r="G225" s="685"/>
      <c r="H225" s="685"/>
      <c r="I225" s="668"/>
      <c r="J225" s="675"/>
      <c r="K225" s="675"/>
      <c r="L225" s="675"/>
      <c r="M225" s="675"/>
      <c r="N225" s="675"/>
      <c r="O225" s="675"/>
      <c r="P225" s="675"/>
      <c r="Q225" s="675"/>
      <c r="R225" s="675"/>
      <c r="S225" s="675"/>
      <c r="T225" s="675"/>
      <c r="U225" s="675"/>
      <c r="V225" s="675"/>
      <c r="W225" s="675"/>
      <c r="X225" s="675"/>
      <c r="Y225" s="675"/>
      <c r="Z225" s="675"/>
      <c r="AA225" s="675"/>
      <c r="AB225" s="675"/>
      <c r="AC225" s="675"/>
      <c r="AD225" s="675"/>
      <c r="AE225" s="675"/>
      <c r="AF225" s="675"/>
      <c r="AG225" s="675"/>
      <c r="AH225" s="675"/>
    </row>
  </sheetData>
  <autoFilter ref="A1:O225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2.64480633802817"/>
    <col collapsed="false" customWidth="true" hidden="false" max="9" min="9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</cols>
  <sheetData>
    <row r="1">
      <c r="A1" s="690" t="s">
        <v>1406</v>
      </c>
      <c r="B1" s="691" t="s">
        <v>1407</v>
      </c>
      <c r="C1" s="691" t="s">
        <v>1408</v>
      </c>
      <c r="D1" s="691" t="s">
        <v>1409</v>
      </c>
      <c r="E1" s="690" t="s">
        <v>1410</v>
      </c>
      <c r="F1" s="691" t="s">
        <v>1411</v>
      </c>
      <c r="G1" s="691" t="s">
        <v>1412</v>
      </c>
      <c r="H1" s="691" t="s">
        <v>1413</v>
      </c>
      <c r="I1" s="692" t="s">
        <v>1414</v>
      </c>
      <c r="J1" s="692" t="s">
        <v>1415</v>
      </c>
      <c r="K1" s="692" t="s">
        <v>1416</v>
      </c>
      <c r="L1" s="691" t="s">
        <v>1417</v>
      </c>
      <c r="M1" s="693" t="s">
        <v>1418</v>
      </c>
      <c r="N1" s="691" t="s">
        <v>1419</v>
      </c>
      <c r="O1" s="691" t="s">
        <v>1420</v>
      </c>
      <c r="P1" s="691"/>
      <c r="Q1" s="691" t="s">
        <v>1421</v>
      </c>
      <c r="R1" s="694" t="s">
        <v>1422</v>
      </c>
      <c r="S1" s="694" t="s">
        <v>1423</v>
      </c>
      <c r="T1" s="694" t="s">
        <v>1424</v>
      </c>
      <c r="U1" s="694" t="s">
        <v>1425</v>
      </c>
      <c r="V1" s="695" t="s">
        <v>1426</v>
      </c>
      <c r="W1" s="694" t="s">
        <v>1427</v>
      </c>
      <c r="X1" s="695" t="s">
        <v>1428</v>
      </c>
      <c r="Y1" s="696" t="s">
        <v>1429</v>
      </c>
      <c r="Z1" s="697" t="s">
        <v>1430</v>
      </c>
      <c r="AA1" s="695" t="s">
        <v>1431</v>
      </c>
      <c r="AB1" s="695" t="s">
        <v>1432</v>
      </c>
      <c r="AC1" s="695" t="s">
        <v>1433</v>
      </c>
      <c r="AD1" s="695" t="s">
        <v>1434</v>
      </c>
      <c r="AE1" s="695" t="s">
        <v>1435</v>
      </c>
      <c r="AF1" s="695" t="s">
        <v>1436</v>
      </c>
      <c r="AG1" s="695" t="s">
        <v>1437</v>
      </c>
    </row>
    <row r="2">
      <c r="A2" s="698" t="s">
        <v>1438</v>
      </c>
      <c r="B2" s="699" t="s">
        <v>1439</v>
      </c>
      <c r="C2" s="698" t="s">
        <v>1440</v>
      </c>
      <c r="D2" s="698">
        <v>5</v>
      </c>
      <c r="E2" s="698">
        <v>8</v>
      </c>
      <c r="F2" s="698">
        <v>12</v>
      </c>
      <c r="G2" s="698">
        <v>22541.82</v>
      </c>
      <c r="H2" s="700">
        <v>8000</v>
      </c>
      <c r="I2" s="701">
        <f t="shared" ref="I2:I91" si="0">G2/H2</f>
      </c>
      <c r="J2" s="701">
        <f t="shared" ref="J2:J91" si="1">G2/F2</f>
      </c>
      <c r="K2" s="701">
        <f t="shared" ref="K2:K91" si="2">H2/F2</f>
      </c>
      <c r="L2" s="698" t="s">
        <v>1441</v>
      </c>
      <c r="M2" s="702">
        <v>1.2</v>
      </c>
      <c r="N2" s="703"/>
      <c r="O2" s="698"/>
      <c r="P2" s="703"/>
      <c r="Q2" s="704">
        <v>2.4323502584372148</v>
      </c>
      <c r="R2" s="705">
        <v>0.24218299513613295</v>
      </c>
      <c r="S2" s="705">
        <v>0.029082002581923002</v>
      </c>
      <c r="T2" s="705">
        <v>0.030682441155145276</v>
      </c>
      <c r="U2" s="705">
        <v>0.06051873198847262</v>
      </c>
      <c r="V2" s="706">
        <v>27389.44365192582</v>
      </c>
      <c r="W2" s="705">
        <v>0.01402</v>
      </c>
      <c r="X2" s="706">
        <v>41</v>
      </c>
      <c r="Y2" s="707">
        <v>70.73761649601217</v>
      </c>
      <c r="Z2" s="706">
        <v>113094</v>
      </c>
      <c r="AA2" s="706">
        <v>3289</v>
      </c>
      <c r="AB2" s="706">
        <v>384</v>
      </c>
      <c r="AC2" s="706">
        <v>3470</v>
      </c>
      <c r="AD2" s="706">
        <v>210</v>
      </c>
      <c r="AE2" s="706">
        <v>17</v>
      </c>
      <c r="AF2" s="706">
        <v>7</v>
      </c>
      <c r="AG2" s="706">
        <v>69</v>
      </c>
    </row>
    <row r="3">
      <c r="A3" s="698" t="s">
        <v>1438</v>
      </c>
      <c r="B3" s="699" t="s">
        <v>1442</v>
      </c>
      <c r="C3" s="698" t="s">
        <v>1443</v>
      </c>
      <c r="D3" s="698">
        <v>3</v>
      </c>
      <c r="E3" s="698">
        <v>4</v>
      </c>
      <c r="F3" s="698">
        <v>7</v>
      </c>
      <c r="G3" s="698">
        <v>14668.13</v>
      </c>
      <c r="H3" s="700">
        <v>4879.67</v>
      </c>
      <c r="I3" s="701">
        <f t="shared" si="0"/>
      </c>
      <c r="J3" s="701">
        <f t="shared" si="1"/>
      </c>
      <c r="K3" s="701">
        <f t="shared" si="2"/>
      </c>
      <c r="L3" s="698" t="s">
        <v>1444</v>
      </c>
      <c r="M3" s="702">
        <v>2</v>
      </c>
      <c r="N3" s="698"/>
      <c r="O3" s="698"/>
      <c r="P3" s="703"/>
      <c r="Q3" s="707">
        <v>2.0122350515463916</v>
      </c>
      <c r="R3" s="705">
        <v>0.16333901956075506</v>
      </c>
      <c r="S3" s="705">
        <v>0.03456976677881052</v>
      </c>
      <c r="T3" s="705">
        <v>0.036665336146433254</v>
      </c>
      <c r="U3" s="705">
        <v>0.07037325038880249</v>
      </c>
      <c r="V3" s="706">
        <v>11457.905544147845</v>
      </c>
      <c r="W3" s="705">
        <v>0.016233333333333332</v>
      </c>
      <c r="X3" s="706">
        <v>32.333333333333336</v>
      </c>
      <c r="Y3" s="707">
        <v>69.56249643610651</v>
      </c>
      <c r="Z3" s="706">
        <v>70148</v>
      </c>
      <c r="AA3" s="706">
        <v>2425</v>
      </c>
      <c r="AB3" s="706">
        <v>186</v>
      </c>
      <c r="AC3" s="706">
        <v>2572</v>
      </c>
      <c r="AD3" s="706">
        <v>181</v>
      </c>
      <c r="AE3" s="706">
        <v>15</v>
      </c>
      <c r="AF3" s="706">
        <v>3</v>
      </c>
      <c r="AG3" s="706">
        <v>38</v>
      </c>
    </row>
    <row r="4">
      <c r="A4" s="708" t="s">
        <v>1438</v>
      </c>
      <c r="B4" s="708" t="s">
        <v>1445</v>
      </c>
      <c r="C4" s="709"/>
      <c r="D4" s="709">
        <f>SUM(D2:D3)</f>
      </c>
      <c r="E4" s="709">
        <f>E2+E3</f>
      </c>
      <c r="F4" s="709">
        <f>SUM(F2:F3)</f>
      </c>
      <c r="G4" s="709">
        <f>SUM(G2:G3)</f>
      </c>
      <c r="H4" s="709">
        <f>SUM(H2:H3)</f>
      </c>
      <c r="I4" s="710">
        <f t="shared" si="0"/>
      </c>
      <c r="J4" s="710">
        <f t="shared" si="1"/>
      </c>
      <c r="K4" s="710">
        <f t="shared" si="2"/>
      </c>
      <c r="L4" s="709"/>
      <c r="M4" s="711">
        <f>SUM(M2:M3)</f>
      </c>
      <c r="N4" s="709"/>
      <c r="O4" s="709"/>
      <c r="P4" s="709"/>
      <c r="Q4" s="712">
        <f>AVERAGE(Q2:Q3)</f>
      </c>
      <c r="R4" s="713">
        <f>AVERAGE(R2:R3)</f>
      </c>
      <c r="S4" s="713">
        <f>AVERAGE(S2:S3)</f>
      </c>
      <c r="T4" s="713">
        <f>AVERAGE(T2:T3)</f>
      </c>
      <c r="U4" s="713">
        <f>AVERAGE(U2:U3)</f>
      </c>
      <c r="V4" s="714">
        <f>SUM(V2:V3)</f>
      </c>
      <c r="W4" s="713">
        <f>AVERAGE(W2:W3)</f>
      </c>
      <c r="X4" s="715"/>
      <c r="Y4" s="712">
        <f>AVERAGE(Y2:Y3)</f>
      </c>
      <c r="Z4" s="714">
        <f>SUM(Z2:Z3)</f>
      </c>
      <c r="AA4" s="714">
        <f>SUM(AA2:AA3)</f>
      </c>
      <c r="AB4" s="714">
        <f>SUM(AB2:AB3)</f>
      </c>
      <c r="AC4" s="714">
        <f>SUM(AC2:AC3)</f>
      </c>
      <c r="AD4" s="714">
        <f>SUM(AD2:AD3)</f>
      </c>
      <c r="AE4" s="714">
        <f>SUM(AE2:AE3)</f>
      </c>
      <c r="AF4" s="714">
        <f>SUM(AF2:AF3)</f>
      </c>
      <c r="AG4" s="714">
        <f>SUM(AG2:AG3)</f>
      </c>
    </row>
    <row r="5">
      <c r="A5" s="698" t="s">
        <v>1446</v>
      </c>
      <c r="B5" s="699" t="s">
        <v>1439</v>
      </c>
      <c r="C5" s="698" t="s">
        <v>1440</v>
      </c>
      <c r="D5" s="698">
        <v>5</v>
      </c>
      <c r="E5" s="698">
        <v>11</v>
      </c>
      <c r="F5" s="698">
        <v>13</v>
      </c>
      <c r="G5" s="698">
        <v>29534.7</v>
      </c>
      <c r="H5" s="700">
        <v>9823.15</v>
      </c>
      <c r="I5" s="701">
        <f t="shared" si="0"/>
      </c>
      <c r="J5" s="701">
        <f t="shared" si="1"/>
      </c>
      <c r="K5" s="701">
        <f t="shared" si="2"/>
      </c>
      <c r="L5" s="698" t="s">
        <v>1447</v>
      </c>
      <c r="M5" s="702">
        <v>3</v>
      </c>
      <c r="N5" s="703"/>
      <c r="O5" s="698"/>
      <c r="P5" s="703"/>
      <c r="Q5" s="704">
        <v>2.3693077665219486</v>
      </c>
      <c r="R5" s="705">
        <v>0.25593836498491485</v>
      </c>
      <c r="S5" s="705">
        <v>0.033246728252501925</v>
      </c>
      <c r="T5" s="705">
        <v>0.0360373364126251</v>
      </c>
      <c r="U5" s="705">
        <v>0.06542056074766354</v>
      </c>
      <c r="V5" s="706">
        <v>31916.53786707882</v>
      </c>
      <c r="W5" s="705">
        <v>0.012940000000000002</v>
      </c>
      <c r="X5" s="706">
        <v>33.6</v>
      </c>
      <c r="Y5" s="707">
        <v>78.77173146009751</v>
      </c>
      <c r="Z5" s="706">
        <v>124704</v>
      </c>
      <c r="AA5" s="706">
        <v>4146</v>
      </c>
      <c r="AB5" s="706">
        <v>413</v>
      </c>
      <c r="AC5" s="706">
        <v>4494</v>
      </c>
      <c r="AD5" s="706">
        <v>294</v>
      </c>
      <c r="AE5" s="706">
        <v>18</v>
      </c>
      <c r="AF5" s="706">
        <v>7</v>
      </c>
      <c r="AG5" s="706">
        <v>83</v>
      </c>
    </row>
    <row r="6">
      <c r="A6" s="698" t="s">
        <v>1446</v>
      </c>
      <c r="B6" s="699" t="s">
        <v>1442</v>
      </c>
      <c r="C6" s="698" t="s">
        <v>1443</v>
      </c>
      <c r="D6" s="698">
        <v>3</v>
      </c>
      <c r="E6" s="698">
        <v>7</v>
      </c>
      <c r="F6" s="698">
        <v>9</v>
      </c>
      <c r="G6" s="698">
        <v>17548.25</v>
      </c>
      <c r="H6" s="700">
        <v>5412.92</v>
      </c>
      <c r="I6" s="701">
        <f t="shared" si="0"/>
      </c>
      <c r="J6" s="701">
        <f t="shared" si="1"/>
      </c>
      <c r="K6" s="701">
        <f t="shared" si="2"/>
      </c>
      <c r="L6" s="698" t="s">
        <v>1444</v>
      </c>
      <c r="M6" s="702">
        <v>2</v>
      </c>
      <c r="N6" s="698"/>
      <c r="O6" s="698"/>
      <c r="P6" s="703"/>
      <c r="Q6" s="707">
        <v>2.3351682484900778</v>
      </c>
      <c r="R6" s="705">
        <v>0.22930071348242104</v>
      </c>
      <c r="S6" s="705">
        <v>0.039173933617251404</v>
      </c>
      <c r="T6" s="705">
        <v>0.041979314540661124</v>
      </c>
      <c r="U6" s="705">
        <v>0.07286634460547504</v>
      </c>
      <c r="V6" s="706">
        <v>13568.181818181818</v>
      </c>
      <c r="W6" s="705">
        <v>0.014666666666666666</v>
      </c>
      <c r="X6" s="706">
        <v>34</v>
      </c>
      <c r="Y6" s="707">
        <v>91.47772595146353</v>
      </c>
      <c r="Z6" s="706">
        <v>59172</v>
      </c>
      <c r="AA6" s="706">
        <v>2318</v>
      </c>
      <c r="AB6" s="706">
        <v>199</v>
      </c>
      <c r="AC6" s="706">
        <v>2484</v>
      </c>
      <c r="AD6" s="706">
        <v>181</v>
      </c>
      <c r="AE6" s="706">
        <v>12</v>
      </c>
      <c r="AF6" s="706">
        <v>2</v>
      </c>
      <c r="AG6" s="706">
        <v>33</v>
      </c>
    </row>
    <row r="7">
      <c r="A7" s="708" t="s">
        <v>1446</v>
      </c>
      <c r="B7" s="708" t="s">
        <v>1445</v>
      </c>
      <c r="C7" s="709"/>
      <c r="D7" s="709">
        <f>SUM(D5:D6)</f>
      </c>
      <c r="E7" s="709">
        <f>E5+E6</f>
      </c>
      <c r="F7" s="709">
        <f>SUM(F5:F6)</f>
      </c>
      <c r="G7" s="709">
        <f>SUM(G5:G6)</f>
      </c>
      <c r="H7" s="709">
        <f>SUM(H5:H6)</f>
      </c>
      <c r="I7" s="710">
        <f t="shared" si="0"/>
      </c>
      <c r="J7" s="710">
        <f t="shared" si="1"/>
      </c>
      <c r="K7" s="710">
        <f t="shared" si="2"/>
      </c>
      <c r="L7" s="709"/>
      <c r="M7" s="711">
        <f>SUM(M5:M6)</f>
      </c>
      <c r="N7" s="709"/>
      <c r="O7" s="709"/>
      <c r="P7" s="709"/>
      <c r="Q7" s="712">
        <f>AVERAGE(Q5:Q6)</f>
      </c>
      <c r="R7" s="713">
        <f>AVERAGE(R5:R6)</f>
      </c>
      <c r="S7" s="713">
        <f>AVERAGE(S5:S6)</f>
      </c>
      <c r="T7" s="713">
        <f>AVERAGE(T5:T6)</f>
      </c>
      <c r="U7" s="713">
        <f>AVERAGE(U5:U6)</f>
      </c>
      <c r="V7" s="714">
        <f>SUM(V5:V6)</f>
      </c>
      <c r="W7" s="713">
        <f>AVERAGE(W5:W6)</f>
      </c>
      <c r="X7" s="715"/>
      <c r="Y7" s="712">
        <f>AVERAGE(Y5:Y6)</f>
      </c>
      <c r="Z7" s="714">
        <f>SUM(Z5:Z6)</f>
      </c>
      <c r="AA7" s="714">
        <f>SUM(AA5:AA6)</f>
      </c>
      <c r="AB7" s="714">
        <f>SUM(AB5:AB6)</f>
      </c>
      <c r="AC7" s="714">
        <f>SUM(AC5:AC6)</f>
      </c>
      <c r="AD7" s="714">
        <f>SUM(AD5:AD6)</f>
      </c>
      <c r="AE7" s="714">
        <f>SUM(AE5:AE6)</f>
      </c>
      <c r="AF7" s="714">
        <f>SUM(AF5:AF6)</f>
      </c>
      <c r="AG7" s="714">
        <f>SUM(AG5:AG6)</f>
      </c>
    </row>
    <row r="8">
      <c r="A8" s="698" t="s">
        <v>1448</v>
      </c>
      <c r="B8" s="699" t="s">
        <v>1439</v>
      </c>
      <c r="C8" s="698" t="s">
        <v>1440</v>
      </c>
      <c r="D8" s="698">
        <v>5</v>
      </c>
      <c r="E8" s="698">
        <v>2</v>
      </c>
      <c r="F8" s="698">
        <v>3</v>
      </c>
      <c r="G8" s="698">
        <v>6743.88</v>
      </c>
      <c r="H8" s="700">
        <v>8861.14</v>
      </c>
      <c r="I8" s="701">
        <f t="shared" si="0"/>
      </c>
      <c r="J8" s="701">
        <f t="shared" si="1"/>
      </c>
      <c r="K8" s="701">
        <f t="shared" si="2"/>
      </c>
      <c r="L8" s="698" t="s">
        <v>1447</v>
      </c>
      <c r="M8" s="702">
        <v>3</v>
      </c>
      <c r="N8" s="703"/>
      <c r="O8" s="698"/>
      <c r="P8" s="703"/>
      <c r="Q8" s="704">
        <v>2.6372440476190473</v>
      </c>
      <c r="R8" s="705">
        <v>0.20550644645337657</v>
      </c>
      <c r="S8" s="705">
        <v>0.029832723656639557</v>
      </c>
      <c r="T8" s="705">
        <v>0.0319547537024541</v>
      </c>
      <c r="U8" s="705">
        <v>0.06529591553209224</v>
      </c>
      <c r="V8" s="706">
        <v>23145.780051150898</v>
      </c>
      <c r="W8" s="705">
        <v>0.015639999999999998</v>
      </c>
      <c r="X8" s="706">
        <v>38.4</v>
      </c>
      <c r="Y8" s="707">
        <v>78.67617288773661</v>
      </c>
      <c r="Z8" s="706">
        <v>112628</v>
      </c>
      <c r="AA8" s="706">
        <v>3360</v>
      </c>
      <c r="AB8" s="706">
        <v>362</v>
      </c>
      <c r="AC8" s="706">
        <v>3599</v>
      </c>
      <c r="AD8" s="706">
        <v>235</v>
      </c>
      <c r="AE8" s="706">
        <v>21</v>
      </c>
      <c r="AF8" s="706">
        <v>3</v>
      </c>
      <c r="AG8" s="706">
        <v>66</v>
      </c>
    </row>
    <row r="9">
      <c r="A9" s="698" t="s">
        <v>1448</v>
      </c>
      <c r="B9" s="699" t="s">
        <v>1442</v>
      </c>
      <c r="C9" s="698" t="s">
        <v>1443</v>
      </c>
      <c r="D9" s="698">
        <v>3</v>
      </c>
      <c r="E9" s="698">
        <v>5</v>
      </c>
      <c r="F9" s="698">
        <v>6</v>
      </c>
      <c r="G9" s="698">
        <v>13574.18</v>
      </c>
      <c r="H9" s="700">
        <v>4119.41</v>
      </c>
      <c r="I9" s="701">
        <f t="shared" si="0"/>
      </c>
      <c r="J9" s="701">
        <f t="shared" si="1"/>
      </c>
      <c r="K9" s="701">
        <f t="shared" si="2"/>
      </c>
      <c r="L9" s="698" t="s">
        <v>1444</v>
      </c>
      <c r="M9" s="702">
        <v>2</v>
      </c>
      <c r="N9" s="698"/>
      <c r="O9" s="698"/>
      <c r="P9" s="703"/>
      <c r="Q9" s="707">
        <v>2.8686699164345404</v>
      </c>
      <c r="R9" s="705">
        <v>0.0843441811404428</v>
      </c>
      <c r="S9" s="705">
        <v>0.030406335359010734</v>
      </c>
      <c r="T9" s="705">
        <v>0.03267198848116543</v>
      </c>
      <c r="U9" s="705">
        <v>0.09721322099805574</v>
      </c>
      <c r="V9" s="706">
        <v>3983.322642719692</v>
      </c>
      <c r="W9" s="705">
        <v>0.05196666666666667</v>
      </c>
      <c r="X9" s="706">
        <v>35.666666666666664</v>
      </c>
      <c r="Y9" s="707">
        <v>87.22573951341393</v>
      </c>
      <c r="Z9" s="706">
        <v>47227</v>
      </c>
      <c r="AA9" s="706">
        <v>1436</v>
      </c>
      <c r="AB9" s="706">
        <v>207</v>
      </c>
      <c r="AC9" s="706">
        <v>1543</v>
      </c>
      <c r="AD9" s="706">
        <v>150</v>
      </c>
      <c r="AE9" s="706">
        <v>8</v>
      </c>
      <c r="AF9" s="706">
        <v>2</v>
      </c>
      <c r="AG9" s="706">
        <v>55</v>
      </c>
    </row>
    <row r="10">
      <c r="A10" s="708" t="s">
        <v>1448</v>
      </c>
      <c r="B10" s="708" t="s">
        <v>1445</v>
      </c>
      <c r="C10" s="709"/>
      <c r="D10" s="709">
        <f>SUM(D8:D9)</f>
      </c>
      <c r="E10" s="709">
        <f>E8+E9</f>
      </c>
      <c r="F10" s="709">
        <f>SUM(F8:F9)</f>
      </c>
      <c r="G10" s="709">
        <f>SUM(G8:G9)</f>
      </c>
      <c r="H10" s="709">
        <f>SUM(H8:H9)</f>
      </c>
      <c r="I10" s="710">
        <f t="shared" si="0"/>
      </c>
      <c r="J10" s="710">
        <f t="shared" si="1"/>
      </c>
      <c r="K10" s="710">
        <f t="shared" si="2"/>
      </c>
      <c r="L10" s="709"/>
      <c r="M10" s="711">
        <f>SUM(M8:M9)</f>
      </c>
      <c r="N10" s="709"/>
      <c r="O10" s="709"/>
      <c r="P10" s="709"/>
      <c r="Q10" s="712">
        <f>AVERAGE(Q8:Q9)</f>
      </c>
      <c r="R10" s="713">
        <f>AVERAGE(R8:R9)</f>
      </c>
      <c r="S10" s="713">
        <f>AVERAGE(S8:S9)</f>
      </c>
      <c r="T10" s="713">
        <f>AVERAGE(T8:T9)</f>
      </c>
      <c r="U10" s="713">
        <f>AVERAGE(U8:U9)</f>
      </c>
      <c r="V10" s="714">
        <f>SUM(V8:V9)</f>
      </c>
      <c r="W10" s="713">
        <f>AVERAGE(W8:W9)</f>
      </c>
      <c r="X10" s="715"/>
      <c r="Y10" s="712">
        <f>AVERAGE(Y8:Y9)</f>
      </c>
      <c r="Z10" s="714">
        <f>SUM(Z8:Z9)</f>
      </c>
      <c r="AA10" s="714">
        <f>SUM(AA8:AA9)</f>
      </c>
      <c r="AB10" s="714">
        <f>SUM(AB8:AB9)</f>
      </c>
      <c r="AC10" s="714">
        <f>SUM(AC8:AC9)</f>
      </c>
      <c r="AD10" s="714">
        <f>SUM(AD8:AD9)</f>
      </c>
      <c r="AE10" s="714">
        <f>SUM(AE8:AE9)</f>
      </c>
      <c r="AF10" s="714">
        <f>SUM(AF8:AF9)</f>
      </c>
      <c r="AG10" s="714">
        <f>SUM(AG8:AG9)</f>
      </c>
    </row>
    <row r="11">
      <c r="A11" s="698" t="s">
        <v>1449</v>
      </c>
      <c r="B11" s="699" t="s">
        <v>1439</v>
      </c>
      <c r="C11" s="698" t="s">
        <v>1440</v>
      </c>
      <c r="D11" s="698">
        <v>5</v>
      </c>
      <c r="E11" s="698">
        <v>4</v>
      </c>
      <c r="F11" s="698">
        <v>7</v>
      </c>
      <c r="G11" s="698">
        <v>17290.86</v>
      </c>
      <c r="H11" s="700">
        <v>8328.08</v>
      </c>
      <c r="I11" s="701">
        <f t="shared" si="0"/>
      </c>
      <c r="J11" s="701">
        <f t="shared" si="1"/>
      </c>
      <c r="K11" s="701">
        <f t="shared" si="2"/>
      </c>
      <c r="L11" s="698" t="s">
        <v>1441</v>
      </c>
      <c r="M11" s="702">
        <v>1.2</v>
      </c>
      <c r="N11" s="703"/>
      <c r="O11" s="698"/>
      <c r="P11" s="703"/>
      <c r="Q11" s="704">
        <v>2.4027928447778417</v>
      </c>
      <c r="R11" s="705">
        <v>0.21193257556154976</v>
      </c>
      <c r="S11" s="705">
        <v>0.029850746268656716</v>
      </c>
      <c r="T11" s="705">
        <v>0.03257227997347366</v>
      </c>
      <c r="U11" s="705">
        <v>0.08011634056054998</v>
      </c>
      <c r="V11" s="706">
        <v>24607.703281027105</v>
      </c>
      <c r="W11" s="705">
        <v>0.01402</v>
      </c>
      <c r="X11" s="706">
        <v>39.2</v>
      </c>
      <c r="Y11" s="707">
        <v>71.72515954560723</v>
      </c>
      <c r="Z11" s="706">
        <v>116111</v>
      </c>
      <c r="AA11" s="706">
        <v>3466</v>
      </c>
      <c r="AB11" s="706">
        <v>345</v>
      </c>
      <c r="AC11" s="706">
        <v>3782</v>
      </c>
      <c r="AD11" s="706">
        <v>303</v>
      </c>
      <c r="AE11" s="706">
        <v>22</v>
      </c>
      <c r="AF11" s="706">
        <v>7</v>
      </c>
      <c r="AG11" s="706">
        <v>76</v>
      </c>
    </row>
    <row r="12">
      <c r="A12" s="698" t="s">
        <v>1449</v>
      </c>
      <c r="B12" s="699" t="s">
        <v>1442</v>
      </c>
      <c r="C12" s="698" t="s">
        <v>1443</v>
      </c>
      <c r="D12" s="698">
        <v>3</v>
      </c>
      <c r="E12" s="698">
        <v>9</v>
      </c>
      <c r="F12" s="698">
        <v>12</v>
      </c>
      <c r="G12" s="698">
        <v>20675.17</v>
      </c>
      <c r="H12" s="700">
        <v>6111.9</v>
      </c>
      <c r="I12" s="701">
        <f t="shared" si="0"/>
      </c>
      <c r="J12" s="701">
        <f t="shared" si="1"/>
      </c>
      <c r="K12" s="701">
        <f t="shared" si="2"/>
      </c>
      <c r="L12" s="698" t="s">
        <v>1450</v>
      </c>
      <c r="M12" s="702">
        <v>2</v>
      </c>
      <c r="N12" s="698"/>
      <c r="O12" s="698"/>
      <c r="P12" s="703"/>
      <c r="Q12" s="707">
        <v>2.1581567796610166</v>
      </c>
      <c r="R12" s="705">
        <v>0.15999054278124894</v>
      </c>
      <c r="S12" s="705">
        <v>0.03957573470842242</v>
      </c>
      <c r="T12" s="705">
        <v>0.04150421330650233</v>
      </c>
      <c r="U12" s="705">
        <v>0.07508417508417509</v>
      </c>
      <c r="V12" s="706">
        <v>11448.763250883392</v>
      </c>
      <c r="W12" s="705">
        <v>0.018866666666666667</v>
      </c>
      <c r="X12" s="706">
        <v>34.666666666666664</v>
      </c>
      <c r="Y12" s="707">
        <v>85.41064017104766</v>
      </c>
      <c r="Z12" s="706">
        <v>71559</v>
      </c>
      <c r="AA12" s="706">
        <v>2832</v>
      </c>
      <c r="AB12" s="706">
        <v>216</v>
      </c>
      <c r="AC12" s="706">
        <v>2970</v>
      </c>
      <c r="AD12" s="706">
        <v>223</v>
      </c>
      <c r="AE12" s="706">
        <v>22</v>
      </c>
      <c r="AF12" s="706">
        <v>2</v>
      </c>
      <c r="AG12" s="706">
        <v>47</v>
      </c>
    </row>
    <row r="13">
      <c r="A13" s="708" t="s">
        <v>1449</v>
      </c>
      <c r="B13" s="708" t="s">
        <v>1445</v>
      </c>
      <c r="C13" s="709"/>
      <c r="D13" s="709">
        <f>SUM(D11:D12)</f>
      </c>
      <c r="E13" s="709">
        <f>E11+E12</f>
      </c>
      <c r="F13" s="709">
        <f>SUM(F11:F12)</f>
      </c>
      <c r="G13" s="709">
        <f>SUM(G11:G12)</f>
      </c>
      <c r="H13" s="709">
        <f>SUM(H11:H12)</f>
      </c>
      <c r="I13" s="710">
        <f t="shared" si="0"/>
      </c>
      <c r="J13" s="710">
        <f t="shared" si="1"/>
      </c>
      <c r="K13" s="710">
        <f t="shared" si="2"/>
      </c>
      <c r="L13" s="709"/>
      <c r="M13" s="711">
        <f>SUM(M11:M12)</f>
      </c>
      <c r="N13" s="709"/>
      <c r="O13" s="709"/>
      <c r="P13" s="709"/>
      <c r="Q13" s="712">
        <f>AVERAGE(Q11:Q12)</f>
      </c>
      <c r="R13" s="713">
        <f>AVERAGE(R11:R12)</f>
      </c>
      <c r="S13" s="713">
        <f>AVERAGE(S11:S12)</f>
      </c>
      <c r="T13" s="713">
        <f>AVERAGE(T11:T12)</f>
      </c>
      <c r="U13" s="713">
        <f>AVERAGE(U11:U12)</f>
      </c>
      <c r="V13" s="714">
        <f>SUM(V11:V12)</f>
      </c>
      <c r="W13" s="713">
        <f>AVERAGE(W11:W12)</f>
      </c>
      <c r="X13" s="715"/>
      <c r="Y13" s="712">
        <f>AVERAGE(Y11:Y12)</f>
      </c>
      <c r="Z13" s="714">
        <f>SUM(Z11:Z12)</f>
      </c>
      <c r="AA13" s="714">
        <f>SUM(AA11:AA12)</f>
      </c>
      <c r="AB13" s="714">
        <f>SUM(AB11:AB12)</f>
      </c>
      <c r="AC13" s="714">
        <f>SUM(AC11:AC12)</f>
      </c>
      <c r="AD13" s="714">
        <f>SUM(AD11:AD12)</f>
      </c>
      <c r="AE13" s="714">
        <f>SUM(AE11:AE12)</f>
      </c>
      <c r="AF13" s="714">
        <f>SUM(AF11:AF12)</f>
      </c>
      <c r="AG13" s="714">
        <f>SUM(AG11:AG12)</f>
      </c>
    </row>
    <row r="14">
      <c r="A14" s="698" t="s">
        <v>1451</v>
      </c>
      <c r="B14" s="699" t="s">
        <v>1439</v>
      </c>
      <c r="C14" s="698" t="s">
        <v>1452</v>
      </c>
      <c r="D14" s="698">
        <v>4</v>
      </c>
      <c r="E14" s="698">
        <v>7</v>
      </c>
      <c r="F14" s="698">
        <v>8</v>
      </c>
      <c r="G14" s="698">
        <v>14476.87</v>
      </c>
      <c r="H14" s="700">
        <v>6358.66</v>
      </c>
      <c r="I14" s="701">
        <f t="shared" si="0"/>
      </c>
      <c r="J14" s="701">
        <f t="shared" si="1"/>
      </c>
      <c r="K14" s="701">
        <f t="shared" si="2"/>
      </c>
      <c r="L14" s="698" t="s">
        <v>1453</v>
      </c>
      <c r="M14" s="702">
        <v>3.2</v>
      </c>
      <c r="N14" s="703"/>
      <c r="O14" s="698"/>
      <c r="P14" s="703"/>
      <c r="Q14" s="704">
        <v>2.651651376146789</v>
      </c>
      <c r="R14" s="705">
        <v>0.25183533508392925</v>
      </c>
      <c r="S14" s="705">
        <v>0.03373141466571015</v>
      </c>
      <c r="T14" s="705">
        <v>0.03689637225527845</v>
      </c>
      <c r="U14" s="705">
        <v>0.06176134197483797</v>
      </c>
      <c r="V14" s="706">
        <v>17903.225806451614</v>
      </c>
      <c r="W14" s="705">
        <v>0.0124</v>
      </c>
      <c r="X14" s="706">
        <v>34.25</v>
      </c>
      <c r="Y14" s="707">
        <v>89.44395211770828</v>
      </c>
      <c r="Z14" s="706">
        <v>71091</v>
      </c>
      <c r="AA14" s="706">
        <v>2398</v>
      </c>
      <c r="AB14" s="706">
        <v>222</v>
      </c>
      <c r="AC14" s="706">
        <v>2623</v>
      </c>
      <c r="AD14" s="706">
        <v>162</v>
      </c>
      <c r="AE14" s="706">
        <v>22</v>
      </c>
      <c r="AF14" s="706">
        <v>1</v>
      </c>
      <c r="AG14" s="706">
        <v>33</v>
      </c>
    </row>
    <row r="15">
      <c r="A15" s="698" t="s">
        <v>1451</v>
      </c>
      <c r="B15" s="699" t="s">
        <v>1442</v>
      </c>
      <c r="C15" s="698" t="s">
        <v>1454</v>
      </c>
      <c r="D15" s="698">
        <v>4</v>
      </c>
      <c r="E15" s="698">
        <v>4</v>
      </c>
      <c r="F15" s="698">
        <v>5</v>
      </c>
      <c r="G15" s="698">
        <v>10501.69</v>
      </c>
      <c r="H15" s="700">
        <v>6624.03</v>
      </c>
      <c r="I15" s="701">
        <f t="shared" si="0"/>
      </c>
      <c r="J15" s="701">
        <f t="shared" si="1"/>
      </c>
      <c r="K15" s="701">
        <f t="shared" si="2"/>
      </c>
      <c r="L15" s="698"/>
      <c r="M15" s="702"/>
      <c r="N15" s="698"/>
      <c r="O15" s="698"/>
      <c r="P15" s="703"/>
      <c r="Q15" s="707">
        <v>1.9856205035971222</v>
      </c>
      <c r="R15" s="705">
        <v>0.17400867259224198</v>
      </c>
      <c r="S15" s="705">
        <v>0.04295647695081123</v>
      </c>
      <c r="T15" s="705">
        <v>0.04603399433427762</v>
      </c>
      <c r="U15" s="705">
        <v>0.05958041958041958</v>
      </c>
      <c r="V15" s="706">
        <v>13513.513513513511</v>
      </c>
      <c r="W15" s="705">
        <v>0.018500000000000003</v>
      </c>
      <c r="X15" s="706">
        <v>31.25</v>
      </c>
      <c r="Y15" s="707">
        <v>85.29526139582796</v>
      </c>
      <c r="Z15" s="706">
        <v>77660</v>
      </c>
      <c r="AA15" s="706">
        <v>3336</v>
      </c>
      <c r="AB15" s="706">
        <v>250</v>
      </c>
      <c r="AC15" s="706">
        <v>3575</v>
      </c>
      <c r="AD15" s="706">
        <v>213</v>
      </c>
      <c r="AE15" s="706">
        <v>13</v>
      </c>
      <c r="AF15" s="706">
        <v>2</v>
      </c>
      <c r="AG15" s="706">
        <v>46</v>
      </c>
    </row>
    <row r="16">
      <c r="A16" s="708" t="s">
        <v>1451</v>
      </c>
      <c r="B16" s="708" t="s">
        <v>1445</v>
      </c>
      <c r="C16" s="709"/>
      <c r="D16" s="709">
        <f>SUM(D14:D15)</f>
      </c>
      <c r="E16" s="709">
        <f>E14+E15</f>
      </c>
      <c r="F16" s="709">
        <f>SUM(F14:F15)</f>
      </c>
      <c r="G16" s="709">
        <f>SUM(G14:G15)</f>
      </c>
      <c r="H16" s="709">
        <f>SUM(H14:H15)</f>
      </c>
      <c r="I16" s="710">
        <f t="shared" si="0"/>
      </c>
      <c r="J16" s="710">
        <f t="shared" si="1"/>
      </c>
      <c r="K16" s="710">
        <f t="shared" si="2"/>
      </c>
      <c r="L16" s="709"/>
      <c r="M16" s="711">
        <f>SUM(M14:M15)</f>
      </c>
      <c r="N16" s="709"/>
      <c r="O16" s="709"/>
      <c r="P16" s="709"/>
      <c r="Q16" s="712">
        <f>AVERAGE(Q14:Q15)</f>
      </c>
      <c r="R16" s="713">
        <f>AVERAGE(R14:R15)</f>
      </c>
      <c r="S16" s="713">
        <f>AVERAGE(S14:S15)</f>
      </c>
      <c r="T16" s="713">
        <f>AVERAGE(T14:T15)</f>
      </c>
      <c r="U16" s="713">
        <f>AVERAGE(U14:U15)</f>
      </c>
      <c r="V16" s="714">
        <f>SUM(V14:V15)</f>
      </c>
      <c r="W16" s="713">
        <f>AVERAGE(W14:W15)</f>
      </c>
      <c r="X16" s="715"/>
      <c r="Y16" s="712">
        <f>AVERAGE(Y14:Y15)</f>
      </c>
      <c r="Z16" s="714">
        <f>SUM(Z14:Z15)</f>
      </c>
      <c r="AA16" s="714">
        <f>SUM(AA14:AA15)</f>
      </c>
      <c r="AB16" s="714">
        <f>SUM(AB14:AB15)</f>
      </c>
      <c r="AC16" s="714">
        <f>SUM(AC14:AC15)</f>
      </c>
      <c r="AD16" s="714">
        <f>SUM(AD14:AD15)</f>
      </c>
      <c r="AE16" s="714">
        <f>SUM(AE14:AE15)</f>
      </c>
      <c r="AF16" s="714">
        <f>SUM(AF14:AF15)</f>
      </c>
      <c r="AG16" s="714">
        <f>SUM(AG14:AG15)</f>
      </c>
    </row>
    <row r="17">
      <c r="A17" s="698" t="s">
        <v>1455</v>
      </c>
      <c r="B17" s="699" t="s">
        <v>1442</v>
      </c>
      <c r="C17" s="698" t="s">
        <v>1452</v>
      </c>
      <c r="D17" s="698">
        <v>4</v>
      </c>
      <c r="E17" s="698">
        <v>8</v>
      </c>
      <c r="F17" s="698">
        <v>7</v>
      </c>
      <c r="G17" s="698">
        <v>11074.65</v>
      </c>
      <c r="H17" s="700">
        <v>6491.85</v>
      </c>
      <c r="I17" s="701">
        <f t="shared" si="0"/>
      </c>
      <c r="J17" s="701">
        <f t="shared" si="1"/>
      </c>
      <c r="K17" s="701">
        <f t="shared" si="2"/>
      </c>
      <c r="L17" s="698" t="s">
        <v>1453</v>
      </c>
      <c r="M17" s="702">
        <v>2.8</v>
      </c>
      <c r="N17" s="703"/>
      <c r="O17" s="698"/>
      <c r="P17" s="703"/>
      <c r="Q17" s="704">
        <v>3.4348412698412703</v>
      </c>
      <c r="R17" s="705">
        <v>0.22812007670537576</v>
      </c>
      <c r="S17" s="705">
        <v>0.030988686669945892</v>
      </c>
      <c r="T17" s="705">
        <v>0.032874241678963766</v>
      </c>
      <c r="U17" s="705">
        <v>0.07331670822942643</v>
      </c>
      <c r="V17" s="706">
        <v>13913.043478260868</v>
      </c>
      <c r="W17" s="705">
        <v>0.014950000000000001</v>
      </c>
      <c r="X17" s="706">
        <v>33.75</v>
      </c>
      <c r="Y17" s="707">
        <v>106.4412198721102</v>
      </c>
      <c r="Z17" s="706">
        <v>60990</v>
      </c>
      <c r="AA17" s="706">
        <v>1890</v>
      </c>
      <c r="AB17" s="706">
        <v>208</v>
      </c>
      <c r="AC17" s="706">
        <v>2005</v>
      </c>
      <c r="AD17" s="706">
        <v>147</v>
      </c>
      <c r="AE17" s="706">
        <v>7</v>
      </c>
      <c r="AF17" s="706">
        <v>4</v>
      </c>
      <c r="AG17" s="706">
        <v>45</v>
      </c>
    </row>
    <row r="18">
      <c r="A18" s="698" t="s">
        <v>1455</v>
      </c>
      <c r="B18" s="699" t="s">
        <v>1439</v>
      </c>
      <c r="C18" s="698" t="s">
        <v>1454</v>
      </c>
      <c r="D18" s="698">
        <v>4</v>
      </c>
      <c r="E18" s="698">
        <v>10</v>
      </c>
      <c r="F18" s="698">
        <v>15</v>
      </c>
      <c r="G18" s="698">
        <v>30191.69</v>
      </c>
      <c r="H18" s="700">
        <v>7230.579999999999</v>
      </c>
      <c r="I18" s="701">
        <f t="shared" si="0"/>
      </c>
      <c r="J18" s="701">
        <f t="shared" si="1"/>
      </c>
      <c r="K18" s="701">
        <f t="shared" si="2"/>
      </c>
      <c r="L18" s="698" t="s">
        <v>1447</v>
      </c>
      <c r="M18" s="702">
        <v>1</v>
      </c>
      <c r="N18" s="698"/>
      <c r="O18" s="698"/>
      <c r="P18" s="703"/>
      <c r="Q18" s="707">
        <v>2.0629329529243936</v>
      </c>
      <c r="R18" s="705">
        <v>0.17779660226742033</v>
      </c>
      <c r="S18" s="705">
        <v>0.041083526736526245</v>
      </c>
      <c r="T18" s="705">
        <v>0.043568464730290454</v>
      </c>
      <c r="U18" s="705">
        <v>0.07102502017756256</v>
      </c>
      <c r="V18" s="706">
        <v>15168.539325842698</v>
      </c>
      <c r="W18" s="705">
        <v>0.0178</v>
      </c>
      <c r="X18" s="706">
        <v>33.25</v>
      </c>
      <c r="Y18" s="707">
        <v>84.75256112713035</v>
      </c>
      <c r="Z18" s="706">
        <v>85314</v>
      </c>
      <c r="AA18" s="706">
        <v>3505</v>
      </c>
      <c r="AB18" s="706">
        <v>270</v>
      </c>
      <c r="AC18" s="706">
        <v>3717</v>
      </c>
      <c r="AD18" s="706">
        <v>264</v>
      </c>
      <c r="AE18" s="706">
        <v>17</v>
      </c>
      <c r="AF18" s="706">
        <v>4</v>
      </c>
      <c r="AG18" s="706">
        <v>49</v>
      </c>
    </row>
    <row r="19">
      <c r="A19" s="708" t="s">
        <v>1455</v>
      </c>
      <c r="B19" s="708" t="s">
        <v>1445</v>
      </c>
      <c r="C19" s="709"/>
      <c r="D19" s="709">
        <f>SUM(D17:D18)</f>
      </c>
      <c r="E19" s="709">
        <f>E17+E18</f>
      </c>
      <c r="F19" s="709">
        <f>SUM(F17:F18)</f>
      </c>
      <c r="G19" s="709">
        <f>SUM(G17:G18)</f>
      </c>
      <c r="H19" s="709">
        <f>SUM(H17:H18)</f>
      </c>
      <c r="I19" s="710">
        <f t="shared" si="0"/>
      </c>
      <c r="J19" s="710">
        <f t="shared" si="1"/>
      </c>
      <c r="K19" s="710">
        <f t="shared" si="2"/>
      </c>
      <c r="L19" s="709"/>
      <c r="M19" s="711">
        <f>SUM(M17:M18)</f>
      </c>
      <c r="N19" s="709"/>
      <c r="O19" s="709"/>
      <c r="P19" s="709"/>
      <c r="Q19" s="712">
        <f>AVERAGE(Q17:Q18)</f>
      </c>
      <c r="R19" s="713">
        <f>AVERAGE(R17:R18)</f>
      </c>
      <c r="S19" s="713">
        <f>AVERAGE(S17:S18)</f>
      </c>
      <c r="T19" s="713">
        <f>AVERAGE(T17:T18)</f>
      </c>
      <c r="U19" s="713">
        <f>AVERAGE(U17:U18)</f>
      </c>
      <c r="V19" s="714">
        <f>SUM(V17:V18)</f>
      </c>
      <c r="W19" s="713">
        <f>AVERAGE(W17:W18)</f>
      </c>
      <c r="X19" s="715"/>
      <c r="Y19" s="712">
        <f>AVERAGE(Y17:Y18)</f>
      </c>
      <c r="Z19" s="714">
        <f>SUM(Z17:Z18)</f>
      </c>
      <c r="AA19" s="714">
        <f>SUM(AA17:AA18)</f>
      </c>
      <c r="AB19" s="714">
        <f>SUM(AB17:AB18)</f>
      </c>
      <c r="AC19" s="714">
        <f>SUM(AC17:AC18)</f>
      </c>
      <c r="AD19" s="714">
        <f>SUM(AD17:AD18)</f>
      </c>
      <c r="AE19" s="714">
        <f>SUM(AE17:AE18)</f>
      </c>
      <c r="AF19" s="714">
        <f>SUM(AF17:AF18)</f>
      </c>
      <c r="AG19" s="714">
        <f>SUM(AG17:AG18)</f>
      </c>
    </row>
    <row r="20">
      <c r="A20" s="698" t="s">
        <v>1456</v>
      </c>
      <c r="B20" s="699" t="s">
        <v>1442</v>
      </c>
      <c r="C20" s="698" t="s">
        <v>1457</v>
      </c>
      <c r="D20" s="698">
        <v>3</v>
      </c>
      <c r="E20" s="698">
        <v>5</v>
      </c>
      <c r="F20" s="698">
        <v>8</v>
      </c>
      <c r="G20" s="698">
        <v>13622.9</v>
      </c>
      <c r="H20" s="700">
        <v>4733.14</v>
      </c>
      <c r="I20" s="701">
        <f t="shared" si="0"/>
      </c>
      <c r="J20" s="701">
        <f t="shared" si="1"/>
      </c>
      <c r="K20" s="701">
        <f t="shared" si="2"/>
      </c>
      <c r="L20" s="698" t="s">
        <v>1444</v>
      </c>
      <c r="M20" s="702">
        <v>1.2</v>
      </c>
      <c r="N20" s="703"/>
      <c r="O20" s="698"/>
      <c r="P20" s="703"/>
      <c r="Q20" s="704">
        <v>3.3285091420534463</v>
      </c>
      <c r="R20" s="705">
        <v>0.18474552958534135</v>
      </c>
      <c r="S20" s="705">
        <v>0.024701651988118193</v>
      </c>
      <c r="T20" s="705">
        <v>0.026734066392203867</v>
      </c>
      <c r="U20" s="705">
        <v>0.096816114359974</v>
      </c>
      <c r="V20" s="706">
        <v>10635.245901639346</v>
      </c>
      <c r="W20" s="705">
        <v>0.016266666666666665</v>
      </c>
      <c r="X20" s="706">
        <v>47</v>
      </c>
      <c r="Y20" s="707">
        <v>82.21967446627409</v>
      </c>
      <c r="Z20" s="706">
        <v>57567</v>
      </c>
      <c r="AA20" s="706">
        <v>1422</v>
      </c>
      <c r="AB20" s="706">
        <v>173</v>
      </c>
      <c r="AC20" s="706">
        <v>1539</v>
      </c>
      <c r="AD20" s="706">
        <v>149</v>
      </c>
      <c r="AE20" s="706">
        <v>13</v>
      </c>
      <c r="AF20" s="706">
        <v>3</v>
      </c>
      <c r="AG20" s="706">
        <v>33</v>
      </c>
    </row>
    <row r="21">
      <c r="A21" s="698" t="s">
        <v>1456</v>
      </c>
      <c r="B21" s="699" t="s">
        <v>1439</v>
      </c>
      <c r="C21" s="698" t="s">
        <v>1458</v>
      </c>
      <c r="D21" s="698">
        <v>5</v>
      </c>
      <c r="E21" s="698">
        <v>9</v>
      </c>
      <c r="F21" s="698">
        <v>14</v>
      </c>
      <c r="G21" s="698">
        <v>31415.69</v>
      </c>
      <c r="H21" s="700">
        <v>5183.4800000000005</v>
      </c>
      <c r="I21" s="701">
        <f t="shared" si="0"/>
      </c>
      <c r="J21" s="701">
        <f t="shared" si="1"/>
      </c>
      <c r="K21" s="701">
        <f t="shared" si="2"/>
      </c>
      <c r="L21" s="698" t="s">
        <v>1450</v>
      </c>
      <c r="M21" s="702">
        <v>2</v>
      </c>
      <c r="N21" s="698"/>
      <c r="O21" s="698"/>
      <c r="P21" s="703"/>
      <c r="Q21" s="707">
        <v>5.60982683982684</v>
      </c>
      <c r="R21" s="705">
        <v>0.020552605905084204</v>
      </c>
      <c r="S21" s="705">
        <v>0.015047389505911474</v>
      </c>
      <c r="T21" s="705">
        <v>0.015763931863335832</v>
      </c>
      <c r="U21" s="705">
        <v>0.27892561983471076</v>
      </c>
      <c r="V21" s="706">
        <v>1262.0533182076006</v>
      </c>
      <c r="W21" s="705">
        <v>0.21156000000000003</v>
      </c>
      <c r="X21" s="706">
        <v>63</v>
      </c>
      <c r="Y21" s="707">
        <v>84.41324951959092</v>
      </c>
      <c r="Z21" s="706">
        <v>61406</v>
      </c>
      <c r="AA21" s="706">
        <v>924</v>
      </c>
      <c r="AB21" s="706">
        <v>267</v>
      </c>
      <c r="AC21" s="706">
        <v>968</v>
      </c>
      <c r="AD21" s="706">
        <v>270</v>
      </c>
      <c r="AE21" s="706">
        <v>19</v>
      </c>
      <c r="AF21" s="706">
        <v>3</v>
      </c>
      <c r="AG21" s="706">
        <v>59</v>
      </c>
    </row>
    <row r="22">
      <c r="A22" s="708" t="s">
        <v>1456</v>
      </c>
      <c r="B22" s="708" t="s">
        <v>1445</v>
      </c>
      <c r="C22" s="709"/>
      <c r="D22" s="709">
        <f>SUM(D20:D21)</f>
      </c>
      <c r="E22" s="709">
        <f>E20+E21</f>
      </c>
      <c r="F22" s="709">
        <f>SUM(F20:F21)</f>
      </c>
      <c r="G22" s="709">
        <f>SUM(G20:G21)</f>
      </c>
      <c r="H22" s="709">
        <f>SUM(H20:H21)</f>
      </c>
      <c r="I22" s="710">
        <f t="shared" si="0"/>
      </c>
      <c r="J22" s="710">
        <f t="shared" si="1"/>
      </c>
      <c r="K22" s="710">
        <f t="shared" si="2"/>
      </c>
      <c r="L22" s="709"/>
      <c r="M22" s="711">
        <f>SUM(M20:M21)</f>
      </c>
      <c r="N22" s="709"/>
      <c r="O22" s="709"/>
      <c r="P22" s="709"/>
      <c r="Q22" s="712">
        <f>AVERAGE(Q20:Q21)</f>
      </c>
      <c r="R22" s="713">
        <f>AVERAGE(R20:R21)</f>
      </c>
      <c r="S22" s="713">
        <f>AVERAGE(S20:S21)</f>
      </c>
      <c r="T22" s="713">
        <f>AVERAGE(T20:T21)</f>
      </c>
      <c r="U22" s="713">
        <f>AVERAGE(U20:U21)</f>
      </c>
      <c r="V22" s="714">
        <f>SUM(V20:V21)</f>
      </c>
      <c r="W22" s="713">
        <f>AVERAGE(W20:W21)</f>
      </c>
      <c r="X22" s="715"/>
      <c r="Y22" s="712">
        <f>AVERAGE(Y20:Y21)</f>
      </c>
      <c r="Z22" s="714">
        <f>SUM(Z20:Z21)</f>
      </c>
      <c r="AA22" s="714">
        <f>SUM(AA20:AA21)</f>
      </c>
      <c r="AB22" s="714">
        <f>SUM(AB20:AB21)</f>
      </c>
      <c r="AC22" s="714">
        <f>SUM(AC20:AC21)</f>
      </c>
      <c r="AD22" s="714">
        <f>SUM(AD20:AD21)</f>
      </c>
      <c r="AE22" s="714">
        <f>SUM(AE20:AE21)</f>
      </c>
      <c r="AF22" s="714">
        <f>SUM(AF20:AF21)</f>
      </c>
      <c r="AG22" s="714">
        <f>SUM(AG20:AG21)</f>
      </c>
    </row>
    <row r="23">
      <c r="A23" s="698" t="s">
        <v>1459</v>
      </c>
      <c r="B23" s="699" t="s">
        <v>1442</v>
      </c>
      <c r="C23" s="698" t="s">
        <v>1440</v>
      </c>
      <c r="D23" s="698">
        <v>5</v>
      </c>
      <c r="E23" s="698">
        <v>7</v>
      </c>
      <c r="F23" s="698">
        <v>6</v>
      </c>
      <c r="G23" s="698">
        <v>11309.05</v>
      </c>
      <c r="H23" s="700">
        <v>7000.93</v>
      </c>
      <c r="I23" s="701">
        <f t="shared" si="0"/>
      </c>
      <c r="J23" s="701">
        <f t="shared" si="1"/>
      </c>
      <c r="K23" s="701">
        <f t="shared" si="2"/>
      </c>
      <c r="L23" s="698" t="s">
        <v>1460</v>
      </c>
      <c r="M23" s="702">
        <v>0.8</v>
      </c>
      <c r="N23" s="703"/>
      <c r="O23" s="698"/>
      <c r="P23" s="703"/>
      <c r="Q23" s="704">
        <v>3.1046252771618628</v>
      </c>
      <c r="R23" s="705">
        <v>0.15048251554716746</v>
      </c>
      <c r="S23" s="705">
        <v>0.026049187334665633</v>
      </c>
      <c r="T23" s="705">
        <v>0.02805919114674183</v>
      </c>
      <c r="U23" s="705">
        <v>0.0675174969123096</v>
      </c>
      <c r="V23" s="706">
        <v>13026.819923371646</v>
      </c>
      <c r="W23" s="705">
        <v>0.0261</v>
      </c>
      <c r="X23" s="706">
        <v>38.948</v>
      </c>
      <c r="Y23" s="707">
        <v>80.87296544872757</v>
      </c>
      <c r="Z23" s="706">
        <v>86567</v>
      </c>
      <c r="AA23" s="706">
        <v>2255</v>
      </c>
      <c r="AB23" s="706">
        <v>340</v>
      </c>
      <c r="AC23" s="706">
        <v>2429</v>
      </c>
      <c r="AD23" s="706">
        <v>164</v>
      </c>
      <c r="AE23" s="706">
        <v>21</v>
      </c>
      <c r="AF23" s="706">
        <v>4</v>
      </c>
      <c r="AG23" s="706">
        <v>64</v>
      </c>
    </row>
    <row r="24">
      <c r="A24" s="698" t="s">
        <v>1459</v>
      </c>
      <c r="B24" s="699" t="s">
        <v>1439</v>
      </c>
      <c r="C24" s="698" t="s">
        <v>1443</v>
      </c>
      <c r="D24" s="698">
        <v>3</v>
      </c>
      <c r="E24" s="698">
        <v>2</v>
      </c>
      <c r="F24" s="698">
        <v>4</v>
      </c>
      <c r="G24" s="698">
        <v>7651.22</v>
      </c>
      <c r="H24" s="700">
        <v>3499.07</v>
      </c>
      <c r="I24" s="701">
        <f t="shared" si="0"/>
      </c>
      <c r="J24" s="701">
        <f t="shared" si="1"/>
      </c>
      <c r="K24" s="701">
        <f t="shared" si="2"/>
      </c>
      <c r="L24" s="698" t="s">
        <v>1461</v>
      </c>
      <c r="M24" s="702">
        <v>2.4</v>
      </c>
      <c r="N24" s="698"/>
      <c r="O24" s="698"/>
      <c r="P24" s="703"/>
      <c r="Q24" s="707">
        <v>3.2309048938134812</v>
      </c>
      <c r="R24" s="705">
        <v>0.042578519271486016</v>
      </c>
      <c r="S24" s="705">
        <v>0.023622562491820442</v>
      </c>
      <c r="T24" s="705">
        <v>0.025193037560528726</v>
      </c>
      <c r="U24" s="705">
        <v>0.05800865800865801</v>
      </c>
      <c r="V24" s="706">
        <v>1952.0547945205478</v>
      </c>
      <c r="W24" s="705">
        <v>0.07786666666666667</v>
      </c>
      <c r="X24" s="706">
        <v>40.333333333333336</v>
      </c>
      <c r="Y24" s="707">
        <v>76.32225275923744</v>
      </c>
      <c r="Z24" s="706">
        <v>45846</v>
      </c>
      <c r="AA24" s="706">
        <v>1083</v>
      </c>
      <c r="AB24" s="706">
        <v>152</v>
      </c>
      <c r="AC24" s="706">
        <v>1155</v>
      </c>
      <c r="AD24" s="706">
        <v>67</v>
      </c>
      <c r="AE24" s="706">
        <v>6</v>
      </c>
      <c r="AF24" s="706">
        <v>3</v>
      </c>
      <c r="AG24" s="706">
        <v>39</v>
      </c>
    </row>
    <row r="25">
      <c r="A25" s="708" t="s">
        <v>1459</v>
      </c>
      <c r="B25" s="708" t="s">
        <v>1445</v>
      </c>
      <c r="C25" s="709"/>
      <c r="D25" s="709">
        <f>SUM(D23:D24)</f>
      </c>
      <c r="E25" s="709">
        <f>E23+E24</f>
      </c>
      <c r="F25" s="709">
        <f>SUM(F23:F24)</f>
      </c>
      <c r="G25" s="709">
        <f>SUM(G23:G24)</f>
      </c>
      <c r="H25" s="709">
        <f>SUM(H23:H24)</f>
      </c>
      <c r="I25" s="710">
        <f t="shared" si="0"/>
      </c>
      <c r="J25" s="710">
        <f t="shared" si="1"/>
      </c>
      <c r="K25" s="710">
        <f t="shared" si="2"/>
      </c>
      <c r="L25" s="709"/>
      <c r="M25" s="711">
        <f>SUM(M23:M24)</f>
      </c>
      <c r="N25" s="709"/>
      <c r="O25" s="709"/>
      <c r="P25" s="709"/>
      <c r="Q25" s="712">
        <f>AVERAGE(Q23:Q24)</f>
      </c>
      <c r="R25" s="713">
        <f>AVERAGE(R23:R24)</f>
      </c>
      <c r="S25" s="713">
        <f>AVERAGE(S23:S24)</f>
      </c>
      <c r="T25" s="713">
        <f>AVERAGE(T23:T24)</f>
      </c>
      <c r="U25" s="713">
        <f>AVERAGE(U23:U24)</f>
      </c>
      <c r="V25" s="714">
        <f>SUM(V23:V24)</f>
      </c>
      <c r="W25" s="713">
        <f>AVERAGE(W23:W24)</f>
      </c>
      <c r="X25" s="715"/>
      <c r="Y25" s="712">
        <f>AVERAGE(Y23:Y24)</f>
      </c>
      <c r="Z25" s="714">
        <f>SUM(Z23:Z24)</f>
      </c>
      <c r="AA25" s="714">
        <f>SUM(AA23:AA24)</f>
      </c>
      <c r="AB25" s="714">
        <f>SUM(AB23:AB24)</f>
      </c>
      <c r="AC25" s="714">
        <f>SUM(AC23:AC24)</f>
      </c>
      <c r="AD25" s="714">
        <f>SUM(AD23:AD24)</f>
      </c>
      <c r="AE25" s="714">
        <f>SUM(AE23:AE24)</f>
      </c>
      <c r="AF25" s="714">
        <f>SUM(AF23:AF24)</f>
      </c>
      <c r="AG25" s="714">
        <f>SUM(AG23:AG24)</f>
      </c>
    </row>
    <row r="26">
      <c r="A26" s="698" t="s">
        <v>1462</v>
      </c>
      <c r="B26" s="699" t="s">
        <v>1442</v>
      </c>
      <c r="C26" s="698" t="s">
        <v>1452</v>
      </c>
      <c r="D26" s="698">
        <v>4</v>
      </c>
      <c r="E26" s="698">
        <v>4</v>
      </c>
      <c r="F26" s="698">
        <v>4</v>
      </c>
      <c r="G26" s="698">
        <v>8507.08</v>
      </c>
      <c r="H26" s="700">
        <v>4924.299999999999</v>
      </c>
      <c r="I26" s="701">
        <f t="shared" si="0"/>
      </c>
      <c r="J26" s="701">
        <f t="shared" si="1"/>
      </c>
      <c r="K26" s="701">
        <f t="shared" si="2"/>
      </c>
      <c r="L26" s="698" t="s">
        <v>1453</v>
      </c>
      <c r="M26" s="702">
        <v>3.2</v>
      </c>
      <c r="N26" s="703"/>
      <c r="O26" s="698"/>
      <c r="P26" s="703"/>
      <c r="Q26" s="704">
        <v>3.7475646879756463</v>
      </c>
      <c r="R26" s="705">
        <v>0.11655966047203711</v>
      </c>
      <c r="S26" s="705">
        <v>0.020356628297882227</v>
      </c>
      <c r="T26" s="705">
        <v>0.021859362654727415</v>
      </c>
      <c r="U26" s="705">
        <v>0.04819277108433735</v>
      </c>
      <c r="V26" s="706">
        <v>7523.809523809524</v>
      </c>
      <c r="W26" s="705">
        <v>0.0315</v>
      </c>
      <c r="X26" s="706">
        <v>34.25</v>
      </c>
      <c r="Y26" s="707">
        <v>76.28778137538923</v>
      </c>
      <c r="Z26" s="706">
        <v>64549</v>
      </c>
      <c r="AA26" s="706">
        <v>1314</v>
      </c>
      <c r="AB26" s="706">
        <v>237</v>
      </c>
      <c r="AC26" s="706">
        <v>1411</v>
      </c>
      <c r="AD26" s="706">
        <v>68</v>
      </c>
      <c r="AE26" s="706">
        <v>10</v>
      </c>
      <c r="AF26" s="706">
        <v>1</v>
      </c>
      <c r="AG26" s="706">
        <v>56</v>
      </c>
    </row>
    <row r="27">
      <c r="A27" s="698" t="s">
        <v>1462</v>
      </c>
      <c r="B27" s="699" t="s">
        <v>1439</v>
      </c>
      <c r="C27" s="698" t="s">
        <v>1454</v>
      </c>
      <c r="D27" s="698">
        <v>4</v>
      </c>
      <c r="E27" s="698">
        <v>3</v>
      </c>
      <c r="F27" s="698">
        <v>8</v>
      </c>
      <c r="G27" s="698">
        <v>14799.3</v>
      </c>
      <c r="H27" s="700">
        <v>5023.43</v>
      </c>
      <c r="I27" s="701">
        <f t="shared" si="0"/>
      </c>
      <c r="J27" s="701">
        <f t="shared" si="1"/>
      </c>
      <c r="K27" s="701">
        <f t="shared" si="2"/>
      </c>
      <c r="L27" s="698"/>
      <c r="M27" s="702"/>
      <c r="N27" s="698"/>
      <c r="O27" s="698"/>
      <c r="P27" s="703"/>
      <c r="Q27" s="707">
        <v>4.228476430976431</v>
      </c>
      <c r="R27" s="705">
        <v>0.02066529888535975</v>
      </c>
      <c r="S27" s="705">
        <v>0.0172428807802839</v>
      </c>
      <c r="T27" s="705">
        <v>0.018012133879067607</v>
      </c>
      <c r="U27" s="705">
        <v>0.1063658340048348</v>
      </c>
      <c r="V27" s="706">
        <v>1423.797762603516</v>
      </c>
      <c r="W27" s="705">
        <v>0.17207499999999998</v>
      </c>
      <c r="X27" s="706">
        <v>40.5</v>
      </c>
      <c r="Y27" s="707">
        <v>72.91111498156695</v>
      </c>
      <c r="Z27" s="706">
        <v>68898</v>
      </c>
      <c r="AA27" s="706">
        <v>1188</v>
      </c>
      <c r="AB27" s="706">
        <v>245</v>
      </c>
      <c r="AC27" s="706">
        <v>1241</v>
      </c>
      <c r="AD27" s="706">
        <v>132</v>
      </c>
      <c r="AE27" s="706">
        <v>10</v>
      </c>
      <c r="AF27" s="706">
        <v>3</v>
      </c>
      <c r="AG27" s="706">
        <v>62</v>
      </c>
    </row>
    <row r="28">
      <c r="A28" s="708" t="s">
        <v>1462</v>
      </c>
      <c r="B28" s="708" t="s">
        <v>1445</v>
      </c>
      <c r="C28" s="709"/>
      <c r="D28" s="709">
        <f>SUM(D26:D27)</f>
      </c>
      <c r="E28" s="709">
        <f>E26+E27</f>
      </c>
      <c r="F28" s="709">
        <f>SUM(F26:F27)</f>
      </c>
      <c r="G28" s="709">
        <f>SUM(G26:G27)</f>
      </c>
      <c r="H28" s="709">
        <f>SUM(H26:H27)</f>
      </c>
      <c r="I28" s="710">
        <f t="shared" si="0"/>
      </c>
      <c r="J28" s="710">
        <f t="shared" si="1"/>
      </c>
      <c r="K28" s="710">
        <f t="shared" si="2"/>
      </c>
      <c r="L28" s="709"/>
      <c r="M28" s="711">
        <f>SUM(M26:M27)</f>
      </c>
      <c r="N28" s="709"/>
      <c r="O28" s="709"/>
      <c r="P28" s="709"/>
      <c r="Q28" s="712">
        <f>AVERAGE(Q26:Q27)</f>
      </c>
      <c r="R28" s="713">
        <f>AVERAGE(R26:R27)</f>
      </c>
      <c r="S28" s="713">
        <f>AVERAGE(S26:S27)</f>
      </c>
      <c r="T28" s="713">
        <f>AVERAGE(T26:T27)</f>
      </c>
      <c r="U28" s="713">
        <f>AVERAGE(U26:U27)</f>
      </c>
      <c r="V28" s="714">
        <f>SUM(V26:V27)</f>
      </c>
      <c r="W28" s="713">
        <f>AVERAGE(W26:W27)</f>
      </c>
      <c r="X28" s="715"/>
      <c r="Y28" s="712">
        <f>AVERAGE(Y26:Y27)</f>
      </c>
      <c r="Z28" s="714">
        <f>SUM(Z26:Z27)</f>
      </c>
      <c r="AA28" s="714">
        <f>SUM(AA26:AA27)</f>
      </c>
      <c r="AB28" s="714">
        <f>SUM(AB26:AB27)</f>
      </c>
      <c r="AC28" s="714">
        <f>SUM(AC26:AC27)</f>
      </c>
      <c r="AD28" s="714">
        <f>SUM(AD26:AD27)</f>
      </c>
      <c r="AE28" s="714">
        <f>SUM(AE26:AE27)</f>
      </c>
      <c r="AF28" s="714">
        <f>SUM(AF26:AF27)</f>
      </c>
      <c r="AG28" s="714">
        <f>SUM(AG26:AG27)</f>
      </c>
    </row>
    <row r="29">
      <c r="A29" s="698" t="s">
        <v>1463</v>
      </c>
      <c r="B29" s="699" t="s">
        <v>1464</v>
      </c>
      <c r="C29" s="698" t="s">
        <v>1452</v>
      </c>
      <c r="D29" s="698">
        <v>4</v>
      </c>
      <c r="E29" s="698">
        <v>6</v>
      </c>
      <c r="F29" s="698">
        <v>7</v>
      </c>
      <c r="G29" s="698">
        <v>14223.88</v>
      </c>
      <c r="H29" s="700">
        <v>5106.85</v>
      </c>
      <c r="I29" s="701">
        <f t="shared" si="0"/>
      </c>
      <c r="J29" s="701">
        <f t="shared" si="1"/>
      </c>
      <c r="K29" s="701">
        <f t="shared" si="2"/>
      </c>
      <c r="L29" s="698" t="s">
        <v>1460</v>
      </c>
      <c r="M29" s="702">
        <v>3.2</v>
      </c>
      <c r="N29" s="703"/>
      <c r="O29" s="698"/>
      <c r="P29" s="703"/>
      <c r="Q29" s="704">
        <v>4.499427312775331</v>
      </c>
      <c r="R29" s="705">
        <v>0.03362608755015046</v>
      </c>
      <c r="S29" s="705">
        <v>0.01721052950809729</v>
      </c>
      <c r="T29" s="705">
        <v>0.018514587250561047</v>
      </c>
      <c r="U29" s="705">
        <v>0.10319410319410319</v>
      </c>
      <c r="V29" s="706">
        <v>2217.5732217573222</v>
      </c>
      <c r="W29" s="705">
        <v>0.1195</v>
      </c>
      <c r="X29" s="706">
        <v>50.25</v>
      </c>
      <c r="Y29" s="707">
        <v>77.43752653605871</v>
      </c>
      <c r="Z29" s="706">
        <v>65948</v>
      </c>
      <c r="AA29" s="706">
        <v>1135</v>
      </c>
      <c r="AB29" s="706">
        <v>265</v>
      </c>
      <c r="AC29" s="706">
        <v>1221</v>
      </c>
      <c r="AD29" s="706">
        <v>126</v>
      </c>
      <c r="AE29" s="706">
        <v>11</v>
      </c>
      <c r="AF29" s="706">
        <v>1</v>
      </c>
      <c r="AG29" s="706">
        <v>38</v>
      </c>
    </row>
    <row r="30">
      <c r="A30" s="698" t="s">
        <v>1463</v>
      </c>
      <c r="B30" s="699" t="s">
        <v>1442</v>
      </c>
      <c r="C30" s="698" t="s">
        <v>1454</v>
      </c>
      <c r="D30" s="698">
        <v>4</v>
      </c>
      <c r="E30" s="698">
        <v>9</v>
      </c>
      <c r="F30" s="698">
        <v>9</v>
      </c>
      <c r="G30" s="698">
        <v>18406.74</v>
      </c>
      <c r="H30" s="700">
        <v>5788.120000000001</v>
      </c>
      <c r="I30" s="701">
        <f t="shared" si="0"/>
      </c>
      <c r="J30" s="701">
        <f t="shared" si="1"/>
      </c>
      <c r="K30" s="701">
        <f t="shared" si="2"/>
      </c>
      <c r="L30" s="716"/>
      <c r="M30" s="702"/>
      <c r="N30" s="698"/>
      <c r="O30" s="698"/>
      <c r="P30" s="703"/>
      <c r="Q30" s="707">
        <v>5.8643566362715305</v>
      </c>
      <c r="R30" s="705">
        <v>0.01469399300382258</v>
      </c>
      <c r="S30" s="705">
        <v>0.014200825863631786</v>
      </c>
      <c r="T30" s="705">
        <v>0.014790728457764413</v>
      </c>
      <c r="U30" s="705">
        <v>0.1819066147859922</v>
      </c>
      <c r="V30" s="706">
        <v>1021.2765957446808</v>
      </c>
      <c r="W30" s="705">
        <v>0.29962500000000003</v>
      </c>
      <c r="X30" s="706">
        <v>64.5</v>
      </c>
      <c r="Y30" s="707">
        <v>83.27870739392546</v>
      </c>
      <c r="Z30" s="706">
        <v>69503</v>
      </c>
      <c r="AA30" s="706">
        <v>987</v>
      </c>
      <c r="AB30" s="706">
        <v>306</v>
      </c>
      <c r="AC30" s="706">
        <v>1028</v>
      </c>
      <c r="AD30" s="706">
        <v>187</v>
      </c>
      <c r="AE30" s="706">
        <v>14</v>
      </c>
      <c r="AF30" s="706">
        <v>7</v>
      </c>
      <c r="AG30" s="706">
        <v>90</v>
      </c>
    </row>
    <row r="31">
      <c r="A31" s="708" t="s">
        <v>1463</v>
      </c>
      <c r="B31" s="708" t="s">
        <v>1445</v>
      </c>
      <c r="C31" s="709"/>
      <c r="D31" s="709">
        <f>SUM(D29:D30)</f>
      </c>
      <c r="E31" s="709">
        <f>E29+E30</f>
      </c>
      <c r="F31" s="709">
        <f>SUM(F29:F30)</f>
      </c>
      <c r="G31" s="709">
        <f>SUM(G29:G30)</f>
      </c>
      <c r="H31" s="709">
        <f>SUM(H29:H30)</f>
      </c>
      <c r="I31" s="710">
        <f t="shared" si="0"/>
      </c>
      <c r="J31" s="710">
        <f t="shared" si="1"/>
      </c>
      <c r="K31" s="710">
        <f t="shared" si="2"/>
      </c>
      <c r="L31" s="709"/>
      <c r="M31" s="711">
        <f>SUM(M29:M30)</f>
      </c>
      <c r="N31" s="709"/>
      <c r="O31" s="709"/>
      <c r="P31" s="709"/>
      <c r="Q31" s="712">
        <f>AVERAGE(Q29:Q30)</f>
      </c>
      <c r="R31" s="713">
        <f>AVERAGE(R29:R30)</f>
      </c>
      <c r="S31" s="713">
        <f>AVERAGE(S29:S30)</f>
      </c>
      <c r="T31" s="713">
        <f>AVERAGE(T29:T30)</f>
      </c>
      <c r="U31" s="713">
        <f>AVERAGE(U29:U30)</f>
      </c>
      <c r="V31" s="714">
        <f>SUM(V29:V30)</f>
      </c>
      <c r="W31" s="713">
        <f>AVERAGE(W29:W30)</f>
      </c>
      <c r="X31" s="715"/>
      <c r="Y31" s="712">
        <f>AVERAGE(Y29:Y30)</f>
      </c>
      <c r="Z31" s="714">
        <f>SUM(Z29:Z30)</f>
      </c>
      <c r="AA31" s="714">
        <f>SUM(AA29:AA30)</f>
      </c>
      <c r="AB31" s="714">
        <f>SUM(AB29:AB30)</f>
      </c>
      <c r="AC31" s="714">
        <f>SUM(AC29:AC30)</f>
      </c>
      <c r="AD31" s="714">
        <f>SUM(AD29:AD30)</f>
      </c>
      <c r="AE31" s="714">
        <f>SUM(AE29:AE30)</f>
      </c>
      <c r="AF31" s="714">
        <f>SUM(AF29:AF30)</f>
      </c>
      <c r="AG31" s="714">
        <f>SUM(AG29:AG30)</f>
      </c>
    </row>
    <row r="32">
      <c r="A32" s="698" t="s">
        <v>1465</v>
      </c>
      <c r="B32" s="699" t="s">
        <v>1464</v>
      </c>
      <c r="C32" s="698" t="s">
        <v>1452</v>
      </c>
      <c r="D32" s="698">
        <v>4</v>
      </c>
      <c r="E32" s="698">
        <v>4</v>
      </c>
      <c r="F32" s="698">
        <v>4</v>
      </c>
      <c r="G32" s="698">
        <v>9922.78</v>
      </c>
      <c r="H32" s="700">
        <v>5436.59</v>
      </c>
      <c r="I32" s="701">
        <f t="shared" si="0"/>
      </c>
      <c r="J32" s="701">
        <f t="shared" si="1"/>
      </c>
      <c r="K32" s="701">
        <f t="shared" si="2"/>
      </c>
      <c r="L32" s="698" t="s">
        <v>1466</v>
      </c>
      <c r="M32" s="702">
        <v>3.2</v>
      </c>
      <c r="N32" s="703"/>
      <c r="O32" s="698"/>
      <c r="P32" s="703"/>
      <c r="Q32" s="704">
        <v>3.5074774193548386</v>
      </c>
      <c r="R32" s="705">
        <v>0.10280193122308598</v>
      </c>
      <c r="S32" s="705">
        <v>0.022045228274783103</v>
      </c>
      <c r="T32" s="705">
        <v>0.023567060162139098</v>
      </c>
      <c r="U32" s="705">
        <v>0.08086904043452021</v>
      </c>
      <c r="V32" s="706">
        <v>7228.003784295175</v>
      </c>
      <c r="W32" s="705">
        <v>0.026425</v>
      </c>
      <c r="X32" s="706">
        <v>34.25</v>
      </c>
      <c r="Y32" s="707">
        <v>77.32314037832457</v>
      </c>
      <c r="Z32" s="706">
        <v>70310</v>
      </c>
      <c r="AA32" s="706">
        <v>1550</v>
      </c>
      <c r="AB32" s="706">
        <v>191</v>
      </c>
      <c r="AC32" s="706">
        <v>1657</v>
      </c>
      <c r="AD32" s="706">
        <v>134</v>
      </c>
      <c r="AE32" s="706">
        <v>13</v>
      </c>
      <c r="AF32" s="706">
        <v>2</v>
      </c>
      <c r="AG32" s="706">
        <v>49</v>
      </c>
    </row>
    <row r="33">
      <c r="A33" s="698" t="s">
        <v>1465</v>
      </c>
      <c r="B33" s="699" t="s">
        <v>1442</v>
      </c>
      <c r="C33" s="698" t="s">
        <v>1454</v>
      </c>
      <c r="D33" s="698">
        <v>4</v>
      </c>
      <c r="E33" s="698">
        <v>5</v>
      </c>
      <c r="F33" s="698">
        <v>7</v>
      </c>
      <c r="G33" s="698">
        <v>11698.03</v>
      </c>
      <c r="H33" s="700">
        <v>4371.17</v>
      </c>
      <c r="I33" s="701">
        <f t="shared" si="0"/>
      </c>
      <c r="J33" s="701">
        <f t="shared" si="1"/>
      </c>
      <c r="K33" s="701">
        <f t="shared" si="2"/>
      </c>
      <c r="L33" s="716"/>
      <c r="M33" s="702"/>
      <c r="N33" s="698"/>
      <c r="O33" s="698"/>
      <c r="P33" s="703"/>
      <c r="Q33" s="707">
        <v>3.748859348198971</v>
      </c>
      <c r="R33" s="705">
        <v>0.03827824057917969</v>
      </c>
      <c r="S33" s="705">
        <v>0.030143998345440914</v>
      </c>
      <c r="T33" s="705">
        <v>0.0315658850598485</v>
      </c>
      <c r="U33" s="705">
        <v>0.10483210483210484</v>
      </c>
      <c r="V33" s="706">
        <v>1480.6406238432496</v>
      </c>
      <c r="W33" s="705">
        <v>0.1013075</v>
      </c>
      <c r="X33" s="706">
        <v>37.25</v>
      </c>
      <c r="Y33" s="707">
        <v>113.00560998940048</v>
      </c>
      <c r="Z33" s="706">
        <v>38681</v>
      </c>
      <c r="AA33" s="706">
        <v>1166</v>
      </c>
      <c r="AB33" s="706">
        <v>150</v>
      </c>
      <c r="AC33" s="706">
        <v>1221</v>
      </c>
      <c r="AD33" s="706">
        <v>128</v>
      </c>
      <c r="AE33" s="706">
        <v>9</v>
      </c>
      <c r="AF33" s="706">
        <v>1</v>
      </c>
      <c r="AG33" s="706">
        <v>32</v>
      </c>
    </row>
    <row r="34">
      <c r="A34" s="708" t="s">
        <v>1465</v>
      </c>
      <c r="B34" s="708" t="s">
        <v>1445</v>
      </c>
      <c r="C34" s="709"/>
      <c r="D34" s="709">
        <f>SUM(D32:D33)</f>
      </c>
      <c r="E34" s="709">
        <f>E32+E33</f>
      </c>
      <c r="F34" s="709">
        <f>SUM(F32:F33)</f>
      </c>
      <c r="G34" s="709">
        <f>SUM(G32:G33)</f>
      </c>
      <c r="H34" s="709">
        <f>SUM(H32:H33)</f>
      </c>
      <c r="I34" s="710">
        <f t="shared" si="0"/>
      </c>
      <c r="J34" s="710">
        <f t="shared" si="1"/>
      </c>
      <c r="K34" s="710">
        <f t="shared" si="2"/>
      </c>
      <c r="L34" s="709"/>
      <c r="M34" s="711">
        <f>SUM(M32:M33)</f>
      </c>
      <c r="N34" s="709"/>
      <c r="O34" s="709"/>
      <c r="P34" s="709"/>
      <c r="Q34" s="712">
        <f>AVERAGE(Q32:Q33)</f>
      </c>
      <c r="R34" s="713">
        <f>AVERAGE(R32:R33)</f>
      </c>
      <c r="S34" s="713">
        <f>AVERAGE(S32:S33)</f>
      </c>
      <c r="T34" s="713">
        <f>AVERAGE(T32:T33)</f>
      </c>
      <c r="U34" s="713">
        <f>AVERAGE(U32:U33)</f>
      </c>
      <c r="V34" s="714">
        <f>SUM(V32:V33)</f>
      </c>
      <c r="W34" s="713">
        <f>AVERAGE(W32:W33)</f>
      </c>
      <c r="X34" s="715"/>
      <c r="Y34" s="712">
        <f>AVERAGE(Y32:Y33)</f>
      </c>
      <c r="Z34" s="714">
        <f>SUM(Z32:Z33)</f>
      </c>
      <c r="AA34" s="714">
        <f>SUM(AA32:AA33)</f>
      </c>
      <c r="AB34" s="714">
        <f>SUM(AB32:AB33)</f>
      </c>
      <c r="AC34" s="714">
        <f>SUM(AC32:AC33)</f>
      </c>
      <c r="AD34" s="714">
        <f>SUM(AD32:AD33)</f>
      </c>
      <c r="AE34" s="714">
        <f>SUM(AE32:AE33)</f>
      </c>
      <c r="AF34" s="714">
        <f>SUM(AF32:AF33)</f>
      </c>
      <c r="AG34" s="714">
        <f>SUM(AG32:AG33)</f>
      </c>
    </row>
    <row r="35">
      <c r="A35" s="698" t="s">
        <v>1467</v>
      </c>
      <c r="B35" s="699" t="s">
        <v>1442</v>
      </c>
      <c r="C35" s="698" t="s">
        <v>1452</v>
      </c>
      <c r="D35" s="698">
        <v>4</v>
      </c>
      <c r="E35" s="698">
        <v>2</v>
      </c>
      <c r="F35" s="698">
        <v>4</v>
      </c>
      <c r="G35" s="698">
        <v>6543.05</v>
      </c>
      <c r="H35" s="700">
        <v>4828.18</v>
      </c>
      <c r="I35" s="701">
        <f t="shared" si="0"/>
      </c>
      <c r="J35" s="701">
        <f t="shared" si="1"/>
      </c>
      <c r="K35" s="701">
        <f t="shared" si="2"/>
      </c>
      <c r="L35" s="698" t="s">
        <v>1466</v>
      </c>
      <c r="M35" s="702">
        <v>3.2</v>
      </c>
      <c r="N35" s="703"/>
      <c r="O35" s="698"/>
      <c r="P35" s="703"/>
      <c r="Q35" s="704">
        <v>3.8379809220985694</v>
      </c>
      <c r="R35" s="705">
        <v>0.12519175203353136</v>
      </c>
      <c r="S35" s="705">
        <v>0.024148654355587974</v>
      </c>
      <c r="T35" s="705">
        <v>0.02553077129803816</v>
      </c>
      <c r="U35" s="705">
        <v>0.06766917293233082</v>
      </c>
      <c r="V35" s="706">
        <v>6521.739130434783</v>
      </c>
      <c r="W35" s="705">
        <v>0.0322</v>
      </c>
      <c r="X35" s="706">
        <v>38.25</v>
      </c>
      <c r="Y35" s="707">
        <v>92.68207471109916</v>
      </c>
      <c r="Z35" s="706">
        <v>52094</v>
      </c>
      <c r="AA35" s="706">
        <v>1258</v>
      </c>
      <c r="AB35" s="706">
        <v>210</v>
      </c>
      <c r="AC35" s="706">
        <v>1330</v>
      </c>
      <c r="AD35" s="706">
        <v>90</v>
      </c>
      <c r="AE35" s="706">
        <v>10</v>
      </c>
      <c r="AF35" s="706">
        <v>1</v>
      </c>
      <c r="AG35" s="706">
        <v>48</v>
      </c>
    </row>
    <row r="36">
      <c r="A36" s="698" t="s">
        <v>1467</v>
      </c>
      <c r="B36" s="699" t="s">
        <v>1464</v>
      </c>
      <c r="C36" s="698" t="s">
        <v>1454</v>
      </c>
      <c r="D36" s="698">
        <v>4</v>
      </c>
      <c r="E36" s="698">
        <v>11</v>
      </c>
      <c r="F36" s="698">
        <v>12</v>
      </c>
      <c r="G36" s="698">
        <v>24567.68</v>
      </c>
      <c r="H36" s="700">
        <v>3879.31</v>
      </c>
      <c r="I36" s="701">
        <f t="shared" si="0"/>
      </c>
      <c r="J36" s="701">
        <f t="shared" si="1"/>
      </c>
      <c r="K36" s="701">
        <f t="shared" si="2"/>
      </c>
      <c r="L36" s="716"/>
      <c r="M36" s="702"/>
      <c r="N36" s="698"/>
      <c r="O36" s="698"/>
      <c r="P36" s="703"/>
      <c r="Q36" s="707">
        <v>5.654970845481049</v>
      </c>
      <c r="R36" s="705">
        <v>0.021751886558663072</v>
      </c>
      <c r="S36" s="705">
        <v>0.019660667201650807</v>
      </c>
      <c r="T36" s="705">
        <v>0.020434483549237648</v>
      </c>
      <c r="U36" s="705">
        <v>0.23983169705469845</v>
      </c>
      <c r="V36" s="706">
        <v>758.966825804872</v>
      </c>
      <c r="W36" s="705">
        <v>0.20422500000000002</v>
      </c>
      <c r="X36" s="706">
        <v>51.5</v>
      </c>
      <c r="Y36" s="707">
        <v>111.18049982804081</v>
      </c>
      <c r="Z36" s="706">
        <v>34892</v>
      </c>
      <c r="AA36" s="706">
        <v>686</v>
      </c>
      <c r="AB36" s="706">
        <v>155</v>
      </c>
      <c r="AC36" s="706">
        <v>713</v>
      </c>
      <c r="AD36" s="706">
        <v>171</v>
      </c>
      <c r="AE36" s="706">
        <v>15</v>
      </c>
      <c r="AF36" s="706">
        <v>1</v>
      </c>
      <c r="AG36" s="706">
        <v>52</v>
      </c>
    </row>
    <row r="37">
      <c r="A37" s="708" t="s">
        <v>1467</v>
      </c>
      <c r="B37" s="708" t="s">
        <v>1445</v>
      </c>
      <c r="C37" s="709"/>
      <c r="D37" s="709">
        <f>SUM(D35:D36)</f>
      </c>
      <c r="E37" s="709">
        <f>E35+E36</f>
      </c>
      <c r="F37" s="709">
        <f>SUM(F35:F36)</f>
      </c>
      <c r="G37" s="709">
        <f>SUM(G35:G36)</f>
      </c>
      <c r="H37" s="709">
        <f>SUM(H35:H36)</f>
      </c>
      <c r="I37" s="710">
        <f t="shared" si="0"/>
      </c>
      <c r="J37" s="710">
        <f t="shared" si="1"/>
      </c>
      <c r="K37" s="710">
        <f t="shared" si="2"/>
      </c>
      <c r="L37" s="709"/>
      <c r="M37" s="711">
        <f>SUM(M35:M36)</f>
      </c>
      <c r="N37" s="709"/>
      <c r="O37" s="709"/>
      <c r="P37" s="709"/>
      <c r="Q37" s="712">
        <f>AVERAGE(Q35:Q36)</f>
      </c>
      <c r="R37" s="713">
        <f>AVERAGE(R35:R36)</f>
      </c>
      <c r="S37" s="713">
        <f>AVERAGE(S35:S36)</f>
      </c>
      <c r="T37" s="713">
        <f>AVERAGE(T35:T36)</f>
      </c>
      <c r="U37" s="713">
        <f>AVERAGE(U35:U36)</f>
      </c>
      <c r="V37" s="714">
        <f>SUM(V35:V36)</f>
      </c>
      <c r="W37" s="713">
        <f>AVERAGE(W35:W36)</f>
      </c>
      <c r="X37" s="715"/>
      <c r="Y37" s="712">
        <f>AVERAGE(Y35:Y36)</f>
      </c>
      <c r="Z37" s="714">
        <f>SUM(Z35:Z36)</f>
      </c>
      <c r="AA37" s="714">
        <f>SUM(AA35:AA36)</f>
      </c>
      <c r="AB37" s="714">
        <f>SUM(AB35:AB36)</f>
      </c>
      <c r="AC37" s="714">
        <f>SUM(AC35:AC36)</f>
      </c>
      <c r="AD37" s="714">
        <f>SUM(AD35:AD36)</f>
      </c>
      <c r="AE37" s="714">
        <f>SUM(AE35:AE36)</f>
      </c>
      <c r="AF37" s="714">
        <f>SUM(AF35:AF36)</f>
      </c>
      <c r="AG37" s="714">
        <f>SUM(AG35:AG36)</f>
      </c>
    </row>
    <row r="38">
      <c r="A38" s="698" t="s">
        <v>1468</v>
      </c>
      <c r="B38" s="699" t="s">
        <v>1442</v>
      </c>
      <c r="C38" s="698" t="s">
        <v>1469</v>
      </c>
      <c r="D38" s="698">
        <v>1</v>
      </c>
      <c r="E38" s="698">
        <v>0</v>
      </c>
      <c r="F38" s="698">
        <v>1</v>
      </c>
      <c r="G38" s="698">
        <v>1351.35</v>
      </c>
      <c r="H38" s="700">
        <v>1447.75</v>
      </c>
      <c r="I38" s="701">
        <f t="shared" si="0"/>
      </c>
      <c r="J38" s="701">
        <f t="shared" si="1"/>
      </c>
      <c r="K38" s="701">
        <f t="shared" si="2"/>
      </c>
      <c r="L38" s="698" t="s">
        <v>1466</v>
      </c>
      <c r="M38" s="702">
        <v>2.4</v>
      </c>
      <c r="N38" s="703"/>
      <c r="O38" s="698"/>
      <c r="P38" s="703"/>
      <c r="Q38" s="704">
        <v>5.115724381625442</v>
      </c>
      <c r="R38" s="705">
        <v>0.22332043329418658</v>
      </c>
      <c r="S38" s="705">
        <v>0.02007519330353976</v>
      </c>
      <c r="T38" s="705">
        <v>0.0195786337518621</v>
      </c>
      <c r="U38" s="705">
        <v>0.09420289855072464</v>
      </c>
      <c r="V38" s="706">
        <v>3148.1481481481483</v>
      </c>
      <c r="W38" s="705">
        <v>0.0162</v>
      </c>
      <c r="X38" s="706">
        <v>48</v>
      </c>
      <c r="Y38" s="707">
        <v>102.69915584876215</v>
      </c>
      <c r="Z38" s="706">
        <v>14097</v>
      </c>
      <c r="AA38" s="706">
        <v>283</v>
      </c>
      <c r="AB38" s="706">
        <v>51</v>
      </c>
      <c r="AC38" s="706">
        <v>276</v>
      </c>
      <c r="AD38" s="706">
        <v>26</v>
      </c>
      <c r="AE38" s="706">
        <v>2</v>
      </c>
      <c r="AF38" s="706">
        <v>0</v>
      </c>
      <c r="AG38" s="706">
        <v>15</v>
      </c>
    </row>
    <row r="39">
      <c r="A39" s="698" t="s">
        <v>1468</v>
      </c>
      <c r="B39" s="699" t="s">
        <v>1464</v>
      </c>
      <c r="C39" s="698" t="s">
        <v>1458</v>
      </c>
      <c r="D39" s="698">
        <v>5</v>
      </c>
      <c r="E39" s="698">
        <v>7</v>
      </c>
      <c r="F39" s="698">
        <v>8</v>
      </c>
      <c r="G39" s="698">
        <v>18365.8</v>
      </c>
      <c r="H39" s="700">
        <v>5738.25</v>
      </c>
      <c r="I39" s="701">
        <f t="shared" si="0"/>
      </c>
      <c r="J39" s="701">
        <f t="shared" si="1"/>
      </c>
      <c r="K39" s="701">
        <f t="shared" si="2"/>
      </c>
      <c r="L39" s="716"/>
      <c r="M39" s="702"/>
      <c r="N39" s="698"/>
      <c r="O39" s="698"/>
      <c r="P39" s="703"/>
      <c r="Q39" s="707">
        <v>3.083422890918861</v>
      </c>
      <c r="R39" s="705">
        <v>0.15489349382552292</v>
      </c>
      <c r="S39" s="705">
        <v>0.0370016900288299</v>
      </c>
      <c r="T39" s="705">
        <v>0.03887066308778209</v>
      </c>
      <c r="U39" s="705">
        <v>0.10434782608695652</v>
      </c>
      <c r="V39" s="706">
        <v>7790.368271954675</v>
      </c>
      <c r="W39" s="705">
        <v>0.028239999999999998</v>
      </c>
      <c r="X39" s="706">
        <v>47.8</v>
      </c>
      <c r="Y39" s="707">
        <v>114.09185803757829</v>
      </c>
      <c r="Z39" s="706">
        <v>50295</v>
      </c>
      <c r="AA39" s="706">
        <v>1861</v>
      </c>
      <c r="AB39" s="706">
        <v>220</v>
      </c>
      <c r="AC39" s="706">
        <v>1955</v>
      </c>
      <c r="AD39" s="706">
        <v>204</v>
      </c>
      <c r="AE39" s="706">
        <v>12</v>
      </c>
      <c r="AF39" s="706">
        <v>4</v>
      </c>
      <c r="AG39" s="706">
        <v>59</v>
      </c>
    </row>
    <row r="40">
      <c r="A40" s="708" t="s">
        <v>1468</v>
      </c>
      <c r="B40" s="708" t="s">
        <v>1445</v>
      </c>
      <c r="C40" s="709"/>
      <c r="D40" s="709">
        <f>SUM(D38:D39)</f>
      </c>
      <c r="E40" s="709">
        <f>E38+E39</f>
      </c>
      <c r="F40" s="709">
        <f>SUM(F38:F39)</f>
      </c>
      <c r="G40" s="709">
        <f>SUM(G38:G39)</f>
      </c>
      <c r="H40" s="709">
        <f>SUM(H38:H39)</f>
      </c>
      <c r="I40" s="710">
        <f t="shared" si="0"/>
      </c>
      <c r="J40" s="710">
        <f t="shared" si="1"/>
      </c>
      <c r="K40" s="710">
        <f t="shared" si="2"/>
      </c>
      <c r="L40" s="709"/>
      <c r="M40" s="711">
        <f>SUM(M38:M39)</f>
      </c>
      <c r="N40" s="709"/>
      <c r="O40" s="709"/>
      <c r="P40" s="709"/>
      <c r="Q40" s="712">
        <f>AVERAGE(Q38:Q39)</f>
      </c>
      <c r="R40" s="713">
        <f>AVERAGE(R38:R39)</f>
      </c>
      <c r="S40" s="713">
        <f>AVERAGE(S38:S39)</f>
      </c>
      <c r="T40" s="713">
        <f>AVERAGE(T38:T39)</f>
      </c>
      <c r="U40" s="713">
        <f>AVERAGE(U38:U39)</f>
      </c>
      <c r="V40" s="714">
        <f>SUM(V38:V39)</f>
      </c>
      <c r="W40" s="713">
        <f>AVERAGE(W38:W39)</f>
      </c>
      <c r="X40" s="715"/>
      <c r="Y40" s="712">
        <f>AVERAGE(Y38:Y39)</f>
      </c>
      <c r="Z40" s="714">
        <f>SUM(Z38:Z39)</f>
      </c>
      <c r="AA40" s="714">
        <f>SUM(AA38:AA39)</f>
      </c>
      <c r="AB40" s="714">
        <f>SUM(AB38:AB39)</f>
      </c>
      <c r="AC40" s="714">
        <f>SUM(AC38:AC39)</f>
      </c>
      <c r="AD40" s="714">
        <f>SUM(AD38:AD39)</f>
      </c>
      <c r="AE40" s="714">
        <f>SUM(AE38:AE39)</f>
      </c>
      <c r="AF40" s="714">
        <f>SUM(AF38:AF39)</f>
      </c>
      <c r="AG40" s="714">
        <f>SUM(AG38:AG39)</f>
      </c>
    </row>
    <row r="41">
      <c r="A41" s="698" t="s">
        <v>1470</v>
      </c>
      <c r="B41" s="699" t="s">
        <v>1442</v>
      </c>
      <c r="C41" s="698" t="s">
        <v>1471</v>
      </c>
      <c r="D41" s="698">
        <v>5</v>
      </c>
      <c r="E41" s="698">
        <v>3</v>
      </c>
      <c r="F41" s="698">
        <v>3</v>
      </c>
      <c r="G41" s="698">
        <v>7972.74</v>
      </c>
      <c r="H41" s="700">
        <v>5892.33</v>
      </c>
      <c r="I41" s="701">
        <f t="shared" si="0"/>
      </c>
      <c r="J41" s="701">
        <f t="shared" si="1"/>
      </c>
      <c r="K41" s="701">
        <f t="shared" si="2"/>
      </c>
      <c r="L41" s="717" t="s">
        <v>1460</v>
      </c>
      <c r="M41" s="702">
        <v>0.4</v>
      </c>
      <c r="N41" s="703"/>
      <c r="O41" s="698"/>
      <c r="P41" s="703"/>
      <c r="Q41" s="704">
        <v>3.719905303030303</v>
      </c>
      <c r="R41" s="705">
        <v>0.165888867475908</v>
      </c>
      <c r="S41" s="705">
        <v>0.026050489268974592</v>
      </c>
      <c r="T41" s="705">
        <v>0.027925335087575037</v>
      </c>
      <c r="U41" s="705">
        <v>0.09952885747938751</v>
      </c>
      <c r="V41" s="706">
        <v>10086.872586872587</v>
      </c>
      <c r="W41" s="705">
        <v>0.02072</v>
      </c>
      <c r="X41" s="706">
        <v>55.2</v>
      </c>
      <c r="Y41" s="707">
        <v>96.90535317819258</v>
      </c>
      <c r="Z41" s="706">
        <v>60805</v>
      </c>
      <c r="AA41" s="706">
        <v>1584</v>
      </c>
      <c r="AB41" s="706">
        <v>209</v>
      </c>
      <c r="AC41" s="706">
        <v>1698</v>
      </c>
      <c r="AD41" s="706">
        <v>169</v>
      </c>
      <c r="AE41" s="706">
        <v>12</v>
      </c>
      <c r="AF41" s="706">
        <v>5</v>
      </c>
      <c r="AG41" s="706">
        <v>42</v>
      </c>
    </row>
    <row r="42">
      <c r="A42" s="698" t="s">
        <v>1470</v>
      </c>
      <c r="B42" s="699" t="s">
        <v>1464</v>
      </c>
      <c r="C42" s="698" t="s">
        <v>1472</v>
      </c>
      <c r="D42" s="698">
        <v>5</v>
      </c>
      <c r="E42" s="698">
        <v>5</v>
      </c>
      <c r="F42" s="698">
        <v>4</v>
      </c>
      <c r="G42" s="698">
        <v>6937.31</v>
      </c>
      <c r="H42" s="700">
        <v>5363.13</v>
      </c>
      <c r="I42" s="701">
        <f t="shared" si="0"/>
      </c>
      <c r="J42" s="701">
        <f t="shared" si="1"/>
      </c>
      <c r="K42" s="701">
        <f t="shared" si="2"/>
      </c>
      <c r="L42" s="698" t="s">
        <v>1466</v>
      </c>
      <c r="M42" s="702">
        <v>3.6</v>
      </c>
      <c r="N42" s="698"/>
      <c r="O42" s="698"/>
      <c r="P42" s="703"/>
      <c r="Q42" s="707">
        <v>3.8390336435218324</v>
      </c>
      <c r="R42" s="705">
        <v>0.056662191182766025</v>
      </c>
      <c r="S42" s="705">
        <v>0.03289845516201959</v>
      </c>
      <c r="T42" s="705">
        <v>0.03534758854559156</v>
      </c>
      <c r="U42" s="705">
        <v>0.09393737508327782</v>
      </c>
      <c r="V42" s="706">
        <v>2406.1032863849764</v>
      </c>
      <c r="W42" s="705">
        <v>0.0852</v>
      </c>
      <c r="X42" s="706">
        <v>57.2</v>
      </c>
      <c r="Y42" s="707">
        <v>126.29827618688772</v>
      </c>
      <c r="Z42" s="706">
        <v>42464</v>
      </c>
      <c r="AA42" s="706">
        <v>1397</v>
      </c>
      <c r="AB42" s="706">
        <v>205</v>
      </c>
      <c r="AC42" s="706">
        <v>1501</v>
      </c>
      <c r="AD42" s="706">
        <v>141</v>
      </c>
      <c r="AE42" s="706">
        <v>15</v>
      </c>
      <c r="AF42" s="706">
        <v>2</v>
      </c>
      <c r="AG42" s="706">
        <v>45</v>
      </c>
    </row>
    <row r="43">
      <c r="A43" s="708" t="s">
        <v>1470</v>
      </c>
      <c r="B43" s="708" t="s">
        <v>1445</v>
      </c>
      <c r="C43" s="709"/>
      <c r="D43" s="709">
        <f>SUM(D41:D42)</f>
      </c>
      <c r="E43" s="709">
        <f>E41+E42</f>
      </c>
      <c r="F43" s="709">
        <f>SUM(F41:F42)</f>
      </c>
      <c r="G43" s="709">
        <f>SUM(G41:G42)</f>
      </c>
      <c r="H43" s="709">
        <f>SUM(H41:H42)</f>
      </c>
      <c r="I43" s="710">
        <f t="shared" si="0"/>
      </c>
      <c r="J43" s="710">
        <f t="shared" si="1"/>
      </c>
      <c r="K43" s="710">
        <f t="shared" si="2"/>
      </c>
      <c r="L43" s="709"/>
      <c r="M43" s="711">
        <f>SUM(M41:M42)</f>
      </c>
      <c r="N43" s="709"/>
      <c r="O43" s="709"/>
      <c r="P43" s="709"/>
      <c r="Q43" s="712">
        <f>AVERAGE(Q41:Q42)</f>
      </c>
      <c r="R43" s="713">
        <f>AVERAGE(R41:R42)</f>
      </c>
      <c r="S43" s="713">
        <f>AVERAGE(S41:S42)</f>
      </c>
      <c r="T43" s="713">
        <f>AVERAGE(T41:T42)</f>
      </c>
      <c r="U43" s="713">
        <f>AVERAGE(U41:U42)</f>
      </c>
      <c r="V43" s="714">
        <f>SUM(V41:V42)</f>
      </c>
      <c r="W43" s="713">
        <f>AVERAGE(W41:W42)</f>
      </c>
      <c r="X43" s="715"/>
      <c r="Y43" s="712">
        <f>AVERAGE(Y41:Y42)</f>
      </c>
      <c r="Z43" s="714">
        <f>SUM(Z41:Z42)</f>
      </c>
      <c r="AA43" s="714">
        <f>SUM(AA41:AA42)</f>
      </c>
      <c r="AB43" s="714">
        <f>SUM(AB41:AB42)</f>
      </c>
      <c r="AC43" s="714">
        <f>SUM(AC41:AC42)</f>
      </c>
      <c r="AD43" s="714">
        <f>SUM(AD41:AD42)</f>
      </c>
      <c r="AE43" s="714">
        <f>SUM(AE41:AE42)</f>
      </c>
      <c r="AF43" s="714">
        <f>SUM(AF41:AF42)</f>
      </c>
      <c r="AG43" s="714">
        <f>SUM(AG41:AG42)</f>
      </c>
    </row>
    <row r="44">
      <c r="A44" s="698" t="s">
        <v>1473</v>
      </c>
      <c r="B44" s="699" t="s">
        <v>1442</v>
      </c>
      <c r="C44" s="698" t="s">
        <v>1452</v>
      </c>
      <c r="D44" s="698">
        <v>4</v>
      </c>
      <c r="E44" s="698">
        <v>8</v>
      </c>
      <c r="F44" s="698">
        <v>10</v>
      </c>
      <c r="G44" s="698">
        <v>19877.73</v>
      </c>
      <c r="H44" s="700">
        <v>6074.55</v>
      </c>
      <c r="I44" s="701">
        <f t="shared" si="0"/>
      </c>
      <c r="J44" s="701">
        <f t="shared" si="1"/>
      </c>
      <c r="K44" s="701">
        <f t="shared" si="2"/>
      </c>
      <c r="L44" s="717"/>
      <c r="M44" s="702"/>
      <c r="N44" s="703"/>
      <c r="O44" s="698"/>
      <c r="P44" s="703"/>
      <c r="Q44" s="704">
        <v>4.890942028985507</v>
      </c>
      <c r="R44" s="705">
        <v>0.07511566208067283</v>
      </c>
      <c r="S44" s="705">
        <v>0.024834039830440694</v>
      </c>
      <c r="T44" s="705">
        <v>0.026213708709909623</v>
      </c>
      <c r="U44" s="705">
        <v>0.15560640732265446</v>
      </c>
      <c r="V44" s="706">
        <v>3756.6844919786095</v>
      </c>
      <c r="W44" s="705">
        <v>0.0748</v>
      </c>
      <c r="X44" s="706">
        <v>57.5</v>
      </c>
      <c r="Y44" s="707">
        <v>121.46184915620252</v>
      </c>
      <c r="Z44" s="706">
        <v>50012</v>
      </c>
      <c r="AA44" s="706">
        <v>1242</v>
      </c>
      <c r="AB44" s="706">
        <v>281</v>
      </c>
      <c r="AC44" s="706">
        <v>1311</v>
      </c>
      <c r="AD44" s="706">
        <v>204</v>
      </c>
      <c r="AE44" s="706">
        <v>14</v>
      </c>
      <c r="AF44" s="706">
        <v>4</v>
      </c>
      <c r="AG44" s="706">
        <v>61</v>
      </c>
    </row>
    <row r="45">
      <c r="A45" s="698" t="s">
        <v>1473</v>
      </c>
      <c r="B45" s="699" t="s">
        <v>1464</v>
      </c>
      <c r="C45" s="698" t="s">
        <v>1454</v>
      </c>
      <c r="D45" s="698">
        <v>4</v>
      </c>
      <c r="E45" s="698">
        <v>20</v>
      </c>
      <c r="F45" s="698">
        <v>21</v>
      </c>
      <c r="G45" s="698">
        <v>43661.1</v>
      </c>
      <c r="H45" s="700">
        <v>9940.499999999998</v>
      </c>
      <c r="I45" s="701">
        <f t="shared" si="0"/>
      </c>
      <c r="J45" s="701">
        <f t="shared" si="1"/>
      </c>
      <c r="K45" s="701">
        <f t="shared" si="2"/>
      </c>
      <c r="L45" s="698" t="s">
        <v>1466</v>
      </c>
      <c r="M45" s="702">
        <v>3.2</v>
      </c>
      <c r="N45" s="698"/>
      <c r="O45" s="698"/>
      <c r="P45" s="703"/>
      <c r="Q45" s="707">
        <v>4.433764495985726</v>
      </c>
      <c r="R45" s="705">
        <v>0.06098556947891136</v>
      </c>
      <c r="S45" s="705">
        <v>0.025154551268386272</v>
      </c>
      <c r="T45" s="705">
        <v>0.026534573483378024</v>
      </c>
      <c r="U45" s="705">
        <v>0.1331923890063425</v>
      </c>
      <c r="V45" s="706">
        <v>5435.58282208589</v>
      </c>
      <c r="W45" s="705">
        <v>0.08149999999999999</v>
      </c>
      <c r="X45" s="706">
        <v>70</v>
      </c>
      <c r="Y45" s="707">
        <v>111.52935632622376</v>
      </c>
      <c r="Z45" s="706">
        <v>89129</v>
      </c>
      <c r="AA45" s="706">
        <v>2242</v>
      </c>
      <c r="AB45" s="706">
        <v>443</v>
      </c>
      <c r="AC45" s="706">
        <v>2365</v>
      </c>
      <c r="AD45" s="706">
        <v>315</v>
      </c>
      <c r="AE45" s="706">
        <v>28</v>
      </c>
      <c r="AF45" s="706">
        <v>4</v>
      </c>
      <c r="AG45" s="706">
        <v>113</v>
      </c>
    </row>
    <row r="46">
      <c r="A46" s="708" t="s">
        <v>1473</v>
      </c>
      <c r="B46" s="708" t="s">
        <v>1445</v>
      </c>
      <c r="C46" s="709"/>
      <c r="D46" s="709">
        <f>SUM(D44:D45)</f>
      </c>
      <c r="E46" s="709">
        <f>E44+E45</f>
      </c>
      <c r="F46" s="709">
        <f>SUM(F44:F45)</f>
      </c>
      <c r="G46" s="709">
        <f>SUM(G44:G45)</f>
      </c>
      <c r="H46" s="709">
        <f>SUM(H44:H45)</f>
      </c>
      <c r="I46" s="710">
        <f t="shared" si="0"/>
      </c>
      <c r="J46" s="710">
        <f t="shared" si="1"/>
      </c>
      <c r="K46" s="710">
        <f t="shared" si="2"/>
      </c>
      <c r="L46" s="709"/>
      <c r="M46" s="711">
        <f>SUM(M44:M45)</f>
      </c>
      <c r="N46" s="709"/>
      <c r="O46" s="709"/>
      <c r="P46" s="709"/>
      <c r="Q46" s="712">
        <f>AVERAGE(Q44:Q45)</f>
      </c>
      <c r="R46" s="713">
        <f>AVERAGE(R44:R45)</f>
      </c>
      <c r="S46" s="713">
        <f>AVERAGE(S44:S45)</f>
      </c>
      <c r="T46" s="713">
        <f>AVERAGE(T44:T45)</f>
      </c>
      <c r="U46" s="713">
        <f>AVERAGE(U44:U45)</f>
      </c>
      <c r="V46" s="714">
        <f>SUM(V44:V45)</f>
      </c>
      <c r="W46" s="713">
        <f>AVERAGE(W44:W45)</f>
      </c>
      <c r="X46" s="715"/>
      <c r="Y46" s="712">
        <f>AVERAGE(Y44:Y45)</f>
      </c>
      <c r="Z46" s="714">
        <f>SUM(Z44:Z45)</f>
      </c>
      <c r="AA46" s="714">
        <f>SUM(AA44:AA45)</f>
      </c>
      <c r="AB46" s="714">
        <f>SUM(AB44:AB45)</f>
      </c>
      <c r="AC46" s="714">
        <f>SUM(AC44:AC45)</f>
      </c>
      <c r="AD46" s="714">
        <f>SUM(AD44:AD45)</f>
      </c>
      <c r="AE46" s="714">
        <f>SUM(AE44:AE45)</f>
      </c>
      <c r="AF46" s="714">
        <f>SUM(AF44:AF45)</f>
      </c>
      <c r="AG46" s="714">
        <f>SUM(AG44:AG45)</f>
      </c>
    </row>
    <row r="47">
      <c r="A47" s="698" t="s">
        <v>1474</v>
      </c>
      <c r="B47" s="699" t="s">
        <v>1442</v>
      </c>
      <c r="C47" s="698" t="s">
        <v>1452</v>
      </c>
      <c r="D47" s="698">
        <v>4</v>
      </c>
      <c r="E47" s="698">
        <v>11</v>
      </c>
      <c r="F47" s="698">
        <v>11</v>
      </c>
      <c r="G47" s="698">
        <v>23998.66</v>
      </c>
      <c r="H47" s="700">
        <v>8707.820000000002</v>
      </c>
      <c r="I47" s="701">
        <f t="shared" si="0"/>
      </c>
      <c r="J47" s="701">
        <f t="shared" si="1"/>
      </c>
      <c r="K47" s="701">
        <f t="shared" si="2"/>
      </c>
      <c r="L47" s="717"/>
      <c r="M47" s="702"/>
      <c r="N47" s="703"/>
      <c r="O47" s="698"/>
      <c r="P47" s="703"/>
      <c r="Q47" s="704">
        <v>5.4697361809045235</v>
      </c>
      <c r="R47" s="705">
        <v>0.13164081318638246</v>
      </c>
      <c r="S47" s="705">
        <v>0.018219897684745412</v>
      </c>
      <c r="T47" s="705">
        <v>0.01926136168556943</v>
      </c>
      <c r="U47" s="705">
        <v>0.13903743315508021</v>
      </c>
      <c r="V47" s="706">
        <v>11502.37933378654</v>
      </c>
      <c r="W47" s="705">
        <v>0.036774999999999995</v>
      </c>
      <c r="X47" s="706">
        <v>68</v>
      </c>
      <c r="Y47" s="707">
        <v>99.65803357863055</v>
      </c>
      <c r="Z47" s="706">
        <v>87377</v>
      </c>
      <c r="AA47" s="706">
        <v>1592</v>
      </c>
      <c r="AB47" s="706">
        <v>423</v>
      </c>
      <c r="AC47" s="706">
        <v>1683</v>
      </c>
      <c r="AD47" s="706">
        <v>234</v>
      </c>
      <c r="AE47" s="706">
        <v>24</v>
      </c>
      <c r="AF47" s="706">
        <v>7</v>
      </c>
      <c r="AG47" s="706">
        <v>101</v>
      </c>
    </row>
    <row r="48">
      <c r="A48" s="698" t="s">
        <v>1474</v>
      </c>
      <c r="B48" s="699" t="s">
        <v>1464</v>
      </c>
      <c r="C48" s="698" t="s">
        <v>1454</v>
      </c>
      <c r="D48" s="698">
        <v>4</v>
      </c>
      <c r="E48" s="698">
        <v>9</v>
      </c>
      <c r="F48" s="698">
        <v>12</v>
      </c>
      <c r="G48" s="698">
        <v>24727.66</v>
      </c>
      <c r="H48" s="700">
        <v>7839.539999999999</v>
      </c>
      <c r="I48" s="701">
        <f t="shared" si="0"/>
      </c>
      <c r="J48" s="701">
        <f t="shared" si="1"/>
      </c>
      <c r="K48" s="701">
        <f t="shared" si="2"/>
      </c>
      <c r="L48" s="698" t="s">
        <v>1466</v>
      </c>
      <c r="M48" s="702">
        <v>3.2</v>
      </c>
      <c r="N48" s="698"/>
      <c r="O48" s="698"/>
      <c r="P48" s="703"/>
      <c r="Q48" s="707">
        <v>3.854247787610619</v>
      </c>
      <c r="R48" s="705">
        <v>0.13136843954390523</v>
      </c>
      <c r="S48" s="705">
        <v>0.027089298794699342</v>
      </c>
      <c r="T48" s="705">
        <v>0.028754078710794433</v>
      </c>
      <c r="U48" s="705">
        <v>0.15886984715145902</v>
      </c>
      <c r="V48" s="706">
        <v>9863.799283154123</v>
      </c>
      <c r="W48" s="705">
        <v>0.034874999999999996</v>
      </c>
      <c r="X48" s="706">
        <v>62.5</v>
      </c>
      <c r="Y48" s="707">
        <v>104.40886994739294</v>
      </c>
      <c r="Z48" s="706">
        <v>75085</v>
      </c>
      <c r="AA48" s="706">
        <v>2034</v>
      </c>
      <c r="AB48" s="706">
        <v>344</v>
      </c>
      <c r="AC48" s="706">
        <v>2159</v>
      </c>
      <c r="AD48" s="706">
        <v>343</v>
      </c>
      <c r="AE48" s="706">
        <v>19</v>
      </c>
      <c r="AF48" s="706">
        <v>10</v>
      </c>
      <c r="AG48" s="706">
        <v>77</v>
      </c>
    </row>
    <row r="49">
      <c r="A49" s="708" t="s">
        <v>1474</v>
      </c>
      <c r="B49" s="708" t="s">
        <v>1445</v>
      </c>
      <c r="C49" s="709"/>
      <c r="D49" s="709">
        <f>SUM(D47:D48)</f>
      </c>
      <c r="E49" s="709">
        <f>E47+E48</f>
      </c>
      <c r="F49" s="709">
        <f>SUM(F47:F48)</f>
      </c>
      <c r="G49" s="709">
        <f>SUM(G47:G48)</f>
      </c>
      <c r="H49" s="709">
        <f>SUM(H47:H48)</f>
      </c>
      <c r="I49" s="710">
        <f t="shared" si="0"/>
      </c>
      <c r="J49" s="710">
        <f t="shared" si="1"/>
      </c>
      <c r="K49" s="710">
        <f t="shared" si="2"/>
      </c>
      <c r="L49" s="709"/>
      <c r="M49" s="711">
        <f>SUM(M47:M48)</f>
      </c>
      <c r="N49" s="709"/>
      <c r="O49" s="709"/>
      <c r="P49" s="709"/>
      <c r="Q49" s="712">
        <f>AVERAGE(Q47:Q48)</f>
      </c>
      <c r="R49" s="713">
        <f>AVERAGE(R47:R48)</f>
      </c>
      <c r="S49" s="713">
        <f>AVERAGE(S47:S48)</f>
      </c>
      <c r="T49" s="713">
        <f>AVERAGE(T47:T48)</f>
      </c>
      <c r="U49" s="713">
        <f>AVERAGE(U47:U48)</f>
      </c>
      <c r="V49" s="714">
        <f>SUM(V47:V48)</f>
      </c>
      <c r="W49" s="713">
        <f>AVERAGE(W47:W48)</f>
      </c>
      <c r="X49" s="715"/>
      <c r="Y49" s="712">
        <f>AVERAGE(Y47:Y48)</f>
      </c>
      <c r="Z49" s="714">
        <f>SUM(Z47:Z48)</f>
      </c>
      <c r="AA49" s="714">
        <f>SUM(AA47:AA48)</f>
      </c>
      <c r="AB49" s="714">
        <f>SUM(AB47:AB48)</f>
      </c>
      <c r="AC49" s="714">
        <f>SUM(AC47:AC48)</f>
      </c>
      <c r="AD49" s="714">
        <f>SUM(AD47:AD48)</f>
      </c>
      <c r="AE49" s="714">
        <f>SUM(AE47:AE48)</f>
      </c>
      <c r="AF49" s="714">
        <f>SUM(AF47:AF48)</f>
      </c>
      <c r="AG49" s="714">
        <f>SUM(AG47:AG48)</f>
      </c>
    </row>
    <row r="50">
      <c r="A50" s="698" t="s">
        <v>1475</v>
      </c>
      <c r="B50" s="699" t="s">
        <v>1464</v>
      </c>
      <c r="C50" s="698" t="s">
        <v>1452</v>
      </c>
      <c r="D50" s="698">
        <v>4</v>
      </c>
      <c r="E50" s="698">
        <v>8</v>
      </c>
      <c r="F50" s="698">
        <v>8</v>
      </c>
      <c r="G50" s="698">
        <v>14761.66</v>
      </c>
      <c r="H50" s="700">
        <v>6687.23</v>
      </c>
      <c r="I50" s="701">
        <f t="shared" si="0"/>
      </c>
      <c r="J50" s="701">
        <f t="shared" si="1"/>
      </c>
      <c r="K50" s="701">
        <f t="shared" si="2"/>
      </c>
      <c r="L50" s="717"/>
      <c r="M50" s="702"/>
      <c r="N50" s="703"/>
      <c r="O50" s="698"/>
      <c r="P50" s="703"/>
      <c r="Q50" s="704">
        <v>4.370738562091503</v>
      </c>
      <c r="R50" s="705">
        <v>0.1972416337640549</v>
      </c>
      <c r="S50" s="705">
        <v>0.023077271150394426</v>
      </c>
      <c r="T50" s="705">
        <v>0.02425375948355179</v>
      </c>
      <c r="U50" s="705">
        <v>0.18034825870646767</v>
      </c>
      <c r="V50" s="706">
        <v>13076.923076923076</v>
      </c>
      <c r="W50" s="705">
        <v>0.0247</v>
      </c>
      <c r="X50" s="706">
        <v>59.25</v>
      </c>
      <c r="Y50" s="707">
        <v>100.86471892487066</v>
      </c>
      <c r="Z50" s="706">
        <v>66299</v>
      </c>
      <c r="AA50" s="706">
        <v>1530</v>
      </c>
      <c r="AB50" s="706">
        <v>323</v>
      </c>
      <c r="AC50" s="706">
        <v>1608</v>
      </c>
      <c r="AD50" s="706">
        <v>290</v>
      </c>
      <c r="AE50" s="706">
        <v>21</v>
      </c>
      <c r="AF50" s="706">
        <v>4</v>
      </c>
      <c r="AG50" s="706">
        <v>49</v>
      </c>
    </row>
    <row r="51">
      <c r="A51" s="698" t="s">
        <v>1475</v>
      </c>
      <c r="B51" s="699" t="s">
        <v>1442</v>
      </c>
      <c r="C51" s="698" t="s">
        <v>1454</v>
      </c>
      <c r="D51" s="698">
        <v>4</v>
      </c>
      <c r="E51" s="698">
        <v>10</v>
      </c>
      <c r="F51" s="698">
        <v>13</v>
      </c>
      <c r="G51" s="698">
        <v>26517.31</v>
      </c>
      <c r="H51" s="700">
        <v>7863.140000000001</v>
      </c>
      <c r="I51" s="701">
        <f t="shared" si="0"/>
      </c>
      <c r="J51" s="701">
        <f t="shared" si="1"/>
      </c>
      <c r="K51" s="701">
        <f t="shared" si="2"/>
      </c>
      <c r="L51" s="698" t="s">
        <v>1466</v>
      </c>
      <c r="M51" s="702">
        <v>3.2</v>
      </c>
      <c r="N51" s="698"/>
      <c r="O51" s="698"/>
      <c r="P51" s="703"/>
      <c r="Q51" s="707">
        <v>4.020010224948876</v>
      </c>
      <c r="R51" s="705">
        <v>0.05538534930647352</v>
      </c>
      <c r="S51" s="705">
        <v>0.030590700802302122</v>
      </c>
      <c r="T51" s="705">
        <v>0.032498709748048984</v>
      </c>
      <c r="U51" s="705">
        <v>0.1260827718960539</v>
      </c>
      <c r="V51" s="706">
        <v>3541.3946200052233</v>
      </c>
      <c r="W51" s="705">
        <v>0.095725</v>
      </c>
      <c r="X51" s="706">
        <v>53</v>
      </c>
      <c r="Y51" s="707">
        <v>122.97493001360631</v>
      </c>
      <c r="Z51" s="706">
        <v>63941</v>
      </c>
      <c r="AA51" s="706">
        <v>1956</v>
      </c>
      <c r="AB51" s="706">
        <v>339</v>
      </c>
      <c r="AC51" s="706">
        <v>2078</v>
      </c>
      <c r="AD51" s="706">
        <v>262</v>
      </c>
      <c r="AE51" s="706">
        <v>21</v>
      </c>
      <c r="AF51" s="706">
        <v>3</v>
      </c>
      <c r="AG51" s="706">
        <v>63</v>
      </c>
    </row>
    <row r="52">
      <c r="A52" s="708" t="s">
        <v>1475</v>
      </c>
      <c r="B52" s="708" t="s">
        <v>1445</v>
      </c>
      <c r="C52" s="709"/>
      <c r="D52" s="709">
        <f>SUM(D50:D51)</f>
      </c>
      <c r="E52" s="709">
        <f>E50+E51</f>
      </c>
      <c r="F52" s="709">
        <f>SUM(F50:F51)</f>
      </c>
      <c r="G52" s="709">
        <f>SUM(G50:G51)</f>
      </c>
      <c r="H52" s="709">
        <f>SUM(H50:H51)</f>
      </c>
      <c r="I52" s="710">
        <f t="shared" si="0"/>
      </c>
      <c r="J52" s="710">
        <f t="shared" si="1"/>
      </c>
      <c r="K52" s="710">
        <f t="shared" si="2"/>
      </c>
      <c r="L52" s="709"/>
      <c r="M52" s="711">
        <f>SUM(M50:M51)</f>
      </c>
      <c r="N52" s="709"/>
      <c r="O52" s="709"/>
      <c r="P52" s="709"/>
      <c r="Q52" s="712">
        <f>AVERAGE(Q50:Q51)</f>
      </c>
      <c r="R52" s="713">
        <f>AVERAGE(R50:R51)</f>
      </c>
      <c r="S52" s="713">
        <f>AVERAGE(S50:S51)</f>
      </c>
      <c r="T52" s="713">
        <f>AVERAGE(T50:T51)</f>
      </c>
      <c r="U52" s="713">
        <f>AVERAGE(U50:U51)</f>
      </c>
      <c r="V52" s="714">
        <f>SUM(V50:V51)</f>
      </c>
      <c r="W52" s="713">
        <f>AVERAGE(W50:W51)</f>
      </c>
      <c r="X52" s="715"/>
      <c r="Y52" s="712">
        <f>AVERAGE(Y50:Y51)</f>
      </c>
      <c r="Z52" s="714">
        <f>SUM(Z50:Z51)</f>
      </c>
      <c r="AA52" s="714">
        <f>SUM(AA50:AA51)</f>
      </c>
      <c r="AB52" s="714">
        <f>SUM(AB50:AB51)</f>
      </c>
      <c r="AC52" s="714">
        <f>SUM(AC50:AC51)</f>
      </c>
      <c r="AD52" s="714">
        <f>SUM(AD50:AD51)</f>
      </c>
      <c r="AE52" s="714">
        <f>SUM(AE50:AE51)</f>
      </c>
      <c r="AF52" s="714">
        <f>SUM(AF50:AF51)</f>
      </c>
      <c r="AG52" s="714">
        <f>SUM(AG50:AG51)</f>
      </c>
    </row>
    <row r="53">
      <c r="A53" s="698" t="s">
        <v>1476</v>
      </c>
      <c r="B53" s="699" t="s">
        <v>1442</v>
      </c>
      <c r="C53" s="698" t="s">
        <v>1452</v>
      </c>
      <c r="D53" s="698">
        <v>4</v>
      </c>
      <c r="E53" s="698">
        <v>5</v>
      </c>
      <c r="F53" s="698">
        <v>5</v>
      </c>
      <c r="G53" s="698">
        <v>7528.25</v>
      </c>
      <c r="H53" s="700">
        <v>7811.17</v>
      </c>
      <c r="I53" s="701">
        <f t="shared" si="0"/>
      </c>
      <c r="J53" s="701">
        <f t="shared" si="1"/>
      </c>
      <c r="K53" s="701">
        <f t="shared" si="2"/>
      </c>
      <c r="L53" s="717"/>
      <c r="M53" s="702"/>
      <c r="N53" s="703"/>
      <c r="O53" s="698"/>
      <c r="P53" s="703"/>
      <c r="Q53" s="704">
        <v>4.688577430972389</v>
      </c>
      <c r="R53" s="705">
        <v>0.12202853004253734</v>
      </c>
      <c r="S53" s="705">
        <v>0.02377249183088141</v>
      </c>
      <c r="T53" s="705">
        <v>0.02505672008104907</v>
      </c>
      <c r="U53" s="705">
        <v>0.14407744874715261</v>
      </c>
      <c r="V53" s="706">
        <v>8551.88141391106</v>
      </c>
      <c r="W53" s="705">
        <v>0.04385</v>
      </c>
      <c r="X53" s="706">
        <v>40.5</v>
      </c>
      <c r="Y53" s="707">
        <v>111.45916867624605</v>
      </c>
      <c r="Z53" s="706">
        <v>70081</v>
      </c>
      <c r="AA53" s="706">
        <v>1666</v>
      </c>
      <c r="AB53" s="706">
        <v>375</v>
      </c>
      <c r="AC53" s="706">
        <v>1756</v>
      </c>
      <c r="AD53" s="706">
        <v>253</v>
      </c>
      <c r="AE53" s="706">
        <v>22</v>
      </c>
      <c r="AF53" s="706">
        <v>6</v>
      </c>
      <c r="AG53" s="706">
        <v>84</v>
      </c>
    </row>
    <row r="54">
      <c r="A54" s="698" t="s">
        <v>1476</v>
      </c>
      <c r="B54" s="699" t="s">
        <v>1464</v>
      </c>
      <c r="C54" s="698" t="s">
        <v>1454</v>
      </c>
      <c r="D54" s="698">
        <v>4</v>
      </c>
      <c r="E54" s="698">
        <v>12</v>
      </c>
      <c r="F54" s="698">
        <v>15</v>
      </c>
      <c r="G54" s="698">
        <v>30613.95</v>
      </c>
      <c r="H54" s="700">
        <v>8044.320000000001</v>
      </c>
      <c r="I54" s="701">
        <f t="shared" si="0"/>
      </c>
      <c r="J54" s="701">
        <f t="shared" si="1"/>
      </c>
      <c r="K54" s="701">
        <f t="shared" si="2"/>
      </c>
      <c r="L54" s="698" t="s">
        <v>1466</v>
      </c>
      <c r="M54" s="702">
        <v>3.2</v>
      </c>
      <c r="N54" s="698"/>
      <c r="O54" s="698"/>
      <c r="P54" s="703"/>
      <c r="Q54" s="707">
        <v>3.318613861386139</v>
      </c>
      <c r="R54" s="705">
        <v>0.16938098837225415</v>
      </c>
      <c r="S54" s="705">
        <v>0.033210483771527216</v>
      </c>
      <c r="T54" s="705">
        <v>0.03545739769006288</v>
      </c>
      <c r="U54" s="705">
        <v>0.10316846986089645</v>
      </c>
      <c r="V54" s="706">
        <v>12362.948960302458</v>
      </c>
      <c r="W54" s="705">
        <v>0.026449999999999998</v>
      </c>
      <c r="X54" s="706">
        <v>51.25</v>
      </c>
      <c r="Y54" s="707">
        <v>110.21277178752965</v>
      </c>
      <c r="Z54" s="706">
        <v>72989</v>
      </c>
      <c r="AA54" s="706">
        <v>2424</v>
      </c>
      <c r="AB54" s="706">
        <v>327</v>
      </c>
      <c r="AC54" s="706">
        <v>2588</v>
      </c>
      <c r="AD54" s="706">
        <v>267</v>
      </c>
      <c r="AE54" s="706">
        <v>25</v>
      </c>
      <c r="AF54" s="706">
        <v>4</v>
      </c>
      <c r="AG54" s="706">
        <v>62</v>
      </c>
    </row>
    <row r="55">
      <c r="A55" s="708" t="s">
        <v>1476</v>
      </c>
      <c r="B55" s="708" t="s">
        <v>1445</v>
      </c>
      <c r="C55" s="709"/>
      <c r="D55" s="709">
        <f>SUM(D53:D54)</f>
      </c>
      <c r="E55" s="709">
        <f>E53+E54</f>
      </c>
      <c r="F55" s="709">
        <f>SUM(F53:F54)</f>
      </c>
      <c r="G55" s="709">
        <f>SUM(G53:G54)</f>
      </c>
      <c r="H55" s="709">
        <f>SUM(H53:H54)</f>
      </c>
      <c r="I55" s="710">
        <f t="shared" si="0"/>
      </c>
      <c r="J55" s="710">
        <f t="shared" si="1"/>
      </c>
      <c r="K55" s="710">
        <f t="shared" si="2"/>
      </c>
      <c r="L55" s="709"/>
      <c r="M55" s="711">
        <f>SUM(M53:M54)</f>
      </c>
      <c r="N55" s="709"/>
      <c r="O55" s="709"/>
      <c r="P55" s="709"/>
      <c r="Q55" s="712">
        <f>AVERAGE(Q53:Q54)</f>
      </c>
      <c r="R55" s="713">
        <f>AVERAGE(R53:R54)</f>
      </c>
      <c r="S55" s="713">
        <f>AVERAGE(S53:S54)</f>
      </c>
      <c r="T55" s="713">
        <f>AVERAGE(T53:T54)</f>
      </c>
      <c r="U55" s="713">
        <f>AVERAGE(U53:U54)</f>
      </c>
      <c r="V55" s="714">
        <f>SUM(V53:V54)</f>
      </c>
      <c r="W55" s="713">
        <f>AVERAGE(W53:W54)</f>
      </c>
      <c r="X55" s="715"/>
      <c r="Y55" s="712">
        <f>AVERAGE(Y53:Y54)</f>
      </c>
      <c r="Z55" s="714">
        <f>SUM(Z53:Z54)</f>
      </c>
      <c r="AA55" s="714">
        <f>SUM(AA53:AA54)</f>
      </c>
      <c r="AB55" s="714">
        <f>SUM(AB53:AB54)</f>
      </c>
      <c r="AC55" s="714">
        <f>SUM(AC53:AC54)</f>
      </c>
      <c r="AD55" s="714">
        <f>SUM(AD53:AD54)</f>
      </c>
      <c r="AE55" s="714">
        <f>SUM(AE53:AE54)</f>
      </c>
      <c r="AF55" s="714">
        <f>SUM(AF53:AF54)</f>
      </c>
      <c r="AG55" s="714">
        <f>SUM(AG53:AG54)</f>
      </c>
    </row>
    <row r="56">
      <c r="A56" s="698" t="s">
        <v>1477</v>
      </c>
      <c r="B56" s="699" t="s">
        <v>1442</v>
      </c>
      <c r="C56" s="698" t="s">
        <v>1452</v>
      </c>
      <c r="D56" s="698">
        <v>4</v>
      </c>
      <c r="E56" s="698">
        <v>9</v>
      </c>
      <c r="F56" s="698">
        <v>11</v>
      </c>
      <c r="G56" s="698">
        <v>21988.42</v>
      </c>
      <c r="H56" s="700">
        <v>6991.75</v>
      </c>
      <c r="I56" s="701">
        <f t="shared" si="0"/>
      </c>
      <c r="J56" s="701">
        <f t="shared" si="1"/>
      </c>
      <c r="K56" s="701">
        <f t="shared" si="2"/>
      </c>
      <c r="L56" s="717"/>
      <c r="M56" s="702"/>
      <c r="N56" s="703"/>
      <c r="O56" s="698"/>
      <c r="P56" s="703"/>
      <c r="Q56" s="704">
        <v>4.711421832884097</v>
      </c>
      <c r="R56" s="705">
        <v>0.2404029656038075</v>
      </c>
      <c r="S56" s="705">
        <v>0.022863129352314045</v>
      </c>
      <c r="T56" s="705">
        <v>0.023956985271461145</v>
      </c>
      <c r="U56" s="705">
        <v>0.14662379421221866</v>
      </c>
      <c r="V56" s="706">
        <v>15604.075691411937</v>
      </c>
      <c r="W56" s="705">
        <v>0.017175</v>
      </c>
      <c r="X56" s="706">
        <v>42.5</v>
      </c>
      <c r="Y56" s="707">
        <v>107.71784679854564</v>
      </c>
      <c r="Z56" s="706">
        <v>64908</v>
      </c>
      <c r="AA56" s="706">
        <v>1484</v>
      </c>
      <c r="AB56" s="706">
        <v>268</v>
      </c>
      <c r="AC56" s="706">
        <v>1555</v>
      </c>
      <c r="AD56" s="706">
        <v>228</v>
      </c>
      <c r="AE56" s="706">
        <v>17</v>
      </c>
      <c r="AF56" s="706">
        <v>1</v>
      </c>
      <c r="AG56" s="706">
        <v>52</v>
      </c>
    </row>
    <row r="57">
      <c r="A57" s="698" t="s">
        <v>1477</v>
      </c>
      <c r="B57" s="699" t="s">
        <v>1464</v>
      </c>
      <c r="C57" s="698" t="s">
        <v>1454</v>
      </c>
      <c r="D57" s="698">
        <v>4</v>
      </c>
      <c r="E57" s="698">
        <v>8</v>
      </c>
      <c r="F57" s="698">
        <v>7</v>
      </c>
      <c r="G57" s="698">
        <v>16004.23</v>
      </c>
      <c r="H57" s="700">
        <v>8630.68</v>
      </c>
      <c r="I57" s="701">
        <f t="shared" si="0"/>
      </c>
      <c r="J57" s="701">
        <f t="shared" si="1"/>
      </c>
      <c r="K57" s="701">
        <f t="shared" si="2"/>
      </c>
      <c r="L57" s="698" t="s">
        <v>1466</v>
      </c>
      <c r="M57" s="702">
        <v>3.2</v>
      </c>
      <c r="N57" s="698"/>
      <c r="O57" s="698"/>
      <c r="P57" s="703"/>
      <c r="Q57" s="707">
        <v>4.881606334841629</v>
      </c>
      <c r="R57" s="705">
        <v>0.1520555070482649</v>
      </c>
      <c r="S57" s="705">
        <v>0.02490316219452074</v>
      </c>
      <c r="T57" s="705">
        <v>0.026945559546446934</v>
      </c>
      <c r="U57" s="705">
        <v>0.11186617877679038</v>
      </c>
      <c r="V57" s="706">
        <v>10795.180722891566</v>
      </c>
      <c r="W57" s="705">
        <v>0.031125</v>
      </c>
      <c r="X57" s="706">
        <v>53.5</v>
      </c>
      <c r="Y57" s="707">
        <v>121.56743432636101</v>
      </c>
      <c r="Z57" s="706">
        <v>70995</v>
      </c>
      <c r="AA57" s="706">
        <v>1768</v>
      </c>
      <c r="AB57" s="706">
        <v>336</v>
      </c>
      <c r="AC57" s="706">
        <v>1913</v>
      </c>
      <c r="AD57" s="706">
        <v>214</v>
      </c>
      <c r="AE57" s="706">
        <v>19</v>
      </c>
      <c r="AF57" s="706">
        <v>4</v>
      </c>
      <c r="AG57" s="706">
        <v>89</v>
      </c>
    </row>
    <row r="58">
      <c r="A58" s="708" t="s">
        <v>1477</v>
      </c>
      <c r="B58" s="708" t="s">
        <v>1445</v>
      </c>
      <c r="C58" s="709"/>
      <c r="D58" s="709">
        <f>SUM(D56:D57)</f>
      </c>
      <c r="E58" s="709">
        <f>E56+E57</f>
      </c>
      <c r="F58" s="709">
        <f>SUM(F56:F57)</f>
      </c>
      <c r="G58" s="709">
        <f>SUM(G56:G57)</f>
      </c>
      <c r="H58" s="709">
        <f>SUM(H56:H57)</f>
      </c>
      <c r="I58" s="710">
        <f t="shared" si="0"/>
      </c>
      <c r="J58" s="710">
        <f t="shared" si="1"/>
      </c>
      <c r="K58" s="710">
        <f t="shared" si="2"/>
      </c>
      <c r="L58" s="709"/>
      <c r="M58" s="711">
        <f>SUM(M56:M57)</f>
      </c>
      <c r="N58" s="709"/>
      <c r="O58" s="709"/>
      <c r="P58" s="709"/>
      <c r="Q58" s="712">
        <f>AVERAGE(Q56:Q57)</f>
      </c>
      <c r="R58" s="713">
        <f>AVERAGE(R56:R57)</f>
      </c>
      <c r="S58" s="713">
        <f>AVERAGE(S56:S57)</f>
      </c>
      <c r="T58" s="713">
        <f>AVERAGE(T56:T57)</f>
      </c>
      <c r="U58" s="713">
        <f>AVERAGE(U56:U57)</f>
      </c>
      <c r="V58" s="714">
        <f>SUM(V56:V57)</f>
      </c>
      <c r="W58" s="713">
        <f>AVERAGE(W56:W57)</f>
      </c>
      <c r="X58" s="715"/>
      <c r="Y58" s="712">
        <f>AVERAGE(Y56:Y57)</f>
      </c>
      <c r="Z58" s="714">
        <f>SUM(Z56:Z57)</f>
      </c>
      <c r="AA58" s="714">
        <f>SUM(AA56:AA57)</f>
      </c>
      <c r="AB58" s="714">
        <f>SUM(AB56:AB57)</f>
      </c>
      <c r="AC58" s="714">
        <f>SUM(AC56:AC57)</f>
      </c>
      <c r="AD58" s="714">
        <f>SUM(AD56:AD57)</f>
      </c>
      <c r="AE58" s="714">
        <f>SUM(AE56:AE57)</f>
      </c>
      <c r="AF58" s="714">
        <f>SUM(AF56:AF57)</f>
      </c>
      <c r="AG58" s="714">
        <f>SUM(AG56:AG57)</f>
      </c>
    </row>
    <row r="59">
      <c r="A59" s="698" t="s">
        <v>1478</v>
      </c>
      <c r="B59" s="699" t="s">
        <v>1464</v>
      </c>
      <c r="C59" s="698" t="s">
        <v>1452</v>
      </c>
      <c r="D59" s="698">
        <v>4</v>
      </c>
      <c r="E59" s="698">
        <v>16</v>
      </c>
      <c r="F59" s="698">
        <v>16</v>
      </c>
      <c r="G59" s="698">
        <v>33269.37</v>
      </c>
      <c r="H59" s="700">
        <v>8064.849999999999</v>
      </c>
      <c r="I59" s="701">
        <f t="shared" si="0"/>
      </c>
      <c r="J59" s="701">
        <f t="shared" si="1"/>
      </c>
      <c r="K59" s="701">
        <f t="shared" si="2"/>
      </c>
      <c r="L59" s="717"/>
      <c r="M59" s="702"/>
      <c r="N59" s="703"/>
      <c r="O59" s="698"/>
      <c r="P59" s="703"/>
      <c r="Q59" s="704">
        <v>4.468060941828255</v>
      </c>
      <c r="R59" s="705">
        <v>0.1698625568910244</v>
      </c>
      <c r="S59" s="705">
        <v>0.02114945222332884</v>
      </c>
      <c r="T59" s="705">
        <v>0.022649247173238032</v>
      </c>
      <c r="U59" s="705">
        <v>0.13760993274702535</v>
      </c>
      <c r="V59" s="706">
        <v>14496.919917864476</v>
      </c>
      <c r="W59" s="705">
        <v>0.02435</v>
      </c>
      <c r="X59" s="706">
        <v>49.25</v>
      </c>
      <c r="Y59" s="707">
        <v>94.49704142011834</v>
      </c>
      <c r="Z59" s="706">
        <v>85345</v>
      </c>
      <c r="AA59" s="706">
        <v>1805</v>
      </c>
      <c r="AB59" s="706">
        <v>353</v>
      </c>
      <c r="AC59" s="706">
        <v>1933</v>
      </c>
      <c r="AD59" s="706">
        <v>266</v>
      </c>
      <c r="AE59" s="706">
        <v>22</v>
      </c>
      <c r="AF59" s="706">
        <v>1</v>
      </c>
      <c r="AG59" s="706">
        <v>100</v>
      </c>
    </row>
    <row r="60">
      <c r="A60" s="698" t="s">
        <v>1478</v>
      </c>
      <c r="B60" s="699" t="s">
        <v>1442</v>
      </c>
      <c r="C60" s="698" t="s">
        <v>1454</v>
      </c>
      <c r="D60" s="698">
        <v>4</v>
      </c>
      <c r="E60" s="698">
        <v>10</v>
      </c>
      <c r="F60" s="698">
        <v>11</v>
      </c>
      <c r="G60" s="698">
        <v>20693.07</v>
      </c>
      <c r="H60" s="700">
        <v>9863.6</v>
      </c>
      <c r="I60" s="701">
        <f t="shared" si="0"/>
      </c>
      <c r="J60" s="701">
        <f t="shared" si="1"/>
      </c>
      <c r="K60" s="701">
        <f t="shared" si="2"/>
      </c>
      <c r="L60" s="698" t="s">
        <v>1466</v>
      </c>
      <c r="M60" s="702">
        <v>3.2</v>
      </c>
      <c r="N60" s="698"/>
      <c r="O60" s="698"/>
      <c r="P60" s="703"/>
      <c r="Q60" s="707">
        <v>3.429624478442281</v>
      </c>
      <c r="R60" s="705">
        <v>0.17489866687834682</v>
      </c>
      <c r="S60" s="705">
        <v>0.02576114509902276</v>
      </c>
      <c r="T60" s="705">
        <v>0.027543644360046936</v>
      </c>
      <c r="U60" s="705">
        <v>0.07739837398373983</v>
      </c>
      <c r="V60" s="706">
        <v>19525.862068965518</v>
      </c>
      <c r="W60" s="705">
        <v>0.0232</v>
      </c>
      <c r="X60" s="706">
        <v>50.25</v>
      </c>
      <c r="Y60" s="707">
        <v>88.35105382431185</v>
      </c>
      <c r="Z60" s="706">
        <v>111641</v>
      </c>
      <c r="AA60" s="706">
        <v>2876</v>
      </c>
      <c r="AB60" s="706">
        <v>453</v>
      </c>
      <c r="AC60" s="706">
        <v>3075</v>
      </c>
      <c r="AD60" s="706">
        <v>238</v>
      </c>
      <c r="AE60" s="706">
        <v>25</v>
      </c>
      <c r="AF60" s="706">
        <v>6</v>
      </c>
      <c r="AG60" s="706">
        <v>114</v>
      </c>
    </row>
    <row r="61">
      <c r="A61" s="708" t="s">
        <v>1478</v>
      </c>
      <c r="B61" s="708" t="s">
        <v>1445</v>
      </c>
      <c r="C61" s="709"/>
      <c r="D61" s="709">
        <f>SUM(D59:D60)</f>
      </c>
      <c r="E61" s="709">
        <f>E59+E60</f>
      </c>
      <c r="F61" s="709">
        <f>SUM(F59:F60)</f>
      </c>
      <c r="G61" s="709">
        <f>SUM(G59:G60)</f>
      </c>
      <c r="H61" s="709">
        <f>SUM(H59:H60)</f>
      </c>
      <c r="I61" s="710">
        <f t="shared" si="0"/>
      </c>
      <c r="J61" s="710">
        <f t="shared" si="1"/>
      </c>
      <c r="K61" s="710">
        <f t="shared" si="2"/>
      </c>
      <c r="L61" s="709"/>
      <c r="M61" s="711">
        <f>SUM(M59:M60)</f>
      </c>
      <c r="N61" s="709"/>
      <c r="O61" s="709"/>
      <c r="P61" s="709"/>
      <c r="Q61" s="712">
        <f>AVERAGE(Q59:Q60)</f>
      </c>
      <c r="R61" s="713">
        <f>AVERAGE(R59:R60)</f>
      </c>
      <c r="S61" s="713">
        <f>AVERAGE(S59:S60)</f>
      </c>
      <c r="T61" s="713">
        <f>AVERAGE(T59:T60)</f>
      </c>
      <c r="U61" s="713">
        <f>AVERAGE(U59:U60)</f>
      </c>
      <c r="V61" s="714">
        <f>SUM(V59:V60)</f>
      </c>
      <c r="W61" s="713">
        <f>AVERAGE(W59:W60)</f>
      </c>
      <c r="X61" s="715"/>
      <c r="Y61" s="712">
        <f>AVERAGE(Y59:Y60)</f>
      </c>
      <c r="Z61" s="714">
        <f>SUM(Z59:Z60)</f>
      </c>
      <c r="AA61" s="714">
        <f>SUM(AA59:AA60)</f>
      </c>
      <c r="AB61" s="714">
        <f>SUM(AB59:AB60)</f>
      </c>
      <c r="AC61" s="714">
        <f>SUM(AC59:AC60)</f>
      </c>
      <c r="AD61" s="714">
        <f>SUM(AD59:AD60)</f>
      </c>
      <c r="AE61" s="714">
        <f>SUM(AE59:AE60)</f>
      </c>
      <c r="AF61" s="714">
        <f>SUM(AF59:AF60)</f>
      </c>
      <c r="AG61" s="714">
        <f>SUM(AG59:AG60)</f>
      </c>
    </row>
    <row r="62">
      <c r="A62" s="698" t="s">
        <v>1479</v>
      </c>
      <c r="B62" s="699" t="s">
        <v>1464</v>
      </c>
      <c r="C62" s="698" t="s">
        <v>1452</v>
      </c>
      <c r="D62" s="698">
        <v>4</v>
      </c>
      <c r="E62" s="698">
        <v>13</v>
      </c>
      <c r="F62" s="698">
        <v>13</v>
      </c>
      <c r="G62" s="698">
        <v>30289.58</v>
      </c>
      <c r="H62" s="700">
        <v>9419.99</v>
      </c>
      <c r="I62" s="701">
        <f t="shared" si="0"/>
      </c>
      <c r="J62" s="701">
        <f t="shared" si="1"/>
      </c>
      <c r="K62" s="701">
        <f t="shared" si="2"/>
      </c>
      <c r="L62" s="717"/>
      <c r="M62" s="702"/>
      <c r="N62" s="703"/>
      <c r="O62" s="698"/>
      <c r="P62" s="703"/>
      <c r="Q62" s="704">
        <v>5.164468201754386</v>
      </c>
      <c r="R62" s="705">
        <v>0.13462294212251963</v>
      </c>
      <c r="S62" s="705">
        <v>0.019001781417007844</v>
      </c>
      <c r="T62" s="705">
        <v>0.019772687022741715</v>
      </c>
      <c r="U62" s="705">
        <v>0.15806111696522657</v>
      </c>
      <c r="V62" s="706">
        <v>12922.590837282782</v>
      </c>
      <c r="W62" s="705">
        <v>0.03165</v>
      </c>
      <c r="X62" s="706">
        <v>61.75</v>
      </c>
      <c r="Y62" s="707">
        <v>98.13409590482442</v>
      </c>
      <c r="Z62" s="706">
        <v>95991</v>
      </c>
      <c r="AA62" s="706">
        <v>1824</v>
      </c>
      <c r="AB62" s="706">
        <v>409</v>
      </c>
      <c r="AC62" s="706">
        <v>1898</v>
      </c>
      <c r="AD62" s="706">
        <v>300</v>
      </c>
      <c r="AE62" s="706">
        <v>26</v>
      </c>
      <c r="AF62" s="706">
        <v>8</v>
      </c>
      <c r="AG62" s="706">
        <v>117</v>
      </c>
    </row>
    <row r="63">
      <c r="A63" s="698" t="s">
        <v>1479</v>
      </c>
      <c r="B63" s="699" t="s">
        <v>1442</v>
      </c>
      <c r="C63" s="698" t="s">
        <v>1454</v>
      </c>
      <c r="D63" s="698">
        <v>4</v>
      </c>
      <c r="E63" s="698">
        <v>17</v>
      </c>
      <c r="F63" s="698">
        <v>19</v>
      </c>
      <c r="G63" s="698">
        <v>36113.57</v>
      </c>
      <c r="H63" s="700">
        <v>10797.41</v>
      </c>
      <c r="I63" s="701">
        <f t="shared" si="0"/>
      </c>
      <c r="J63" s="701">
        <f t="shared" si="1"/>
      </c>
      <c r="K63" s="701">
        <f t="shared" si="2"/>
      </c>
      <c r="L63" s="698" t="s">
        <v>1466</v>
      </c>
      <c r="M63" s="702">
        <v>3.2</v>
      </c>
      <c r="N63" s="698"/>
      <c r="O63" s="698"/>
      <c r="P63" s="703"/>
      <c r="Q63" s="707">
        <v>3.819388043862752</v>
      </c>
      <c r="R63" s="705">
        <v>0.1897662733764329</v>
      </c>
      <c r="S63" s="705">
        <v>0.025669430042404046</v>
      </c>
      <c r="T63" s="705">
        <v>0.027240286567814694</v>
      </c>
      <c r="U63" s="705">
        <v>0.12133333333333333</v>
      </c>
      <c r="V63" s="706">
        <v>20899.149453219932</v>
      </c>
      <c r="W63" s="705">
        <v>0.020574999999999996</v>
      </c>
      <c r="X63" s="706">
        <v>58.25</v>
      </c>
      <c r="Y63" s="707">
        <v>98.04151419672935</v>
      </c>
      <c r="Z63" s="706">
        <v>110131</v>
      </c>
      <c r="AA63" s="706">
        <v>2827</v>
      </c>
      <c r="AB63" s="706">
        <v>430</v>
      </c>
      <c r="AC63" s="706">
        <v>3000</v>
      </c>
      <c r="AD63" s="706">
        <v>364</v>
      </c>
      <c r="AE63" s="706">
        <v>34</v>
      </c>
      <c r="AF63" s="706">
        <v>4</v>
      </c>
      <c r="AG63" s="706">
        <v>127</v>
      </c>
    </row>
    <row r="64">
      <c r="A64" s="708" t="s">
        <v>1479</v>
      </c>
      <c r="B64" s="708" t="s">
        <v>1445</v>
      </c>
      <c r="C64" s="709"/>
      <c r="D64" s="709">
        <f>SUM(D62:D63)</f>
      </c>
      <c r="E64" s="709">
        <f>E62+E63</f>
      </c>
      <c r="F64" s="709">
        <f>SUM(F62:F63)</f>
      </c>
      <c r="G64" s="709">
        <f>SUM(G62:G63)</f>
      </c>
      <c r="H64" s="709">
        <f>SUM(H62:H63)</f>
      </c>
      <c r="I64" s="710">
        <f t="shared" si="0"/>
      </c>
      <c r="J64" s="710">
        <f t="shared" si="1"/>
      </c>
      <c r="K64" s="710">
        <f t="shared" si="2"/>
      </c>
      <c r="L64" s="709"/>
      <c r="M64" s="711">
        <f>SUM(M62:M63)</f>
      </c>
      <c r="N64" s="709"/>
      <c r="O64" s="709"/>
      <c r="P64" s="709"/>
      <c r="Q64" s="712">
        <f>AVERAGE(Q62:Q63)</f>
      </c>
      <c r="R64" s="713">
        <f>AVERAGE(R62:R63)</f>
      </c>
      <c r="S64" s="713">
        <f>AVERAGE(S62:S63)</f>
      </c>
      <c r="T64" s="713">
        <f>AVERAGE(T62:T63)</f>
      </c>
      <c r="U64" s="713">
        <f>AVERAGE(U62:U63)</f>
      </c>
      <c r="V64" s="714">
        <f>SUM(V62:V63)</f>
      </c>
      <c r="W64" s="713">
        <f>AVERAGE(W62:W63)</f>
      </c>
      <c r="X64" s="715"/>
      <c r="Y64" s="712">
        <f>AVERAGE(Y62:Y63)</f>
      </c>
      <c r="Z64" s="714">
        <f>SUM(Z62:Z63)</f>
      </c>
      <c r="AA64" s="714">
        <f>SUM(AA62:AA63)</f>
      </c>
      <c r="AB64" s="714">
        <f>SUM(AB62:AB63)</f>
      </c>
      <c r="AC64" s="714">
        <f>SUM(AC62:AC63)</f>
      </c>
      <c r="AD64" s="714">
        <f>SUM(AD62:AD63)</f>
      </c>
      <c r="AE64" s="714">
        <f>SUM(AE62:AE63)</f>
      </c>
      <c r="AF64" s="714">
        <f>SUM(AF62:AF63)</f>
      </c>
      <c r="AG64" s="714">
        <f>SUM(AG62:AG63)</f>
      </c>
    </row>
    <row r="65">
      <c r="A65" s="698" t="s">
        <v>1480</v>
      </c>
      <c r="B65" s="699" t="s">
        <v>1442</v>
      </c>
      <c r="C65" s="698" t="s">
        <v>1452</v>
      </c>
      <c r="D65" s="698">
        <v>4</v>
      </c>
      <c r="E65" s="698">
        <v>4</v>
      </c>
      <c r="F65" s="698">
        <v>4</v>
      </c>
      <c r="G65" s="698">
        <v>8247.79</v>
      </c>
      <c r="H65" s="700">
        <v>8325.32</v>
      </c>
      <c r="I65" s="701">
        <f t="shared" si="0"/>
      </c>
      <c r="J65" s="701">
        <f t="shared" si="1"/>
      </c>
      <c r="K65" s="701">
        <f t="shared" si="2"/>
      </c>
      <c r="L65" s="717"/>
      <c r="M65" s="702"/>
      <c r="N65" s="703"/>
      <c r="O65" s="698"/>
      <c r="P65" s="703"/>
      <c r="Q65" s="704">
        <v>4.784666666666666</v>
      </c>
      <c r="R65" s="705">
        <v>0.2433199320201544</v>
      </c>
      <c r="S65" s="705">
        <v>0.019540462233003167</v>
      </c>
      <c r="T65" s="705">
        <v>0.020146890371268784</v>
      </c>
      <c r="U65" s="705">
        <v>0.11872909698996656</v>
      </c>
      <c r="V65" s="706">
        <v>21666.666666666668</v>
      </c>
      <c r="W65" s="705">
        <v>0.0156</v>
      </c>
      <c r="X65" s="706">
        <v>49</v>
      </c>
      <c r="Y65" s="707">
        <v>93.49459829750916</v>
      </c>
      <c r="Z65" s="706">
        <v>89046</v>
      </c>
      <c r="AA65" s="706">
        <v>1740</v>
      </c>
      <c r="AB65" s="706">
        <v>338</v>
      </c>
      <c r="AC65" s="706">
        <v>1794</v>
      </c>
      <c r="AD65" s="706">
        <v>213</v>
      </c>
      <c r="AE65" s="706">
        <v>25</v>
      </c>
      <c r="AF65" s="706">
        <v>6</v>
      </c>
      <c r="AG65" s="706">
        <v>76</v>
      </c>
    </row>
    <row r="66">
      <c r="A66" s="698" t="s">
        <v>1480</v>
      </c>
      <c r="B66" s="699" t="s">
        <v>1464</v>
      </c>
      <c r="C66" s="698" t="s">
        <v>1454</v>
      </c>
      <c r="D66" s="698">
        <v>4</v>
      </c>
      <c r="E66" s="698">
        <v>4</v>
      </c>
      <c r="F66" s="698">
        <v>5</v>
      </c>
      <c r="G66" s="698">
        <v>8181.42</v>
      </c>
      <c r="H66" s="700">
        <v>5633.06</v>
      </c>
      <c r="I66" s="701">
        <f t="shared" si="0"/>
      </c>
      <c r="J66" s="701">
        <f t="shared" si="1"/>
      </c>
      <c r="K66" s="701">
        <f t="shared" si="2"/>
      </c>
      <c r="L66" s="698" t="s">
        <v>1466</v>
      </c>
      <c r="M66" s="702">
        <v>3.2</v>
      </c>
      <c r="N66" s="698"/>
      <c r="O66" s="698"/>
      <c r="P66" s="703"/>
      <c r="Q66" s="707">
        <v>4.244958553127355</v>
      </c>
      <c r="R66" s="705">
        <v>0.057683093532574</v>
      </c>
      <c r="S66" s="705">
        <v>0.02389613195995102</v>
      </c>
      <c r="T66" s="705">
        <v>0.0256608802132104</v>
      </c>
      <c r="U66" s="705">
        <v>0.14105263157894737</v>
      </c>
      <c r="V66" s="706">
        <v>3203.257550050899</v>
      </c>
      <c r="W66" s="705">
        <v>0.073675</v>
      </c>
      <c r="X66" s="706">
        <v>52.5</v>
      </c>
      <c r="Y66" s="707">
        <v>101.43808975005403</v>
      </c>
      <c r="Z66" s="706">
        <v>55532</v>
      </c>
      <c r="AA66" s="706">
        <v>1327</v>
      </c>
      <c r="AB66" s="706">
        <v>236</v>
      </c>
      <c r="AC66" s="706">
        <v>1425</v>
      </c>
      <c r="AD66" s="706">
        <v>201</v>
      </c>
      <c r="AE66" s="706">
        <v>17</v>
      </c>
      <c r="AF66" s="706">
        <v>5</v>
      </c>
      <c r="AG66" s="706">
        <v>59</v>
      </c>
    </row>
    <row r="67">
      <c r="A67" s="708" t="s">
        <v>1480</v>
      </c>
      <c r="B67" s="708" t="s">
        <v>1445</v>
      </c>
      <c r="C67" s="709"/>
      <c r="D67" s="709">
        <f>SUM(D65:D66)</f>
      </c>
      <c r="E67" s="709">
        <f>E65+E66</f>
      </c>
      <c r="F67" s="709">
        <f>SUM(F65:F66)</f>
      </c>
      <c r="G67" s="709">
        <f>SUM(G65:G66)</f>
      </c>
      <c r="H67" s="709">
        <f>SUM(H65:H66)</f>
      </c>
      <c r="I67" s="710">
        <f t="shared" si="0"/>
      </c>
      <c r="J67" s="710">
        <f t="shared" si="1"/>
      </c>
      <c r="K67" s="710">
        <f t="shared" si="2"/>
      </c>
      <c r="L67" s="709"/>
      <c r="M67" s="711">
        <f>SUM(M65:M66)</f>
      </c>
      <c r="N67" s="709"/>
      <c r="O67" s="709"/>
      <c r="P67" s="709"/>
      <c r="Q67" s="712">
        <f>AVERAGE(Q65:Q66)</f>
      </c>
      <c r="R67" s="713">
        <f>AVERAGE(R65:R66)</f>
      </c>
      <c r="S67" s="713">
        <f>AVERAGE(S65:S66)</f>
      </c>
      <c r="T67" s="713">
        <f>AVERAGE(T65:T66)</f>
      </c>
      <c r="U67" s="713">
        <f>AVERAGE(U65:U66)</f>
      </c>
      <c r="V67" s="714">
        <f>SUM(V65:V66)</f>
      </c>
      <c r="W67" s="713">
        <f>AVERAGE(W65:W66)</f>
      </c>
      <c r="X67" s="715"/>
      <c r="Y67" s="712">
        <f>AVERAGE(Y65:Y66)</f>
      </c>
      <c r="Z67" s="714">
        <f>SUM(Z65:Z66)</f>
      </c>
      <c r="AA67" s="714">
        <f>SUM(AA65:AA66)</f>
      </c>
      <c r="AB67" s="714">
        <f>SUM(AB65:AB66)</f>
      </c>
      <c r="AC67" s="714">
        <f>SUM(AC65:AC66)</f>
      </c>
      <c r="AD67" s="714">
        <f>SUM(AD65:AD66)</f>
      </c>
      <c r="AE67" s="714">
        <f>SUM(AE65:AE66)</f>
      </c>
      <c r="AF67" s="714">
        <f>SUM(AF65:AF66)</f>
      </c>
      <c r="AG67" s="714">
        <f>SUM(AG65:AG66)</f>
      </c>
    </row>
    <row r="68">
      <c r="A68" s="698" t="s">
        <v>1481</v>
      </c>
      <c r="B68" s="699" t="s">
        <v>1442</v>
      </c>
      <c r="C68" s="698" t="s">
        <v>1482</v>
      </c>
      <c r="D68" s="698">
        <v>2</v>
      </c>
      <c r="E68" s="698">
        <v>6</v>
      </c>
      <c r="F68" s="698">
        <v>6</v>
      </c>
      <c r="G68" s="698">
        <v>10254.14</v>
      </c>
      <c r="H68" s="700">
        <v>4160.67</v>
      </c>
      <c r="I68" s="701">
        <f t="shared" si="0"/>
      </c>
      <c r="J68" s="701">
        <f t="shared" si="1"/>
      </c>
      <c r="K68" s="701">
        <f t="shared" si="2"/>
      </c>
      <c r="L68" s="717"/>
      <c r="M68" s="702"/>
      <c r="N68" s="703"/>
      <c r="O68" s="698"/>
      <c r="P68" s="703"/>
      <c r="Q68" s="704">
        <v>5.092619339045288</v>
      </c>
      <c r="R68" s="705">
        <v>0.13752271638502078</v>
      </c>
      <c r="S68" s="705">
        <v>0.018284358704652778</v>
      </c>
      <c r="T68" s="705">
        <v>0.019291453125349686</v>
      </c>
      <c r="U68" s="705">
        <v>0.17749419953596288</v>
      </c>
      <c r="V68" s="706">
        <v>6144.927536231883</v>
      </c>
      <c r="W68" s="705">
        <v>0.0345</v>
      </c>
      <c r="X68" s="706">
        <v>56.5</v>
      </c>
      <c r="Y68" s="707">
        <v>93.11527874135578</v>
      </c>
      <c r="Z68" s="706">
        <v>44683</v>
      </c>
      <c r="AA68" s="706">
        <v>817</v>
      </c>
      <c r="AB68" s="706">
        <v>212</v>
      </c>
      <c r="AC68" s="706">
        <v>862</v>
      </c>
      <c r="AD68" s="706">
        <v>153</v>
      </c>
      <c r="AE68" s="706">
        <v>16</v>
      </c>
      <c r="AF68" s="706">
        <v>4</v>
      </c>
      <c r="AG68" s="706">
        <v>37</v>
      </c>
    </row>
    <row r="69">
      <c r="A69" s="698" t="s">
        <v>1481</v>
      </c>
      <c r="B69" s="699" t="s">
        <v>1464</v>
      </c>
      <c r="C69" s="698" t="s">
        <v>1483</v>
      </c>
      <c r="D69" s="698">
        <v>6</v>
      </c>
      <c r="E69" s="698">
        <v>15</v>
      </c>
      <c r="F69" s="698">
        <v>16</v>
      </c>
      <c r="G69" s="698">
        <v>34432.97</v>
      </c>
      <c r="H69" s="700">
        <v>15560.97</v>
      </c>
      <c r="I69" s="701">
        <f t="shared" si="0"/>
      </c>
      <c r="J69" s="701">
        <f t="shared" si="1"/>
      </c>
      <c r="K69" s="701">
        <f t="shared" si="2"/>
      </c>
      <c r="L69" s="698" t="s">
        <v>1466</v>
      </c>
      <c r="M69" s="702">
        <v>3.2</v>
      </c>
      <c r="N69" s="698"/>
      <c r="O69" s="698"/>
      <c r="P69" s="703"/>
      <c r="Q69" s="707">
        <v>4.321291307970008</v>
      </c>
      <c r="R69" s="705">
        <v>0.1569040002477189</v>
      </c>
      <c r="S69" s="705">
        <v>0.02030184977420464</v>
      </c>
      <c r="T69" s="705">
        <v>0.020989665845421796</v>
      </c>
      <c r="U69" s="705">
        <v>0.12409347300564061</v>
      </c>
      <c r="V69" s="706">
        <v>27830.53323593864</v>
      </c>
      <c r="W69" s="705">
        <v>0.022816666666666666</v>
      </c>
      <c r="X69" s="706">
        <v>54.5</v>
      </c>
      <c r="Y69" s="707">
        <v>87.7302069649834</v>
      </c>
      <c r="Z69" s="706">
        <v>177373</v>
      </c>
      <c r="AA69" s="706">
        <v>3601</v>
      </c>
      <c r="AB69" s="706">
        <v>635</v>
      </c>
      <c r="AC69" s="706">
        <v>3723</v>
      </c>
      <c r="AD69" s="706">
        <v>462</v>
      </c>
      <c r="AE69" s="706">
        <v>24</v>
      </c>
      <c r="AF69" s="706">
        <v>15</v>
      </c>
      <c r="AG69" s="706">
        <v>163</v>
      </c>
    </row>
    <row r="70">
      <c r="A70" s="708" t="s">
        <v>1480</v>
      </c>
      <c r="B70" s="708" t="s">
        <v>1445</v>
      </c>
      <c r="C70" s="709"/>
      <c r="D70" s="709">
        <f>SUM(D68:D69)</f>
      </c>
      <c r="E70" s="709">
        <f>E68+E69</f>
      </c>
      <c r="F70" s="709">
        <f>SUM(F68:F69)</f>
      </c>
      <c r="G70" s="709">
        <f>SUM(G68:G69)</f>
      </c>
      <c r="H70" s="709">
        <f>SUM(H68:H69)</f>
      </c>
      <c r="I70" s="710">
        <f t="shared" si="0"/>
      </c>
      <c r="J70" s="710">
        <f t="shared" si="1"/>
      </c>
      <c r="K70" s="710">
        <f t="shared" si="2"/>
      </c>
      <c r="L70" s="709"/>
      <c r="M70" s="711">
        <f>SUM(M68:M69)</f>
      </c>
      <c r="N70" s="709"/>
      <c r="O70" s="709"/>
      <c r="P70" s="709"/>
      <c r="Q70" s="712">
        <f>AVERAGE(Q68:Q69)</f>
      </c>
      <c r="R70" s="713">
        <f>AVERAGE(R68:R69)</f>
      </c>
      <c r="S70" s="713">
        <f>AVERAGE(S68:S69)</f>
      </c>
      <c r="T70" s="713">
        <f>AVERAGE(T68:T69)</f>
      </c>
      <c r="U70" s="713">
        <f>AVERAGE(U68:U69)</f>
      </c>
      <c r="V70" s="714">
        <f>SUM(V68:V69)</f>
      </c>
      <c r="W70" s="713">
        <f>AVERAGE(W68:W69)</f>
      </c>
      <c r="X70" s="715"/>
      <c r="Y70" s="712">
        <f>AVERAGE(Y68:Y69)</f>
      </c>
      <c r="Z70" s="714">
        <f>SUM(Z68:Z69)</f>
      </c>
      <c r="AA70" s="714">
        <f>SUM(AA68:AA69)</f>
      </c>
      <c r="AB70" s="714">
        <f>SUM(AB68:AB69)</f>
      </c>
      <c r="AC70" s="714">
        <f>SUM(AC68:AC69)</f>
      </c>
      <c r="AD70" s="714">
        <f>SUM(AD68:AD69)</f>
      </c>
      <c r="AE70" s="714">
        <f>SUM(AE68:AE69)</f>
      </c>
      <c r="AF70" s="714">
        <f>SUM(AF68:AF69)</f>
      </c>
      <c r="AG70" s="714">
        <f>SUM(AG68:AG69)</f>
      </c>
    </row>
    <row r="71">
      <c r="A71" s="698" t="s">
        <v>1484</v>
      </c>
      <c r="B71" s="699" t="s">
        <v>1464</v>
      </c>
      <c r="C71" s="698" t="s">
        <v>1452</v>
      </c>
      <c r="D71" s="698">
        <v>4</v>
      </c>
      <c r="E71" s="698">
        <v>4</v>
      </c>
      <c r="F71" s="698">
        <v>4</v>
      </c>
      <c r="G71" s="698">
        <v>7284.42</v>
      </c>
      <c r="H71" s="700">
        <v>6635.45</v>
      </c>
      <c r="I71" s="701">
        <f t="shared" si="0"/>
      </c>
      <c r="J71" s="701">
        <f t="shared" si="1"/>
      </c>
      <c r="K71" s="701">
        <f t="shared" si="2"/>
      </c>
      <c r="L71" s="717"/>
      <c r="M71" s="702"/>
      <c r="N71" s="703"/>
      <c r="O71" s="698"/>
      <c r="P71" s="703"/>
      <c r="Q71" s="704">
        <v>4.766846264367816</v>
      </c>
      <c r="R71" s="705">
        <v>0.23883369545386696</v>
      </c>
      <c r="S71" s="705">
        <v>0.02308725722720714</v>
      </c>
      <c r="T71" s="705">
        <v>0.024861924269815733</v>
      </c>
      <c r="U71" s="705">
        <v>0.09539693128752502</v>
      </c>
      <c r="V71" s="706">
        <v>14400</v>
      </c>
      <c r="W71" s="705">
        <v>0.015625</v>
      </c>
      <c r="X71" s="706">
        <v>42</v>
      </c>
      <c r="Y71" s="707">
        <v>110.05340586801121</v>
      </c>
      <c r="Z71" s="706">
        <v>60293</v>
      </c>
      <c r="AA71" s="706">
        <v>1392</v>
      </c>
      <c r="AB71" s="706">
        <v>225</v>
      </c>
      <c r="AC71" s="706">
        <v>1499</v>
      </c>
      <c r="AD71" s="706">
        <v>143</v>
      </c>
      <c r="AE71" s="706">
        <v>13</v>
      </c>
      <c r="AF71" s="706">
        <v>3</v>
      </c>
      <c r="AG71" s="706">
        <v>45</v>
      </c>
    </row>
    <row r="72">
      <c r="A72" s="698" t="s">
        <v>1484</v>
      </c>
      <c r="B72" s="699" t="s">
        <v>1442</v>
      </c>
      <c r="C72" s="698" t="s">
        <v>1454</v>
      </c>
      <c r="D72" s="698">
        <v>4</v>
      </c>
      <c r="E72" s="698">
        <v>3</v>
      </c>
      <c r="F72" s="698">
        <v>4</v>
      </c>
      <c r="G72" s="698">
        <v>6810.99</v>
      </c>
      <c r="H72" s="700">
        <v>6017.47</v>
      </c>
      <c r="I72" s="701">
        <f t="shared" si="0"/>
      </c>
      <c r="J72" s="701">
        <f t="shared" si="1"/>
      </c>
      <c r="K72" s="701">
        <f t="shared" si="2"/>
      </c>
      <c r="L72" s="698" t="s">
        <v>1466</v>
      </c>
      <c r="M72" s="702">
        <v>3.2</v>
      </c>
      <c r="N72" s="698"/>
      <c r="O72" s="698"/>
      <c r="P72" s="703"/>
      <c r="Q72" s="707">
        <v>3.70762168823167</v>
      </c>
      <c r="R72" s="705">
        <v>0.2295201020302797</v>
      </c>
      <c r="S72" s="705">
        <v>0.028102436237078594</v>
      </c>
      <c r="T72" s="705">
        <v>0.030128305023115684</v>
      </c>
      <c r="U72" s="705">
        <v>0.10919540229885058</v>
      </c>
      <c r="V72" s="706">
        <v>13255.474452554743</v>
      </c>
      <c r="W72" s="705">
        <v>0.017125</v>
      </c>
      <c r="X72" s="706">
        <v>43.75</v>
      </c>
      <c r="Y72" s="707">
        <v>104.19320208474018</v>
      </c>
      <c r="Z72" s="706">
        <v>57753</v>
      </c>
      <c r="AA72" s="706">
        <v>1623</v>
      </c>
      <c r="AB72" s="706">
        <v>227</v>
      </c>
      <c r="AC72" s="706">
        <v>1740</v>
      </c>
      <c r="AD72" s="706">
        <v>190</v>
      </c>
      <c r="AE72" s="706">
        <v>22</v>
      </c>
      <c r="AF72" s="706">
        <v>0</v>
      </c>
      <c r="AG72" s="706">
        <v>56</v>
      </c>
    </row>
    <row r="73">
      <c r="A73" s="708" t="s">
        <v>1484</v>
      </c>
      <c r="B73" s="708" t="s">
        <v>1445</v>
      </c>
      <c r="C73" s="709"/>
      <c r="D73" s="709">
        <f>SUM(D71:D72)</f>
      </c>
      <c r="E73" s="709">
        <f>E71+E72</f>
      </c>
      <c r="F73" s="709">
        <f>SUM(F71:F72)</f>
      </c>
      <c r="G73" s="709">
        <f>SUM(G71:G72)</f>
      </c>
      <c r="H73" s="709">
        <f>SUM(H71:H72)</f>
      </c>
      <c r="I73" s="710">
        <f t="shared" si="0"/>
      </c>
      <c r="J73" s="710">
        <f t="shared" si="1"/>
      </c>
      <c r="K73" s="710">
        <f t="shared" si="2"/>
      </c>
      <c r="L73" s="709"/>
      <c r="M73" s="711">
        <f>SUM(M71:M72)</f>
      </c>
      <c r="N73" s="709"/>
      <c r="O73" s="709"/>
      <c r="P73" s="709"/>
      <c r="Q73" s="712">
        <f>AVERAGE(Q71:Q72)</f>
      </c>
      <c r="R73" s="713">
        <f>AVERAGE(R71:R72)</f>
      </c>
      <c r="S73" s="713">
        <f>AVERAGE(S71:S72)</f>
      </c>
      <c r="T73" s="713">
        <f>AVERAGE(T71:T72)</f>
      </c>
      <c r="U73" s="713">
        <f>AVERAGE(U71:U72)</f>
      </c>
      <c r="V73" s="714">
        <f>SUM(V71:V72)</f>
      </c>
      <c r="W73" s="713">
        <f>AVERAGE(W71:W72)</f>
      </c>
      <c r="X73" s="715"/>
      <c r="Y73" s="712">
        <f>AVERAGE(Y71:Y72)</f>
      </c>
      <c r="Z73" s="714">
        <f>SUM(Z71:Z72)</f>
      </c>
      <c r="AA73" s="714">
        <f>SUM(AA71:AA72)</f>
      </c>
      <c r="AB73" s="714">
        <f>SUM(AB71:AB72)</f>
      </c>
      <c r="AC73" s="714">
        <f>SUM(AC71:AC72)</f>
      </c>
      <c r="AD73" s="714">
        <f>SUM(AD71:AD72)</f>
      </c>
      <c r="AE73" s="714">
        <f>SUM(AE71:AE72)</f>
      </c>
      <c r="AF73" s="714">
        <f>SUM(AF71:AF72)</f>
      </c>
      <c r="AG73" s="714">
        <f>SUM(AG71:AG72)</f>
      </c>
    </row>
    <row r="74">
      <c r="A74" s="698" t="s">
        <v>1485</v>
      </c>
      <c r="B74" s="699" t="s">
        <v>1464</v>
      </c>
      <c r="C74" s="698" t="s">
        <v>1457</v>
      </c>
      <c r="D74" s="698">
        <v>3</v>
      </c>
      <c r="E74" s="698">
        <v>3</v>
      </c>
      <c r="F74" s="698">
        <v>3</v>
      </c>
      <c r="G74" s="698">
        <v>6527.85</v>
      </c>
      <c r="H74" s="700">
        <v>5389.509999999999</v>
      </c>
      <c r="I74" s="701">
        <f t="shared" si="0"/>
      </c>
      <c r="J74" s="701">
        <f t="shared" si="1"/>
      </c>
      <c r="K74" s="701">
        <f t="shared" si="2"/>
      </c>
      <c r="L74" s="717"/>
      <c r="M74" s="702"/>
      <c r="N74" s="703"/>
      <c r="O74" s="698"/>
      <c r="P74" s="703"/>
      <c r="Q74" s="704">
        <v>5.573433298862461</v>
      </c>
      <c r="R74" s="705">
        <v>0.14859904331587442</v>
      </c>
      <c r="S74" s="705">
        <v>0.018653909218927834</v>
      </c>
      <c r="T74" s="705">
        <v>0.01938694805069542</v>
      </c>
      <c r="U74" s="705">
        <v>0.12039800995024875</v>
      </c>
      <c r="V74" s="706">
        <v>7703.225806451614</v>
      </c>
      <c r="W74" s="705">
        <v>0.02583333333333333</v>
      </c>
      <c r="X74" s="706">
        <v>60</v>
      </c>
      <c r="Y74" s="707">
        <v>103.96631879472983</v>
      </c>
      <c r="Z74" s="706">
        <v>51839</v>
      </c>
      <c r="AA74" s="706">
        <v>967</v>
      </c>
      <c r="AB74" s="706">
        <v>199</v>
      </c>
      <c r="AC74" s="706">
        <v>1005</v>
      </c>
      <c r="AD74" s="706">
        <v>121</v>
      </c>
      <c r="AE74" s="706">
        <v>7</v>
      </c>
      <c r="AF74" s="706">
        <v>2</v>
      </c>
      <c r="AG74" s="706">
        <v>55</v>
      </c>
    </row>
    <row r="75">
      <c r="A75" s="698" t="s">
        <v>1485</v>
      </c>
      <c r="B75" s="699" t="s">
        <v>1442</v>
      </c>
      <c r="C75" s="698" t="s">
        <v>1458</v>
      </c>
      <c r="D75" s="698">
        <v>5</v>
      </c>
      <c r="E75" s="698">
        <v>22</v>
      </c>
      <c r="F75" s="698">
        <v>23</v>
      </c>
      <c r="G75" s="698">
        <v>47050.67</v>
      </c>
      <c r="H75" s="700">
        <v>10801.36</v>
      </c>
      <c r="I75" s="701">
        <f t="shared" si="0"/>
      </c>
      <c r="J75" s="701">
        <f t="shared" si="1"/>
      </c>
      <c r="K75" s="701">
        <f t="shared" si="2"/>
      </c>
      <c r="L75" s="698" t="s">
        <v>1466</v>
      </c>
      <c r="M75" s="702">
        <v>3.2</v>
      </c>
      <c r="N75" s="698"/>
      <c r="O75" s="698"/>
      <c r="P75" s="703"/>
      <c r="Q75" s="707">
        <v>4.947943197434723</v>
      </c>
      <c r="R75" s="705">
        <v>0.11878942313596634</v>
      </c>
      <c r="S75" s="705">
        <v>0.021482837348449062</v>
      </c>
      <c r="T75" s="705">
        <v>0.02256534404030861</v>
      </c>
      <c r="U75" s="705">
        <v>0.15743567378979503</v>
      </c>
      <c r="V75" s="706">
        <v>12070.906021384355</v>
      </c>
      <c r="W75" s="705">
        <v>0.03554</v>
      </c>
      <c r="X75" s="706">
        <v>64.2</v>
      </c>
      <c r="Y75" s="707">
        <v>106.29585891985515</v>
      </c>
      <c r="Z75" s="706">
        <v>101616</v>
      </c>
      <c r="AA75" s="706">
        <v>2183</v>
      </c>
      <c r="AB75" s="706">
        <v>429</v>
      </c>
      <c r="AC75" s="706">
        <v>2293</v>
      </c>
      <c r="AD75" s="706">
        <v>361</v>
      </c>
      <c r="AE75" s="706">
        <v>24</v>
      </c>
      <c r="AF75" s="706">
        <v>5</v>
      </c>
      <c r="AG75" s="706">
        <v>134</v>
      </c>
    </row>
    <row r="76">
      <c r="A76" s="708" t="s">
        <v>1485</v>
      </c>
      <c r="B76" s="708" t="s">
        <v>1445</v>
      </c>
      <c r="C76" s="709"/>
      <c r="D76" s="709">
        <f>SUM(D74:D75)</f>
      </c>
      <c r="E76" s="709">
        <f>E74+E75</f>
      </c>
      <c r="F76" s="709">
        <f>SUM(F74:F75)</f>
      </c>
      <c r="G76" s="709">
        <f>SUM(G74:G75)</f>
      </c>
      <c r="H76" s="709">
        <f>SUM(H74:H75)</f>
      </c>
      <c r="I76" s="710">
        <f t="shared" si="0"/>
      </c>
      <c r="J76" s="710">
        <f t="shared" si="1"/>
      </c>
      <c r="K76" s="710">
        <f t="shared" si="2"/>
      </c>
      <c r="L76" s="709"/>
      <c r="M76" s="711">
        <f>SUM(M74:M75)</f>
      </c>
      <c r="N76" s="709"/>
      <c r="O76" s="709"/>
      <c r="P76" s="709"/>
      <c r="Q76" s="712">
        <f>AVERAGE(Q74:Q75)</f>
      </c>
      <c r="R76" s="713">
        <f>AVERAGE(R74:R75)</f>
      </c>
      <c r="S76" s="713">
        <f>AVERAGE(S74:S75)</f>
      </c>
      <c r="T76" s="713">
        <f>AVERAGE(T74:T75)</f>
      </c>
      <c r="U76" s="713">
        <f>AVERAGE(U74:U75)</f>
      </c>
      <c r="V76" s="714">
        <f>SUM(V74:V75)</f>
      </c>
      <c r="W76" s="713">
        <f>AVERAGE(W74:W75)</f>
      </c>
      <c r="X76" s="715"/>
      <c r="Y76" s="712">
        <f>AVERAGE(Y74:Y75)</f>
      </c>
      <c r="Z76" s="714">
        <f>SUM(Z74:Z75)</f>
      </c>
      <c r="AA76" s="714">
        <f>SUM(AA74:AA75)</f>
      </c>
      <c r="AB76" s="714">
        <f>SUM(AB74:AB75)</f>
      </c>
      <c r="AC76" s="714">
        <f>SUM(AC74:AC75)</f>
      </c>
      <c r="AD76" s="714">
        <f>SUM(AD74:AD75)</f>
      </c>
      <c r="AE76" s="714">
        <f>SUM(AE74:AE75)</f>
      </c>
      <c r="AF76" s="714">
        <f>SUM(AF74:AF75)</f>
      </c>
      <c r="AG76" s="714">
        <f>SUM(AG74:AG75)</f>
      </c>
    </row>
    <row r="77">
      <c r="A77" s="698" t="s">
        <v>1486</v>
      </c>
      <c r="B77" s="699" t="s">
        <v>1442</v>
      </c>
      <c r="C77" s="698" t="s">
        <v>1457</v>
      </c>
      <c r="D77" s="698">
        <v>4</v>
      </c>
      <c r="E77" s="698">
        <v>14</v>
      </c>
      <c r="F77" s="698">
        <v>12</v>
      </c>
      <c r="G77" s="698">
        <v>20522.09</v>
      </c>
      <c r="H77" s="700">
        <v>10473.810000000001</v>
      </c>
      <c r="I77" s="701">
        <f t="shared" si="0"/>
      </c>
      <c r="J77" s="701">
        <f t="shared" si="1"/>
      </c>
      <c r="K77" s="701">
        <f t="shared" si="2"/>
      </c>
      <c r="L77" s="717"/>
      <c r="M77" s="702"/>
      <c r="N77" s="703"/>
      <c r="O77" s="698"/>
      <c r="P77" s="703"/>
      <c r="Q77" s="704">
        <v>5.091789013125912</v>
      </c>
      <c r="R77" s="705">
        <v>0.16257100805005092</v>
      </c>
      <c r="S77" s="705">
        <v>0.018793626429850527</v>
      </c>
      <c r="T77" s="705">
        <v>0.01943317618682162</v>
      </c>
      <c r="U77" s="705">
        <v>0.14339445228020686</v>
      </c>
      <c r="V77" s="706">
        <v>17793.721973094172</v>
      </c>
      <c r="W77" s="705">
        <v>0.027874999999999997</v>
      </c>
      <c r="X77" s="706">
        <v>62.5</v>
      </c>
      <c r="Y77" s="707">
        <v>95.69318057230568</v>
      </c>
      <c r="Z77" s="706">
        <v>109452</v>
      </c>
      <c r="AA77" s="706">
        <v>2057</v>
      </c>
      <c r="AB77" s="706">
        <v>496</v>
      </c>
      <c r="AC77" s="706">
        <v>2127</v>
      </c>
      <c r="AD77" s="706">
        <v>305</v>
      </c>
      <c r="AE77" s="706">
        <v>19</v>
      </c>
      <c r="AF77" s="706">
        <v>2</v>
      </c>
      <c r="AG77" s="706">
        <v>109</v>
      </c>
    </row>
    <row r="78">
      <c r="A78" s="698" t="s">
        <v>1486</v>
      </c>
      <c r="B78" s="699" t="s">
        <v>1464</v>
      </c>
      <c r="C78" s="698" t="s">
        <v>1458</v>
      </c>
      <c r="D78" s="698">
        <v>4</v>
      </c>
      <c r="E78" s="698">
        <v>9</v>
      </c>
      <c r="F78" s="698">
        <v>18</v>
      </c>
      <c r="G78" s="698">
        <v>37329.48</v>
      </c>
      <c r="H78" s="700">
        <v>9529.880000000001</v>
      </c>
      <c r="I78" s="701">
        <f t="shared" si="0"/>
      </c>
      <c r="J78" s="701">
        <f t="shared" si="1"/>
      </c>
      <c r="K78" s="701">
        <f t="shared" si="2"/>
      </c>
      <c r="L78" s="698" t="s">
        <v>1466</v>
      </c>
      <c r="M78" s="702">
        <v>3.2</v>
      </c>
      <c r="N78" s="698"/>
      <c r="O78" s="698"/>
      <c r="P78" s="703"/>
      <c r="Q78" s="707">
        <v>4.2696594982078855</v>
      </c>
      <c r="R78" s="705">
        <v>0.15927974583819446</v>
      </c>
      <c r="S78" s="705">
        <v>0.02201378820605379</v>
      </c>
      <c r="T78" s="705">
        <v>0.02298034342298626</v>
      </c>
      <c r="U78" s="705">
        <v>0.13991416309012875</v>
      </c>
      <c r="V78" s="706">
        <v>16149.532710280375</v>
      </c>
      <c r="W78" s="705">
        <v>0.02675</v>
      </c>
      <c r="X78" s="706">
        <v>68.75</v>
      </c>
      <c r="Y78" s="707">
        <v>93.99137990551431</v>
      </c>
      <c r="Z78" s="706">
        <v>101391</v>
      </c>
      <c r="AA78" s="706">
        <v>2232</v>
      </c>
      <c r="AB78" s="706">
        <v>432</v>
      </c>
      <c r="AC78" s="706">
        <v>2330</v>
      </c>
      <c r="AD78" s="706">
        <v>326</v>
      </c>
      <c r="AE78" s="706">
        <v>39</v>
      </c>
      <c r="AF78" s="706">
        <v>4</v>
      </c>
      <c r="AG78" s="706">
        <v>120</v>
      </c>
    </row>
    <row r="79">
      <c r="A79" s="708" t="s">
        <v>1486</v>
      </c>
      <c r="B79" s="708" t="s">
        <v>1445</v>
      </c>
      <c r="C79" s="709"/>
      <c r="D79" s="709">
        <f>SUM(D77:D78)</f>
      </c>
      <c r="E79" s="709">
        <f>E77+E78</f>
      </c>
      <c r="F79" s="709">
        <f>SUM(F77:F78)</f>
      </c>
      <c r="G79" s="709">
        <f>SUM(G77:G78)</f>
      </c>
      <c r="H79" s="709">
        <f>SUM(H77:H78)</f>
      </c>
      <c r="I79" s="710">
        <f t="shared" si="0"/>
      </c>
      <c r="J79" s="710">
        <f t="shared" si="1"/>
      </c>
      <c r="K79" s="710">
        <f t="shared" si="2"/>
      </c>
      <c r="L79" s="709"/>
      <c r="M79" s="711">
        <f>SUM(M77:M78)</f>
      </c>
      <c r="N79" s="709"/>
      <c r="O79" s="709"/>
      <c r="P79" s="709"/>
      <c r="Q79" s="712">
        <f>AVERAGE(Q77:Q78)</f>
      </c>
      <c r="R79" s="713">
        <f>AVERAGE(R77:R78)</f>
      </c>
      <c r="S79" s="713">
        <f>AVERAGE(S77:S78)</f>
      </c>
      <c r="T79" s="713">
        <f>AVERAGE(T77:T78)</f>
      </c>
      <c r="U79" s="713">
        <f>AVERAGE(U77:U78)</f>
      </c>
      <c r="V79" s="714">
        <f>SUM(V77:V78)</f>
      </c>
      <c r="W79" s="713">
        <f>AVERAGE(W77:W78)</f>
      </c>
      <c r="X79" s="715"/>
      <c r="Y79" s="712">
        <f>AVERAGE(Y77:Y78)</f>
      </c>
      <c r="Z79" s="714">
        <f>SUM(Z77:Z78)</f>
      </c>
      <c r="AA79" s="714">
        <f>SUM(AA77:AA78)</f>
      </c>
      <c r="AB79" s="714">
        <f>SUM(AB77:AB78)</f>
      </c>
      <c r="AC79" s="714">
        <f>SUM(AC77:AC78)</f>
      </c>
      <c r="AD79" s="714">
        <f>SUM(AD77:AD78)</f>
      </c>
      <c r="AE79" s="714">
        <f>SUM(AE77:AE78)</f>
      </c>
      <c r="AF79" s="714">
        <f>SUM(AF77:AF78)</f>
      </c>
      <c r="AG79" s="714">
        <f>SUM(AG77:AG78)</f>
      </c>
    </row>
    <row r="80">
      <c r="A80" s="698" t="s">
        <v>1487</v>
      </c>
      <c r="B80" s="699" t="s">
        <v>1464</v>
      </c>
      <c r="C80" s="698" t="s">
        <v>1457</v>
      </c>
      <c r="D80" s="698">
        <v>3</v>
      </c>
      <c r="E80" s="698">
        <v>2</v>
      </c>
      <c r="F80" s="698">
        <v>4</v>
      </c>
      <c r="G80" s="698">
        <v>8505.18</v>
      </c>
      <c r="H80" s="700">
        <v>4945.7300000000005</v>
      </c>
      <c r="I80" s="701">
        <f t="shared" si="0"/>
      </c>
      <c r="J80" s="701">
        <f t="shared" si="1"/>
      </c>
      <c r="K80" s="701">
        <f t="shared" si="2"/>
      </c>
      <c r="L80" s="717"/>
      <c r="M80" s="702"/>
      <c r="N80" s="703"/>
      <c r="O80" s="698"/>
      <c r="P80" s="703"/>
      <c r="Q80" s="704">
        <v>5.417009857612268</v>
      </c>
      <c r="R80" s="705">
        <v>0.14628151376173815</v>
      </c>
      <c r="S80" s="705">
        <v>0.01807527073310764</v>
      </c>
      <c r="T80" s="705">
        <v>0.018787986775157885</v>
      </c>
      <c r="U80" s="705">
        <v>0.19915700737618547</v>
      </c>
      <c r="V80" s="706">
        <v>7388.825541619156</v>
      </c>
      <c r="W80" s="705">
        <v>0.029233333333333333</v>
      </c>
      <c r="X80" s="706">
        <v>75.33333333333333</v>
      </c>
      <c r="Y80" s="707">
        <v>97.91391974025461</v>
      </c>
      <c r="Z80" s="706">
        <v>50511</v>
      </c>
      <c r="AA80" s="706">
        <v>913</v>
      </c>
      <c r="AB80" s="706">
        <v>216</v>
      </c>
      <c r="AC80" s="706">
        <v>949</v>
      </c>
      <c r="AD80" s="706">
        <v>189</v>
      </c>
      <c r="AE80" s="706">
        <v>19</v>
      </c>
      <c r="AF80" s="706">
        <v>4</v>
      </c>
      <c r="AG80" s="706">
        <v>49</v>
      </c>
    </row>
    <row r="81">
      <c r="A81" s="698" t="s">
        <v>1487</v>
      </c>
      <c r="B81" s="699" t="s">
        <v>1442</v>
      </c>
      <c r="C81" s="698" t="s">
        <v>1488</v>
      </c>
      <c r="D81" s="698">
        <v>3</v>
      </c>
      <c r="E81" s="698">
        <v>2</v>
      </c>
      <c r="F81" s="698">
        <v>4</v>
      </c>
      <c r="G81" s="698">
        <v>7122.84</v>
      </c>
      <c r="H81" s="700">
        <v>4422.049999999999</v>
      </c>
      <c r="I81" s="701">
        <f t="shared" si="0"/>
      </c>
      <c r="J81" s="701">
        <f t="shared" si="1"/>
      </c>
      <c r="K81" s="701">
        <f t="shared" si="2"/>
      </c>
      <c r="L81" s="698" t="s">
        <v>1466</v>
      </c>
      <c r="M81" s="702">
        <v>2.4</v>
      </c>
      <c r="N81" s="698"/>
      <c r="O81" s="698"/>
      <c r="P81" s="703"/>
      <c r="Q81" s="707">
        <v>5.1121965317919065</v>
      </c>
      <c r="R81" s="705">
        <v>0.0993284082540261</v>
      </c>
      <c r="S81" s="705">
        <v>0.019668030923146885</v>
      </c>
      <c r="T81" s="705">
        <v>0.019781718963165076</v>
      </c>
      <c r="U81" s="705">
        <v>0.15632183908045977</v>
      </c>
      <c r="V81" s="706">
        <v>4368.463395012068</v>
      </c>
      <c r="W81" s="705">
        <v>0.04143333333333333</v>
      </c>
      <c r="X81" s="706">
        <v>58</v>
      </c>
      <c r="Y81" s="707">
        <v>100.54683947248748</v>
      </c>
      <c r="Z81" s="706">
        <v>43980</v>
      </c>
      <c r="AA81" s="706">
        <v>865</v>
      </c>
      <c r="AB81" s="706">
        <v>181</v>
      </c>
      <c r="AC81" s="706">
        <v>870</v>
      </c>
      <c r="AD81" s="706">
        <v>136</v>
      </c>
      <c r="AE81" s="706">
        <v>8</v>
      </c>
      <c r="AF81" s="706">
        <v>3</v>
      </c>
      <c r="AG81" s="706">
        <v>50</v>
      </c>
    </row>
    <row r="82">
      <c r="A82" s="708" t="s">
        <v>1487</v>
      </c>
      <c r="B82" s="708" t="s">
        <v>1445</v>
      </c>
      <c r="C82" s="709"/>
      <c r="D82" s="709">
        <f>SUM(D80:D81)</f>
      </c>
      <c r="E82" s="709">
        <f>E80+E81</f>
      </c>
      <c r="F82" s="709">
        <f>SUM(F80:F81)</f>
      </c>
      <c r="G82" s="709">
        <f>SUM(G80:G81)</f>
      </c>
      <c r="H82" s="709">
        <f>SUM(H80:H81)</f>
      </c>
      <c r="I82" s="710">
        <f t="shared" si="0"/>
      </c>
      <c r="J82" s="710">
        <f t="shared" si="1"/>
      </c>
      <c r="K82" s="710">
        <f t="shared" si="2"/>
      </c>
      <c r="L82" s="709"/>
      <c r="M82" s="711">
        <f>SUM(M80:M81)</f>
      </c>
      <c r="N82" s="709"/>
      <c r="O82" s="709"/>
      <c r="P82" s="709"/>
      <c r="Q82" s="712">
        <f>AVERAGE(Q80:Q81)</f>
      </c>
      <c r="R82" s="713">
        <f>AVERAGE(R80:R81)</f>
      </c>
      <c r="S82" s="713">
        <f>AVERAGE(S80:S81)</f>
      </c>
      <c r="T82" s="713">
        <f>AVERAGE(T80:T81)</f>
      </c>
      <c r="U82" s="713">
        <f>AVERAGE(U80:U81)</f>
      </c>
      <c r="V82" s="714">
        <f>SUM(V80:V81)</f>
      </c>
      <c r="W82" s="713">
        <f>AVERAGE(W80:W81)</f>
      </c>
      <c r="X82" s="715"/>
      <c r="Y82" s="712">
        <f>AVERAGE(Y80:Y81)</f>
      </c>
      <c r="Z82" s="714">
        <f>SUM(Z80:Z81)</f>
      </c>
      <c r="AA82" s="714">
        <f>SUM(AA80:AA81)</f>
      </c>
      <c r="AB82" s="714">
        <f>SUM(AB80:AB81)</f>
      </c>
      <c r="AC82" s="714">
        <f>SUM(AC80:AC81)</f>
      </c>
      <c r="AD82" s="714">
        <f>SUM(AD80:AD81)</f>
      </c>
      <c r="AE82" s="714">
        <f>SUM(AE80:AE81)</f>
      </c>
      <c r="AF82" s="714">
        <f>SUM(AF80:AF81)</f>
      </c>
      <c r="AG82" s="714">
        <f>SUM(AG80:AG81)</f>
      </c>
    </row>
    <row r="83">
      <c r="A83" s="698" t="s">
        <v>1489</v>
      </c>
      <c r="B83" s="699" t="s">
        <v>1464</v>
      </c>
      <c r="C83" s="698" t="s">
        <v>1457</v>
      </c>
      <c r="D83" s="698">
        <v>5</v>
      </c>
      <c r="E83" s="698">
        <v>14</v>
      </c>
      <c r="F83" s="698">
        <v>9</v>
      </c>
      <c r="G83" s="698">
        <v>15035.31</v>
      </c>
      <c r="H83" s="700">
        <v>9998.58</v>
      </c>
      <c r="I83" s="701">
        <f t="shared" si="0"/>
      </c>
      <c r="J83" s="701">
        <f t="shared" si="1"/>
      </c>
      <c r="K83" s="701">
        <f t="shared" si="2"/>
      </c>
      <c r="L83" s="717"/>
      <c r="M83" s="702"/>
      <c r="N83" s="703"/>
      <c r="O83" s="698"/>
      <c r="P83" s="703"/>
      <c r="Q83" s="704">
        <v>5.407560843699297</v>
      </c>
      <c r="R83" s="705">
        <v>0.13893588190776945</v>
      </c>
      <c r="S83" s="705">
        <v>0.01951039358446766</v>
      </c>
      <c r="T83" s="705">
        <v>0.020322886989553656</v>
      </c>
      <c r="U83" s="705">
        <v>0.16926272066458983</v>
      </c>
      <c r="V83" s="706">
        <v>13166.95352839931</v>
      </c>
      <c r="W83" s="705">
        <v>0.03486</v>
      </c>
      <c r="X83" s="706">
        <v>80.8</v>
      </c>
      <c r="Y83" s="707">
        <v>105.50364039252928</v>
      </c>
      <c r="Z83" s="706">
        <v>94770</v>
      </c>
      <c r="AA83" s="706">
        <v>1849</v>
      </c>
      <c r="AB83" s="706">
        <v>459</v>
      </c>
      <c r="AC83" s="706">
        <v>1926</v>
      </c>
      <c r="AD83" s="706">
        <v>326</v>
      </c>
      <c r="AE83" s="706">
        <v>33</v>
      </c>
      <c r="AF83" s="706">
        <v>4</v>
      </c>
      <c r="AG83" s="706">
        <v>95</v>
      </c>
    </row>
    <row r="84">
      <c r="A84" s="698" t="s">
        <v>1489</v>
      </c>
      <c r="B84" s="699" t="s">
        <v>1442</v>
      </c>
      <c r="C84" s="698" t="s">
        <v>1458</v>
      </c>
      <c r="D84" s="698">
        <v>4</v>
      </c>
      <c r="E84" s="698">
        <v>6</v>
      </c>
      <c r="F84" s="698">
        <v>13</v>
      </c>
      <c r="G84" s="698">
        <v>26670.73</v>
      </c>
      <c r="H84" s="700">
        <v>6624.429999999999</v>
      </c>
      <c r="I84" s="701">
        <f t="shared" si="0"/>
      </c>
      <c r="J84" s="701">
        <f t="shared" si="1"/>
      </c>
      <c r="K84" s="701">
        <f t="shared" si="2"/>
      </c>
      <c r="L84" s="698" t="s">
        <v>1466</v>
      </c>
      <c r="M84" s="702">
        <v>3.6</v>
      </c>
      <c r="N84" s="698"/>
      <c r="O84" s="698"/>
      <c r="P84" s="703"/>
      <c r="Q84" s="707">
        <v>3.96197966507177</v>
      </c>
      <c r="R84" s="705">
        <v>0.21902587816218613</v>
      </c>
      <c r="S84" s="705">
        <v>0.026969046889365616</v>
      </c>
      <c r="T84" s="705">
        <v>0.02895301385550914</v>
      </c>
      <c r="U84" s="705">
        <v>0.08913649025069638</v>
      </c>
      <c r="V84" s="706">
        <v>13578.947368421053</v>
      </c>
      <c r="W84" s="705">
        <v>0.019</v>
      </c>
      <c r="X84" s="706">
        <v>65</v>
      </c>
      <c r="Y84" s="707">
        <v>106.85081536203364</v>
      </c>
      <c r="Z84" s="706">
        <v>61997</v>
      </c>
      <c r="AA84" s="706">
        <v>1672</v>
      </c>
      <c r="AB84" s="706">
        <v>258</v>
      </c>
      <c r="AC84" s="706">
        <v>1795</v>
      </c>
      <c r="AD84" s="706">
        <v>160</v>
      </c>
      <c r="AE84" s="706">
        <v>14</v>
      </c>
      <c r="AF84" s="706">
        <v>7</v>
      </c>
      <c r="AG84" s="706">
        <v>56</v>
      </c>
    </row>
    <row r="85">
      <c r="A85" s="708" t="s">
        <v>1489</v>
      </c>
      <c r="B85" s="708" t="s">
        <v>1445</v>
      </c>
      <c r="C85" s="709"/>
      <c r="D85" s="709">
        <f>SUM(D83:D84)</f>
      </c>
      <c r="E85" s="709">
        <f>E83+E84</f>
      </c>
      <c r="F85" s="709">
        <f>SUM(F83:F84)</f>
      </c>
      <c r="G85" s="709">
        <f>SUM(G83:G84)</f>
      </c>
      <c r="H85" s="709">
        <f>SUM(H83:H84)</f>
      </c>
      <c r="I85" s="710">
        <f t="shared" si="0"/>
      </c>
      <c r="J85" s="710">
        <f t="shared" si="1"/>
      </c>
      <c r="K85" s="710">
        <f t="shared" si="2"/>
      </c>
      <c r="L85" s="709"/>
      <c r="M85" s="711">
        <f>SUM(M83:M84)</f>
      </c>
      <c r="N85" s="709"/>
      <c r="O85" s="709"/>
      <c r="P85" s="709"/>
      <c r="Q85" s="712">
        <f>AVERAGE(Q83:Q84)</f>
      </c>
      <c r="R85" s="713">
        <f>AVERAGE(R83:R84)</f>
      </c>
      <c r="S85" s="713">
        <f>AVERAGE(S83:S84)</f>
      </c>
      <c r="T85" s="713">
        <f>AVERAGE(T83:T84)</f>
      </c>
      <c r="U85" s="713">
        <f>AVERAGE(U83:U84)</f>
      </c>
      <c r="V85" s="714">
        <f>SUM(V83:V84)</f>
      </c>
      <c r="W85" s="713">
        <f>AVERAGE(W83:W84)</f>
      </c>
      <c r="X85" s="715"/>
      <c r="Y85" s="712">
        <f>AVERAGE(Y83:Y84)</f>
      </c>
      <c r="Z85" s="714">
        <f>SUM(Z83:Z84)</f>
      </c>
      <c r="AA85" s="714">
        <f>SUM(AA83:AA84)</f>
      </c>
      <c r="AB85" s="714">
        <f>SUM(AB83:AB84)</f>
      </c>
      <c r="AC85" s="714">
        <f>SUM(AC83:AC84)</f>
      </c>
      <c r="AD85" s="714">
        <f>SUM(AD83:AD84)</f>
      </c>
      <c r="AE85" s="714">
        <f>SUM(AE83:AE84)</f>
      </c>
      <c r="AF85" s="714">
        <f>SUM(AF83:AF84)</f>
      </c>
      <c r="AG85" s="714">
        <f>SUM(AG83:AG84)</f>
      </c>
    </row>
    <row r="86">
      <c r="A86" s="698" t="s">
        <v>1490</v>
      </c>
      <c r="B86" s="699" t="s">
        <v>1442</v>
      </c>
      <c r="C86" s="698" t="s">
        <v>1457</v>
      </c>
      <c r="D86" s="698">
        <v>3</v>
      </c>
      <c r="E86" s="698">
        <v>3</v>
      </c>
      <c r="F86" s="698">
        <v>4</v>
      </c>
      <c r="G86" s="698">
        <v>7678.34</v>
      </c>
      <c r="H86" s="700">
        <v>5888.01</v>
      </c>
      <c r="I86" s="701">
        <f t="shared" si="0"/>
      </c>
      <c r="J86" s="701">
        <f t="shared" si="1"/>
      </c>
      <c r="K86" s="701">
        <f t="shared" si="2"/>
      </c>
      <c r="L86" s="717"/>
      <c r="M86" s="702"/>
      <c r="N86" s="703"/>
      <c r="O86" s="698"/>
      <c r="P86" s="703"/>
      <c r="Q86" s="704">
        <v>6.456151315789474</v>
      </c>
      <c r="R86" s="705">
        <v>0.13723152177559292</v>
      </c>
      <c r="S86" s="705">
        <v>0.01576027787858365</v>
      </c>
      <c r="T86" s="705">
        <v>0.015708434859246202</v>
      </c>
      <c r="U86" s="705">
        <v>0.1474147414741474</v>
      </c>
      <c r="V86" s="706">
        <v>7941.176470588236</v>
      </c>
      <c r="W86" s="705">
        <v>0.028333333333333332</v>
      </c>
      <c r="X86" s="706">
        <v>44.666666666666664</v>
      </c>
      <c r="Y86" s="707">
        <v>101.75073876302557</v>
      </c>
      <c r="Z86" s="706">
        <v>57867</v>
      </c>
      <c r="AA86" s="706">
        <v>912</v>
      </c>
      <c r="AB86" s="706">
        <v>225</v>
      </c>
      <c r="AC86" s="706">
        <v>909</v>
      </c>
      <c r="AD86" s="706">
        <v>134</v>
      </c>
      <c r="AE86" s="706">
        <v>7</v>
      </c>
      <c r="AF86" s="706">
        <v>3</v>
      </c>
      <c r="AG86" s="706">
        <v>46</v>
      </c>
    </row>
    <row r="87">
      <c r="A87" s="698" t="s">
        <v>1490</v>
      </c>
      <c r="B87" s="699" t="s">
        <v>1464</v>
      </c>
      <c r="C87" s="698" t="s">
        <v>1488</v>
      </c>
      <c r="D87" s="698">
        <v>3</v>
      </c>
      <c r="E87" s="698">
        <v>2</v>
      </c>
      <c r="F87" s="698">
        <v>6</v>
      </c>
      <c r="G87" s="698">
        <v>13848.13</v>
      </c>
      <c r="H87" s="700">
        <v>5083.05</v>
      </c>
      <c r="I87" s="701">
        <f t="shared" si="0"/>
      </c>
      <c r="J87" s="701">
        <f t="shared" si="1"/>
      </c>
      <c r="K87" s="701">
        <f t="shared" si="2"/>
      </c>
      <c r="L87" s="698" t="s">
        <v>1466</v>
      </c>
      <c r="M87" s="702">
        <v>2.4</v>
      </c>
      <c r="N87" s="698"/>
      <c r="O87" s="698"/>
      <c r="P87" s="703"/>
      <c r="Q87" s="707">
        <v>4.86882183908046</v>
      </c>
      <c r="R87" s="705">
        <v>0.13411778611268418</v>
      </c>
      <c r="S87" s="705">
        <v>0.02066590126291619</v>
      </c>
      <c r="T87" s="705">
        <v>0.021358723623262996</v>
      </c>
      <c r="U87" s="705">
        <v>0.14828544949026876</v>
      </c>
      <c r="V87" s="706">
        <v>6775.36231884058</v>
      </c>
      <c r="W87" s="705">
        <v>0.0276</v>
      </c>
      <c r="X87" s="706">
        <v>54</v>
      </c>
      <c r="Y87" s="707">
        <v>100.6185913931668</v>
      </c>
      <c r="Z87" s="706">
        <v>50518</v>
      </c>
      <c r="AA87" s="706">
        <v>1044</v>
      </c>
      <c r="AB87" s="706">
        <v>187</v>
      </c>
      <c r="AC87" s="706">
        <v>1079</v>
      </c>
      <c r="AD87" s="706">
        <v>160</v>
      </c>
      <c r="AE87" s="706">
        <v>10</v>
      </c>
      <c r="AF87" s="706">
        <v>2</v>
      </c>
      <c r="AG87" s="706">
        <v>45</v>
      </c>
    </row>
    <row r="88">
      <c r="A88" s="708" t="s">
        <v>1490</v>
      </c>
      <c r="B88" s="708" t="s">
        <v>1445</v>
      </c>
      <c r="C88" s="709"/>
      <c r="D88" s="709">
        <f>SUM(D86:D87)</f>
      </c>
      <c r="E88" s="709">
        <f>E86+E87</f>
      </c>
      <c r="F88" s="709">
        <f>SUM(F86:F87)</f>
      </c>
      <c r="G88" s="709">
        <f>SUM(G86:G87)</f>
      </c>
      <c r="H88" s="709">
        <f>SUM(H86:H87)</f>
      </c>
      <c r="I88" s="710">
        <f t="shared" si="0"/>
      </c>
      <c r="J88" s="710">
        <f t="shared" si="1"/>
      </c>
      <c r="K88" s="710">
        <f t="shared" si="2"/>
      </c>
      <c r="L88" s="709"/>
      <c r="M88" s="711">
        <f>SUM(M86:M87)</f>
      </c>
      <c r="N88" s="709"/>
      <c r="O88" s="709"/>
      <c r="P88" s="709"/>
      <c r="Q88" s="712">
        <f>AVERAGE(Q86:Q87)</f>
      </c>
      <c r="R88" s="713">
        <f>AVERAGE(R86:R87)</f>
      </c>
      <c r="S88" s="713">
        <f>AVERAGE(S86:S87)</f>
      </c>
      <c r="T88" s="713">
        <f>AVERAGE(T86:T87)</f>
      </c>
      <c r="U88" s="713">
        <f>AVERAGE(U86:U87)</f>
      </c>
      <c r="V88" s="714">
        <f>SUM(V86:V87)</f>
      </c>
      <c r="W88" s="713">
        <f>AVERAGE(W86:W87)</f>
      </c>
      <c r="X88" s="715"/>
      <c r="Y88" s="712">
        <f>AVERAGE(Y86:Y87)</f>
      </c>
      <c r="Z88" s="714">
        <f>SUM(Z86:Z87)</f>
      </c>
      <c r="AA88" s="714">
        <f>SUM(AA86:AA87)</f>
      </c>
      <c r="AB88" s="714">
        <f>SUM(AB86:AB87)</f>
      </c>
      <c r="AC88" s="714">
        <f>SUM(AC86:AC87)</f>
      </c>
      <c r="AD88" s="714">
        <f>SUM(AD86:AD87)</f>
      </c>
      <c r="AE88" s="714">
        <f>SUM(AE86:AE87)</f>
      </c>
      <c r="AF88" s="714">
        <f>SUM(AF86:AF87)</f>
      </c>
      <c r="AG88" s="714">
        <f>SUM(AG86:AG87)</f>
      </c>
    </row>
    <row r="89">
      <c r="A89" s="698" t="s">
        <v>1491</v>
      </c>
      <c r="B89" s="699" t="s">
        <v>1442</v>
      </c>
      <c r="C89" s="698" t="s">
        <v>1492</v>
      </c>
      <c r="D89" s="698">
        <v>3</v>
      </c>
      <c r="E89" s="698">
        <v>1</v>
      </c>
      <c r="F89" s="698">
        <v>2</v>
      </c>
      <c r="G89" s="698">
        <v>3346.2</v>
      </c>
      <c r="H89" s="700">
        <v>3734.3</v>
      </c>
      <c r="I89" s="701">
        <f t="shared" si="0"/>
      </c>
      <c r="J89" s="701">
        <f t="shared" si="1"/>
      </c>
      <c r="K89" s="701">
        <f t="shared" si="2"/>
      </c>
      <c r="L89" s="717"/>
      <c r="M89" s="702"/>
      <c r="N89" s="703"/>
      <c r="O89" s="698"/>
      <c r="P89" s="703"/>
      <c r="Q89" s="704">
        <v>4.456205250596659</v>
      </c>
      <c r="R89" s="705">
        <v>0.18642655888084408</v>
      </c>
      <c r="S89" s="705">
        <v>0.024366131658525237</v>
      </c>
      <c r="T89" s="705">
        <v>0.026546871365433822</v>
      </c>
      <c r="U89" s="705">
        <v>0.12267250821467689</v>
      </c>
      <c r="V89" s="706">
        <v>6411.582213029989</v>
      </c>
      <c r="W89" s="705">
        <v>0.024175000000000002</v>
      </c>
      <c r="X89" s="706">
        <v>46.75</v>
      </c>
      <c r="Y89" s="707">
        <v>108.58048383344965</v>
      </c>
      <c r="Z89" s="706">
        <v>34392</v>
      </c>
      <c r="AA89" s="706">
        <v>838</v>
      </c>
      <c r="AB89" s="706">
        <v>155</v>
      </c>
      <c r="AC89" s="706">
        <v>913</v>
      </c>
      <c r="AD89" s="706">
        <v>112</v>
      </c>
      <c r="AE89" s="706">
        <v>8</v>
      </c>
      <c r="AF89" s="706">
        <v>2</v>
      </c>
      <c r="AG89" s="706">
        <v>26</v>
      </c>
    </row>
    <row r="90">
      <c r="A90" s="698" t="s">
        <v>1491</v>
      </c>
      <c r="B90" s="699" t="s">
        <v>1464</v>
      </c>
      <c r="C90" s="698" t="s">
        <v>1493</v>
      </c>
      <c r="D90" s="698">
        <v>5</v>
      </c>
      <c r="E90" s="698">
        <v>10</v>
      </c>
      <c r="F90" s="698">
        <v>11</v>
      </c>
      <c r="G90" s="698">
        <v>20911.65</v>
      </c>
      <c r="H90" s="700">
        <v>6410.01</v>
      </c>
      <c r="I90" s="701">
        <f t="shared" si="0"/>
      </c>
      <c r="J90" s="701">
        <f t="shared" si="1"/>
      </c>
      <c r="K90" s="701">
        <f t="shared" si="2"/>
      </c>
      <c r="L90" s="698" t="s">
        <v>1466</v>
      </c>
      <c r="M90" s="702">
        <v>3.2</v>
      </c>
      <c r="N90" s="698"/>
      <c r="O90" s="698"/>
      <c r="P90" s="703"/>
      <c r="Q90" s="707">
        <v>3.0150564440263405</v>
      </c>
      <c r="R90" s="705">
        <v>0.1605028208920439</v>
      </c>
      <c r="S90" s="705">
        <v>0.03427871204914464</v>
      </c>
      <c r="T90" s="705">
        <v>0.03842246980861321</v>
      </c>
      <c r="U90" s="705">
        <v>0.08518673940411246</v>
      </c>
      <c r="V90" s="706">
        <v>9954.545454545454</v>
      </c>
      <c r="W90" s="705">
        <v>0.022000000000000002</v>
      </c>
      <c r="X90" s="706">
        <v>46</v>
      </c>
      <c r="Y90" s="707">
        <v>103.35225165669692</v>
      </c>
      <c r="Z90" s="706">
        <v>62021</v>
      </c>
      <c r="AA90" s="706">
        <v>2126</v>
      </c>
      <c r="AB90" s="706">
        <v>219</v>
      </c>
      <c r="AC90" s="706">
        <v>2383</v>
      </c>
      <c r="AD90" s="706">
        <v>203</v>
      </c>
      <c r="AE90" s="706">
        <v>22</v>
      </c>
      <c r="AF90" s="706">
        <v>1</v>
      </c>
      <c r="AG90" s="706">
        <v>65</v>
      </c>
    </row>
    <row r="91">
      <c r="A91" s="708" t="s">
        <v>1491</v>
      </c>
      <c r="B91" s="708" t="s">
        <v>1445</v>
      </c>
      <c r="C91" s="709"/>
      <c r="D91" s="709">
        <f>SUM(D89:D90)</f>
      </c>
      <c r="E91" s="709">
        <f>E89+E90</f>
      </c>
      <c r="F91" s="709">
        <f>SUM(F89:F90)</f>
      </c>
      <c r="G91" s="709">
        <f>SUM(G89:G90)</f>
      </c>
      <c r="H91" s="709">
        <f>SUM(H89:H90)</f>
      </c>
      <c r="I91" s="710">
        <f t="shared" si="0"/>
      </c>
      <c r="J91" s="710">
        <f t="shared" si="1"/>
      </c>
      <c r="K91" s="710">
        <f t="shared" si="2"/>
      </c>
      <c r="L91" s="709"/>
      <c r="M91" s="711">
        <f>SUM(M89:M90)</f>
      </c>
      <c r="N91" s="709"/>
      <c r="O91" s="709"/>
      <c r="P91" s="709"/>
      <c r="Q91" s="712">
        <f>AVERAGE(Q89:Q90)</f>
      </c>
      <c r="R91" s="713">
        <f>AVERAGE(R89:R90)</f>
      </c>
      <c r="S91" s="713">
        <f>AVERAGE(S89:S90)</f>
      </c>
      <c r="T91" s="713">
        <f>AVERAGE(T89:T90)</f>
      </c>
      <c r="U91" s="713">
        <f>AVERAGE(U89:U90)</f>
      </c>
      <c r="V91" s="714">
        <f>SUM(V89:V90)</f>
      </c>
      <c r="W91" s="713">
        <f>AVERAGE(W89:W90)</f>
      </c>
      <c r="X91" s="715"/>
      <c r="Y91" s="712">
        <f>AVERAGE(Y89:Y90)</f>
      </c>
      <c r="Z91" s="714">
        <f>SUM(Z89:Z90)</f>
      </c>
      <c r="AA91" s="714">
        <f>SUM(AA89:AA90)</f>
      </c>
      <c r="AB91" s="714">
        <f>SUM(AB89:AB90)</f>
      </c>
      <c r="AC91" s="714">
        <f>SUM(AC89:AC90)</f>
      </c>
      <c r="AD91" s="714">
        <f>SUM(AD89:AD90)</f>
      </c>
      <c r="AE91" s="714">
        <f>SUM(AE89:AE90)</f>
      </c>
      <c r="AF91" s="714">
        <f>SUM(AF89:AF90)</f>
      </c>
      <c r="AG91" s="714">
        <f>SUM(AG89:AG90)</f>
      </c>
    </row>
  </sheetData>
  <autoFilter ref="A1:O9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</cols>
  <sheetData>
    <row r="1">
      <c r="A1" s="718" t="s">
        <v>1494</v>
      </c>
      <c r="B1" s="719" t="s">
        <v>1495</v>
      </c>
      <c r="C1" s="719" t="s">
        <v>1496</v>
      </c>
      <c r="D1" s="719" t="s">
        <v>1497</v>
      </c>
      <c r="E1" s="718" t="s">
        <v>1498</v>
      </c>
      <c r="F1" s="719" t="s">
        <v>1499</v>
      </c>
      <c r="G1" s="719" t="s">
        <v>1500</v>
      </c>
      <c r="H1" s="719" t="s">
        <v>1501</v>
      </c>
      <c r="I1" s="720" t="s">
        <v>1502</v>
      </c>
      <c r="J1" s="720" t="s">
        <v>1503</v>
      </c>
      <c r="K1" s="720" t="s">
        <v>1504</v>
      </c>
      <c r="L1" s="719" t="s">
        <v>1505</v>
      </c>
      <c r="M1" s="721" t="s">
        <v>1506</v>
      </c>
      <c r="N1" s="719" t="s">
        <v>1507</v>
      </c>
      <c r="O1" s="719" t="s">
        <v>1508</v>
      </c>
      <c r="P1" s="719"/>
      <c r="Q1" s="719" t="s">
        <v>1509</v>
      </c>
      <c r="R1" s="722" t="s">
        <v>1510</v>
      </c>
      <c r="S1" s="722" t="s">
        <v>1511</v>
      </c>
      <c r="T1" s="722" t="s">
        <v>1512</v>
      </c>
      <c r="U1" s="722" t="s">
        <v>1513</v>
      </c>
      <c r="V1" s="723" t="s">
        <v>1514</v>
      </c>
      <c r="W1" s="722" t="s">
        <v>1515</v>
      </c>
      <c r="X1" s="723" t="s">
        <v>1516</v>
      </c>
      <c r="Y1" s="724" t="s">
        <v>1517</v>
      </c>
      <c r="Z1" s="725" t="s">
        <v>1518</v>
      </c>
      <c r="AA1" s="723" t="s">
        <v>1519</v>
      </c>
      <c r="AB1" s="723" t="s">
        <v>1520</v>
      </c>
      <c r="AC1" s="723" t="s">
        <v>1521</v>
      </c>
      <c r="AD1" s="723" t="s">
        <v>1522</v>
      </c>
      <c r="AE1" s="723" t="s">
        <v>1523</v>
      </c>
      <c r="AF1" s="723" t="s">
        <v>1524</v>
      </c>
      <c r="AG1" s="723" t="s">
        <v>1525</v>
      </c>
    </row>
    <row r="2">
      <c r="A2" s="726" t="s">
        <v>1526</v>
      </c>
      <c r="B2" s="726" t="s">
        <v>1527</v>
      </c>
      <c r="C2" s="726" t="s">
        <v>1528</v>
      </c>
      <c r="D2" s="726">
        <v>4</v>
      </c>
      <c r="E2" s="726">
        <v>12</v>
      </c>
      <c r="F2" s="726">
        <v>16</v>
      </c>
      <c r="G2" s="726">
        <v>27271.33</v>
      </c>
      <c r="H2" s="727">
        <v>10077.09</v>
      </c>
      <c r="I2" s="728">
        <f t="shared" ref="I2:I77" si="2">G2/H2</f>
      </c>
      <c r="J2" s="728">
        <f t="shared" ref="J2:J77" si="0">G2/F2</f>
      </c>
      <c r="K2" s="728">
        <f t="shared" ref="K2:K77" si="4">H2/F2</f>
      </c>
      <c r="L2" s="726" t="s">
        <v>1529</v>
      </c>
      <c r="M2" s="729">
        <v>4.8</v>
      </c>
      <c r="N2" s="730"/>
      <c r="O2" s="726"/>
      <c r="P2" s="730"/>
      <c r="Q2" s="731">
        <v>4.45101148409894</v>
      </c>
      <c r="R2" s="732">
        <v>0.065985777929617</v>
      </c>
      <c r="S2" s="732">
        <v>0.0218317872365046</v>
      </c>
      <c r="T2" s="732">
        <v>0.023432527820099903</v>
      </c>
      <c r="U2" s="732">
        <v>0.09259259259259259</v>
      </c>
      <c r="V2" s="733">
        <v>6842.857142857143</v>
      </c>
      <c r="W2" s="732">
        <v>0.06999999999999999</v>
      </c>
      <c r="X2" s="733">
        <v>59.25</v>
      </c>
      <c r="Y2" s="734">
        <v>97.17353570808663</v>
      </c>
      <c r="Z2" s="733">
        <v>103702</v>
      </c>
      <c r="AA2" s="733">
        <v>2264</v>
      </c>
      <c r="AB2" s="733">
        <v>479</v>
      </c>
      <c r="AC2" s="733">
        <v>2430</v>
      </c>
      <c r="AD2" s="733">
        <v>225</v>
      </c>
      <c r="AE2" s="733">
        <v>23</v>
      </c>
      <c r="AF2" s="733">
        <v>3</v>
      </c>
      <c r="AG2" s="733">
        <v>133</v>
      </c>
    </row>
    <row r="3">
      <c r="A3" s="726" t="s">
        <v>1526</v>
      </c>
      <c r="B3" s="726" t="s">
        <v>1530</v>
      </c>
      <c r="C3" s="726" t="s">
        <v>1531</v>
      </c>
      <c r="D3" s="726">
        <v>4</v>
      </c>
      <c r="E3" s="726">
        <v>17</v>
      </c>
      <c r="F3" s="726">
        <v>19</v>
      </c>
      <c r="G3" s="726">
        <v>37766.79</v>
      </c>
      <c r="H3" s="727">
        <v>11157.39</v>
      </c>
      <c r="I3" s="728">
        <f t="shared" si="2"/>
      </c>
      <c r="J3" s="728">
        <f t="shared" si="0"/>
      </c>
      <c r="K3" s="728">
        <f t="shared" si="4"/>
      </c>
      <c r="L3" s="726"/>
      <c r="M3" s="729"/>
      <c r="N3" s="726"/>
      <c r="O3" s="726"/>
      <c r="P3" s="730"/>
      <c r="Q3" s="734">
        <v>3.3127642517814726</v>
      </c>
      <c r="R3" s="732">
        <v>0.09322096989239276</v>
      </c>
      <c r="S3" s="732">
        <v>0.03280412973604753</v>
      </c>
      <c r="T3" s="732">
        <v>0.035696892958020844</v>
      </c>
      <c r="U3" s="732">
        <v>0.08567530695770804</v>
      </c>
      <c r="V3" s="733">
        <v>9570.996978851965</v>
      </c>
      <c r="W3" s="732">
        <v>0.041374999999999995</v>
      </c>
      <c r="X3" s="734">
        <v>49</v>
      </c>
      <c r="Y3" s="734">
        <v>108.67234830037985</v>
      </c>
      <c r="Z3" s="733">
        <v>102670</v>
      </c>
      <c r="AA3" s="733">
        <v>3368</v>
      </c>
      <c r="AB3" s="733">
        <v>396</v>
      </c>
      <c r="AC3" s="733">
        <v>3665</v>
      </c>
      <c r="AD3" s="733">
        <v>314</v>
      </c>
      <c r="AE3" s="733">
        <v>31</v>
      </c>
      <c r="AF3" s="733">
        <v>7</v>
      </c>
      <c r="AG3" s="733">
        <v>122</v>
      </c>
    </row>
    <row r="4">
      <c r="A4" s="735" t="s">
        <v>1526</v>
      </c>
      <c r="B4" s="735" t="s">
        <v>1532</v>
      </c>
      <c r="C4" s="736"/>
      <c r="D4" s="736">
        <f>SUM(D2:D3)</f>
      </c>
      <c r="E4" s="736">
        <f>E2+E3</f>
      </c>
      <c r="F4" s="736">
        <f>SUM(F2:F3)</f>
      </c>
      <c r="G4" s="736">
        <f>SUM(G2:G3)</f>
      </c>
      <c r="H4" s="736">
        <f>SUM(H2:H3)</f>
      </c>
      <c r="I4" s="737">
        <f t="shared" si="2"/>
      </c>
      <c r="J4" s="737">
        <f t="shared" si="0"/>
      </c>
      <c r="K4" s="737">
        <f t="shared" si="4"/>
      </c>
      <c r="L4" s="736"/>
      <c r="M4" s="738">
        <f>SUM(M2:M3)</f>
      </c>
      <c r="N4" s="736"/>
      <c r="O4" s="736"/>
      <c r="P4" s="736"/>
      <c r="Q4" s="739">
        <f>AVERAGE(Q2:Q3)</f>
      </c>
      <c r="R4" s="740">
        <f>AVERAGE(R2:R3)</f>
      </c>
      <c r="S4" s="740">
        <f>AVERAGE(S2:S3)</f>
      </c>
      <c r="T4" s="740">
        <f>AVERAGE(T2:T3)</f>
      </c>
      <c r="U4" s="740">
        <f>AVERAGE(U2:U3)</f>
      </c>
      <c r="V4" s="741">
        <f>SUM(V2:V3)</f>
      </c>
      <c r="W4" s="740">
        <f>AVERAGE(W2:W3)</f>
      </c>
      <c r="X4" s="742"/>
      <c r="Y4" s="739">
        <f>AVERAGE(Y2:Y3)</f>
      </c>
      <c r="Z4" s="741">
        <f>SUM(Z2:Z3)</f>
      </c>
      <c r="AA4" s="741">
        <f>SUM(AA2:AA3)</f>
      </c>
      <c r="AB4" s="741">
        <f>SUM(AB2:AB3)</f>
      </c>
      <c r="AC4" s="741">
        <f>SUM(AC2:AC3)</f>
      </c>
      <c r="AD4" s="741">
        <f>SUM(AD2:AD3)</f>
      </c>
      <c r="AE4" s="741">
        <f>SUM(AE2:AE3)</f>
      </c>
      <c r="AF4" s="741">
        <f>SUM(AF2:AF3)</f>
      </c>
      <c r="AG4" s="741">
        <f>SUM(AG2:AG3)</f>
      </c>
    </row>
    <row r="5">
      <c r="A5" s="726" t="s">
        <v>1533</v>
      </c>
      <c r="B5" s="726" t="s">
        <v>1527</v>
      </c>
      <c r="C5" s="726" t="s">
        <v>1528</v>
      </c>
      <c r="D5" s="726">
        <v>4</v>
      </c>
      <c r="E5" s="726">
        <v>19</v>
      </c>
      <c r="F5" s="726">
        <v>22</v>
      </c>
      <c r="G5" s="726">
        <v>43587.8</v>
      </c>
      <c r="H5" s="727">
        <v>15243.47</v>
      </c>
      <c r="I5" s="728">
        <f t="shared" si="2"/>
      </c>
      <c r="J5" s="728">
        <f t="shared" si="0"/>
      </c>
      <c r="K5" s="728">
        <f t="shared" si="4"/>
      </c>
      <c r="L5" s="726" t="s">
        <v>1534</v>
      </c>
      <c r="M5" s="729">
        <v>3.2</v>
      </c>
      <c r="N5" s="730"/>
      <c r="O5" s="726"/>
      <c r="P5" s="730"/>
      <c r="Q5" s="731">
        <v>5.241908528198074</v>
      </c>
      <c r="R5" s="732">
        <v>0.04537083106230691</v>
      </c>
      <c r="S5" s="732">
        <v>0.02002878966327114</v>
      </c>
      <c r="T5" s="732">
        <v>0.02090349952820767</v>
      </c>
      <c r="U5" s="732">
        <v>0.09357495881383855</v>
      </c>
      <c r="V5" s="733">
        <v>6587.436332767403</v>
      </c>
      <c r="W5" s="732">
        <v>0.103075</v>
      </c>
      <c r="X5" s="733">
        <v>54.75</v>
      </c>
      <c r="Y5" s="734">
        <v>104.9890833453864</v>
      </c>
      <c r="Z5" s="733">
        <v>145191</v>
      </c>
      <c r="AA5" s="733">
        <v>2908</v>
      </c>
      <c r="AB5" s="733">
        <v>679</v>
      </c>
      <c r="AC5" s="733">
        <v>3035</v>
      </c>
      <c r="AD5" s="733">
        <v>284</v>
      </c>
      <c r="AE5" s="733">
        <v>30</v>
      </c>
      <c r="AF5" s="733">
        <v>5</v>
      </c>
      <c r="AG5" s="733">
        <v>174</v>
      </c>
    </row>
    <row r="6">
      <c r="A6" s="726" t="s">
        <v>1533</v>
      </c>
      <c r="B6" s="726" t="s">
        <v>1535</v>
      </c>
      <c r="C6" s="726" t="s">
        <v>1531</v>
      </c>
      <c r="D6" s="726">
        <v>4</v>
      </c>
      <c r="E6" s="726">
        <v>10</v>
      </c>
      <c r="F6" s="726">
        <v>16</v>
      </c>
      <c r="G6" s="726">
        <v>32996.36</v>
      </c>
      <c r="H6" s="727">
        <v>9734.5</v>
      </c>
      <c r="I6" s="728">
        <f t="shared" si="2"/>
      </c>
      <c r="J6" s="728">
        <f t="shared" si="0"/>
      </c>
      <c r="K6" s="728">
        <f t="shared" si="4"/>
      </c>
      <c r="L6" s="726"/>
      <c r="M6" s="729"/>
      <c r="N6" s="726"/>
      <c r="O6" s="726"/>
      <c r="P6" s="730"/>
      <c r="Q6" s="734">
        <v>2.822412293418382</v>
      </c>
      <c r="R6" s="732">
        <v>0.09072187609885156</v>
      </c>
      <c r="S6" s="732">
        <v>0.030816379410477032</v>
      </c>
      <c r="T6" s="732">
        <v>0.033175186068744915</v>
      </c>
      <c r="U6" s="732">
        <v>0.0692162671694048</v>
      </c>
      <c r="V6" s="733">
        <v>10153.683094859565</v>
      </c>
      <c r="W6" s="732">
        <v>0.047175</v>
      </c>
      <c r="X6" s="734">
        <v>51.75</v>
      </c>
      <c r="Y6" s="734">
        <v>86.97652808677549</v>
      </c>
      <c r="Z6" s="733">
        <v>111921</v>
      </c>
      <c r="AA6" s="733">
        <v>3449</v>
      </c>
      <c r="AB6" s="733">
        <v>479</v>
      </c>
      <c r="AC6" s="733">
        <v>3713</v>
      </c>
      <c r="AD6" s="733">
        <v>257</v>
      </c>
      <c r="AE6" s="733">
        <v>24</v>
      </c>
      <c r="AF6" s="733">
        <v>6</v>
      </c>
      <c r="AG6" s="733">
        <v>108</v>
      </c>
    </row>
    <row r="7">
      <c r="A7" s="735" t="s">
        <v>1533</v>
      </c>
      <c r="B7" s="735" t="s">
        <v>1532</v>
      </c>
      <c r="C7" s="736"/>
      <c r="D7" s="736">
        <f>SUM(D5:D6)</f>
      </c>
      <c r="E7" s="736">
        <f>E5+E6</f>
      </c>
      <c r="F7" s="736">
        <f>SUM(F5:F6)</f>
      </c>
      <c r="G7" s="736">
        <f>SUM(G5:G6)</f>
      </c>
      <c r="H7" s="736">
        <f>SUM(H5:H6)</f>
      </c>
      <c r="I7" s="737">
        <f t="shared" si="2"/>
      </c>
      <c r="J7" s="737">
        <f t="shared" si="0"/>
      </c>
      <c r="K7" s="737">
        <f t="shared" si="4"/>
      </c>
      <c r="L7" s="736"/>
      <c r="M7" s="738">
        <f>SUM(M5:M6)</f>
      </c>
      <c r="N7" s="736"/>
      <c r="O7" s="736"/>
      <c r="P7" s="736"/>
      <c r="Q7" s="739">
        <f>AVERAGE(Q5:Q6)</f>
      </c>
      <c r="R7" s="740">
        <f>AVERAGE(R5:R6)</f>
      </c>
      <c r="S7" s="740">
        <f>AVERAGE(S5:S6)</f>
      </c>
      <c r="T7" s="740">
        <f>AVERAGE(T5:T6)</f>
      </c>
      <c r="U7" s="740">
        <f>AVERAGE(U5:U6)</f>
      </c>
      <c r="V7" s="741">
        <f>SUM(V5:V6)</f>
      </c>
      <c r="W7" s="740">
        <f>AVERAGE(W5:W6)</f>
      </c>
      <c r="X7" s="742"/>
      <c r="Y7" s="739">
        <f>AVERAGE(Y5:Y6)</f>
      </c>
      <c r="Z7" s="741">
        <f>SUM(Z5:Z6)</f>
      </c>
      <c r="AA7" s="741">
        <f>SUM(AA5:AA6)</f>
      </c>
      <c r="AB7" s="741">
        <f>SUM(AB5:AB6)</f>
      </c>
      <c r="AC7" s="741">
        <f>SUM(AC5:AC6)</f>
      </c>
      <c r="AD7" s="741">
        <f>SUM(AD5:AD6)</f>
      </c>
      <c r="AE7" s="741">
        <f>SUM(AE5:AE6)</f>
      </c>
      <c r="AF7" s="741">
        <f>SUM(AF5:AF6)</f>
      </c>
      <c r="AG7" s="741">
        <f>SUM(AG5:AG6)</f>
      </c>
    </row>
    <row r="8">
      <c r="A8" s="726" t="s">
        <v>1536</v>
      </c>
      <c r="B8" s="726" t="s">
        <v>1527</v>
      </c>
      <c r="C8" s="726" t="s">
        <v>1528</v>
      </c>
      <c r="D8" s="726">
        <v>4</v>
      </c>
      <c r="E8" s="726">
        <v>8</v>
      </c>
      <c r="F8" s="726">
        <v>9</v>
      </c>
      <c r="G8" s="726">
        <v>17198.62</v>
      </c>
      <c r="H8" s="727">
        <v>9172.21</v>
      </c>
      <c r="I8" s="728">
        <f t="shared" si="2"/>
      </c>
      <c r="J8" s="728">
        <f t="shared" si="0"/>
      </c>
      <c r="K8" s="728">
        <f t="shared" si="4"/>
      </c>
      <c r="L8" s="726" t="s">
        <v>1534</v>
      </c>
      <c r="M8" s="729">
        <v>3.2</v>
      </c>
      <c r="N8" s="730"/>
      <c r="O8" s="726"/>
      <c r="P8" s="730"/>
      <c r="Q8" s="731">
        <v>4.226824884792626</v>
      </c>
      <c r="R8" s="732">
        <v>0.08348603111416657</v>
      </c>
      <c r="S8" s="732">
        <v>0.02091485629469707</v>
      </c>
      <c r="T8" s="732">
        <v>0.02223528731422403</v>
      </c>
      <c r="U8" s="732">
        <v>0.09232769830949285</v>
      </c>
      <c r="V8" s="733">
        <v>8662.009672219237</v>
      </c>
      <c r="W8" s="732">
        <v>0.046525</v>
      </c>
      <c r="X8" s="733">
        <v>42.75</v>
      </c>
      <c r="Y8" s="734">
        <v>88.40343504828729</v>
      </c>
      <c r="Z8" s="733">
        <v>103754</v>
      </c>
      <c r="AA8" s="733">
        <v>2170</v>
      </c>
      <c r="AB8" s="733">
        <v>403</v>
      </c>
      <c r="AC8" s="733">
        <v>2307</v>
      </c>
      <c r="AD8" s="733">
        <v>213</v>
      </c>
      <c r="AE8" s="733">
        <v>20</v>
      </c>
      <c r="AF8" s="733">
        <v>4</v>
      </c>
      <c r="AG8" s="733">
        <v>102</v>
      </c>
    </row>
    <row r="9">
      <c r="A9" s="726" t="s">
        <v>1536</v>
      </c>
      <c r="B9" s="726" t="s">
        <v>1530</v>
      </c>
      <c r="C9" s="726" t="s">
        <v>1531</v>
      </c>
      <c r="D9" s="726">
        <v>4</v>
      </c>
      <c r="E9" s="726">
        <v>9</v>
      </c>
      <c r="F9" s="726">
        <v>13</v>
      </c>
      <c r="G9" s="726">
        <v>32316.61</v>
      </c>
      <c r="H9" s="727">
        <v>9300.880000000001</v>
      </c>
      <c r="I9" s="728">
        <f t="shared" si="2"/>
      </c>
      <c r="J9" s="728">
        <f t="shared" si="0"/>
      </c>
      <c r="K9" s="728">
        <f t="shared" si="4"/>
      </c>
      <c r="L9" s="726"/>
      <c r="M9" s="729"/>
      <c r="N9" s="726"/>
      <c r="O9" s="726"/>
      <c r="P9" s="730"/>
      <c r="Q9" s="734">
        <v>2.385452680174404</v>
      </c>
      <c r="R9" s="732">
        <v>0.12404967056095463</v>
      </c>
      <c r="S9" s="732">
        <v>0.03751707946038527</v>
      </c>
      <c r="T9" s="732">
        <v>0.040509593364509364</v>
      </c>
      <c r="U9" s="732">
        <v>0.05486935866983373</v>
      </c>
      <c r="V9" s="733">
        <v>12891.986062717771</v>
      </c>
      <c r="W9" s="732">
        <v>0.028699999999999996</v>
      </c>
      <c r="X9" s="734">
        <v>37.75</v>
      </c>
      <c r="Y9" s="734">
        <v>89.49521775109214</v>
      </c>
      <c r="Z9" s="733">
        <v>103926</v>
      </c>
      <c r="AA9" s="733">
        <v>3899</v>
      </c>
      <c r="AB9" s="733">
        <v>370</v>
      </c>
      <c r="AC9" s="733">
        <v>4210</v>
      </c>
      <c r="AD9" s="733">
        <v>231</v>
      </c>
      <c r="AE9" s="733">
        <v>22</v>
      </c>
      <c r="AF9" s="733">
        <v>8</v>
      </c>
      <c r="AG9" s="733">
        <v>115</v>
      </c>
    </row>
    <row r="10">
      <c r="A10" s="735" t="s">
        <v>1536</v>
      </c>
      <c r="B10" s="735" t="s">
        <v>1532</v>
      </c>
      <c r="C10" s="736"/>
      <c r="D10" s="736">
        <f>SUM(D8:D9)</f>
      </c>
      <c r="E10" s="736">
        <f>E8+E9</f>
      </c>
      <c r="F10" s="736">
        <f>SUM(F8:F9)</f>
      </c>
      <c r="G10" s="736">
        <f>SUM(G8:G9)</f>
      </c>
      <c r="H10" s="736">
        <f>SUM(H8:H9)</f>
      </c>
      <c r="I10" s="737">
        <f t="shared" si="2"/>
      </c>
      <c r="J10" s="737">
        <f t="shared" si="0"/>
      </c>
      <c r="K10" s="737">
        <f t="shared" si="4"/>
      </c>
      <c r="L10" s="736"/>
      <c r="M10" s="738">
        <f>SUM(M8:M9)</f>
      </c>
      <c r="N10" s="736"/>
      <c r="O10" s="736"/>
      <c r="P10" s="736"/>
      <c r="Q10" s="739">
        <f>AVERAGE(Q8:Q9)</f>
      </c>
      <c r="R10" s="740">
        <f>AVERAGE(R8:R9)</f>
      </c>
      <c r="S10" s="740">
        <f>AVERAGE(S8:S9)</f>
      </c>
      <c r="T10" s="740">
        <f>AVERAGE(T8:T9)</f>
      </c>
      <c r="U10" s="740">
        <f>AVERAGE(U8:U9)</f>
      </c>
      <c r="V10" s="741">
        <f>SUM(V8:V9)</f>
      </c>
      <c r="W10" s="740">
        <f>AVERAGE(W8:W9)</f>
      </c>
      <c r="X10" s="742"/>
      <c r="Y10" s="739">
        <f>AVERAGE(Y8:Y9)</f>
      </c>
      <c r="Z10" s="741">
        <f>SUM(Z8:Z9)</f>
      </c>
      <c r="AA10" s="741">
        <f>SUM(AA8:AA9)</f>
      </c>
      <c r="AB10" s="741">
        <f>SUM(AB8:AB9)</f>
      </c>
      <c r="AC10" s="741">
        <f>SUM(AC8:AC9)</f>
      </c>
      <c r="AD10" s="741">
        <f>SUM(AD8:AD9)</f>
      </c>
      <c r="AE10" s="741">
        <f>SUM(AE8:AE9)</f>
      </c>
      <c r="AF10" s="741">
        <f>SUM(AF8:AF9)</f>
      </c>
      <c r="AG10" s="741">
        <f>SUM(AG8:AG9)</f>
      </c>
    </row>
    <row r="11">
      <c r="A11" s="726" t="s">
        <v>1537</v>
      </c>
      <c r="B11" s="726" t="s">
        <v>1530</v>
      </c>
      <c r="C11" s="726" t="s">
        <v>1528</v>
      </c>
      <c r="D11" s="726">
        <v>4</v>
      </c>
      <c r="E11" s="726">
        <v>5</v>
      </c>
      <c r="F11" s="726">
        <v>8</v>
      </c>
      <c r="G11" s="726">
        <v>16473.92</v>
      </c>
      <c r="H11" s="727">
        <v>8106.6</v>
      </c>
      <c r="I11" s="728">
        <f t="shared" si="2"/>
      </c>
      <c r="J11" s="728">
        <f t="shared" si="0"/>
      </c>
      <c r="K11" s="728">
        <f t="shared" si="4"/>
      </c>
      <c r="L11" s="726" t="s">
        <v>1538</v>
      </c>
      <c r="M11" s="729">
        <v>1.6</v>
      </c>
      <c r="N11" s="730"/>
      <c r="O11" s="726"/>
      <c r="P11" s="730"/>
      <c r="Q11" s="731">
        <v>2.7130522088353417</v>
      </c>
      <c r="R11" s="732">
        <v>0.08565323831534095</v>
      </c>
      <c r="S11" s="732">
        <v>0.030179379444085327</v>
      </c>
      <c r="T11" s="732">
        <v>0.03201761473820297</v>
      </c>
      <c r="U11" s="732">
        <v>0.07129337539432176</v>
      </c>
      <c r="V11" s="733">
        <v>8480.355819125278</v>
      </c>
      <c r="W11" s="732">
        <v>0.033725</v>
      </c>
      <c r="X11" s="733">
        <v>31.5</v>
      </c>
      <c r="Y11" s="734">
        <v>81.87823206205559</v>
      </c>
      <c r="Z11" s="733">
        <v>99008</v>
      </c>
      <c r="AA11" s="733">
        <v>2988</v>
      </c>
      <c r="AB11" s="733">
        <v>286</v>
      </c>
      <c r="AC11" s="733">
        <v>3170</v>
      </c>
      <c r="AD11" s="733">
        <v>226</v>
      </c>
      <c r="AE11" s="733">
        <v>21</v>
      </c>
      <c r="AF11" s="733">
        <v>6</v>
      </c>
      <c r="AG11" s="733">
        <v>61</v>
      </c>
    </row>
    <row r="12">
      <c r="A12" s="726" t="s">
        <v>1537</v>
      </c>
      <c r="B12" s="726" t="s">
        <v>1535</v>
      </c>
      <c r="C12" s="726" t="s">
        <v>1531</v>
      </c>
      <c r="D12" s="726">
        <v>4</v>
      </c>
      <c r="E12" s="726">
        <v>14</v>
      </c>
      <c r="F12" s="726">
        <v>16</v>
      </c>
      <c r="G12" s="726">
        <v>31871.22</v>
      </c>
      <c r="H12" s="727">
        <v>11203.400000000001</v>
      </c>
      <c r="I12" s="728">
        <f t="shared" si="2"/>
      </c>
      <c r="J12" s="728">
        <f t="shared" si="0"/>
      </c>
      <c r="K12" s="728">
        <f t="shared" si="4"/>
      </c>
      <c r="L12" s="726" t="s">
        <v>1534</v>
      </c>
      <c r="M12" s="729">
        <v>1.6</v>
      </c>
      <c r="N12" s="726"/>
      <c r="O12" s="726"/>
      <c r="P12" s="730"/>
      <c r="Q12" s="734">
        <v>2.807869674185464</v>
      </c>
      <c r="R12" s="732">
        <v>0.13942397591342293</v>
      </c>
      <c r="S12" s="732">
        <v>0.03386981766323724</v>
      </c>
      <c r="T12" s="732">
        <v>0.036730501510984344</v>
      </c>
      <c r="U12" s="732">
        <v>0.05523457360758031</v>
      </c>
      <c r="V12" s="733">
        <v>16424.702058504874</v>
      </c>
      <c r="W12" s="732">
        <v>0.023075000000000002</v>
      </c>
      <c r="X12" s="734">
        <v>37.75</v>
      </c>
      <c r="Y12" s="734">
        <v>95.10203388679503</v>
      </c>
      <c r="Z12" s="733">
        <v>117804</v>
      </c>
      <c r="AA12" s="733">
        <v>3990</v>
      </c>
      <c r="AB12" s="733">
        <v>379</v>
      </c>
      <c r="AC12" s="733">
        <v>4327</v>
      </c>
      <c r="AD12" s="733">
        <v>239</v>
      </c>
      <c r="AE12" s="733">
        <v>27</v>
      </c>
      <c r="AF12" s="733">
        <v>5</v>
      </c>
      <c r="AG12" s="733">
        <v>74</v>
      </c>
    </row>
    <row r="13">
      <c r="A13" s="735" t="s">
        <v>1537</v>
      </c>
      <c r="B13" s="735" t="s">
        <v>1532</v>
      </c>
      <c r="C13" s="736"/>
      <c r="D13" s="736">
        <f>SUM(D11:D12)</f>
      </c>
      <c r="E13" s="736">
        <f>E11+E12</f>
      </c>
      <c r="F13" s="736">
        <f>SUM(F11:F12)</f>
      </c>
      <c r="G13" s="736">
        <f>SUM(G11:G12)</f>
      </c>
      <c r="H13" s="736">
        <f>SUM(H11:H12)</f>
      </c>
      <c r="I13" s="737">
        <f t="shared" si="2"/>
      </c>
      <c r="J13" s="737">
        <f t="shared" si="0"/>
      </c>
      <c r="K13" s="737">
        <f t="shared" si="4"/>
      </c>
      <c r="L13" s="736"/>
      <c r="M13" s="738">
        <f>SUM(M11:M12)</f>
      </c>
      <c r="N13" s="736"/>
      <c r="O13" s="736"/>
      <c r="P13" s="736"/>
      <c r="Q13" s="739">
        <f>AVERAGE(Q11:Q12)</f>
      </c>
      <c r="R13" s="740">
        <f>AVERAGE(R11:R12)</f>
      </c>
      <c r="S13" s="740">
        <f>AVERAGE(S11:S12)</f>
      </c>
      <c r="T13" s="740">
        <f>AVERAGE(T11:T12)</f>
      </c>
      <c r="U13" s="740">
        <f>AVERAGE(U11:U12)</f>
      </c>
      <c r="V13" s="741">
        <f>SUM(V11:V12)</f>
      </c>
      <c r="W13" s="740">
        <f>AVERAGE(W11:W12)</f>
      </c>
      <c r="X13" s="742"/>
      <c r="Y13" s="739">
        <f>AVERAGE(Y11:Y12)</f>
      </c>
      <c r="Z13" s="741">
        <f>SUM(Z11:Z12)</f>
      </c>
      <c r="AA13" s="741">
        <f>SUM(AA11:AA12)</f>
      </c>
      <c r="AB13" s="741">
        <f>SUM(AB11:AB12)</f>
      </c>
      <c r="AC13" s="741">
        <f>SUM(AC11:AC12)</f>
      </c>
      <c r="AD13" s="741">
        <f>SUM(AD11:AD12)</f>
      </c>
      <c r="AE13" s="741">
        <f>SUM(AE11:AE12)</f>
      </c>
      <c r="AF13" s="741">
        <f>SUM(AF11:AF12)</f>
      </c>
      <c r="AG13" s="741">
        <f>SUM(AG11:AG12)</f>
      </c>
    </row>
    <row r="14">
      <c r="A14" s="726" t="s">
        <v>1539</v>
      </c>
      <c r="B14" s="726" t="s">
        <v>1527</v>
      </c>
      <c r="C14" s="726" t="s">
        <v>1528</v>
      </c>
      <c r="D14" s="726">
        <v>4</v>
      </c>
      <c r="E14" s="726">
        <v>5</v>
      </c>
      <c r="F14" s="726">
        <v>9</v>
      </c>
      <c r="G14" s="726">
        <v>18449.17</v>
      </c>
      <c r="H14" s="727">
        <v>11296.68</v>
      </c>
      <c r="I14" s="728">
        <f t="shared" si="2"/>
      </c>
      <c r="J14" s="728">
        <f t="shared" si="0"/>
      </c>
      <c r="K14" s="728">
        <f t="shared" si="4"/>
      </c>
      <c r="L14" s="726" t="s">
        <v>1534</v>
      </c>
      <c r="M14" s="729">
        <v>3.2</v>
      </c>
      <c r="N14" s="730"/>
      <c r="O14" s="726"/>
      <c r="P14" s="730"/>
      <c r="Q14" s="731">
        <v>3.9735068589518114</v>
      </c>
      <c r="R14" s="732">
        <v>0.10047546875730999</v>
      </c>
      <c r="S14" s="732">
        <v>0.023958403559630553</v>
      </c>
      <c r="T14" s="732">
        <v>0.026031483853569744</v>
      </c>
      <c r="U14" s="732">
        <v>0.05017805114923923</v>
      </c>
      <c r="V14" s="733">
        <v>11922.821024617433</v>
      </c>
      <c r="W14" s="732">
        <v>0.037575</v>
      </c>
      <c r="X14" s="733">
        <v>37</v>
      </c>
      <c r="Y14" s="734">
        <v>95.1988808737275</v>
      </c>
      <c r="Z14" s="733">
        <v>118664</v>
      </c>
      <c r="AA14" s="733">
        <v>2843</v>
      </c>
      <c r="AB14" s="733">
        <v>448</v>
      </c>
      <c r="AC14" s="733">
        <v>3089</v>
      </c>
      <c r="AD14" s="733">
        <v>155</v>
      </c>
      <c r="AE14" s="733">
        <v>19</v>
      </c>
      <c r="AF14" s="733">
        <v>6</v>
      </c>
      <c r="AG14" s="733">
        <v>131</v>
      </c>
    </row>
    <row r="15">
      <c r="A15" s="726" t="s">
        <v>1539</v>
      </c>
      <c r="B15" s="726" t="s">
        <v>1530</v>
      </c>
      <c r="C15" s="726" t="s">
        <v>1531</v>
      </c>
      <c r="D15" s="726">
        <v>4</v>
      </c>
      <c r="E15" s="726">
        <v>4</v>
      </c>
      <c r="F15" s="726">
        <v>6</v>
      </c>
      <c r="G15" s="726">
        <v>11692.4</v>
      </c>
      <c r="H15" s="727">
        <v>9316.06</v>
      </c>
      <c r="I15" s="728">
        <f t="shared" si="2"/>
      </c>
      <c r="J15" s="728">
        <f t="shared" si="0"/>
      </c>
      <c r="K15" s="728">
        <f t="shared" si="4"/>
      </c>
      <c r="L15" s="726"/>
      <c r="M15" s="729"/>
      <c r="N15" s="726"/>
      <c r="O15" s="726"/>
      <c r="P15" s="730"/>
      <c r="Q15" s="734">
        <v>2.725588063194851</v>
      </c>
      <c r="R15" s="732">
        <v>0.14064181733520675</v>
      </c>
      <c r="S15" s="732">
        <v>0.041174769912783696</v>
      </c>
      <c r="T15" s="732">
        <v>0.04518623813424565</v>
      </c>
      <c r="U15" s="732">
        <v>0.04398826979472141</v>
      </c>
      <c r="V15" s="733">
        <v>11674.958540630183</v>
      </c>
      <c r="W15" s="732">
        <v>0.030149999999999996</v>
      </c>
      <c r="X15" s="734">
        <v>37.75</v>
      </c>
      <c r="Y15" s="734">
        <v>112.22546137907771</v>
      </c>
      <c r="Z15" s="733">
        <v>83012</v>
      </c>
      <c r="AA15" s="733">
        <v>3418</v>
      </c>
      <c r="AB15" s="733">
        <v>352</v>
      </c>
      <c r="AC15" s="733">
        <v>3751</v>
      </c>
      <c r="AD15" s="733">
        <v>165</v>
      </c>
      <c r="AE15" s="733">
        <v>20</v>
      </c>
      <c r="AF15" s="733">
        <v>6</v>
      </c>
      <c r="AG15" s="733">
        <v>65</v>
      </c>
    </row>
    <row r="16">
      <c r="A16" s="735" t="s">
        <v>1539</v>
      </c>
      <c r="B16" s="735" t="s">
        <v>1532</v>
      </c>
      <c r="C16" s="736"/>
      <c r="D16" s="736">
        <f>SUM(D14:D15)</f>
      </c>
      <c r="E16" s="736">
        <f>E14+E15</f>
      </c>
      <c r="F16" s="736">
        <f>SUM(F14:F15)</f>
      </c>
      <c r="G16" s="736">
        <f>SUM(G14:G15)</f>
      </c>
      <c r="H16" s="736">
        <f>SUM(H14:H15)</f>
      </c>
      <c r="I16" s="737">
        <f t="shared" si="2"/>
      </c>
      <c r="J16" s="737">
        <f t="shared" si="0"/>
      </c>
      <c r="K16" s="737">
        <f t="shared" si="4"/>
      </c>
      <c r="L16" s="736"/>
      <c r="M16" s="738">
        <f>SUM(M14:M15)</f>
      </c>
      <c r="N16" s="736"/>
      <c r="O16" s="736"/>
      <c r="P16" s="736"/>
      <c r="Q16" s="739">
        <f>AVERAGE(Q14:Q15)</f>
      </c>
      <c r="R16" s="740">
        <f>AVERAGE(R14:R15)</f>
      </c>
      <c r="S16" s="740">
        <f>AVERAGE(S14:S15)</f>
      </c>
      <c r="T16" s="740">
        <f>AVERAGE(T14:T15)</f>
      </c>
      <c r="U16" s="740">
        <f>AVERAGE(U14:U15)</f>
      </c>
      <c r="V16" s="741">
        <f>SUM(V14:V15)</f>
      </c>
      <c r="W16" s="740">
        <f>AVERAGE(W14:W15)</f>
      </c>
      <c r="X16" s="742"/>
      <c r="Y16" s="739">
        <f>AVERAGE(Y14:Y15)</f>
      </c>
      <c r="Z16" s="741">
        <f>SUM(Z14:Z15)</f>
      </c>
      <c r="AA16" s="741">
        <f>SUM(AA14:AA15)</f>
      </c>
      <c r="AB16" s="741">
        <f>SUM(AB14:AB15)</f>
      </c>
      <c r="AC16" s="741">
        <f>SUM(AC14:AC15)</f>
      </c>
      <c r="AD16" s="741">
        <f>SUM(AD14:AD15)</f>
      </c>
      <c r="AE16" s="741">
        <f>SUM(AE14:AE15)</f>
      </c>
      <c r="AF16" s="741">
        <f>SUM(AF14:AF15)</f>
      </c>
      <c r="AG16" s="741">
        <f>SUM(AG14:AG15)</f>
      </c>
    </row>
    <row r="17">
      <c r="A17" s="726" t="s">
        <v>1540</v>
      </c>
      <c r="B17" s="726" t="s">
        <v>1527</v>
      </c>
      <c r="C17" s="726" t="s">
        <v>1528</v>
      </c>
      <c r="D17" s="726">
        <v>4</v>
      </c>
      <c r="E17" s="726">
        <v>10</v>
      </c>
      <c r="F17" s="726">
        <v>11</v>
      </c>
      <c r="G17" s="726">
        <v>22576.75</v>
      </c>
      <c r="H17" s="727">
        <v>10710.189999999999</v>
      </c>
      <c r="I17" s="728">
        <f t="shared" si="2"/>
      </c>
      <c r="J17" s="728">
        <f t="shared" si="0"/>
      </c>
      <c r="K17" s="728">
        <f t="shared" si="4"/>
      </c>
      <c r="L17" s="726" t="s">
        <v>1541</v>
      </c>
      <c r="M17" s="729">
        <v>3.2</v>
      </c>
      <c r="N17" s="730"/>
      <c r="O17" s="726"/>
      <c r="P17" s="730"/>
      <c r="Q17" s="731">
        <v>4.251762604208018</v>
      </c>
      <c r="R17" s="732">
        <v>0.11796348536192272</v>
      </c>
      <c r="S17" s="732">
        <v>0.027629096652481026</v>
      </c>
      <c r="T17" s="732">
        <v>0.02987759399815733</v>
      </c>
      <c r="U17" s="732">
        <v>0.0855359765051395</v>
      </c>
      <c r="V17" s="733">
        <v>10754.966887417218</v>
      </c>
      <c r="W17" s="732">
        <v>0.03775</v>
      </c>
      <c r="X17" s="733">
        <v>43.25</v>
      </c>
      <c r="Y17" s="734">
        <v>117.47235993506777</v>
      </c>
      <c r="Z17" s="733">
        <v>91172</v>
      </c>
      <c r="AA17" s="733">
        <v>2519</v>
      </c>
      <c r="AB17" s="733">
        <v>406</v>
      </c>
      <c r="AC17" s="733">
        <v>2724</v>
      </c>
      <c r="AD17" s="733">
        <v>233</v>
      </c>
      <c r="AE17" s="733">
        <v>31</v>
      </c>
      <c r="AF17" s="733">
        <v>5</v>
      </c>
      <c r="AG17" s="733">
        <v>113</v>
      </c>
    </row>
    <row r="18">
      <c r="A18" s="726" t="s">
        <v>1540</v>
      </c>
      <c r="B18" s="726" t="s">
        <v>1535</v>
      </c>
      <c r="C18" s="726" t="s">
        <v>1531</v>
      </c>
      <c r="D18" s="726">
        <v>4</v>
      </c>
      <c r="E18" s="726">
        <v>11</v>
      </c>
      <c r="F18" s="726">
        <v>15</v>
      </c>
      <c r="G18" s="726">
        <v>34079.77</v>
      </c>
      <c r="H18" s="727">
        <v>9018.45</v>
      </c>
      <c r="I18" s="728">
        <f t="shared" si="2"/>
      </c>
      <c r="J18" s="728">
        <f t="shared" si="0"/>
      </c>
      <c r="K18" s="728">
        <f t="shared" si="4"/>
      </c>
      <c r="L18" s="726"/>
      <c r="M18" s="729"/>
      <c r="N18" s="726"/>
      <c r="O18" s="726"/>
      <c r="P18" s="730"/>
      <c r="Q18" s="734">
        <v>2.699326548937444</v>
      </c>
      <c r="R18" s="732">
        <v>0.13151356176987378</v>
      </c>
      <c r="S18" s="732">
        <v>0.04227936524005973</v>
      </c>
      <c r="T18" s="732">
        <v>0.04569613525347371</v>
      </c>
      <c r="U18" s="732">
        <v>0.05870949875380781</v>
      </c>
      <c r="V18" s="733">
        <v>10392.464678178965</v>
      </c>
      <c r="W18" s="732">
        <v>0.031849999999999996</v>
      </c>
      <c r="X18" s="734">
        <v>43.75</v>
      </c>
      <c r="Y18" s="734">
        <v>114.12581306471617</v>
      </c>
      <c r="Z18" s="733">
        <v>79022</v>
      </c>
      <c r="AA18" s="733">
        <v>3341</v>
      </c>
      <c r="AB18" s="733">
        <v>331</v>
      </c>
      <c r="AC18" s="733">
        <v>3611</v>
      </c>
      <c r="AD18" s="733">
        <v>212</v>
      </c>
      <c r="AE18" s="733">
        <v>29</v>
      </c>
      <c r="AF18" s="733">
        <v>7</v>
      </c>
      <c r="AG18" s="733">
        <v>67</v>
      </c>
    </row>
    <row r="19">
      <c r="A19" s="735" t="s">
        <v>1540</v>
      </c>
      <c r="B19" s="735" t="s">
        <v>1532</v>
      </c>
      <c r="C19" s="736"/>
      <c r="D19" s="736">
        <f>SUM(D17:D18)</f>
      </c>
      <c r="E19" s="736">
        <f>E17+E18</f>
      </c>
      <c r="F19" s="736">
        <f>SUM(F17:F18)</f>
      </c>
      <c r="G19" s="736">
        <f>SUM(G17:G18)</f>
      </c>
      <c r="H19" s="736">
        <f>SUM(H17:H18)</f>
      </c>
      <c r="I19" s="737">
        <f t="shared" si="2"/>
      </c>
      <c r="J19" s="737">
        <f t="shared" si="0"/>
      </c>
      <c r="K19" s="737">
        <f t="shared" si="4"/>
      </c>
      <c r="L19" s="736"/>
      <c r="M19" s="738">
        <f>SUM(M17:M18)</f>
      </c>
      <c r="N19" s="736"/>
      <c r="O19" s="736"/>
      <c r="P19" s="736"/>
      <c r="Q19" s="739">
        <f>AVERAGE(Q17:Q18)</f>
      </c>
      <c r="R19" s="740">
        <f>AVERAGE(R17:R18)</f>
      </c>
      <c r="S19" s="740">
        <f>AVERAGE(S17:S18)</f>
      </c>
      <c r="T19" s="740">
        <f>AVERAGE(T17:T18)</f>
      </c>
      <c r="U19" s="740">
        <f>AVERAGE(U17:U18)</f>
      </c>
      <c r="V19" s="741">
        <f>SUM(V17:V18)</f>
      </c>
      <c r="W19" s="740">
        <f>AVERAGE(W17:W18)</f>
      </c>
      <c r="X19" s="742"/>
      <c r="Y19" s="739">
        <f>AVERAGE(Y17:Y18)</f>
      </c>
      <c r="Z19" s="741">
        <f>SUM(Z17:Z18)</f>
      </c>
      <c r="AA19" s="741">
        <f>SUM(AA17:AA18)</f>
      </c>
      <c r="AB19" s="741">
        <f>SUM(AB17:AB18)</f>
      </c>
      <c r="AC19" s="741">
        <f>SUM(AC17:AC18)</f>
      </c>
      <c r="AD19" s="741">
        <f>SUM(AD17:AD18)</f>
      </c>
      <c r="AE19" s="741">
        <f>SUM(AE17:AE18)</f>
      </c>
      <c r="AF19" s="741">
        <f>SUM(AF17:AF18)</f>
      </c>
      <c r="AG19" s="741">
        <f>SUM(AG17:AG18)</f>
      </c>
    </row>
    <row r="20">
      <c r="A20" s="726" t="s">
        <v>1542</v>
      </c>
      <c r="B20" s="726" t="s">
        <v>1530</v>
      </c>
      <c r="C20" s="726" t="s">
        <v>1528</v>
      </c>
      <c r="D20" s="726">
        <v>4</v>
      </c>
      <c r="E20" s="726">
        <v>8</v>
      </c>
      <c r="F20" s="726">
        <v>9</v>
      </c>
      <c r="G20" s="726">
        <v>16330.69</v>
      </c>
      <c r="H20" s="727">
        <v>6652.860000000001</v>
      </c>
      <c r="I20" s="728">
        <f t="shared" si="2"/>
      </c>
      <c r="J20" s="728">
        <f t="shared" si="0"/>
      </c>
      <c r="K20" s="728">
        <f t="shared" si="4"/>
      </c>
      <c r="L20" s="726" t="s">
        <v>1541</v>
      </c>
      <c r="M20" s="729">
        <v>3.2</v>
      </c>
      <c r="N20" s="730"/>
      <c r="O20" s="726"/>
      <c r="P20" s="730"/>
      <c r="Q20" s="731">
        <v>3.531242038216561</v>
      </c>
      <c r="R20" s="732">
        <v>0.08147613047567949</v>
      </c>
      <c r="S20" s="732">
        <v>0.031124547752391336</v>
      </c>
      <c r="T20" s="732">
        <v>0.033668698683319294</v>
      </c>
      <c r="U20" s="732">
        <v>0.09617271835132483</v>
      </c>
      <c r="V20" s="733">
        <v>4931.831653823355</v>
      </c>
      <c r="W20" s="732">
        <v>0.042175000000000004</v>
      </c>
      <c r="X20" s="733">
        <v>39.5</v>
      </c>
      <c r="Y20" s="734">
        <v>109.90831144372306</v>
      </c>
      <c r="Z20" s="733">
        <v>60531</v>
      </c>
      <c r="AA20" s="733">
        <v>1884</v>
      </c>
      <c r="AB20" s="733">
        <v>208</v>
      </c>
      <c r="AC20" s="733">
        <v>2038</v>
      </c>
      <c r="AD20" s="733">
        <v>196</v>
      </c>
      <c r="AE20" s="733">
        <v>11</v>
      </c>
      <c r="AF20" s="733">
        <v>7</v>
      </c>
      <c r="AG20" s="733">
        <v>45</v>
      </c>
    </row>
    <row r="21">
      <c r="A21" s="726" t="s">
        <v>1542</v>
      </c>
      <c r="B21" s="726" t="s">
        <v>1535</v>
      </c>
      <c r="C21" s="726" t="s">
        <v>1531</v>
      </c>
      <c r="D21" s="726">
        <v>4</v>
      </c>
      <c r="E21" s="726">
        <v>8</v>
      </c>
      <c r="F21" s="726">
        <v>10</v>
      </c>
      <c r="G21" s="726">
        <v>24555.98</v>
      </c>
      <c r="H21" s="727">
        <v>11032.16</v>
      </c>
      <c r="I21" s="728">
        <f t="shared" si="2"/>
      </c>
      <c r="J21" s="728">
        <f t="shared" si="0"/>
      </c>
      <c r="K21" s="728">
        <f t="shared" si="4"/>
      </c>
      <c r="L21" s="726"/>
      <c r="M21" s="729"/>
      <c r="N21" s="726"/>
      <c r="O21" s="726"/>
      <c r="P21" s="730"/>
      <c r="Q21" s="734">
        <v>3.1792968299711815</v>
      </c>
      <c r="R21" s="732">
        <v>0.09991929348384843</v>
      </c>
      <c r="S21" s="732">
        <v>0.04203003875968992</v>
      </c>
      <c r="T21" s="732">
        <v>0.045760658914728684</v>
      </c>
      <c r="U21" s="732">
        <v>0.0706723133933298</v>
      </c>
      <c r="V21" s="733">
        <v>8249.336870026526</v>
      </c>
      <c r="W21" s="732">
        <v>0.0377</v>
      </c>
      <c r="X21" s="734">
        <v>35.5</v>
      </c>
      <c r="Y21" s="734">
        <v>133.62596899224806</v>
      </c>
      <c r="Z21" s="733">
        <v>82560</v>
      </c>
      <c r="AA21" s="733">
        <v>3470</v>
      </c>
      <c r="AB21" s="733">
        <v>311</v>
      </c>
      <c r="AC21" s="733">
        <v>3778</v>
      </c>
      <c r="AD21" s="733">
        <v>267</v>
      </c>
      <c r="AE21" s="733">
        <v>18</v>
      </c>
      <c r="AF21" s="733">
        <v>5</v>
      </c>
      <c r="AG21" s="733">
        <v>60</v>
      </c>
    </row>
    <row r="22">
      <c r="A22" s="735" t="s">
        <v>1542</v>
      </c>
      <c r="B22" s="735" t="s">
        <v>1532</v>
      </c>
      <c r="C22" s="736"/>
      <c r="D22" s="736">
        <f>SUM(D20:D21)</f>
      </c>
      <c r="E22" s="736">
        <f>E20+E21</f>
      </c>
      <c r="F22" s="736">
        <f>SUM(F20:F21)</f>
      </c>
      <c r="G22" s="736">
        <f>SUM(G20:G21)</f>
      </c>
      <c r="H22" s="736">
        <f>SUM(H20:H21)</f>
      </c>
      <c r="I22" s="737">
        <f t="shared" si="2"/>
      </c>
      <c r="J22" s="737">
        <f t="shared" si="0"/>
      </c>
      <c r="K22" s="737">
        <f t="shared" si="4"/>
      </c>
      <c r="L22" s="736"/>
      <c r="M22" s="738">
        <f>SUM(M20:M21)</f>
      </c>
      <c r="N22" s="736"/>
      <c r="O22" s="736"/>
      <c r="P22" s="736"/>
      <c r="Q22" s="739">
        <f>AVERAGE(Q20:Q21)</f>
      </c>
      <c r="R22" s="740">
        <f>AVERAGE(R20:R21)</f>
      </c>
      <c r="S22" s="740">
        <f>AVERAGE(S20:S21)</f>
      </c>
      <c r="T22" s="740">
        <f>AVERAGE(T20:T21)</f>
      </c>
      <c r="U22" s="740">
        <f>AVERAGE(U20:U21)</f>
      </c>
      <c r="V22" s="741">
        <f>SUM(V20:V21)</f>
      </c>
      <c r="W22" s="740">
        <f>AVERAGE(W20:W21)</f>
      </c>
      <c r="X22" s="742"/>
      <c r="Y22" s="739">
        <f>AVERAGE(Y20:Y21)</f>
      </c>
      <c r="Z22" s="741">
        <f>SUM(Z20:Z21)</f>
      </c>
      <c r="AA22" s="741">
        <f>SUM(AA20:AA21)</f>
      </c>
      <c r="AB22" s="741">
        <f>SUM(AB20:AB21)</f>
      </c>
      <c r="AC22" s="741">
        <f>SUM(AC20:AC21)</f>
      </c>
      <c r="AD22" s="741">
        <f>SUM(AD20:AD21)</f>
      </c>
      <c r="AE22" s="741">
        <f>SUM(AE20:AE21)</f>
      </c>
      <c r="AF22" s="741">
        <f>SUM(AF20:AF21)</f>
      </c>
      <c r="AG22" s="741">
        <f>SUM(AG20:AG21)</f>
      </c>
    </row>
    <row r="23">
      <c r="A23" s="726" t="s">
        <v>1543</v>
      </c>
      <c r="B23" s="726" t="s">
        <v>1527</v>
      </c>
      <c r="C23" s="726" t="s">
        <v>1528</v>
      </c>
      <c r="D23" s="726">
        <v>4</v>
      </c>
      <c r="E23" s="726">
        <v>5</v>
      </c>
      <c r="F23" s="726">
        <v>5</v>
      </c>
      <c r="G23" s="726">
        <v>8288.28</v>
      </c>
      <c r="H23" s="727">
        <v>6666.360000000001</v>
      </c>
      <c r="I23" s="728">
        <f t="shared" si="2"/>
      </c>
      <c r="J23" s="728">
        <f t="shared" si="0"/>
      </c>
      <c r="K23" s="728">
        <f t="shared" si="4"/>
      </c>
      <c r="L23" s="726" t="s">
        <v>1544</v>
      </c>
      <c r="M23" s="729">
        <v>3.2</v>
      </c>
      <c r="N23" s="730"/>
      <c r="O23" s="726"/>
      <c r="P23" s="730"/>
      <c r="Q23" s="731">
        <v>3.557289220917823</v>
      </c>
      <c r="R23" s="732">
        <v>0.14173443829889745</v>
      </c>
      <c r="S23" s="732">
        <v>0.03392899172596093</v>
      </c>
      <c r="T23" s="732">
        <v>0.03657233900023537</v>
      </c>
      <c r="U23" s="732">
        <v>0.07326732673267326</v>
      </c>
      <c r="V23" s="733">
        <v>7828.418230563003</v>
      </c>
      <c r="W23" s="732">
        <v>0.027975</v>
      </c>
      <c r="X23" s="733">
        <v>34.25</v>
      </c>
      <c r="Y23" s="734">
        <v>120.69523654337081</v>
      </c>
      <c r="Z23" s="733">
        <v>55233</v>
      </c>
      <c r="AA23" s="733">
        <v>1874</v>
      </c>
      <c r="AB23" s="733">
        <v>219</v>
      </c>
      <c r="AC23" s="733">
        <v>2020</v>
      </c>
      <c r="AD23" s="733">
        <v>148</v>
      </c>
      <c r="AE23" s="733">
        <v>14</v>
      </c>
      <c r="AF23" s="733">
        <v>7</v>
      </c>
      <c r="AG23" s="733">
        <v>71</v>
      </c>
    </row>
    <row r="24">
      <c r="A24" s="726" t="s">
        <v>1543</v>
      </c>
      <c r="B24" s="726" t="s">
        <v>1535</v>
      </c>
      <c r="C24" s="726" t="s">
        <v>1531</v>
      </c>
      <c r="D24" s="726">
        <v>4</v>
      </c>
      <c r="E24" s="726">
        <v>7</v>
      </c>
      <c r="F24" s="726">
        <v>7</v>
      </c>
      <c r="G24" s="726">
        <v>14034.74</v>
      </c>
      <c r="H24" s="727">
        <v>6621.05</v>
      </c>
      <c r="I24" s="728">
        <f t="shared" si="2"/>
      </c>
      <c r="J24" s="728">
        <f t="shared" si="0"/>
      </c>
      <c r="K24" s="728">
        <f t="shared" si="4"/>
      </c>
      <c r="L24" s="726"/>
      <c r="M24" s="729"/>
      <c r="N24" s="726"/>
      <c r="O24" s="726"/>
      <c r="P24" s="730"/>
      <c r="Q24" s="734">
        <v>2.810292869269949</v>
      </c>
      <c r="R24" s="732">
        <v>0.1504204655500497</v>
      </c>
      <c r="S24" s="732">
        <v>0.04023017946484982</v>
      </c>
      <c r="T24" s="732">
        <v>0.04347454877653126</v>
      </c>
      <c r="U24" s="732">
        <v>0.06952081696779261</v>
      </c>
      <c r="V24" s="733">
        <v>8809.073724007561</v>
      </c>
      <c r="W24" s="732">
        <v>0.02645</v>
      </c>
      <c r="X24" s="734">
        <v>35.75</v>
      </c>
      <c r="Y24" s="734">
        <v>113.05858647951779</v>
      </c>
      <c r="Z24" s="733">
        <v>58563</v>
      </c>
      <c r="AA24" s="733">
        <v>2356</v>
      </c>
      <c r="AB24" s="733">
        <v>233</v>
      </c>
      <c r="AC24" s="733">
        <v>2546</v>
      </c>
      <c r="AD24" s="733">
        <v>177</v>
      </c>
      <c r="AE24" s="733">
        <v>14</v>
      </c>
      <c r="AF24" s="733">
        <v>4</v>
      </c>
      <c r="AG24" s="733">
        <v>83</v>
      </c>
    </row>
    <row r="25">
      <c r="A25" s="735" t="s">
        <v>1543</v>
      </c>
      <c r="B25" s="735" t="s">
        <v>1532</v>
      </c>
      <c r="C25" s="736"/>
      <c r="D25" s="736">
        <f>SUM(D23:D24)</f>
      </c>
      <c r="E25" s="736">
        <f>E23+E24</f>
      </c>
      <c r="F25" s="736">
        <f>SUM(F23:F24)</f>
      </c>
      <c r="G25" s="736">
        <f>SUM(G23:G24)</f>
      </c>
      <c r="H25" s="736">
        <f>SUM(H23:H24)</f>
      </c>
      <c r="I25" s="737">
        <f t="shared" si="2"/>
      </c>
      <c r="J25" s="737">
        <f t="shared" si="0"/>
      </c>
      <c r="K25" s="737">
        <f t="shared" si="4"/>
      </c>
      <c r="L25" s="736"/>
      <c r="M25" s="738">
        <f>SUM(M23:M24)</f>
      </c>
      <c r="N25" s="736"/>
      <c r="O25" s="736"/>
      <c r="P25" s="736"/>
      <c r="Q25" s="739">
        <f>AVERAGE(Q23:Q24)</f>
      </c>
      <c r="R25" s="740">
        <f>AVERAGE(R23:R24)</f>
      </c>
      <c r="S25" s="740">
        <f>AVERAGE(S23:S24)</f>
      </c>
      <c r="T25" s="740">
        <f>AVERAGE(T23:T24)</f>
      </c>
      <c r="U25" s="740">
        <f>AVERAGE(U23:U24)</f>
      </c>
      <c r="V25" s="741">
        <f>SUM(V23:V24)</f>
      </c>
      <c r="W25" s="740">
        <f>AVERAGE(W23:W24)</f>
      </c>
      <c r="X25" s="742"/>
      <c r="Y25" s="739">
        <f>AVERAGE(Y23:Y24)</f>
      </c>
      <c r="Z25" s="741">
        <f>SUM(Z23:Z24)</f>
      </c>
      <c r="AA25" s="741">
        <f>SUM(AA23:AA24)</f>
      </c>
      <c r="AB25" s="741">
        <f>SUM(AB23:AB24)</f>
      </c>
      <c r="AC25" s="741">
        <f>SUM(AC23:AC24)</f>
      </c>
      <c r="AD25" s="741">
        <f>SUM(AD23:AD24)</f>
      </c>
      <c r="AE25" s="741">
        <f>SUM(AE23:AE24)</f>
      </c>
      <c r="AF25" s="741">
        <f>SUM(AF23:AF24)</f>
      </c>
      <c r="AG25" s="741">
        <f>SUM(AG23:AG24)</f>
      </c>
    </row>
    <row r="26">
      <c r="A26" s="726" t="s">
        <v>1545</v>
      </c>
      <c r="B26" s="726" t="s">
        <v>1527</v>
      </c>
      <c r="C26" s="726" t="s">
        <v>1528</v>
      </c>
      <c r="D26" s="726">
        <v>4</v>
      </c>
      <c r="E26" s="726">
        <v>7</v>
      </c>
      <c r="F26" s="726">
        <v>8</v>
      </c>
      <c r="G26" s="726">
        <v>14352.46</v>
      </c>
      <c r="H26" s="727">
        <v>6698.59</v>
      </c>
      <c r="I26" s="728">
        <f t="shared" si="2"/>
      </c>
      <c r="J26" s="728">
        <f t="shared" si="0"/>
      </c>
      <c r="K26" s="728">
        <f t="shared" si="4"/>
      </c>
      <c r="L26" s="726" t="s">
        <v>1541</v>
      </c>
      <c r="M26" s="729">
        <v>2.8</v>
      </c>
      <c r="N26" s="730"/>
      <c r="O26" s="726"/>
      <c r="P26" s="730"/>
      <c r="Q26" s="731">
        <v>4.291217168481743</v>
      </c>
      <c r="R26" s="732">
        <v>0.07316127064368073</v>
      </c>
      <c r="S26" s="732">
        <v>0.026260451188533554</v>
      </c>
      <c r="T26" s="732">
        <v>0.02770721531551234</v>
      </c>
      <c r="U26" s="732">
        <v>0.0922890103217972</v>
      </c>
      <c r="V26" s="733">
        <v>4348.9254108723135</v>
      </c>
      <c r="W26" s="732">
        <v>0.059325</v>
      </c>
      <c r="X26" s="733">
        <v>42.25</v>
      </c>
      <c r="Y26" s="734">
        <v>112.68929899231196</v>
      </c>
      <c r="Z26" s="733">
        <v>59443</v>
      </c>
      <c r="AA26" s="733">
        <v>1561</v>
      </c>
      <c r="AB26" s="733">
        <v>258</v>
      </c>
      <c r="AC26" s="733">
        <v>1647</v>
      </c>
      <c r="AD26" s="733">
        <v>152</v>
      </c>
      <c r="AE26" s="733">
        <v>6</v>
      </c>
      <c r="AF26" s="733">
        <v>2</v>
      </c>
      <c r="AG26" s="733">
        <v>78</v>
      </c>
    </row>
    <row r="27">
      <c r="A27" s="726" t="s">
        <v>1545</v>
      </c>
      <c r="B27" s="726" t="s">
        <v>1530</v>
      </c>
      <c r="C27" s="726" t="s">
        <v>1546</v>
      </c>
      <c r="D27" s="726">
        <v>3</v>
      </c>
      <c r="E27" s="726">
        <v>9</v>
      </c>
      <c r="F27" s="726">
        <v>10</v>
      </c>
      <c r="G27" s="726">
        <v>20095.16</v>
      </c>
      <c r="H27" s="727">
        <v>9316.61</v>
      </c>
      <c r="I27" s="728">
        <f t="shared" si="2"/>
      </c>
      <c r="J27" s="728">
        <f t="shared" si="0"/>
      </c>
      <c r="K27" s="728">
        <f t="shared" si="4"/>
      </c>
      <c r="L27" s="726"/>
      <c r="M27" s="729"/>
      <c r="N27" s="726"/>
      <c r="O27" s="726"/>
      <c r="P27" s="730"/>
      <c r="Q27" s="734">
        <v>4.082651183172656</v>
      </c>
      <c r="R27" s="732">
        <v>0.048685525035491756</v>
      </c>
      <c r="S27" s="732">
        <v>0.03213903442059602</v>
      </c>
      <c r="T27" s="732">
        <v>0.03395583347417047</v>
      </c>
      <c r="U27" s="732">
        <v>0.09539610120282041</v>
      </c>
      <c r="V27" s="733">
        <v>3456.8670196200565</v>
      </c>
      <c r="W27" s="732">
        <v>0.10703333333333333</v>
      </c>
      <c r="X27" s="734">
        <v>49</v>
      </c>
      <c r="Y27" s="734">
        <v>131.21246690327305</v>
      </c>
      <c r="Z27" s="733">
        <v>71004</v>
      </c>
      <c r="AA27" s="733">
        <v>2282</v>
      </c>
      <c r="AB27" s="733">
        <v>370</v>
      </c>
      <c r="AC27" s="733">
        <v>2411</v>
      </c>
      <c r="AD27" s="733">
        <v>230</v>
      </c>
      <c r="AE27" s="733">
        <v>34</v>
      </c>
      <c r="AF27" s="733">
        <v>5</v>
      </c>
      <c r="AG27" s="733">
        <v>109</v>
      </c>
    </row>
    <row r="28">
      <c r="A28" s="735" t="s">
        <v>1545</v>
      </c>
      <c r="B28" s="735" t="s">
        <v>1532</v>
      </c>
      <c r="C28" s="736"/>
      <c r="D28" s="736">
        <f>SUM(D26:D27)</f>
      </c>
      <c r="E28" s="736">
        <f>E26+E27</f>
      </c>
      <c r="F28" s="736">
        <f>SUM(F26:F27)</f>
      </c>
      <c r="G28" s="736">
        <f>SUM(G26:G27)</f>
      </c>
      <c r="H28" s="736">
        <f>SUM(H26:H27)</f>
      </c>
      <c r="I28" s="737">
        <f t="shared" si="2"/>
      </c>
      <c r="J28" s="737">
        <f t="shared" si="0"/>
      </c>
      <c r="K28" s="737">
        <f t="shared" si="4"/>
      </c>
      <c r="L28" s="736"/>
      <c r="M28" s="738">
        <f>SUM(M26:M27)</f>
      </c>
      <c r="N28" s="736"/>
      <c r="O28" s="736"/>
      <c r="P28" s="736"/>
      <c r="Q28" s="739">
        <f>AVERAGE(Q26:Q27)</f>
      </c>
      <c r="R28" s="740">
        <f>AVERAGE(R26:R27)</f>
      </c>
      <c r="S28" s="740">
        <f>AVERAGE(S26:S27)</f>
      </c>
      <c r="T28" s="740">
        <f>AVERAGE(T26:T27)</f>
      </c>
      <c r="U28" s="740">
        <f>AVERAGE(U26:U27)</f>
      </c>
      <c r="V28" s="741">
        <f>SUM(V26:V27)</f>
      </c>
      <c r="W28" s="740">
        <f>AVERAGE(W26:W27)</f>
      </c>
      <c r="X28" s="742"/>
      <c r="Y28" s="739">
        <f>AVERAGE(Y26:Y27)</f>
      </c>
      <c r="Z28" s="741">
        <f>SUM(Z26:Z27)</f>
      </c>
      <c r="AA28" s="741">
        <f>SUM(AA26:AA27)</f>
      </c>
      <c r="AB28" s="741">
        <f>SUM(AB26:AB27)</f>
      </c>
      <c r="AC28" s="741">
        <f>SUM(AC26:AC27)</f>
      </c>
      <c r="AD28" s="741">
        <f>SUM(AD26:AD27)</f>
      </c>
      <c r="AE28" s="741">
        <f>SUM(AE26:AE27)</f>
      </c>
      <c r="AF28" s="741">
        <f>SUM(AF26:AF27)</f>
      </c>
      <c r="AG28" s="741">
        <f>SUM(AG26:AG27)</f>
      </c>
    </row>
    <row r="29">
      <c r="A29" s="726" t="s">
        <v>1547</v>
      </c>
      <c r="B29" s="726" t="s">
        <v>1527</v>
      </c>
      <c r="C29" s="726" t="s">
        <v>1528</v>
      </c>
      <c r="D29" s="726">
        <v>4</v>
      </c>
      <c r="E29" s="726">
        <v>13</v>
      </c>
      <c r="F29" s="726">
        <v>15</v>
      </c>
      <c r="G29" s="726">
        <v>25605.45</v>
      </c>
      <c r="H29" s="727">
        <v>10988.41</v>
      </c>
      <c r="I29" s="728">
        <f t="shared" si="2"/>
      </c>
      <c r="J29" s="728">
        <f t="shared" si="0"/>
      </c>
      <c r="K29" s="728">
        <f t="shared" si="4"/>
      </c>
      <c r="L29" s="726" t="s">
        <v>1529</v>
      </c>
      <c r="M29" s="729">
        <v>1</v>
      </c>
      <c r="N29" s="730"/>
      <c r="O29" s="726"/>
      <c r="P29" s="730"/>
      <c r="Q29" s="731">
        <v>4.1124288922155685</v>
      </c>
      <c r="R29" s="732">
        <v>0.07824653602542767</v>
      </c>
      <c r="S29" s="732">
        <v>0.02457644267029672</v>
      </c>
      <c r="T29" s="732">
        <v>0.02624123912363643</v>
      </c>
      <c r="U29" s="732">
        <v>0.09674027339642481</v>
      </c>
      <c r="V29" s="733">
        <v>8507.119889756546</v>
      </c>
      <c r="W29" s="732">
        <v>0.054424999999999994</v>
      </c>
      <c r="X29" s="733">
        <v>54.75</v>
      </c>
      <c r="Y29" s="734">
        <v>101.06887290520777</v>
      </c>
      <c r="Z29" s="733">
        <v>108722</v>
      </c>
      <c r="AA29" s="733">
        <v>2672</v>
      </c>
      <c r="AB29" s="733">
        <v>463</v>
      </c>
      <c r="AC29" s="733">
        <v>2853</v>
      </c>
      <c r="AD29" s="733">
        <v>276</v>
      </c>
      <c r="AE29" s="733">
        <v>30</v>
      </c>
      <c r="AF29" s="733">
        <v>4</v>
      </c>
      <c r="AG29" s="733">
        <v>106</v>
      </c>
    </row>
    <row r="30">
      <c r="A30" s="726" t="s">
        <v>1547</v>
      </c>
      <c r="B30" s="726" t="s">
        <v>1535</v>
      </c>
      <c r="C30" s="726" t="s">
        <v>1531</v>
      </c>
      <c r="D30" s="726">
        <v>4</v>
      </c>
      <c r="E30" s="726">
        <v>7</v>
      </c>
      <c r="F30" s="726">
        <v>13</v>
      </c>
      <c r="G30" s="726">
        <v>27239.37</v>
      </c>
      <c r="H30" s="727">
        <v>8092.17</v>
      </c>
      <c r="I30" s="728">
        <f t="shared" si="2"/>
      </c>
      <c r="J30" s="728">
        <f t="shared" si="0"/>
      </c>
      <c r="K30" s="728">
        <f t="shared" si="4"/>
      </c>
      <c r="L30" s="726" t="s">
        <v>1541</v>
      </c>
      <c r="M30" s="729">
        <v>2.2</v>
      </c>
      <c r="N30" s="726"/>
      <c r="O30" s="726"/>
      <c r="P30" s="730"/>
      <c r="Q30" s="734">
        <v>2.505315789473684</v>
      </c>
      <c r="R30" s="732">
        <v>0.14047750828900635</v>
      </c>
      <c r="S30" s="732">
        <v>0.052449539645681435</v>
      </c>
      <c r="T30" s="732">
        <v>0.05587580988259747</v>
      </c>
      <c r="U30" s="732">
        <v>0.07410636442894507</v>
      </c>
      <c r="V30" s="733">
        <v>8651.026392961878</v>
      </c>
      <c r="W30" s="732">
        <v>0.0341</v>
      </c>
      <c r="X30" s="734">
        <v>43.5</v>
      </c>
      <c r="Y30" s="734">
        <v>131.40265982495168</v>
      </c>
      <c r="Z30" s="733">
        <v>61583</v>
      </c>
      <c r="AA30" s="733">
        <v>3230</v>
      </c>
      <c r="AB30" s="733">
        <v>295</v>
      </c>
      <c r="AC30" s="733">
        <v>3441</v>
      </c>
      <c r="AD30" s="733">
        <v>255</v>
      </c>
      <c r="AE30" s="733">
        <v>21</v>
      </c>
      <c r="AF30" s="733">
        <v>3</v>
      </c>
      <c r="AG30" s="733">
        <v>75</v>
      </c>
    </row>
    <row r="31">
      <c r="A31" s="735" t="s">
        <v>1547</v>
      </c>
      <c r="B31" s="735" t="s">
        <v>1532</v>
      </c>
      <c r="C31" s="736"/>
      <c r="D31" s="736">
        <f>SUM(D29:D30)</f>
      </c>
      <c r="E31" s="736">
        <f>E29+E30</f>
      </c>
      <c r="F31" s="736">
        <f>SUM(F29:F30)</f>
      </c>
      <c r="G31" s="736">
        <f>SUM(G29:G30)</f>
      </c>
      <c r="H31" s="736">
        <f>SUM(H29:H30)</f>
      </c>
      <c r="I31" s="737">
        <f t="shared" si="2"/>
      </c>
      <c r="J31" s="737">
        <f t="shared" si="0"/>
      </c>
      <c r="K31" s="737">
        <f t="shared" si="4"/>
      </c>
      <c r="L31" s="736"/>
      <c r="M31" s="738">
        <f>SUM(M29:M30)</f>
      </c>
      <c r="N31" s="736"/>
      <c r="O31" s="736"/>
      <c r="P31" s="736"/>
      <c r="Q31" s="739">
        <f>AVERAGE(Q29:Q30)</f>
      </c>
      <c r="R31" s="740">
        <f>AVERAGE(R29:R30)</f>
      </c>
      <c r="S31" s="740">
        <f>AVERAGE(S29:S30)</f>
      </c>
      <c r="T31" s="740">
        <f>AVERAGE(T29:T30)</f>
      </c>
      <c r="U31" s="740">
        <f>AVERAGE(U29:U30)</f>
      </c>
      <c r="V31" s="741">
        <f>SUM(V29:V30)</f>
      </c>
      <c r="W31" s="740">
        <f>AVERAGE(W29:W30)</f>
      </c>
      <c r="X31" s="742"/>
      <c r="Y31" s="739">
        <f>AVERAGE(Y29:Y30)</f>
      </c>
      <c r="Z31" s="741">
        <f>SUM(Z29:Z30)</f>
      </c>
      <c r="AA31" s="741">
        <f>SUM(AA29:AA30)</f>
      </c>
      <c r="AB31" s="741">
        <f>SUM(AB29:AB30)</f>
      </c>
      <c r="AC31" s="741">
        <f>SUM(AC29:AC30)</f>
      </c>
      <c r="AD31" s="741">
        <f>SUM(AD29:AD30)</f>
      </c>
      <c r="AE31" s="741">
        <f>SUM(AE29:AE30)</f>
      </c>
      <c r="AF31" s="741">
        <f>SUM(AF29:AF30)</f>
      </c>
      <c r="AG31" s="741">
        <f>SUM(AG29:AG30)</f>
      </c>
    </row>
    <row r="32">
      <c r="A32" s="726" t="s">
        <v>1548</v>
      </c>
      <c r="B32" s="726" t="s">
        <v>1530</v>
      </c>
      <c r="C32" s="726" t="s">
        <v>1549</v>
      </c>
      <c r="D32" s="726">
        <v>2</v>
      </c>
      <c r="E32" s="726">
        <v>0</v>
      </c>
      <c r="F32" s="726">
        <v>0</v>
      </c>
      <c r="G32" s="726">
        <v>0</v>
      </c>
      <c r="H32" s="727">
        <v>1710.5299999999997</v>
      </c>
      <c r="I32" s="728">
        <f t="shared" si="2"/>
      </c>
      <c r="J32" s="728">
        <f t="shared" si="0"/>
      </c>
      <c r="K32" s="728">
        <f t="shared" si="4"/>
      </c>
      <c r="L32" s="743" t="s">
        <v>1550</v>
      </c>
      <c r="M32" s="729">
        <v>9</v>
      </c>
      <c r="N32" s="730"/>
      <c r="O32" s="726"/>
      <c r="P32" s="730"/>
      <c r="Q32" s="731">
        <v>0.568282392026578</v>
      </c>
      <c r="R32" s="732">
        <v>0.0656432159924379</v>
      </c>
      <c r="S32" s="732">
        <v>0.052689621369930155</v>
      </c>
      <c r="T32" s="732">
        <v>0.060041661561083204</v>
      </c>
      <c r="U32" s="732">
        <v>0.009912536443148687</v>
      </c>
      <c r="V32" s="733">
        <v>3750</v>
      </c>
      <c r="W32" s="732">
        <v>0.0112</v>
      </c>
      <c r="X32" s="733">
        <v>25</v>
      </c>
      <c r="Y32" s="734">
        <v>29.942584067078613</v>
      </c>
      <c r="Z32" s="733">
        <v>57127</v>
      </c>
      <c r="AA32" s="733">
        <v>3010</v>
      </c>
      <c r="AB32" s="733">
        <v>42</v>
      </c>
      <c r="AC32" s="733">
        <v>3430</v>
      </c>
      <c r="AD32" s="733">
        <v>34</v>
      </c>
      <c r="AE32" s="733">
        <v>4</v>
      </c>
      <c r="AF32" s="733">
        <v>0</v>
      </c>
      <c r="AG32" s="733">
        <v>5</v>
      </c>
    </row>
    <row customHeight="true" ht="16.071428571428573" r="33">
      <c r="A33" s="726" t="s">
        <v>1548</v>
      </c>
      <c r="B33" s="726" t="s">
        <v>1527</v>
      </c>
      <c r="C33" s="726" t="s">
        <v>1551</v>
      </c>
      <c r="D33" s="726">
        <v>4</v>
      </c>
      <c r="E33" s="726">
        <v>0</v>
      </c>
      <c r="F33" s="726">
        <v>0</v>
      </c>
      <c r="G33" s="726">
        <v>0</v>
      </c>
      <c r="H33" s="727">
        <v>5085.12</v>
      </c>
      <c r="I33" s="728">
        <f t="shared" si="2"/>
      </c>
      <c r="J33" s="728">
        <f t="shared" si="0"/>
      </c>
      <c r="K33" s="728">
        <f t="shared" si="4"/>
      </c>
      <c r="L33" s="726"/>
      <c r="M33" s="729"/>
      <c r="N33" s="726"/>
      <c r="O33" s="726"/>
      <c r="P33" s="730"/>
      <c r="Q33" s="734">
        <v>0.5284339603034397</v>
      </c>
      <c r="R33" s="732">
        <v>0.2517165351447771</v>
      </c>
      <c r="S33" s="732">
        <v>0.03303093024133895</v>
      </c>
      <c r="T33" s="732">
        <v>0.027350145709548867</v>
      </c>
      <c r="U33" s="732">
        <v>0.002133534136546185</v>
      </c>
      <c r="V33" s="733">
        <v>73333.33333333334</v>
      </c>
      <c r="W33" s="732">
        <v>0.0007499999999999999</v>
      </c>
      <c r="X33" s="734">
        <v>33</v>
      </c>
      <c r="Y33" s="734">
        <v>17.45466527993739</v>
      </c>
      <c r="Z33" s="733">
        <v>291333</v>
      </c>
      <c r="AA33" s="733">
        <v>9623</v>
      </c>
      <c r="AB33" s="733">
        <v>55</v>
      </c>
      <c r="AC33" s="733">
        <v>7968</v>
      </c>
      <c r="AD33" s="733">
        <v>17</v>
      </c>
      <c r="AE33" s="733">
        <v>1</v>
      </c>
      <c r="AF33" s="733">
        <v>0</v>
      </c>
      <c r="AG33" s="733">
        <v>189</v>
      </c>
    </row>
    <row customHeight="true" ht="16.071428571428573" r="34">
      <c r="A34" s="726" t="s">
        <v>1548</v>
      </c>
      <c r="B34" s="726" t="s">
        <v>1530</v>
      </c>
      <c r="C34" s="726" t="s">
        <v>1552</v>
      </c>
      <c r="D34" s="726">
        <v>5</v>
      </c>
      <c r="E34" s="726">
        <v>14</v>
      </c>
      <c r="F34" s="726">
        <v>16</v>
      </c>
      <c r="G34" s="726">
        <v>29832.72</v>
      </c>
      <c r="H34" s="727">
        <v>13812.09</v>
      </c>
      <c r="I34" s="728">
        <f t="shared" si="2"/>
      </c>
      <c r="J34" s="728">
        <f t="shared" si="0"/>
      </c>
      <c r="K34" s="728">
        <f t="shared" si="4"/>
      </c>
      <c r="L34" s="726" t="s">
        <v>1553</v>
      </c>
      <c r="M34" s="729">
        <v>0.4</v>
      </c>
      <c r="N34" s="726"/>
      <c r="O34" s="726"/>
      <c r="P34" s="730"/>
      <c r="Q34" s="734">
        <v>4.5705129053606885</v>
      </c>
      <c r="R34" s="732">
        <v>0.1270844406103715</v>
      </c>
      <c r="S34" s="732">
        <v>0.026606796971297763</v>
      </c>
      <c r="T34" s="732">
        <v>0.028182778658214475</v>
      </c>
      <c r="U34" s="732">
        <v>0.11683848797250859</v>
      </c>
      <c r="V34" s="733">
        <v>14434.250764525994</v>
      </c>
      <c r="W34" s="732">
        <v>0.0327</v>
      </c>
      <c r="X34" s="734">
        <v>46</v>
      </c>
      <c r="Y34" s="734">
        <v>121.6067089276281</v>
      </c>
      <c r="Z34" s="733">
        <v>113580</v>
      </c>
      <c r="AA34" s="733">
        <v>3022</v>
      </c>
      <c r="AB34" s="733">
        <v>472</v>
      </c>
      <c r="AC34" s="733">
        <v>3201</v>
      </c>
      <c r="AD34" s="733">
        <v>374</v>
      </c>
      <c r="AE34" s="733">
        <v>29</v>
      </c>
      <c r="AF34" s="733">
        <v>12</v>
      </c>
      <c r="AG34" s="733">
        <v>101</v>
      </c>
    </row>
    <row r="35">
      <c r="A35" s="726" t="s">
        <v>1548</v>
      </c>
      <c r="B35" s="726" t="s">
        <v>1535</v>
      </c>
      <c r="C35" s="726" t="s">
        <v>1554</v>
      </c>
      <c r="D35" s="726">
        <v>5</v>
      </c>
      <c r="E35" s="726">
        <v>9</v>
      </c>
      <c r="F35" s="726">
        <v>15</v>
      </c>
      <c r="G35" s="726">
        <v>32443.95</v>
      </c>
      <c r="H35" s="727">
        <v>13032.310000000001</v>
      </c>
      <c r="I35" s="728">
        <f t="shared" si="2"/>
      </c>
      <c r="J35" s="728">
        <f t="shared" si="0"/>
      </c>
      <c r="K35" s="728">
        <f t="shared" si="4"/>
      </c>
      <c r="L35" s="726" t="s">
        <v>1541</v>
      </c>
      <c r="M35" s="729">
        <v>2.4</v>
      </c>
      <c r="N35" s="726"/>
      <c r="O35" s="726"/>
      <c r="P35" s="730"/>
      <c r="Q35" s="734">
        <v>2.466838917281848</v>
      </c>
      <c r="R35" s="732">
        <v>0.1085262507896737</v>
      </c>
      <c r="S35" s="732">
        <v>0.04761089381950578</v>
      </c>
      <c r="T35" s="732">
        <v>0.05104450172131</v>
      </c>
      <c r="U35" s="732">
        <v>0.05526129943502825</v>
      </c>
      <c r="V35" s="733">
        <v>12042.289840123774</v>
      </c>
      <c r="W35" s="732">
        <v>0.03878</v>
      </c>
      <c r="X35" s="734">
        <v>39.2</v>
      </c>
      <c r="Y35" s="734">
        <v>117.44840576053065</v>
      </c>
      <c r="Z35" s="733">
        <v>110962</v>
      </c>
      <c r="AA35" s="733">
        <v>5283</v>
      </c>
      <c r="AB35" s="733">
        <v>467</v>
      </c>
      <c r="AC35" s="733">
        <v>5664</v>
      </c>
      <c r="AD35" s="733">
        <v>313</v>
      </c>
      <c r="AE35" s="733">
        <v>19</v>
      </c>
      <c r="AF35" s="733">
        <v>6</v>
      </c>
      <c r="AG35" s="733">
        <v>99</v>
      </c>
    </row>
    <row r="36">
      <c r="A36" s="735" t="s">
        <v>1548</v>
      </c>
      <c r="B36" s="735" t="s">
        <v>1532</v>
      </c>
      <c r="C36" s="736"/>
      <c r="D36" s="736">
        <f>SUM(D32:D35)</f>
      </c>
      <c r="E36" s="736">
        <f>E32+E35</f>
      </c>
      <c r="F36" s="736">
        <f>SUM(F32:F35)</f>
      </c>
      <c r="G36" s="736">
        <f>SUM(G32:G35)</f>
      </c>
      <c r="H36" s="736">
        <f>SUM(H32:H35)</f>
      </c>
      <c r="I36" s="737">
        <f t="shared" si="2"/>
      </c>
      <c r="J36" s="737">
        <f t="shared" si="0"/>
      </c>
      <c r="K36" s="737">
        <f t="shared" si="4"/>
      </c>
      <c r="L36" s="736"/>
      <c r="M36" s="738">
        <f>SUM(M32:M35)</f>
      </c>
      <c r="N36" s="736"/>
      <c r="O36" s="736"/>
      <c r="P36" s="736"/>
      <c r="Q36" s="739">
        <f>AVERAGE(Q32:Q35)</f>
      </c>
      <c r="R36" s="740">
        <f>AVERAGE(R32:R35)</f>
      </c>
      <c r="S36" s="740">
        <f>AVERAGE(S32:S35)</f>
      </c>
      <c r="T36" s="740">
        <f>AVERAGE(T32:T35)</f>
      </c>
      <c r="U36" s="740">
        <f>AVERAGE(U32:U35)</f>
      </c>
      <c r="V36" s="741">
        <f>SUM(V32:V35)</f>
      </c>
      <c r="W36" s="740">
        <f>AVERAGE(W32:W35)</f>
      </c>
      <c r="X36" s="742"/>
      <c r="Y36" s="739">
        <f>AVERAGE(Y32:Y35)</f>
      </c>
      <c r="Z36" s="741">
        <f>SUM(Z32:Z35)</f>
      </c>
      <c r="AA36" s="741">
        <f>SUM(AA32:AA35)</f>
      </c>
      <c r="AB36" s="741">
        <f>SUM(AB32:AB35)</f>
      </c>
      <c r="AC36" s="741">
        <f>SUM(AC32:AC35)</f>
      </c>
      <c r="AD36" s="741">
        <f>SUM(AD32:AD35)</f>
      </c>
      <c r="AE36" s="741">
        <f>SUM(AE32:AE35)</f>
      </c>
      <c r="AF36" s="741">
        <f>SUM(AF32:AF35)</f>
      </c>
      <c r="AG36" s="741">
        <f>SUM(AG32:AG35)</f>
      </c>
    </row>
    <row r="37">
      <c r="A37" s="744" t="s">
        <v>1555</v>
      </c>
      <c r="B37" s="744" t="s">
        <v>1527</v>
      </c>
      <c r="C37" s="744" t="s">
        <v>1556</v>
      </c>
      <c r="D37" s="744">
        <v>6</v>
      </c>
      <c r="E37" s="744">
        <v>0</v>
      </c>
      <c r="F37" s="745">
        <v>3</v>
      </c>
      <c r="G37" s="745">
        <v>2520.59</v>
      </c>
      <c r="H37" s="746">
        <v>6432.06</v>
      </c>
      <c r="I37" s="747">
        <f t="shared" si="2"/>
      </c>
      <c r="J37" s="747">
        <f t="shared" si="0"/>
      </c>
      <c r="K37" s="747">
        <f t="shared" si="4"/>
      </c>
      <c r="L37" s="743" t="s">
        <v>1550</v>
      </c>
      <c r="M37" s="748">
        <v>8</v>
      </c>
      <c r="N37" s="744"/>
      <c r="O37" s="744"/>
      <c r="P37" s="744"/>
      <c r="Q37" s="749">
        <v>0.44441788157258344</v>
      </c>
      <c r="R37" s="750">
        <v>0.11115577926685354</v>
      </c>
      <c r="S37" s="750">
        <v>0.026812626555486187</v>
      </c>
      <c r="T37" s="750">
        <v>0.02037855953225648</v>
      </c>
      <c r="U37" s="750">
        <v>0.0023636363636363638</v>
      </c>
      <c r="V37" s="751">
        <v>60000</v>
      </c>
      <c r="W37" s="750">
        <v>0.00065</v>
      </c>
      <c r="X37" s="749">
        <v>40.833333333333336</v>
      </c>
      <c r="Y37" s="749">
        <v>11.916010693185967</v>
      </c>
      <c r="Z37" s="751">
        <v>539783</v>
      </c>
      <c r="AA37" s="751">
        <v>14473</v>
      </c>
      <c r="AB37" s="751">
        <v>39</v>
      </c>
      <c r="AC37" s="751">
        <v>11000</v>
      </c>
      <c r="AD37" s="751">
        <v>26</v>
      </c>
      <c r="AE37" s="751">
        <v>7</v>
      </c>
      <c r="AF37" s="751">
        <v>2</v>
      </c>
      <c r="AG37" s="751">
        <v>267</v>
      </c>
      <c r="AH37" s="752"/>
    </row>
    <row r="38">
      <c r="A38" s="744" t="s">
        <v>1555</v>
      </c>
      <c r="B38" s="744" t="s">
        <v>1530</v>
      </c>
      <c r="C38" s="744" t="s">
        <v>1557</v>
      </c>
      <c r="D38" s="744">
        <v>5</v>
      </c>
      <c r="E38" s="744">
        <v>16</v>
      </c>
      <c r="F38" s="745">
        <v>15</v>
      </c>
      <c r="G38" s="744">
        <v>28833.35</v>
      </c>
      <c r="H38" s="746">
        <v>12849.28</v>
      </c>
      <c r="I38" s="747">
        <f t="shared" si="2"/>
      </c>
      <c r="J38" s="747">
        <f t="shared" si="0"/>
      </c>
      <c r="K38" s="747">
        <f t="shared" si="4"/>
      </c>
      <c r="L38" s="744" t="s">
        <v>1541</v>
      </c>
      <c r="M38" s="748">
        <v>0.4</v>
      </c>
      <c r="N38" s="744"/>
      <c r="O38" s="744"/>
      <c r="P38" s="744"/>
      <c r="Q38" s="749">
        <v>4.152967032967033</v>
      </c>
      <c r="R38" s="750">
        <v>0.0705291386214397</v>
      </c>
      <c r="S38" s="750">
        <v>0.023109039712593454</v>
      </c>
      <c r="T38" s="750">
        <v>0.024647650630755788</v>
      </c>
      <c r="U38" s="750">
        <v>0.12454545454545454</v>
      </c>
      <c r="V38" s="751">
        <v>9442.934782608696</v>
      </c>
      <c r="W38" s="750">
        <v>0.05888</v>
      </c>
      <c r="X38" s="749">
        <v>53</v>
      </c>
      <c r="Y38" s="749">
        <v>95.97108008992657</v>
      </c>
      <c r="Z38" s="751">
        <v>133887</v>
      </c>
      <c r="AA38" s="751">
        <v>3094</v>
      </c>
      <c r="AB38" s="751">
        <v>556</v>
      </c>
      <c r="AC38" s="751">
        <v>3300</v>
      </c>
      <c r="AD38" s="751">
        <v>411</v>
      </c>
      <c r="AE38" s="751">
        <v>26</v>
      </c>
      <c r="AF38" s="751">
        <v>8</v>
      </c>
      <c r="AG38" s="751">
        <v>129</v>
      </c>
      <c r="AH38" s="752"/>
    </row>
    <row r="39">
      <c r="A39" s="744" t="s">
        <v>1555</v>
      </c>
      <c r="B39" s="744" t="s">
        <v>1535</v>
      </c>
      <c r="C39" s="744" t="s">
        <v>1558</v>
      </c>
      <c r="D39" s="744">
        <v>5</v>
      </c>
      <c r="E39" s="744">
        <v>16</v>
      </c>
      <c r="F39" s="745">
        <v>27</v>
      </c>
      <c r="G39" s="744">
        <v>56253.64</v>
      </c>
      <c r="H39" s="746">
        <v>21316.829999999998</v>
      </c>
      <c r="I39" s="747">
        <f t="shared" si="2"/>
      </c>
      <c r="J39" s="747">
        <f t="shared" si="0"/>
      </c>
      <c r="K39" s="747">
        <f t="shared" si="4"/>
      </c>
      <c r="L39" s="744" t="s">
        <v>1534</v>
      </c>
      <c r="M39" s="748">
        <v>3.4</v>
      </c>
      <c r="N39" s="744"/>
      <c r="O39" s="744"/>
      <c r="P39" s="744"/>
      <c r="Q39" s="749">
        <v>3.0487457093821506</v>
      </c>
      <c r="R39" s="750">
        <v>0.13005976971556144</v>
      </c>
      <c r="S39" s="750">
        <v>0.028937522762639473</v>
      </c>
      <c r="T39" s="750">
        <v>0.030659206039135186</v>
      </c>
      <c r="U39" s="750">
        <v>0.06479481641468683</v>
      </c>
      <c r="V39" s="751">
        <v>31425.561797752816</v>
      </c>
      <c r="W39" s="750">
        <v>0.028479999999999995</v>
      </c>
      <c r="X39" s="749">
        <v>46.8</v>
      </c>
      <c r="Y39" s="749">
        <v>88.22314836274542</v>
      </c>
      <c r="Z39" s="751">
        <v>241624</v>
      </c>
      <c r="AA39" s="751">
        <v>6992</v>
      </c>
      <c r="AB39" s="751">
        <v>895</v>
      </c>
      <c r="AC39" s="751">
        <v>7408</v>
      </c>
      <c r="AD39" s="751">
        <v>480</v>
      </c>
      <c r="AE39" s="751">
        <v>63</v>
      </c>
      <c r="AF39" s="751">
        <v>11</v>
      </c>
      <c r="AG39" s="751">
        <v>210</v>
      </c>
      <c r="AH39" s="752"/>
    </row>
    <row r="40">
      <c r="A40" s="753" t="s">
        <v>1555</v>
      </c>
      <c r="B40" s="753" t="s">
        <v>1532</v>
      </c>
      <c r="C40" s="753"/>
      <c r="D40" s="753">
        <f>SUM(D37:D39)</f>
      </c>
      <c r="E40" s="753">
        <f>SUM(E37:E39)</f>
      </c>
      <c r="F40" s="753">
        <f>SUM(F37:F39)</f>
      </c>
      <c r="G40" s="753">
        <f>SUM(G37:G39)</f>
      </c>
      <c r="H40" s="753">
        <f>SUM(H37:H39)</f>
      </c>
      <c r="I40" s="754">
        <f t="shared" si="2"/>
      </c>
      <c r="J40" s="754">
        <f t="shared" si="0"/>
      </c>
      <c r="K40" s="754">
        <f t="shared" si="4"/>
      </c>
      <c r="L40" s="753"/>
      <c r="M40" s="753">
        <f>SUM(M37:M39)</f>
      </c>
      <c r="N40" s="753"/>
      <c r="O40" s="753"/>
      <c r="P40" s="753"/>
      <c r="Q40" s="755">
        <f>AVERAGE(Q36:Q39)</f>
      </c>
      <c r="R40" s="756">
        <f>AVERAGE(R36:R39)</f>
      </c>
      <c r="S40" s="756">
        <f>AVERAGE(S36:S39)</f>
      </c>
      <c r="T40" s="756">
        <f>AVERAGE(T36:T39)</f>
      </c>
      <c r="U40" s="756">
        <f>AVERAGE(U36:U39)</f>
      </c>
      <c r="V40" s="757">
        <f>SUM(V36:V39)</f>
      </c>
      <c r="W40" s="756">
        <f>AVERAGE(W36:W39)</f>
      </c>
      <c r="X40" s="757"/>
      <c r="Y40" s="755">
        <f>AVERAGE(Y36:Y39)</f>
      </c>
      <c r="Z40" s="757">
        <f>SUM(Z36:Z39)</f>
      </c>
      <c r="AA40" s="757">
        <f>SUM(AA36:AA39)</f>
      </c>
      <c r="AB40" s="757">
        <f>SUM(AB36:AB39)</f>
      </c>
      <c r="AC40" s="757">
        <f>SUM(AC36:AC39)</f>
      </c>
      <c r="AD40" s="757">
        <f>SUM(AD36:AD39)</f>
      </c>
      <c r="AE40" s="757">
        <f>SUM(AE36:AE39)</f>
      </c>
      <c r="AF40" s="757">
        <f>SUM(AF36:AF39)</f>
      </c>
      <c r="AG40" s="757">
        <f>SUM(AG36:AG39)</f>
      </c>
      <c r="AH40" s="752"/>
    </row>
    <row r="41">
      <c r="A41" s="726" t="s">
        <v>1559</v>
      </c>
      <c r="B41" s="726" t="s">
        <v>1530</v>
      </c>
      <c r="C41" s="726" t="s">
        <v>1560</v>
      </c>
      <c r="D41" s="726">
        <v>5</v>
      </c>
      <c r="E41" s="726">
        <v>2</v>
      </c>
      <c r="F41" s="726">
        <v>3</v>
      </c>
      <c r="G41" s="726">
        <v>5849.42</v>
      </c>
      <c r="H41" s="727">
        <v>9845.08</v>
      </c>
      <c r="I41" s="728">
        <f t="shared" si="2"/>
      </c>
      <c r="J41" s="728">
        <f t="shared" si="0"/>
      </c>
      <c r="K41" s="728">
        <f t="shared" si="4"/>
      </c>
      <c r="L41" s="726" t="s">
        <v>1541</v>
      </c>
      <c r="M41" s="726">
        <v>3.2</v>
      </c>
      <c r="N41" s="730"/>
      <c r="O41" s="726"/>
      <c r="P41" s="730"/>
      <c r="Q41" s="731">
        <v>4.178726655348047</v>
      </c>
      <c r="R41" s="732">
        <v>0.13225638288624397</v>
      </c>
      <c r="S41" s="732">
        <v>0.02603516294077995</v>
      </c>
      <c r="T41" s="732">
        <v>0.027781154343429877</v>
      </c>
      <c r="U41" s="732">
        <v>0.06324582338902147</v>
      </c>
      <c r="V41" s="733">
        <v>11968.276856524875</v>
      </c>
      <c r="W41" s="732">
        <v>0.027739999999999997</v>
      </c>
      <c r="X41" s="733">
        <v>33</v>
      </c>
      <c r="Y41" s="734">
        <v>108.79382935696684</v>
      </c>
      <c r="Z41" s="733">
        <v>90493</v>
      </c>
      <c r="AA41" s="733">
        <v>2356</v>
      </c>
      <c r="AB41" s="733">
        <v>332</v>
      </c>
      <c r="AC41" s="733">
        <v>2514</v>
      </c>
      <c r="AD41" s="733">
        <v>159</v>
      </c>
      <c r="AE41" s="733">
        <v>16</v>
      </c>
      <c r="AF41" s="733">
        <v>7</v>
      </c>
      <c r="AG41" s="733">
        <v>107</v>
      </c>
    </row>
    <row r="42">
      <c r="A42" s="726" t="s">
        <v>1559</v>
      </c>
      <c r="B42" s="726" t="s">
        <v>1535</v>
      </c>
      <c r="C42" s="726" t="s">
        <v>1561</v>
      </c>
      <c r="D42" s="726">
        <v>5</v>
      </c>
      <c r="E42" s="726">
        <v>5</v>
      </c>
      <c r="F42" s="726">
        <v>6</v>
      </c>
      <c r="G42" s="726">
        <v>13519.71</v>
      </c>
      <c r="H42" s="727">
        <v>7079.740000000001</v>
      </c>
      <c r="I42" s="728">
        <f t="shared" si="2"/>
      </c>
      <c r="J42" s="728">
        <f t="shared" si="0"/>
      </c>
      <c r="K42" s="728">
        <f t="shared" si="4"/>
      </c>
      <c r="L42" s="726" t="s">
        <v>1534</v>
      </c>
      <c r="M42" s="726">
        <v>1</v>
      </c>
      <c r="N42" s="726"/>
      <c r="O42" s="726"/>
      <c r="P42" s="730"/>
      <c r="Q42" s="734">
        <v>2.2319482976040357</v>
      </c>
      <c r="R42" s="732">
        <v>0.21884353800751064</v>
      </c>
      <c r="S42" s="732">
        <v>0.0376181496898756</v>
      </c>
      <c r="T42" s="732">
        <v>0.04108110672311761</v>
      </c>
      <c r="U42" s="732">
        <v>0.05802540415704388</v>
      </c>
      <c r="V42" s="733">
        <v>18453.105968331303</v>
      </c>
      <c r="W42" s="732">
        <v>0.01642</v>
      </c>
      <c r="X42" s="734">
        <v>31.4</v>
      </c>
      <c r="Y42" s="734">
        <v>83.9617651593316</v>
      </c>
      <c r="Z42" s="733">
        <v>84321</v>
      </c>
      <c r="AA42" s="733">
        <v>3172</v>
      </c>
      <c r="AB42" s="733">
        <v>303</v>
      </c>
      <c r="AC42" s="733">
        <v>3464</v>
      </c>
      <c r="AD42" s="733">
        <v>201</v>
      </c>
      <c r="AE42" s="733">
        <v>16</v>
      </c>
      <c r="AF42" s="733">
        <v>2</v>
      </c>
      <c r="AG42" s="733">
        <v>78</v>
      </c>
    </row>
    <row r="43">
      <c r="A43" s="735" t="s">
        <v>1559</v>
      </c>
      <c r="B43" s="735" t="s">
        <v>1532</v>
      </c>
      <c r="C43" s="736"/>
      <c r="D43" s="736">
        <f>SUM(D41:D42)</f>
      </c>
      <c r="E43" s="736">
        <f>E41+E42</f>
      </c>
      <c r="F43" s="736">
        <f>SUM(F41:F42)</f>
      </c>
      <c r="G43" s="736">
        <f>SUM(G41:G42)</f>
      </c>
      <c r="H43" s="736">
        <f>SUM(H41:H42)</f>
      </c>
      <c r="I43" s="737">
        <f t="shared" si="2"/>
      </c>
      <c r="J43" s="737">
        <f t="shared" si="0"/>
      </c>
      <c r="K43" s="737">
        <f t="shared" si="4"/>
      </c>
      <c r="L43" s="736"/>
      <c r="M43" s="753">
        <f>SUM(M41:M42)</f>
      </c>
      <c r="N43" s="736"/>
      <c r="O43" s="736"/>
      <c r="P43" s="736"/>
      <c r="Q43" s="739">
        <f>AVERAGE(Q41:Q42)</f>
      </c>
      <c r="R43" s="740">
        <f>AVERAGE(R41:R42)</f>
      </c>
      <c r="S43" s="740">
        <f>AVERAGE(S41:S42)</f>
      </c>
      <c r="T43" s="740">
        <f>AVERAGE(T41:T42)</f>
      </c>
      <c r="U43" s="740">
        <f>AVERAGE(U41:U42)</f>
      </c>
      <c r="V43" s="741">
        <f>SUM(V41:V42)</f>
      </c>
      <c r="W43" s="740">
        <f>AVERAGE(W41:W42)</f>
      </c>
      <c r="X43" s="742"/>
      <c r="Y43" s="739">
        <f>AVERAGE(Y41:Y42)</f>
      </c>
      <c r="Z43" s="741">
        <f>SUM(Z41:Z42)</f>
      </c>
      <c r="AA43" s="741">
        <f>SUM(AA41:AA42)</f>
      </c>
      <c r="AB43" s="741">
        <f>SUM(AB41:AB42)</f>
      </c>
      <c r="AC43" s="741">
        <f>SUM(AC41:AC42)</f>
      </c>
      <c r="AD43" s="741">
        <f>SUM(AD41:AD42)</f>
      </c>
      <c r="AE43" s="741">
        <f>SUM(AE41:AE42)</f>
      </c>
      <c r="AF43" s="741">
        <f>SUM(AF41:AF42)</f>
      </c>
      <c r="AG43" s="741">
        <f>SUM(AG41:AG42)</f>
      </c>
    </row>
    <row r="44">
      <c r="A44" s="726" t="s">
        <v>1562</v>
      </c>
      <c r="B44" s="744" t="s">
        <v>1527</v>
      </c>
      <c r="C44" s="726" t="s">
        <v>1552</v>
      </c>
      <c r="D44" s="726">
        <v>5</v>
      </c>
      <c r="E44" s="726">
        <v>11</v>
      </c>
      <c r="F44" s="726">
        <v>14</v>
      </c>
      <c r="G44" s="726">
        <v>22879.06</v>
      </c>
      <c r="H44" s="727">
        <v>11119.380000000001</v>
      </c>
      <c r="I44" s="728">
        <f t="shared" si="2"/>
      </c>
      <c r="J44" s="728">
        <f t="shared" si="0"/>
      </c>
      <c r="K44" s="728">
        <f t="shared" si="4"/>
      </c>
      <c r="L44" s="726" t="s">
        <v>1541</v>
      </c>
      <c r="M44" s="729">
        <v>1.6</v>
      </c>
      <c r="N44" s="730"/>
      <c r="O44" s="726"/>
      <c r="P44" s="730"/>
      <c r="Q44" s="731">
        <v>4.166122143124766</v>
      </c>
      <c r="R44" s="732">
        <v>0.10745980765975406</v>
      </c>
      <c r="S44" s="732">
        <v>0.024869549012299666</v>
      </c>
      <c r="T44" s="732">
        <v>0.026071561684681326</v>
      </c>
      <c r="U44" s="732">
        <v>0.09292351679771266</v>
      </c>
      <c r="V44" s="733">
        <v>11532.586558044806</v>
      </c>
      <c r="W44" s="732">
        <v>0.03928</v>
      </c>
      <c r="X44" s="733">
        <v>45</v>
      </c>
      <c r="Y44" s="734">
        <v>103.60957882966828</v>
      </c>
      <c r="Z44" s="733">
        <v>107320</v>
      </c>
      <c r="AA44" s="733">
        <v>2669</v>
      </c>
      <c r="AB44" s="733">
        <v>453</v>
      </c>
      <c r="AC44" s="733">
        <v>2798</v>
      </c>
      <c r="AD44" s="733">
        <v>260</v>
      </c>
      <c r="AE44" s="733">
        <v>23</v>
      </c>
      <c r="AF44" s="733">
        <v>3</v>
      </c>
      <c r="AG44" s="733">
        <v>121</v>
      </c>
    </row>
    <row r="45">
      <c r="A45" s="726" t="s">
        <v>1562</v>
      </c>
      <c r="B45" s="726" t="s">
        <v>1535</v>
      </c>
      <c r="C45" s="726" t="s">
        <v>1554</v>
      </c>
      <c r="D45" s="726">
        <v>5</v>
      </c>
      <c r="E45" s="726">
        <v>13</v>
      </c>
      <c r="F45" s="726">
        <v>16</v>
      </c>
      <c r="G45" s="726">
        <v>34646.06</v>
      </c>
      <c r="H45" s="727">
        <v>13731.689999999999</v>
      </c>
      <c r="I45" s="728">
        <f t="shared" si="2"/>
      </c>
      <c r="J45" s="728">
        <f t="shared" si="0"/>
      </c>
      <c r="K45" s="728">
        <f t="shared" si="4"/>
      </c>
      <c r="L45" s="726" t="s">
        <v>1534</v>
      </c>
      <c r="M45" s="729">
        <v>2.4</v>
      </c>
      <c r="N45" s="726"/>
      <c r="O45" s="726"/>
      <c r="P45" s="730"/>
      <c r="Q45" s="734">
        <v>2.6503937463810074</v>
      </c>
      <c r="R45" s="732">
        <v>0.15410184000616103</v>
      </c>
      <c r="S45" s="732">
        <v>0.033695807697810845</v>
      </c>
      <c r="T45" s="732">
        <v>0.035907074753833944</v>
      </c>
      <c r="U45" s="732">
        <v>0.06230755297953269</v>
      </c>
      <c r="V45" s="733">
        <v>23694.39071566731</v>
      </c>
      <c r="W45" s="732">
        <v>0.020680000000000004</v>
      </c>
      <c r="X45" s="734">
        <v>45.6</v>
      </c>
      <c r="Y45" s="734">
        <v>89.30715800153487</v>
      </c>
      <c r="Z45" s="733">
        <v>153758</v>
      </c>
      <c r="AA45" s="733">
        <v>5181</v>
      </c>
      <c r="AB45" s="733">
        <v>490</v>
      </c>
      <c r="AC45" s="733">
        <v>5521</v>
      </c>
      <c r="AD45" s="733">
        <v>344</v>
      </c>
      <c r="AE45" s="733">
        <v>43</v>
      </c>
      <c r="AF45" s="733">
        <v>9</v>
      </c>
      <c r="AG45" s="733">
        <v>149</v>
      </c>
    </row>
    <row r="46">
      <c r="A46" s="735" t="s">
        <v>1562</v>
      </c>
      <c r="B46" s="735" t="s">
        <v>1532</v>
      </c>
      <c r="C46" s="736"/>
      <c r="D46" s="736">
        <f>SUM(D44:D45)</f>
      </c>
      <c r="E46" s="736">
        <f>E44+E45</f>
      </c>
      <c r="F46" s="736">
        <f>SUM(F44:F45)</f>
      </c>
      <c r="G46" s="736">
        <f>SUM(G44:G45)</f>
      </c>
      <c r="H46" s="736">
        <f>SUM(H44:H45)</f>
      </c>
      <c r="I46" s="737">
        <f t="shared" si="2"/>
      </c>
      <c r="J46" s="737">
        <f t="shared" si="0"/>
      </c>
      <c r="K46" s="737">
        <f t="shared" si="4"/>
      </c>
      <c r="L46" s="736"/>
      <c r="M46" s="738">
        <f>SUM(M44:M45)</f>
      </c>
      <c r="N46" s="736"/>
      <c r="O46" s="736"/>
      <c r="P46" s="736"/>
      <c r="Q46" s="739">
        <f>AVERAGE(Q44:Q45)</f>
      </c>
      <c r="R46" s="740">
        <f>AVERAGE(R44:R45)</f>
      </c>
      <c r="S46" s="740">
        <f>AVERAGE(S44:S45)</f>
      </c>
      <c r="T46" s="740">
        <f>AVERAGE(T44:T45)</f>
      </c>
      <c r="U46" s="740">
        <f>AVERAGE(U44:U45)</f>
      </c>
      <c r="V46" s="741">
        <f>SUM(V44:V45)</f>
      </c>
      <c r="W46" s="740">
        <f>AVERAGE(W44:W45)</f>
      </c>
      <c r="X46" s="742"/>
      <c r="Y46" s="739">
        <f>AVERAGE(Y44:Y45)</f>
      </c>
      <c r="Z46" s="741">
        <f>SUM(Z44:Z45)</f>
      </c>
      <c r="AA46" s="741">
        <f>SUM(AA44:AA45)</f>
      </c>
      <c r="AB46" s="741">
        <f>SUM(AB44:AB45)</f>
      </c>
      <c r="AC46" s="741">
        <f>SUM(AC44:AC45)</f>
      </c>
      <c r="AD46" s="741">
        <f>SUM(AD44:AD45)</f>
      </c>
      <c r="AE46" s="741">
        <f>SUM(AE44:AE45)</f>
      </c>
      <c r="AF46" s="741">
        <f>SUM(AF44:AF45)</f>
      </c>
      <c r="AG46" s="741">
        <f>SUM(AG44:AG45)</f>
      </c>
    </row>
    <row r="47">
      <c r="A47" s="726" t="s">
        <v>1563</v>
      </c>
      <c r="B47" s="744" t="s">
        <v>1535</v>
      </c>
      <c r="C47" s="726" t="s">
        <v>1552</v>
      </c>
      <c r="D47" s="726">
        <v>5</v>
      </c>
      <c r="E47" s="726">
        <v>13</v>
      </c>
      <c r="F47" s="726">
        <v>15</v>
      </c>
      <c r="G47" s="726">
        <v>34781.33</v>
      </c>
      <c r="H47" s="727">
        <v>11779.96</v>
      </c>
      <c r="I47" s="728">
        <f t="shared" si="2"/>
      </c>
      <c r="J47" s="728">
        <f t="shared" si="0"/>
      </c>
      <c r="K47" s="728">
        <f t="shared" si="4"/>
      </c>
      <c r="L47" s="726" t="s">
        <v>1541</v>
      </c>
      <c r="M47" s="729">
        <v>0.4</v>
      </c>
      <c r="N47" s="730"/>
      <c r="O47" s="726"/>
      <c r="P47" s="730"/>
      <c r="Q47" s="731">
        <v>3.6057422711968163</v>
      </c>
      <c r="R47" s="732">
        <v>0.08482198127474089</v>
      </c>
      <c r="S47" s="732">
        <v>0.0264922680203375</v>
      </c>
      <c r="T47" s="732">
        <v>0.02784647945572053</v>
      </c>
      <c r="U47" s="732">
        <v>0.08823529411764706</v>
      </c>
      <c r="V47" s="733">
        <v>10460.161908819771</v>
      </c>
      <c r="W47" s="732">
        <v>0.046939999999999996</v>
      </c>
      <c r="X47" s="733">
        <v>36</v>
      </c>
      <c r="Y47" s="734">
        <v>95.52429066080651</v>
      </c>
      <c r="Z47" s="733">
        <v>123319</v>
      </c>
      <c r="AA47" s="733">
        <v>3267</v>
      </c>
      <c r="AB47" s="733">
        <v>491</v>
      </c>
      <c r="AC47" s="733">
        <v>3434</v>
      </c>
      <c r="AD47" s="733">
        <v>303</v>
      </c>
      <c r="AE47" s="733">
        <v>24</v>
      </c>
      <c r="AF47" s="733">
        <v>4</v>
      </c>
      <c r="AG47" s="733">
        <v>120</v>
      </c>
    </row>
    <row r="48">
      <c r="A48" s="726" t="s">
        <v>1563</v>
      </c>
      <c r="B48" s="744" t="s">
        <v>1527</v>
      </c>
      <c r="C48" s="726" t="s">
        <v>1554</v>
      </c>
      <c r="D48" s="726">
        <v>5</v>
      </c>
      <c r="E48" s="726">
        <v>3</v>
      </c>
      <c r="F48" s="726">
        <v>2</v>
      </c>
      <c r="G48" s="726">
        <v>3492.3</v>
      </c>
      <c r="H48" s="727">
        <v>8640.050000000001</v>
      </c>
      <c r="I48" s="728">
        <f t="shared" si="2"/>
      </c>
      <c r="J48" s="728">
        <f t="shared" si="0"/>
      </c>
      <c r="K48" s="728">
        <f t="shared" si="4"/>
      </c>
      <c r="L48" s="726" t="s">
        <v>1534</v>
      </c>
      <c r="M48" s="729">
        <v>3.6</v>
      </c>
      <c r="N48" s="726"/>
      <c r="O48" s="726"/>
      <c r="P48" s="730"/>
      <c r="Q48" s="734">
        <v>2.636573085138847</v>
      </c>
      <c r="R48" s="732">
        <v>0.16269098481123742</v>
      </c>
      <c r="S48" s="732">
        <v>0.04195687800880877</v>
      </c>
      <c r="T48" s="732">
        <v>0.04528577281573287</v>
      </c>
      <c r="U48" s="732">
        <v>0.04608425219112242</v>
      </c>
      <c r="V48" s="733">
        <v>12706.816677696888</v>
      </c>
      <c r="W48" s="732">
        <v>0.030220000000000004</v>
      </c>
      <c r="X48" s="734">
        <v>37</v>
      </c>
      <c r="Y48" s="734">
        <v>110.62237529447917</v>
      </c>
      <c r="Z48" s="733">
        <v>78104</v>
      </c>
      <c r="AA48" s="733">
        <v>3277</v>
      </c>
      <c r="AB48" s="733">
        <v>384</v>
      </c>
      <c r="AC48" s="733">
        <v>3537</v>
      </c>
      <c r="AD48" s="733">
        <v>163</v>
      </c>
      <c r="AE48" s="733">
        <v>20</v>
      </c>
      <c r="AF48" s="733">
        <v>5</v>
      </c>
      <c r="AG48" s="733">
        <v>85</v>
      </c>
    </row>
    <row r="49">
      <c r="A49" s="735" t="s">
        <v>1563</v>
      </c>
      <c r="B49" s="735" t="s">
        <v>1532</v>
      </c>
      <c r="C49" s="736"/>
      <c r="D49" s="736">
        <f>SUM(D47:D48)</f>
      </c>
      <c r="E49" s="736">
        <f>E47+E48</f>
      </c>
      <c r="F49" s="736">
        <f>SUM(F47:F48)</f>
      </c>
      <c r="G49" s="736">
        <f>SUM(G47:G48)</f>
      </c>
      <c r="H49" s="736">
        <f>SUM(H47:H48)</f>
      </c>
      <c r="I49" s="737">
        <f t="shared" si="2"/>
      </c>
      <c r="J49" s="737">
        <f t="shared" si="0"/>
      </c>
      <c r="K49" s="737">
        <f t="shared" si="4"/>
      </c>
      <c r="L49" s="736"/>
      <c r="M49" s="738">
        <f>SUM(M47:M48)</f>
      </c>
      <c r="N49" s="736"/>
      <c r="O49" s="736"/>
      <c r="P49" s="736"/>
      <c r="Q49" s="739">
        <f>AVERAGE(Q47:Q48)</f>
      </c>
      <c r="R49" s="740">
        <f>AVERAGE(R47:R48)</f>
      </c>
      <c r="S49" s="740">
        <f>AVERAGE(S47:S48)</f>
      </c>
      <c r="T49" s="740">
        <f>AVERAGE(T47:T48)</f>
      </c>
      <c r="U49" s="740">
        <f>AVERAGE(U47:U48)</f>
      </c>
      <c r="V49" s="741">
        <f>SUM(V47:V48)</f>
      </c>
      <c r="W49" s="740">
        <f>AVERAGE(W47:W48)</f>
      </c>
      <c r="X49" s="742"/>
      <c r="Y49" s="739">
        <f>AVERAGE(Y47:Y48)</f>
      </c>
      <c r="Z49" s="741">
        <f>SUM(Z47:Z48)</f>
      </c>
      <c r="AA49" s="741">
        <f>SUM(AA47:AA48)</f>
      </c>
      <c r="AB49" s="741">
        <f>SUM(AB47:AB48)</f>
      </c>
      <c r="AC49" s="741">
        <f>SUM(AC47:AC48)</f>
      </c>
      <c r="AD49" s="741">
        <f>SUM(AD47:AD48)</f>
      </c>
      <c r="AE49" s="741">
        <f>SUM(AE47:AE48)</f>
      </c>
      <c r="AF49" s="741">
        <f>SUM(AF47:AF48)</f>
      </c>
      <c r="AG49" s="741">
        <f>SUM(AG47:AG48)</f>
      </c>
    </row>
    <row r="50">
      <c r="A50" s="726" t="s">
        <v>1564</v>
      </c>
      <c r="B50" s="745" t="s">
        <v>1530</v>
      </c>
      <c r="C50" s="726" t="s">
        <v>1528</v>
      </c>
      <c r="D50" s="726">
        <v>4</v>
      </c>
      <c r="E50" s="726">
        <v>9</v>
      </c>
      <c r="F50" s="726">
        <v>10</v>
      </c>
      <c r="G50" s="726">
        <v>18424.82</v>
      </c>
      <c r="H50" s="727">
        <v>7923.99</v>
      </c>
      <c r="I50" s="728">
        <f t="shared" si="2"/>
      </c>
      <c r="J50" s="728">
        <f t="shared" si="0"/>
      </c>
      <c r="K50" s="728">
        <f t="shared" si="4"/>
      </c>
      <c r="L50" s="726" t="s">
        <v>1541</v>
      </c>
      <c r="M50" s="729">
        <v>2.8</v>
      </c>
      <c r="N50" s="730"/>
      <c r="O50" s="726"/>
      <c r="P50" s="730"/>
      <c r="Q50" s="731">
        <v>5.179078431372549</v>
      </c>
      <c r="R50" s="732">
        <v>0.07971077811860017</v>
      </c>
      <c r="S50" s="732">
        <v>0.027980468535688814</v>
      </c>
      <c r="T50" s="732">
        <v>0.03001042409612114</v>
      </c>
      <c r="U50" s="732">
        <v>0.1505179768433882</v>
      </c>
      <c r="V50" s="733">
        <v>4358.665058303176</v>
      </c>
      <c r="W50" s="732">
        <v>0.062175</v>
      </c>
      <c r="X50" s="733">
        <v>49.75</v>
      </c>
      <c r="Y50" s="734">
        <v>144.91304109288416</v>
      </c>
      <c r="Z50" s="733">
        <v>54681</v>
      </c>
      <c r="AA50" s="733">
        <v>1530</v>
      </c>
      <c r="AB50" s="733">
        <v>271</v>
      </c>
      <c r="AC50" s="733">
        <v>1641</v>
      </c>
      <c r="AD50" s="733">
        <v>247</v>
      </c>
      <c r="AE50" s="733">
        <v>22</v>
      </c>
      <c r="AF50" s="733">
        <v>0</v>
      </c>
      <c r="AG50" s="733">
        <v>53</v>
      </c>
    </row>
    <row r="51">
      <c r="A51" s="726" t="s">
        <v>1564</v>
      </c>
      <c r="B51" s="744" t="s">
        <v>1527</v>
      </c>
      <c r="C51" s="726" t="s">
        <v>1531</v>
      </c>
      <c r="D51" s="726">
        <v>4</v>
      </c>
      <c r="E51" s="726">
        <v>5</v>
      </c>
      <c r="F51" s="726">
        <v>8</v>
      </c>
      <c r="G51" s="726">
        <v>12636.3</v>
      </c>
      <c r="H51" s="727">
        <v>7405.09</v>
      </c>
      <c r="I51" s="728">
        <f t="shared" si="2"/>
      </c>
      <c r="J51" s="728">
        <f t="shared" si="0"/>
      </c>
      <c r="K51" s="728">
        <f t="shared" si="4"/>
      </c>
      <c r="L51" s="726" t="s">
        <v>1534</v>
      </c>
      <c r="M51" s="729">
        <v>0.4</v>
      </c>
      <c r="N51" s="726"/>
      <c r="O51" s="726"/>
      <c r="P51" s="730"/>
      <c r="Q51" s="734">
        <v>3.228025283347864</v>
      </c>
      <c r="R51" s="732">
        <v>0.16089069086462657</v>
      </c>
      <c r="S51" s="732">
        <v>0.03214596003475239</v>
      </c>
      <c r="T51" s="732">
        <v>0.033140887306970096</v>
      </c>
      <c r="U51" s="732">
        <v>0.06807610993657505</v>
      </c>
      <c r="V51" s="733">
        <v>11481.481481481482</v>
      </c>
      <c r="W51" s="732">
        <v>0.0243</v>
      </c>
      <c r="X51" s="734">
        <v>49</v>
      </c>
      <c r="Y51" s="734">
        <v>103.7679717496707</v>
      </c>
      <c r="Z51" s="733">
        <v>71362</v>
      </c>
      <c r="AA51" s="733">
        <v>2294</v>
      </c>
      <c r="AB51" s="733">
        <v>279</v>
      </c>
      <c r="AC51" s="733">
        <v>2365</v>
      </c>
      <c r="AD51" s="733">
        <v>161</v>
      </c>
      <c r="AE51" s="733">
        <v>13</v>
      </c>
      <c r="AF51" s="733">
        <v>1</v>
      </c>
      <c r="AG51" s="733">
        <v>60</v>
      </c>
    </row>
    <row r="52">
      <c r="A52" s="735" t="s">
        <v>1564</v>
      </c>
      <c r="B52" s="735" t="s">
        <v>1532</v>
      </c>
      <c r="C52" s="736"/>
      <c r="D52" s="736">
        <f>SUM(D50:D51)</f>
      </c>
      <c r="E52" s="736">
        <f>E50+E51</f>
      </c>
      <c r="F52" s="736">
        <f>SUM(F50:F51)</f>
      </c>
      <c r="G52" s="736">
        <f>SUM(G50:G51)</f>
      </c>
      <c r="H52" s="736">
        <f>SUM(H50:H51)</f>
      </c>
      <c r="I52" s="737">
        <f t="shared" si="2"/>
      </c>
      <c r="J52" s="737">
        <f t="shared" si="0"/>
      </c>
      <c r="K52" s="737">
        <f t="shared" si="4"/>
      </c>
      <c r="L52" s="736"/>
      <c r="M52" s="738">
        <f>SUM(M50:M51)</f>
      </c>
      <c r="N52" s="736"/>
      <c r="O52" s="736"/>
      <c r="P52" s="736"/>
      <c r="Q52" s="739">
        <f>AVERAGE(Q50:Q51)</f>
      </c>
      <c r="R52" s="740">
        <f>AVERAGE(R50:R51)</f>
      </c>
      <c r="S52" s="740">
        <f>AVERAGE(S50:S51)</f>
      </c>
      <c r="T52" s="740">
        <f>AVERAGE(T50:T51)</f>
      </c>
      <c r="U52" s="740">
        <f>AVERAGE(U50:U51)</f>
      </c>
      <c r="V52" s="741">
        <f>SUM(V50:V51)</f>
      </c>
      <c r="W52" s="740">
        <f>AVERAGE(W50:W51)</f>
      </c>
      <c r="X52" s="742"/>
      <c r="Y52" s="739">
        <f>AVERAGE(Y50:Y51)</f>
      </c>
      <c r="Z52" s="741">
        <f>SUM(Z50:Z51)</f>
      </c>
      <c r="AA52" s="741">
        <f>SUM(AA50:AA51)</f>
      </c>
      <c r="AB52" s="741">
        <f>SUM(AB50:AB51)</f>
      </c>
      <c r="AC52" s="741">
        <f>SUM(AC50:AC51)</f>
      </c>
      <c r="AD52" s="741">
        <f>SUM(AD50:AD51)</f>
      </c>
      <c r="AE52" s="741">
        <f>SUM(AE50:AE51)</f>
      </c>
      <c r="AF52" s="741">
        <f>SUM(AF50:AF51)</f>
      </c>
      <c r="AG52" s="741">
        <f>SUM(AG50:AG51)</f>
      </c>
    </row>
    <row r="53">
      <c r="A53" s="726" t="s">
        <v>1565</v>
      </c>
      <c r="B53" s="745" t="s">
        <v>1530</v>
      </c>
      <c r="C53" s="726" t="s">
        <v>1552</v>
      </c>
      <c r="D53" s="726">
        <v>5</v>
      </c>
      <c r="E53" s="726">
        <v>1</v>
      </c>
      <c r="F53" s="726">
        <v>3</v>
      </c>
      <c r="G53" s="726">
        <v>5611.7</v>
      </c>
      <c r="H53" s="727">
        <v>6843.17</v>
      </c>
      <c r="I53" s="728">
        <f t="shared" si="2"/>
      </c>
      <c r="J53" s="728">
        <f t="shared" si="0"/>
      </c>
      <c r="K53" s="728">
        <f t="shared" si="4"/>
      </c>
      <c r="L53" s="726" t="s">
        <v>1541</v>
      </c>
      <c r="M53" s="729">
        <v>3.2</v>
      </c>
      <c r="N53" s="730"/>
      <c r="O53" s="726"/>
      <c r="P53" s="730"/>
      <c r="Q53" s="731">
        <v>4.458091205211726</v>
      </c>
      <c r="R53" s="732">
        <v>0.14126234147275174</v>
      </c>
      <c r="S53" s="732">
        <v>0.03250397035468502</v>
      </c>
      <c r="T53" s="732">
        <v>0.03443091582848068</v>
      </c>
      <c r="U53" s="732">
        <v>0.07872078720787208</v>
      </c>
      <c r="V53" s="733">
        <v>6671.1140760507005</v>
      </c>
      <c r="W53" s="732">
        <v>0.02998</v>
      </c>
      <c r="X53" s="733">
        <v>33.2</v>
      </c>
      <c r="Y53" s="734">
        <v>144.90566437268396</v>
      </c>
      <c r="Z53" s="733">
        <v>47225</v>
      </c>
      <c r="AA53" s="733">
        <v>1535</v>
      </c>
      <c r="AB53" s="733">
        <v>200</v>
      </c>
      <c r="AC53" s="733">
        <v>1626</v>
      </c>
      <c r="AD53" s="733">
        <v>128</v>
      </c>
      <c r="AE53" s="733">
        <v>11</v>
      </c>
      <c r="AF53" s="733">
        <v>7</v>
      </c>
      <c r="AG53" s="733">
        <v>51</v>
      </c>
    </row>
    <row r="54">
      <c r="A54" s="726" t="s">
        <v>1565</v>
      </c>
      <c r="B54" s="744" t="s">
        <v>1535</v>
      </c>
      <c r="C54" s="726" t="s">
        <v>1554</v>
      </c>
      <c r="D54" s="726">
        <v>5</v>
      </c>
      <c r="E54" s="726">
        <v>7</v>
      </c>
      <c r="F54" s="726">
        <v>8</v>
      </c>
      <c r="G54" s="726">
        <v>17934.35</v>
      </c>
      <c r="H54" s="727">
        <v>6899.910000000001</v>
      </c>
      <c r="I54" s="728">
        <f t="shared" si="2"/>
      </c>
      <c r="J54" s="728">
        <f t="shared" si="0"/>
      </c>
      <c r="K54" s="728">
        <f t="shared" si="4"/>
      </c>
      <c r="L54" s="726" t="s">
        <v>1534</v>
      </c>
      <c r="M54" s="729">
        <v>0.8</v>
      </c>
      <c r="N54" s="726"/>
      <c r="O54" s="726"/>
      <c r="P54" s="730"/>
      <c r="Q54" s="734">
        <v>2.8869916317991633</v>
      </c>
      <c r="R54" s="732">
        <v>0.1633848385405228</v>
      </c>
      <c r="S54" s="732">
        <v>0.046940980064813904</v>
      </c>
      <c r="T54" s="732">
        <v>0.05126190710006874</v>
      </c>
      <c r="U54" s="732">
        <v>0.08160919540229886</v>
      </c>
      <c r="V54" s="733">
        <v>8318.739054290718</v>
      </c>
      <c r="W54" s="732">
        <v>0.02284</v>
      </c>
      <c r="X54" s="734">
        <v>35.8</v>
      </c>
      <c r="Y54" s="734">
        <v>135.5182166355691</v>
      </c>
      <c r="Z54" s="733">
        <v>50915</v>
      </c>
      <c r="AA54" s="733">
        <v>2390</v>
      </c>
      <c r="AB54" s="733">
        <v>190</v>
      </c>
      <c r="AC54" s="733">
        <v>2610</v>
      </c>
      <c r="AD54" s="733">
        <v>213</v>
      </c>
      <c r="AE54" s="733">
        <v>14</v>
      </c>
      <c r="AF54" s="733">
        <v>3</v>
      </c>
      <c r="AG54" s="733">
        <v>31</v>
      </c>
    </row>
    <row r="55">
      <c r="A55" s="735" t="s">
        <v>1565</v>
      </c>
      <c r="B55" s="735" t="s">
        <v>1532</v>
      </c>
      <c r="C55" s="736"/>
      <c r="D55" s="736">
        <f>SUM(D53:D54)</f>
      </c>
      <c r="E55" s="736">
        <f>E53+E54</f>
      </c>
      <c r="F55" s="736">
        <f>SUM(F53:F54)</f>
      </c>
      <c r="G55" s="736">
        <f>SUM(G53:G54)</f>
      </c>
      <c r="H55" s="736">
        <f>SUM(H53:H54)</f>
      </c>
      <c r="I55" s="737">
        <f t="shared" si="2"/>
      </c>
      <c r="J55" s="737">
        <f t="shared" si="0"/>
      </c>
      <c r="K55" s="737">
        <f t="shared" si="4"/>
      </c>
      <c r="L55" s="736"/>
      <c r="M55" s="738">
        <f>SUM(M53:M54)</f>
      </c>
      <c r="N55" s="736"/>
      <c r="O55" s="736"/>
      <c r="P55" s="736"/>
      <c r="Q55" s="739">
        <f>AVERAGE(Q53:Q54)</f>
      </c>
      <c r="R55" s="740">
        <f>AVERAGE(R53:R54)</f>
      </c>
      <c r="S55" s="740">
        <f>AVERAGE(S53:S54)</f>
      </c>
      <c r="T55" s="740">
        <f>AVERAGE(T53:T54)</f>
      </c>
      <c r="U55" s="740">
        <f>AVERAGE(U53:U54)</f>
      </c>
      <c r="V55" s="741">
        <f>SUM(V53:V54)</f>
      </c>
      <c r="W55" s="740">
        <f>AVERAGE(W53:W54)</f>
      </c>
      <c r="X55" s="742"/>
      <c r="Y55" s="739">
        <f>AVERAGE(Y53:Y54)</f>
      </c>
      <c r="Z55" s="741">
        <f>SUM(Z53:Z54)</f>
      </c>
      <c r="AA55" s="741">
        <f>SUM(AA53:AA54)</f>
      </c>
      <c r="AB55" s="741">
        <f>SUM(AB53:AB54)</f>
      </c>
      <c r="AC55" s="741">
        <f>SUM(AC53:AC54)</f>
      </c>
      <c r="AD55" s="741">
        <f>SUM(AD53:AD54)</f>
      </c>
      <c r="AE55" s="741">
        <f>SUM(AE53:AE54)</f>
      </c>
      <c r="AF55" s="741">
        <f>SUM(AF53:AF54)</f>
      </c>
      <c r="AG55" s="741">
        <f>SUM(AG53:AG54)</f>
      </c>
    </row>
    <row r="56">
      <c r="A56" s="726" t="s">
        <v>1566</v>
      </c>
      <c r="B56" s="745" t="s">
        <v>1527</v>
      </c>
      <c r="C56" s="726" t="s">
        <v>1552</v>
      </c>
      <c r="D56" s="726">
        <v>5</v>
      </c>
      <c r="E56" s="726">
        <v>12</v>
      </c>
      <c r="F56" s="726">
        <v>13</v>
      </c>
      <c r="G56" s="726">
        <v>24508.23</v>
      </c>
      <c r="H56" s="727">
        <v>9539.83</v>
      </c>
      <c r="I56" s="728">
        <f t="shared" si="2"/>
      </c>
      <c r="J56" s="728">
        <f t="shared" si="0"/>
      </c>
      <c r="K56" s="728">
        <f t="shared" si="4"/>
      </c>
      <c r="L56" s="726" t="s">
        <v>1541</v>
      </c>
      <c r="M56" s="729">
        <v>3.2</v>
      </c>
      <c r="N56" s="730"/>
      <c r="O56" s="726"/>
      <c r="P56" s="730"/>
      <c r="Q56" s="731">
        <v>5.106975374732334</v>
      </c>
      <c r="R56" s="732">
        <v>0.120403556685935</v>
      </c>
      <c r="S56" s="732">
        <v>0.02494691435515966</v>
      </c>
      <c r="T56" s="732">
        <v>0.026683048651824946</v>
      </c>
      <c r="U56" s="732">
        <v>0.0945945945945946</v>
      </c>
      <c r="V56" s="733">
        <v>9015.697921086126</v>
      </c>
      <c r="W56" s="732">
        <v>0.04714</v>
      </c>
      <c r="X56" s="733">
        <v>54.8</v>
      </c>
      <c r="Y56" s="734">
        <v>127.40327728735693</v>
      </c>
      <c r="Z56" s="733">
        <v>74879</v>
      </c>
      <c r="AA56" s="733">
        <v>1868</v>
      </c>
      <c r="AB56" s="733">
        <v>425</v>
      </c>
      <c r="AC56" s="733">
        <v>1998</v>
      </c>
      <c r="AD56" s="733">
        <v>189</v>
      </c>
      <c r="AE56" s="733">
        <v>31</v>
      </c>
      <c r="AF56" s="733">
        <v>6</v>
      </c>
      <c r="AG56" s="733">
        <v>101</v>
      </c>
    </row>
    <row r="57">
      <c r="A57" s="726" t="s">
        <v>1566</v>
      </c>
      <c r="B57" s="744" t="s">
        <v>1535</v>
      </c>
      <c r="C57" s="726" t="s">
        <v>1531</v>
      </c>
      <c r="D57" s="726">
        <v>4</v>
      </c>
      <c r="E57" s="726">
        <v>11</v>
      </c>
      <c r="F57" s="726">
        <v>17</v>
      </c>
      <c r="G57" s="726">
        <v>34088.36</v>
      </c>
      <c r="H57" s="727">
        <v>8620.57</v>
      </c>
      <c r="I57" s="728">
        <f t="shared" si="2"/>
      </c>
      <c r="J57" s="728">
        <f t="shared" si="0"/>
      </c>
      <c r="K57" s="728">
        <f t="shared" si="4"/>
      </c>
      <c r="L57" s="726" t="s">
        <v>1534</v>
      </c>
      <c r="M57" s="729">
        <v>0.4</v>
      </c>
      <c r="N57" s="726"/>
      <c r="O57" s="726"/>
      <c r="P57" s="730"/>
      <c r="Q57" s="734">
        <v>3.79928162185985</v>
      </c>
      <c r="R57" s="732">
        <v>0.13307646208978793</v>
      </c>
      <c r="S57" s="732">
        <v>0.03599987307228533</v>
      </c>
      <c r="T57" s="732">
        <v>0.03853842736561528</v>
      </c>
      <c r="U57" s="732">
        <v>0.0876904075751338</v>
      </c>
      <c r="V57" s="733">
        <v>8387.543252595155</v>
      </c>
      <c r="W57" s="732">
        <v>0.036125000000000004</v>
      </c>
      <c r="X57" s="734">
        <v>54.5</v>
      </c>
      <c r="Y57" s="734">
        <v>136.77365615282096</v>
      </c>
      <c r="Z57" s="733">
        <v>63028</v>
      </c>
      <c r="AA57" s="733">
        <v>2269</v>
      </c>
      <c r="AB57" s="733">
        <v>303</v>
      </c>
      <c r="AC57" s="733">
        <v>2429</v>
      </c>
      <c r="AD57" s="733">
        <v>213</v>
      </c>
      <c r="AE57" s="733">
        <v>23</v>
      </c>
      <c r="AF57" s="733">
        <v>3</v>
      </c>
      <c r="AG57" s="733">
        <v>77</v>
      </c>
    </row>
    <row r="58">
      <c r="A58" s="735" t="s">
        <v>1566</v>
      </c>
      <c r="B58" s="735" t="s">
        <v>1532</v>
      </c>
      <c r="C58" s="736"/>
      <c r="D58" s="736">
        <f>SUM(D56:D57)</f>
      </c>
      <c r="E58" s="736">
        <f>E56+E57</f>
      </c>
      <c r="F58" s="736">
        <f>SUM(F56:F57)</f>
      </c>
      <c r="G58" s="736">
        <f>SUM(G56:G57)</f>
      </c>
      <c r="H58" s="736">
        <f>SUM(H56:H57)</f>
      </c>
      <c r="I58" s="737">
        <f t="shared" si="2"/>
      </c>
      <c r="J58" s="737">
        <f t="shared" si="0"/>
      </c>
      <c r="K58" s="737">
        <f t="shared" si="4"/>
      </c>
      <c r="L58" s="736"/>
      <c r="M58" s="738">
        <f>SUM(M56:M57)</f>
      </c>
      <c r="N58" s="736"/>
      <c r="O58" s="736"/>
      <c r="P58" s="736"/>
      <c r="Q58" s="739">
        <f>AVERAGE(Q56:Q57)</f>
      </c>
      <c r="R58" s="740">
        <f>AVERAGE(R56:R57)</f>
      </c>
      <c r="S58" s="740">
        <f>AVERAGE(S56:S57)</f>
      </c>
      <c r="T58" s="740">
        <f>AVERAGE(T56:T57)</f>
      </c>
      <c r="U58" s="740">
        <f>AVERAGE(U56:U57)</f>
      </c>
      <c r="V58" s="741">
        <f>SUM(V56:V57)</f>
      </c>
      <c r="W58" s="740">
        <f>AVERAGE(W56:W57)</f>
      </c>
      <c r="X58" s="742"/>
      <c r="Y58" s="739">
        <f>AVERAGE(Y56:Y57)</f>
      </c>
      <c r="Z58" s="741">
        <f>SUM(Z56:Z57)</f>
      </c>
      <c r="AA58" s="741">
        <f>SUM(AA56:AA57)</f>
      </c>
      <c r="AB58" s="741">
        <f>SUM(AB56:AB57)</f>
      </c>
      <c r="AC58" s="741">
        <f>SUM(AC56:AC57)</f>
      </c>
      <c r="AD58" s="741">
        <f>SUM(AD56:AD57)</f>
      </c>
      <c r="AE58" s="741">
        <f>SUM(AE56:AE57)</f>
      </c>
      <c r="AF58" s="741">
        <f>SUM(AF56:AF57)</f>
      </c>
      <c r="AG58" s="741">
        <f>SUM(AG56:AG57)</f>
      </c>
    </row>
    <row r="59">
      <c r="A59" s="726" t="s">
        <v>1567</v>
      </c>
      <c r="B59" s="744" t="s">
        <v>1535</v>
      </c>
      <c r="C59" s="726" t="s">
        <v>1528</v>
      </c>
      <c r="D59" s="726">
        <v>4</v>
      </c>
      <c r="E59" s="726">
        <v>7</v>
      </c>
      <c r="F59" s="726">
        <v>9</v>
      </c>
      <c r="G59" s="726">
        <v>20585.57</v>
      </c>
      <c r="H59" s="727">
        <v>10201.060000000001</v>
      </c>
      <c r="I59" s="728">
        <f t="shared" si="2"/>
      </c>
      <c r="J59" s="728">
        <f t="shared" si="0"/>
      </c>
      <c r="K59" s="728">
        <f t="shared" si="4"/>
      </c>
      <c r="L59" s="726" t="s">
        <v>1541</v>
      </c>
      <c r="M59" s="729">
        <v>2.8</v>
      </c>
      <c r="N59" s="730"/>
      <c r="O59" s="726"/>
      <c r="P59" s="730"/>
      <c r="Q59" s="731">
        <v>5.460952890792292</v>
      </c>
      <c r="R59" s="732">
        <v>0.05453481628254197</v>
      </c>
      <c r="S59" s="732">
        <v>0.020503814280226112</v>
      </c>
      <c r="T59" s="732">
        <v>0.021689259645464025</v>
      </c>
      <c r="U59" s="732">
        <v>0.14726720647773278</v>
      </c>
      <c r="V59" s="733">
        <v>4968.394437420986</v>
      </c>
      <c r="W59" s="732">
        <v>0.0791</v>
      </c>
      <c r="X59" s="733">
        <v>57.5</v>
      </c>
      <c r="Y59" s="734">
        <v>111.97036386586906</v>
      </c>
      <c r="Z59" s="733">
        <v>91105</v>
      </c>
      <c r="AA59" s="733">
        <v>1868</v>
      </c>
      <c r="AB59" s="733">
        <v>393</v>
      </c>
      <c r="AC59" s="733">
        <v>1976</v>
      </c>
      <c r="AD59" s="733">
        <v>291</v>
      </c>
      <c r="AE59" s="733">
        <v>21</v>
      </c>
      <c r="AF59" s="733">
        <v>3</v>
      </c>
      <c r="AG59" s="733">
        <v>102</v>
      </c>
    </row>
    <row r="60">
      <c r="A60" s="726" t="s">
        <v>1567</v>
      </c>
      <c r="B60" s="745" t="s">
        <v>1527</v>
      </c>
      <c r="C60" s="726" t="s">
        <v>1531</v>
      </c>
      <c r="D60" s="726">
        <v>4</v>
      </c>
      <c r="E60" s="726">
        <v>12</v>
      </c>
      <c r="F60" s="726">
        <v>14</v>
      </c>
      <c r="G60" s="726">
        <v>26899.59</v>
      </c>
      <c r="H60" s="727">
        <v>9369.43</v>
      </c>
      <c r="I60" s="728">
        <f t="shared" si="2"/>
      </c>
      <c r="J60" s="728">
        <f t="shared" si="0"/>
      </c>
      <c r="K60" s="728">
        <f t="shared" si="4"/>
      </c>
      <c r="L60" s="726" t="s">
        <v>1534</v>
      </c>
      <c r="M60" s="729">
        <v>0.4</v>
      </c>
      <c r="N60" s="726"/>
      <c r="O60" s="726"/>
      <c r="P60" s="730"/>
      <c r="Q60" s="734">
        <v>3.1441040268456377</v>
      </c>
      <c r="R60" s="732">
        <v>0.13098264624240202</v>
      </c>
      <c r="S60" s="732">
        <v>0.03649679734479676</v>
      </c>
      <c r="T60" s="732">
        <v>0.03943613672827032</v>
      </c>
      <c r="U60" s="732">
        <v>0.06273291925465839</v>
      </c>
      <c r="V60" s="733">
        <v>10694.864048338368</v>
      </c>
      <c r="W60" s="732">
        <v>0.033100000000000004</v>
      </c>
      <c r="X60" s="734">
        <v>54</v>
      </c>
      <c r="Y60" s="734">
        <v>114.74972749874466</v>
      </c>
      <c r="Z60" s="733">
        <v>81651</v>
      </c>
      <c r="AA60" s="733">
        <v>2980</v>
      </c>
      <c r="AB60" s="733">
        <v>354</v>
      </c>
      <c r="AC60" s="733">
        <v>3220</v>
      </c>
      <c r="AD60" s="733">
        <v>202</v>
      </c>
      <c r="AE60" s="733">
        <v>28</v>
      </c>
      <c r="AF60" s="733">
        <v>6</v>
      </c>
      <c r="AG60" s="733">
        <v>73</v>
      </c>
    </row>
    <row r="61">
      <c r="A61" s="735" t="s">
        <v>1567</v>
      </c>
      <c r="B61" s="735" t="s">
        <v>1532</v>
      </c>
      <c r="C61" s="736"/>
      <c r="D61" s="736">
        <f>SUM(D59:D60)</f>
      </c>
      <c r="E61" s="736">
        <f>E59+E60</f>
      </c>
      <c r="F61" s="736">
        <f>SUM(F59:F60)</f>
      </c>
      <c r="G61" s="736">
        <f>SUM(G59:G60)</f>
      </c>
      <c r="H61" s="736">
        <f>SUM(H59:H60)</f>
      </c>
      <c r="I61" s="737">
        <f t="shared" si="2"/>
      </c>
      <c r="J61" s="737">
        <f t="shared" si="0"/>
      </c>
      <c r="K61" s="737">
        <f t="shared" si="4"/>
      </c>
      <c r="L61" s="736"/>
      <c r="M61" s="738">
        <f>SUM(M59:M60)</f>
      </c>
      <c r="N61" s="736"/>
      <c r="O61" s="736"/>
      <c r="P61" s="736"/>
      <c r="Q61" s="739">
        <f>AVERAGE(Q59:Q60)</f>
      </c>
      <c r="R61" s="740">
        <f>AVERAGE(R59:R60)</f>
      </c>
      <c r="S61" s="740">
        <f>AVERAGE(S59:S60)</f>
      </c>
      <c r="T61" s="740">
        <f>AVERAGE(T59:T60)</f>
      </c>
      <c r="U61" s="740">
        <f>AVERAGE(U59:U60)</f>
      </c>
      <c r="V61" s="741">
        <f>SUM(V59:V60)</f>
      </c>
      <c r="W61" s="740">
        <f>AVERAGE(W59:W60)</f>
      </c>
      <c r="X61" s="742"/>
      <c r="Y61" s="739">
        <f>AVERAGE(Y59:Y60)</f>
      </c>
      <c r="Z61" s="741">
        <f>SUM(Z59:Z60)</f>
      </c>
      <c r="AA61" s="741">
        <f>SUM(AA59:AA60)</f>
      </c>
      <c r="AB61" s="741">
        <f>SUM(AB59:AB60)</f>
      </c>
      <c r="AC61" s="741">
        <f>SUM(AC59:AC60)</f>
      </c>
      <c r="AD61" s="741">
        <f>SUM(AD59:AD60)</f>
      </c>
      <c r="AE61" s="741">
        <f>SUM(AE59:AE60)</f>
      </c>
      <c r="AF61" s="741">
        <f>SUM(AF59:AF60)</f>
      </c>
      <c r="AG61" s="741">
        <f>SUM(AG59:AG60)</f>
      </c>
    </row>
    <row r="62">
      <c r="A62" s="726" t="s">
        <v>1568</v>
      </c>
      <c r="B62" s="745" t="s">
        <v>1530</v>
      </c>
      <c r="C62" s="726" t="s">
        <v>1528</v>
      </c>
      <c r="D62" s="726">
        <v>4</v>
      </c>
      <c r="E62" s="726">
        <v>7</v>
      </c>
      <c r="F62" s="726">
        <v>9</v>
      </c>
      <c r="G62" s="726">
        <v>17243.9</v>
      </c>
      <c r="H62" s="727">
        <v>8276.01</v>
      </c>
      <c r="I62" s="728">
        <f t="shared" si="2"/>
      </c>
      <c r="J62" s="728">
        <f t="shared" si="0"/>
      </c>
      <c r="K62" s="728">
        <f t="shared" si="4"/>
      </c>
      <c r="L62" s="726" t="s">
        <v>1529</v>
      </c>
      <c r="M62" s="729">
        <v>1.2</v>
      </c>
      <c r="N62" s="730"/>
      <c r="O62" s="726"/>
      <c r="P62" s="730"/>
      <c r="Q62" s="731">
        <v>4.914495249406176</v>
      </c>
      <c r="R62" s="732">
        <v>0.10873374977717999</v>
      </c>
      <c r="S62" s="732">
        <v>0.021078983602453374</v>
      </c>
      <c r="T62" s="732">
        <v>0.022318187507823255</v>
      </c>
      <c r="U62" s="732">
        <v>0.13909141895681434</v>
      </c>
      <c r="V62" s="733">
        <v>8686.73926969891</v>
      </c>
      <c r="W62" s="732">
        <v>0.039025000000000004</v>
      </c>
      <c r="X62" s="733">
        <v>44.5</v>
      </c>
      <c r="Y62" s="734">
        <v>103.59256477656778</v>
      </c>
      <c r="Z62" s="733">
        <v>79890</v>
      </c>
      <c r="AA62" s="733">
        <v>1684</v>
      </c>
      <c r="AB62" s="733">
        <v>339</v>
      </c>
      <c r="AC62" s="733">
        <v>1783</v>
      </c>
      <c r="AD62" s="733">
        <v>248</v>
      </c>
      <c r="AE62" s="733">
        <v>15</v>
      </c>
      <c r="AF62" s="733">
        <v>6</v>
      </c>
      <c r="AG62" s="733">
        <v>73</v>
      </c>
    </row>
    <row r="63">
      <c r="A63" s="726" t="s">
        <v>1568</v>
      </c>
      <c r="B63" s="744" t="s">
        <v>1535</v>
      </c>
      <c r="C63" s="726" t="s">
        <v>1531</v>
      </c>
      <c r="D63" s="726">
        <v>4</v>
      </c>
      <c r="E63" s="726">
        <v>9</v>
      </c>
      <c r="F63" s="726">
        <v>10</v>
      </c>
      <c r="G63" s="726">
        <v>21640.93</v>
      </c>
      <c r="H63" s="727">
        <v>9941.16</v>
      </c>
      <c r="I63" s="728">
        <f t="shared" si="2"/>
      </c>
      <c r="J63" s="728">
        <f t="shared" si="0"/>
      </c>
      <c r="K63" s="728">
        <f t="shared" si="4"/>
      </c>
      <c r="L63" s="726" t="s">
        <v>1534</v>
      </c>
      <c r="M63" s="729">
        <v>2</v>
      </c>
      <c r="N63" s="726"/>
      <c r="O63" s="726"/>
      <c r="P63" s="730"/>
      <c r="Q63" s="734">
        <v>3.14693257359924</v>
      </c>
      <c r="R63" s="732">
        <v>0.1003909247651174</v>
      </c>
      <c r="S63" s="732">
        <v>0.033637157399322784</v>
      </c>
      <c r="T63" s="732">
        <v>0.03558574866367102</v>
      </c>
      <c r="U63" s="732">
        <v>0.06971873129862358</v>
      </c>
      <c r="V63" s="733">
        <v>9428.113308391235</v>
      </c>
      <c r="W63" s="732">
        <v>0.046775</v>
      </c>
      <c r="X63" s="733">
        <v>50</v>
      </c>
      <c r="Y63" s="734">
        <v>105.85386630321356</v>
      </c>
      <c r="Z63" s="733">
        <v>93914</v>
      </c>
      <c r="AA63" s="733">
        <v>3159</v>
      </c>
      <c r="AB63" s="733">
        <v>441</v>
      </c>
      <c r="AC63" s="733">
        <v>3342</v>
      </c>
      <c r="AD63" s="733">
        <v>233</v>
      </c>
      <c r="AE63" s="733">
        <v>30</v>
      </c>
      <c r="AF63" s="733">
        <v>5</v>
      </c>
      <c r="AG63" s="733">
        <v>126</v>
      </c>
    </row>
    <row r="64">
      <c r="A64" s="735" t="s">
        <v>1568</v>
      </c>
      <c r="B64" s="735" t="s">
        <v>1532</v>
      </c>
      <c r="C64" s="736"/>
      <c r="D64" s="736">
        <f>SUM(D62:D63)</f>
      </c>
      <c r="E64" s="736">
        <f>E62+E63</f>
      </c>
      <c r="F64" s="736">
        <f>SUM(F62:F63)</f>
      </c>
      <c r="G64" s="736">
        <f>SUM(G62:G63)</f>
      </c>
      <c r="H64" s="736">
        <f>SUM(H62:H63)</f>
      </c>
      <c r="I64" s="737">
        <f t="shared" si="2"/>
      </c>
      <c r="J64" s="737">
        <f t="shared" si="0"/>
      </c>
      <c r="K64" s="737">
        <f t="shared" si="4"/>
      </c>
      <c r="L64" s="736"/>
      <c r="M64" s="738">
        <f>SUM(M62:M63)</f>
      </c>
      <c r="N64" s="736"/>
      <c r="O64" s="736"/>
      <c r="P64" s="736"/>
      <c r="Q64" s="739">
        <f>AVERAGE(Q62:Q63)</f>
      </c>
      <c r="R64" s="740">
        <f>AVERAGE(R62:R63)</f>
      </c>
      <c r="S64" s="740">
        <f>AVERAGE(S62:S63)</f>
      </c>
      <c r="T64" s="740">
        <f>AVERAGE(T62:T63)</f>
      </c>
      <c r="U64" s="740">
        <f>AVERAGE(U62:U63)</f>
      </c>
      <c r="V64" s="741">
        <f>SUM(V62:V63)</f>
      </c>
      <c r="W64" s="740">
        <f>AVERAGE(W62:W63)</f>
      </c>
      <c r="X64" s="742"/>
      <c r="Y64" s="739">
        <f>AVERAGE(Y62:Y63)</f>
      </c>
      <c r="Z64" s="741">
        <f>SUM(Z62:Z63)</f>
      </c>
      <c r="AA64" s="741">
        <f>SUM(AA62:AA63)</f>
      </c>
      <c r="AB64" s="741">
        <f>SUM(AB62:AB63)</f>
      </c>
      <c r="AC64" s="741">
        <f>SUM(AC62:AC63)</f>
      </c>
      <c r="AD64" s="741">
        <f>SUM(AD62:AD63)</f>
      </c>
      <c r="AE64" s="741">
        <f>SUM(AE62:AE63)</f>
      </c>
      <c r="AF64" s="741">
        <f>SUM(AF62:AF63)</f>
      </c>
      <c r="AG64" s="741">
        <f>SUM(AG62:AG63)</f>
      </c>
    </row>
    <row r="65">
      <c r="A65" s="726" t="s">
        <v>1569</v>
      </c>
      <c r="B65" s="744" t="s">
        <v>1527</v>
      </c>
      <c r="C65" s="726" t="s">
        <v>1528</v>
      </c>
      <c r="D65" s="726">
        <v>4</v>
      </c>
      <c r="E65" s="726">
        <v>6</v>
      </c>
      <c r="F65" s="726">
        <v>7</v>
      </c>
      <c r="G65" s="726">
        <v>15096.52</v>
      </c>
      <c r="H65" s="727">
        <v>8794.66</v>
      </c>
      <c r="I65" s="728">
        <f t="shared" si="2"/>
      </c>
      <c r="J65" s="728">
        <f t="shared" si="0"/>
      </c>
      <c r="K65" s="728">
        <f t="shared" si="4"/>
      </c>
      <c r="L65" s="726" t="s">
        <v>1541</v>
      </c>
      <c r="M65" s="729">
        <v>1.2</v>
      </c>
      <c r="N65" s="730"/>
      <c r="O65" s="726"/>
      <c r="P65" s="730"/>
      <c r="Q65" s="731">
        <v>3.6967885666246323</v>
      </c>
      <c r="R65" s="732">
        <v>0.19113705021060254</v>
      </c>
      <c r="S65" s="732">
        <v>0.02581800423245971</v>
      </c>
      <c r="T65" s="732">
        <v>0.02739161104780509</v>
      </c>
      <c r="U65" s="732">
        <v>0.061014263074484945</v>
      </c>
      <c r="V65" s="733">
        <v>17612.32349165597</v>
      </c>
      <c r="W65" s="732">
        <v>0.019475</v>
      </c>
      <c r="X65" s="733">
        <v>52.75</v>
      </c>
      <c r="Y65" s="734">
        <v>95.44370285962341</v>
      </c>
      <c r="Z65" s="733">
        <v>92145</v>
      </c>
      <c r="AA65" s="733">
        <v>2379</v>
      </c>
      <c r="AB65" s="733">
        <v>343</v>
      </c>
      <c r="AC65" s="733">
        <v>2524</v>
      </c>
      <c r="AD65" s="733">
        <v>154</v>
      </c>
      <c r="AE65" s="733">
        <v>21</v>
      </c>
      <c r="AF65" s="733">
        <v>0</v>
      </c>
      <c r="AG65" s="733">
        <v>96</v>
      </c>
    </row>
    <row r="66">
      <c r="A66" s="726" t="s">
        <v>1569</v>
      </c>
      <c r="B66" s="744" t="s">
        <v>1535</v>
      </c>
      <c r="C66" s="726" t="s">
        <v>1531</v>
      </c>
      <c r="D66" s="726">
        <v>4</v>
      </c>
      <c r="E66" s="726">
        <v>12</v>
      </c>
      <c r="F66" s="726">
        <v>16</v>
      </c>
      <c r="G66" s="726">
        <v>33994.79</v>
      </c>
      <c r="H66" s="727">
        <v>8374.710000000001</v>
      </c>
      <c r="I66" s="728">
        <f t="shared" si="2"/>
      </c>
      <c r="J66" s="728">
        <f t="shared" si="0"/>
      </c>
      <c r="K66" s="728">
        <f t="shared" si="4"/>
      </c>
      <c r="L66" s="726" t="s">
        <v>1534</v>
      </c>
      <c r="M66" s="729">
        <v>2</v>
      </c>
      <c r="N66" s="726"/>
      <c r="O66" s="726"/>
      <c r="P66" s="730"/>
      <c r="Q66" s="734">
        <v>2.4092951668584583</v>
      </c>
      <c r="R66" s="732">
        <v>0.0728800134933274</v>
      </c>
      <c r="S66" s="732">
        <v>0.03765450153282853</v>
      </c>
      <c r="T66" s="732">
        <v>0.040579333354998755</v>
      </c>
      <c r="U66" s="732">
        <v>0.07287773625200214</v>
      </c>
      <c r="V66" s="733">
        <v>6727.772685609532</v>
      </c>
      <c r="W66" s="732">
        <v>0.05455</v>
      </c>
      <c r="X66" s="733">
        <v>46</v>
      </c>
      <c r="Y66" s="734">
        <v>90.72080855350818</v>
      </c>
      <c r="Z66" s="733">
        <v>92313</v>
      </c>
      <c r="AA66" s="733">
        <v>3476</v>
      </c>
      <c r="AB66" s="733">
        <v>367</v>
      </c>
      <c r="AC66" s="733">
        <v>3746</v>
      </c>
      <c r="AD66" s="733">
        <v>273</v>
      </c>
      <c r="AE66" s="733">
        <v>33</v>
      </c>
      <c r="AF66" s="733">
        <v>3</v>
      </c>
      <c r="AG66" s="733">
        <v>72</v>
      </c>
    </row>
    <row r="67">
      <c r="A67" s="735" t="s">
        <v>1569</v>
      </c>
      <c r="B67" s="735" t="s">
        <v>1532</v>
      </c>
      <c r="C67" s="736"/>
      <c r="D67" s="736">
        <f>SUM(D65:D66)</f>
      </c>
      <c r="E67" s="736">
        <f>E65+E66</f>
      </c>
      <c r="F67" s="736">
        <f>SUM(F65:F66)</f>
      </c>
      <c r="G67" s="736">
        <f>SUM(G65:G66)</f>
      </c>
      <c r="H67" s="736">
        <f>SUM(H65:H66)</f>
      </c>
      <c r="I67" s="737">
        <f t="shared" si="2"/>
      </c>
      <c r="J67" s="737">
        <f t="shared" si="0"/>
      </c>
      <c r="K67" s="737">
        <f t="shared" si="4"/>
      </c>
      <c r="L67" s="736"/>
      <c r="M67" s="738">
        <f>SUM(M65:M66)</f>
      </c>
      <c r="N67" s="736"/>
      <c r="O67" s="736"/>
      <c r="P67" s="736"/>
      <c r="Q67" s="739">
        <f>AVERAGE(Q65:Q66)</f>
      </c>
      <c r="R67" s="740">
        <f>AVERAGE(R65:R66)</f>
      </c>
      <c r="S67" s="740">
        <f>AVERAGE(S65:S66)</f>
      </c>
      <c r="T67" s="740">
        <f>AVERAGE(T65:T66)</f>
      </c>
      <c r="U67" s="740">
        <f>AVERAGE(U65:U66)</f>
      </c>
      <c r="V67" s="741">
        <f>SUM(V65:V66)</f>
      </c>
      <c r="W67" s="740">
        <f>AVERAGE(W65:W66)</f>
      </c>
      <c r="X67" s="742"/>
      <c r="Y67" s="739">
        <f>AVERAGE(Y65:Y66)</f>
      </c>
      <c r="Z67" s="741">
        <f>SUM(Z65:Z66)</f>
      </c>
      <c r="AA67" s="741">
        <f>SUM(AA65:AA66)</f>
      </c>
      <c r="AB67" s="741">
        <f>SUM(AB65:AB66)</f>
      </c>
      <c r="AC67" s="741">
        <f>SUM(AC65:AC66)</f>
      </c>
      <c r="AD67" s="741">
        <f>SUM(AD65:AD66)</f>
      </c>
      <c r="AE67" s="741">
        <f>SUM(AE65:AE66)</f>
      </c>
      <c r="AF67" s="741">
        <f>SUM(AF65:AF66)</f>
      </c>
      <c r="AG67" s="741">
        <f>SUM(AG65:AG66)</f>
      </c>
    </row>
    <row r="68">
      <c r="A68" s="726" t="s">
        <v>1570</v>
      </c>
      <c r="B68" s="744" t="s">
        <v>1535</v>
      </c>
      <c r="C68" s="726" t="s">
        <v>1528</v>
      </c>
      <c r="D68" s="726">
        <v>4</v>
      </c>
      <c r="E68" s="726">
        <v>8</v>
      </c>
      <c r="F68" s="726">
        <v>10</v>
      </c>
      <c r="G68" s="726">
        <v>17232.95</v>
      </c>
      <c r="H68" s="727">
        <v>8915.74</v>
      </c>
      <c r="I68" s="728">
        <f t="shared" si="2"/>
      </c>
      <c r="J68" s="728">
        <f t="shared" si="0"/>
      </c>
      <c r="K68" s="728">
        <f t="shared" si="4"/>
      </c>
      <c r="L68" s="726" t="s">
        <v>1541</v>
      </c>
      <c r="M68" s="729">
        <v>1.2</v>
      </c>
      <c r="N68" s="730"/>
      <c r="O68" s="726"/>
      <c r="P68" s="730"/>
      <c r="Q68" s="731">
        <v>3.356829819277108</v>
      </c>
      <c r="R68" s="732">
        <v>0.18080198941116407</v>
      </c>
      <c r="S68" s="732">
        <v>0.02498870992021677</v>
      </c>
      <c r="T68" s="732">
        <v>0.026719855486978774</v>
      </c>
      <c r="U68" s="732">
        <v>0.08661971830985915</v>
      </c>
      <c r="V68" s="733">
        <v>19217.081850533807</v>
      </c>
      <c r="W68" s="732">
        <v>0.021075</v>
      </c>
      <c r="X68" s="733">
        <v>38.5</v>
      </c>
      <c r="Y68" s="734">
        <v>83.88284660544934</v>
      </c>
      <c r="Z68" s="733">
        <v>106288</v>
      </c>
      <c r="AA68" s="733">
        <v>2656</v>
      </c>
      <c r="AB68" s="733">
        <v>405</v>
      </c>
      <c r="AC68" s="733">
        <v>2840</v>
      </c>
      <c r="AD68" s="733">
        <v>246</v>
      </c>
      <c r="AE68" s="733">
        <v>15</v>
      </c>
      <c r="AF68" s="733">
        <v>3</v>
      </c>
      <c r="AG68" s="733">
        <v>74</v>
      </c>
    </row>
    <row r="69">
      <c r="A69" s="726" t="s">
        <v>1570</v>
      </c>
      <c r="B69" s="745" t="s">
        <v>1530</v>
      </c>
      <c r="C69" s="726" t="s">
        <v>1531</v>
      </c>
      <c r="D69" s="726">
        <v>4</v>
      </c>
      <c r="E69" s="726">
        <v>7</v>
      </c>
      <c r="F69" s="726">
        <v>9</v>
      </c>
      <c r="G69" s="726">
        <v>14639.64</v>
      </c>
      <c r="H69" s="727">
        <v>9454.93</v>
      </c>
      <c r="I69" s="728">
        <f t="shared" si="2"/>
      </c>
      <c r="J69" s="728">
        <f t="shared" si="0"/>
      </c>
      <c r="K69" s="728">
        <f t="shared" si="4"/>
      </c>
      <c r="L69" s="726" t="s">
        <v>1534</v>
      </c>
      <c r="M69" s="729">
        <v>2</v>
      </c>
      <c r="N69" s="726"/>
      <c r="O69" s="726"/>
      <c r="P69" s="730"/>
      <c r="Q69" s="734">
        <v>2.7445370101596516</v>
      </c>
      <c r="R69" s="732">
        <v>0.17386532812017574</v>
      </c>
      <c r="S69" s="732">
        <v>0.036077831769437</v>
      </c>
      <c r="T69" s="732">
        <v>0.03818280831099196</v>
      </c>
      <c r="U69" s="732">
        <v>0.0693911135490949</v>
      </c>
      <c r="V69" s="733">
        <v>16602.05245153934</v>
      </c>
      <c r="W69" s="732">
        <v>0.021924999999999997</v>
      </c>
      <c r="X69" s="733">
        <v>39.75</v>
      </c>
      <c r="Y69" s="734">
        <v>99.01694453753352</v>
      </c>
      <c r="Z69" s="733">
        <v>95488</v>
      </c>
      <c r="AA69" s="733">
        <v>3445</v>
      </c>
      <c r="AB69" s="733">
        <v>364</v>
      </c>
      <c r="AC69" s="733">
        <v>3646</v>
      </c>
      <c r="AD69" s="733">
        <v>253</v>
      </c>
      <c r="AE69" s="733">
        <v>25</v>
      </c>
      <c r="AF69" s="733">
        <v>5</v>
      </c>
      <c r="AG69" s="733">
        <v>81</v>
      </c>
    </row>
    <row r="70">
      <c r="A70" s="735" t="s">
        <v>1570</v>
      </c>
      <c r="B70" s="735" t="s">
        <v>1532</v>
      </c>
      <c r="C70" s="736"/>
      <c r="D70" s="736">
        <f>SUM(D68:D69)</f>
      </c>
      <c r="E70" s="736">
        <f>E68+E69</f>
      </c>
      <c r="F70" s="736">
        <f>SUM(F68:F69)</f>
      </c>
      <c r="G70" s="736">
        <f>SUM(G68:G69)</f>
      </c>
      <c r="H70" s="736">
        <f>SUM(H68:H69)</f>
      </c>
      <c r="I70" s="737">
        <f t="shared" si="2"/>
      </c>
      <c r="J70" s="737">
        <f t="shared" si="0"/>
      </c>
      <c r="K70" s="737">
        <f t="shared" si="4"/>
      </c>
      <c r="L70" s="736"/>
      <c r="M70" s="738">
        <f>SUM(M68:M69)</f>
      </c>
      <c r="N70" s="736"/>
      <c r="O70" s="736"/>
      <c r="P70" s="736"/>
      <c r="Q70" s="739">
        <f>AVERAGE(Q68:Q69)</f>
      </c>
      <c r="R70" s="740">
        <f>AVERAGE(R68:R69)</f>
      </c>
      <c r="S70" s="740">
        <f>AVERAGE(S68:S69)</f>
      </c>
      <c r="T70" s="740">
        <f>AVERAGE(T68:T69)</f>
      </c>
      <c r="U70" s="740">
        <f>AVERAGE(U68:U69)</f>
      </c>
      <c r="V70" s="741">
        <f>SUM(V68:V69)</f>
      </c>
      <c r="W70" s="740">
        <f>AVERAGE(W68:W69)</f>
      </c>
      <c r="X70" s="742"/>
      <c r="Y70" s="739">
        <f>AVERAGE(Y68:Y69)</f>
      </c>
      <c r="Z70" s="741">
        <f>SUM(Z68:Z69)</f>
      </c>
      <c r="AA70" s="741">
        <f>SUM(AA68:AA69)</f>
      </c>
      <c r="AB70" s="741">
        <f>SUM(AB68:AB69)</f>
      </c>
      <c r="AC70" s="741">
        <f>SUM(AC68:AC69)</f>
      </c>
      <c r="AD70" s="741">
        <f>SUM(AD68:AD69)</f>
      </c>
      <c r="AE70" s="741">
        <f>SUM(AE68:AE69)</f>
      </c>
      <c r="AF70" s="741">
        <f>SUM(AF68:AF69)</f>
      </c>
      <c r="AG70" s="741">
        <f>SUM(AG68:AG69)</f>
      </c>
    </row>
    <row r="71">
      <c r="A71" s="726" t="s">
        <v>1571</v>
      </c>
      <c r="B71" s="745" t="s">
        <v>1530</v>
      </c>
      <c r="C71" s="726" t="s">
        <v>1528</v>
      </c>
      <c r="D71" s="726">
        <v>4</v>
      </c>
      <c r="E71" s="726">
        <v>6</v>
      </c>
      <c r="F71" s="726">
        <v>7</v>
      </c>
      <c r="G71" s="726">
        <v>13693.69</v>
      </c>
      <c r="H71" s="727">
        <v>7515.99</v>
      </c>
      <c r="I71" s="728">
        <f t="shared" si="2"/>
      </c>
      <c r="J71" s="728">
        <f t="shared" si="0"/>
      </c>
      <c r="K71" s="728">
        <f t="shared" si="4"/>
      </c>
      <c r="L71" s="726" t="s">
        <v>1572</v>
      </c>
      <c r="M71" s="729">
        <v>3.2</v>
      </c>
      <c r="N71" s="730"/>
      <c r="O71" s="726"/>
      <c r="P71" s="730"/>
      <c r="Q71" s="731">
        <v>2.895219568567026</v>
      </c>
      <c r="R71" s="732">
        <v>0.21644896312674727</v>
      </c>
      <c r="S71" s="732">
        <v>0.02496345872759443</v>
      </c>
      <c r="T71" s="732">
        <v>0.027184783444880376</v>
      </c>
      <c r="U71" s="732">
        <v>0.07675981605942696</v>
      </c>
      <c r="V71" s="733">
        <v>22508.960573476703</v>
      </c>
      <c r="W71" s="732">
        <v>0.01395</v>
      </c>
      <c r="X71" s="733">
        <v>35.25</v>
      </c>
      <c r="Y71" s="734">
        <v>72.27469420724671</v>
      </c>
      <c r="Z71" s="733">
        <v>103992</v>
      </c>
      <c r="AA71" s="733">
        <v>2596</v>
      </c>
      <c r="AB71" s="733">
        <v>314</v>
      </c>
      <c r="AC71" s="733">
        <v>2827</v>
      </c>
      <c r="AD71" s="733">
        <v>217</v>
      </c>
      <c r="AE71" s="733">
        <v>18</v>
      </c>
      <c r="AF71" s="733">
        <v>4</v>
      </c>
      <c r="AG71" s="733">
        <v>79</v>
      </c>
    </row>
    <row r="72">
      <c r="A72" s="726" t="s">
        <v>1571</v>
      </c>
      <c r="B72" s="745" t="s">
        <v>1527</v>
      </c>
      <c r="C72" s="726" t="s">
        <v>1531</v>
      </c>
      <c r="D72" s="726">
        <v>4</v>
      </c>
      <c r="E72" s="726">
        <v>6</v>
      </c>
      <c r="F72" s="726">
        <v>10</v>
      </c>
      <c r="G72" s="726">
        <v>19901.57</v>
      </c>
      <c r="H72" s="727">
        <v>7374.97</v>
      </c>
      <c r="I72" s="728">
        <f t="shared" si="2"/>
      </c>
      <c r="J72" s="728">
        <f t="shared" si="0"/>
      </c>
      <c r="K72" s="728">
        <f t="shared" si="4"/>
      </c>
      <c r="L72" s="726"/>
      <c r="M72" s="729"/>
      <c r="N72" s="726"/>
      <c r="O72" s="726"/>
      <c r="P72" s="730"/>
      <c r="Q72" s="734">
        <v>2.2484664634146343</v>
      </c>
      <c r="R72" s="732">
        <v>0.1692061692569311</v>
      </c>
      <c r="S72" s="732">
        <v>0.03101449549438808</v>
      </c>
      <c r="T72" s="732">
        <v>0.033028546573749255</v>
      </c>
      <c r="U72" s="732">
        <v>0.04151159461780704</v>
      </c>
      <c r="V72" s="733">
        <v>17894.736842105263</v>
      </c>
      <c r="W72" s="732">
        <v>0.0171</v>
      </c>
      <c r="X72" s="733">
        <v>32.25</v>
      </c>
      <c r="Y72" s="734">
        <v>69.73505299885586</v>
      </c>
      <c r="Z72" s="733">
        <v>105757</v>
      </c>
      <c r="AA72" s="733">
        <v>3280</v>
      </c>
      <c r="AB72" s="733">
        <v>306</v>
      </c>
      <c r="AC72" s="733">
        <v>3493</v>
      </c>
      <c r="AD72" s="733">
        <v>145</v>
      </c>
      <c r="AE72" s="733">
        <v>16</v>
      </c>
      <c r="AF72" s="733">
        <v>3</v>
      </c>
      <c r="AG72" s="733">
        <v>72</v>
      </c>
    </row>
    <row r="73">
      <c r="A73" s="735" t="s">
        <v>1571</v>
      </c>
      <c r="B73" s="735" t="s">
        <v>1532</v>
      </c>
      <c r="C73" s="736"/>
      <c r="D73" s="736">
        <f>SUM(D71:D72)</f>
      </c>
      <c r="E73" s="736">
        <f>E71+E72</f>
      </c>
      <c r="F73" s="736">
        <f>SUM(F71:F72)</f>
      </c>
      <c r="G73" s="736">
        <f>SUM(G71:G72)</f>
      </c>
      <c r="H73" s="736">
        <f>SUM(H71:H72)</f>
      </c>
      <c r="I73" s="737">
        <f t="shared" si="2"/>
      </c>
      <c r="J73" s="737">
        <f t="shared" si="0"/>
      </c>
      <c r="K73" s="737">
        <f t="shared" si="4"/>
      </c>
      <c r="L73" s="736"/>
      <c r="M73" s="738">
        <f>SUM(M71:M72)</f>
      </c>
      <c r="N73" s="736"/>
      <c r="O73" s="736"/>
      <c r="P73" s="736"/>
      <c r="Q73" s="739">
        <f>AVERAGE(Q71:Q72)</f>
      </c>
      <c r="R73" s="740">
        <f>AVERAGE(R71:R72)</f>
      </c>
      <c r="S73" s="740">
        <f>AVERAGE(S71:S72)</f>
      </c>
      <c r="T73" s="740">
        <f>AVERAGE(T71:T72)</f>
      </c>
      <c r="U73" s="740">
        <f>AVERAGE(U71:U72)</f>
      </c>
      <c r="V73" s="741">
        <f>SUM(V71:V72)</f>
      </c>
      <c r="W73" s="740">
        <f>AVERAGE(W71:W72)</f>
      </c>
      <c r="X73" s="742"/>
      <c r="Y73" s="739">
        <f>AVERAGE(Y71:Y72)</f>
      </c>
      <c r="Z73" s="741">
        <f>SUM(Z71:Z72)</f>
      </c>
      <c r="AA73" s="741">
        <f>SUM(AA71:AA72)</f>
      </c>
      <c r="AB73" s="741">
        <f>SUM(AB71:AB72)</f>
      </c>
      <c r="AC73" s="741">
        <f>SUM(AC71:AC72)</f>
      </c>
      <c r="AD73" s="741">
        <f>SUM(AD71:AD72)</f>
      </c>
      <c r="AE73" s="741">
        <f>SUM(AE71:AE72)</f>
      </c>
      <c r="AF73" s="741">
        <f>SUM(AF71:AF72)</f>
      </c>
      <c r="AG73" s="741">
        <f>SUM(AG71:AG72)</f>
      </c>
    </row>
    <row r="74">
      <c r="A74" s="726" t="s">
        <v>1573</v>
      </c>
      <c r="B74" s="744" t="s">
        <v>1535</v>
      </c>
      <c r="C74" s="726" t="s">
        <v>1574</v>
      </c>
      <c r="D74" s="726">
        <v>5</v>
      </c>
      <c r="E74" s="726">
        <v>6</v>
      </c>
      <c r="F74" s="726">
        <v>9</v>
      </c>
      <c r="G74" s="726">
        <v>19115.69</v>
      </c>
      <c r="H74" s="727">
        <v>8971.69</v>
      </c>
      <c r="I74" s="728">
        <f t="shared" si="2"/>
      </c>
      <c r="J74" s="728">
        <f t="shared" si="0"/>
      </c>
      <c r="K74" s="728">
        <f t="shared" si="4"/>
      </c>
      <c r="L74" s="726" t="s">
        <v>1572</v>
      </c>
      <c r="M74" s="729">
        <v>3.2</v>
      </c>
      <c r="N74" s="730"/>
      <c r="O74" s="726"/>
      <c r="P74" s="730"/>
      <c r="Q74" s="731">
        <v>2.8617830940988838</v>
      </c>
      <c r="R74" s="732">
        <v>0.20318764578581644</v>
      </c>
      <c r="S74" s="732">
        <v>0.02442083287893187</v>
      </c>
      <c r="T74" s="732">
        <v>0.02640721641453877</v>
      </c>
      <c r="U74" s="732">
        <v>0.07492625368731563</v>
      </c>
      <c r="V74" s="733">
        <v>26084.0108401084</v>
      </c>
      <c r="W74" s="732">
        <v>0.01476</v>
      </c>
      <c r="X74" s="733">
        <v>44.2</v>
      </c>
      <c r="Y74" s="734">
        <v>69.8871266767414</v>
      </c>
      <c r="Z74" s="733">
        <v>128374</v>
      </c>
      <c r="AA74" s="733">
        <v>3135</v>
      </c>
      <c r="AB74" s="733">
        <v>385</v>
      </c>
      <c r="AC74" s="733">
        <v>3390</v>
      </c>
      <c r="AD74" s="733">
        <v>254</v>
      </c>
      <c r="AE74" s="733">
        <v>17</v>
      </c>
      <c r="AF74" s="733">
        <v>4</v>
      </c>
      <c r="AG74" s="733">
        <v>76</v>
      </c>
    </row>
    <row r="75">
      <c r="A75" s="726" t="s">
        <v>1573</v>
      </c>
      <c r="B75" s="745" t="s">
        <v>1527</v>
      </c>
      <c r="C75" s="726" t="s">
        <v>1575</v>
      </c>
      <c r="D75" s="726">
        <v>3</v>
      </c>
      <c r="E75" s="726">
        <v>10</v>
      </c>
      <c r="F75" s="726">
        <v>12</v>
      </c>
      <c r="G75" s="726">
        <v>22717.14</v>
      </c>
      <c r="H75" s="727">
        <v>5299.35</v>
      </c>
      <c r="I75" s="728">
        <f t="shared" si="2"/>
      </c>
      <c r="J75" s="728">
        <f t="shared" si="0"/>
      </c>
      <c r="K75" s="728">
        <f t="shared" si="4"/>
      </c>
      <c r="L75" s="726"/>
      <c r="M75" s="729"/>
      <c r="N75" s="726"/>
      <c r="O75" s="726"/>
      <c r="P75" s="730"/>
      <c r="Q75" s="734">
        <v>1.934775465498357</v>
      </c>
      <c r="R75" s="732">
        <v>0.21522364701740654</v>
      </c>
      <c r="S75" s="732">
        <v>0.034988886334023146</v>
      </c>
      <c r="T75" s="732">
        <v>0.0376331723767916</v>
      </c>
      <c r="U75" s="732">
        <v>0.029192124915139173</v>
      </c>
      <c r="V75" s="733">
        <v>16848.13753581662</v>
      </c>
      <c r="W75" s="732">
        <v>0.011633333333333334</v>
      </c>
      <c r="X75" s="733">
        <v>36.333333333333336</v>
      </c>
      <c r="Y75" s="734">
        <v>67.69563884417875</v>
      </c>
      <c r="Z75" s="733">
        <v>78282</v>
      </c>
      <c r="AA75" s="733">
        <v>2739</v>
      </c>
      <c r="AB75" s="733">
        <v>196</v>
      </c>
      <c r="AC75" s="733">
        <v>2946</v>
      </c>
      <c r="AD75" s="733">
        <v>86</v>
      </c>
      <c r="AE75" s="733">
        <v>13</v>
      </c>
      <c r="AF75" s="733">
        <v>3</v>
      </c>
      <c r="AG75" s="733">
        <v>39</v>
      </c>
    </row>
    <row r="76">
      <c r="A76" s="735" t="s">
        <v>1573</v>
      </c>
      <c r="B76" s="735" t="s">
        <v>1532</v>
      </c>
      <c r="C76" s="736"/>
      <c r="D76" s="736">
        <f>SUM(D74:D75)</f>
      </c>
      <c r="E76" s="736">
        <f>E74+E75</f>
      </c>
      <c r="F76" s="736">
        <f>SUM(F74:F75)</f>
      </c>
      <c r="G76" s="736">
        <f>SUM(G74:G75)</f>
      </c>
      <c r="H76" s="736">
        <f>SUM(H74:H75)</f>
      </c>
      <c r="I76" s="737">
        <f t="shared" si="2"/>
      </c>
      <c r="J76" s="737">
        <f t="shared" si="0"/>
      </c>
      <c r="K76" s="737">
        <f t="shared" si="4"/>
      </c>
      <c r="L76" s="736"/>
      <c r="M76" s="738">
        <f>SUM(M74:M75)</f>
      </c>
      <c r="N76" s="736"/>
      <c r="O76" s="736"/>
      <c r="P76" s="736"/>
      <c r="Q76" s="739">
        <f>AVERAGE(Q74:Q75)</f>
      </c>
      <c r="R76" s="740">
        <f>AVERAGE(R74:R75)</f>
      </c>
      <c r="S76" s="740">
        <f>AVERAGE(S74:S75)</f>
      </c>
      <c r="T76" s="740">
        <f>AVERAGE(T74:T75)</f>
      </c>
      <c r="U76" s="740">
        <f>AVERAGE(U74:U75)</f>
      </c>
      <c r="V76" s="741">
        <f>SUM(V74:V75)</f>
      </c>
      <c r="W76" s="740">
        <f>AVERAGE(W74:W75)</f>
      </c>
      <c r="X76" s="742"/>
      <c r="Y76" s="739">
        <f>AVERAGE(Y74:Y75)</f>
      </c>
      <c r="Z76" s="741">
        <f>SUM(Z74:Z75)</f>
      </c>
      <c r="AA76" s="741">
        <f>SUM(AA74:AA75)</f>
      </c>
      <c r="AB76" s="741">
        <f>SUM(AB74:AB75)</f>
      </c>
      <c r="AC76" s="741">
        <f>SUM(AC74:AC75)</f>
      </c>
      <c r="AD76" s="741">
        <f>SUM(AD74:AD75)</f>
      </c>
      <c r="AE76" s="741">
        <f>SUM(AE74:AE75)</f>
      </c>
      <c r="AF76" s="741">
        <f>SUM(AF74:AF75)</f>
      </c>
      <c r="AG76" s="741">
        <f>SUM(AG74:AG75)</f>
      </c>
    </row>
    <row r="77">
      <c r="A77" s="726" t="s">
        <v>1576</v>
      </c>
      <c r="B77" s="744" t="s">
        <v>1535</v>
      </c>
      <c r="C77" s="726" t="s">
        <v>1528</v>
      </c>
      <c r="D77" s="726">
        <v>4</v>
      </c>
      <c r="E77" s="726">
        <v>11</v>
      </c>
      <c r="F77" s="726">
        <v>11</v>
      </c>
      <c r="G77" s="726">
        <v>24343.62</v>
      </c>
      <c r="H77" s="727">
        <v>7775.339999999999</v>
      </c>
      <c r="I77" s="728">
        <f t="shared" si="2"/>
      </c>
      <c r="J77" s="728">
        <f t="shared" si="0"/>
      </c>
      <c r="K77" s="728">
        <f t="shared" si="4"/>
      </c>
      <c r="L77" s="726" t="s">
        <v>1541</v>
      </c>
      <c r="M77" s="729">
        <v>1.2</v>
      </c>
      <c r="N77" s="730"/>
      <c r="O77" s="726"/>
      <c r="P77" s="730"/>
      <c r="Q77" s="731">
        <v>2.725320715036803</v>
      </c>
      <c r="R77" s="732">
        <v>0.3278231721809256</v>
      </c>
      <c r="S77" s="732">
        <v>0.02338198775580452</v>
      </c>
      <c r="T77" s="732">
        <v>0.025373513526803643</v>
      </c>
      <c r="U77" s="732">
        <v>0.06298449612403101</v>
      </c>
      <c r="V77" s="733">
        <v>40000</v>
      </c>
      <c r="W77" s="732">
        <v>0.007500000000000001</v>
      </c>
      <c r="X77" s="733">
        <v>34.75</v>
      </c>
      <c r="Y77" s="734">
        <v>63.723415589630946</v>
      </c>
      <c r="Z77" s="733">
        <v>122017</v>
      </c>
      <c r="AA77" s="733">
        <v>2853</v>
      </c>
      <c r="AB77" s="733">
        <v>300</v>
      </c>
      <c r="AC77" s="733">
        <v>3096</v>
      </c>
      <c r="AD77" s="733">
        <v>195</v>
      </c>
      <c r="AE77" s="733">
        <v>15</v>
      </c>
      <c r="AF77" s="733">
        <v>3</v>
      </c>
      <c r="AG77" s="733">
        <v>58</v>
      </c>
    </row>
    <row customHeight="true" ht="16.071428571428573" r="78">
      <c r="A78" s="726"/>
      <c r="B78" s="745"/>
      <c r="C78" s="726"/>
      <c r="D78" s="726"/>
      <c r="E78" s="726"/>
      <c r="F78" s="726"/>
      <c r="G78" s="726"/>
      <c r="H78" s="727"/>
      <c r="I78" s="728"/>
      <c r="J78" s="728"/>
      <c r="K78" s="728"/>
      <c r="L78" s="726" t="s">
        <v>1577</v>
      </c>
      <c r="M78" s="729">
        <v>2</v>
      </c>
      <c r="N78" s="726"/>
      <c r="O78" s="726"/>
      <c r="P78" s="730"/>
      <c r="Q78" s="734"/>
      <c r="R78" s="732"/>
      <c r="S78" s="732"/>
      <c r="T78" s="732"/>
      <c r="U78" s="732"/>
      <c r="V78" s="733"/>
      <c r="W78" s="732"/>
      <c r="X78" s="733"/>
      <c r="Y78" s="734"/>
      <c r="Z78" s="733"/>
      <c r="AA78" s="733"/>
      <c r="AB78" s="733"/>
      <c r="AC78" s="733"/>
      <c r="AD78" s="733"/>
      <c r="AE78" s="733"/>
      <c r="AF78" s="733"/>
      <c r="AG78" s="733"/>
    </row>
    <row r="79">
      <c r="A79" s="726" t="s">
        <v>1576</v>
      </c>
      <c r="B79" s="745" t="s">
        <v>1578</v>
      </c>
      <c r="C79" s="726" t="s">
        <v>1531</v>
      </c>
      <c r="D79" s="726">
        <v>4</v>
      </c>
      <c r="E79" s="726">
        <v>9</v>
      </c>
      <c r="F79" s="726">
        <v>14</v>
      </c>
      <c r="G79" s="726">
        <v>28570.06</v>
      </c>
      <c r="H79" s="727">
        <v>7920.860000000001</v>
      </c>
      <c r="I79" s="728">
        <f t="shared" ref="I79:I91" si="3">G79/H79</f>
      </c>
      <c r="J79" s="728">
        <f t="shared" ref="J79:J91" si="1">G79/F79</f>
      </c>
      <c r="K79" s="728">
        <f t="shared" ref="K79:K91" si="5">H79/F79</f>
      </c>
      <c r="L79" s="726" t="s">
        <v>1534</v>
      </c>
      <c r="M79" s="729">
        <v>1.2</v>
      </c>
      <c r="N79" s="726"/>
      <c r="O79" s="726"/>
      <c r="P79" s="730"/>
      <c r="Q79" s="734">
        <v>1.810068555758684</v>
      </c>
      <c r="R79" s="732">
        <v>0.2671986835851042</v>
      </c>
      <c r="S79" s="732">
        <v>0.034322914624102904</v>
      </c>
      <c r="T79" s="732">
        <v>0.03664457429703125</v>
      </c>
      <c r="U79" s="732">
        <v>0.06399828767123288</v>
      </c>
      <c r="V79" s="733">
        <v>34066.49616368286</v>
      </c>
      <c r="W79" s="732">
        <v>0.009775</v>
      </c>
      <c r="X79" s="733">
        <v>33.25</v>
      </c>
      <c r="Y79" s="734">
        <v>62.12682850307856</v>
      </c>
      <c r="Z79" s="733">
        <v>127495</v>
      </c>
      <c r="AA79" s="733">
        <v>4376</v>
      </c>
      <c r="AB79" s="733">
        <v>333</v>
      </c>
      <c r="AC79" s="733">
        <v>4672</v>
      </c>
      <c r="AD79" s="733">
        <v>299</v>
      </c>
      <c r="AE79" s="733">
        <v>30</v>
      </c>
      <c r="AF79" s="733">
        <v>5</v>
      </c>
      <c r="AG79" s="733">
        <v>47</v>
      </c>
    </row>
    <row r="80">
      <c r="A80" s="735" t="s">
        <v>1576</v>
      </c>
      <c r="B80" s="735" t="s">
        <v>1532</v>
      </c>
      <c r="C80" s="736"/>
      <c r="D80" s="736">
        <f>SUM(D77:D79)</f>
      </c>
      <c r="E80" s="736">
        <f>E77+E79</f>
      </c>
      <c r="F80" s="736">
        <f>SUM(F77:F79)</f>
      </c>
      <c r="G80" s="736">
        <f>SUM(G77:G79)</f>
      </c>
      <c r="H80" s="736">
        <f>SUM(H77:H79)</f>
      </c>
      <c r="I80" s="737">
        <f t="shared" si="3"/>
      </c>
      <c r="J80" s="737">
        <f t="shared" si="1"/>
      </c>
      <c r="K80" s="737">
        <f t="shared" si="5"/>
      </c>
      <c r="L80" s="736"/>
      <c r="M80" s="738">
        <f>SUM(M77:M79)</f>
      </c>
      <c r="N80" s="736"/>
      <c r="O80" s="736"/>
      <c r="P80" s="736"/>
      <c r="Q80" s="739">
        <f>AVERAGE(Q77:Q79)</f>
      </c>
      <c r="R80" s="740">
        <f>AVERAGE(R77:R79)</f>
      </c>
      <c r="S80" s="740">
        <f>AVERAGE(S77:S79)</f>
      </c>
      <c r="T80" s="740">
        <f>AVERAGE(T77:T79)</f>
      </c>
      <c r="U80" s="740">
        <f>AVERAGE(U77:U79)</f>
      </c>
      <c r="V80" s="741">
        <f>SUM(V77:V79)</f>
      </c>
      <c r="W80" s="740">
        <f>AVERAGE(W77:W79)</f>
      </c>
      <c r="X80" s="742"/>
      <c r="Y80" s="739">
        <f>AVERAGE(Y77:Y79)</f>
      </c>
      <c r="Z80" s="741">
        <f>SUM(Z77:Z79)</f>
      </c>
      <c r="AA80" s="741">
        <f>SUM(AA77:AA79)</f>
      </c>
      <c r="AB80" s="741">
        <f>SUM(AB77:AB79)</f>
      </c>
      <c r="AC80" s="741">
        <f>SUM(AC77:AC79)</f>
      </c>
      <c r="AD80" s="741">
        <f>SUM(AD77:AD79)</f>
      </c>
      <c r="AE80" s="741">
        <f>SUM(AE77:AE79)</f>
      </c>
      <c r="AF80" s="741">
        <f>SUM(AF77:AF79)</f>
      </c>
      <c r="AG80" s="741">
        <f>SUM(AG77:AG79)</f>
      </c>
    </row>
    <row r="81">
      <c r="A81" s="726" t="s">
        <v>1579</v>
      </c>
      <c r="B81" s="745" t="s">
        <v>1530</v>
      </c>
      <c r="C81" s="726" t="s">
        <v>1528</v>
      </c>
      <c r="D81" s="726">
        <v>4</v>
      </c>
      <c r="E81" s="726">
        <v>5</v>
      </c>
      <c r="F81" s="726">
        <v>5</v>
      </c>
      <c r="G81" s="726">
        <v>10732.06</v>
      </c>
      <c r="H81" s="727">
        <v>7698.82</v>
      </c>
      <c r="I81" s="728">
        <f t="shared" si="3"/>
      </c>
      <c r="J81" s="728">
        <f t="shared" si="1"/>
      </c>
      <c r="K81" s="728">
        <f t="shared" si="5"/>
      </c>
      <c r="L81" s="726" t="s">
        <v>1572</v>
      </c>
      <c r="M81" s="729">
        <v>1.6</v>
      </c>
      <c r="N81" s="730"/>
      <c r="O81" s="726"/>
      <c r="P81" s="730"/>
      <c r="Q81" s="731">
        <v>2.8769880418535125</v>
      </c>
      <c r="R81" s="732">
        <v>0.2809315396709534</v>
      </c>
      <c r="S81" s="732">
        <v>0.02353375722238345</v>
      </c>
      <c r="T81" s="732">
        <v>0.02516071726952132</v>
      </c>
      <c r="U81" s="732">
        <v>0.06536176162181055</v>
      </c>
      <c r="V81" s="733">
        <v>31944.44444444444</v>
      </c>
      <c r="W81" s="732">
        <v>0.0108</v>
      </c>
      <c r="X81" s="733">
        <v>36.75</v>
      </c>
      <c r="Y81" s="734">
        <v>67.70633810868092</v>
      </c>
      <c r="Z81" s="733">
        <v>113709</v>
      </c>
      <c r="AA81" s="733">
        <v>2676</v>
      </c>
      <c r="AB81" s="733">
        <v>345</v>
      </c>
      <c r="AC81" s="733">
        <v>2861</v>
      </c>
      <c r="AD81" s="733">
        <v>187</v>
      </c>
      <c r="AE81" s="733">
        <v>22</v>
      </c>
      <c r="AF81" s="733">
        <v>5</v>
      </c>
      <c r="AG81" s="733">
        <v>52</v>
      </c>
    </row>
    <row r="82">
      <c r="A82" s="735" t="s">
        <v>1579</v>
      </c>
      <c r="B82" s="735" t="s">
        <v>1532</v>
      </c>
      <c r="C82" s="736"/>
      <c r="D82" s="736">
        <f>SUM(D81)</f>
      </c>
      <c r="E82" s="736">
        <f>E81</f>
      </c>
      <c r="F82" s="736">
        <f>F81</f>
      </c>
      <c r="G82" s="736">
        <f>G81</f>
      </c>
      <c r="H82" s="736">
        <f>H81</f>
      </c>
      <c r="I82" s="737">
        <f t="shared" si="3"/>
      </c>
      <c r="J82" s="737">
        <f t="shared" si="1"/>
      </c>
      <c r="K82" s="737">
        <f t="shared" si="5"/>
      </c>
      <c r="L82" s="736"/>
      <c r="M82" s="738">
        <f>SUM(M81)</f>
      </c>
      <c r="N82" s="736"/>
      <c r="O82" s="736"/>
      <c r="P82" s="736"/>
      <c r="Q82" s="739">
        <f>AVERAGE(Q81)</f>
      </c>
      <c r="R82" s="740">
        <f>AVERAGE(R81)</f>
      </c>
      <c r="S82" s="740">
        <f>AVERAGE(S81)</f>
      </c>
      <c r="T82" s="740">
        <f>AVERAGE(T81)</f>
      </c>
      <c r="U82" s="740">
        <f>AVERAGE(U81)</f>
      </c>
      <c r="V82" s="741">
        <f>SUM(V81)</f>
      </c>
      <c r="W82" s="740">
        <f>AVERAGE(W81)</f>
      </c>
      <c r="X82" s="742"/>
      <c r="Y82" s="739">
        <f>AVERAGE(Y81)</f>
      </c>
      <c r="Z82" s="741">
        <f>SUM(Z81)</f>
      </c>
      <c r="AA82" s="741">
        <f>SUM(AA81)</f>
      </c>
      <c r="AB82" s="741">
        <f>SUM(AB81)</f>
      </c>
      <c r="AC82" s="741">
        <f>SUM(AC81)</f>
      </c>
      <c r="AD82" s="741">
        <f>SUM(AD81)</f>
      </c>
      <c r="AE82" s="741">
        <f>SUM(AE81)</f>
      </c>
      <c r="AF82" s="741">
        <f>SUM(AF81)</f>
      </c>
      <c r="AG82" s="741">
        <f>SUM(AG81)</f>
      </c>
    </row>
    <row r="83">
      <c r="A83" s="726" t="s">
        <v>1580</v>
      </c>
      <c r="B83" s="745" t="s">
        <v>1530</v>
      </c>
      <c r="C83" s="726" t="s">
        <v>1581</v>
      </c>
      <c r="D83" s="726">
        <v>3</v>
      </c>
      <c r="E83" s="726">
        <v>2</v>
      </c>
      <c r="F83" s="726">
        <v>3</v>
      </c>
      <c r="G83" s="726">
        <v>4736.17</v>
      </c>
      <c r="H83" s="727">
        <v>5349.09</v>
      </c>
      <c r="I83" s="728">
        <f t="shared" si="3"/>
      </c>
      <c r="J83" s="728">
        <f t="shared" si="1"/>
      </c>
      <c r="K83" s="728">
        <f t="shared" si="5"/>
      </c>
      <c r="L83" s="726" t="s">
        <v>1572</v>
      </c>
      <c r="M83" s="729">
        <v>1.2</v>
      </c>
      <c r="N83" s="730"/>
      <c r="O83" s="726"/>
      <c r="P83" s="730"/>
      <c r="Q83" s="731">
        <v>3.0118750000000003</v>
      </c>
      <c r="R83" s="732">
        <v>0.22543817752498188</v>
      </c>
      <c r="S83" s="732">
        <v>0.025296622843875967</v>
      </c>
      <c r="T83" s="732">
        <v>0.027646815844573902</v>
      </c>
      <c r="U83" s="732">
        <v>0.05409582689335394</v>
      </c>
      <c r="V83" s="733">
        <v>15827.338129496402</v>
      </c>
      <c r="W83" s="732">
        <v>0.013900000000000001</v>
      </c>
      <c r="X83" s="733">
        <v>32</v>
      </c>
      <c r="Y83" s="734">
        <v>76.19026592789893</v>
      </c>
      <c r="Z83" s="733">
        <v>70207</v>
      </c>
      <c r="AA83" s="733">
        <v>1776</v>
      </c>
      <c r="AB83" s="733">
        <v>220</v>
      </c>
      <c r="AC83" s="733">
        <v>1941</v>
      </c>
      <c r="AD83" s="733">
        <v>105</v>
      </c>
      <c r="AE83" s="733">
        <v>13</v>
      </c>
      <c r="AF83" s="733">
        <v>1</v>
      </c>
      <c r="AG83" s="733">
        <v>42</v>
      </c>
    </row>
    <row r="84">
      <c r="A84" s="726" t="s">
        <v>1580</v>
      </c>
      <c r="B84" s="744" t="s">
        <v>1535</v>
      </c>
      <c r="C84" s="726" t="s">
        <v>1558</v>
      </c>
      <c r="D84" s="726">
        <v>5</v>
      </c>
      <c r="E84" s="726">
        <v>8</v>
      </c>
      <c r="F84" s="726">
        <v>11</v>
      </c>
      <c r="G84" s="726">
        <v>20892.58</v>
      </c>
      <c r="H84" s="727">
        <v>7432.7300000000005</v>
      </c>
      <c r="I84" s="728">
        <f t="shared" si="3"/>
      </c>
      <c r="J84" s="728">
        <f t="shared" si="1"/>
      </c>
      <c r="K84" s="728">
        <f t="shared" si="5"/>
      </c>
      <c r="L84" s="726" t="s">
        <v>1582</v>
      </c>
      <c r="M84" s="729">
        <v>2</v>
      </c>
      <c r="N84" s="726"/>
      <c r="O84" s="726"/>
      <c r="P84" s="730"/>
      <c r="Q84" s="734">
        <v>2.369375199234938</v>
      </c>
      <c r="R84" s="732">
        <v>0.11872869816495697</v>
      </c>
      <c r="S84" s="732">
        <v>0.02930680119581465</v>
      </c>
      <c r="T84" s="732">
        <v>0.03135276532137519</v>
      </c>
      <c r="U84" s="732">
        <v>0.054529201430274135</v>
      </c>
      <c r="V84" s="733">
        <v>12708.719851576994</v>
      </c>
      <c r="W84" s="732">
        <v>0.02156</v>
      </c>
      <c r="X84" s="733">
        <v>45.6</v>
      </c>
      <c r="Y84" s="734">
        <v>69.43880792227206</v>
      </c>
      <c r="Z84" s="733">
        <v>107040</v>
      </c>
      <c r="AA84" s="733">
        <v>3137</v>
      </c>
      <c r="AB84" s="733">
        <v>274</v>
      </c>
      <c r="AC84" s="733">
        <v>3356</v>
      </c>
      <c r="AD84" s="733">
        <v>183</v>
      </c>
      <c r="AE84" s="733">
        <v>10</v>
      </c>
      <c r="AF84" s="733">
        <v>4</v>
      </c>
      <c r="AG84" s="733">
        <v>54</v>
      </c>
    </row>
    <row r="85">
      <c r="A85" s="735" t="s">
        <v>1580</v>
      </c>
      <c r="B85" s="735" t="s">
        <v>1532</v>
      </c>
      <c r="C85" s="736"/>
      <c r="D85" s="736">
        <f>SUM(D83:D84)</f>
      </c>
      <c r="E85" s="736">
        <f>E83+E84</f>
      </c>
      <c r="F85" s="736">
        <f>SUM(F83:F84)</f>
      </c>
      <c r="G85" s="736">
        <f>SUM(G83:G84)</f>
      </c>
      <c r="H85" s="736">
        <f>SUM(H83:H84)</f>
      </c>
      <c r="I85" s="737">
        <f t="shared" si="3"/>
      </c>
      <c r="J85" s="737">
        <f t="shared" si="1"/>
      </c>
      <c r="K85" s="737">
        <f t="shared" si="5"/>
      </c>
      <c r="L85" s="736"/>
      <c r="M85" s="738">
        <f>SUM(M83:M84)</f>
      </c>
      <c r="N85" s="736"/>
      <c r="O85" s="736"/>
      <c r="P85" s="736"/>
      <c r="Q85" s="739">
        <f>AVERAGE(Q83:Q84)</f>
      </c>
      <c r="R85" s="740">
        <f>AVERAGE(R83:R84)</f>
      </c>
      <c r="S85" s="740">
        <f>AVERAGE(S83:S84)</f>
      </c>
      <c r="T85" s="740">
        <f>AVERAGE(T83:T84)</f>
      </c>
      <c r="U85" s="740">
        <f>AVERAGE(U83:U84)</f>
      </c>
      <c r="V85" s="741">
        <f>SUM(V83:V84)</f>
      </c>
      <c r="W85" s="740">
        <f>AVERAGE(W83:W84)</f>
      </c>
      <c r="X85" s="742"/>
      <c r="Y85" s="739">
        <f>AVERAGE(Y83:Y84)</f>
      </c>
      <c r="Z85" s="741">
        <f>SUM(Z83:Z84)</f>
      </c>
      <c r="AA85" s="741">
        <f>SUM(AA83:AA84)</f>
      </c>
      <c r="AB85" s="741">
        <f>SUM(AB83:AB84)</f>
      </c>
      <c r="AC85" s="741">
        <f>SUM(AC83:AC84)</f>
      </c>
      <c r="AD85" s="741">
        <f>SUM(AD83:AD84)</f>
      </c>
      <c r="AE85" s="741">
        <f>SUM(AE83:AE84)</f>
      </c>
      <c r="AF85" s="741">
        <f>SUM(AF83:AF84)</f>
      </c>
      <c r="AG85" s="741">
        <f>SUM(AG83:AG84)</f>
      </c>
    </row>
    <row r="86">
      <c r="A86" s="726" t="s">
        <v>1583</v>
      </c>
      <c r="B86" s="744" t="s">
        <v>1535</v>
      </c>
      <c r="C86" s="726" t="s">
        <v>1581</v>
      </c>
      <c r="D86" s="726">
        <v>3</v>
      </c>
      <c r="E86" s="726">
        <v>11</v>
      </c>
      <c r="F86" s="726">
        <v>10</v>
      </c>
      <c r="G86" s="726">
        <v>17368.07</v>
      </c>
      <c r="H86" s="727">
        <v>7364.219999999999</v>
      </c>
      <c r="I86" s="728">
        <f t="shared" si="3"/>
      </c>
      <c r="J86" s="728">
        <f t="shared" si="1"/>
      </c>
      <c r="K86" s="728">
        <f t="shared" si="5"/>
      </c>
      <c r="L86" s="726" t="s">
        <v>1577</v>
      </c>
      <c r="M86" s="729">
        <v>8</v>
      </c>
      <c r="N86" s="730"/>
      <c r="O86" s="726"/>
      <c r="P86" s="730"/>
      <c r="Q86" s="731">
        <v>2.316520918527839</v>
      </c>
      <c r="R86" s="732">
        <v>0.2398378874641901</v>
      </c>
      <c r="S86" s="732">
        <v>0.028571942155074012</v>
      </c>
      <c r="T86" s="732">
        <v>0.030621140900389168</v>
      </c>
      <c r="U86" s="732">
        <v>0.056648077487525685</v>
      </c>
      <c r="V86" s="733">
        <v>26685.082872928182</v>
      </c>
      <c r="W86" s="732">
        <v>0.012066666666666665</v>
      </c>
      <c r="X86" s="733">
        <v>34.333333333333336</v>
      </c>
      <c r="Y86" s="734">
        <v>66.18750168519632</v>
      </c>
      <c r="Z86" s="733">
        <v>111263</v>
      </c>
      <c r="AA86" s="733">
        <v>3179</v>
      </c>
      <c r="AB86" s="733">
        <v>322</v>
      </c>
      <c r="AC86" s="733">
        <v>3407</v>
      </c>
      <c r="AD86" s="733">
        <v>193</v>
      </c>
      <c r="AE86" s="733">
        <v>17</v>
      </c>
      <c r="AF86" s="733">
        <v>7</v>
      </c>
      <c r="AG86" s="733">
        <v>61</v>
      </c>
    </row>
    <row r="87">
      <c r="A87" s="726" t="s">
        <v>1583</v>
      </c>
      <c r="B87" s="745" t="s">
        <v>1530</v>
      </c>
      <c r="C87" s="726" t="s">
        <v>1558</v>
      </c>
      <c r="D87" s="726">
        <v>5</v>
      </c>
      <c r="E87" s="726">
        <v>4</v>
      </c>
      <c r="F87" s="726">
        <v>8</v>
      </c>
      <c r="G87" s="726">
        <v>17052.76</v>
      </c>
      <c r="H87" s="727">
        <v>6756.82</v>
      </c>
      <c r="I87" s="728">
        <f t="shared" si="3"/>
      </c>
      <c r="J87" s="728">
        <f t="shared" si="1"/>
      </c>
      <c r="K87" s="728">
        <f t="shared" si="5"/>
      </c>
      <c r="L87" s="726"/>
      <c r="M87" s="729"/>
      <c r="N87" s="726"/>
      <c r="O87" s="726"/>
      <c r="P87" s="730"/>
      <c r="Q87" s="734">
        <v>2.0129138166894665</v>
      </c>
      <c r="R87" s="732">
        <v>0.1535576253216524</v>
      </c>
      <c r="S87" s="732">
        <v>0.026576986002544992</v>
      </c>
      <c r="T87" s="732">
        <v>0.028503908380294492</v>
      </c>
      <c r="U87" s="732">
        <v>0.07397959183673469</v>
      </c>
      <c r="V87" s="733">
        <v>4223.60248447205</v>
      </c>
      <c r="W87" s="732">
        <v>0.0161</v>
      </c>
      <c r="X87" s="733">
        <v>32</v>
      </c>
      <c r="Y87" s="734">
        <v>53.497182330485366</v>
      </c>
      <c r="Z87" s="733">
        <v>27505</v>
      </c>
      <c r="AA87" s="733">
        <v>731</v>
      </c>
      <c r="AB87" s="733">
        <v>68</v>
      </c>
      <c r="AC87" s="733">
        <v>784</v>
      </c>
      <c r="AD87" s="733">
        <v>58</v>
      </c>
      <c r="AE87" s="733">
        <v>6</v>
      </c>
      <c r="AF87" s="733">
        <v>1</v>
      </c>
      <c r="AG87" s="733">
        <v>19</v>
      </c>
    </row>
    <row r="88">
      <c r="A88" s="735" t="s">
        <v>1583</v>
      </c>
      <c r="B88" s="735" t="s">
        <v>1532</v>
      </c>
      <c r="C88" s="736"/>
      <c r="D88" s="736">
        <f>SUM(D86:D87)</f>
      </c>
      <c r="E88" s="736">
        <f>E86+E87</f>
      </c>
      <c r="F88" s="736">
        <f>SUM(F86:F87)</f>
      </c>
      <c r="G88" s="736">
        <f>SUM(G86:G87)</f>
      </c>
      <c r="H88" s="736">
        <f>SUM(H86:H87)</f>
      </c>
      <c r="I88" s="737">
        <f t="shared" si="3"/>
      </c>
      <c r="J88" s="737">
        <f t="shared" si="1"/>
      </c>
      <c r="K88" s="737">
        <f t="shared" si="5"/>
      </c>
      <c r="L88" s="736"/>
      <c r="M88" s="738">
        <f>SUM(M86:M87)</f>
      </c>
      <c r="N88" s="736"/>
      <c r="O88" s="736"/>
      <c r="P88" s="736"/>
      <c r="Q88" s="758">
        <v>2.14162282091918</v>
      </c>
      <c r="R88" s="740">
        <v>0.1891553732723882</v>
      </c>
      <c r="S88" s="740">
        <v>0.029530691327055915</v>
      </c>
      <c r="T88" s="740">
        <v>0.03119676519590408</v>
      </c>
      <c r="U88" s="740">
        <v>0.05310531053105311</v>
      </c>
      <c r="V88" s="741">
        <v>20208.98176967541</v>
      </c>
      <c r="W88" s="740">
        <v>0.014993333333333334</v>
      </c>
      <c r="X88" s="742">
        <v>32.86666666666667</v>
      </c>
      <c r="Y88" s="739">
        <v>63.243602463542935</v>
      </c>
      <c r="Z88" s="741">
        <v>106838</v>
      </c>
      <c r="AA88" s="741">
        <v>3155</v>
      </c>
      <c r="AB88" s="741">
        <v>303</v>
      </c>
      <c r="AC88" s="741">
        <v>3333</v>
      </c>
      <c r="AD88" s="741">
        <v>177</v>
      </c>
      <c r="AE88" s="741">
        <v>15</v>
      </c>
      <c r="AF88" s="741">
        <v>3</v>
      </c>
      <c r="AG88" s="741">
        <v>63</v>
      </c>
    </row>
    <row r="89">
      <c r="A89" s="726" t="s">
        <v>1584</v>
      </c>
      <c r="B89" s="744" t="s">
        <v>1535</v>
      </c>
      <c r="C89" s="726" t="s">
        <v>1581</v>
      </c>
      <c r="D89" s="726">
        <v>4</v>
      </c>
      <c r="E89" s="726">
        <v>7</v>
      </c>
      <c r="F89" s="726">
        <v>5</v>
      </c>
      <c r="G89" s="726">
        <v>11557.27</v>
      </c>
      <c r="H89" s="727">
        <v>7646.25</v>
      </c>
      <c r="I89" s="728">
        <f t="shared" si="3"/>
      </c>
      <c r="J89" s="728">
        <f t="shared" si="1"/>
      </c>
      <c r="K89" s="728">
        <f t="shared" si="5"/>
      </c>
      <c r="L89" s="726" t="s">
        <v>1541</v>
      </c>
      <c r="M89" s="729">
        <v>1.2</v>
      </c>
      <c r="N89" s="730"/>
      <c r="O89" s="726"/>
      <c r="P89" s="730"/>
      <c r="Q89" s="731">
        <v>2.5762297843665767</v>
      </c>
      <c r="R89" s="732">
        <v>0.27004858131782816</v>
      </c>
      <c r="S89" s="732">
        <v>0.024559980802171342</v>
      </c>
      <c r="T89" s="732">
        <v>0.026380464554353854</v>
      </c>
      <c r="U89" s="732">
        <v>0.056775407779171894</v>
      </c>
      <c r="V89" s="733">
        <v>32634.56090651558</v>
      </c>
      <c r="W89" s="732">
        <v>0.011766666666666667</v>
      </c>
      <c r="X89" s="733">
        <v>40.333333333333336</v>
      </c>
      <c r="Y89" s="734">
        <v>63.272154046025136</v>
      </c>
      <c r="Z89" s="733">
        <v>120847</v>
      </c>
      <c r="AA89" s="733">
        <v>2968</v>
      </c>
      <c r="AB89" s="733">
        <v>384</v>
      </c>
      <c r="AC89" s="733">
        <v>3188</v>
      </c>
      <c r="AD89" s="733">
        <v>181</v>
      </c>
      <c r="AE89" s="733">
        <v>24</v>
      </c>
      <c r="AF89" s="733">
        <v>3</v>
      </c>
      <c r="AG89" s="733">
        <v>69</v>
      </c>
    </row>
    <row r="90">
      <c r="A90" s="726" t="s">
        <v>1584</v>
      </c>
      <c r="B90" s="745" t="s">
        <v>1530</v>
      </c>
      <c r="C90" s="726" t="s">
        <v>1558</v>
      </c>
      <c r="D90" s="726">
        <v>4</v>
      </c>
      <c r="E90" s="726">
        <v>6</v>
      </c>
      <c r="F90" s="726">
        <v>12</v>
      </c>
      <c r="G90" s="726">
        <v>25158.98</v>
      </c>
      <c r="H90" s="727">
        <v>7523.540000000001</v>
      </c>
      <c r="I90" s="728">
        <f t="shared" si="3"/>
      </c>
      <c r="J90" s="728">
        <f t="shared" si="1"/>
      </c>
      <c r="K90" s="728">
        <f t="shared" si="5"/>
      </c>
      <c r="L90" s="726" t="s">
        <v>1534</v>
      </c>
      <c r="M90" s="729">
        <v>2</v>
      </c>
      <c r="N90" s="726"/>
      <c r="O90" s="726"/>
      <c r="P90" s="730"/>
      <c r="Q90" s="734">
        <v>1.8729250684590493</v>
      </c>
      <c r="R90" s="732">
        <v>0.21657459264334286</v>
      </c>
      <c r="S90" s="732">
        <v>0.034567922482487995</v>
      </c>
      <c r="T90" s="732">
        <v>0.037553998932929454</v>
      </c>
      <c r="U90" s="732">
        <v>0.02910174152153987</v>
      </c>
      <c r="V90" s="733">
        <v>25167.2671127123</v>
      </c>
      <c r="W90" s="732">
        <v>0.012953333333333334</v>
      </c>
      <c r="X90" s="733">
        <v>35.86666666666667</v>
      </c>
      <c r="Y90" s="734">
        <v>64.74312858200094</v>
      </c>
      <c r="Z90" s="733">
        <v>116206</v>
      </c>
      <c r="AA90" s="733">
        <v>4017</v>
      </c>
      <c r="AB90" s="733">
        <v>326</v>
      </c>
      <c r="AC90" s="733">
        <v>4364</v>
      </c>
      <c r="AD90" s="733">
        <v>127</v>
      </c>
      <c r="AE90" s="733">
        <v>14</v>
      </c>
      <c r="AF90" s="733">
        <v>5</v>
      </c>
      <c r="AG90" s="733">
        <v>45</v>
      </c>
    </row>
    <row r="91">
      <c r="A91" s="735" t="s">
        <v>1584</v>
      </c>
      <c r="B91" s="735" t="s">
        <v>1532</v>
      </c>
      <c r="C91" s="736"/>
      <c r="D91" s="736">
        <f>SUM(D89:D90)</f>
      </c>
      <c r="E91" s="736">
        <f>E89+E90</f>
      </c>
      <c r="F91" s="736">
        <f>SUM(F89:F90)</f>
      </c>
      <c r="G91" s="736">
        <f>SUM(G89:G90)</f>
      </c>
      <c r="H91" s="736">
        <f>SUM(H89:H90)</f>
      </c>
      <c r="I91" s="737">
        <f t="shared" si="3"/>
      </c>
      <c r="J91" s="737">
        <f t="shared" si="1"/>
      </c>
      <c r="K91" s="737">
        <f t="shared" si="5"/>
      </c>
      <c r="L91" s="736"/>
      <c r="M91" s="738">
        <f>SUM(M89:M90)</f>
      </c>
      <c r="N91" s="736"/>
      <c r="O91" s="736"/>
      <c r="P91" s="736"/>
      <c r="Q91" s="758">
        <v>2.14162282091918</v>
      </c>
      <c r="R91" s="740">
        <v>0.1891553732723882</v>
      </c>
      <c r="S91" s="740">
        <v>0.029530691327055915</v>
      </c>
      <c r="T91" s="740">
        <v>0.03119676519590408</v>
      </c>
      <c r="U91" s="740">
        <v>0.05310531053105311</v>
      </c>
      <c r="V91" s="741">
        <v>20208.98176967541</v>
      </c>
      <c r="W91" s="740">
        <v>0.014993333333333334</v>
      </c>
      <c r="X91" s="742">
        <v>32.86666666666667</v>
      </c>
      <c r="Y91" s="739">
        <v>63.243602463542935</v>
      </c>
      <c r="Z91" s="741">
        <v>106838</v>
      </c>
      <c r="AA91" s="741">
        <v>3155</v>
      </c>
      <c r="AB91" s="741">
        <v>303</v>
      </c>
      <c r="AC91" s="741">
        <v>3333</v>
      </c>
      <c r="AD91" s="741">
        <v>177</v>
      </c>
      <c r="AE91" s="741">
        <v>15</v>
      </c>
      <c r="AF91" s="741">
        <v>3</v>
      </c>
      <c r="AG91" s="741">
        <v>63</v>
      </c>
    </row>
  </sheetData>
  <autoFilter ref="A1:AH196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3" min="3" style="0" width="11.211267605633802"/>
  </cols>
  <sheetData>
    <row r="1">
      <c r="A1" s="759" t="s">
        <v>1585</v>
      </c>
      <c r="B1" s="760" t="s">
        <v>1586</v>
      </c>
      <c r="C1" s="760" t="s">
        <v>1587</v>
      </c>
      <c r="D1" s="760" t="s">
        <v>1588</v>
      </c>
      <c r="E1" s="759" t="s">
        <v>1589</v>
      </c>
      <c r="F1" s="760" t="s">
        <v>1590</v>
      </c>
      <c r="G1" s="760" t="s">
        <v>1591</v>
      </c>
      <c r="H1" s="760" t="s">
        <v>1592</v>
      </c>
      <c r="I1" s="761" t="s">
        <v>1593</v>
      </c>
      <c r="J1" s="761" t="s">
        <v>1594</v>
      </c>
      <c r="K1" s="761" t="s">
        <v>1595</v>
      </c>
      <c r="L1" s="760" t="s">
        <v>1596</v>
      </c>
      <c r="M1" s="762" t="s">
        <v>1597</v>
      </c>
      <c r="N1" s="760" t="s">
        <v>1598</v>
      </c>
      <c r="O1" s="760" t="s">
        <v>1599</v>
      </c>
      <c r="P1" s="760"/>
      <c r="Q1" s="760" t="s">
        <v>1600</v>
      </c>
      <c r="R1" s="763" t="s">
        <v>1601</v>
      </c>
      <c r="S1" s="763" t="s">
        <v>1602</v>
      </c>
      <c r="T1" s="763" t="s">
        <v>1603</v>
      </c>
      <c r="U1" s="763" t="s">
        <v>1604</v>
      </c>
      <c r="V1" s="764" t="s">
        <v>1605</v>
      </c>
      <c r="W1" s="763" t="s">
        <v>1606</v>
      </c>
      <c r="X1" s="764" t="s">
        <v>1607</v>
      </c>
      <c r="Y1" s="765" t="s">
        <v>1608</v>
      </c>
      <c r="Z1" s="766" t="s">
        <v>1609</v>
      </c>
      <c r="AA1" s="764" t="s">
        <v>1610</v>
      </c>
      <c r="AB1" s="764" t="s">
        <v>1611</v>
      </c>
      <c r="AC1" s="764" t="s">
        <v>1612</v>
      </c>
      <c r="AD1" s="764" t="s">
        <v>1613</v>
      </c>
      <c r="AE1" s="764" t="s">
        <v>1614</v>
      </c>
      <c r="AF1" s="764" t="s">
        <v>1615</v>
      </c>
      <c r="AG1" s="764" t="s">
        <v>1616</v>
      </c>
    </row>
    <row r="2">
      <c r="A2" s="767" t="s">
        <v>1617</v>
      </c>
      <c r="B2" s="767" t="s">
        <v>1618</v>
      </c>
      <c r="C2" s="767" t="s">
        <v>1619</v>
      </c>
      <c r="D2" s="767">
        <v>4</v>
      </c>
      <c r="E2" s="767">
        <v>2</v>
      </c>
      <c r="F2" s="767">
        <v>4</v>
      </c>
      <c r="G2" s="767">
        <v>7858.5</v>
      </c>
      <c r="H2" s="768">
        <v>6545.28</v>
      </c>
      <c r="I2" s="769">
        <f t="shared" ref="I2:I94" si="0">G2/H2</f>
      </c>
      <c r="J2" s="769">
        <f t="shared" ref="J2:J94" si="1">G2/F2</f>
      </c>
      <c r="K2" s="769">
        <f t="shared" ref="K2:K94" si="2">H2/F2</f>
      </c>
      <c r="L2" s="767" t="s">
        <v>1620</v>
      </c>
      <c r="M2" s="770">
        <v>1</v>
      </c>
      <c r="N2" s="771"/>
      <c r="O2" s="767"/>
      <c r="P2" s="771"/>
      <c r="Q2" s="772">
        <v>5.955668789808917</v>
      </c>
      <c r="R2" s="773">
        <v>0.135633045749886</v>
      </c>
      <c r="S2" s="773">
        <v>0.022569052264092823</v>
      </c>
      <c r="T2" s="773">
        <v>0.02458157921757881</v>
      </c>
      <c r="U2" s="773">
        <v>0.08437761069340016</v>
      </c>
      <c r="V2" s="774">
        <v>6604.651162790698</v>
      </c>
      <c r="W2" s="773">
        <v>0.0215</v>
      </c>
      <c r="X2" s="774">
        <v>45.25</v>
      </c>
      <c r="Y2" s="772">
        <v>134.4138001848239</v>
      </c>
      <c r="Z2" s="774">
        <v>48695</v>
      </c>
      <c r="AA2" s="774">
        <v>1099</v>
      </c>
      <c r="AB2" s="774">
        <v>142</v>
      </c>
      <c r="AC2" s="774">
        <v>1197</v>
      </c>
      <c r="AD2" s="774">
        <v>101</v>
      </c>
      <c r="AE2" s="774">
        <v>8</v>
      </c>
      <c r="AF2" s="774">
        <v>3</v>
      </c>
      <c r="AG2" s="774">
        <v>28</v>
      </c>
    </row>
    <row r="3">
      <c r="A3" s="767" t="s">
        <v>1617</v>
      </c>
      <c r="B3" s="767" t="s">
        <v>1621</v>
      </c>
      <c r="C3" s="767" t="s">
        <v>1622</v>
      </c>
      <c r="D3" s="767">
        <v>4</v>
      </c>
      <c r="E3" s="767">
        <v>6</v>
      </c>
      <c r="F3" s="767">
        <v>8</v>
      </c>
      <c r="G3" s="767">
        <v>21036.6</v>
      </c>
      <c r="H3" s="768">
        <v>4873.07</v>
      </c>
      <c r="I3" s="769">
        <f t="shared" si="0"/>
      </c>
      <c r="J3" s="769">
        <f t="shared" si="1"/>
      </c>
      <c r="K3" s="769">
        <f t="shared" si="2"/>
      </c>
      <c r="L3" s="767" t="s">
        <v>1623</v>
      </c>
      <c r="M3" s="770">
        <v>2.8</v>
      </c>
      <c r="N3" s="767"/>
      <c r="O3" s="767"/>
      <c r="P3" s="771"/>
      <c r="Q3" s="772">
        <v>3.3240586630286493</v>
      </c>
      <c r="R3" s="773">
        <v>0.2132732032156752</v>
      </c>
      <c r="S3" s="773">
        <v>0.039852117653455116</v>
      </c>
      <c r="T3" s="773">
        <v>0.04409286141466862</v>
      </c>
      <c r="U3" s="773">
        <v>0.10727496917385944</v>
      </c>
      <c r="V3" s="774">
        <v>7845.468053491828</v>
      </c>
      <c r="W3" s="773">
        <v>0.016825</v>
      </c>
      <c r="X3" s="774">
        <v>43.75</v>
      </c>
      <c r="Y3" s="772">
        <v>132.47077692600445</v>
      </c>
      <c r="Z3" s="774">
        <v>36786</v>
      </c>
      <c r="AA3" s="774">
        <v>1466</v>
      </c>
      <c r="AB3" s="774">
        <v>132</v>
      </c>
      <c r="AC3" s="774">
        <v>1622</v>
      </c>
      <c r="AD3" s="774">
        <v>174</v>
      </c>
      <c r="AE3" s="774">
        <v>10</v>
      </c>
      <c r="AF3" s="774">
        <v>2</v>
      </c>
      <c r="AG3" s="774">
        <v>17</v>
      </c>
    </row>
    <row r="4">
      <c r="A4" s="775" t="s">
        <v>1617</v>
      </c>
      <c r="B4" s="775" t="s">
        <v>1624</v>
      </c>
      <c r="C4" s="776"/>
      <c r="D4" s="776">
        <f>SUM(D2:D3)</f>
      </c>
      <c r="E4" s="776">
        <f>E2+E3</f>
      </c>
      <c r="F4" s="776">
        <f>SUM(F2:F3)</f>
      </c>
      <c r="G4" s="776">
        <f>SUM(G2:G3)</f>
      </c>
      <c r="H4" s="776">
        <f>SUM(H2:H3)</f>
      </c>
      <c r="I4" s="777">
        <f t="shared" si="0"/>
      </c>
      <c r="J4" s="777">
        <f t="shared" si="1"/>
      </c>
      <c r="K4" s="777">
        <f t="shared" si="2"/>
      </c>
      <c r="L4" s="776"/>
      <c r="M4" s="778">
        <f>SUM(M2:M3)</f>
      </c>
      <c r="N4" s="776"/>
      <c r="O4" s="776"/>
      <c r="P4" s="776"/>
      <c r="Q4" s="779">
        <f>AVERAGE(Q2:Q3)</f>
      </c>
      <c r="R4" s="780">
        <f>AVERAGE(R2:R3)</f>
      </c>
      <c r="S4" s="780">
        <f>AVERAGE(S2:S3)</f>
      </c>
      <c r="T4" s="780">
        <f>AVERAGE(T2:T3)</f>
      </c>
      <c r="U4" s="780">
        <f>AVERAGE(U2:U3)</f>
      </c>
      <c r="V4" s="781">
        <f>SUM(V2:V3)</f>
      </c>
      <c r="W4" s="780">
        <f>AVERAGE(W2:W3)</f>
      </c>
      <c r="X4" s="781">
        <f>AVERAGE(X2:X3)</f>
      </c>
      <c r="Y4" s="779">
        <f>AVERAGE(Y2:Y3)</f>
      </c>
      <c r="Z4" s="781">
        <f>SUM(Z2:Z3)</f>
      </c>
      <c r="AA4" s="781">
        <f>SUM(AA2:AA3)</f>
      </c>
      <c r="AB4" s="781">
        <f>SUM(AB2:AB3)</f>
      </c>
      <c r="AC4" s="781">
        <f>SUM(AC2:AC3)</f>
      </c>
      <c r="AD4" s="781">
        <f>SUM(AD2:AD3)</f>
      </c>
      <c r="AE4" s="781">
        <f>SUM(AE2:AE3)</f>
      </c>
      <c r="AF4" s="781">
        <f>SUM(AF2:AF3)</f>
      </c>
      <c r="AG4" s="781">
        <f>SUM(AG2:AG3)</f>
      </c>
    </row>
    <row r="5">
      <c r="A5" s="767" t="s">
        <v>1625</v>
      </c>
      <c r="B5" s="767" t="s">
        <v>1626</v>
      </c>
      <c r="C5" s="767" t="s">
        <v>1619</v>
      </c>
      <c r="D5" s="767">
        <v>4</v>
      </c>
      <c r="E5" s="767">
        <v>6</v>
      </c>
      <c r="F5" s="767">
        <v>11</v>
      </c>
      <c r="G5" s="767">
        <v>21354.449999999997</v>
      </c>
      <c r="H5" s="768">
        <v>5254.33</v>
      </c>
      <c r="I5" s="769">
        <f t="shared" si="0"/>
      </c>
      <c r="J5" s="769">
        <f t="shared" si="1"/>
      </c>
      <c r="K5" s="769">
        <f t="shared" si="2"/>
      </c>
      <c r="L5" s="767" t="s">
        <v>1627</v>
      </c>
      <c r="M5" s="770">
        <v>3.2</v>
      </c>
      <c r="N5" s="771"/>
      <c r="O5" s="767"/>
      <c r="P5" s="771"/>
      <c r="Q5" s="772">
        <v>4.244208400646204</v>
      </c>
      <c r="R5" s="773">
        <v>0.12542794128522314</v>
      </c>
      <c r="S5" s="773">
        <v>0.025356382107160413</v>
      </c>
      <c r="T5" s="773">
        <v>0.027281664755038505</v>
      </c>
      <c r="U5" s="773">
        <v>0.0915915915915916</v>
      </c>
      <c r="V5" s="774">
        <v>6123.8938053097345</v>
      </c>
      <c r="W5" s="773">
        <v>0.02825</v>
      </c>
      <c r="X5" s="774">
        <v>53.5</v>
      </c>
      <c r="Y5" s="772">
        <v>107.61776994920531</v>
      </c>
      <c r="Z5" s="774">
        <v>48824</v>
      </c>
      <c r="AA5" s="774">
        <v>1238</v>
      </c>
      <c r="AB5" s="774">
        <v>173</v>
      </c>
      <c r="AC5" s="774">
        <v>1332</v>
      </c>
      <c r="AD5" s="774">
        <v>122</v>
      </c>
      <c r="AE5" s="774">
        <v>13</v>
      </c>
      <c r="AF5" s="774">
        <v>3</v>
      </c>
      <c r="AG5" s="774">
        <v>35</v>
      </c>
    </row>
    <row r="6">
      <c r="A6" s="767" t="s">
        <v>1625</v>
      </c>
      <c r="B6" s="767" t="s">
        <v>1621</v>
      </c>
      <c r="C6" s="767" t="s">
        <v>1622</v>
      </c>
      <c r="D6" s="767">
        <v>4</v>
      </c>
      <c r="E6" s="767">
        <v>7</v>
      </c>
      <c r="F6" s="767">
        <v>7</v>
      </c>
      <c r="G6" s="767">
        <v>13172.25</v>
      </c>
      <c r="H6" s="768">
        <v>6194.410000000001</v>
      </c>
      <c r="I6" s="769">
        <f t="shared" si="0"/>
      </c>
      <c r="J6" s="769">
        <f t="shared" si="1"/>
      </c>
      <c r="K6" s="769">
        <f t="shared" si="2"/>
      </c>
      <c r="L6" s="767"/>
      <c r="M6" s="770"/>
      <c r="N6" s="767"/>
      <c r="O6" s="767"/>
      <c r="P6" s="771"/>
      <c r="Q6" s="772">
        <v>3.6203448275862073</v>
      </c>
      <c r="R6" s="773">
        <v>0.14730399261211555</v>
      </c>
      <c r="S6" s="773">
        <v>0.03320589205659169</v>
      </c>
      <c r="T6" s="773">
        <v>0.036058765307508685</v>
      </c>
      <c r="U6" s="773">
        <v>0.11894510226049515</v>
      </c>
      <c r="V6" s="774">
        <v>7590.132827324478</v>
      </c>
      <c r="W6" s="773">
        <v>0.026350000000000002</v>
      </c>
      <c r="X6" s="774">
        <v>51.5</v>
      </c>
      <c r="Y6" s="772">
        <v>120.21677955246766</v>
      </c>
      <c r="Z6" s="774">
        <v>51527</v>
      </c>
      <c r="AA6" s="774">
        <v>1711</v>
      </c>
      <c r="AB6" s="774">
        <v>200</v>
      </c>
      <c r="AC6" s="774">
        <v>1858</v>
      </c>
      <c r="AD6" s="774">
        <v>221</v>
      </c>
      <c r="AE6" s="774">
        <v>17</v>
      </c>
      <c r="AF6" s="774">
        <v>4</v>
      </c>
      <c r="AG6" s="774">
        <v>46</v>
      </c>
    </row>
    <row r="7">
      <c r="A7" s="775" t="s">
        <v>1625</v>
      </c>
      <c r="B7" s="775" t="s">
        <v>1624</v>
      </c>
      <c r="C7" s="776"/>
      <c r="D7" s="776">
        <f>SUM(D5:D6)</f>
      </c>
      <c r="E7" s="776">
        <f>E5+E6</f>
      </c>
      <c r="F7" s="776">
        <f>SUM(F5:F6)</f>
      </c>
      <c r="G7" s="776">
        <f>SUM(G5:G6)</f>
      </c>
      <c r="H7" s="776">
        <f>SUM(H5:H6)</f>
      </c>
      <c r="I7" s="777">
        <f t="shared" si="0"/>
      </c>
      <c r="J7" s="777">
        <f t="shared" si="1"/>
      </c>
      <c r="K7" s="777">
        <f t="shared" si="2"/>
      </c>
      <c r="L7" s="776"/>
      <c r="M7" s="778">
        <f>SUM(M5:M6)</f>
      </c>
      <c r="N7" s="776"/>
      <c r="O7" s="776"/>
      <c r="P7" s="776"/>
      <c r="Q7" s="779">
        <f>AVERAGE(Q5:Q6)</f>
      </c>
      <c r="R7" s="780">
        <f>AVERAGE(R5:R6)</f>
      </c>
      <c r="S7" s="780">
        <f>AVERAGE(S5:S6)</f>
      </c>
      <c r="T7" s="780">
        <f>AVERAGE(T5:T6)</f>
      </c>
      <c r="U7" s="780">
        <f>AVERAGE(U5:U6)</f>
      </c>
      <c r="V7" s="781">
        <f>SUM(V5:V6)</f>
      </c>
      <c r="W7" s="780">
        <f>AVERAGE(W5:W6)</f>
      </c>
      <c r="X7" s="781">
        <f>AVERAGE(X5:X6)</f>
      </c>
      <c r="Y7" s="779">
        <f>AVERAGE(Y5:Y6)</f>
      </c>
      <c r="Z7" s="781">
        <f>SUM(Z5:Z6)</f>
      </c>
      <c r="AA7" s="781">
        <f>SUM(AA5:AA6)</f>
      </c>
      <c r="AB7" s="781">
        <f>SUM(AB5:AB6)</f>
      </c>
      <c r="AC7" s="781">
        <f>SUM(AC5:AC6)</f>
      </c>
      <c r="AD7" s="781">
        <f>SUM(AD5:AD6)</f>
      </c>
      <c r="AE7" s="781">
        <f>SUM(AE5:AE6)</f>
      </c>
      <c r="AF7" s="781">
        <f>SUM(AF5:AF6)</f>
      </c>
      <c r="AG7" s="781">
        <f>SUM(AG5:AG6)</f>
      </c>
    </row>
    <row r="8">
      <c r="A8" s="767" t="s">
        <v>1628</v>
      </c>
      <c r="B8" s="767" t="s">
        <v>1626</v>
      </c>
      <c r="C8" s="767" t="s">
        <v>1619</v>
      </c>
      <c r="D8" s="767">
        <v>4</v>
      </c>
      <c r="E8" s="767">
        <v>6</v>
      </c>
      <c r="F8" s="767">
        <v>7</v>
      </c>
      <c r="G8" s="767">
        <v>14016.599999999999</v>
      </c>
      <c r="H8" s="768">
        <v>4961.54</v>
      </c>
      <c r="I8" s="769">
        <f t="shared" si="0"/>
      </c>
      <c r="J8" s="769">
        <f t="shared" si="1"/>
      </c>
      <c r="K8" s="769">
        <f t="shared" si="2"/>
      </c>
      <c r="L8" s="767" t="s">
        <v>1627</v>
      </c>
      <c r="M8" s="770">
        <v>3.2</v>
      </c>
      <c r="N8" s="771"/>
      <c r="O8" s="767"/>
      <c r="P8" s="771"/>
      <c r="Q8" s="772">
        <v>3.5771737563085795</v>
      </c>
      <c r="R8" s="773">
        <v>0.16702279697327208</v>
      </c>
      <c r="S8" s="773">
        <v>0.028554370650965537</v>
      </c>
      <c r="T8" s="773">
        <v>0.030839543788858236</v>
      </c>
      <c r="U8" s="773">
        <v>0.11081441922563418</v>
      </c>
      <c r="V8" s="774">
        <v>8112.965340179718</v>
      </c>
      <c r="W8" s="773">
        <v>0.019475</v>
      </c>
      <c r="X8" s="774">
        <v>49.5</v>
      </c>
      <c r="Y8" s="772">
        <v>102.14394532054186</v>
      </c>
      <c r="Z8" s="774">
        <v>48574</v>
      </c>
      <c r="AA8" s="774">
        <v>1387</v>
      </c>
      <c r="AB8" s="774">
        <v>158</v>
      </c>
      <c r="AC8" s="774">
        <v>1498</v>
      </c>
      <c r="AD8" s="774">
        <v>166</v>
      </c>
      <c r="AE8" s="774">
        <v>12</v>
      </c>
      <c r="AF8" s="774">
        <v>2</v>
      </c>
      <c r="AG8" s="774">
        <v>26</v>
      </c>
    </row>
    <row r="9">
      <c r="A9" s="767" t="s">
        <v>1628</v>
      </c>
      <c r="B9" s="767" t="s">
        <v>1621</v>
      </c>
      <c r="C9" s="767" t="s">
        <v>1622</v>
      </c>
      <c r="D9" s="767">
        <v>4</v>
      </c>
      <c r="E9" s="767">
        <v>11</v>
      </c>
      <c r="F9" s="767">
        <v>13</v>
      </c>
      <c r="G9" s="767">
        <v>32664.449999999997</v>
      </c>
      <c r="H9" s="768">
        <v>10632.49</v>
      </c>
      <c r="I9" s="769">
        <f t="shared" si="0"/>
      </c>
      <c r="J9" s="769">
        <f t="shared" si="1"/>
      </c>
      <c r="K9" s="769">
        <f t="shared" si="2"/>
      </c>
      <c r="L9" s="767"/>
      <c r="M9" s="770"/>
      <c r="N9" s="767"/>
      <c r="O9" s="767"/>
      <c r="P9" s="771"/>
      <c r="Q9" s="772">
        <v>3.5092512376237623</v>
      </c>
      <c r="R9" s="773">
        <v>0.18442201912920222</v>
      </c>
      <c r="S9" s="773">
        <v>0.03583625316006564</v>
      </c>
      <c r="T9" s="773">
        <v>0.03947310063423072</v>
      </c>
      <c r="U9" s="773">
        <v>0.08146067415730338</v>
      </c>
      <c r="V9" s="774">
        <v>8316.326530612245</v>
      </c>
      <c r="W9" s="773">
        <v>0.0196</v>
      </c>
      <c r="X9" s="774">
        <v>50.75</v>
      </c>
      <c r="Y9" s="772">
        <v>125.75841575375881</v>
      </c>
      <c r="Z9" s="774">
        <v>45094</v>
      </c>
      <c r="AA9" s="774">
        <v>1616</v>
      </c>
      <c r="AB9" s="774">
        <v>163</v>
      </c>
      <c r="AC9" s="774">
        <v>1780</v>
      </c>
      <c r="AD9" s="774">
        <v>145</v>
      </c>
      <c r="AE9" s="774">
        <v>10</v>
      </c>
      <c r="AF9" s="774">
        <v>4</v>
      </c>
      <c r="AG9" s="774">
        <v>40</v>
      </c>
    </row>
    <row r="10">
      <c r="A10" s="775" t="s">
        <v>1628</v>
      </c>
      <c r="B10" s="775" t="s">
        <v>1624</v>
      </c>
      <c r="C10" s="776"/>
      <c r="D10" s="776">
        <f>SUM(D8:D9)</f>
      </c>
      <c r="E10" s="776">
        <f>E8+E9</f>
      </c>
      <c r="F10" s="776">
        <f>SUM(F8:F9)</f>
      </c>
      <c r="G10" s="776">
        <f>SUM(G8:G9)</f>
      </c>
      <c r="H10" s="776">
        <f>SUM(H8:H9)</f>
      </c>
      <c r="I10" s="777">
        <f t="shared" si="0"/>
      </c>
      <c r="J10" s="777">
        <f t="shared" si="1"/>
      </c>
      <c r="K10" s="777">
        <f t="shared" si="2"/>
      </c>
      <c r="L10" s="776"/>
      <c r="M10" s="778">
        <f>SUM(M8:M9)</f>
      </c>
      <c r="N10" s="776"/>
      <c r="O10" s="776"/>
      <c r="P10" s="776"/>
      <c r="Q10" s="779">
        <f>AVERAGE(Q8:Q9)</f>
      </c>
      <c r="R10" s="780">
        <f>AVERAGE(R8:R9)</f>
      </c>
      <c r="S10" s="780">
        <f>AVERAGE(S8:S9)</f>
      </c>
      <c r="T10" s="780">
        <f>AVERAGE(T8:T9)</f>
      </c>
      <c r="U10" s="780">
        <f>AVERAGE(U8:U9)</f>
      </c>
      <c r="V10" s="781">
        <f>SUM(V8:V9)</f>
      </c>
      <c r="W10" s="780">
        <f>AVERAGE(W8:W9)</f>
      </c>
      <c r="X10" s="781">
        <f>AVERAGE(X8:X9)</f>
      </c>
      <c r="Y10" s="779">
        <f>AVERAGE(Y8:Y9)</f>
      </c>
      <c r="Z10" s="781">
        <f>SUM(Z8:Z9)</f>
      </c>
      <c r="AA10" s="781">
        <f>SUM(AA8:AA9)</f>
      </c>
      <c r="AB10" s="781">
        <f>SUM(AB8:AB9)</f>
      </c>
      <c r="AC10" s="781">
        <f>SUM(AC8:AC9)</f>
      </c>
      <c r="AD10" s="781">
        <f>SUM(AD8:AD9)</f>
      </c>
      <c r="AE10" s="781">
        <f>SUM(AE8:AE9)</f>
      </c>
      <c r="AF10" s="781">
        <f>SUM(AF8:AF9)</f>
      </c>
      <c r="AG10" s="781">
        <f>SUM(AG8:AG9)</f>
      </c>
    </row>
    <row r="11">
      <c r="A11" s="767" t="s">
        <v>1629</v>
      </c>
      <c r="B11" s="767" t="s">
        <v>1626</v>
      </c>
      <c r="C11" s="767" t="s">
        <v>1619</v>
      </c>
      <c r="D11" s="767">
        <v>4</v>
      </c>
      <c r="E11" s="767">
        <v>4</v>
      </c>
      <c r="F11" s="767">
        <v>6</v>
      </c>
      <c r="G11" s="767">
        <v>10440.3</v>
      </c>
      <c r="H11" s="768">
        <v>5335.23</v>
      </c>
      <c r="I11" s="769">
        <f t="shared" si="0"/>
      </c>
      <c r="J11" s="769">
        <f t="shared" si="1"/>
      </c>
      <c r="K11" s="769">
        <f t="shared" si="2"/>
      </c>
      <c r="L11" s="767" t="s">
        <v>1627</v>
      </c>
      <c r="M11" s="770">
        <v>3.2</v>
      </c>
      <c r="N11" s="771"/>
      <c r="O11" s="767"/>
      <c r="P11" s="771"/>
      <c r="Q11" s="772">
        <v>4.802187218721872</v>
      </c>
      <c r="R11" s="773">
        <v>0.14522587453737118</v>
      </c>
      <c r="S11" s="773">
        <v>0.022338393485473007</v>
      </c>
      <c r="T11" s="773">
        <v>0.024369156529606917</v>
      </c>
      <c r="U11" s="773">
        <v>0.10973597359735973</v>
      </c>
      <c r="V11" s="774">
        <v>7222.808870116156</v>
      </c>
      <c r="W11" s="773">
        <v>0.023675</v>
      </c>
      <c r="X11" s="774">
        <v>50</v>
      </c>
      <c r="Y11" s="772">
        <v>107.27314768271839</v>
      </c>
      <c r="Z11" s="774">
        <v>49735</v>
      </c>
      <c r="AA11" s="774">
        <v>1111</v>
      </c>
      <c r="AB11" s="774">
        <v>171</v>
      </c>
      <c r="AC11" s="774">
        <v>1212</v>
      </c>
      <c r="AD11" s="774">
        <v>133</v>
      </c>
      <c r="AE11" s="774">
        <v>11</v>
      </c>
      <c r="AF11" s="774">
        <v>2</v>
      </c>
      <c r="AG11" s="774">
        <v>45</v>
      </c>
    </row>
    <row r="12">
      <c r="A12" s="767" t="s">
        <v>1629</v>
      </c>
      <c r="B12" s="767" t="s">
        <v>1618</v>
      </c>
      <c r="C12" s="767" t="s">
        <v>1622</v>
      </c>
      <c r="D12" s="767">
        <v>4</v>
      </c>
      <c r="E12" s="767">
        <v>9</v>
      </c>
      <c r="F12" s="767">
        <v>12</v>
      </c>
      <c r="G12" s="767">
        <v>21841.949999999997</v>
      </c>
      <c r="H12" s="768">
        <v>6676.62</v>
      </c>
      <c r="I12" s="769">
        <f t="shared" si="0"/>
      </c>
      <c r="J12" s="769">
        <f t="shared" si="1"/>
      </c>
      <c r="K12" s="769">
        <f t="shared" si="2"/>
      </c>
      <c r="L12" s="767"/>
      <c r="M12" s="770"/>
      <c r="N12" s="767"/>
      <c r="O12" s="767"/>
      <c r="P12" s="771"/>
      <c r="Q12" s="772">
        <v>3.915906158357771</v>
      </c>
      <c r="R12" s="773">
        <v>0.15904466749802934</v>
      </c>
      <c r="S12" s="773">
        <v>0.030003343481091734</v>
      </c>
      <c r="T12" s="773">
        <v>0.032942087388037375</v>
      </c>
      <c r="U12" s="773">
        <v>0.09829059829059829</v>
      </c>
      <c r="V12" s="774">
        <v>9038.031319910513</v>
      </c>
      <c r="W12" s="773">
        <v>0.022350000000000002</v>
      </c>
      <c r="X12" s="774">
        <v>53</v>
      </c>
      <c r="Y12" s="772">
        <v>117.4902775089306</v>
      </c>
      <c r="Z12" s="774">
        <v>56827</v>
      </c>
      <c r="AA12" s="774">
        <v>1705</v>
      </c>
      <c r="AB12" s="774">
        <v>202</v>
      </c>
      <c r="AC12" s="774">
        <v>1872</v>
      </c>
      <c r="AD12" s="774">
        <v>184</v>
      </c>
      <c r="AE12" s="774">
        <v>9</v>
      </c>
      <c r="AF12" s="774">
        <v>4</v>
      </c>
      <c r="AG12" s="774">
        <v>43</v>
      </c>
    </row>
    <row r="13">
      <c r="A13" s="775" t="s">
        <v>1629</v>
      </c>
      <c r="B13" s="775" t="s">
        <v>1624</v>
      </c>
      <c r="C13" s="776"/>
      <c r="D13" s="776">
        <f>SUM(D11:D12)</f>
      </c>
      <c r="E13" s="776">
        <f>E11+E12</f>
      </c>
      <c r="F13" s="776">
        <f>SUM(F11:F12)</f>
      </c>
      <c r="G13" s="776">
        <f>SUM(G11:G12)</f>
      </c>
      <c r="H13" s="776">
        <f>SUM(H11:H12)</f>
      </c>
      <c r="I13" s="777">
        <f t="shared" si="0"/>
      </c>
      <c r="J13" s="777">
        <f t="shared" si="1"/>
      </c>
      <c r="K13" s="777">
        <f t="shared" si="2"/>
      </c>
      <c r="L13" s="776"/>
      <c r="M13" s="778">
        <f>SUM(M11:M12)</f>
      </c>
      <c r="N13" s="776"/>
      <c r="O13" s="776"/>
      <c r="P13" s="776"/>
      <c r="Q13" s="779">
        <f>AVERAGE(Q11:Q12)</f>
      </c>
      <c r="R13" s="780">
        <f>AVERAGE(R11:R12)</f>
      </c>
      <c r="S13" s="780">
        <f>AVERAGE(S11:S12)</f>
      </c>
      <c r="T13" s="780">
        <f>AVERAGE(T11:T12)</f>
      </c>
      <c r="U13" s="780">
        <f>AVERAGE(U11:U12)</f>
      </c>
      <c r="V13" s="781">
        <f>SUM(V11:V12)</f>
      </c>
      <c r="W13" s="780">
        <f>AVERAGE(W11:W12)</f>
      </c>
      <c r="X13" s="781">
        <f>AVERAGE(X11:X12)</f>
      </c>
      <c r="Y13" s="779">
        <f>AVERAGE(Y11:Y12)</f>
      </c>
      <c r="Z13" s="781">
        <f>SUM(Z11:Z12)</f>
      </c>
      <c r="AA13" s="781">
        <f>SUM(AA11:AA12)</f>
      </c>
      <c r="AB13" s="781">
        <f>SUM(AB11:AB12)</f>
      </c>
      <c r="AC13" s="781">
        <f>SUM(AC11:AC12)</f>
      </c>
      <c r="AD13" s="781">
        <f>SUM(AD11:AD12)</f>
      </c>
      <c r="AE13" s="781">
        <f>SUM(AE11:AE12)</f>
      </c>
      <c r="AF13" s="781">
        <f>SUM(AF11:AF12)</f>
      </c>
      <c r="AG13" s="781">
        <f>SUM(AG11:AG12)</f>
      </c>
    </row>
    <row r="14">
      <c r="A14" s="767" t="s">
        <v>1630</v>
      </c>
      <c r="B14" s="767" t="s">
        <v>1618</v>
      </c>
      <c r="C14" s="767" t="s">
        <v>1619</v>
      </c>
      <c r="D14" s="767">
        <v>4</v>
      </c>
      <c r="E14" s="767">
        <v>7</v>
      </c>
      <c r="F14" s="767">
        <v>7</v>
      </c>
      <c r="G14" s="767">
        <v>14531.399999999998</v>
      </c>
      <c r="H14" s="768">
        <v>7783.68</v>
      </c>
      <c r="I14" s="769">
        <f t="shared" si="0"/>
      </c>
      <c r="J14" s="769">
        <f t="shared" si="1"/>
      </c>
      <c r="K14" s="769">
        <f t="shared" si="2"/>
      </c>
      <c r="L14" s="767" t="s">
        <v>1627</v>
      </c>
      <c r="M14" s="770">
        <v>3.2</v>
      </c>
      <c r="N14" s="771"/>
      <c r="O14" s="767"/>
      <c r="P14" s="771"/>
      <c r="Q14" s="772">
        <v>4.237169297768101</v>
      </c>
      <c r="R14" s="773">
        <v>0.10943190606057407</v>
      </c>
      <c r="S14" s="773">
        <v>0.02364677865739847</v>
      </c>
      <c r="T14" s="773">
        <v>0.02492115595031216</v>
      </c>
      <c r="U14" s="773">
        <v>0.10485537190082644</v>
      </c>
      <c r="V14" s="774">
        <v>8501.217622315697</v>
      </c>
      <c r="W14" s="773">
        <v>0.0338775</v>
      </c>
      <c r="X14" s="774">
        <v>45.25</v>
      </c>
      <c r="Y14" s="772">
        <v>100.19540451824676</v>
      </c>
      <c r="Z14" s="774">
        <v>77685</v>
      </c>
      <c r="AA14" s="774">
        <v>1837</v>
      </c>
      <c r="AB14" s="774">
        <v>288</v>
      </c>
      <c r="AC14" s="774">
        <v>1936</v>
      </c>
      <c r="AD14" s="774">
        <v>203</v>
      </c>
      <c r="AE14" s="774">
        <v>16</v>
      </c>
      <c r="AF14" s="774">
        <v>3</v>
      </c>
      <c r="AG14" s="774">
        <v>61</v>
      </c>
    </row>
    <row r="15">
      <c r="A15" s="767" t="s">
        <v>1630</v>
      </c>
      <c r="B15" s="767" t="s">
        <v>1626</v>
      </c>
      <c r="C15" s="767" t="s">
        <v>1622</v>
      </c>
      <c r="D15" s="767">
        <v>4</v>
      </c>
      <c r="E15" s="767">
        <v>15</v>
      </c>
      <c r="F15" s="767">
        <v>16</v>
      </c>
      <c r="G15" s="767">
        <v>32444.099999999995</v>
      </c>
      <c r="H15" s="768">
        <v>9001.3</v>
      </c>
      <c r="I15" s="769">
        <f t="shared" si="0"/>
      </c>
      <c r="J15" s="769">
        <f t="shared" si="1"/>
      </c>
      <c r="K15" s="769">
        <f t="shared" si="2"/>
      </c>
      <c r="L15" s="767"/>
      <c r="M15" s="770"/>
      <c r="N15" s="767"/>
      <c r="O15" s="767"/>
      <c r="P15" s="771"/>
      <c r="Q15" s="772">
        <v>3.6149799196787145</v>
      </c>
      <c r="R15" s="773">
        <v>0.08495110548399387</v>
      </c>
      <c r="S15" s="773">
        <v>0.022898446768008385</v>
      </c>
      <c r="T15" s="773">
        <v>0.022355873129730277</v>
      </c>
      <c r="U15" s="773">
        <v>0.11188811188811189</v>
      </c>
      <c r="V15" s="774">
        <v>9237.668161434978</v>
      </c>
      <c r="W15" s="773">
        <v>0.03345</v>
      </c>
      <c r="X15" s="774">
        <v>52.25</v>
      </c>
      <c r="Y15" s="772">
        <v>82.77742525818228</v>
      </c>
      <c r="Z15" s="774">
        <v>108741</v>
      </c>
      <c r="AA15" s="774">
        <v>2490</v>
      </c>
      <c r="AB15" s="774">
        <v>309</v>
      </c>
      <c r="AC15" s="774">
        <v>2431</v>
      </c>
      <c r="AD15" s="774">
        <v>272</v>
      </c>
      <c r="AE15" s="774">
        <v>11</v>
      </c>
      <c r="AF15" s="774">
        <v>3</v>
      </c>
      <c r="AG15" s="774">
        <v>92</v>
      </c>
    </row>
    <row r="16">
      <c r="A16" s="775" t="s">
        <v>1630</v>
      </c>
      <c r="B16" s="775" t="s">
        <v>1624</v>
      </c>
      <c r="C16" s="776"/>
      <c r="D16" s="776">
        <f>SUM(D14:D15)</f>
      </c>
      <c r="E16" s="776">
        <f>E14+E15</f>
      </c>
      <c r="F16" s="776">
        <f>SUM(F14:F15)</f>
      </c>
      <c r="G16" s="776">
        <f>SUM(G14:G15)</f>
      </c>
      <c r="H16" s="776">
        <f>SUM(H14:H15)</f>
      </c>
      <c r="I16" s="777">
        <f t="shared" si="0"/>
      </c>
      <c r="J16" s="777">
        <f t="shared" si="1"/>
      </c>
      <c r="K16" s="777">
        <f t="shared" si="2"/>
      </c>
      <c r="L16" s="776"/>
      <c r="M16" s="778">
        <f>SUM(M14:M15)</f>
      </c>
      <c r="N16" s="776"/>
      <c r="O16" s="776"/>
      <c r="P16" s="776"/>
      <c r="Q16" s="779">
        <f>AVERAGE(Q14:Q15)</f>
      </c>
      <c r="R16" s="780">
        <f>AVERAGE(R14:R15)</f>
      </c>
      <c r="S16" s="780">
        <f>AVERAGE(S14:S15)</f>
      </c>
      <c r="T16" s="780">
        <f>AVERAGE(T14:T15)</f>
      </c>
      <c r="U16" s="780">
        <f>AVERAGE(U14:U15)</f>
      </c>
      <c r="V16" s="781">
        <f>SUM(V14:V15)</f>
      </c>
      <c r="W16" s="780">
        <f>AVERAGE(W14:W15)</f>
      </c>
      <c r="X16" s="781">
        <f>AVERAGE(X14:X15)</f>
      </c>
      <c r="Y16" s="779">
        <f>AVERAGE(Y14:Y15)</f>
      </c>
      <c r="Z16" s="781">
        <f>SUM(Z14:Z15)</f>
      </c>
      <c r="AA16" s="781">
        <f>SUM(AA14:AA15)</f>
      </c>
      <c r="AB16" s="781">
        <f>SUM(AB14:AB15)</f>
      </c>
      <c r="AC16" s="781">
        <f>SUM(AC14:AC15)</f>
      </c>
      <c r="AD16" s="781">
        <f>SUM(AD14:AD15)</f>
      </c>
      <c r="AE16" s="781">
        <f>SUM(AE14:AE15)</f>
      </c>
      <c r="AF16" s="781">
        <f>SUM(AF14:AF15)</f>
      </c>
      <c r="AG16" s="781">
        <f>SUM(AG14:AG15)</f>
      </c>
    </row>
    <row r="17">
      <c r="A17" s="767" t="s">
        <v>1631</v>
      </c>
      <c r="B17" s="767" t="s">
        <v>1618</v>
      </c>
      <c r="C17" s="767" t="s">
        <v>1619</v>
      </c>
      <c r="D17" s="767">
        <v>4</v>
      </c>
      <c r="E17" s="767">
        <v>5</v>
      </c>
      <c r="F17" s="767">
        <v>10</v>
      </c>
      <c r="G17" s="767">
        <v>21204.3</v>
      </c>
      <c r="H17" s="768">
        <v>7895.6</v>
      </c>
      <c r="I17" s="769">
        <f t="shared" si="0"/>
      </c>
      <c r="J17" s="769">
        <f t="shared" si="1"/>
      </c>
      <c r="K17" s="769">
        <f t="shared" si="2"/>
      </c>
      <c r="L17" s="767" t="s">
        <v>1627</v>
      </c>
      <c r="M17" s="770">
        <v>3.2</v>
      </c>
      <c r="N17" s="771"/>
      <c r="O17" s="767"/>
      <c r="P17" s="771"/>
      <c r="Q17" s="772">
        <v>3.989691763516928</v>
      </c>
      <c r="R17" s="773">
        <v>0.08602036603374763</v>
      </c>
      <c r="S17" s="773">
        <v>0.01965868001748321</v>
      </c>
      <c r="T17" s="773">
        <v>0.017900425159931656</v>
      </c>
      <c r="U17" s="773">
        <v>0.09933407325194228</v>
      </c>
      <c r="V17" s="774">
        <v>8659.498207885306</v>
      </c>
      <c r="W17" s="773">
        <v>0.034874999999999996</v>
      </c>
      <c r="X17" s="774">
        <v>49.75</v>
      </c>
      <c r="Y17" s="772">
        <v>78.4320737473676</v>
      </c>
      <c r="Z17" s="774">
        <v>100668</v>
      </c>
      <c r="AA17" s="774">
        <v>1979</v>
      </c>
      <c r="AB17" s="774">
        <v>302</v>
      </c>
      <c r="AC17" s="774">
        <v>1802</v>
      </c>
      <c r="AD17" s="774">
        <v>179</v>
      </c>
      <c r="AE17" s="774">
        <v>13</v>
      </c>
      <c r="AF17" s="774">
        <v>3</v>
      </c>
      <c r="AG17" s="774">
        <v>82</v>
      </c>
    </row>
    <row r="18">
      <c r="A18" s="767" t="s">
        <v>1631</v>
      </c>
      <c r="B18" s="767" t="s">
        <v>1632</v>
      </c>
      <c r="C18" s="767" t="s">
        <v>1622</v>
      </c>
      <c r="D18" s="767">
        <v>4</v>
      </c>
      <c r="E18" s="767">
        <v>6</v>
      </c>
      <c r="F18" s="767">
        <v>6</v>
      </c>
      <c r="G18" s="767">
        <v>18447</v>
      </c>
      <c r="H18" s="768">
        <v>5341.499999999999</v>
      </c>
      <c r="I18" s="769">
        <f t="shared" si="0"/>
      </c>
      <c r="J18" s="769">
        <f t="shared" si="1"/>
      </c>
      <c r="K18" s="769">
        <f t="shared" si="2"/>
      </c>
      <c r="L18" s="767"/>
      <c r="M18" s="770"/>
      <c r="N18" s="767"/>
      <c r="O18" s="767"/>
      <c r="P18" s="771"/>
      <c r="Q18" s="772">
        <v>3.160650887573964</v>
      </c>
      <c r="R18" s="773">
        <v>0.17494860601426623</v>
      </c>
      <c r="S18" s="773">
        <v>0.03197910950479687</v>
      </c>
      <c r="T18" s="773">
        <v>0.035404091055310616</v>
      </c>
      <c r="U18" s="773">
        <v>0.12667022982362372</v>
      </c>
      <c r="V18" s="774">
        <v>9245.508982035928</v>
      </c>
      <c r="W18" s="773">
        <v>0.020875</v>
      </c>
      <c r="X18" s="774">
        <v>52.75</v>
      </c>
      <c r="Y18" s="772">
        <v>101.0748008401612</v>
      </c>
      <c r="Z18" s="774">
        <v>52847</v>
      </c>
      <c r="AA18" s="774">
        <v>1690</v>
      </c>
      <c r="AB18" s="774">
        <v>193</v>
      </c>
      <c r="AC18" s="774">
        <v>1871</v>
      </c>
      <c r="AD18" s="774">
        <v>237</v>
      </c>
      <c r="AE18" s="774">
        <v>12</v>
      </c>
      <c r="AF18" s="774">
        <v>1</v>
      </c>
      <c r="AG18" s="774">
        <v>34</v>
      </c>
    </row>
    <row r="19">
      <c r="A19" s="775" t="s">
        <v>1631</v>
      </c>
      <c r="B19" s="775" t="s">
        <v>1624</v>
      </c>
      <c r="C19" s="776"/>
      <c r="D19" s="776">
        <f>SUM(D17:D18)</f>
      </c>
      <c r="E19" s="776">
        <f>E17+E18</f>
      </c>
      <c r="F19" s="776">
        <f>SUM(F17:F18)</f>
      </c>
      <c r="G19" s="776">
        <f>SUM(G17:G18)</f>
      </c>
      <c r="H19" s="776">
        <f>SUM(H17:H18)</f>
      </c>
      <c r="I19" s="777">
        <f t="shared" si="0"/>
      </c>
      <c r="J19" s="777">
        <f t="shared" si="1"/>
      </c>
      <c r="K19" s="777">
        <f t="shared" si="2"/>
      </c>
      <c r="L19" s="776"/>
      <c r="M19" s="778">
        <f>SUM(M17:M18)</f>
      </c>
      <c r="N19" s="776"/>
      <c r="O19" s="776"/>
      <c r="P19" s="776"/>
      <c r="Q19" s="779">
        <f>AVERAGE(Q17:Q18)</f>
      </c>
      <c r="R19" s="780">
        <f>AVERAGE(R17:R18)</f>
      </c>
      <c r="S19" s="780">
        <f>AVERAGE(S17:S18)</f>
      </c>
      <c r="T19" s="780">
        <f>AVERAGE(T17:T18)</f>
      </c>
      <c r="U19" s="780">
        <f>AVERAGE(U17:U18)</f>
      </c>
      <c r="V19" s="781">
        <f>SUM(V17:V18)</f>
      </c>
      <c r="W19" s="780">
        <f>AVERAGE(W17:W18)</f>
      </c>
      <c r="X19" s="781">
        <f>AVERAGE(X17:X18)</f>
      </c>
      <c r="Y19" s="779">
        <f>AVERAGE(Y17:Y18)</f>
      </c>
      <c r="Z19" s="781">
        <f>SUM(Z17:Z18)</f>
      </c>
      <c r="AA19" s="781">
        <f>SUM(AA17:AA18)</f>
      </c>
      <c r="AB19" s="781">
        <f>SUM(AB17:AB18)</f>
      </c>
      <c r="AC19" s="781">
        <f>SUM(AC17:AC18)</f>
      </c>
      <c r="AD19" s="781">
        <f>SUM(AD17:AD18)</f>
      </c>
      <c r="AE19" s="781">
        <f>SUM(AE17:AE18)</f>
      </c>
      <c r="AF19" s="781">
        <f>SUM(AF17:AF18)</f>
      </c>
      <c r="AG19" s="781">
        <f>SUM(AG17:AG18)</f>
      </c>
    </row>
    <row r="20">
      <c r="A20" s="767" t="s">
        <v>1633</v>
      </c>
      <c r="B20" s="767" t="s">
        <v>1618</v>
      </c>
      <c r="C20" s="767" t="s">
        <v>1619</v>
      </c>
      <c r="D20" s="767">
        <v>4</v>
      </c>
      <c r="E20" s="767">
        <v>9</v>
      </c>
      <c r="F20" s="767">
        <v>9</v>
      </c>
      <c r="G20" s="767">
        <v>25648.350000000002</v>
      </c>
      <c r="H20" s="768">
        <v>7989.970000000001</v>
      </c>
      <c r="I20" s="769">
        <f t="shared" si="0"/>
      </c>
      <c r="J20" s="769">
        <f t="shared" si="1"/>
      </c>
      <c r="K20" s="769">
        <f t="shared" si="2"/>
      </c>
      <c r="L20" s="767" t="s">
        <v>1623</v>
      </c>
      <c r="M20" s="770">
        <v>3.2</v>
      </c>
      <c r="N20" s="771"/>
      <c r="O20" s="767"/>
      <c r="P20" s="771"/>
      <c r="Q20" s="772">
        <v>4.095320348539211</v>
      </c>
      <c r="R20" s="773">
        <v>0.05980200697166361</v>
      </c>
      <c r="S20" s="773">
        <v>0.02102778556185467</v>
      </c>
      <c r="T20" s="773">
        <v>0.020036213920803604</v>
      </c>
      <c r="U20" s="773">
        <v>0.0984400215169446</v>
      </c>
      <c r="V20" s="774">
        <v>5548.549810844893</v>
      </c>
      <c r="W20" s="773">
        <v>0.059475</v>
      </c>
      <c r="X20" s="774">
        <v>49.25</v>
      </c>
      <c r="Y20" s="772">
        <v>86.11551809618247</v>
      </c>
      <c r="Z20" s="774">
        <v>92782</v>
      </c>
      <c r="AA20" s="774">
        <v>1951</v>
      </c>
      <c r="AB20" s="774">
        <v>330</v>
      </c>
      <c r="AC20" s="774">
        <v>1859</v>
      </c>
      <c r="AD20" s="774">
        <v>183</v>
      </c>
      <c r="AE20" s="774">
        <v>14</v>
      </c>
      <c r="AF20" s="774">
        <v>0</v>
      </c>
      <c r="AG20" s="774">
        <v>97</v>
      </c>
    </row>
    <row r="21">
      <c r="A21" s="767" t="s">
        <v>1633</v>
      </c>
      <c r="B21" s="767" t="s">
        <v>1632</v>
      </c>
      <c r="C21" s="767" t="s">
        <v>1622</v>
      </c>
      <c r="D21" s="767">
        <v>4</v>
      </c>
      <c r="E21" s="767">
        <v>9</v>
      </c>
      <c r="F21" s="767">
        <v>9</v>
      </c>
      <c r="G21" s="767">
        <v>23292.75</v>
      </c>
      <c r="H21" s="768">
        <v>7805.08</v>
      </c>
      <c r="I21" s="769">
        <f t="shared" si="0"/>
      </c>
      <c r="J21" s="769">
        <f t="shared" si="1"/>
      </c>
      <c r="K21" s="769">
        <f t="shared" si="2"/>
      </c>
      <c r="L21" s="767"/>
      <c r="M21" s="770"/>
      <c r="N21" s="767"/>
      <c r="O21" s="767"/>
      <c r="P21" s="771"/>
      <c r="Q21" s="772">
        <v>4.0757597911227155</v>
      </c>
      <c r="R21" s="773">
        <v>0.07342626244134072</v>
      </c>
      <c r="S21" s="773">
        <v>0.02802288657681783</v>
      </c>
      <c r="T21" s="773">
        <v>0.029617922940720253</v>
      </c>
      <c r="U21" s="773">
        <v>0.1482213438735178</v>
      </c>
      <c r="V21" s="774">
        <v>5017.730496453901</v>
      </c>
      <c r="W21" s="773">
        <v>0.0564</v>
      </c>
      <c r="X21" s="774">
        <v>57.25</v>
      </c>
      <c r="Y21" s="772">
        <v>114.21455434098658</v>
      </c>
      <c r="Z21" s="774">
        <v>68337</v>
      </c>
      <c r="AA21" s="774">
        <v>1915</v>
      </c>
      <c r="AB21" s="774">
        <v>283</v>
      </c>
      <c r="AC21" s="774">
        <v>2024</v>
      </c>
      <c r="AD21" s="774">
        <v>300</v>
      </c>
      <c r="AE21" s="774">
        <v>17</v>
      </c>
      <c r="AF21" s="774">
        <v>1</v>
      </c>
      <c r="AG21" s="774">
        <v>74</v>
      </c>
    </row>
    <row r="22">
      <c r="A22" s="775" t="s">
        <v>1633</v>
      </c>
      <c r="B22" s="775" t="s">
        <v>1624</v>
      </c>
      <c r="C22" s="776"/>
      <c r="D22" s="776">
        <f>SUM(D20:D21)</f>
      </c>
      <c r="E22" s="776">
        <f>E20+E21</f>
      </c>
      <c r="F22" s="776">
        <f>SUM(F20:F21)</f>
      </c>
      <c r="G22" s="776">
        <f>SUM(G20:G21)</f>
      </c>
      <c r="H22" s="776">
        <f>SUM(H20:H21)</f>
      </c>
      <c r="I22" s="777">
        <f t="shared" si="0"/>
      </c>
      <c r="J22" s="777">
        <f t="shared" si="1"/>
      </c>
      <c r="K22" s="777">
        <f t="shared" si="2"/>
      </c>
      <c r="L22" s="776"/>
      <c r="M22" s="778">
        <f>SUM(M20:M21)</f>
      </c>
      <c r="N22" s="776"/>
      <c r="O22" s="776"/>
      <c r="P22" s="776"/>
      <c r="Q22" s="779">
        <f>AVERAGE(Q20:Q21)</f>
      </c>
      <c r="R22" s="780">
        <f>AVERAGE(R20:R21)</f>
      </c>
      <c r="S22" s="780">
        <f>AVERAGE(S20:S21)</f>
      </c>
      <c r="T22" s="780">
        <f>AVERAGE(T20:T21)</f>
      </c>
      <c r="U22" s="780">
        <f>AVERAGE(U20:U21)</f>
      </c>
      <c r="V22" s="781">
        <f>SUM(V20:V21)</f>
      </c>
      <c r="W22" s="780">
        <f>AVERAGE(W20:W21)</f>
      </c>
      <c r="X22" s="781">
        <f>AVERAGE(X20:X21)</f>
      </c>
      <c r="Y22" s="779">
        <f>AVERAGE(Y20:Y21)</f>
      </c>
      <c r="Z22" s="781">
        <f>SUM(Z20:Z21)</f>
      </c>
      <c r="AA22" s="781">
        <f>SUM(AA20:AA21)</f>
      </c>
      <c r="AB22" s="781">
        <f>SUM(AB20:AB21)</f>
      </c>
      <c r="AC22" s="781">
        <f>SUM(AC20:AC21)</f>
      </c>
      <c r="AD22" s="781">
        <f>SUM(AD20:AD21)</f>
      </c>
      <c r="AE22" s="781">
        <f>SUM(AE20:AE21)</f>
      </c>
      <c r="AF22" s="781">
        <f>SUM(AF20:AF21)</f>
      </c>
      <c r="AG22" s="781">
        <f>SUM(AG20:AG21)</f>
      </c>
    </row>
    <row r="23">
      <c r="A23" s="767" t="s">
        <v>1634</v>
      </c>
      <c r="B23" s="767" t="s">
        <v>1626</v>
      </c>
      <c r="C23" s="767" t="s">
        <v>1619</v>
      </c>
      <c r="D23" s="767">
        <v>4</v>
      </c>
      <c r="E23" s="767">
        <v>8</v>
      </c>
      <c r="F23" s="767">
        <v>10</v>
      </c>
      <c r="G23" s="767">
        <v>18501.6</v>
      </c>
      <c r="H23" s="768">
        <v>8487.08</v>
      </c>
      <c r="I23" s="769">
        <f t="shared" si="0"/>
      </c>
      <c r="J23" s="769">
        <f t="shared" si="1"/>
      </c>
      <c r="K23" s="769">
        <f t="shared" si="2"/>
      </c>
      <c r="L23" s="767" t="s">
        <v>1623</v>
      </c>
      <c r="M23" s="770">
        <v>3.2</v>
      </c>
      <c r="N23" s="771"/>
      <c r="O23" s="767"/>
      <c r="P23" s="771"/>
      <c r="Q23" s="772">
        <v>5.085128819652486</v>
      </c>
      <c r="R23" s="773">
        <v>0.09906134004205401</v>
      </c>
      <c r="S23" s="773">
        <v>0.020990278319268547</v>
      </c>
      <c r="T23" s="773">
        <v>0.022323393658898544</v>
      </c>
      <c r="U23" s="773">
        <v>0.13859154929577464</v>
      </c>
      <c r="V23" s="774">
        <v>7876.664330763841</v>
      </c>
      <c r="W23" s="773">
        <v>0.035675</v>
      </c>
      <c r="X23" s="774">
        <v>54</v>
      </c>
      <c r="Y23" s="772">
        <v>106.73826921383925</v>
      </c>
      <c r="Z23" s="774">
        <v>79513</v>
      </c>
      <c r="AA23" s="774">
        <v>1669</v>
      </c>
      <c r="AB23" s="774">
        <v>281</v>
      </c>
      <c r="AC23" s="774">
        <v>1775</v>
      </c>
      <c r="AD23" s="774">
        <v>246</v>
      </c>
      <c r="AE23" s="774">
        <v>14</v>
      </c>
      <c r="AF23" s="774">
        <v>4</v>
      </c>
      <c r="AG23" s="774">
        <v>58</v>
      </c>
    </row>
    <row r="24">
      <c r="A24" s="767" t="s">
        <v>1634</v>
      </c>
      <c r="B24" s="767" t="s">
        <v>1618</v>
      </c>
      <c r="C24" s="767" t="s">
        <v>1622</v>
      </c>
      <c r="D24" s="767">
        <v>4</v>
      </c>
      <c r="E24" s="767">
        <v>10</v>
      </c>
      <c r="F24" s="767">
        <v>11</v>
      </c>
      <c r="G24" s="767">
        <v>24297</v>
      </c>
      <c r="H24" s="768">
        <v>7166.07</v>
      </c>
      <c r="I24" s="769">
        <f t="shared" si="0"/>
      </c>
      <c r="J24" s="769">
        <f t="shared" si="1"/>
      </c>
      <c r="K24" s="769">
        <f t="shared" si="2"/>
      </c>
      <c r="L24" s="767"/>
      <c r="M24" s="770"/>
      <c r="N24" s="767"/>
      <c r="O24" s="767"/>
      <c r="P24" s="771"/>
      <c r="Q24" s="772">
        <v>4.235265957446808</v>
      </c>
      <c r="R24" s="773">
        <v>0.11747664504052162</v>
      </c>
      <c r="S24" s="773">
        <v>0.03139554302042937</v>
      </c>
      <c r="T24" s="773">
        <v>0.03449427569443156</v>
      </c>
      <c r="U24" s="773">
        <v>0.06993006993006994</v>
      </c>
      <c r="V24" s="774">
        <v>6331.168831168831</v>
      </c>
      <c r="W24" s="773">
        <v>0.0308</v>
      </c>
      <c r="X24" s="774">
        <v>56.25</v>
      </c>
      <c r="Y24" s="772">
        <v>132.96847456998125</v>
      </c>
      <c r="Z24" s="774">
        <v>53893</v>
      </c>
      <c r="AA24" s="774">
        <v>1692</v>
      </c>
      <c r="AB24" s="774">
        <v>195</v>
      </c>
      <c r="AC24" s="774">
        <v>1859</v>
      </c>
      <c r="AD24" s="774">
        <v>130</v>
      </c>
      <c r="AE24" s="774">
        <v>13</v>
      </c>
      <c r="AF24" s="774">
        <v>1</v>
      </c>
      <c r="AG24" s="774">
        <v>33</v>
      </c>
    </row>
    <row r="25">
      <c r="A25" s="775" t="s">
        <v>1634</v>
      </c>
      <c r="B25" s="775" t="s">
        <v>1624</v>
      </c>
      <c r="C25" s="776"/>
      <c r="D25" s="776">
        <f>SUM(D23:D24)</f>
      </c>
      <c r="E25" s="776">
        <f>E23+E24</f>
      </c>
      <c r="F25" s="776">
        <f>SUM(F23:F24)</f>
      </c>
      <c r="G25" s="776">
        <f>SUM(G23:G24)</f>
      </c>
      <c r="H25" s="776">
        <f>SUM(H23:H24)</f>
      </c>
      <c r="I25" s="777">
        <f t="shared" si="0"/>
      </c>
      <c r="J25" s="777">
        <f t="shared" si="1"/>
      </c>
      <c r="K25" s="777">
        <f t="shared" si="2"/>
      </c>
      <c r="L25" s="776"/>
      <c r="M25" s="778">
        <f>SUM(M23:M24)</f>
      </c>
      <c r="N25" s="776"/>
      <c r="O25" s="776"/>
      <c r="P25" s="776"/>
      <c r="Q25" s="779">
        <f>AVERAGE(Q23:Q24)</f>
      </c>
      <c r="R25" s="780">
        <f>AVERAGE(R23:R24)</f>
      </c>
      <c r="S25" s="780">
        <f>AVERAGE(S23:S24)</f>
      </c>
      <c r="T25" s="780">
        <f>AVERAGE(T23:T24)</f>
      </c>
      <c r="U25" s="780">
        <f>AVERAGE(U23:U24)</f>
      </c>
      <c r="V25" s="781">
        <f>SUM(V23:V24)</f>
      </c>
      <c r="W25" s="780">
        <f>AVERAGE(W23:W24)</f>
      </c>
      <c r="X25" s="781">
        <f>AVERAGE(X23:X24)</f>
      </c>
      <c r="Y25" s="779">
        <f>AVERAGE(Y23:Y24)</f>
      </c>
      <c r="Z25" s="781">
        <f>SUM(Z23:Z24)</f>
      </c>
      <c r="AA25" s="781">
        <f>SUM(AA23:AA24)</f>
      </c>
      <c r="AB25" s="781">
        <f>SUM(AB23:AB24)</f>
      </c>
      <c r="AC25" s="781">
        <f>SUM(AC23:AC24)</f>
      </c>
      <c r="AD25" s="781">
        <f>SUM(AD23:AD24)</f>
      </c>
      <c r="AE25" s="781">
        <f>SUM(AE23:AE24)</f>
      </c>
      <c r="AF25" s="781">
        <f>SUM(AF23:AF24)</f>
      </c>
      <c r="AG25" s="781">
        <f>SUM(AG23:AG24)</f>
      </c>
    </row>
    <row r="26">
      <c r="A26" s="767" t="s">
        <v>1635</v>
      </c>
      <c r="B26" s="767" t="s">
        <v>1626</v>
      </c>
      <c r="C26" s="767" t="s">
        <v>1619</v>
      </c>
      <c r="D26" s="767">
        <v>4</v>
      </c>
      <c r="E26" s="767">
        <v>8</v>
      </c>
      <c r="F26" s="767">
        <v>10</v>
      </c>
      <c r="G26" s="767">
        <v>21604.05</v>
      </c>
      <c r="H26" s="768">
        <v>6809.55</v>
      </c>
      <c r="I26" s="769">
        <f t="shared" si="0"/>
      </c>
      <c r="J26" s="769">
        <f t="shared" si="1"/>
      </c>
      <c r="K26" s="769">
        <f t="shared" si="2"/>
      </c>
      <c r="L26" s="767" t="s">
        <v>1636</v>
      </c>
      <c r="M26" s="770">
        <v>4.4</v>
      </c>
      <c r="N26" s="771"/>
      <c r="O26" s="767"/>
      <c r="P26" s="771"/>
      <c r="Q26" s="772">
        <v>6.036835106382979</v>
      </c>
      <c r="R26" s="773">
        <v>0.12741427871600888</v>
      </c>
      <c r="S26" s="773">
        <v>0.02077195050088391</v>
      </c>
      <c r="T26" s="773">
        <v>0.022502946375957573</v>
      </c>
      <c r="U26" s="773">
        <v>0.14402618657937807</v>
      </c>
      <c r="V26" s="774">
        <v>6919.104991394147</v>
      </c>
      <c r="W26" s="773">
        <v>0.029050000000000003</v>
      </c>
      <c r="X26" s="774">
        <v>71.75</v>
      </c>
      <c r="Y26" s="772">
        <v>125.3968400117855</v>
      </c>
      <c r="Z26" s="774">
        <v>54304</v>
      </c>
      <c r="AA26" s="774">
        <v>1128</v>
      </c>
      <c r="AB26" s="774">
        <v>201</v>
      </c>
      <c r="AC26" s="774">
        <v>1222</v>
      </c>
      <c r="AD26" s="774">
        <v>176</v>
      </c>
      <c r="AE26" s="774">
        <v>12</v>
      </c>
      <c r="AF26" s="774">
        <v>2</v>
      </c>
      <c r="AG26" s="774">
        <v>29</v>
      </c>
    </row>
    <row r="27">
      <c r="A27" s="767" t="s">
        <v>1635</v>
      </c>
      <c r="B27" s="767" t="s">
        <v>1618</v>
      </c>
      <c r="C27" s="767" t="s">
        <v>1622</v>
      </c>
      <c r="D27" s="767">
        <v>4</v>
      </c>
      <c r="E27" s="767">
        <v>9</v>
      </c>
      <c r="F27" s="767">
        <v>11</v>
      </c>
      <c r="G27" s="767">
        <v>23969.4</v>
      </c>
      <c r="H27" s="768">
        <v>8461.82</v>
      </c>
      <c r="I27" s="769">
        <f t="shared" si="0"/>
      </c>
      <c r="J27" s="769">
        <f t="shared" si="1"/>
      </c>
      <c r="K27" s="769">
        <f t="shared" si="2"/>
      </c>
      <c r="L27" s="767"/>
      <c r="M27" s="770"/>
      <c r="N27" s="767"/>
      <c r="O27" s="767"/>
      <c r="P27" s="771"/>
      <c r="Q27" s="772">
        <v>4.295340101522842</v>
      </c>
      <c r="R27" s="773">
        <v>0.11752143532219561</v>
      </c>
      <c r="S27" s="773">
        <v>0.03634820473080187</v>
      </c>
      <c r="T27" s="773">
        <v>0.03998302520388206</v>
      </c>
      <c r="U27" s="773">
        <v>0.09921550530687587</v>
      </c>
      <c r="V27" s="774">
        <v>6369.4267515923575</v>
      </c>
      <c r="W27" s="773">
        <v>0.0314</v>
      </c>
      <c r="X27" s="774">
        <v>59.75</v>
      </c>
      <c r="Y27" s="772">
        <v>156.12790139857557</v>
      </c>
      <c r="Z27" s="774">
        <v>54198</v>
      </c>
      <c r="AA27" s="774">
        <v>1970</v>
      </c>
      <c r="AB27" s="774">
        <v>200</v>
      </c>
      <c r="AC27" s="774">
        <v>2167</v>
      </c>
      <c r="AD27" s="774">
        <v>215</v>
      </c>
      <c r="AE27" s="774">
        <v>9</v>
      </c>
      <c r="AF27" s="774">
        <v>4</v>
      </c>
      <c r="AG27" s="774">
        <v>26</v>
      </c>
    </row>
    <row r="28">
      <c r="A28" s="775" t="s">
        <v>1635</v>
      </c>
      <c r="B28" s="775" t="s">
        <v>1624</v>
      </c>
      <c r="C28" s="776"/>
      <c r="D28" s="776">
        <f>SUM(D26:D27)</f>
      </c>
      <c r="E28" s="776">
        <f>E26+E27</f>
      </c>
      <c r="F28" s="776">
        <f>SUM(F26:F27)</f>
      </c>
      <c r="G28" s="776">
        <f>SUM(G26:G27)</f>
      </c>
      <c r="H28" s="776">
        <f>SUM(H26:H27)</f>
      </c>
      <c r="I28" s="777">
        <f t="shared" si="0"/>
      </c>
      <c r="J28" s="777">
        <f t="shared" si="1"/>
      </c>
      <c r="K28" s="777">
        <f t="shared" si="2"/>
      </c>
      <c r="L28" s="776"/>
      <c r="M28" s="778">
        <f>SUM(M26:M27)</f>
      </c>
      <c r="N28" s="776"/>
      <c r="O28" s="776"/>
      <c r="P28" s="776"/>
      <c r="Q28" s="779">
        <f>AVERAGE(Q26:Q27)</f>
      </c>
      <c r="R28" s="780">
        <f>AVERAGE(R26:R27)</f>
      </c>
      <c r="S28" s="780">
        <f>AVERAGE(S26:S27)</f>
      </c>
      <c r="T28" s="780">
        <f>AVERAGE(T26:T27)</f>
      </c>
      <c r="U28" s="780">
        <f>AVERAGE(U26:U27)</f>
      </c>
      <c r="V28" s="781">
        <f>SUM(V26:V27)</f>
      </c>
      <c r="W28" s="780">
        <f>AVERAGE(W26:W27)</f>
      </c>
      <c r="X28" s="781">
        <f>AVERAGE(X26:X27)</f>
      </c>
      <c r="Y28" s="779">
        <f>AVERAGE(Y26:Y27)</f>
      </c>
      <c r="Z28" s="781">
        <f>SUM(Z26:Z27)</f>
      </c>
      <c r="AA28" s="781">
        <f>SUM(AA26:AA27)</f>
      </c>
      <c r="AB28" s="781">
        <f>SUM(AB26:AB27)</f>
      </c>
      <c r="AC28" s="781">
        <f>SUM(AC26:AC27)</f>
      </c>
      <c r="AD28" s="781">
        <f>SUM(AD26:AD27)</f>
      </c>
      <c r="AE28" s="781">
        <f>SUM(AE26:AE27)</f>
      </c>
      <c r="AF28" s="781">
        <f>SUM(AF26:AF27)</f>
      </c>
      <c r="AG28" s="781">
        <f>SUM(AG26:AG27)</f>
      </c>
    </row>
    <row r="29">
      <c r="A29" s="767" t="s">
        <v>1637</v>
      </c>
      <c r="B29" s="767" t="s">
        <v>1618</v>
      </c>
      <c r="C29" s="767" t="s">
        <v>1619</v>
      </c>
      <c r="D29" s="767">
        <v>4</v>
      </c>
      <c r="E29" s="767">
        <v>5</v>
      </c>
      <c r="F29" s="767">
        <v>7</v>
      </c>
      <c r="G29" s="767">
        <v>19544.85</v>
      </c>
      <c r="H29" s="768">
        <v>5810.2300000000005</v>
      </c>
      <c r="I29" s="769">
        <f t="shared" si="0"/>
      </c>
      <c r="J29" s="769">
        <f t="shared" si="1"/>
      </c>
      <c r="K29" s="769">
        <f t="shared" si="2"/>
      </c>
      <c r="L29" s="767" t="s">
        <v>1623</v>
      </c>
      <c r="M29" s="770">
        <v>3.2</v>
      </c>
      <c r="N29" s="771"/>
      <c r="O29" s="767"/>
      <c r="P29" s="771"/>
      <c r="Q29" s="772">
        <v>4.269088905216753</v>
      </c>
      <c r="R29" s="773">
        <v>0.15134399175774907</v>
      </c>
      <c r="S29" s="773">
        <v>0.028370716251146504</v>
      </c>
      <c r="T29" s="773">
        <v>0.03112232135412324</v>
      </c>
      <c r="U29" s="773">
        <v>0.13596784996651037</v>
      </c>
      <c r="V29" s="774">
        <v>7260.2739726027385</v>
      </c>
      <c r="W29" s="773">
        <v>0.021900000000000003</v>
      </c>
      <c r="X29" s="774">
        <v>54.25</v>
      </c>
      <c r="Y29" s="772">
        <v>121.11710998082216</v>
      </c>
      <c r="Z29" s="774">
        <v>47972</v>
      </c>
      <c r="AA29" s="774">
        <v>1361</v>
      </c>
      <c r="AB29" s="774">
        <v>159</v>
      </c>
      <c r="AC29" s="774">
        <v>1493</v>
      </c>
      <c r="AD29" s="774">
        <v>203</v>
      </c>
      <c r="AE29" s="774">
        <v>9</v>
      </c>
      <c r="AF29" s="774">
        <v>3</v>
      </c>
      <c r="AG29" s="774">
        <v>23</v>
      </c>
    </row>
    <row r="30">
      <c r="A30" s="767" t="s">
        <v>1637</v>
      </c>
      <c r="B30" s="767" t="s">
        <v>1621</v>
      </c>
      <c r="C30" s="767" t="s">
        <v>1622</v>
      </c>
      <c r="D30" s="767">
        <v>4</v>
      </c>
      <c r="E30" s="767">
        <v>10</v>
      </c>
      <c r="F30" s="767">
        <v>10</v>
      </c>
      <c r="G30" s="767">
        <v>26399.1</v>
      </c>
      <c r="H30" s="768">
        <v>7038.68</v>
      </c>
      <c r="I30" s="769">
        <f t="shared" si="0"/>
      </c>
      <c r="J30" s="769">
        <f t="shared" si="1"/>
      </c>
      <c r="K30" s="769">
        <f t="shared" si="2"/>
      </c>
      <c r="L30" s="767"/>
      <c r="M30" s="770"/>
      <c r="N30" s="767"/>
      <c r="O30" s="767"/>
      <c r="P30" s="771"/>
      <c r="Q30" s="772">
        <v>3.6132854209445586</v>
      </c>
      <c r="R30" s="773">
        <v>0.24347052809922295</v>
      </c>
      <c r="S30" s="773">
        <v>0.04076763702572044</v>
      </c>
      <c r="T30" s="773">
        <v>0.04455559508611849</v>
      </c>
      <c r="U30" s="773">
        <v>0.0850164396430249</v>
      </c>
      <c r="V30" s="774">
        <v>11633.75224416517</v>
      </c>
      <c r="W30" s="773">
        <v>0.013925</v>
      </c>
      <c r="X30" s="774">
        <v>50.25</v>
      </c>
      <c r="Y30" s="772">
        <v>147.30510851139528</v>
      </c>
      <c r="Z30" s="774">
        <v>47783</v>
      </c>
      <c r="AA30" s="774">
        <v>1948</v>
      </c>
      <c r="AB30" s="774">
        <v>162</v>
      </c>
      <c r="AC30" s="774">
        <v>2129</v>
      </c>
      <c r="AD30" s="774">
        <v>181</v>
      </c>
      <c r="AE30" s="774">
        <v>12</v>
      </c>
      <c r="AF30" s="774">
        <v>2</v>
      </c>
      <c r="AG30" s="774">
        <v>20</v>
      </c>
    </row>
    <row r="31">
      <c r="A31" s="775" t="s">
        <v>1637</v>
      </c>
      <c r="B31" s="775" t="s">
        <v>1624</v>
      </c>
      <c r="C31" s="776"/>
      <c r="D31" s="776">
        <f>SUM(D29:D30)</f>
      </c>
      <c r="E31" s="776">
        <f>E29+E30</f>
      </c>
      <c r="F31" s="776">
        <f>SUM(F29:F30)</f>
      </c>
      <c r="G31" s="776">
        <f>SUM(G29:G30)</f>
      </c>
      <c r="H31" s="776">
        <f>SUM(H29:H30)</f>
      </c>
      <c r="I31" s="777">
        <f t="shared" si="0"/>
      </c>
      <c r="J31" s="777">
        <f t="shared" si="1"/>
      </c>
      <c r="K31" s="777">
        <f t="shared" si="2"/>
      </c>
      <c r="L31" s="776"/>
      <c r="M31" s="778">
        <f>SUM(M29:M30)</f>
      </c>
      <c r="N31" s="776"/>
      <c r="O31" s="776"/>
      <c r="P31" s="776"/>
      <c r="Q31" s="779">
        <f>AVERAGE(Q29:Q30)</f>
      </c>
      <c r="R31" s="780">
        <f>AVERAGE(R29:R30)</f>
      </c>
      <c r="S31" s="780">
        <f>AVERAGE(S29:S30)</f>
      </c>
      <c r="T31" s="780">
        <f>AVERAGE(T29:T30)</f>
      </c>
      <c r="U31" s="780">
        <f>AVERAGE(U29:U30)</f>
      </c>
      <c r="V31" s="781">
        <f>SUM(V29:V30)</f>
      </c>
      <c r="W31" s="780">
        <f>AVERAGE(W29:W30)</f>
      </c>
      <c r="X31" s="781">
        <f>AVERAGE(X29:X30)</f>
      </c>
      <c r="Y31" s="779">
        <f>AVERAGE(Y29:Y30)</f>
      </c>
      <c r="Z31" s="781">
        <f>SUM(Z29:Z30)</f>
      </c>
      <c r="AA31" s="781">
        <f>SUM(AA29:AA30)</f>
      </c>
      <c r="AB31" s="781">
        <f>SUM(AB29:AB30)</f>
      </c>
      <c r="AC31" s="781">
        <f>SUM(AC29:AC30)</f>
      </c>
      <c r="AD31" s="781">
        <f>SUM(AD29:AD30)</f>
      </c>
      <c r="AE31" s="781">
        <f>SUM(AE29:AE30)</f>
      </c>
      <c r="AF31" s="781">
        <f>SUM(AF29:AF30)</f>
      </c>
      <c r="AG31" s="781">
        <f>SUM(AG29:AG30)</f>
      </c>
    </row>
    <row r="32">
      <c r="A32" s="767" t="s">
        <v>1638</v>
      </c>
      <c r="B32" s="767" t="s">
        <v>1621</v>
      </c>
      <c r="C32" s="767" t="s">
        <v>1619</v>
      </c>
      <c r="D32" s="767">
        <v>4</v>
      </c>
      <c r="E32" s="767">
        <v>0</v>
      </c>
      <c r="F32" s="767">
        <v>1</v>
      </c>
      <c r="G32" s="767">
        <v>2316.6</v>
      </c>
      <c r="H32" s="768">
        <v>4452.24</v>
      </c>
      <c r="I32" s="769">
        <f t="shared" si="0"/>
      </c>
      <c r="J32" s="769">
        <f t="shared" si="1"/>
      </c>
      <c r="K32" s="769">
        <f t="shared" si="2"/>
      </c>
      <c r="L32" s="767" t="s">
        <v>1623</v>
      </c>
      <c r="M32" s="770">
        <v>3.2</v>
      </c>
      <c r="N32" s="771"/>
      <c r="O32" s="767"/>
      <c r="P32" s="771"/>
      <c r="Q32" s="772">
        <v>3.9787667560321713</v>
      </c>
      <c r="R32" s="773">
        <v>0.19202812282831097</v>
      </c>
      <c r="S32" s="773">
        <v>0.03127882599580713</v>
      </c>
      <c r="T32" s="773">
        <v>0.035052410901467504</v>
      </c>
      <c r="U32" s="773">
        <v>0.06539074960127592</v>
      </c>
      <c r="V32" s="774">
        <v>6869.806094182825</v>
      </c>
      <c r="W32" s="773">
        <v>0.01805</v>
      </c>
      <c r="X32" s="774">
        <v>47</v>
      </c>
      <c r="Y32" s="772">
        <v>124.45115303983229</v>
      </c>
      <c r="Z32" s="774">
        <v>35775</v>
      </c>
      <c r="AA32" s="774">
        <v>1119</v>
      </c>
      <c r="AB32" s="774">
        <v>124</v>
      </c>
      <c r="AC32" s="774">
        <v>1254</v>
      </c>
      <c r="AD32" s="774">
        <v>82</v>
      </c>
      <c r="AE32" s="774">
        <v>5</v>
      </c>
      <c r="AF32" s="774">
        <v>0</v>
      </c>
      <c r="AG32" s="774">
        <v>10</v>
      </c>
    </row>
    <row r="33">
      <c r="A33" s="767" t="s">
        <v>1638</v>
      </c>
      <c r="B33" s="767" t="s">
        <v>1626</v>
      </c>
      <c r="C33" s="767" t="s">
        <v>1622</v>
      </c>
      <c r="D33" s="767">
        <v>4</v>
      </c>
      <c r="E33" s="767">
        <v>1</v>
      </c>
      <c r="F33" s="767">
        <v>1</v>
      </c>
      <c r="G33" s="767">
        <v>1772.55</v>
      </c>
      <c r="H33" s="768">
        <v>3824.58</v>
      </c>
      <c r="I33" s="769">
        <f t="shared" si="0"/>
      </c>
      <c r="J33" s="769">
        <f t="shared" si="1"/>
      </c>
      <c r="K33" s="769">
        <f t="shared" si="2"/>
      </c>
      <c r="L33" s="767"/>
      <c r="M33" s="770"/>
      <c r="N33" s="767"/>
      <c r="O33" s="767"/>
      <c r="P33" s="771"/>
      <c r="Q33" s="772">
        <v>2.6971650211565583</v>
      </c>
      <c r="R33" s="773">
        <v>0.12058027702443469</v>
      </c>
      <c r="S33" s="773">
        <v>0.04367646152898417</v>
      </c>
      <c r="T33" s="773">
        <v>0.049559539210250726</v>
      </c>
      <c r="U33" s="773">
        <v>0.06836544437538844</v>
      </c>
      <c r="V33" s="774">
        <v>3914.7592738752965</v>
      </c>
      <c r="W33" s="773">
        <v>0.031674999999999995</v>
      </c>
      <c r="X33" s="774">
        <v>36</v>
      </c>
      <c r="Y33" s="772">
        <v>117.80262428386621</v>
      </c>
      <c r="Z33" s="774">
        <v>32466</v>
      </c>
      <c r="AA33" s="774">
        <v>1418</v>
      </c>
      <c r="AB33" s="774">
        <v>124</v>
      </c>
      <c r="AC33" s="774">
        <v>1609</v>
      </c>
      <c r="AD33" s="774">
        <v>110</v>
      </c>
      <c r="AE33" s="774">
        <v>6</v>
      </c>
      <c r="AF33" s="774">
        <v>1</v>
      </c>
      <c r="AG33" s="774">
        <v>13</v>
      </c>
    </row>
    <row r="34">
      <c r="A34" s="775" t="s">
        <v>1638</v>
      </c>
      <c r="B34" s="775" t="s">
        <v>1624</v>
      </c>
      <c r="C34" s="776"/>
      <c r="D34" s="776">
        <f>SUM(D32:D33)</f>
      </c>
      <c r="E34" s="776">
        <f>E32+E33</f>
      </c>
      <c r="F34" s="776">
        <f>SUM(F32:F33)</f>
      </c>
      <c r="G34" s="776">
        <f>SUM(G32:G33)</f>
      </c>
      <c r="H34" s="776">
        <f>SUM(H32:H33)</f>
      </c>
      <c r="I34" s="777">
        <f t="shared" si="0"/>
      </c>
      <c r="J34" s="777">
        <f t="shared" si="1"/>
      </c>
      <c r="K34" s="777">
        <f t="shared" si="2"/>
      </c>
      <c r="L34" s="776"/>
      <c r="M34" s="778">
        <f>SUM(M32:M33)</f>
      </c>
      <c r="N34" s="776"/>
      <c r="O34" s="776"/>
      <c r="P34" s="776"/>
      <c r="Q34" s="779">
        <f>AVERAGE(Q32:Q33)</f>
      </c>
      <c r="R34" s="780">
        <f>AVERAGE(R32:R33)</f>
      </c>
      <c r="S34" s="780">
        <f>AVERAGE(S32:S33)</f>
      </c>
      <c r="T34" s="780">
        <f>AVERAGE(T32:T33)</f>
      </c>
      <c r="U34" s="780">
        <f>AVERAGE(U32:U33)</f>
      </c>
      <c r="V34" s="781">
        <f>SUM(V32:V33)</f>
      </c>
      <c r="W34" s="780">
        <f>AVERAGE(W32:W33)</f>
      </c>
      <c r="X34" s="781">
        <f>AVERAGE(X32:X33)</f>
      </c>
      <c r="Y34" s="779">
        <f>AVERAGE(Y32:Y33)</f>
      </c>
      <c r="Z34" s="781">
        <f>SUM(Z32:Z33)</f>
      </c>
      <c r="AA34" s="781">
        <f>SUM(AA32:AA33)</f>
      </c>
      <c r="AB34" s="781">
        <f>SUM(AB32:AB33)</f>
      </c>
      <c r="AC34" s="781">
        <f>SUM(AC32:AC33)</f>
      </c>
      <c r="AD34" s="781">
        <f>SUM(AD32:AD33)</f>
      </c>
      <c r="AE34" s="781">
        <f>SUM(AE32:AE33)</f>
      </c>
      <c r="AF34" s="781">
        <f>SUM(AF32:AF33)</f>
      </c>
      <c r="AG34" s="781">
        <f>SUM(AG32:AG33)</f>
      </c>
    </row>
    <row r="35">
      <c r="A35" s="767" t="s">
        <v>1639</v>
      </c>
      <c r="B35" s="767" t="s">
        <v>1621</v>
      </c>
      <c r="C35" s="767" t="s">
        <v>1619</v>
      </c>
      <c r="D35" s="767">
        <v>4</v>
      </c>
      <c r="E35" s="767">
        <v>3</v>
      </c>
      <c r="F35" s="767">
        <v>5</v>
      </c>
      <c r="G35" s="767">
        <v>9178.65</v>
      </c>
      <c r="H35" s="768">
        <v>3944.62</v>
      </c>
      <c r="I35" s="769">
        <f t="shared" si="0"/>
      </c>
      <c r="J35" s="769">
        <f t="shared" si="1"/>
      </c>
      <c r="K35" s="769">
        <f t="shared" si="2"/>
      </c>
      <c r="L35" s="767" t="s">
        <v>1623</v>
      </c>
      <c r="M35" s="770">
        <v>3.2</v>
      </c>
      <c r="N35" s="771"/>
      <c r="O35" s="767"/>
      <c r="P35" s="771"/>
      <c r="Q35" s="772">
        <v>3.4064075993091536</v>
      </c>
      <c r="R35" s="773">
        <v>0.1213032067305441</v>
      </c>
      <c r="S35" s="773">
        <v>0.03576281655342804</v>
      </c>
      <c r="T35" s="773">
        <v>0.03922174181593576</v>
      </c>
      <c r="U35" s="773">
        <v>0.09055118110236221</v>
      </c>
      <c r="V35" s="774">
        <v>3927.797833935018</v>
      </c>
      <c r="W35" s="773">
        <v>0.034625</v>
      </c>
      <c r="X35" s="774">
        <v>43.75</v>
      </c>
      <c r="Y35" s="772">
        <v>121.82273008029648</v>
      </c>
      <c r="Z35" s="774">
        <v>32380</v>
      </c>
      <c r="AA35" s="774">
        <v>1158</v>
      </c>
      <c r="AB35" s="774">
        <v>136</v>
      </c>
      <c r="AC35" s="774">
        <v>1270</v>
      </c>
      <c r="AD35" s="774">
        <v>115</v>
      </c>
      <c r="AE35" s="774">
        <v>3</v>
      </c>
      <c r="AF35" s="774">
        <v>2</v>
      </c>
      <c r="AG35" s="774">
        <v>16</v>
      </c>
    </row>
    <row r="36">
      <c r="A36" s="767" t="s">
        <v>1639</v>
      </c>
      <c r="B36" s="767" t="s">
        <v>1626</v>
      </c>
      <c r="C36" s="767" t="s">
        <v>1622</v>
      </c>
      <c r="D36" s="767">
        <v>4</v>
      </c>
      <c r="E36" s="767">
        <v>4</v>
      </c>
      <c r="F36" s="767">
        <v>5</v>
      </c>
      <c r="G36" s="767">
        <v>9172.8</v>
      </c>
      <c r="H36" s="768">
        <v>3872.77</v>
      </c>
      <c r="I36" s="769">
        <f t="shared" si="0"/>
      </c>
      <c r="J36" s="769">
        <f t="shared" si="1"/>
      </c>
      <c r="K36" s="769">
        <f t="shared" si="2"/>
      </c>
      <c r="L36" s="767"/>
      <c r="M36" s="770"/>
      <c r="N36" s="767"/>
      <c r="O36" s="767"/>
      <c r="P36" s="771"/>
      <c r="Q36" s="772">
        <v>3.123201612903226</v>
      </c>
      <c r="R36" s="773">
        <v>0.2012119116630431</v>
      </c>
      <c r="S36" s="773">
        <v>0.041329200413292</v>
      </c>
      <c r="T36" s="773">
        <v>0.044295570442955706</v>
      </c>
      <c r="U36" s="773">
        <v>0.14823175319789314</v>
      </c>
      <c r="V36" s="774">
        <v>6036.960985626282</v>
      </c>
      <c r="W36" s="773">
        <v>0.024350000000000004</v>
      </c>
      <c r="X36" s="774">
        <v>41.5</v>
      </c>
      <c r="Y36" s="772">
        <v>129.07942539079426</v>
      </c>
      <c r="Z36" s="774">
        <v>30003</v>
      </c>
      <c r="AA36" s="774">
        <v>1240</v>
      </c>
      <c r="AB36" s="774">
        <v>147</v>
      </c>
      <c r="AC36" s="774">
        <v>1329</v>
      </c>
      <c r="AD36" s="774">
        <v>197</v>
      </c>
      <c r="AE36" s="774">
        <v>5</v>
      </c>
      <c r="AF36" s="774">
        <v>5</v>
      </c>
      <c r="AG36" s="774">
        <v>13</v>
      </c>
    </row>
    <row r="37">
      <c r="A37" s="775" t="s">
        <v>1639</v>
      </c>
      <c r="B37" s="775" t="s">
        <v>1624</v>
      </c>
      <c r="C37" s="776"/>
      <c r="D37" s="776">
        <f>SUM(D35:D36)</f>
      </c>
      <c r="E37" s="776">
        <f>E35+E36</f>
      </c>
      <c r="F37" s="776">
        <f>SUM(F35:F36)</f>
      </c>
      <c r="G37" s="776">
        <f>SUM(G35:G36)</f>
      </c>
      <c r="H37" s="776">
        <f>SUM(H35:H36)</f>
      </c>
      <c r="I37" s="777">
        <f t="shared" si="0"/>
      </c>
      <c r="J37" s="777">
        <f t="shared" si="1"/>
      </c>
      <c r="K37" s="777">
        <f t="shared" si="2"/>
      </c>
      <c r="L37" s="776"/>
      <c r="M37" s="778">
        <f>SUM(M35:M36)</f>
      </c>
      <c r="N37" s="776"/>
      <c r="O37" s="776"/>
      <c r="P37" s="776"/>
      <c r="Q37" s="779">
        <f>AVERAGE(Q35:Q36)</f>
      </c>
      <c r="R37" s="780">
        <f>AVERAGE(R35:R36)</f>
      </c>
      <c r="S37" s="780">
        <f>AVERAGE(S35:S36)</f>
      </c>
      <c r="T37" s="780">
        <f>AVERAGE(T35:T36)</f>
      </c>
      <c r="U37" s="780">
        <f>AVERAGE(U35:U36)</f>
      </c>
      <c r="V37" s="781">
        <f>SUM(V35:V36)</f>
      </c>
      <c r="W37" s="780">
        <f>AVERAGE(W35:W36)</f>
      </c>
      <c r="X37" s="781">
        <f>AVERAGE(X35:X36)</f>
      </c>
      <c r="Y37" s="779">
        <f>AVERAGE(Y35:Y36)</f>
      </c>
      <c r="Z37" s="781">
        <f>SUM(Z35:Z36)</f>
      </c>
      <c r="AA37" s="781">
        <f>SUM(AA35:AA36)</f>
      </c>
      <c r="AB37" s="781">
        <f>SUM(AB35:AB36)</f>
      </c>
      <c r="AC37" s="781">
        <f>SUM(AC35:AC36)</f>
      </c>
      <c r="AD37" s="781">
        <f>SUM(AD35:AD36)</f>
      </c>
      <c r="AE37" s="781">
        <f>SUM(AE35:AE36)</f>
      </c>
      <c r="AF37" s="781">
        <f>SUM(AF35:AF36)</f>
      </c>
      <c r="AG37" s="781">
        <f>SUM(AG35:AG36)</f>
      </c>
    </row>
    <row r="38">
      <c r="A38" s="767" t="s">
        <v>1640</v>
      </c>
      <c r="B38" s="767" t="s">
        <v>1626</v>
      </c>
      <c r="C38" s="767" t="s">
        <v>1619</v>
      </c>
      <c r="D38" s="767">
        <v>4</v>
      </c>
      <c r="E38" s="767">
        <v>4</v>
      </c>
      <c r="F38" s="767">
        <v>4</v>
      </c>
      <c r="G38" s="767">
        <v>5493.15</v>
      </c>
      <c r="H38" s="768">
        <v>4206.19</v>
      </c>
      <c r="I38" s="769">
        <f t="shared" si="0"/>
      </c>
      <c r="J38" s="769">
        <f t="shared" si="1"/>
      </c>
      <c r="K38" s="769">
        <f t="shared" si="2"/>
      </c>
      <c r="L38" s="767" t="s">
        <v>1623</v>
      </c>
      <c r="M38" s="770">
        <v>3.2</v>
      </c>
      <c r="N38" s="771"/>
      <c r="O38" s="767"/>
      <c r="P38" s="771"/>
      <c r="Q38" s="772">
        <v>4.995475059382422</v>
      </c>
      <c r="R38" s="773">
        <v>0.16617492860466357</v>
      </c>
      <c r="S38" s="773">
        <v>0.03000071260600014</v>
      </c>
      <c r="T38" s="773">
        <v>0.03256609420651322</v>
      </c>
      <c r="U38" s="773">
        <v>0.12144420131291028</v>
      </c>
      <c r="V38" s="774">
        <v>4663.865546218488</v>
      </c>
      <c r="W38" s="773">
        <v>0.023799999999999998</v>
      </c>
      <c r="X38" s="774">
        <v>50.75</v>
      </c>
      <c r="Y38" s="772">
        <v>149.86781158697354</v>
      </c>
      <c r="Z38" s="774">
        <v>28066</v>
      </c>
      <c r="AA38" s="774">
        <v>842</v>
      </c>
      <c r="AB38" s="774">
        <v>111</v>
      </c>
      <c r="AC38" s="774">
        <v>914</v>
      </c>
      <c r="AD38" s="774">
        <v>111</v>
      </c>
      <c r="AE38" s="774">
        <v>5</v>
      </c>
      <c r="AF38" s="774">
        <v>1</v>
      </c>
      <c r="AG38" s="774">
        <v>18</v>
      </c>
    </row>
    <row r="39">
      <c r="A39" s="767" t="s">
        <v>1640</v>
      </c>
      <c r="B39" s="767" t="s">
        <v>1618</v>
      </c>
      <c r="C39" s="767" t="s">
        <v>1622</v>
      </c>
      <c r="D39" s="767">
        <v>4</v>
      </c>
      <c r="E39" s="767">
        <v>0</v>
      </c>
      <c r="F39" s="767">
        <v>2</v>
      </c>
      <c r="G39" s="767">
        <v>3814.2</v>
      </c>
      <c r="H39" s="768">
        <v>3030.4</v>
      </c>
      <c r="I39" s="769">
        <f t="shared" si="0"/>
      </c>
      <c r="J39" s="769">
        <f t="shared" si="1"/>
      </c>
      <c r="K39" s="769">
        <f t="shared" si="2"/>
      </c>
      <c r="L39" s="767"/>
      <c r="M39" s="770"/>
      <c r="N39" s="767"/>
      <c r="O39" s="767"/>
      <c r="P39" s="771"/>
      <c r="Q39" s="772">
        <v>3.397309417040359</v>
      </c>
      <c r="R39" s="773">
        <v>0.16441043709658795</v>
      </c>
      <c r="S39" s="773">
        <v>0.04063225982781397</v>
      </c>
      <c r="T39" s="773">
        <v>0.04532410148954585</v>
      </c>
      <c r="U39" s="773">
        <v>0.09849246231155778</v>
      </c>
      <c r="V39" s="774">
        <v>3609.302325581395</v>
      </c>
      <c r="W39" s="773">
        <v>0.026875000000000003</v>
      </c>
      <c r="X39" s="774">
        <v>45.25</v>
      </c>
      <c r="Y39" s="772">
        <v>138.04035894866306</v>
      </c>
      <c r="Z39" s="774">
        <v>21953</v>
      </c>
      <c r="AA39" s="774">
        <v>892</v>
      </c>
      <c r="AB39" s="774">
        <v>97</v>
      </c>
      <c r="AC39" s="774">
        <v>995</v>
      </c>
      <c r="AD39" s="774">
        <v>98</v>
      </c>
      <c r="AE39" s="774">
        <v>4</v>
      </c>
      <c r="AF39" s="774">
        <v>2</v>
      </c>
      <c r="AG39" s="774">
        <v>15</v>
      </c>
    </row>
    <row r="40">
      <c r="A40" s="775" t="s">
        <v>1640</v>
      </c>
      <c r="B40" s="775" t="s">
        <v>1624</v>
      </c>
      <c r="C40" s="776"/>
      <c r="D40" s="776">
        <f>SUM(D38:D39)</f>
      </c>
      <c r="E40" s="776">
        <f>E38+E39</f>
      </c>
      <c r="F40" s="776">
        <f>SUM(F38:F39)</f>
      </c>
      <c r="G40" s="776">
        <f>SUM(G38:G39)</f>
      </c>
      <c r="H40" s="776">
        <f>SUM(H38:H39)</f>
      </c>
      <c r="I40" s="777">
        <f t="shared" si="0"/>
      </c>
      <c r="J40" s="777">
        <f t="shared" si="1"/>
      </c>
      <c r="K40" s="777">
        <f t="shared" si="2"/>
      </c>
      <c r="L40" s="776"/>
      <c r="M40" s="778">
        <f>SUM(M38:M39)</f>
      </c>
      <c r="N40" s="776"/>
      <c r="O40" s="776"/>
      <c r="P40" s="776"/>
      <c r="Q40" s="779">
        <f>AVERAGE(Q38:Q39)</f>
      </c>
      <c r="R40" s="780">
        <f>AVERAGE(R38:R39)</f>
      </c>
      <c r="S40" s="780">
        <f>AVERAGE(S38:S39)</f>
      </c>
      <c r="T40" s="780">
        <f>AVERAGE(T38:T39)</f>
      </c>
      <c r="U40" s="780">
        <f>AVERAGE(U38:U39)</f>
      </c>
      <c r="V40" s="781">
        <f>SUM(V38:V39)</f>
      </c>
      <c r="W40" s="780">
        <f>AVERAGE(W38:W39)</f>
      </c>
      <c r="X40" s="781">
        <f>AVERAGE(X38:X39)</f>
      </c>
      <c r="Y40" s="779">
        <f>AVERAGE(Y38:Y39)</f>
      </c>
      <c r="Z40" s="781">
        <f>SUM(Z38:Z39)</f>
      </c>
      <c r="AA40" s="781">
        <f>SUM(AA38:AA39)</f>
      </c>
      <c r="AB40" s="781">
        <f>SUM(AB38:AB39)</f>
      </c>
      <c r="AC40" s="781">
        <f>SUM(AC38:AC39)</f>
      </c>
      <c r="AD40" s="781">
        <f>SUM(AD38:AD39)</f>
      </c>
      <c r="AE40" s="781">
        <f>SUM(AE38:AE39)</f>
      </c>
      <c r="AF40" s="781">
        <f>SUM(AF38:AF39)</f>
      </c>
      <c r="AG40" s="781">
        <f>SUM(AG38:AG39)</f>
      </c>
    </row>
    <row r="41">
      <c r="A41" s="767" t="s">
        <v>1641</v>
      </c>
      <c r="B41" s="767" t="s">
        <v>1618</v>
      </c>
      <c r="C41" s="767" t="s">
        <v>1619</v>
      </c>
      <c r="D41" s="767">
        <v>4</v>
      </c>
      <c r="E41" s="767">
        <v>4</v>
      </c>
      <c r="F41" s="767">
        <v>4</v>
      </c>
      <c r="G41" s="767">
        <v>9295.65</v>
      </c>
      <c r="H41" s="768">
        <v>6767.049999999999</v>
      </c>
      <c r="I41" s="769">
        <f t="shared" si="0"/>
      </c>
      <c r="J41" s="769">
        <f t="shared" si="1"/>
      </c>
      <c r="K41" s="769">
        <f t="shared" si="2"/>
      </c>
      <c r="L41" s="767" t="s">
        <v>1623</v>
      </c>
      <c r="M41" s="770">
        <v>3.2</v>
      </c>
      <c r="N41" s="771"/>
      <c r="O41" s="767"/>
      <c r="P41" s="771"/>
      <c r="Q41" s="772">
        <v>3.936620127981384</v>
      </c>
      <c r="R41" s="773">
        <v>0.11250572018159717</v>
      </c>
      <c r="S41" s="773">
        <v>0.028025498475634607</v>
      </c>
      <c r="T41" s="773">
        <v>0.031155746123873028</v>
      </c>
      <c r="U41" s="773">
        <v>0.07639979068550497</v>
      </c>
      <c r="V41" s="774">
        <v>6900.763358778626</v>
      </c>
      <c r="W41" s="773">
        <v>0.03275</v>
      </c>
      <c r="X41" s="774">
        <v>35.5</v>
      </c>
      <c r="Y41" s="772">
        <v>110.3257413958948</v>
      </c>
      <c r="Z41" s="774">
        <v>61337</v>
      </c>
      <c r="AA41" s="774">
        <v>1719</v>
      </c>
      <c r="AB41" s="774">
        <v>226</v>
      </c>
      <c r="AC41" s="774">
        <v>1911</v>
      </c>
      <c r="AD41" s="774">
        <v>146</v>
      </c>
      <c r="AE41" s="774">
        <v>10</v>
      </c>
      <c r="AF41" s="774">
        <v>3</v>
      </c>
      <c r="AG41" s="774">
        <v>35</v>
      </c>
    </row>
    <row r="42">
      <c r="A42" s="767" t="s">
        <v>1641</v>
      </c>
      <c r="B42" s="767" t="s">
        <v>1626</v>
      </c>
      <c r="C42" s="767" t="s">
        <v>1622</v>
      </c>
      <c r="D42" s="767">
        <v>4</v>
      </c>
      <c r="E42" s="767">
        <v>6</v>
      </c>
      <c r="F42" s="767">
        <v>9</v>
      </c>
      <c r="G42" s="767">
        <v>13969.8</v>
      </c>
      <c r="H42" s="768">
        <v>7432.73</v>
      </c>
      <c r="I42" s="769">
        <f t="shared" si="0"/>
      </c>
      <c r="J42" s="769">
        <f t="shared" si="1"/>
      </c>
      <c r="K42" s="769">
        <f t="shared" si="2"/>
      </c>
      <c r="L42" s="767"/>
      <c r="M42" s="770"/>
      <c r="N42" s="767"/>
      <c r="O42" s="767"/>
      <c r="P42" s="771"/>
      <c r="Q42" s="772">
        <v>3.5060047169811317</v>
      </c>
      <c r="R42" s="773">
        <v>0.14958743437721014</v>
      </c>
      <c r="S42" s="773">
        <v>0.028762532730948216</v>
      </c>
      <c r="T42" s="773">
        <v>0.031001126080290882</v>
      </c>
      <c r="U42" s="773">
        <v>0.11422319474835886</v>
      </c>
      <c r="V42" s="774">
        <v>11025.641025641027</v>
      </c>
      <c r="W42" s="773">
        <v>0.023399999999999997</v>
      </c>
      <c r="X42" s="774">
        <v>41.5</v>
      </c>
      <c r="Y42" s="772">
        <v>100.84157542702864</v>
      </c>
      <c r="Z42" s="774">
        <v>73707</v>
      </c>
      <c r="AA42" s="774">
        <v>2120</v>
      </c>
      <c r="AB42" s="774">
        <v>258</v>
      </c>
      <c r="AC42" s="774">
        <v>2285</v>
      </c>
      <c r="AD42" s="774">
        <v>261</v>
      </c>
      <c r="AE42" s="774">
        <v>23</v>
      </c>
      <c r="AF42" s="774">
        <v>3</v>
      </c>
      <c r="AG42" s="774">
        <v>42</v>
      </c>
    </row>
    <row r="43">
      <c r="A43" s="775" t="s">
        <v>1641</v>
      </c>
      <c r="B43" s="775" t="s">
        <v>1624</v>
      </c>
      <c r="C43" s="776"/>
      <c r="D43" s="776">
        <f>SUM(D41:D42)</f>
      </c>
      <c r="E43" s="776">
        <f>E41+E42</f>
      </c>
      <c r="F43" s="776">
        <f>SUM(F41:F42)</f>
      </c>
      <c r="G43" s="776">
        <f>SUM(G41:G42)</f>
      </c>
      <c r="H43" s="776">
        <f>SUM(H41:H42)</f>
      </c>
      <c r="I43" s="777">
        <f t="shared" si="0"/>
      </c>
      <c r="J43" s="777">
        <f t="shared" si="1"/>
      </c>
      <c r="K43" s="777">
        <f t="shared" si="2"/>
      </c>
      <c r="L43" s="776"/>
      <c r="M43" s="778">
        <f>SUM(M41:M42)</f>
      </c>
      <c r="N43" s="776"/>
      <c r="O43" s="776"/>
      <c r="P43" s="776"/>
      <c r="Q43" s="779">
        <f>AVERAGE(Q41:Q42)</f>
      </c>
      <c r="R43" s="780">
        <f>AVERAGE(R41:R42)</f>
      </c>
      <c r="S43" s="780">
        <f>AVERAGE(S41:S42)</f>
      </c>
      <c r="T43" s="780">
        <f>AVERAGE(T41:T42)</f>
      </c>
      <c r="U43" s="780">
        <f>AVERAGE(U41:U42)</f>
      </c>
      <c r="V43" s="781">
        <f>SUM(V41:V42)</f>
      </c>
      <c r="W43" s="780">
        <f>AVERAGE(W41:W42)</f>
      </c>
      <c r="X43" s="781">
        <f>AVERAGE(X41:X42)</f>
      </c>
      <c r="Y43" s="779">
        <f>AVERAGE(Y41:Y42)</f>
      </c>
      <c r="Z43" s="781">
        <f>SUM(Z41:Z42)</f>
      </c>
      <c r="AA43" s="781">
        <f>SUM(AA41:AA42)</f>
      </c>
      <c r="AB43" s="781">
        <f>SUM(AB41:AB42)</f>
      </c>
      <c r="AC43" s="781">
        <f>SUM(AC41:AC42)</f>
      </c>
      <c r="AD43" s="781">
        <f>SUM(AD41:AD42)</f>
      </c>
      <c r="AE43" s="781">
        <f>SUM(AE41:AE42)</f>
      </c>
      <c r="AF43" s="781">
        <f>SUM(AF41:AF42)</f>
      </c>
      <c r="AG43" s="781">
        <f>SUM(AG41:AG42)</f>
      </c>
    </row>
    <row r="44">
      <c r="A44" s="767" t="s">
        <v>1642</v>
      </c>
      <c r="B44" s="767" t="s">
        <v>1618</v>
      </c>
      <c r="C44" s="767" t="s">
        <v>1619</v>
      </c>
      <c r="D44" s="767">
        <v>4</v>
      </c>
      <c r="E44" s="767">
        <v>1</v>
      </c>
      <c r="F44" s="767">
        <v>3</v>
      </c>
      <c r="G44" s="767">
        <v>4767.75</v>
      </c>
      <c r="H44" s="768">
        <v>3237.2</v>
      </c>
      <c r="I44" s="769">
        <f t="shared" si="0"/>
      </c>
      <c r="J44" s="769">
        <f t="shared" si="1"/>
      </c>
      <c r="K44" s="769">
        <f t="shared" si="2"/>
      </c>
      <c r="L44" s="767" t="s">
        <v>1636</v>
      </c>
      <c r="M44" s="770">
        <v>6.4</v>
      </c>
      <c r="N44" s="771"/>
      <c r="O44" s="767"/>
      <c r="P44" s="771"/>
      <c r="Q44" s="772">
        <v>4.287682119205297</v>
      </c>
      <c r="R44" s="773">
        <v>0.21281704534992443</v>
      </c>
      <c r="S44" s="773">
        <v>0.029166344742331762</v>
      </c>
      <c r="T44" s="773">
        <v>0.03187050915552808</v>
      </c>
      <c r="U44" s="773">
        <v>0.08606060606060606</v>
      </c>
      <c r="V44" s="774">
        <v>5508.982035928144</v>
      </c>
      <c r="W44" s="773">
        <v>0.0167</v>
      </c>
      <c r="X44" s="774">
        <v>43</v>
      </c>
      <c r="Y44" s="772">
        <v>125.05601483427334</v>
      </c>
      <c r="Z44" s="774">
        <v>25886</v>
      </c>
      <c r="AA44" s="774">
        <v>755</v>
      </c>
      <c r="AB44" s="774">
        <v>92</v>
      </c>
      <c r="AC44" s="774">
        <v>825</v>
      </c>
      <c r="AD44" s="774">
        <v>71</v>
      </c>
      <c r="AE44" s="774">
        <v>5</v>
      </c>
      <c r="AF44" s="774">
        <v>1</v>
      </c>
      <c r="AG44" s="774">
        <v>11</v>
      </c>
    </row>
    <row r="45">
      <c r="A45" s="767" t="s">
        <v>1642</v>
      </c>
      <c r="B45" s="767" t="s">
        <v>1626</v>
      </c>
      <c r="C45" s="767" t="s">
        <v>1622</v>
      </c>
      <c r="D45" s="767">
        <v>4</v>
      </c>
      <c r="E45" s="767">
        <v>1</v>
      </c>
      <c r="F45" s="767">
        <v>2</v>
      </c>
      <c r="G45" s="767">
        <v>3814.2</v>
      </c>
      <c r="H45" s="768">
        <v>3482.09</v>
      </c>
      <c r="I45" s="769">
        <f t="shared" si="0"/>
      </c>
      <c r="J45" s="769">
        <f t="shared" si="1"/>
      </c>
      <c r="K45" s="769">
        <f t="shared" si="2"/>
      </c>
      <c r="L45" s="767"/>
      <c r="M45" s="770"/>
      <c r="N45" s="767"/>
      <c r="O45" s="767"/>
      <c r="P45" s="771"/>
      <c r="Q45" s="772">
        <v>3.571374358974359</v>
      </c>
      <c r="R45" s="773">
        <v>0.12616021666250968</v>
      </c>
      <c r="S45" s="773">
        <v>0.038316434803112476</v>
      </c>
      <c r="T45" s="773">
        <v>0.0428751080719956</v>
      </c>
      <c r="U45" s="773">
        <v>0.1008249312557287</v>
      </c>
      <c r="V45" s="774">
        <v>3210.2728731942216</v>
      </c>
      <c r="W45" s="773">
        <v>0.03115</v>
      </c>
      <c r="X45" s="774">
        <v>42.25</v>
      </c>
      <c r="Y45" s="772">
        <v>136.84233278314863</v>
      </c>
      <c r="Z45" s="774">
        <v>25446</v>
      </c>
      <c r="AA45" s="774">
        <v>975</v>
      </c>
      <c r="AB45" s="774">
        <v>100</v>
      </c>
      <c r="AC45" s="774">
        <v>1091</v>
      </c>
      <c r="AD45" s="774">
        <v>110</v>
      </c>
      <c r="AE45" s="774">
        <v>7</v>
      </c>
      <c r="AF45" s="774">
        <v>4</v>
      </c>
      <c r="AG45" s="774">
        <v>16</v>
      </c>
    </row>
    <row r="46">
      <c r="A46" s="775" t="s">
        <v>1642</v>
      </c>
      <c r="B46" s="775" t="s">
        <v>1624</v>
      </c>
      <c r="C46" s="776"/>
      <c r="D46" s="776">
        <f>SUM(D44:D45)</f>
      </c>
      <c r="E46" s="776">
        <f>E44+E45</f>
      </c>
      <c r="F46" s="776">
        <f>SUM(F44:F45)</f>
      </c>
      <c r="G46" s="776">
        <f>SUM(G44:G45)</f>
      </c>
      <c r="H46" s="776">
        <f>SUM(H44:H45)</f>
      </c>
      <c r="I46" s="777">
        <f t="shared" si="0"/>
      </c>
      <c r="J46" s="777">
        <f t="shared" si="1"/>
      </c>
      <c r="K46" s="777">
        <f t="shared" si="2"/>
      </c>
      <c r="L46" s="776"/>
      <c r="M46" s="778">
        <f>SUM(M44:M45)</f>
      </c>
      <c r="N46" s="776"/>
      <c r="O46" s="776"/>
      <c r="P46" s="776"/>
      <c r="Q46" s="779">
        <f>AVERAGE(Q44:Q45)</f>
      </c>
      <c r="R46" s="780">
        <f>AVERAGE(R44:R45)</f>
      </c>
      <c r="S46" s="780">
        <f>AVERAGE(S44:S45)</f>
      </c>
      <c r="T46" s="780">
        <f>AVERAGE(T44:T45)</f>
      </c>
      <c r="U46" s="780">
        <f>AVERAGE(U44:U45)</f>
      </c>
      <c r="V46" s="781">
        <f>SUM(V44:V45)</f>
      </c>
      <c r="W46" s="780">
        <f>AVERAGE(W44:W45)</f>
      </c>
      <c r="X46" s="781">
        <f>AVERAGE(X44:X45)</f>
      </c>
      <c r="Y46" s="779">
        <f>AVERAGE(Y44:Y45)</f>
      </c>
      <c r="Z46" s="781">
        <f>SUM(Z44:Z45)</f>
      </c>
      <c r="AA46" s="781">
        <f>SUM(AA44:AA45)</f>
      </c>
      <c r="AB46" s="781">
        <f>SUM(AB44:AB45)</f>
      </c>
      <c r="AC46" s="781">
        <f>SUM(AC44:AC45)</f>
      </c>
      <c r="AD46" s="781">
        <f>SUM(AD44:AD45)</f>
      </c>
      <c r="AE46" s="781">
        <f>SUM(AE44:AE45)</f>
      </c>
      <c r="AF46" s="781">
        <f>SUM(AF44:AF45)</f>
      </c>
      <c r="AG46" s="781">
        <f>SUM(AG44:AG45)</f>
      </c>
    </row>
    <row r="47">
      <c r="A47" s="767" t="s">
        <v>1643</v>
      </c>
      <c r="B47" s="767" t="s">
        <v>1618</v>
      </c>
      <c r="C47" s="767" t="s">
        <v>1619</v>
      </c>
      <c r="D47" s="767">
        <v>4</v>
      </c>
      <c r="E47" s="767">
        <v>1</v>
      </c>
      <c r="F47" s="767">
        <v>1</v>
      </c>
      <c r="G47" s="767">
        <v>2316.6</v>
      </c>
      <c r="H47" s="768">
        <v>2189.29</v>
      </c>
      <c r="I47" s="769">
        <f t="shared" si="0"/>
      </c>
      <c r="J47" s="769">
        <f t="shared" si="1"/>
      </c>
      <c r="K47" s="769">
        <f t="shared" si="2"/>
      </c>
      <c r="L47" s="767" t="s">
        <v>1623</v>
      </c>
      <c r="M47" s="770">
        <v>3.2</v>
      </c>
      <c r="N47" s="771"/>
      <c r="O47" s="767"/>
      <c r="P47" s="771"/>
      <c r="Q47" s="772">
        <v>3.327188449848024</v>
      </c>
      <c r="R47" s="773">
        <v>0.2601810141448185</v>
      </c>
      <c r="S47" s="773">
        <v>0.035836828059473885</v>
      </c>
      <c r="T47" s="773">
        <v>0.040030499428135725</v>
      </c>
      <c r="U47" s="773">
        <v>0.08299319727891157</v>
      </c>
      <c r="V47" s="774">
        <v>4777.183600713012</v>
      </c>
      <c r="W47" s="773">
        <v>0.014025</v>
      </c>
      <c r="X47" s="774">
        <v>43</v>
      </c>
      <c r="Y47" s="772">
        <v>119.2358803986711</v>
      </c>
      <c r="Z47" s="774">
        <v>18361</v>
      </c>
      <c r="AA47" s="774">
        <v>658</v>
      </c>
      <c r="AB47" s="774">
        <v>67</v>
      </c>
      <c r="AC47" s="774">
        <v>735</v>
      </c>
      <c r="AD47" s="774">
        <v>61</v>
      </c>
      <c r="AE47" s="774">
        <v>5</v>
      </c>
      <c r="AF47" s="774">
        <v>2</v>
      </c>
      <c r="AG47" s="774">
        <v>10</v>
      </c>
    </row>
    <row r="48">
      <c r="A48" s="767" t="s">
        <v>1643</v>
      </c>
      <c r="B48" s="767" t="s">
        <v>1621</v>
      </c>
      <c r="C48" s="767" t="s">
        <v>1622</v>
      </c>
      <c r="D48" s="767">
        <v>4</v>
      </c>
      <c r="E48" s="767">
        <v>3</v>
      </c>
      <c r="F48" s="767">
        <v>4</v>
      </c>
      <c r="G48" s="767">
        <v>9412.65</v>
      </c>
      <c r="H48" s="768">
        <v>3511.29</v>
      </c>
      <c r="I48" s="769">
        <f t="shared" si="0"/>
      </c>
      <c r="J48" s="769">
        <f t="shared" si="1"/>
      </c>
      <c r="K48" s="769">
        <f t="shared" si="2"/>
      </c>
      <c r="L48" s="767"/>
      <c r="M48" s="770"/>
      <c r="N48" s="767"/>
      <c r="O48" s="767"/>
      <c r="P48" s="771"/>
      <c r="Q48" s="772">
        <v>3.284649204864359</v>
      </c>
      <c r="R48" s="773">
        <v>0.21740610905487928</v>
      </c>
      <c r="S48" s="773">
        <v>0.03689896793345069</v>
      </c>
      <c r="T48" s="773">
        <v>0.040488764626695664</v>
      </c>
      <c r="U48" s="773">
        <v>0.07502131287297528</v>
      </c>
      <c r="V48" s="774">
        <v>6298.472385428908</v>
      </c>
      <c r="W48" s="773">
        <v>0.021275</v>
      </c>
      <c r="X48" s="774">
        <v>50.25</v>
      </c>
      <c r="Y48" s="772">
        <v>121.2001656829243</v>
      </c>
      <c r="Z48" s="774">
        <v>28971</v>
      </c>
      <c r="AA48" s="774">
        <v>1069</v>
      </c>
      <c r="AB48" s="774">
        <v>134</v>
      </c>
      <c r="AC48" s="774">
        <v>1173</v>
      </c>
      <c r="AD48" s="774">
        <v>88</v>
      </c>
      <c r="AE48" s="774">
        <v>10</v>
      </c>
      <c r="AF48" s="774">
        <v>3</v>
      </c>
      <c r="AG48" s="774">
        <v>16</v>
      </c>
    </row>
    <row r="49">
      <c r="A49" s="775" t="s">
        <v>1643</v>
      </c>
      <c r="B49" s="775" t="s">
        <v>1624</v>
      </c>
      <c r="C49" s="776"/>
      <c r="D49" s="776">
        <f>SUM(D47:D48)</f>
      </c>
      <c r="E49" s="776">
        <f>E47+E48</f>
      </c>
      <c r="F49" s="776">
        <f>SUM(F47:F48)</f>
      </c>
      <c r="G49" s="776">
        <f>SUM(G47:G48)</f>
      </c>
      <c r="H49" s="776">
        <f>SUM(H47:H48)</f>
      </c>
      <c r="I49" s="777">
        <f t="shared" si="0"/>
      </c>
      <c r="J49" s="777">
        <f t="shared" si="1"/>
      </c>
      <c r="K49" s="777">
        <f t="shared" si="2"/>
      </c>
      <c r="L49" s="776"/>
      <c r="M49" s="778">
        <f>SUM(M47:M48)</f>
      </c>
      <c r="N49" s="776"/>
      <c r="O49" s="776"/>
      <c r="P49" s="776"/>
      <c r="Q49" s="779">
        <f>AVERAGE(Q47:Q48)</f>
      </c>
      <c r="R49" s="780">
        <f>AVERAGE(R47:R48)</f>
      </c>
      <c r="S49" s="780">
        <f>AVERAGE(S47:S48)</f>
      </c>
      <c r="T49" s="780">
        <f>AVERAGE(T47:T48)</f>
      </c>
      <c r="U49" s="780">
        <f>AVERAGE(U47:U48)</f>
      </c>
      <c r="V49" s="781">
        <f>SUM(V47:V48)</f>
      </c>
      <c r="W49" s="780">
        <f>AVERAGE(W47:W48)</f>
      </c>
      <c r="X49" s="781">
        <f>AVERAGE(X47:X48)</f>
      </c>
      <c r="Y49" s="779">
        <f>AVERAGE(Y47:Y48)</f>
      </c>
      <c r="Z49" s="781">
        <f>SUM(Z47:Z48)</f>
      </c>
      <c r="AA49" s="781">
        <f>SUM(AA47:AA48)</f>
      </c>
      <c r="AB49" s="781">
        <f>SUM(AB47:AB48)</f>
      </c>
      <c r="AC49" s="781">
        <f>SUM(AC47:AC48)</f>
      </c>
      <c r="AD49" s="781">
        <f>SUM(AD47:AD48)</f>
      </c>
      <c r="AE49" s="781">
        <f>SUM(AE47:AE48)</f>
      </c>
      <c r="AF49" s="781">
        <f>SUM(AF47:AF48)</f>
      </c>
      <c r="AG49" s="781">
        <f>SUM(AG47:AG48)</f>
      </c>
    </row>
    <row r="50">
      <c r="A50" s="767" t="s">
        <v>1644</v>
      </c>
      <c r="B50" s="767" t="s">
        <v>1618</v>
      </c>
      <c r="C50" s="767" t="s">
        <v>1619</v>
      </c>
      <c r="D50" s="767">
        <v>4</v>
      </c>
      <c r="E50" s="767">
        <v>0</v>
      </c>
      <c r="F50" s="767">
        <v>3</v>
      </c>
      <c r="G50" s="767">
        <v>4539.6</v>
      </c>
      <c r="H50" s="768">
        <v>2162.17</v>
      </c>
      <c r="I50" s="769">
        <f t="shared" si="0"/>
      </c>
      <c r="J50" s="769">
        <f t="shared" si="1"/>
      </c>
      <c r="K50" s="769">
        <f t="shared" si="2"/>
      </c>
      <c r="L50" s="767" t="s">
        <v>1623</v>
      </c>
      <c r="M50" s="770">
        <v>2</v>
      </c>
      <c r="N50" s="771"/>
      <c r="O50" s="767"/>
      <c r="P50" s="771"/>
      <c r="Q50" s="772">
        <v>3.734317789291883</v>
      </c>
      <c r="R50" s="773">
        <v>0.11841915169256491</v>
      </c>
      <c r="S50" s="773">
        <v>0.03302532511978097</v>
      </c>
      <c r="T50" s="773">
        <v>0.037531371206935886</v>
      </c>
      <c r="U50" s="773">
        <v>0.0911854103343465</v>
      </c>
      <c r="V50" s="774">
        <v>2076.124567474048</v>
      </c>
      <c r="W50" s="773">
        <v>0.036125000000000004</v>
      </c>
      <c r="X50" s="774">
        <v>51.25</v>
      </c>
      <c r="Y50" s="772">
        <v>123.32705909194617</v>
      </c>
      <c r="Z50" s="774">
        <v>17532</v>
      </c>
      <c r="AA50" s="774">
        <v>579</v>
      </c>
      <c r="AB50" s="774">
        <v>75</v>
      </c>
      <c r="AC50" s="774">
        <v>658</v>
      </c>
      <c r="AD50" s="774">
        <v>60</v>
      </c>
      <c r="AE50" s="774">
        <v>1</v>
      </c>
      <c r="AF50" s="774">
        <v>0</v>
      </c>
      <c r="AG50" s="774">
        <v>6</v>
      </c>
    </row>
    <row r="51">
      <c r="A51" s="767" t="s">
        <v>1644</v>
      </c>
      <c r="B51" s="767" t="s">
        <v>1621</v>
      </c>
      <c r="C51" s="767" t="s">
        <v>1622</v>
      </c>
      <c r="D51" s="767">
        <v>4</v>
      </c>
      <c r="E51" s="767">
        <v>3</v>
      </c>
      <c r="F51" s="767">
        <v>3</v>
      </c>
      <c r="G51" s="767">
        <v>4808.7</v>
      </c>
      <c r="H51" s="768">
        <v>2096.33</v>
      </c>
      <c r="I51" s="769">
        <f t="shared" si="0"/>
      </c>
      <c r="J51" s="769">
        <f t="shared" si="1"/>
      </c>
      <c r="K51" s="769">
        <f t="shared" si="2"/>
      </c>
      <c r="L51" s="767" t="s">
        <v>1645</v>
      </c>
      <c r="M51" s="770">
        <v>1.2</v>
      </c>
      <c r="N51" s="767"/>
      <c r="O51" s="767"/>
      <c r="P51" s="771"/>
      <c r="Q51" s="772">
        <v>3.2653115264797505</v>
      </c>
      <c r="R51" s="773">
        <v>0.15451963381465764</v>
      </c>
      <c r="S51" s="773">
        <v>0.04144609425435765</v>
      </c>
      <c r="T51" s="773">
        <v>0.04525500322788896</v>
      </c>
      <c r="U51" s="773">
        <v>0.10699001426533523</v>
      </c>
      <c r="V51" s="774">
        <v>2393.509127789047</v>
      </c>
      <c r="W51" s="773">
        <v>0.02465</v>
      </c>
      <c r="X51" s="774">
        <v>37</v>
      </c>
      <c r="Y51" s="772">
        <v>135.33440929632022</v>
      </c>
      <c r="Z51" s="774">
        <v>15490</v>
      </c>
      <c r="AA51" s="774">
        <v>642</v>
      </c>
      <c r="AB51" s="774">
        <v>59</v>
      </c>
      <c r="AC51" s="774">
        <v>701</v>
      </c>
      <c r="AD51" s="774">
        <v>75</v>
      </c>
      <c r="AE51" s="774">
        <v>2</v>
      </c>
      <c r="AF51" s="774">
        <v>0</v>
      </c>
      <c r="AG51" s="774">
        <v>12</v>
      </c>
    </row>
    <row r="52">
      <c r="A52" s="775" t="s">
        <v>1644</v>
      </c>
      <c r="B52" s="775" t="s">
        <v>1624</v>
      </c>
      <c r="C52" s="776"/>
      <c r="D52" s="776">
        <f>SUM(D50:D51)</f>
      </c>
      <c r="E52" s="776">
        <f>E50+E51</f>
      </c>
      <c r="F52" s="776">
        <f>SUM(F50:F51)</f>
      </c>
      <c r="G52" s="776">
        <f>SUM(G50:G51)</f>
      </c>
      <c r="H52" s="776">
        <f>SUM(H50:H51)</f>
      </c>
      <c r="I52" s="777">
        <f t="shared" si="0"/>
      </c>
      <c r="J52" s="777">
        <f t="shared" si="1"/>
      </c>
      <c r="K52" s="777">
        <f t="shared" si="2"/>
      </c>
      <c r="L52" s="776"/>
      <c r="M52" s="778">
        <f>SUM(M50:M51)</f>
      </c>
      <c r="N52" s="776"/>
      <c r="O52" s="776"/>
      <c r="P52" s="776"/>
      <c r="Q52" s="779">
        <f>AVERAGE(Q50:Q51)</f>
      </c>
      <c r="R52" s="780">
        <f>AVERAGE(R50:R51)</f>
      </c>
      <c r="S52" s="780">
        <f>AVERAGE(S50:S51)</f>
      </c>
      <c r="T52" s="780">
        <f>AVERAGE(T50:T51)</f>
      </c>
      <c r="U52" s="780">
        <f>AVERAGE(U50:U51)</f>
      </c>
      <c r="V52" s="781">
        <f>SUM(V50:V51)</f>
      </c>
      <c r="W52" s="780">
        <f>AVERAGE(W50:W51)</f>
      </c>
      <c r="X52" s="781">
        <f>AVERAGE(X50:X51)</f>
      </c>
      <c r="Y52" s="779">
        <f>AVERAGE(Y50:Y51)</f>
      </c>
      <c r="Z52" s="781">
        <f>SUM(Z50:Z51)</f>
      </c>
      <c r="AA52" s="781">
        <f>SUM(AA50:AA51)</f>
      </c>
      <c r="AB52" s="781">
        <f>SUM(AB50:AB51)</f>
      </c>
      <c r="AC52" s="781">
        <f>SUM(AC50:AC51)</f>
      </c>
      <c r="AD52" s="781">
        <f>SUM(AD50:AD51)</f>
      </c>
      <c r="AE52" s="781">
        <f>SUM(AE50:AE51)</f>
      </c>
      <c r="AF52" s="781">
        <f>SUM(AF50:AF51)</f>
      </c>
      <c r="AG52" s="781">
        <f>SUM(AG50:AG51)</f>
      </c>
    </row>
    <row r="53">
      <c r="A53" s="767" t="s">
        <v>1646</v>
      </c>
      <c r="B53" s="767" t="s">
        <v>1618</v>
      </c>
      <c r="C53" s="767" t="s">
        <v>1619</v>
      </c>
      <c r="D53" s="767">
        <v>4</v>
      </c>
      <c r="E53" s="767">
        <v>0</v>
      </c>
      <c r="F53" s="767">
        <v>0</v>
      </c>
      <c r="G53" s="767">
        <v>0</v>
      </c>
      <c r="H53" s="768">
        <v>1718.92</v>
      </c>
      <c r="I53" s="769">
        <f t="shared" si="0"/>
      </c>
      <c r="J53" s="769">
        <f t="shared" si="1"/>
      </c>
      <c r="K53" s="769">
        <f t="shared" si="2"/>
      </c>
      <c r="L53" s="767" t="s">
        <v>1645</v>
      </c>
      <c r="M53" s="770">
        <v>3.2</v>
      </c>
      <c r="N53" s="771"/>
      <c r="O53" s="767"/>
      <c r="P53" s="771"/>
      <c r="Q53" s="772">
        <v>4.192487804878049</v>
      </c>
      <c r="R53" s="773">
        <v>0.17579807297005556</v>
      </c>
      <c r="S53" s="773">
        <v>0.03362585089805626</v>
      </c>
      <c r="T53" s="773">
        <v>0.036086279012548184</v>
      </c>
      <c r="U53" s="773">
        <v>0.13636363636363635</v>
      </c>
      <c r="V53" s="774">
        <v>2143.5059037238875</v>
      </c>
      <c r="W53" s="773">
        <v>0.027524999999999997</v>
      </c>
      <c r="X53" s="774">
        <v>65.75</v>
      </c>
      <c r="Y53" s="772">
        <v>140.97596981874847</v>
      </c>
      <c r="Z53" s="774">
        <v>12193</v>
      </c>
      <c r="AA53" s="774">
        <v>410</v>
      </c>
      <c r="AB53" s="774">
        <v>59</v>
      </c>
      <c r="AC53" s="774">
        <v>440</v>
      </c>
      <c r="AD53" s="774">
        <v>60</v>
      </c>
      <c r="AE53" s="774">
        <v>2</v>
      </c>
      <c r="AF53" s="774">
        <v>0</v>
      </c>
      <c r="AG53" s="774">
        <v>9</v>
      </c>
    </row>
    <row r="54">
      <c r="A54" s="767" t="s">
        <v>1646</v>
      </c>
      <c r="B54" s="767" t="s">
        <v>1626</v>
      </c>
      <c r="C54" s="767" t="s">
        <v>1622</v>
      </c>
      <c r="D54" s="767">
        <v>4</v>
      </c>
      <c r="E54" s="767">
        <v>5</v>
      </c>
      <c r="F54" s="767">
        <v>5</v>
      </c>
      <c r="G54" s="767">
        <v>8622.9</v>
      </c>
      <c r="H54" s="768">
        <v>2240.8</v>
      </c>
      <c r="I54" s="769">
        <f t="shared" si="0"/>
      </c>
      <c r="J54" s="769">
        <f t="shared" si="1"/>
      </c>
      <c r="K54" s="769">
        <f t="shared" si="2"/>
      </c>
      <c r="L54" s="767"/>
      <c r="M54" s="770"/>
      <c r="N54" s="767"/>
      <c r="O54" s="767"/>
      <c r="P54" s="771"/>
      <c r="Q54" s="772">
        <v>2.797503121098627</v>
      </c>
      <c r="R54" s="773">
        <v>0.1405504588445417</v>
      </c>
      <c r="S54" s="773">
        <v>0.0430622009569378</v>
      </c>
      <c r="T54" s="773">
        <v>0.047793129401645075</v>
      </c>
      <c r="U54" s="773">
        <v>0.140607424071991</v>
      </c>
      <c r="V54" s="774">
        <v>2614.37908496732</v>
      </c>
      <c r="W54" s="773">
        <v>0.026775</v>
      </c>
      <c r="X54" s="774">
        <v>40.25</v>
      </c>
      <c r="Y54" s="772">
        <v>120.46664157840978</v>
      </c>
      <c r="Z54" s="774">
        <v>18601</v>
      </c>
      <c r="AA54" s="774">
        <v>801</v>
      </c>
      <c r="AB54" s="774">
        <v>70</v>
      </c>
      <c r="AC54" s="774">
        <v>889</v>
      </c>
      <c r="AD54" s="774">
        <v>125</v>
      </c>
      <c r="AE54" s="774">
        <v>2</v>
      </c>
      <c r="AF54" s="774">
        <v>0</v>
      </c>
      <c r="AG54" s="774">
        <v>9</v>
      </c>
    </row>
    <row r="55">
      <c r="A55" s="775" t="s">
        <v>1646</v>
      </c>
      <c r="B55" s="775" t="s">
        <v>1624</v>
      </c>
      <c r="C55" s="776"/>
      <c r="D55" s="776">
        <f>SUM(D53:D54)</f>
      </c>
      <c r="E55" s="776">
        <f>E53+E54</f>
      </c>
      <c r="F55" s="776">
        <f>SUM(F53:F54)</f>
      </c>
      <c r="G55" s="776">
        <f>SUM(G53:G54)</f>
      </c>
      <c r="H55" s="776">
        <f>SUM(H53:H54)</f>
      </c>
      <c r="I55" s="777">
        <f t="shared" si="0"/>
      </c>
      <c r="J55" s="777">
        <f t="shared" si="1"/>
      </c>
      <c r="K55" s="777">
        <f t="shared" si="2"/>
      </c>
      <c r="L55" s="776"/>
      <c r="M55" s="778">
        <f>SUM(M53:M54)</f>
      </c>
      <c r="N55" s="776"/>
      <c r="O55" s="776"/>
      <c r="P55" s="776"/>
      <c r="Q55" s="779">
        <f>AVERAGE(Q53:Q54)</f>
      </c>
      <c r="R55" s="780">
        <f>AVERAGE(R53:R54)</f>
      </c>
      <c r="S55" s="780">
        <f>AVERAGE(S53:S54)</f>
      </c>
      <c r="T55" s="780">
        <f>AVERAGE(T53:T54)</f>
      </c>
      <c r="U55" s="780">
        <f>AVERAGE(U53:U54)</f>
      </c>
      <c r="V55" s="781">
        <f>SUM(V53:V54)</f>
      </c>
      <c r="W55" s="780">
        <f>AVERAGE(W53:W54)</f>
      </c>
      <c r="X55" s="781">
        <f>AVERAGE(X53:X54)</f>
      </c>
      <c r="Y55" s="779">
        <f>AVERAGE(Y53:Y54)</f>
      </c>
      <c r="Z55" s="781">
        <f>SUM(Z53:Z54)</f>
      </c>
      <c r="AA55" s="781">
        <f>SUM(AA53:AA54)</f>
      </c>
      <c r="AB55" s="781">
        <f>SUM(AB53:AB54)</f>
      </c>
      <c r="AC55" s="781">
        <f>SUM(AC53:AC54)</f>
      </c>
      <c r="AD55" s="781">
        <f>SUM(AD53:AD54)</f>
      </c>
      <c r="AE55" s="781">
        <f>SUM(AE53:AE54)</f>
      </c>
      <c r="AF55" s="781">
        <f>SUM(AF53:AF54)</f>
      </c>
      <c r="AG55" s="781">
        <f>SUM(AG53:AG54)</f>
      </c>
    </row>
    <row r="56">
      <c r="A56" s="767" t="s">
        <v>1647</v>
      </c>
      <c r="B56" s="767" t="s">
        <v>1618</v>
      </c>
      <c r="C56" s="767" t="s">
        <v>1619</v>
      </c>
      <c r="D56" s="767">
        <v>4</v>
      </c>
      <c r="E56" s="767">
        <v>0</v>
      </c>
      <c r="F56" s="767">
        <v>0</v>
      </c>
      <c r="G56" s="767">
        <v>0</v>
      </c>
      <c r="H56" s="768">
        <v>1453.53</v>
      </c>
      <c r="I56" s="769">
        <f t="shared" si="0"/>
      </c>
      <c r="J56" s="769">
        <f t="shared" si="1"/>
      </c>
      <c r="K56" s="769">
        <f t="shared" si="2"/>
      </c>
      <c r="L56" s="767" t="s">
        <v>1620</v>
      </c>
      <c r="M56" s="770">
        <v>8</v>
      </c>
      <c r="N56" s="771"/>
      <c r="O56" s="767"/>
      <c r="P56" s="771"/>
      <c r="Q56" s="772">
        <v>2.8278793774319064</v>
      </c>
      <c r="R56" s="773">
        <v>0.25490397593428393</v>
      </c>
      <c r="S56" s="773">
        <v>0.03888930922297042</v>
      </c>
      <c r="T56" s="773">
        <v>0.04297495649542256</v>
      </c>
      <c r="U56" s="773">
        <v>0.09330985915492958</v>
      </c>
      <c r="V56" s="774">
        <v>3369.0658499234305</v>
      </c>
      <c r="W56" s="773">
        <v>0.016325</v>
      </c>
      <c r="X56" s="774">
        <v>36</v>
      </c>
      <c r="Y56" s="772">
        <v>109.97427555421048</v>
      </c>
      <c r="Z56" s="774">
        <v>13217</v>
      </c>
      <c r="AA56" s="774">
        <v>514</v>
      </c>
      <c r="AB56" s="774">
        <v>55</v>
      </c>
      <c r="AC56" s="774">
        <v>568</v>
      </c>
      <c r="AD56" s="774">
        <v>53</v>
      </c>
      <c r="AE56" s="774">
        <v>8</v>
      </c>
      <c r="AF56" s="774">
        <v>0</v>
      </c>
      <c r="AG56" s="774">
        <v>4</v>
      </c>
    </row>
    <row r="57">
      <c r="A57" s="767" t="s">
        <v>1647</v>
      </c>
      <c r="B57" s="767" t="s">
        <v>1621</v>
      </c>
      <c r="C57" s="767" t="s">
        <v>1622</v>
      </c>
      <c r="D57" s="767">
        <v>4</v>
      </c>
      <c r="E57" s="767">
        <v>2</v>
      </c>
      <c r="F57" s="767">
        <v>5</v>
      </c>
      <c r="G57" s="767">
        <v>8400.6</v>
      </c>
      <c r="H57" s="768">
        <v>2774.72</v>
      </c>
      <c r="I57" s="769">
        <f t="shared" si="0"/>
      </c>
      <c r="J57" s="769">
        <f t="shared" si="1"/>
      </c>
      <c r="K57" s="769">
        <f t="shared" si="2"/>
      </c>
      <c r="L57" s="767"/>
      <c r="M57" s="770"/>
      <c r="N57" s="767"/>
      <c r="O57" s="767"/>
      <c r="P57" s="771"/>
      <c r="Q57" s="772">
        <v>3.521218274111675</v>
      </c>
      <c r="R57" s="773">
        <v>0.19743460651731637</v>
      </c>
      <c r="S57" s="773">
        <v>0.03995537977892709</v>
      </c>
      <c r="T57" s="773">
        <v>0.04289625798600548</v>
      </c>
      <c r="U57" s="773">
        <v>0.10638297872340426</v>
      </c>
      <c r="V57" s="774">
        <v>3893.8053097345132</v>
      </c>
      <c r="W57" s="773">
        <v>0.025425</v>
      </c>
      <c r="X57" s="774">
        <v>47</v>
      </c>
      <c r="Y57" s="772">
        <v>140.69161342663014</v>
      </c>
      <c r="Z57" s="774">
        <v>19722</v>
      </c>
      <c r="AA57" s="774">
        <v>788</v>
      </c>
      <c r="AB57" s="774">
        <v>99</v>
      </c>
      <c r="AC57" s="774">
        <v>846</v>
      </c>
      <c r="AD57" s="774">
        <v>90</v>
      </c>
      <c r="AE57" s="774">
        <v>12</v>
      </c>
      <c r="AF57" s="774">
        <v>2</v>
      </c>
      <c r="AG57" s="774">
        <v>17</v>
      </c>
    </row>
    <row r="58">
      <c r="A58" s="775" t="s">
        <v>1647</v>
      </c>
      <c r="B58" s="775" t="s">
        <v>1624</v>
      </c>
      <c r="C58" s="776"/>
      <c r="D58" s="776">
        <f>SUM(D56:D57)</f>
      </c>
      <c r="E58" s="776">
        <f>E56+E57</f>
      </c>
      <c r="F58" s="776">
        <f>SUM(F56:F57)</f>
      </c>
      <c r="G58" s="776">
        <f>SUM(G56:G57)</f>
      </c>
      <c r="H58" s="776">
        <f>SUM(H56:H57)</f>
      </c>
      <c r="I58" s="777">
        <f t="shared" si="0"/>
      </c>
      <c r="J58" s="777">
        <f t="shared" si="1"/>
      </c>
      <c r="K58" s="777">
        <f t="shared" si="2"/>
      </c>
      <c r="L58" s="776"/>
      <c r="M58" s="778">
        <f>SUM(M56:M57)</f>
      </c>
      <c r="N58" s="776"/>
      <c r="O58" s="776"/>
      <c r="P58" s="776"/>
      <c r="Q58" s="779">
        <f>AVERAGE(Q56:Q57)</f>
      </c>
      <c r="R58" s="780">
        <f>AVERAGE(R56:R57)</f>
      </c>
      <c r="S58" s="780">
        <f>AVERAGE(S56:S57)</f>
      </c>
      <c r="T58" s="780">
        <f>AVERAGE(T56:T57)</f>
      </c>
      <c r="U58" s="780">
        <f>AVERAGE(U56:U57)</f>
      </c>
      <c r="V58" s="781">
        <f>SUM(V56:V57)</f>
      </c>
      <c r="W58" s="780">
        <f>AVERAGE(W56:W57)</f>
      </c>
      <c r="X58" s="781">
        <f>AVERAGE(X56:X57)</f>
      </c>
      <c r="Y58" s="779">
        <f>AVERAGE(Y56:Y57)</f>
      </c>
      <c r="Z58" s="781">
        <f>SUM(Z56:Z57)</f>
      </c>
      <c r="AA58" s="781">
        <f>SUM(AA56:AA57)</f>
      </c>
      <c r="AB58" s="781">
        <f>SUM(AB56:AB57)</f>
      </c>
      <c r="AC58" s="781">
        <f>SUM(AC56:AC57)</f>
      </c>
      <c r="AD58" s="781">
        <f>SUM(AD56:AD57)</f>
      </c>
      <c r="AE58" s="781">
        <f>SUM(AE56:AE57)</f>
      </c>
      <c r="AF58" s="781">
        <f>SUM(AF56:AF57)</f>
      </c>
      <c r="AG58" s="781">
        <f>SUM(AG56:AG57)</f>
      </c>
    </row>
    <row r="59">
      <c r="A59" s="767" t="s">
        <v>1648</v>
      </c>
      <c r="B59" s="767" t="s">
        <v>1626</v>
      </c>
      <c r="C59" s="767" t="s">
        <v>1619</v>
      </c>
      <c r="D59" s="767">
        <v>4</v>
      </c>
      <c r="E59" s="767">
        <v>2</v>
      </c>
      <c r="F59" s="767">
        <v>5</v>
      </c>
      <c r="G59" s="767">
        <v>10325.25</v>
      </c>
      <c r="H59" s="768">
        <v>2339.13</v>
      </c>
      <c r="I59" s="769">
        <f t="shared" si="0"/>
      </c>
      <c r="J59" s="769">
        <f t="shared" si="1"/>
      </c>
      <c r="K59" s="769">
        <f t="shared" si="2"/>
      </c>
      <c r="L59" s="767" t="s">
        <v>1623</v>
      </c>
      <c r="M59" s="770">
        <v>3.2</v>
      </c>
      <c r="N59" s="771"/>
      <c r="O59" s="767"/>
      <c r="P59" s="771"/>
      <c r="Q59" s="772">
        <v>3.4551403249630726</v>
      </c>
      <c r="R59" s="773">
        <v>0.29637461674576243</v>
      </c>
      <c r="S59" s="773">
        <v>0.03315864230788069</v>
      </c>
      <c r="T59" s="773">
        <v>0.03595043346231082</v>
      </c>
      <c r="U59" s="773">
        <v>0.1226158038147139</v>
      </c>
      <c r="V59" s="774">
        <v>6051.0805500982315</v>
      </c>
      <c r="W59" s="773">
        <v>0.012725</v>
      </c>
      <c r="X59" s="774">
        <v>44.5</v>
      </c>
      <c r="Y59" s="772">
        <v>114.56776215898516</v>
      </c>
      <c r="Z59" s="774">
        <v>20417</v>
      </c>
      <c r="AA59" s="774">
        <v>677</v>
      </c>
      <c r="AB59" s="774">
        <v>77</v>
      </c>
      <c r="AC59" s="774">
        <v>734</v>
      </c>
      <c r="AD59" s="774">
        <v>90</v>
      </c>
      <c r="AE59" s="774">
        <v>4</v>
      </c>
      <c r="AF59" s="774">
        <v>0</v>
      </c>
      <c r="AG59" s="774">
        <v>9</v>
      </c>
    </row>
    <row r="60">
      <c r="A60" s="767" t="s">
        <v>1648</v>
      </c>
      <c r="B60" s="767" t="s">
        <v>1621</v>
      </c>
      <c r="C60" s="767" t="s">
        <v>1622</v>
      </c>
      <c r="D60" s="767">
        <v>4</v>
      </c>
      <c r="E60" s="767">
        <v>0</v>
      </c>
      <c r="F60" s="767">
        <v>1</v>
      </c>
      <c r="G60" s="767">
        <v>2316.6</v>
      </c>
      <c r="H60" s="768">
        <v>2792.06</v>
      </c>
      <c r="I60" s="769">
        <f t="shared" si="0"/>
      </c>
      <c r="J60" s="769">
        <f t="shared" si="1"/>
      </c>
      <c r="K60" s="769">
        <f t="shared" si="2"/>
      </c>
      <c r="L60" s="767"/>
      <c r="M60" s="770"/>
      <c r="N60" s="767"/>
      <c r="O60" s="767"/>
      <c r="P60" s="771"/>
      <c r="Q60" s="772">
        <v>3.503212045169385</v>
      </c>
      <c r="R60" s="773">
        <v>0.31128947306163157</v>
      </c>
      <c r="S60" s="773">
        <v>0.04267280612518071</v>
      </c>
      <c r="T60" s="773">
        <v>0.04609948064464314</v>
      </c>
      <c r="U60" s="773">
        <v>0.09291521486643438</v>
      </c>
      <c r="V60" s="774">
        <v>5813.953488372093</v>
      </c>
      <c r="W60" s="773">
        <v>0.0129</v>
      </c>
      <c r="X60" s="774">
        <v>43.75</v>
      </c>
      <c r="Y60" s="772">
        <v>149.49188841891095</v>
      </c>
      <c r="Z60" s="774">
        <v>18677</v>
      </c>
      <c r="AA60" s="774">
        <v>797</v>
      </c>
      <c r="AB60" s="774">
        <v>75</v>
      </c>
      <c r="AC60" s="774">
        <v>861</v>
      </c>
      <c r="AD60" s="774">
        <v>80</v>
      </c>
      <c r="AE60" s="774">
        <v>2</v>
      </c>
      <c r="AF60" s="774">
        <v>0</v>
      </c>
      <c r="AG60" s="774">
        <v>7</v>
      </c>
    </row>
    <row r="61">
      <c r="A61" s="775" t="s">
        <v>1648</v>
      </c>
      <c r="B61" s="775" t="s">
        <v>1624</v>
      </c>
      <c r="C61" s="776"/>
      <c r="D61" s="776">
        <f>SUM(D59:D60)</f>
      </c>
      <c r="E61" s="776">
        <f>E59+E60</f>
      </c>
      <c r="F61" s="776">
        <f>SUM(F59:F60)</f>
      </c>
      <c r="G61" s="776">
        <f>SUM(G59:G60)</f>
      </c>
      <c r="H61" s="776">
        <f>SUM(H59:H60)</f>
      </c>
      <c r="I61" s="777">
        <f t="shared" si="0"/>
      </c>
      <c r="J61" s="777">
        <f t="shared" si="1"/>
      </c>
      <c r="K61" s="777">
        <f t="shared" si="2"/>
      </c>
      <c r="L61" s="776"/>
      <c r="M61" s="778">
        <f>SUM(M59:M60)</f>
      </c>
      <c r="N61" s="776"/>
      <c r="O61" s="776"/>
      <c r="P61" s="776"/>
      <c r="Q61" s="779">
        <f>AVERAGE(Q59:Q60)</f>
      </c>
      <c r="R61" s="780">
        <f>AVERAGE(R59:R60)</f>
      </c>
      <c r="S61" s="780">
        <f>AVERAGE(S59:S60)</f>
      </c>
      <c r="T61" s="780">
        <f>AVERAGE(T59:T60)</f>
      </c>
      <c r="U61" s="780">
        <f>AVERAGE(U59:U60)</f>
      </c>
      <c r="V61" s="781">
        <f>SUM(V59:V60)</f>
      </c>
      <c r="W61" s="780">
        <f>AVERAGE(W59:W60)</f>
      </c>
      <c r="X61" s="781">
        <f>AVERAGE(X59:X60)</f>
      </c>
      <c r="Y61" s="779">
        <f>AVERAGE(Y59:Y60)</f>
      </c>
      <c r="Z61" s="781">
        <f>SUM(Z59:Z60)</f>
      </c>
      <c r="AA61" s="781">
        <f>SUM(AA59:AA60)</f>
      </c>
      <c r="AB61" s="781">
        <f>SUM(AB59:AB60)</f>
      </c>
      <c r="AC61" s="781">
        <f>SUM(AC59:AC60)</f>
      </c>
      <c r="AD61" s="781">
        <f>SUM(AD59:AD60)</f>
      </c>
      <c r="AE61" s="781">
        <f>SUM(AE59:AE60)</f>
      </c>
      <c r="AF61" s="781">
        <f>SUM(AF59:AF60)</f>
      </c>
      <c r="AG61" s="781">
        <f>SUM(AG59:AG60)</f>
      </c>
    </row>
    <row r="62">
      <c r="A62" s="767" t="s">
        <v>1649</v>
      </c>
      <c r="B62" s="767" t="s">
        <v>1618</v>
      </c>
      <c r="C62" s="767" t="s">
        <v>1619</v>
      </c>
      <c r="D62" s="767">
        <v>4</v>
      </c>
      <c r="E62" s="767">
        <v>0</v>
      </c>
      <c r="F62" s="767">
        <v>1</v>
      </c>
      <c r="G62" s="767">
        <v>2316.6</v>
      </c>
      <c r="H62" s="768">
        <v>1484.6599999999999</v>
      </c>
      <c r="I62" s="769">
        <f t="shared" si="0"/>
      </c>
      <c r="J62" s="769">
        <f t="shared" si="1"/>
      </c>
      <c r="K62" s="769">
        <f t="shared" si="2"/>
      </c>
      <c r="L62" s="767" t="s">
        <v>1623</v>
      </c>
      <c r="M62" s="770">
        <v>3.2</v>
      </c>
      <c r="N62" s="771"/>
      <c r="O62" s="767"/>
      <c r="P62" s="771"/>
      <c r="Q62" s="772">
        <v>3.65679802955665</v>
      </c>
      <c r="R62" s="773">
        <v>0.2939236790426906</v>
      </c>
      <c r="S62" s="773">
        <v>0.03244366309733099</v>
      </c>
      <c r="T62" s="773">
        <v>0.037637845612913536</v>
      </c>
      <c r="U62" s="773">
        <v>0.07006369426751592</v>
      </c>
      <c r="V62" s="774">
        <v>3678.16091954023</v>
      </c>
      <c r="W62" s="773">
        <v>0.0174</v>
      </c>
      <c r="X62" s="774">
        <v>52.75</v>
      </c>
      <c r="Y62" s="772">
        <v>118.63992328591975</v>
      </c>
      <c r="Z62" s="774">
        <v>12514</v>
      </c>
      <c r="AA62" s="774">
        <v>406</v>
      </c>
      <c r="AB62" s="774">
        <v>64</v>
      </c>
      <c r="AC62" s="774">
        <v>471</v>
      </c>
      <c r="AD62" s="774">
        <v>33</v>
      </c>
      <c r="AE62" s="774">
        <v>1</v>
      </c>
      <c r="AF62" s="774">
        <v>0</v>
      </c>
      <c r="AG62" s="774">
        <v>4</v>
      </c>
    </row>
    <row r="63">
      <c r="A63" s="767" t="s">
        <v>1649</v>
      </c>
      <c r="B63" s="767" t="s">
        <v>1621</v>
      </c>
      <c r="C63" s="767" t="s">
        <v>1622</v>
      </c>
      <c r="D63" s="767">
        <v>4</v>
      </c>
      <c r="E63" s="767">
        <v>2</v>
      </c>
      <c r="F63" s="767">
        <v>3</v>
      </c>
      <c r="G63" s="767">
        <v>6370.65</v>
      </c>
      <c r="H63" s="768">
        <v>1478.21</v>
      </c>
      <c r="I63" s="769">
        <f t="shared" si="0"/>
      </c>
      <c r="J63" s="769">
        <f t="shared" si="1"/>
      </c>
      <c r="K63" s="769">
        <f t="shared" si="2"/>
      </c>
      <c r="L63" s="767"/>
      <c r="M63" s="770"/>
      <c r="N63" s="767"/>
      <c r="O63" s="767"/>
      <c r="P63" s="771"/>
      <c r="Q63" s="772">
        <v>3.780588235294118</v>
      </c>
      <c r="R63" s="773">
        <v>0.2745597510658257</v>
      </c>
      <c r="S63" s="773">
        <v>0.0399591211037302</v>
      </c>
      <c r="T63" s="773">
        <v>0.04435360245273377</v>
      </c>
      <c r="U63" s="773">
        <v>0.11981566820276497</v>
      </c>
      <c r="V63" s="774">
        <v>2686.5671641791046</v>
      </c>
      <c r="W63" s="773">
        <v>0.0201</v>
      </c>
      <c r="X63" s="774">
        <v>52.5</v>
      </c>
      <c r="Y63" s="772">
        <v>151.0689831374553</v>
      </c>
      <c r="Z63" s="774">
        <v>9785</v>
      </c>
      <c r="AA63" s="774">
        <v>391</v>
      </c>
      <c r="AB63" s="774">
        <v>54</v>
      </c>
      <c r="AC63" s="774">
        <v>434</v>
      </c>
      <c r="AD63" s="774">
        <v>52</v>
      </c>
      <c r="AE63" s="774">
        <v>3</v>
      </c>
      <c r="AF63" s="774">
        <v>1</v>
      </c>
      <c r="AG63" s="774">
        <v>3</v>
      </c>
    </row>
    <row r="64">
      <c r="A64" s="775" t="s">
        <v>1649</v>
      </c>
      <c r="B64" s="775" t="s">
        <v>1624</v>
      </c>
      <c r="C64" s="776"/>
      <c r="D64" s="776">
        <f>SUM(D62:D63)</f>
      </c>
      <c r="E64" s="776">
        <f>E62+E63</f>
      </c>
      <c r="F64" s="776">
        <f>SUM(F62:F63)</f>
      </c>
      <c r="G64" s="776">
        <f>SUM(G62:G63)</f>
      </c>
      <c r="H64" s="776">
        <f>SUM(H62:H63)</f>
      </c>
      <c r="I64" s="777">
        <f t="shared" si="0"/>
      </c>
      <c r="J64" s="777">
        <f t="shared" si="1"/>
      </c>
      <c r="K64" s="777">
        <f t="shared" si="2"/>
      </c>
      <c r="L64" s="776"/>
      <c r="M64" s="778">
        <f>SUM(M62:M63)</f>
      </c>
      <c r="N64" s="776"/>
      <c r="O64" s="776"/>
      <c r="P64" s="776"/>
      <c r="Q64" s="779">
        <f>AVERAGE(Q62:Q63)</f>
      </c>
      <c r="R64" s="780">
        <f>AVERAGE(R62:R63)</f>
      </c>
      <c r="S64" s="780">
        <f>AVERAGE(S62:S63)</f>
      </c>
      <c r="T64" s="780">
        <f>AVERAGE(T62:T63)</f>
      </c>
      <c r="U64" s="780">
        <f>AVERAGE(U62:U63)</f>
      </c>
      <c r="V64" s="781">
        <f>SUM(V62:V63)</f>
      </c>
      <c r="W64" s="780">
        <f>AVERAGE(W62:W63)</f>
      </c>
      <c r="X64" s="781">
        <f>AVERAGE(X62:X63)</f>
      </c>
      <c r="Y64" s="779">
        <f>AVERAGE(Y62:Y63)</f>
      </c>
      <c r="Z64" s="781">
        <f>SUM(Z62:Z63)</f>
      </c>
      <c r="AA64" s="781">
        <f>SUM(AA62:AA63)</f>
      </c>
      <c r="AB64" s="781">
        <f>SUM(AB62:AB63)</f>
      </c>
      <c r="AC64" s="781">
        <f>SUM(AC62:AC63)</f>
      </c>
      <c r="AD64" s="781">
        <f>SUM(AD62:AD63)</f>
      </c>
      <c r="AE64" s="781">
        <f>SUM(AE62:AE63)</f>
      </c>
      <c r="AF64" s="781">
        <f>SUM(AF62:AF63)</f>
      </c>
      <c r="AG64" s="781">
        <f>SUM(AG62:AG63)</f>
      </c>
    </row>
    <row r="65">
      <c r="A65" s="767" t="s">
        <v>1650</v>
      </c>
      <c r="B65" s="767" t="s">
        <v>1626</v>
      </c>
      <c r="C65" s="767" t="s">
        <v>1651</v>
      </c>
      <c r="D65" s="767">
        <v>4</v>
      </c>
      <c r="E65" s="767">
        <v>2</v>
      </c>
      <c r="F65" s="767">
        <v>3</v>
      </c>
      <c r="G65" s="767">
        <v>5627.7</v>
      </c>
      <c r="H65" s="768">
        <v>1419.32</v>
      </c>
      <c r="I65" s="769">
        <f t="shared" si="0"/>
      </c>
      <c r="J65" s="769">
        <f t="shared" si="1"/>
      </c>
      <c r="K65" s="769">
        <f t="shared" si="2"/>
      </c>
      <c r="L65" s="767" t="s">
        <v>1652</v>
      </c>
      <c r="M65" s="770">
        <v>3.8</v>
      </c>
      <c r="N65" s="771"/>
      <c r="O65" s="767"/>
      <c r="P65" s="771"/>
      <c r="Q65" s="772">
        <v>3.81</v>
      </c>
      <c r="R65" s="773">
        <v>0.2996</v>
      </c>
      <c r="S65" s="773">
        <v>0.0351</v>
      </c>
      <c r="T65" s="773">
        <v>0.0384</v>
      </c>
      <c r="U65" s="773">
        <v>0.1103</v>
      </c>
      <c r="V65" s="774">
        <v>3182</v>
      </c>
      <c r="W65" s="773">
        <v>0.0154</v>
      </c>
      <c r="X65" s="774">
        <v>54.75</v>
      </c>
      <c r="Y65" s="772">
        <v>133.66</v>
      </c>
      <c r="Z65" s="774">
        <v>10619</v>
      </c>
      <c r="AA65" s="774">
        <v>373</v>
      </c>
      <c r="AB65" s="774">
        <v>49</v>
      </c>
      <c r="AC65" s="774">
        <v>408</v>
      </c>
      <c r="AD65" s="774">
        <v>45</v>
      </c>
      <c r="AE65" s="774">
        <v>4</v>
      </c>
      <c r="AF65" s="774">
        <v>0</v>
      </c>
      <c r="AG65" s="774">
        <v>5</v>
      </c>
    </row>
    <row r="66">
      <c r="A66" s="767" t="s">
        <v>1650</v>
      </c>
      <c r="B66" s="767" t="s">
        <v>1618</v>
      </c>
      <c r="C66" s="767" t="s">
        <v>1653</v>
      </c>
      <c r="D66" s="767">
        <v>4</v>
      </c>
      <c r="E66" s="767">
        <v>2</v>
      </c>
      <c r="F66" s="767">
        <v>4</v>
      </c>
      <c r="G66" s="767">
        <v>9640.8</v>
      </c>
      <c r="H66" s="768">
        <v>1401.03</v>
      </c>
      <c r="I66" s="769">
        <f t="shared" si="0"/>
      </c>
      <c r="J66" s="769">
        <f t="shared" si="1"/>
      </c>
      <c r="K66" s="769">
        <f t="shared" si="2"/>
      </c>
      <c r="L66" s="767"/>
      <c r="M66" s="770"/>
      <c r="N66" s="767"/>
      <c r="O66" s="767"/>
      <c r="P66" s="771"/>
      <c r="Q66" s="772">
        <v>2.53</v>
      </c>
      <c r="R66" s="773">
        <v>0.3323</v>
      </c>
      <c r="S66" s="773">
        <v>0.0575</v>
      </c>
      <c r="T66" s="773">
        <v>0.0629</v>
      </c>
      <c r="U66" s="773">
        <v>0.0759</v>
      </c>
      <c r="V66" s="774">
        <v>3200</v>
      </c>
      <c r="W66" s="773">
        <v>0.0106</v>
      </c>
      <c r="X66" s="774">
        <v>46.5</v>
      </c>
      <c r="Y66" s="772">
        <v>145.47</v>
      </c>
      <c r="Z66" s="774">
        <v>9631</v>
      </c>
      <c r="AA66" s="774">
        <v>554</v>
      </c>
      <c r="AB66" s="774">
        <v>34</v>
      </c>
      <c r="AC66" s="774">
        <v>606</v>
      </c>
      <c r="AD66" s="774">
        <v>46</v>
      </c>
      <c r="AE66" s="774">
        <v>4</v>
      </c>
      <c r="AF66" s="774">
        <v>0</v>
      </c>
      <c r="AG66" s="774">
        <v>0</v>
      </c>
    </row>
    <row r="67">
      <c r="A67" s="775" t="s">
        <v>1650</v>
      </c>
      <c r="B67" s="775" t="s">
        <v>1624</v>
      </c>
      <c r="C67" s="776"/>
      <c r="D67" s="776">
        <f>SUM(D65:D66)</f>
      </c>
      <c r="E67" s="776">
        <f>E65+E66</f>
      </c>
      <c r="F67" s="776">
        <f>SUM(F65:F66)</f>
      </c>
      <c r="G67" s="776">
        <f>SUM(G65:G66)</f>
      </c>
      <c r="H67" s="776">
        <f>SUM(H65:H66)</f>
      </c>
      <c r="I67" s="777">
        <f t="shared" si="0"/>
      </c>
      <c r="J67" s="777">
        <f t="shared" si="1"/>
      </c>
      <c r="K67" s="777">
        <f t="shared" si="2"/>
      </c>
      <c r="L67" s="776"/>
      <c r="M67" s="778">
        <f>SUM(M65:M66)</f>
      </c>
      <c r="N67" s="776"/>
      <c r="O67" s="776"/>
      <c r="P67" s="776"/>
      <c r="Q67" s="779">
        <f>AVERAGE(Q65:Q66)</f>
      </c>
      <c r="R67" s="780">
        <f>AVERAGE(R65:R66)</f>
      </c>
      <c r="S67" s="780">
        <f>AVERAGE(S65:S66)</f>
      </c>
      <c r="T67" s="780">
        <f>AVERAGE(T65:T66)</f>
      </c>
      <c r="U67" s="780">
        <f>AVERAGE(U65:U66)</f>
      </c>
      <c r="V67" s="781">
        <f>SUM(V65:V66)</f>
      </c>
      <c r="W67" s="780">
        <f>AVERAGE(W65:W66)</f>
      </c>
      <c r="X67" s="781">
        <f>AVERAGE(X65:X66)</f>
      </c>
      <c r="Y67" s="779">
        <f>AVERAGE(Y65:Y66)</f>
      </c>
      <c r="Z67" s="781">
        <f>SUM(Z65:Z66)</f>
      </c>
      <c r="AA67" s="781">
        <f>SUM(AA65:AA66)</f>
      </c>
      <c r="AB67" s="781">
        <f>SUM(AB65:AB66)</f>
      </c>
      <c r="AC67" s="781">
        <f>SUM(AC65:AC66)</f>
      </c>
      <c r="AD67" s="781">
        <f>SUM(AD65:AD66)</f>
      </c>
      <c r="AE67" s="781">
        <f>SUM(AE65:AE66)</f>
      </c>
      <c r="AF67" s="781">
        <f>SUM(AF65:AF66)</f>
      </c>
      <c r="AG67" s="781">
        <f>SUM(AG65:AG66)</f>
      </c>
    </row>
    <row r="68">
      <c r="A68" s="767" t="s">
        <v>1654</v>
      </c>
      <c r="B68" s="767" t="s">
        <v>1626</v>
      </c>
      <c r="C68" s="767" t="s">
        <v>1651</v>
      </c>
      <c r="D68" s="767">
        <v>4</v>
      </c>
      <c r="E68" s="767">
        <v>3</v>
      </c>
      <c r="F68" s="767">
        <v>3</v>
      </c>
      <c r="G68" s="767">
        <v>6739.2</v>
      </c>
      <c r="H68" s="768">
        <v>1420.8799999999999</v>
      </c>
      <c r="I68" s="769">
        <f t="shared" si="0"/>
      </c>
      <c r="J68" s="769">
        <f t="shared" si="1"/>
      </c>
      <c r="K68" s="769">
        <f t="shared" si="2"/>
      </c>
      <c r="L68" s="767" t="s">
        <v>1636</v>
      </c>
      <c r="M68" s="770">
        <v>3.8</v>
      </c>
      <c r="N68" s="771"/>
      <c r="O68" s="767"/>
      <c r="P68" s="771"/>
      <c r="Q68" s="772">
        <v>4.166803519061583</v>
      </c>
      <c r="R68" s="773">
        <v>0.2831745944041938</v>
      </c>
      <c r="S68" s="773">
        <v>0.031559463211476166</v>
      </c>
      <c r="T68" s="773">
        <v>0.03461360481258677</v>
      </c>
      <c r="U68" s="773">
        <v>0.16042780748663102</v>
      </c>
      <c r="V68" s="774">
        <v>3059.7014925373137</v>
      </c>
      <c r="W68" s="773">
        <v>0.013399999999999999</v>
      </c>
      <c r="X68" s="774">
        <v>48.75</v>
      </c>
      <c r="Y68" s="772">
        <v>131.50208236927347</v>
      </c>
      <c r="Z68" s="774">
        <v>10805</v>
      </c>
      <c r="AA68" s="774">
        <v>341</v>
      </c>
      <c r="AB68" s="774">
        <v>41</v>
      </c>
      <c r="AC68" s="774">
        <v>374</v>
      </c>
      <c r="AD68" s="774">
        <v>60</v>
      </c>
      <c r="AE68" s="774">
        <v>4</v>
      </c>
      <c r="AF68" s="774">
        <v>0</v>
      </c>
      <c r="AG68" s="774">
        <v>5</v>
      </c>
    </row>
    <row r="69">
      <c r="A69" s="767" t="s">
        <v>1654</v>
      </c>
      <c r="B69" s="767" t="s">
        <v>1618</v>
      </c>
      <c r="C69" s="767" t="s">
        <v>1653</v>
      </c>
      <c r="D69" s="767">
        <v>4</v>
      </c>
      <c r="E69" s="767">
        <v>0</v>
      </c>
      <c r="F69" s="767">
        <v>0</v>
      </c>
      <c r="G69" s="767">
        <v>0</v>
      </c>
      <c r="H69" s="768">
        <v>1968.0800000000004</v>
      </c>
      <c r="I69" s="769">
        <f t="shared" si="0"/>
      </c>
      <c r="J69" s="769">
        <f t="shared" si="1"/>
      </c>
      <c r="K69" s="769">
        <f t="shared" si="2"/>
      </c>
      <c r="L69" s="767"/>
      <c r="M69" s="770"/>
      <c r="N69" s="767"/>
      <c r="O69" s="767"/>
      <c r="P69" s="771"/>
      <c r="Q69" s="772">
        <v>3.4771731448763257</v>
      </c>
      <c r="R69" s="773">
        <v>0.2984068858056975</v>
      </c>
      <c r="S69" s="773">
        <v>0.044493357440452797</v>
      </c>
      <c r="T69" s="773">
        <v>0.048423866048266644</v>
      </c>
      <c r="U69" s="773">
        <v>0.12337662337662338</v>
      </c>
      <c r="V69" s="774">
        <v>3796.033994334278</v>
      </c>
      <c r="W69" s="773">
        <v>0.01765</v>
      </c>
      <c r="X69" s="774">
        <v>45</v>
      </c>
      <c r="Y69" s="772">
        <v>154.7111076173257</v>
      </c>
      <c r="Z69" s="774">
        <v>12721</v>
      </c>
      <c r="AA69" s="774">
        <v>566</v>
      </c>
      <c r="AB69" s="774">
        <v>67</v>
      </c>
      <c r="AC69" s="774">
        <v>616</v>
      </c>
      <c r="AD69" s="774">
        <v>76</v>
      </c>
      <c r="AE69" s="774">
        <v>4</v>
      </c>
      <c r="AF69" s="774">
        <v>0</v>
      </c>
      <c r="AG69" s="774">
        <v>7</v>
      </c>
    </row>
    <row r="70">
      <c r="A70" s="775" t="s">
        <v>1654</v>
      </c>
      <c r="B70" s="775" t="s">
        <v>1624</v>
      </c>
      <c r="C70" s="776"/>
      <c r="D70" s="776">
        <f>SUM(D68:D69)</f>
      </c>
      <c r="E70" s="776">
        <f>E68+E69</f>
      </c>
      <c r="F70" s="776">
        <f>SUM(F68:F69)</f>
      </c>
      <c r="G70" s="776">
        <f>SUM(G68:G69)</f>
      </c>
      <c r="H70" s="776">
        <f>SUM(H68:H69)</f>
      </c>
      <c r="I70" s="777">
        <f t="shared" si="0"/>
      </c>
      <c r="J70" s="777">
        <f t="shared" si="1"/>
      </c>
      <c r="K70" s="777">
        <f t="shared" si="2"/>
      </c>
      <c r="L70" s="776"/>
      <c r="M70" s="778">
        <f>SUM(M68:M69)</f>
      </c>
      <c r="N70" s="776"/>
      <c r="O70" s="776"/>
      <c r="P70" s="776"/>
      <c r="Q70" s="779">
        <f>AVERAGE(Q68:Q69)</f>
      </c>
      <c r="R70" s="780">
        <f>AVERAGE(R68:R69)</f>
      </c>
      <c r="S70" s="780">
        <f>AVERAGE(S68:S69)</f>
      </c>
      <c r="T70" s="780">
        <f>AVERAGE(T68:T69)</f>
      </c>
      <c r="U70" s="780">
        <f>AVERAGE(U68:U69)</f>
      </c>
      <c r="V70" s="781">
        <f>SUM(V68:V69)</f>
      </c>
      <c r="W70" s="780">
        <f>AVERAGE(W68:W69)</f>
      </c>
      <c r="X70" s="781">
        <f>AVERAGE(X68:X69)</f>
      </c>
      <c r="Y70" s="779">
        <f>AVERAGE(Y68:Y69)</f>
      </c>
      <c r="Z70" s="781">
        <f>SUM(Z68:Z69)</f>
      </c>
      <c r="AA70" s="781">
        <f>SUM(AA68:AA69)</f>
      </c>
      <c r="AB70" s="781">
        <f>SUM(AB68:AB69)</f>
      </c>
      <c r="AC70" s="781">
        <f>SUM(AC68:AC69)</f>
      </c>
      <c r="AD70" s="781">
        <f>SUM(AD68:AD69)</f>
      </c>
      <c r="AE70" s="781">
        <f>SUM(AE68:AE69)</f>
      </c>
      <c r="AF70" s="781">
        <f>SUM(AF68:AF69)</f>
      </c>
      <c r="AG70" s="781">
        <f>SUM(AG68:AG69)</f>
      </c>
    </row>
    <row r="71">
      <c r="A71" s="767" t="s">
        <v>1655</v>
      </c>
      <c r="B71" s="767" t="s">
        <v>1618</v>
      </c>
      <c r="C71" s="767" t="s">
        <v>1619</v>
      </c>
      <c r="D71" s="767">
        <v>4</v>
      </c>
      <c r="E71" s="767">
        <v>1</v>
      </c>
      <c r="F71" s="767">
        <v>1</v>
      </c>
      <c r="G71" s="767">
        <v>2316.6</v>
      </c>
      <c r="H71" s="768">
        <v>1481.3400000000001</v>
      </c>
      <c r="I71" s="769">
        <f t="shared" si="0"/>
      </c>
      <c r="J71" s="769">
        <f t="shared" si="1"/>
      </c>
      <c r="K71" s="769">
        <f t="shared" si="2"/>
      </c>
      <c r="L71" s="767" t="s">
        <v>1636</v>
      </c>
      <c r="M71" s="770">
        <v>6.6</v>
      </c>
      <c r="N71" s="771"/>
      <c r="O71" s="767"/>
      <c r="P71" s="771"/>
      <c r="Q71" s="772">
        <v>5.486444444444445</v>
      </c>
      <c r="R71" s="773">
        <v>0.15632726372162561</v>
      </c>
      <c r="S71" s="773">
        <v>0.025158404770778978</v>
      </c>
      <c r="T71" s="773">
        <v>0.027860603801714498</v>
      </c>
      <c r="U71" s="773">
        <v>0.14046822742474915</v>
      </c>
      <c r="V71" s="774">
        <v>1677.704194260486</v>
      </c>
      <c r="W71" s="773">
        <v>0.022649999999999997</v>
      </c>
      <c r="X71" s="774">
        <v>58</v>
      </c>
      <c r="Y71" s="772">
        <v>138.03019008572494</v>
      </c>
      <c r="Z71" s="774">
        <v>10732</v>
      </c>
      <c r="AA71" s="774">
        <v>270</v>
      </c>
      <c r="AB71" s="774">
        <v>38</v>
      </c>
      <c r="AC71" s="774">
        <v>299</v>
      </c>
      <c r="AD71" s="774">
        <v>42</v>
      </c>
      <c r="AE71" s="774">
        <v>2</v>
      </c>
      <c r="AF71" s="774">
        <v>1</v>
      </c>
      <c r="AG71" s="774">
        <v>11</v>
      </c>
    </row>
    <row r="72">
      <c r="A72" s="767" t="s">
        <v>1655</v>
      </c>
      <c r="B72" s="767" t="s">
        <v>1621</v>
      </c>
      <c r="C72" s="767" t="s">
        <v>1622</v>
      </c>
      <c r="D72" s="767">
        <v>4</v>
      </c>
      <c r="E72" s="767">
        <v>1</v>
      </c>
      <c r="F72" s="767">
        <v>3</v>
      </c>
      <c r="G72" s="767">
        <v>6739.2</v>
      </c>
      <c r="H72" s="768">
        <v>2377.97</v>
      </c>
      <c r="I72" s="769">
        <f t="shared" si="0"/>
      </c>
      <c r="J72" s="769">
        <f t="shared" si="1"/>
      </c>
      <c r="K72" s="769">
        <f t="shared" si="2"/>
      </c>
      <c r="L72" s="767"/>
      <c r="M72" s="770"/>
      <c r="N72" s="767"/>
      <c r="O72" s="767"/>
      <c r="P72" s="771"/>
      <c r="Q72" s="772">
        <v>3.8666178861788616</v>
      </c>
      <c r="R72" s="773">
        <v>0.15316436989913287</v>
      </c>
      <c r="S72" s="773">
        <v>0.035691486274737394</v>
      </c>
      <c r="T72" s="773">
        <v>0.038477163252277874</v>
      </c>
      <c r="U72" s="773">
        <v>0.1493212669683258</v>
      </c>
      <c r="V72" s="774">
        <v>2639.1752577319585</v>
      </c>
      <c r="W72" s="773">
        <v>0.036375000000000005</v>
      </c>
      <c r="X72" s="774">
        <v>58</v>
      </c>
      <c r="Y72" s="772">
        <v>138.00533921420694</v>
      </c>
      <c r="Z72" s="774">
        <v>17231</v>
      </c>
      <c r="AA72" s="774">
        <v>615</v>
      </c>
      <c r="AB72" s="774">
        <v>96</v>
      </c>
      <c r="AC72" s="774">
        <v>663</v>
      </c>
      <c r="AD72" s="774">
        <v>99</v>
      </c>
      <c r="AE72" s="774">
        <v>11</v>
      </c>
      <c r="AF72" s="774">
        <v>0</v>
      </c>
      <c r="AG72" s="774">
        <v>15</v>
      </c>
    </row>
    <row r="73">
      <c r="A73" s="775" t="s">
        <v>1655</v>
      </c>
      <c r="B73" s="775" t="s">
        <v>1624</v>
      </c>
      <c r="C73" s="776"/>
      <c r="D73" s="776">
        <f>SUM(D71:D72)</f>
      </c>
      <c r="E73" s="776">
        <f>E71+E72</f>
      </c>
      <c r="F73" s="776">
        <f>SUM(F71:F72)</f>
      </c>
      <c r="G73" s="776">
        <f>SUM(G71:G72)</f>
      </c>
      <c r="H73" s="776">
        <f>SUM(H71:H72)</f>
      </c>
      <c r="I73" s="777">
        <f t="shared" si="0"/>
      </c>
      <c r="J73" s="777">
        <f t="shared" si="1"/>
      </c>
      <c r="K73" s="777">
        <f t="shared" si="2"/>
      </c>
      <c r="L73" s="776"/>
      <c r="M73" s="778">
        <f>SUM(M71:M72)</f>
      </c>
      <c r="N73" s="776"/>
      <c r="O73" s="776"/>
      <c r="P73" s="776"/>
      <c r="Q73" s="779">
        <f>AVERAGE(Q71:Q72)</f>
      </c>
      <c r="R73" s="780">
        <f>AVERAGE(R71:R72)</f>
      </c>
      <c r="S73" s="780">
        <f>AVERAGE(S71:S72)</f>
      </c>
      <c r="T73" s="780">
        <f>AVERAGE(T71:T72)</f>
      </c>
      <c r="U73" s="780">
        <f>AVERAGE(U71:U72)</f>
      </c>
      <c r="V73" s="781">
        <f>SUM(V71:V72)</f>
      </c>
      <c r="W73" s="780">
        <f>AVERAGE(W71:W72)</f>
      </c>
      <c r="X73" s="781">
        <f>AVERAGE(X71:X72)</f>
      </c>
      <c r="Y73" s="779">
        <f>AVERAGE(Y71:Y72)</f>
      </c>
      <c r="Z73" s="781">
        <f>SUM(Z71:Z72)</f>
      </c>
      <c r="AA73" s="781">
        <f>SUM(AA71:AA72)</f>
      </c>
      <c r="AB73" s="781">
        <f>SUM(AB71:AB72)</f>
      </c>
      <c r="AC73" s="781">
        <f>SUM(AC71:AC72)</f>
      </c>
      <c r="AD73" s="781">
        <f>SUM(AD71:AD72)</f>
      </c>
      <c r="AE73" s="781">
        <f>SUM(AE71:AE72)</f>
      </c>
      <c r="AF73" s="781">
        <f>SUM(AF71:AF72)</f>
      </c>
      <c r="AG73" s="781">
        <f>SUM(AG71:AG72)</f>
      </c>
    </row>
    <row r="74">
      <c r="A74" s="767" t="s">
        <v>1656</v>
      </c>
      <c r="B74" s="767" t="s">
        <v>1626</v>
      </c>
      <c r="C74" s="767" t="s">
        <v>1619</v>
      </c>
      <c r="D74" s="767">
        <v>4</v>
      </c>
      <c r="E74" s="767">
        <v>3</v>
      </c>
      <c r="F74" s="767">
        <v>3</v>
      </c>
      <c r="G74" s="767">
        <v>4229.55</v>
      </c>
      <c r="H74" s="768">
        <v>2024.04</v>
      </c>
      <c r="I74" s="769">
        <f t="shared" si="0"/>
      </c>
      <c r="J74" s="769">
        <f t="shared" si="1"/>
      </c>
      <c r="K74" s="769">
        <f t="shared" si="2"/>
      </c>
      <c r="L74" s="767" t="s">
        <v>1636</v>
      </c>
      <c r="M74" s="770">
        <v>4.2</v>
      </c>
      <c r="N74" s="771"/>
      <c r="O74" s="767"/>
      <c r="P74" s="771"/>
      <c r="Q74" s="772">
        <v>4.306468085106383</v>
      </c>
      <c r="R74" s="773">
        <v>0.12337673814777554</v>
      </c>
      <c r="S74" s="773">
        <v>0.034482758620689655</v>
      </c>
      <c r="T74" s="773">
        <v>0.036170212765957444</v>
      </c>
      <c r="U74" s="773">
        <v>0.21095334685598377</v>
      </c>
      <c r="V74" s="774">
        <v>1681.6249409541806</v>
      </c>
      <c r="W74" s="773">
        <v>0.05292499999999999</v>
      </c>
      <c r="X74" s="774">
        <v>55</v>
      </c>
      <c r="Y74" s="772">
        <v>148.498899486427</v>
      </c>
      <c r="Z74" s="774">
        <v>13630</v>
      </c>
      <c r="AA74" s="774">
        <v>470</v>
      </c>
      <c r="AB74" s="774">
        <v>89</v>
      </c>
      <c r="AC74" s="774">
        <v>493</v>
      </c>
      <c r="AD74" s="774">
        <v>104</v>
      </c>
      <c r="AE74" s="774">
        <v>3</v>
      </c>
      <c r="AF74" s="774">
        <v>2</v>
      </c>
      <c r="AG74" s="774">
        <v>13</v>
      </c>
    </row>
    <row r="75">
      <c r="A75" s="767" t="s">
        <v>1656</v>
      </c>
      <c r="B75" s="767" t="s">
        <v>1618</v>
      </c>
      <c r="C75" s="767" t="s">
        <v>1622</v>
      </c>
      <c r="D75" s="767">
        <v>4</v>
      </c>
      <c r="E75" s="767">
        <v>2</v>
      </c>
      <c r="F75" s="767">
        <v>4</v>
      </c>
      <c r="G75" s="767">
        <v>7716.15</v>
      </c>
      <c r="H75" s="768">
        <v>3447.4600000000005</v>
      </c>
      <c r="I75" s="769">
        <f t="shared" si="0"/>
      </c>
      <c r="J75" s="769">
        <f t="shared" si="1"/>
      </c>
      <c r="K75" s="769">
        <f t="shared" si="2"/>
      </c>
      <c r="L75" s="767"/>
      <c r="M75" s="770"/>
      <c r="N75" s="767"/>
      <c r="O75" s="767"/>
      <c r="P75" s="771"/>
      <c r="Q75" s="772">
        <v>4.524225721784777</v>
      </c>
      <c r="R75" s="773">
        <v>0.11606661739386442</v>
      </c>
      <c r="S75" s="773">
        <v>0.03318526260778678</v>
      </c>
      <c r="T75" s="773">
        <v>0.03527567285079697</v>
      </c>
      <c r="U75" s="773">
        <v>0.09753086419753086</v>
      </c>
      <c r="V75" s="774">
        <v>2665.121668597915</v>
      </c>
      <c r="W75" s="773">
        <v>0.043149999999999994</v>
      </c>
      <c r="X75" s="774">
        <v>53</v>
      </c>
      <c r="Y75" s="772">
        <v>150.13761867433155</v>
      </c>
      <c r="Z75" s="774">
        <v>22962</v>
      </c>
      <c r="AA75" s="774">
        <v>762</v>
      </c>
      <c r="AB75" s="774">
        <v>115</v>
      </c>
      <c r="AC75" s="774">
        <v>810</v>
      </c>
      <c r="AD75" s="774">
        <v>79</v>
      </c>
      <c r="AE75" s="774">
        <v>6</v>
      </c>
      <c r="AF75" s="774">
        <v>1</v>
      </c>
      <c r="AG75" s="774">
        <v>34</v>
      </c>
    </row>
    <row r="76">
      <c r="A76" s="775" t="s">
        <v>1656</v>
      </c>
      <c r="B76" s="775" t="s">
        <v>1624</v>
      </c>
      <c r="C76" s="776"/>
      <c r="D76" s="776">
        <f>SUM(D74:D75)</f>
      </c>
      <c r="E76" s="776">
        <f>E74+E75</f>
      </c>
      <c r="F76" s="776">
        <f>SUM(F74:F75)</f>
      </c>
      <c r="G76" s="776">
        <f>SUM(G74:G75)</f>
      </c>
      <c r="H76" s="776">
        <f>SUM(H74:H75)</f>
      </c>
      <c r="I76" s="777">
        <f t="shared" si="0"/>
      </c>
      <c r="J76" s="777">
        <f t="shared" si="1"/>
      </c>
      <c r="K76" s="777">
        <f t="shared" si="2"/>
      </c>
      <c r="L76" s="776"/>
      <c r="M76" s="778">
        <f>SUM(M74:M75)</f>
      </c>
      <c r="N76" s="776"/>
      <c r="O76" s="776"/>
      <c r="P76" s="776"/>
      <c r="Q76" s="779">
        <f>AVERAGE(Q74:Q75)</f>
      </c>
      <c r="R76" s="780">
        <f>AVERAGE(R74:R75)</f>
      </c>
      <c r="S76" s="780">
        <f>AVERAGE(S74:S75)</f>
      </c>
      <c r="T76" s="780">
        <f>AVERAGE(T74:T75)</f>
      </c>
      <c r="U76" s="780">
        <f>AVERAGE(U74:U75)</f>
      </c>
      <c r="V76" s="781">
        <f>SUM(V74:V75)</f>
      </c>
      <c r="W76" s="780">
        <f>AVERAGE(W74:W75)</f>
      </c>
      <c r="X76" s="781">
        <f>AVERAGE(X74:X75)</f>
      </c>
      <c r="Y76" s="779">
        <f>AVERAGE(Y74:Y75)</f>
      </c>
      <c r="Z76" s="781">
        <f>SUM(Z74:Z75)</f>
      </c>
      <c r="AA76" s="781">
        <f>SUM(AA74:AA75)</f>
      </c>
      <c r="AB76" s="781">
        <f>SUM(AB74:AB75)</f>
      </c>
      <c r="AC76" s="781">
        <f>SUM(AC74:AC75)</f>
      </c>
      <c r="AD76" s="781">
        <f>SUM(AD74:AD75)</f>
      </c>
      <c r="AE76" s="781">
        <f>SUM(AE74:AE75)</f>
      </c>
      <c r="AF76" s="781">
        <f>SUM(AF74:AF75)</f>
      </c>
      <c r="AG76" s="781">
        <f>SUM(AG74:AG75)</f>
      </c>
    </row>
    <row r="77">
      <c r="A77" s="767" t="s">
        <v>1657</v>
      </c>
      <c r="B77" s="767" t="s">
        <v>1618</v>
      </c>
      <c r="C77" s="767" t="s">
        <v>1619</v>
      </c>
      <c r="D77" s="767">
        <v>4</v>
      </c>
      <c r="E77" s="767">
        <v>3</v>
      </c>
      <c r="F77" s="767">
        <v>4</v>
      </c>
      <c r="G77" s="767">
        <v>5768.1</v>
      </c>
      <c r="H77" s="768">
        <v>2172.57</v>
      </c>
      <c r="I77" s="769">
        <f t="shared" si="0"/>
      </c>
      <c r="J77" s="769">
        <f t="shared" si="1"/>
      </c>
      <c r="K77" s="769">
        <f t="shared" si="2"/>
      </c>
      <c r="L77" s="767" t="s">
        <v>1623</v>
      </c>
      <c r="M77" s="770">
        <v>3.2</v>
      </c>
      <c r="N77" s="771"/>
      <c r="O77" s="767"/>
      <c r="P77" s="771"/>
      <c r="Q77" s="772">
        <v>4.871233183856503</v>
      </c>
      <c r="R77" s="773">
        <v>0.1654069564947706</v>
      </c>
      <c r="S77" s="773">
        <v>0.03014531936465022</v>
      </c>
      <c r="T77" s="773">
        <v>0.03197026022304833</v>
      </c>
      <c r="U77" s="773">
        <v>0.12473572938689217</v>
      </c>
      <c r="V77" s="774">
        <v>2447.195921340131</v>
      </c>
      <c r="W77" s="773">
        <v>0.034325</v>
      </c>
      <c r="X77" s="774">
        <v>52.5</v>
      </c>
      <c r="Y77" s="772">
        <v>146.84488002703617</v>
      </c>
      <c r="Z77" s="774">
        <v>14795</v>
      </c>
      <c r="AA77" s="774">
        <v>446</v>
      </c>
      <c r="AB77" s="774">
        <v>84</v>
      </c>
      <c r="AC77" s="774">
        <v>473</v>
      </c>
      <c r="AD77" s="774">
        <v>59</v>
      </c>
      <c r="AE77" s="774">
        <v>3</v>
      </c>
      <c r="AF77" s="774">
        <v>1</v>
      </c>
      <c r="AG77" s="774">
        <v>18</v>
      </c>
    </row>
    <row r="78">
      <c r="A78" s="767" t="s">
        <v>1657</v>
      </c>
      <c r="B78" s="767" t="s">
        <v>1626</v>
      </c>
      <c r="C78" s="767" t="s">
        <v>1622</v>
      </c>
      <c r="D78" s="767">
        <v>4</v>
      </c>
      <c r="E78" s="767">
        <v>5</v>
      </c>
      <c r="F78" s="767">
        <v>7</v>
      </c>
      <c r="G78" s="767">
        <v>11583</v>
      </c>
      <c r="H78" s="768">
        <v>3448.06</v>
      </c>
      <c r="I78" s="769">
        <f t="shared" si="0"/>
      </c>
      <c r="J78" s="769">
        <f t="shared" si="1"/>
      </c>
      <c r="K78" s="769">
        <f t="shared" si="2"/>
      </c>
      <c r="L78" s="767"/>
      <c r="M78" s="770"/>
      <c r="N78" s="767"/>
      <c r="O78" s="767"/>
      <c r="P78" s="771"/>
      <c r="Q78" s="772">
        <v>4.989956584659913</v>
      </c>
      <c r="R78" s="773">
        <v>0.14231395373068406</v>
      </c>
      <c r="S78" s="773">
        <v>0.037403919021327274</v>
      </c>
      <c r="T78" s="773">
        <v>0.04140954855472556</v>
      </c>
      <c r="U78" s="773">
        <v>0.15947712418300652</v>
      </c>
      <c r="V78" s="774">
        <v>2629.107981220657</v>
      </c>
      <c r="W78" s="773">
        <v>0.047925</v>
      </c>
      <c r="X78" s="774">
        <v>60.5</v>
      </c>
      <c r="Y78" s="772">
        <v>186.6439320125582</v>
      </c>
      <c r="Z78" s="774">
        <v>18474</v>
      </c>
      <c r="AA78" s="774">
        <v>691</v>
      </c>
      <c r="AB78" s="774">
        <v>126</v>
      </c>
      <c r="AC78" s="774">
        <v>765</v>
      </c>
      <c r="AD78" s="774">
        <v>122</v>
      </c>
      <c r="AE78" s="774">
        <v>5</v>
      </c>
      <c r="AF78" s="774">
        <v>1</v>
      </c>
      <c r="AG78" s="774">
        <v>18</v>
      </c>
    </row>
    <row r="79">
      <c r="A79" s="775" t="s">
        <v>1657</v>
      </c>
      <c r="B79" s="775" t="s">
        <v>1624</v>
      </c>
      <c r="C79" s="776"/>
      <c r="D79" s="776">
        <f>SUM(D77:D78)</f>
      </c>
      <c r="E79" s="776">
        <f>E77+E78</f>
      </c>
      <c r="F79" s="776">
        <f>SUM(F77:F78)</f>
      </c>
      <c r="G79" s="776">
        <f>SUM(G77:G78)</f>
      </c>
      <c r="H79" s="776">
        <f>SUM(H77:H78)</f>
      </c>
      <c r="I79" s="777">
        <f t="shared" si="0"/>
      </c>
      <c r="J79" s="777">
        <f t="shared" si="1"/>
      </c>
      <c r="K79" s="777">
        <f t="shared" si="2"/>
      </c>
      <c r="L79" s="776"/>
      <c r="M79" s="778">
        <f>SUM(M77:M78)</f>
      </c>
      <c r="N79" s="776"/>
      <c r="O79" s="776"/>
      <c r="P79" s="776"/>
      <c r="Q79" s="779">
        <f>AVERAGE(Q77:Q78)</f>
      </c>
      <c r="R79" s="780">
        <f>AVERAGE(R77:R78)</f>
      </c>
      <c r="S79" s="780">
        <f>AVERAGE(S77:S78)</f>
      </c>
      <c r="T79" s="780">
        <f>AVERAGE(T77:T78)</f>
      </c>
      <c r="U79" s="780">
        <f>AVERAGE(U77:U78)</f>
      </c>
      <c r="V79" s="781">
        <f>SUM(V77:V78)</f>
      </c>
      <c r="W79" s="780">
        <f>AVERAGE(W77:W78)</f>
      </c>
      <c r="X79" s="781">
        <f>AVERAGE(X77:X78)</f>
      </c>
      <c r="Y79" s="779">
        <f>AVERAGE(Y77:Y78)</f>
      </c>
      <c r="Z79" s="781">
        <f>SUM(Z77:Z78)</f>
      </c>
      <c r="AA79" s="781">
        <f>SUM(AA77:AA78)</f>
      </c>
      <c r="AB79" s="781">
        <f>SUM(AB77:AB78)</f>
      </c>
      <c r="AC79" s="781">
        <f>SUM(AC77:AC78)</f>
      </c>
      <c r="AD79" s="781">
        <f>SUM(AD77:AD78)</f>
      </c>
      <c r="AE79" s="781">
        <f>SUM(AE77:AE78)</f>
      </c>
      <c r="AF79" s="781">
        <f>SUM(AF77:AF78)</f>
      </c>
      <c r="AG79" s="781">
        <f>SUM(AG77:AG78)</f>
      </c>
    </row>
    <row r="80">
      <c r="A80" s="767" t="s">
        <v>1658</v>
      </c>
      <c r="B80" s="767" t="s">
        <v>1618</v>
      </c>
      <c r="C80" s="767" t="s">
        <v>1619</v>
      </c>
      <c r="D80" s="767">
        <v>4</v>
      </c>
      <c r="E80" s="767">
        <v>2</v>
      </c>
      <c r="F80" s="767">
        <v>2</v>
      </c>
      <c r="G80" s="767">
        <v>3311.1</v>
      </c>
      <c r="H80" s="768">
        <v>3244.88</v>
      </c>
      <c r="I80" s="769">
        <f t="shared" si="0"/>
      </c>
      <c r="J80" s="769">
        <f t="shared" si="1"/>
      </c>
      <c r="K80" s="769">
        <f t="shared" si="2"/>
      </c>
      <c r="L80" s="767" t="s">
        <v>1652</v>
      </c>
      <c r="M80" s="770">
        <v>3.2</v>
      </c>
      <c r="N80" s="771"/>
      <c r="O80" s="767"/>
      <c r="P80" s="771"/>
      <c r="Q80" s="782">
        <v>6.2</v>
      </c>
      <c r="R80" s="773">
        <v>0.1453</v>
      </c>
      <c r="S80" s="773">
        <v>0.0227</v>
      </c>
      <c r="T80" s="773">
        <v>0.0233</v>
      </c>
      <c r="U80" s="773">
        <v>0.1134</v>
      </c>
      <c r="V80" s="774">
        <v>3354</v>
      </c>
      <c r="W80" s="773">
        <v>0.0245</v>
      </c>
      <c r="X80" s="774">
        <v>47</v>
      </c>
      <c r="Y80" s="772">
        <v>140.63</v>
      </c>
      <c r="Z80" s="774">
        <v>23074</v>
      </c>
      <c r="AA80" s="774">
        <v>523</v>
      </c>
      <c r="AB80" s="774">
        <v>82</v>
      </c>
      <c r="AC80" s="774">
        <v>538</v>
      </c>
      <c r="AD80" s="774">
        <v>61</v>
      </c>
      <c r="AE80" s="774">
        <v>5</v>
      </c>
      <c r="AF80" s="774">
        <v>3</v>
      </c>
      <c r="AG80" s="774">
        <v>27</v>
      </c>
    </row>
    <row r="81">
      <c r="A81" s="767" t="s">
        <v>1658</v>
      </c>
      <c r="B81" s="767" t="s">
        <v>1621</v>
      </c>
      <c r="C81" s="767" t="s">
        <v>1622</v>
      </c>
      <c r="D81" s="767">
        <v>4</v>
      </c>
      <c r="E81" s="767">
        <v>7</v>
      </c>
      <c r="F81" s="767">
        <v>8</v>
      </c>
      <c r="G81" s="767">
        <v>13121.55</v>
      </c>
      <c r="H81" s="768">
        <v>3677.15</v>
      </c>
      <c r="I81" s="769">
        <f t="shared" si="0"/>
      </c>
      <c r="J81" s="769">
        <f t="shared" si="1"/>
      </c>
      <c r="K81" s="769">
        <f t="shared" si="2"/>
      </c>
      <c r="L81" s="767"/>
      <c r="M81" s="770"/>
      <c r="N81" s="767"/>
      <c r="O81" s="767"/>
      <c r="P81" s="771"/>
      <c r="Q81" s="772">
        <v>4.43</v>
      </c>
      <c r="R81" s="773">
        <v>0.1121</v>
      </c>
      <c r="S81" s="773">
        <v>0.0319</v>
      </c>
      <c r="T81" s="773">
        <v>0.0328</v>
      </c>
      <c r="U81" s="773">
        <v>0.2134</v>
      </c>
      <c r="V81" s="774">
        <v>2919</v>
      </c>
      <c r="W81" s="773">
        <v>0.0418</v>
      </c>
      <c r="X81" s="772">
        <v>53.75</v>
      </c>
      <c r="Y81" s="772">
        <v>141.22</v>
      </c>
      <c r="Z81" s="774">
        <v>26038</v>
      </c>
      <c r="AA81" s="774">
        <v>830</v>
      </c>
      <c r="AB81" s="774">
        <v>122</v>
      </c>
      <c r="AC81" s="774">
        <v>853</v>
      </c>
      <c r="AD81" s="774">
        <v>182</v>
      </c>
      <c r="AE81" s="774">
        <v>11</v>
      </c>
      <c r="AF81" s="774">
        <v>2</v>
      </c>
      <c r="AG81" s="774">
        <v>25</v>
      </c>
    </row>
    <row r="82">
      <c r="A82" s="775" t="s">
        <v>1658</v>
      </c>
      <c r="B82" s="775" t="s">
        <v>1624</v>
      </c>
      <c r="C82" s="776"/>
      <c r="D82" s="776">
        <f>SUM(D80:D81)</f>
      </c>
      <c r="E82" s="776">
        <f>E80+E81</f>
      </c>
      <c r="F82" s="776">
        <f>SUM(F80:F81)</f>
      </c>
      <c r="G82" s="776">
        <f>SUM(G80:G81)</f>
      </c>
      <c r="H82" s="776">
        <f>SUM(H80:H81)</f>
      </c>
      <c r="I82" s="777">
        <f t="shared" si="0"/>
      </c>
      <c r="J82" s="777">
        <f t="shared" si="1"/>
      </c>
      <c r="K82" s="777">
        <f t="shared" si="2"/>
      </c>
      <c r="L82" s="776"/>
      <c r="M82" s="778">
        <f>SUM(M80:M81)</f>
      </c>
      <c r="N82" s="776"/>
      <c r="O82" s="776"/>
      <c r="P82" s="776"/>
      <c r="Q82" s="779">
        <f>AVERAGE(Q80:Q81)</f>
      </c>
      <c r="R82" s="780">
        <f>AVERAGE(R80:R81)</f>
      </c>
      <c r="S82" s="780">
        <f>AVERAGE(S80:S81)</f>
      </c>
      <c r="T82" s="780">
        <f>AVERAGE(T80:T81)</f>
      </c>
      <c r="U82" s="780">
        <f>AVERAGE(U80:U81)</f>
      </c>
      <c r="V82" s="781">
        <f>SUM(V80:V81)</f>
      </c>
      <c r="W82" s="780">
        <f>AVERAGE(W80:W81)</f>
      </c>
      <c r="X82" s="781">
        <f>AVERAGE(X80:X81)</f>
      </c>
      <c r="Y82" s="779">
        <f>AVERAGE(Y80:Y81)</f>
      </c>
      <c r="Z82" s="781">
        <f>SUM(Z80:Z81)</f>
      </c>
      <c r="AA82" s="781">
        <f>SUM(AA80:AA81)</f>
      </c>
      <c r="AB82" s="781">
        <f>SUM(AB80:AB81)</f>
      </c>
      <c r="AC82" s="781">
        <f>SUM(AC80:AC81)</f>
      </c>
      <c r="AD82" s="781">
        <f>SUM(AD80:AD81)</f>
      </c>
      <c r="AE82" s="781">
        <f>SUM(AE80:AE81)</f>
      </c>
      <c r="AF82" s="781">
        <f>SUM(AF80:AF81)</f>
      </c>
      <c r="AG82" s="781">
        <f>SUM(AG80:AG81)</f>
      </c>
    </row>
    <row r="83">
      <c r="A83" s="767" t="s">
        <v>1659</v>
      </c>
      <c r="B83" s="767" t="s">
        <v>1626</v>
      </c>
      <c r="C83" s="767" t="s">
        <v>1619</v>
      </c>
      <c r="D83" s="767">
        <v>4</v>
      </c>
      <c r="E83" s="767">
        <v>3</v>
      </c>
      <c r="F83" s="767">
        <v>3</v>
      </c>
      <c r="G83" s="767">
        <v>4594.01</v>
      </c>
      <c r="H83" s="768">
        <v>4952.77</v>
      </c>
      <c r="I83" s="769">
        <f t="shared" si="0"/>
      </c>
      <c r="J83" s="769">
        <f t="shared" si="1"/>
      </c>
      <c r="K83" s="769">
        <f t="shared" si="2"/>
      </c>
      <c r="L83" s="767" t="s">
        <v>1652</v>
      </c>
      <c r="M83" s="770">
        <v>3.2</v>
      </c>
      <c r="N83" s="771"/>
      <c r="O83" s="767"/>
      <c r="P83" s="771"/>
      <c r="Q83" s="782">
        <v>6.53</v>
      </c>
      <c r="R83" s="773">
        <v>0.0706</v>
      </c>
      <c r="S83" s="773">
        <v>0.0199</v>
      </c>
      <c r="T83" s="773">
        <v>0.0203</v>
      </c>
      <c r="U83" s="773">
        <v>0.1613</v>
      </c>
      <c r="V83" s="774">
        <v>2692</v>
      </c>
      <c r="W83" s="773">
        <v>0.058</v>
      </c>
      <c r="X83" s="774">
        <v>55.75</v>
      </c>
      <c r="Y83" s="772">
        <v>129.94</v>
      </c>
      <c r="Z83" s="774">
        <v>38115</v>
      </c>
      <c r="AA83" s="774">
        <v>759</v>
      </c>
      <c r="AB83" s="774">
        <v>156</v>
      </c>
      <c r="AC83" s="774">
        <v>775</v>
      </c>
      <c r="AD83" s="774">
        <v>125</v>
      </c>
      <c r="AE83" s="774">
        <v>14</v>
      </c>
      <c r="AF83" s="774">
        <v>3</v>
      </c>
      <c r="AG83" s="774">
        <v>47</v>
      </c>
    </row>
    <row r="84">
      <c r="A84" s="767" t="s">
        <v>1659</v>
      </c>
      <c r="B84" s="767" t="s">
        <v>1621</v>
      </c>
      <c r="C84" s="767" t="s">
        <v>1622</v>
      </c>
      <c r="D84" s="767">
        <v>4</v>
      </c>
      <c r="E84" s="767">
        <v>7</v>
      </c>
      <c r="F84" s="767">
        <v>8</v>
      </c>
      <c r="G84" s="767">
        <v>16325.61</v>
      </c>
      <c r="H84" s="768">
        <v>5591.04</v>
      </c>
      <c r="I84" s="769">
        <f t="shared" si="0"/>
      </c>
      <c r="J84" s="769">
        <f t="shared" si="1"/>
      </c>
      <c r="K84" s="769">
        <f t="shared" si="2"/>
      </c>
      <c r="L84" s="767"/>
      <c r="M84" s="770"/>
      <c r="N84" s="767"/>
      <c r="O84" s="767"/>
      <c r="P84" s="771"/>
      <c r="Q84" s="772">
        <v>4.57</v>
      </c>
      <c r="R84" s="773">
        <v>0.0991</v>
      </c>
      <c r="S84" s="773">
        <v>0.0346</v>
      </c>
      <c r="T84" s="773">
        <v>0.0351</v>
      </c>
      <c r="U84" s="773">
        <v>0.1498</v>
      </c>
      <c r="V84" s="774">
        <v>3504</v>
      </c>
      <c r="W84" s="773">
        <v>0.0585</v>
      </c>
      <c r="X84" s="772">
        <v>64</v>
      </c>
      <c r="Y84" s="772">
        <v>158.13</v>
      </c>
      <c r="Z84" s="774">
        <v>35357</v>
      </c>
      <c r="AA84" s="774">
        <v>1224</v>
      </c>
      <c r="AB84" s="774">
        <v>205</v>
      </c>
      <c r="AC84" s="774">
        <v>1242</v>
      </c>
      <c r="AD84" s="774">
        <v>186</v>
      </c>
      <c r="AE84" s="774">
        <v>7</v>
      </c>
      <c r="AF84" s="774">
        <v>2</v>
      </c>
      <c r="AG84" s="774">
        <v>42</v>
      </c>
    </row>
    <row r="85">
      <c r="A85" s="775" t="s">
        <v>1659</v>
      </c>
      <c r="B85" s="775" t="s">
        <v>1624</v>
      </c>
      <c r="C85" s="776"/>
      <c r="D85" s="776">
        <f>SUM(D83:D84)</f>
      </c>
      <c r="E85" s="776">
        <f>E83+E84</f>
      </c>
      <c r="F85" s="776">
        <f>SUM(F83:F84)</f>
      </c>
      <c r="G85" s="776">
        <f>SUM(G83:G84)</f>
      </c>
      <c r="H85" s="776">
        <f>SUM(H83:H84)</f>
      </c>
      <c r="I85" s="777">
        <f t="shared" si="0"/>
      </c>
      <c r="J85" s="777">
        <f t="shared" si="1"/>
      </c>
      <c r="K85" s="777">
        <f t="shared" si="2"/>
      </c>
      <c r="L85" s="776"/>
      <c r="M85" s="778">
        <f>SUM(M83:M84)</f>
      </c>
      <c r="N85" s="776"/>
      <c r="O85" s="776"/>
      <c r="P85" s="776"/>
      <c r="Q85" s="779">
        <f>AVERAGE(Q83:Q84)</f>
      </c>
      <c r="R85" s="780">
        <f>AVERAGE(R83:R84)</f>
      </c>
      <c r="S85" s="780">
        <f>AVERAGE(S83:S84)</f>
      </c>
      <c r="T85" s="780">
        <f>AVERAGE(T83:T84)</f>
      </c>
      <c r="U85" s="780">
        <f>AVERAGE(U83:U84)</f>
      </c>
      <c r="V85" s="781">
        <f>SUM(V83:V84)</f>
      </c>
      <c r="W85" s="780">
        <f>AVERAGE(W83:W84)</f>
      </c>
      <c r="X85" s="781">
        <f>AVERAGE(X83:X84)</f>
      </c>
      <c r="Y85" s="779">
        <f>AVERAGE(Y83:Y84)</f>
      </c>
      <c r="Z85" s="781">
        <f>SUM(Z83:Z84)</f>
      </c>
      <c r="AA85" s="781">
        <f>SUM(AA83:AA84)</f>
      </c>
      <c r="AB85" s="781">
        <f>SUM(AB83:AB84)</f>
      </c>
      <c r="AC85" s="781">
        <f>SUM(AC83:AC84)</f>
      </c>
      <c r="AD85" s="781">
        <f>SUM(AD83:AD84)</f>
      </c>
      <c r="AE85" s="781">
        <f>SUM(AE83:AE84)</f>
      </c>
      <c r="AF85" s="781">
        <f>SUM(AF83:AF84)</f>
      </c>
      <c r="AG85" s="781">
        <f>SUM(AG83:AG84)</f>
      </c>
    </row>
    <row r="86">
      <c r="A86" s="767" t="s">
        <v>1660</v>
      </c>
      <c r="B86" s="767" t="s">
        <v>1626</v>
      </c>
      <c r="C86" s="767" t="s">
        <v>1619</v>
      </c>
      <c r="D86" s="767">
        <v>4</v>
      </c>
      <c r="E86" s="767">
        <v>6</v>
      </c>
      <c r="F86" s="767">
        <v>9</v>
      </c>
      <c r="G86" s="767">
        <v>14337.19</v>
      </c>
      <c r="H86" s="768">
        <v>5657.98</v>
      </c>
      <c r="I86" s="769">
        <f t="shared" si="0"/>
      </c>
      <c r="J86" s="769">
        <f t="shared" si="1"/>
      </c>
      <c r="K86" s="769">
        <f t="shared" si="2"/>
      </c>
      <c r="L86" s="767" t="s">
        <v>1652</v>
      </c>
      <c r="M86" s="770">
        <v>3.2</v>
      </c>
      <c r="N86" s="771"/>
      <c r="O86" s="767"/>
      <c r="P86" s="771"/>
      <c r="Q86" s="782">
        <v>5.97</v>
      </c>
      <c r="R86" s="773">
        <v>0.0932</v>
      </c>
      <c r="S86" s="773">
        <v>0.0277</v>
      </c>
      <c r="T86" s="773">
        <v>0.0288</v>
      </c>
      <c r="U86" s="773">
        <v>0.1054</v>
      </c>
      <c r="V86" s="774">
        <v>3193</v>
      </c>
      <c r="W86" s="773">
        <v>0.0545</v>
      </c>
      <c r="X86" s="774">
        <v>54.25</v>
      </c>
      <c r="Y86" s="772">
        <v>165.16</v>
      </c>
      <c r="Z86" s="774">
        <v>34258</v>
      </c>
      <c r="AA86" s="774">
        <v>948</v>
      </c>
      <c r="AB86" s="774">
        <v>147</v>
      </c>
      <c r="AC86" s="774">
        <v>987</v>
      </c>
      <c r="AD86" s="774">
        <v>104</v>
      </c>
      <c r="AE86" s="774">
        <v>8</v>
      </c>
      <c r="AF86" s="774">
        <v>4</v>
      </c>
      <c r="AG86" s="774">
        <v>32</v>
      </c>
    </row>
    <row r="87">
      <c r="A87" s="767" t="s">
        <v>1660</v>
      </c>
      <c r="B87" s="767" t="s">
        <v>1618</v>
      </c>
      <c r="C87" s="767" t="s">
        <v>1622</v>
      </c>
      <c r="D87" s="767">
        <v>4</v>
      </c>
      <c r="E87" s="767">
        <v>5</v>
      </c>
      <c r="F87" s="767">
        <v>8</v>
      </c>
      <c r="G87" s="767">
        <v>13969.69</v>
      </c>
      <c r="H87" s="768">
        <v>7433.84</v>
      </c>
      <c r="I87" s="769">
        <f t="shared" si="0"/>
      </c>
      <c r="J87" s="769">
        <f t="shared" si="1"/>
      </c>
      <c r="K87" s="769">
        <f t="shared" si="2"/>
      </c>
      <c r="L87" s="767"/>
      <c r="M87" s="770"/>
      <c r="N87" s="767"/>
      <c r="O87" s="767"/>
      <c r="P87" s="771"/>
      <c r="Q87" s="772">
        <v>4.51</v>
      </c>
      <c r="R87" s="773">
        <v>0.09</v>
      </c>
      <c r="S87" s="773">
        <v>0.029</v>
      </c>
      <c r="T87" s="773">
        <v>0.0312</v>
      </c>
      <c r="U87" s="773">
        <v>0.1547</v>
      </c>
      <c r="V87" s="774">
        <v>5106</v>
      </c>
      <c r="W87" s="773">
        <v>0.0556</v>
      </c>
      <c r="X87" s="772">
        <v>63</v>
      </c>
      <c r="Y87" s="772">
        <v>131.08</v>
      </c>
      <c r="Z87" s="774">
        <v>56713</v>
      </c>
      <c r="AA87" s="774">
        <v>1647</v>
      </c>
      <c r="AB87" s="774">
        <v>284</v>
      </c>
      <c r="AC87" s="774">
        <v>1771</v>
      </c>
      <c r="AD87" s="774">
        <v>274</v>
      </c>
      <c r="AE87" s="774">
        <v>13</v>
      </c>
      <c r="AF87" s="774">
        <v>1</v>
      </c>
      <c r="AG87" s="774">
        <v>61</v>
      </c>
    </row>
    <row r="88">
      <c r="A88" s="775" t="s">
        <v>1660</v>
      </c>
      <c r="B88" s="775" t="s">
        <v>1624</v>
      </c>
      <c r="C88" s="776"/>
      <c r="D88" s="776">
        <f>SUM(D86:D87)</f>
      </c>
      <c r="E88" s="776">
        <f>E86+E87</f>
      </c>
      <c r="F88" s="776">
        <f>SUM(F86:F87)</f>
      </c>
      <c r="G88" s="776">
        <f>SUM(G86:G87)</f>
      </c>
      <c r="H88" s="776">
        <f>SUM(H86:H87)</f>
      </c>
      <c r="I88" s="777">
        <f t="shared" si="0"/>
      </c>
      <c r="J88" s="777">
        <f t="shared" si="1"/>
      </c>
      <c r="K88" s="777">
        <f t="shared" si="2"/>
      </c>
      <c r="L88" s="776"/>
      <c r="M88" s="778">
        <f>SUM(M86:M87)</f>
      </c>
      <c r="N88" s="776"/>
      <c r="O88" s="776"/>
      <c r="P88" s="776"/>
      <c r="Q88" s="779">
        <f>AVERAGE(Q86:Q87)</f>
      </c>
      <c r="R88" s="780">
        <f>AVERAGE(R86:R87)</f>
      </c>
      <c r="S88" s="780">
        <f>AVERAGE(S86:S87)</f>
      </c>
      <c r="T88" s="780">
        <f>AVERAGE(T86:T87)</f>
      </c>
      <c r="U88" s="780">
        <f>AVERAGE(U86:U87)</f>
      </c>
      <c r="V88" s="781">
        <f>SUM(V86:V87)</f>
      </c>
      <c r="W88" s="780">
        <f>AVERAGE(W86:W87)</f>
      </c>
      <c r="X88" s="783"/>
      <c r="Y88" s="779">
        <f>AVERAGE(Y86:Y87)</f>
      </c>
      <c r="Z88" s="781">
        <f>SUM(Z86:Z87)</f>
      </c>
      <c r="AA88" s="781">
        <f>SUM(AA86:AA87)</f>
      </c>
      <c r="AB88" s="781">
        <f>SUM(AB86:AB87)</f>
      </c>
      <c r="AC88" s="781">
        <f>SUM(AC86:AC87)</f>
      </c>
      <c r="AD88" s="781">
        <f>SUM(AD86:AD87)</f>
      </c>
      <c r="AE88" s="781">
        <f>SUM(AE86:AE87)</f>
      </c>
      <c r="AF88" s="781">
        <f>SUM(AF86:AF87)</f>
      </c>
      <c r="AG88" s="781">
        <f>SUM(AG86:AG87)</f>
      </c>
    </row>
    <row customHeight="true" ht="16.071428571428573" r="89">
      <c r="A89" s="767" t="s">
        <v>1661</v>
      </c>
      <c r="B89" s="767" t="s">
        <v>1618</v>
      </c>
      <c r="C89" s="767" t="s">
        <v>1619</v>
      </c>
      <c r="D89" s="767">
        <v>4</v>
      </c>
      <c r="E89" s="767">
        <v>7</v>
      </c>
      <c r="F89" s="767">
        <v>8</v>
      </c>
      <c r="G89" s="767">
        <v>17136.96</v>
      </c>
      <c r="H89" s="768">
        <v>6631.02</v>
      </c>
      <c r="I89" s="769">
        <f t="shared" si="0"/>
      </c>
      <c r="J89" s="769">
        <f t="shared" si="1"/>
      </c>
      <c r="K89" s="769">
        <f t="shared" si="2"/>
      </c>
      <c r="L89" s="767" t="s">
        <v>1636</v>
      </c>
      <c r="M89" s="770">
        <v>8</v>
      </c>
      <c r="N89" s="771"/>
      <c r="O89" s="767"/>
      <c r="P89" s="771"/>
      <c r="Q89" s="772">
        <v>6.267504725897921</v>
      </c>
      <c r="R89" s="773">
        <v>0.09898490975050853</v>
      </c>
      <c r="S89" s="773">
        <v>0.021902041154307952</v>
      </c>
      <c r="T89" s="773">
        <v>0.02241957520804869</v>
      </c>
      <c r="U89" s="773">
        <v>0.1348107109879963</v>
      </c>
      <c r="V89" s="774">
        <v>4781.565050408065</v>
      </c>
      <c r="W89" s="773">
        <v>0.052075</v>
      </c>
      <c r="X89" s="774">
        <v>57.875</v>
      </c>
      <c r="Y89" s="772">
        <v>137.27114644143583</v>
      </c>
      <c r="Z89" s="774">
        <v>48306</v>
      </c>
      <c r="AA89" s="774">
        <v>1058</v>
      </c>
      <c r="AB89" s="774">
        <v>249</v>
      </c>
      <c r="AC89" s="774">
        <v>1083</v>
      </c>
      <c r="AD89" s="774">
        <v>146</v>
      </c>
      <c r="AE89" s="774">
        <v>18</v>
      </c>
      <c r="AF89" s="774">
        <v>2</v>
      </c>
      <c r="AG89" s="774">
        <v>54</v>
      </c>
    </row>
    <row customHeight="true" ht="16.071428571428573" r="90">
      <c r="A90" s="767" t="s">
        <v>1661</v>
      </c>
      <c r="B90" s="767" t="s">
        <v>1621</v>
      </c>
      <c r="C90" s="767" t="s">
        <v>1622</v>
      </c>
      <c r="D90" s="767">
        <v>4</v>
      </c>
      <c r="E90" s="767">
        <v>9</v>
      </c>
      <c r="F90" s="767">
        <v>14</v>
      </c>
      <c r="G90" s="767">
        <v>26975.31</v>
      </c>
      <c r="H90" s="768">
        <v>7658.2</v>
      </c>
      <c r="I90" s="769">
        <f t="shared" si="0"/>
      </c>
      <c r="J90" s="769">
        <f t="shared" si="1"/>
      </c>
      <c r="K90" s="769">
        <f t="shared" si="2"/>
      </c>
      <c r="L90" s="767"/>
      <c r="M90" s="770"/>
      <c r="N90" s="767"/>
      <c r="O90" s="767"/>
      <c r="P90" s="771"/>
      <c r="Q90" s="772">
        <v>4.963188593648736</v>
      </c>
      <c r="R90" s="773">
        <v>0.10953238956099182</v>
      </c>
      <c r="S90" s="773">
        <v>0.035148864438825485</v>
      </c>
      <c r="T90" s="773">
        <v>0.037358481969976536</v>
      </c>
      <c r="U90" s="773">
        <v>0.12682926829268293</v>
      </c>
      <c r="V90" s="774">
        <v>4808.3623693379795</v>
      </c>
      <c r="W90" s="773">
        <v>0.04305</v>
      </c>
      <c r="X90" s="772">
        <v>57.75</v>
      </c>
      <c r="Y90" s="772">
        <v>174.45044306248434</v>
      </c>
      <c r="Z90" s="774">
        <v>43899</v>
      </c>
      <c r="AA90" s="774">
        <v>1543</v>
      </c>
      <c r="AB90" s="774">
        <v>207</v>
      </c>
      <c r="AC90" s="774">
        <v>1640</v>
      </c>
      <c r="AD90" s="774">
        <v>208</v>
      </c>
      <c r="AE90" s="774">
        <v>17</v>
      </c>
      <c r="AF90" s="774">
        <v>7</v>
      </c>
      <c r="AG90" s="774">
        <v>46</v>
      </c>
    </row>
    <row customHeight="true" ht="16.071428571428573" r="91">
      <c r="A91" s="775" t="s">
        <v>1661</v>
      </c>
      <c r="B91" s="775" t="s">
        <v>1624</v>
      </c>
      <c r="C91" s="776"/>
      <c r="D91" s="776">
        <f>SUM(D89:D90)</f>
      </c>
      <c r="E91" s="776">
        <f>E89+E90</f>
      </c>
      <c r="F91" s="776">
        <f>SUM(F89:F90)</f>
      </c>
      <c r="G91" s="776">
        <f>SUM(G89:G90)</f>
      </c>
      <c r="H91" s="776">
        <f>SUM(H89:H90)</f>
      </c>
      <c r="I91" s="777">
        <f t="shared" si="0"/>
      </c>
      <c r="J91" s="777">
        <f t="shared" si="1"/>
      </c>
      <c r="K91" s="777">
        <f t="shared" si="2"/>
      </c>
      <c r="L91" s="776"/>
      <c r="M91" s="778">
        <f>SUM(M89:M90)</f>
      </c>
      <c r="N91" s="776"/>
      <c r="O91" s="776"/>
      <c r="P91" s="776"/>
      <c r="Q91" s="779">
        <f>AVERAGE(Q89:Q90)</f>
      </c>
      <c r="R91" s="780">
        <f>AVERAGE(R89:R90)</f>
      </c>
      <c r="S91" s="780">
        <f>AVERAGE(S89:S90)</f>
      </c>
      <c r="T91" s="780">
        <f>AVERAGE(T89:T90)</f>
      </c>
      <c r="U91" s="780">
        <f>AVERAGE(U89:U90)</f>
      </c>
      <c r="V91" s="781">
        <f>SUM(V89:V90)</f>
      </c>
      <c r="W91" s="780">
        <f>AVERAGE(W89:W90)</f>
      </c>
      <c r="X91" s="783"/>
      <c r="Y91" s="779">
        <f>AVERAGE(Y89:Y90)</f>
      </c>
      <c r="Z91" s="781">
        <f>SUM(Z89:Z90)</f>
      </c>
      <c r="AA91" s="781">
        <f>SUM(AA89:AA90)</f>
      </c>
      <c r="AB91" s="781">
        <f>SUM(AB89:AB90)</f>
      </c>
      <c r="AC91" s="781">
        <f>SUM(AC89:AC90)</f>
      </c>
      <c r="AD91" s="781">
        <f>SUM(AD89:AD90)</f>
      </c>
      <c r="AE91" s="781">
        <f>SUM(AE89:AE90)</f>
      </c>
      <c r="AF91" s="781">
        <f>SUM(AF89:AF90)</f>
      </c>
      <c r="AG91" s="781">
        <f>SUM(AG89:AG90)</f>
      </c>
    </row>
    <row r="92">
      <c r="A92" s="767" t="s">
        <v>1662</v>
      </c>
      <c r="B92" s="767" t="s">
        <v>1626</v>
      </c>
      <c r="C92" s="767" t="s">
        <v>1619</v>
      </c>
      <c r="D92" s="767">
        <v>4</v>
      </c>
      <c r="E92" s="767">
        <v>5</v>
      </c>
      <c r="F92" s="767">
        <v>5</v>
      </c>
      <c r="G92" s="767">
        <v>9144.15</v>
      </c>
      <c r="H92" s="768">
        <v>5274.05</v>
      </c>
      <c r="I92" s="769">
        <f t="shared" si="0"/>
      </c>
      <c r="J92" s="769">
        <f t="shared" si="1"/>
      </c>
      <c r="K92" s="769">
        <f t="shared" si="2"/>
      </c>
      <c r="L92" s="767" t="s">
        <v>1636</v>
      </c>
      <c r="M92" s="770">
        <v>4.2</v>
      </c>
      <c r="N92" s="771"/>
      <c r="O92" s="767"/>
      <c r="P92" s="771"/>
      <c r="Q92" s="784">
        <v>5.425977366255144</v>
      </c>
      <c r="R92" s="773">
        <v>0.0940628022413313</v>
      </c>
      <c r="S92" s="773">
        <v>0.02760187420133466</v>
      </c>
      <c r="T92" s="773">
        <v>0.0301860002839699</v>
      </c>
      <c r="U92" s="773">
        <v>0.15051740357478832</v>
      </c>
      <c r="V92" s="774">
        <v>3312.421580928482</v>
      </c>
      <c r="W92" s="773">
        <v>0.059774999999999995</v>
      </c>
      <c r="X92" s="774">
        <v>48</v>
      </c>
      <c r="Y92" s="772">
        <v>149.76714468266363</v>
      </c>
      <c r="Z92" s="774">
        <v>35215</v>
      </c>
      <c r="AA92" s="774">
        <v>972</v>
      </c>
      <c r="AB92" s="774">
        <v>198</v>
      </c>
      <c r="AC92" s="774">
        <v>1063</v>
      </c>
      <c r="AD92" s="774">
        <v>160</v>
      </c>
      <c r="AE92" s="774">
        <v>15</v>
      </c>
      <c r="AF92" s="774">
        <v>5</v>
      </c>
      <c r="AG92" s="774">
        <v>39</v>
      </c>
    </row>
    <row r="93">
      <c r="A93" s="767" t="s">
        <v>1662</v>
      </c>
      <c r="B93" s="767" t="s">
        <v>1621</v>
      </c>
      <c r="C93" s="767" t="s">
        <v>1622</v>
      </c>
      <c r="D93" s="767">
        <v>4</v>
      </c>
      <c r="E93" s="767">
        <v>12</v>
      </c>
      <c r="F93" s="767">
        <v>15</v>
      </c>
      <c r="G93" s="767">
        <v>31709.79</v>
      </c>
      <c r="H93" s="768">
        <v>8505.27</v>
      </c>
      <c r="I93" s="769">
        <f t="shared" si="0"/>
      </c>
      <c r="J93" s="769">
        <f t="shared" si="1"/>
      </c>
      <c r="K93" s="769">
        <f t="shared" si="2"/>
      </c>
      <c r="L93" s="767"/>
      <c r="M93" s="770"/>
      <c r="N93" s="767"/>
      <c r="O93" s="767"/>
      <c r="P93" s="771"/>
      <c r="Q93" s="772">
        <v>4.0005973659454375</v>
      </c>
      <c r="R93" s="773">
        <v>0.10264972386958804</v>
      </c>
      <c r="S93" s="773">
        <v>0.03435293357247887</v>
      </c>
      <c r="T93" s="773">
        <v>0.03730993585082489</v>
      </c>
      <c r="U93" s="773">
        <v>0.13382416630576008</v>
      </c>
      <c r="V93" s="774">
        <v>6352.683461117195</v>
      </c>
      <c r="W93" s="773">
        <v>0.04565</v>
      </c>
      <c r="X93" s="772">
        <v>52.25</v>
      </c>
      <c r="Y93" s="772">
        <v>137.43225556255757</v>
      </c>
      <c r="Z93" s="774">
        <v>61887</v>
      </c>
      <c r="AA93" s="774">
        <v>2126</v>
      </c>
      <c r="AB93" s="774">
        <v>290</v>
      </c>
      <c r="AC93" s="774">
        <v>2309</v>
      </c>
      <c r="AD93" s="774">
        <v>309</v>
      </c>
      <c r="AE93" s="774">
        <v>20</v>
      </c>
      <c r="AF93" s="774">
        <v>1</v>
      </c>
      <c r="AG93" s="774">
        <v>63</v>
      </c>
    </row>
    <row r="94">
      <c r="A94" s="775" t="s">
        <v>1662</v>
      </c>
      <c r="B94" s="775" t="s">
        <v>1624</v>
      </c>
      <c r="C94" s="776"/>
      <c r="D94" s="776">
        <f>SUM(D92:D93)</f>
      </c>
      <c r="E94" s="776">
        <f>E92+E93</f>
      </c>
      <c r="F94" s="776">
        <f>SUM(F92:F93)</f>
      </c>
      <c r="G94" s="776">
        <f>SUM(G92:G93)</f>
      </c>
      <c r="H94" s="776">
        <f>SUM(H92:H93)</f>
      </c>
      <c r="I94" s="777">
        <f t="shared" si="0"/>
      </c>
      <c r="J94" s="777">
        <f t="shared" si="1"/>
      </c>
      <c r="K94" s="777">
        <f t="shared" si="2"/>
      </c>
      <c r="L94" s="776"/>
      <c r="M94" s="778">
        <f>SUM(M92:M93)</f>
      </c>
      <c r="N94" s="776"/>
      <c r="O94" s="776"/>
      <c r="P94" s="776"/>
      <c r="Q94" s="779">
        <f>AVERAGE(Q92:Q93)</f>
      </c>
      <c r="R94" s="780">
        <f>AVERAGE(R92:R93)</f>
      </c>
      <c r="S94" s="780">
        <f>AVERAGE(S92:S93)</f>
      </c>
      <c r="T94" s="780">
        <f>AVERAGE(T92:T93)</f>
      </c>
      <c r="U94" s="780">
        <f>AVERAGE(U92:U93)</f>
      </c>
      <c r="V94" s="781">
        <f>SUM(V92:V93)</f>
      </c>
      <c r="W94" s="780">
        <f>AVERAGE(W92:W93)</f>
      </c>
      <c r="X94" s="783"/>
      <c r="Y94" s="779">
        <f>AVERAGE(Y92:Y93)</f>
      </c>
      <c r="Z94" s="781">
        <f>SUM(Z92:Z93)</f>
      </c>
      <c r="AA94" s="781">
        <f>SUM(AA92:AA93)</f>
      </c>
      <c r="AB94" s="781">
        <f>SUM(AB92:AB93)</f>
      </c>
      <c r="AC94" s="781">
        <f>SUM(AC92:AC93)</f>
      </c>
      <c r="AD94" s="781">
        <f>SUM(AD92:AD93)</f>
      </c>
      <c r="AE94" s="781">
        <f>SUM(AE92:AE93)</f>
      </c>
      <c r="AF94" s="781">
        <f>SUM(AF92:AF93)</f>
      </c>
      <c r="AG94" s="781">
        <f>SUM(AG92:AG93)</f>
      </c>
    </row>
    <row r="95">
      <c r="G95" s="785"/>
      <c r="H95" s="785"/>
      <c r="I95" s="785"/>
      <c r="J95" s="785"/>
      <c r="K95" s="785"/>
      <c r="L95" s="785"/>
      <c r="M95" s="785"/>
      <c r="N95" s="785"/>
      <c r="O95" s="785"/>
      <c r="P95" s="785"/>
      <c r="Q95" s="785"/>
    </row>
    <row r="96">
      <c r="G96" s="785"/>
      <c r="H96" s="785"/>
      <c r="I96" s="785"/>
      <c r="J96" s="785"/>
      <c r="K96" s="785"/>
      <c r="L96" s="785"/>
      <c r="M96" s="785"/>
      <c r="N96" s="785"/>
      <c r="O96" s="785"/>
      <c r="P96" s="785"/>
      <c r="Q96" s="785"/>
    </row>
    <row r="97">
      <c r="G97" s="785"/>
      <c r="H97" s="785"/>
      <c r="I97" s="785"/>
      <c r="J97" s="785"/>
      <c r="K97" s="785"/>
      <c r="L97" s="785"/>
      <c r="M97" s="785"/>
      <c r="N97" s="785"/>
      <c r="O97" s="785"/>
      <c r="P97" s="785"/>
      <c r="Q97" s="785"/>
    </row>
    <row r="98">
      <c r="G98" s="785"/>
      <c r="H98" s="785"/>
      <c r="I98" s="785"/>
      <c r="J98" s="785"/>
      <c r="K98" s="785"/>
      <c r="L98" s="785"/>
      <c r="M98" s="785"/>
      <c r="N98" s="785"/>
      <c r="O98" s="785"/>
      <c r="P98" s="785"/>
      <c r="Q98" s="785"/>
    </row>
    <row r="99">
      <c r="G99" s="785"/>
      <c r="H99" s="785"/>
      <c r="I99" s="785"/>
      <c r="J99" s="785"/>
      <c r="K99" s="785"/>
      <c r="L99" s="785"/>
      <c r="M99" s="785"/>
      <c r="N99" s="785"/>
      <c r="O99" s="785"/>
      <c r="P99" s="785"/>
      <c r="Q99" s="785"/>
    </row>
    <row r="100">
      <c r="G100" s="785"/>
      <c r="H100" s="785"/>
      <c r="I100" s="785"/>
      <c r="J100" s="785"/>
      <c r="K100" s="785"/>
      <c r="L100" s="785"/>
      <c r="M100" s="785"/>
      <c r="N100" s="785"/>
      <c r="O100" s="785"/>
      <c r="P100" s="785"/>
      <c r="Q100" s="785"/>
    </row>
    <row r="101">
      <c r="G101" s="785"/>
      <c r="H101" s="785"/>
      <c r="I101" s="785"/>
      <c r="J101" s="785"/>
      <c r="K101" s="785"/>
      <c r="L101" s="785"/>
      <c r="M101" s="785"/>
      <c r="N101" s="785"/>
      <c r="O101" s="785"/>
      <c r="P101" s="785"/>
      <c r="Q101" s="785"/>
    </row>
    <row r="102">
      <c r="G102" s="785"/>
      <c r="H102" s="785"/>
      <c r="I102" s="785"/>
      <c r="J102" s="785"/>
      <c r="K102" s="785"/>
      <c r="L102" s="785"/>
      <c r="M102" s="785"/>
      <c r="N102" s="785"/>
      <c r="O102" s="785"/>
      <c r="P102" s="785"/>
      <c r="Q102" s="785"/>
    </row>
    <row r="103">
      <c r="G103" s="785"/>
      <c r="H103" s="785"/>
      <c r="I103" s="785"/>
      <c r="J103" s="785"/>
      <c r="K103" s="785"/>
      <c r="L103" s="785"/>
      <c r="M103" s="785"/>
      <c r="N103" s="785"/>
      <c r="O103" s="785"/>
      <c r="P103" s="785"/>
      <c r="Q103" s="785"/>
    </row>
    <row r="104">
      <c r="G104" s="785"/>
      <c r="H104" s="785"/>
      <c r="I104" s="785"/>
      <c r="J104" s="785"/>
      <c r="K104" s="785"/>
      <c r="L104" s="785"/>
      <c r="M104" s="785"/>
      <c r="N104" s="785"/>
      <c r="O104" s="785"/>
      <c r="P104" s="785"/>
      <c r="Q104" s="785"/>
    </row>
    <row r="105">
      <c r="G105" s="785"/>
      <c r="H105" s="785"/>
      <c r="I105" s="785"/>
      <c r="J105" s="785"/>
      <c r="K105" s="785"/>
      <c r="L105" s="785"/>
      <c r="M105" s="785"/>
      <c r="N105" s="785"/>
      <c r="O105" s="785"/>
      <c r="P105" s="785"/>
      <c r="Q105" s="785"/>
    </row>
    <row r="106">
      <c r="G106" s="785"/>
      <c r="H106" s="785"/>
      <c r="I106" s="785"/>
      <c r="J106" s="785"/>
      <c r="K106" s="785"/>
      <c r="L106" s="785"/>
      <c r="M106" s="785"/>
      <c r="N106" s="785"/>
      <c r="O106" s="785"/>
      <c r="P106" s="785"/>
      <c r="Q106" s="785"/>
    </row>
    <row r="107">
      <c r="G107" s="785"/>
      <c r="H107" s="785"/>
      <c r="I107" s="785"/>
      <c r="J107" s="785"/>
      <c r="K107" s="785"/>
      <c r="L107" s="785"/>
      <c r="M107" s="785"/>
      <c r="N107" s="785"/>
      <c r="O107" s="785"/>
      <c r="P107" s="785"/>
      <c r="Q107" s="785"/>
    </row>
    <row r="108">
      <c r="G108" s="785"/>
      <c r="H108" s="785"/>
      <c r="I108" s="785"/>
      <c r="J108" s="785"/>
      <c r="K108" s="785"/>
      <c r="L108" s="785"/>
      <c r="M108" s="785"/>
      <c r="N108" s="785"/>
      <c r="O108" s="785"/>
      <c r="P108" s="785"/>
      <c r="Q108" s="785"/>
    </row>
    <row r="109">
      <c r="I109" s="785"/>
    </row>
    <row r="110">
      <c r="I110" s="785"/>
    </row>
  </sheetData>
  <autoFilter ref="A1:O94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16"/>
  <cols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1" min="11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</cols>
  <sheetData>
    <row r="1">
      <c r="A1" s="786" t="s">
        <v>1663</v>
      </c>
      <c r="B1" s="787" t="s">
        <v>1664</v>
      </c>
      <c r="C1" s="787" t="s">
        <v>1665</v>
      </c>
      <c r="D1" s="787" t="s">
        <v>1666</v>
      </c>
      <c r="E1" s="786" t="s">
        <v>1667</v>
      </c>
      <c r="F1" s="787" t="s">
        <v>1668</v>
      </c>
      <c r="G1" s="787" t="s">
        <v>1669</v>
      </c>
      <c r="H1" s="787" t="s">
        <v>1670</v>
      </c>
      <c r="I1" s="788" t="s">
        <v>1671</v>
      </c>
      <c r="J1" s="788" t="s">
        <v>1672</v>
      </c>
      <c r="K1" s="788" t="s">
        <v>1673</v>
      </c>
      <c r="L1" s="787" t="s">
        <v>1674</v>
      </c>
      <c r="M1" s="789" t="s">
        <v>1675</v>
      </c>
      <c r="N1" s="787" t="s">
        <v>1676</v>
      </c>
      <c r="O1" s="787" t="s">
        <v>1677</v>
      </c>
      <c r="P1" s="787"/>
      <c r="Q1" s="787" t="s">
        <v>1678</v>
      </c>
      <c r="R1" s="790" t="s">
        <v>1679</v>
      </c>
      <c r="S1" s="790" t="s">
        <v>1680</v>
      </c>
      <c r="T1" s="790" t="s">
        <v>1681</v>
      </c>
      <c r="U1" s="790" t="s">
        <v>1682</v>
      </c>
      <c r="V1" s="791" t="s">
        <v>1683</v>
      </c>
      <c r="W1" s="790" t="s">
        <v>1684</v>
      </c>
      <c r="X1" s="791" t="s">
        <v>1685</v>
      </c>
      <c r="Y1" s="792" t="s">
        <v>1686</v>
      </c>
      <c r="Z1" s="793" t="s">
        <v>1687</v>
      </c>
      <c r="AA1" s="791" t="s">
        <v>1688</v>
      </c>
      <c r="AB1" s="791" t="s">
        <v>1689</v>
      </c>
      <c r="AC1" s="791" t="s">
        <v>1690</v>
      </c>
      <c r="AD1" s="791" t="s">
        <v>1691</v>
      </c>
      <c r="AE1" s="791" t="s">
        <v>1692</v>
      </c>
      <c r="AF1" s="791" t="s">
        <v>1693</v>
      </c>
      <c r="AG1" s="791" t="s">
        <v>1694</v>
      </c>
    </row>
    <row r="2">
      <c r="A2" s="794" t="s">
        <v>1695</v>
      </c>
      <c r="B2" s="794" t="s">
        <v>1696</v>
      </c>
      <c r="C2" s="794" t="s">
        <v>1697</v>
      </c>
      <c r="D2" s="794">
        <v>4</v>
      </c>
      <c r="E2" s="794">
        <v>5</v>
      </c>
      <c r="F2" s="794">
        <v>8</v>
      </c>
      <c r="G2" s="794">
        <v>22900.8</v>
      </c>
      <c r="H2" s="795">
        <v>5385.52</v>
      </c>
      <c r="I2" s="796">
        <f t="shared" ref="I2:I85" si="2">G2/H2</f>
      </c>
      <c r="J2" s="796">
        <f t="shared" ref="J2:J85" si="0">G2/F2</f>
      </c>
      <c r="K2" s="796">
        <f t="shared" ref="K2:K85" si="1">H2/F2</f>
      </c>
      <c r="L2" s="794" t="s">
        <v>1698</v>
      </c>
      <c r="M2" s="797">
        <v>2.8</v>
      </c>
      <c r="N2" s="798"/>
      <c r="O2" s="794"/>
      <c r="P2" s="798"/>
      <c r="Q2" s="799">
        <v>4.346666666666667</v>
      </c>
      <c r="R2" s="800">
        <v>0.2198903414279333</v>
      </c>
      <c r="S2" s="800">
        <v>0.02441283102143758</v>
      </c>
      <c r="T2" s="800">
        <v>0.02628467843631778</v>
      </c>
      <c r="U2" s="800">
        <v>0.12443778110944528</v>
      </c>
      <c r="V2" s="801">
        <v>11159.87460815047</v>
      </c>
      <c r="W2" s="800">
        <v>0.01595</v>
      </c>
      <c r="X2" s="801">
        <v>51.5</v>
      </c>
      <c r="Y2" s="799">
        <v>106.11443883984869</v>
      </c>
      <c r="Z2" s="801">
        <v>50752</v>
      </c>
      <c r="AA2" s="801">
        <v>1239</v>
      </c>
      <c r="AB2" s="801">
        <v>178</v>
      </c>
      <c r="AC2" s="801">
        <v>1334</v>
      </c>
      <c r="AD2" s="801">
        <v>166</v>
      </c>
      <c r="AE2" s="801">
        <v>14</v>
      </c>
      <c r="AF2" s="801">
        <v>7</v>
      </c>
      <c r="AG2" s="801">
        <v>27</v>
      </c>
    </row>
    <row r="3">
      <c r="A3" s="794" t="s">
        <v>1695</v>
      </c>
      <c r="B3" s="794" t="s">
        <v>1699</v>
      </c>
      <c r="C3" s="794" t="s">
        <v>1700</v>
      </c>
      <c r="D3" s="794">
        <v>3</v>
      </c>
      <c r="E3" s="794">
        <v>4</v>
      </c>
      <c r="F3" s="794">
        <v>7</v>
      </c>
      <c r="G3" s="794">
        <v>15995.85</v>
      </c>
      <c r="H3" s="795">
        <v>4055.38</v>
      </c>
      <c r="I3" s="796">
        <f t="shared" si="2"/>
      </c>
      <c r="J3" s="796">
        <f t="shared" si="0"/>
      </c>
      <c r="K3" s="796">
        <f t="shared" si="1"/>
      </c>
      <c r="L3" s="794"/>
      <c r="M3" s="797"/>
      <c r="N3" s="794"/>
      <c r="O3" s="794"/>
      <c r="P3" s="798"/>
      <c r="Q3" s="799">
        <v>3.484003436426117</v>
      </c>
      <c r="R3" s="800">
        <v>0.16576508143972146</v>
      </c>
      <c r="S3" s="800">
        <v>0.03663487867056935</v>
      </c>
      <c r="T3" s="800">
        <v>0.04019135744185315</v>
      </c>
      <c r="U3" s="800">
        <v>0.1480031323414252</v>
      </c>
      <c r="V3" s="801">
        <v>5266.85393258427</v>
      </c>
      <c r="W3" s="800">
        <v>0.023733333333333332</v>
      </c>
      <c r="X3" s="801">
        <v>58.333333333333336</v>
      </c>
      <c r="Y3" s="799">
        <v>127.63604318131746</v>
      </c>
      <c r="Z3" s="801">
        <v>31773</v>
      </c>
      <c r="AA3" s="801">
        <v>1164</v>
      </c>
      <c r="AB3" s="801">
        <v>125</v>
      </c>
      <c r="AC3" s="801">
        <v>1277</v>
      </c>
      <c r="AD3" s="801">
        <v>189</v>
      </c>
      <c r="AE3" s="801">
        <v>9</v>
      </c>
      <c r="AF3" s="801">
        <v>4</v>
      </c>
      <c r="AG3" s="801">
        <v>23</v>
      </c>
    </row>
    <row r="4">
      <c r="A4" s="802" t="s">
        <v>1695</v>
      </c>
      <c r="B4" s="802" t="s">
        <v>1701</v>
      </c>
      <c r="C4" s="803"/>
      <c r="D4" s="803">
        <f>SUM(D2:D3)</f>
      </c>
      <c r="E4" s="803">
        <f>E2+E3</f>
      </c>
      <c r="F4" s="803">
        <f>SUM(F2:F3)</f>
      </c>
      <c r="G4" s="803">
        <f>SUM(G2:G3)</f>
      </c>
      <c r="H4" s="803">
        <f>SUM(H2:H3)</f>
      </c>
      <c r="I4" s="804">
        <f t="shared" si="2"/>
      </c>
      <c r="J4" s="804">
        <f t="shared" si="0"/>
      </c>
      <c r="K4" s="804">
        <f t="shared" si="1"/>
      </c>
      <c r="L4" s="803"/>
      <c r="M4" s="805">
        <f>SUM(M2:M3)</f>
      </c>
      <c r="N4" s="803"/>
      <c r="O4" s="803"/>
      <c r="P4" s="803"/>
      <c r="Q4" s="806">
        <f>AVERAGE(Q2:Q3)</f>
      </c>
      <c r="R4" s="807">
        <f>AVERAGE(R2:R3)</f>
      </c>
      <c r="S4" s="807">
        <f>AVERAGE(S2:S3)</f>
      </c>
      <c r="T4" s="807">
        <f>AVERAGE(T2:T3)</f>
      </c>
      <c r="U4" s="807">
        <f>AVERAGE(U2:U3)</f>
      </c>
      <c r="V4" s="808">
        <f>SUM(V2:V3)</f>
      </c>
      <c r="W4" s="807">
        <f>AVERAGE(W2:W3)</f>
      </c>
      <c r="X4" s="808">
        <f>AVERAGE(X2:X3)</f>
      </c>
      <c r="Y4" s="806">
        <f>AVERAGE(Y2:Y3)</f>
      </c>
      <c r="Z4" s="808">
        <f>SUM(Z2:Z3)</f>
      </c>
      <c r="AA4" s="808">
        <f>SUM(AA2:AA3)</f>
      </c>
      <c r="AB4" s="808">
        <f>SUM(AB2:AB3)</f>
      </c>
      <c r="AC4" s="808">
        <f>SUM(AC2:AC3)</f>
      </c>
      <c r="AD4" s="808">
        <f>SUM(AD2:AD3)</f>
      </c>
      <c r="AE4" s="808">
        <f>SUM(AE2:AE3)</f>
      </c>
      <c r="AF4" s="808">
        <f>SUM(AF2:AF3)</f>
      </c>
      <c r="AG4" s="808">
        <f>SUM(AG2:AG3)</f>
      </c>
    </row>
    <row r="5">
      <c r="A5" s="794" t="s">
        <v>1702</v>
      </c>
      <c r="B5" s="794" t="s">
        <v>1699</v>
      </c>
      <c r="C5" s="794" t="s">
        <v>1697</v>
      </c>
      <c r="D5" s="794">
        <v>4</v>
      </c>
      <c r="E5" s="794">
        <v>9</v>
      </c>
      <c r="F5" s="794">
        <v>13</v>
      </c>
      <c r="G5" s="794">
        <v>30950.4</v>
      </c>
      <c r="H5" s="795">
        <v>5716.6900000000005</v>
      </c>
      <c r="I5" s="796">
        <f t="shared" si="2"/>
      </c>
      <c r="J5" s="796">
        <f t="shared" si="0"/>
      </c>
      <c r="K5" s="796">
        <f t="shared" si="1"/>
      </c>
      <c r="L5" s="794" t="s">
        <v>1698</v>
      </c>
      <c r="M5" s="797">
        <v>2.8</v>
      </c>
      <c r="N5" s="798"/>
      <c r="O5" s="794"/>
      <c r="P5" s="798"/>
      <c r="Q5" s="799">
        <v>3.6763279742765276</v>
      </c>
      <c r="R5" s="800">
        <v>0.2534422809619274</v>
      </c>
      <c r="S5" s="800">
        <v>0.02738833309849232</v>
      </c>
      <c r="T5" s="800">
        <v>0.028955896857827252</v>
      </c>
      <c r="U5" s="800">
        <v>0.12347931873479319</v>
      </c>
      <c r="V5" s="801">
        <v>14389.438943894389</v>
      </c>
      <c r="W5" s="800">
        <v>0.01515</v>
      </c>
      <c r="X5" s="801">
        <v>61</v>
      </c>
      <c r="Y5" s="799">
        <v>100.68849513879105</v>
      </c>
      <c r="Z5" s="801">
        <v>56776</v>
      </c>
      <c r="AA5" s="801">
        <v>1555</v>
      </c>
      <c r="AB5" s="801">
        <v>218</v>
      </c>
      <c r="AC5" s="801">
        <v>1644</v>
      </c>
      <c r="AD5" s="801">
        <v>203</v>
      </c>
      <c r="AE5" s="801">
        <v>12</v>
      </c>
      <c r="AF5" s="801">
        <v>8</v>
      </c>
      <c r="AG5" s="801">
        <v>30</v>
      </c>
    </row>
    <row r="6">
      <c r="A6" s="794" t="s">
        <v>1702</v>
      </c>
      <c r="B6" s="794" t="s">
        <v>1703</v>
      </c>
      <c r="C6" s="794" t="s">
        <v>1700</v>
      </c>
      <c r="D6" s="794">
        <v>3</v>
      </c>
      <c r="E6" s="794">
        <v>6</v>
      </c>
      <c r="F6" s="794">
        <v>8</v>
      </c>
      <c r="G6" s="794">
        <v>17659.2</v>
      </c>
      <c r="H6" s="795">
        <v>5581.7</v>
      </c>
      <c r="I6" s="796">
        <f t="shared" si="2"/>
      </c>
      <c r="J6" s="796">
        <f t="shared" si="0"/>
      </c>
      <c r="K6" s="796">
        <f t="shared" si="1"/>
      </c>
      <c r="L6" s="794"/>
      <c r="M6" s="797"/>
      <c r="N6" s="794"/>
      <c r="O6" s="794"/>
      <c r="P6" s="798"/>
      <c r="Q6" s="799">
        <v>2.445968448729185</v>
      </c>
      <c r="R6" s="800">
        <v>0.17994616152676607</v>
      </c>
      <c r="S6" s="800">
        <v>0.038838586697528765</v>
      </c>
      <c r="T6" s="800">
        <v>0.04207229899925114</v>
      </c>
      <c r="U6" s="800">
        <v>0.07726537216828479</v>
      </c>
      <c r="V6" s="801">
        <v>10572.916666666668</v>
      </c>
      <c r="W6" s="800">
        <v>0.0192</v>
      </c>
      <c r="X6" s="801">
        <v>50</v>
      </c>
      <c r="Y6" s="799">
        <v>94.99795765538838</v>
      </c>
      <c r="Z6" s="801">
        <v>58756</v>
      </c>
      <c r="AA6" s="801">
        <v>2282</v>
      </c>
      <c r="AB6" s="801">
        <v>203</v>
      </c>
      <c r="AC6" s="801">
        <v>2472</v>
      </c>
      <c r="AD6" s="801">
        <v>191</v>
      </c>
      <c r="AE6" s="801">
        <v>18</v>
      </c>
      <c r="AF6" s="801">
        <v>4</v>
      </c>
      <c r="AG6" s="801">
        <v>35</v>
      </c>
    </row>
    <row r="7">
      <c r="A7" s="802" t="s">
        <v>1702</v>
      </c>
      <c r="B7" s="802" t="s">
        <v>1701</v>
      </c>
      <c r="C7" s="803"/>
      <c r="D7" s="803">
        <f>SUM(D5:D6)</f>
      </c>
      <c r="E7" s="803">
        <f>E5+E6</f>
      </c>
      <c r="F7" s="803">
        <f>SUM(F5:F6)</f>
      </c>
      <c r="G7" s="803">
        <f>SUM(G5:G6)</f>
      </c>
      <c r="H7" s="803">
        <f>SUM(H5:H6)</f>
      </c>
      <c r="I7" s="804">
        <f t="shared" si="2"/>
      </c>
      <c r="J7" s="804">
        <f t="shared" si="0"/>
      </c>
      <c r="K7" s="804">
        <f t="shared" si="1"/>
      </c>
      <c r="L7" s="803"/>
      <c r="M7" s="805">
        <f>SUM(M5:M6)</f>
      </c>
      <c r="N7" s="803"/>
      <c r="O7" s="803"/>
      <c r="P7" s="803"/>
      <c r="Q7" s="806">
        <f>AVERAGE(Q5:Q6)</f>
      </c>
      <c r="R7" s="807">
        <f>AVERAGE(R5:R6)</f>
      </c>
      <c r="S7" s="807">
        <f>AVERAGE(S5:S6)</f>
      </c>
      <c r="T7" s="807">
        <f>AVERAGE(T5:T6)</f>
      </c>
      <c r="U7" s="807">
        <f>AVERAGE(U5:U6)</f>
      </c>
      <c r="V7" s="808">
        <f>SUM(V5:V6)</f>
      </c>
      <c r="W7" s="807">
        <f>AVERAGE(W5:W6)</f>
      </c>
      <c r="X7" s="808">
        <f>AVERAGE(X5:X6)</f>
      </c>
      <c r="Y7" s="806">
        <f>AVERAGE(Y5:Y6)</f>
      </c>
      <c r="Z7" s="808">
        <f>SUM(Z5:Z6)</f>
      </c>
      <c r="AA7" s="808">
        <f>SUM(AA5:AA6)</f>
      </c>
      <c r="AB7" s="808">
        <f>SUM(AB5:AB6)</f>
      </c>
      <c r="AC7" s="808">
        <f>SUM(AC5:AC6)</f>
      </c>
      <c r="AD7" s="808">
        <f>SUM(AD5:AD6)</f>
      </c>
      <c r="AE7" s="808">
        <f>SUM(AE5:AE6)</f>
      </c>
      <c r="AF7" s="808">
        <f>SUM(AF5:AF6)</f>
      </c>
      <c r="AG7" s="808">
        <f>SUM(AG5:AG6)</f>
      </c>
    </row>
    <row r="8">
      <c r="A8" s="794" t="s">
        <v>1704</v>
      </c>
      <c r="B8" s="794" t="s">
        <v>1705</v>
      </c>
      <c r="C8" s="794" t="s">
        <v>1697</v>
      </c>
      <c r="D8" s="794">
        <v>4</v>
      </c>
      <c r="E8" s="794">
        <v>5</v>
      </c>
      <c r="F8" s="794">
        <v>8</v>
      </c>
      <c r="G8" s="794">
        <v>16633.5</v>
      </c>
      <c r="H8" s="795">
        <v>6602.89</v>
      </c>
      <c r="I8" s="796">
        <f t="shared" si="2"/>
      </c>
      <c r="J8" s="796">
        <f t="shared" si="0"/>
      </c>
      <c r="K8" s="796">
        <f t="shared" si="1"/>
      </c>
      <c r="L8" s="794" t="s">
        <v>1706</v>
      </c>
      <c r="M8" s="797">
        <v>7</v>
      </c>
      <c r="N8" s="798"/>
      <c r="O8" s="794"/>
      <c r="P8" s="798"/>
      <c r="Q8" s="799">
        <v>3.8189415847310584</v>
      </c>
      <c r="R8" s="800">
        <v>0.2487800890632719</v>
      </c>
      <c r="S8" s="800">
        <v>0.029746748331154083</v>
      </c>
      <c r="T8" s="800">
        <v>0.03188011836762783</v>
      </c>
      <c r="U8" s="800">
        <v>0.09498111171073934</v>
      </c>
      <c r="V8" s="801">
        <v>14460.093896713615</v>
      </c>
      <c r="W8" s="800">
        <v>0.015975</v>
      </c>
      <c r="X8" s="801">
        <v>52</v>
      </c>
      <c r="Y8" s="799">
        <v>113.60109421237355</v>
      </c>
      <c r="Z8" s="801">
        <v>58124</v>
      </c>
      <c r="AA8" s="801">
        <v>1729</v>
      </c>
      <c r="AB8" s="801">
        <v>231</v>
      </c>
      <c r="AC8" s="801">
        <v>1853</v>
      </c>
      <c r="AD8" s="801">
        <v>176</v>
      </c>
      <c r="AE8" s="801">
        <v>23</v>
      </c>
      <c r="AF8" s="801">
        <v>8</v>
      </c>
      <c r="AG8" s="801">
        <v>40</v>
      </c>
    </row>
    <row r="9">
      <c r="A9" s="794" t="s">
        <v>1704</v>
      </c>
      <c r="B9" s="794" t="s">
        <v>1699</v>
      </c>
      <c r="C9" s="794" t="s">
        <v>1700</v>
      </c>
      <c r="D9" s="794">
        <v>3</v>
      </c>
      <c r="E9" s="794">
        <v>8</v>
      </c>
      <c r="F9" s="794">
        <v>11</v>
      </c>
      <c r="G9" s="794">
        <v>23815.35</v>
      </c>
      <c r="H9" s="795">
        <v>4685.82</v>
      </c>
      <c r="I9" s="796">
        <f t="shared" si="2"/>
      </c>
      <c r="J9" s="796">
        <f t="shared" si="0"/>
      </c>
      <c r="K9" s="796">
        <f t="shared" si="1"/>
      </c>
      <c r="L9" s="794"/>
      <c r="M9" s="797"/>
      <c r="N9" s="794"/>
      <c r="O9" s="794"/>
      <c r="P9" s="798"/>
      <c r="Q9" s="799">
        <v>3.174674796747967</v>
      </c>
      <c r="R9" s="800">
        <v>0.1857158248128506</v>
      </c>
      <c r="S9" s="800">
        <v>0.03761755485893417</v>
      </c>
      <c r="T9" s="800">
        <v>0.041236587914468485</v>
      </c>
      <c r="U9" s="800">
        <v>0.09950556242274412</v>
      </c>
      <c r="V9" s="801">
        <v>7286.931818181819</v>
      </c>
      <c r="W9" s="800">
        <v>0.023466666666666663</v>
      </c>
      <c r="X9" s="801">
        <v>55</v>
      </c>
      <c r="Y9" s="799">
        <v>119.42350332594235</v>
      </c>
      <c r="Z9" s="801">
        <v>39237</v>
      </c>
      <c r="AA9" s="801">
        <v>1476</v>
      </c>
      <c r="AB9" s="801">
        <v>171</v>
      </c>
      <c r="AC9" s="801">
        <v>1618</v>
      </c>
      <c r="AD9" s="801">
        <v>161</v>
      </c>
      <c r="AE9" s="801">
        <v>14</v>
      </c>
      <c r="AF9" s="801">
        <v>10</v>
      </c>
      <c r="AG9" s="801">
        <v>27</v>
      </c>
    </row>
    <row r="10">
      <c r="A10" s="802" t="s">
        <v>1704</v>
      </c>
      <c r="B10" s="802" t="s">
        <v>1701</v>
      </c>
      <c r="C10" s="803"/>
      <c r="D10" s="803">
        <f>SUM(D8:D9)</f>
      </c>
      <c r="E10" s="803">
        <f>E8+E9</f>
      </c>
      <c r="F10" s="803">
        <f>SUM(F8:F9)</f>
      </c>
      <c r="G10" s="803">
        <f>SUM(G8:G9)</f>
      </c>
      <c r="H10" s="803">
        <f>SUM(H8:H9)</f>
      </c>
      <c r="I10" s="804">
        <f t="shared" si="2"/>
      </c>
      <c r="J10" s="804">
        <f t="shared" si="0"/>
      </c>
      <c r="K10" s="804">
        <f t="shared" si="1"/>
      </c>
      <c r="L10" s="803"/>
      <c r="M10" s="805">
        <f>SUM(M8:M9)</f>
      </c>
      <c r="N10" s="803"/>
      <c r="O10" s="803"/>
      <c r="P10" s="803"/>
      <c r="Q10" s="806">
        <f>AVERAGE(Q8:Q9)</f>
      </c>
      <c r="R10" s="807">
        <f>AVERAGE(R8:R9)</f>
      </c>
      <c r="S10" s="807">
        <f>AVERAGE(S8:S9)</f>
      </c>
      <c r="T10" s="807">
        <f>AVERAGE(T8:T9)</f>
      </c>
      <c r="U10" s="807">
        <f>AVERAGE(U8:U9)</f>
      </c>
      <c r="V10" s="808">
        <f>SUM(V8:V9)</f>
      </c>
      <c r="W10" s="807">
        <f>AVERAGE(W8:W9)</f>
      </c>
      <c r="X10" s="808">
        <f>AVERAGE(X8:X9)</f>
      </c>
      <c r="Y10" s="806">
        <f>AVERAGE(Y8:Y9)</f>
      </c>
      <c r="Z10" s="808">
        <f>SUM(Z8:Z9)</f>
      </c>
      <c r="AA10" s="808">
        <f>SUM(AA8:AA9)</f>
      </c>
      <c r="AB10" s="808">
        <f>SUM(AB8:AB9)</f>
      </c>
      <c r="AC10" s="808">
        <f>SUM(AC8:AC9)</f>
      </c>
      <c r="AD10" s="808">
        <f>SUM(AD8:AD9)</f>
      </c>
      <c r="AE10" s="808">
        <f>SUM(AE8:AE9)</f>
      </c>
      <c r="AF10" s="808">
        <f>SUM(AF8:AF9)</f>
      </c>
      <c r="AG10" s="808">
        <f>SUM(AG8:AG9)</f>
      </c>
    </row>
    <row r="11">
      <c r="A11" s="794" t="s">
        <v>1707</v>
      </c>
      <c r="B11" s="794" t="s">
        <v>1699</v>
      </c>
      <c r="C11" s="794" t="s">
        <v>1697</v>
      </c>
      <c r="D11" s="794">
        <v>4</v>
      </c>
      <c r="E11" s="794">
        <v>6</v>
      </c>
      <c r="F11" s="794">
        <v>11</v>
      </c>
      <c r="G11" s="794">
        <v>25823.85</v>
      </c>
      <c r="H11" s="795">
        <v>5415.55</v>
      </c>
      <c r="I11" s="796">
        <f t="shared" si="2"/>
      </c>
      <c r="J11" s="796">
        <f t="shared" si="0"/>
      </c>
      <c r="K11" s="796">
        <f t="shared" si="1"/>
      </c>
      <c r="L11" s="794" t="s">
        <v>1706</v>
      </c>
      <c r="M11" s="797">
        <v>8</v>
      </c>
      <c r="N11" s="798"/>
      <c r="O11" s="794"/>
      <c r="P11" s="798"/>
      <c r="Q11" s="799">
        <v>3.6103666666666667</v>
      </c>
      <c r="R11" s="800">
        <v>0.30473519813906264</v>
      </c>
      <c r="S11" s="800">
        <v>0.03138140965292161</v>
      </c>
      <c r="T11" s="800">
        <v>0.03330613611163413</v>
      </c>
      <c r="U11" s="800">
        <v>0.11494974874371859</v>
      </c>
      <c r="V11" s="801">
        <v>14566.037735849055</v>
      </c>
      <c r="W11" s="800">
        <v>0.013250000000000001</v>
      </c>
      <c r="X11" s="801">
        <v>59</v>
      </c>
      <c r="Y11" s="799">
        <v>113.29839536391975</v>
      </c>
      <c r="Z11" s="801">
        <v>47799</v>
      </c>
      <c r="AA11" s="801">
        <v>1500</v>
      </c>
      <c r="AB11" s="801">
        <v>193</v>
      </c>
      <c r="AC11" s="801">
        <v>1592</v>
      </c>
      <c r="AD11" s="801">
        <v>183</v>
      </c>
      <c r="AE11" s="801">
        <v>19</v>
      </c>
      <c r="AF11" s="801">
        <v>4</v>
      </c>
      <c r="AG11" s="801">
        <v>27</v>
      </c>
    </row>
    <row r="12">
      <c r="A12" s="794" t="s">
        <v>1707</v>
      </c>
      <c r="B12" s="794" t="s">
        <v>1696</v>
      </c>
      <c r="C12" s="794" t="s">
        <v>1708</v>
      </c>
      <c r="D12" s="794">
        <v>4</v>
      </c>
      <c r="E12" s="794">
        <v>6</v>
      </c>
      <c r="F12" s="794">
        <v>10</v>
      </c>
      <c r="G12" s="794">
        <v>24254.1</v>
      </c>
      <c r="H12" s="795">
        <v>5120.08</v>
      </c>
      <c r="I12" s="796">
        <f t="shared" si="2"/>
      </c>
      <c r="J12" s="796">
        <f t="shared" si="0"/>
      </c>
      <c r="K12" s="796">
        <f t="shared" si="1"/>
      </c>
      <c r="L12" s="794"/>
      <c r="M12" s="797"/>
      <c r="N12" s="794"/>
      <c r="O12" s="794"/>
      <c r="P12" s="798"/>
      <c r="Q12" s="799">
        <v>3.699479768786127</v>
      </c>
      <c r="R12" s="800">
        <v>0.196775238830599</v>
      </c>
      <c r="S12" s="800">
        <v>0.03722431414739107</v>
      </c>
      <c r="T12" s="800">
        <v>0.03964497041420118</v>
      </c>
      <c r="U12" s="800">
        <v>0.1350067842605156</v>
      </c>
      <c r="V12" s="801">
        <v>7316.1033797216705</v>
      </c>
      <c r="W12" s="800">
        <v>0.02515</v>
      </c>
      <c r="X12" s="801">
        <v>60.5</v>
      </c>
      <c r="Y12" s="799">
        <v>137.71059709521248</v>
      </c>
      <c r="Z12" s="801">
        <v>37180</v>
      </c>
      <c r="AA12" s="801">
        <v>1384</v>
      </c>
      <c r="AB12" s="801">
        <v>184</v>
      </c>
      <c r="AC12" s="801">
        <v>1474</v>
      </c>
      <c r="AD12" s="801">
        <v>199</v>
      </c>
      <c r="AE12" s="801">
        <v>8</v>
      </c>
      <c r="AF12" s="801">
        <v>3</v>
      </c>
      <c r="AG12" s="801">
        <v>16</v>
      </c>
    </row>
    <row r="13">
      <c r="A13" s="802" t="s">
        <v>1707</v>
      </c>
      <c r="B13" s="802" t="s">
        <v>1701</v>
      </c>
      <c r="C13" s="803"/>
      <c r="D13" s="803">
        <f>SUM(D11:D12)</f>
      </c>
      <c r="E13" s="803">
        <f>E11+E12</f>
      </c>
      <c r="F13" s="803">
        <f>SUM(F11:F12)</f>
      </c>
      <c r="G13" s="803">
        <f>SUM(G11:G12)</f>
      </c>
      <c r="H13" s="803">
        <f>SUM(H11:H12)</f>
      </c>
      <c r="I13" s="804">
        <f t="shared" si="2"/>
      </c>
      <c r="J13" s="804">
        <f t="shared" si="0"/>
      </c>
      <c r="K13" s="804">
        <f t="shared" si="1"/>
      </c>
      <c r="L13" s="803"/>
      <c r="M13" s="805">
        <f>SUM(M11:M12)</f>
      </c>
      <c r="N13" s="803"/>
      <c r="O13" s="803"/>
      <c r="P13" s="803"/>
      <c r="Q13" s="806">
        <f>AVERAGE(Q11:Q12)</f>
      </c>
      <c r="R13" s="807">
        <f>AVERAGE(R11:R12)</f>
      </c>
      <c r="S13" s="807">
        <f>AVERAGE(S11:S12)</f>
      </c>
      <c r="T13" s="807">
        <f>AVERAGE(T11:T12)</f>
      </c>
      <c r="U13" s="807">
        <f>AVERAGE(U11:U12)</f>
      </c>
      <c r="V13" s="808">
        <f>SUM(V11:V12)</f>
      </c>
      <c r="W13" s="807">
        <f>AVERAGE(W11:W12)</f>
      </c>
      <c r="X13" s="808">
        <f>AVERAGE(X11:X12)</f>
      </c>
      <c r="Y13" s="806">
        <f>AVERAGE(Y11:Y12)</f>
      </c>
      <c r="Z13" s="808">
        <f>SUM(Z11:Z12)</f>
      </c>
      <c r="AA13" s="808">
        <f>SUM(AA11:AA12)</f>
      </c>
      <c r="AB13" s="808">
        <f>SUM(AB11:AB12)</f>
      </c>
      <c r="AC13" s="808">
        <f>SUM(AC11:AC12)</f>
      </c>
      <c r="AD13" s="808">
        <f>SUM(AD11:AD12)</f>
      </c>
      <c r="AE13" s="808">
        <f>SUM(AE11:AE12)</f>
      </c>
      <c r="AF13" s="808">
        <f>SUM(AF11:AF12)</f>
      </c>
      <c r="AG13" s="808">
        <f>SUM(AG11:AG12)</f>
      </c>
    </row>
    <row r="14">
      <c r="A14" s="794" t="s">
        <v>1709</v>
      </c>
      <c r="B14" s="794" t="s">
        <v>1699</v>
      </c>
      <c r="C14" s="794" t="s">
        <v>1697</v>
      </c>
      <c r="D14" s="794">
        <v>4</v>
      </c>
      <c r="E14" s="794">
        <v>8</v>
      </c>
      <c r="F14" s="794">
        <v>11</v>
      </c>
      <c r="G14" s="794">
        <v>33996.3</v>
      </c>
      <c r="H14" s="795">
        <v>6219.34</v>
      </c>
      <c r="I14" s="796">
        <f t="shared" si="2"/>
      </c>
      <c r="J14" s="796">
        <f t="shared" si="0"/>
      </c>
      <c r="K14" s="796">
        <f t="shared" si="1"/>
      </c>
      <c r="L14" s="794" t="s">
        <v>1706</v>
      </c>
      <c r="M14" s="797">
        <v>8</v>
      </c>
      <c r="N14" s="798"/>
      <c r="O14" s="794"/>
      <c r="P14" s="798"/>
      <c r="Q14" s="799">
        <v>4.593308714918759</v>
      </c>
      <c r="R14" s="800">
        <v>0.2346704954821378</v>
      </c>
      <c r="S14" s="800">
        <v>0.029811312446333033</v>
      </c>
      <c r="T14" s="800">
        <v>0.031836896453026266</v>
      </c>
      <c r="U14" s="800">
        <v>0.11894882434301521</v>
      </c>
      <c r="V14" s="801">
        <v>10658.499234303217</v>
      </c>
      <c r="W14" s="800">
        <v>0.016325</v>
      </c>
      <c r="X14" s="801">
        <v>46.5</v>
      </c>
      <c r="Y14" s="799">
        <v>136.9325612629076</v>
      </c>
      <c r="Z14" s="801">
        <v>45419</v>
      </c>
      <c r="AA14" s="801">
        <v>1354</v>
      </c>
      <c r="AB14" s="801">
        <v>174</v>
      </c>
      <c r="AC14" s="801">
        <v>1446</v>
      </c>
      <c r="AD14" s="801">
        <v>172</v>
      </c>
      <c r="AE14" s="801">
        <v>13</v>
      </c>
      <c r="AF14" s="801">
        <v>3</v>
      </c>
      <c r="AG14" s="801">
        <v>30</v>
      </c>
    </row>
    <row r="15">
      <c r="A15" s="794" t="s">
        <v>1709</v>
      </c>
      <c r="B15" s="794" t="s">
        <v>1696</v>
      </c>
      <c r="C15" s="794" t="s">
        <v>1708</v>
      </c>
      <c r="D15" s="794">
        <v>4</v>
      </c>
      <c r="E15" s="794">
        <v>5</v>
      </c>
      <c r="F15" s="794">
        <v>7</v>
      </c>
      <c r="G15" s="794">
        <v>18306.6</v>
      </c>
      <c r="H15" s="795">
        <v>6186.66</v>
      </c>
      <c r="I15" s="796">
        <f t="shared" si="2"/>
      </c>
      <c r="J15" s="796">
        <f t="shared" si="0"/>
      </c>
      <c r="K15" s="796">
        <f t="shared" si="1"/>
      </c>
      <c r="L15" s="794"/>
      <c r="M15" s="797"/>
      <c r="N15" s="794"/>
      <c r="O15" s="794"/>
      <c r="P15" s="798"/>
      <c r="Q15" s="799">
        <v>3.4677664974619287</v>
      </c>
      <c r="R15" s="800">
        <v>0.16886628809780507</v>
      </c>
      <c r="S15" s="800">
        <v>0.03635058944131215</v>
      </c>
      <c r="T15" s="800">
        <v>0.040389543823680166</v>
      </c>
      <c r="U15" s="800">
        <v>0.12233502538071066</v>
      </c>
      <c r="V15" s="801">
        <v>8236.453201970442</v>
      </c>
      <c r="W15" s="800">
        <v>0.025375</v>
      </c>
      <c r="X15" s="801">
        <v>52</v>
      </c>
      <c r="Y15" s="799">
        <v>126.0553562275756</v>
      </c>
      <c r="Z15" s="801">
        <v>48775</v>
      </c>
      <c r="AA15" s="801">
        <v>1773</v>
      </c>
      <c r="AB15" s="801">
        <v>209</v>
      </c>
      <c r="AC15" s="801">
        <v>1970</v>
      </c>
      <c r="AD15" s="801">
        <v>241</v>
      </c>
      <c r="AE15" s="801">
        <v>16</v>
      </c>
      <c r="AF15" s="801">
        <v>3</v>
      </c>
      <c r="AG15" s="801">
        <v>30</v>
      </c>
    </row>
    <row r="16">
      <c r="A16" s="802" t="s">
        <v>1709</v>
      </c>
      <c r="B16" s="802" t="s">
        <v>1701</v>
      </c>
      <c r="C16" s="803"/>
      <c r="D16" s="803">
        <f>SUM(D14:D15)</f>
      </c>
      <c r="E16" s="803">
        <f>E14+E15</f>
      </c>
      <c r="F16" s="803">
        <f>SUM(F14:F15)</f>
      </c>
      <c r="G16" s="803">
        <f>SUM(G14:G15)</f>
      </c>
      <c r="H16" s="803">
        <f>SUM(H14:H15)</f>
      </c>
      <c r="I16" s="804">
        <f t="shared" si="2"/>
      </c>
      <c r="J16" s="804">
        <f t="shared" si="0"/>
      </c>
      <c r="K16" s="804">
        <f t="shared" si="1"/>
      </c>
      <c r="L16" s="803"/>
      <c r="M16" s="805">
        <f>SUM(M14:M15)</f>
      </c>
      <c r="N16" s="803"/>
      <c r="O16" s="803"/>
      <c r="P16" s="803"/>
      <c r="Q16" s="806">
        <f>AVERAGE(Q14:Q15)</f>
      </c>
      <c r="R16" s="807">
        <f>AVERAGE(R14:R15)</f>
      </c>
      <c r="S16" s="807">
        <f>AVERAGE(S14:S15)</f>
      </c>
      <c r="T16" s="807">
        <f>AVERAGE(T14:T15)</f>
      </c>
      <c r="U16" s="807">
        <f>AVERAGE(U14:U15)</f>
      </c>
      <c r="V16" s="808">
        <f>SUM(V14:V15)</f>
      </c>
      <c r="W16" s="807">
        <f>AVERAGE(W14:W15)</f>
      </c>
      <c r="X16" s="808">
        <f>AVERAGE(X14:X15)</f>
      </c>
      <c r="Y16" s="806">
        <f>AVERAGE(Y14:Y15)</f>
      </c>
      <c r="Z16" s="808">
        <f>SUM(Z14:Z15)</f>
      </c>
      <c r="AA16" s="808">
        <f>SUM(AA14:AA15)</f>
      </c>
      <c r="AB16" s="808">
        <f>SUM(AB14:AB15)</f>
      </c>
      <c r="AC16" s="808">
        <f>SUM(AC14:AC15)</f>
      </c>
      <c r="AD16" s="808">
        <f>SUM(AD14:AD15)</f>
      </c>
      <c r="AE16" s="808">
        <f>SUM(AE14:AE15)</f>
      </c>
      <c r="AF16" s="808">
        <f>SUM(AF14:AF15)</f>
      </c>
      <c r="AG16" s="808">
        <f>SUM(AG14:AG15)</f>
      </c>
    </row>
    <row r="17">
      <c r="A17" s="794" t="s">
        <v>1710</v>
      </c>
      <c r="B17" s="794" t="s">
        <v>1696</v>
      </c>
      <c r="C17" s="794" t="s">
        <v>1697</v>
      </c>
      <c r="D17" s="794">
        <v>4</v>
      </c>
      <c r="E17" s="794">
        <v>7</v>
      </c>
      <c r="F17" s="794">
        <v>8</v>
      </c>
      <c r="G17" s="794">
        <v>18550.35</v>
      </c>
      <c r="H17" s="795">
        <v>5331.53</v>
      </c>
      <c r="I17" s="796">
        <f t="shared" si="2"/>
      </c>
      <c r="J17" s="796">
        <f t="shared" si="0"/>
      </c>
      <c r="K17" s="796">
        <f t="shared" si="1"/>
      </c>
      <c r="L17" s="794" t="s">
        <v>1711</v>
      </c>
      <c r="M17" s="797">
        <v>2.2</v>
      </c>
      <c r="N17" s="798"/>
      <c r="O17" s="794"/>
      <c r="P17" s="798"/>
      <c r="Q17" s="799">
        <v>4.366527436527436</v>
      </c>
      <c r="R17" s="800">
        <v>0.30070218440720775</v>
      </c>
      <c r="S17" s="800">
        <v>0.029846732992739985</v>
      </c>
      <c r="T17" s="800">
        <v>0.03236451636559192</v>
      </c>
      <c r="U17" s="800">
        <v>0.13141993957703926</v>
      </c>
      <c r="V17" s="801">
        <v>12301.425661914462</v>
      </c>
      <c r="W17" s="800">
        <v>0.012275</v>
      </c>
      <c r="X17" s="801">
        <v>51</v>
      </c>
      <c r="Y17" s="799">
        <v>130.3265785035078</v>
      </c>
      <c r="Z17" s="801">
        <v>40909</v>
      </c>
      <c r="AA17" s="801">
        <v>1221</v>
      </c>
      <c r="AB17" s="801">
        <v>151</v>
      </c>
      <c r="AC17" s="801">
        <v>1324</v>
      </c>
      <c r="AD17" s="801">
        <v>174</v>
      </c>
      <c r="AE17" s="801">
        <v>1</v>
      </c>
      <c r="AF17" s="801">
        <v>2</v>
      </c>
      <c r="AG17" s="801">
        <v>24</v>
      </c>
    </row>
    <row r="18">
      <c r="A18" s="794" t="s">
        <v>1710</v>
      </c>
      <c r="B18" s="794" t="s">
        <v>1705</v>
      </c>
      <c r="C18" s="794" t="s">
        <v>1708</v>
      </c>
      <c r="D18" s="794">
        <v>4</v>
      </c>
      <c r="E18" s="794">
        <v>8</v>
      </c>
      <c r="F18" s="794">
        <v>11</v>
      </c>
      <c r="G18" s="794">
        <v>30108</v>
      </c>
      <c r="H18" s="795">
        <v>5355.8</v>
      </c>
      <c r="I18" s="796">
        <f t="shared" si="2"/>
      </c>
      <c r="J18" s="796">
        <f t="shared" si="0"/>
      </c>
      <c r="K18" s="796">
        <f t="shared" si="1"/>
      </c>
      <c r="L18" s="794" t="s">
        <v>1706</v>
      </c>
      <c r="M18" s="797">
        <v>1.6</v>
      </c>
      <c r="N18" s="794"/>
      <c r="O18" s="794"/>
      <c r="P18" s="798"/>
      <c r="Q18" s="799">
        <v>3.4026683608640407</v>
      </c>
      <c r="R18" s="800">
        <v>0.1985532963253224</v>
      </c>
      <c r="S18" s="800">
        <v>0.040145892315147806</v>
      </c>
      <c r="T18" s="800">
        <v>0.0422373555742597</v>
      </c>
      <c r="U18" s="800">
        <v>0.10144927536231885</v>
      </c>
      <c r="V18" s="801">
        <v>7784.679089026915</v>
      </c>
      <c r="W18" s="800">
        <v>0.02415</v>
      </c>
      <c r="X18" s="801">
        <v>55</v>
      </c>
      <c r="Y18" s="799">
        <v>136.60315759940826</v>
      </c>
      <c r="Z18" s="801">
        <v>39207</v>
      </c>
      <c r="AA18" s="801">
        <v>1574</v>
      </c>
      <c r="AB18" s="801">
        <v>188</v>
      </c>
      <c r="AC18" s="801">
        <v>1656</v>
      </c>
      <c r="AD18" s="801">
        <v>168</v>
      </c>
      <c r="AE18" s="801">
        <v>21</v>
      </c>
      <c r="AF18" s="801">
        <v>10</v>
      </c>
      <c r="AG18" s="801">
        <v>38</v>
      </c>
    </row>
    <row r="19">
      <c r="A19" s="802" t="s">
        <v>1710</v>
      </c>
      <c r="B19" s="802" t="s">
        <v>1701</v>
      </c>
      <c r="C19" s="803"/>
      <c r="D19" s="803">
        <f>SUM(D17:D18)</f>
      </c>
      <c r="E19" s="803">
        <f>E17+E18</f>
      </c>
      <c r="F19" s="803">
        <f>SUM(F17:F18)</f>
      </c>
      <c r="G19" s="803">
        <f>SUM(G17:G18)</f>
      </c>
      <c r="H19" s="803">
        <f>SUM(H17:H18)</f>
      </c>
      <c r="I19" s="804">
        <f t="shared" si="2"/>
      </c>
      <c r="J19" s="804">
        <f t="shared" si="0"/>
      </c>
      <c r="K19" s="804">
        <f t="shared" si="1"/>
      </c>
      <c r="L19" s="803"/>
      <c r="M19" s="805">
        <f>SUM(M17:M18)</f>
      </c>
      <c r="N19" s="803"/>
      <c r="O19" s="803"/>
      <c r="P19" s="803"/>
      <c r="Q19" s="806">
        <f>AVERAGE(Q17:Q18)</f>
      </c>
      <c r="R19" s="807">
        <f>AVERAGE(R17:R18)</f>
      </c>
      <c r="S19" s="807">
        <f>AVERAGE(S17:S18)</f>
      </c>
      <c r="T19" s="807">
        <f>AVERAGE(T17:T18)</f>
      </c>
      <c r="U19" s="807">
        <f>AVERAGE(U17:U18)</f>
      </c>
      <c r="V19" s="808">
        <f>SUM(V17:V18)</f>
      </c>
      <c r="W19" s="807">
        <f>AVERAGE(W17:W18)</f>
      </c>
      <c r="X19" s="808">
        <f>AVERAGE(X17:X18)</f>
      </c>
      <c r="Y19" s="806">
        <f>AVERAGE(Y17:Y18)</f>
      </c>
      <c r="Z19" s="808">
        <f>SUM(Z17:Z18)</f>
      </c>
      <c r="AA19" s="808">
        <f>SUM(AA17:AA18)</f>
      </c>
      <c r="AB19" s="808">
        <f>SUM(AB17:AB18)</f>
      </c>
      <c r="AC19" s="808">
        <f>SUM(AC17:AC18)</f>
      </c>
      <c r="AD19" s="808">
        <f>SUM(AD17:AD18)</f>
      </c>
      <c r="AE19" s="808">
        <f>SUM(AE17:AE18)</f>
      </c>
      <c r="AF19" s="808">
        <f>SUM(AF17:AF18)</f>
      </c>
      <c r="AG19" s="808">
        <f>SUM(AG17:AG18)</f>
      </c>
    </row>
    <row r="20">
      <c r="A20" s="794" t="s">
        <v>1712</v>
      </c>
      <c r="B20" s="794" t="s">
        <v>1699</v>
      </c>
      <c r="C20" s="794" t="s">
        <v>1697</v>
      </c>
      <c r="D20" s="794">
        <v>4</v>
      </c>
      <c r="E20" s="794">
        <v>2</v>
      </c>
      <c r="F20" s="794">
        <v>4</v>
      </c>
      <c r="G20" s="794">
        <v>9040.2</v>
      </c>
      <c r="H20" s="795">
        <v>7178.52</v>
      </c>
      <c r="I20" s="796">
        <f t="shared" si="2"/>
      </c>
      <c r="J20" s="796">
        <f t="shared" si="0"/>
      </c>
      <c r="K20" s="796">
        <f t="shared" si="1"/>
      </c>
      <c r="L20" s="794" t="s">
        <v>1713</v>
      </c>
      <c r="M20" s="797">
        <v>3.8</v>
      </c>
      <c r="N20" s="798"/>
      <c r="O20" s="794"/>
      <c r="P20" s="798"/>
      <c r="Q20" s="799">
        <v>5.278323529411765</v>
      </c>
      <c r="R20" s="800">
        <v>0.14139305464144006</v>
      </c>
      <c r="S20" s="800">
        <v>0.01826067107966218</v>
      </c>
      <c r="T20" s="800">
        <v>0.01890516535306202</v>
      </c>
      <c r="U20" s="800">
        <v>0.12286931818181818</v>
      </c>
      <c r="V20" s="801">
        <v>10530.530530530532</v>
      </c>
      <c r="W20" s="800">
        <v>0.024974999999999997</v>
      </c>
      <c r="X20" s="801">
        <v>49.75</v>
      </c>
      <c r="Y20" s="799">
        <v>96.38572982262981</v>
      </c>
      <c r="Z20" s="801">
        <v>74477</v>
      </c>
      <c r="AA20" s="801">
        <v>1360</v>
      </c>
      <c r="AB20" s="801">
        <v>263</v>
      </c>
      <c r="AC20" s="801">
        <v>1408</v>
      </c>
      <c r="AD20" s="801">
        <v>173</v>
      </c>
      <c r="AE20" s="801">
        <v>13</v>
      </c>
      <c r="AF20" s="801">
        <v>8</v>
      </c>
      <c r="AG20" s="801">
        <v>44</v>
      </c>
    </row>
    <row r="21">
      <c r="A21" s="794" t="s">
        <v>1712</v>
      </c>
      <c r="B21" s="794" t="s">
        <v>1705</v>
      </c>
      <c r="C21" s="794" t="s">
        <v>1708</v>
      </c>
      <c r="D21" s="794">
        <v>4</v>
      </c>
      <c r="E21" s="794">
        <v>9</v>
      </c>
      <c r="F21" s="794">
        <v>10</v>
      </c>
      <c r="G21" s="794">
        <v>27668.55</v>
      </c>
      <c r="H21" s="795">
        <v>5161.150000000001</v>
      </c>
      <c r="I21" s="796">
        <f t="shared" si="2"/>
      </c>
      <c r="J21" s="796">
        <f t="shared" si="0"/>
      </c>
      <c r="K21" s="796">
        <f t="shared" si="1"/>
      </c>
      <c r="L21" s="794"/>
      <c r="M21" s="797"/>
      <c r="N21" s="794"/>
      <c r="O21" s="794"/>
      <c r="P21" s="798"/>
      <c r="Q21" s="799">
        <v>3.811779911373708</v>
      </c>
      <c r="R21" s="800">
        <v>0.16962477938644846</v>
      </c>
      <c r="S21" s="800">
        <v>0.035928461497638384</v>
      </c>
      <c r="T21" s="800">
        <v>0.03892692246457571</v>
      </c>
      <c r="U21" s="800">
        <v>0.11929107021131562</v>
      </c>
      <c r="V21" s="801">
        <v>6392.479435957696</v>
      </c>
      <c r="W21" s="800">
        <v>0.021275000000000002</v>
      </c>
      <c r="X21" s="801">
        <v>57.25</v>
      </c>
      <c r="Y21" s="799">
        <v>136.9513877832617</v>
      </c>
      <c r="Z21" s="801">
        <v>37686</v>
      </c>
      <c r="AA21" s="801">
        <v>1354</v>
      </c>
      <c r="AB21" s="801">
        <v>136</v>
      </c>
      <c r="AC21" s="801">
        <v>1467</v>
      </c>
      <c r="AD21" s="801">
        <v>175</v>
      </c>
      <c r="AE21" s="801">
        <v>7</v>
      </c>
      <c r="AF21" s="801">
        <v>3</v>
      </c>
      <c r="AG21" s="801">
        <v>27</v>
      </c>
    </row>
    <row r="22">
      <c r="A22" s="802" t="s">
        <v>1712</v>
      </c>
      <c r="B22" s="802" t="s">
        <v>1701</v>
      </c>
      <c r="C22" s="803"/>
      <c r="D22" s="803">
        <f>SUM(D20:D21)</f>
      </c>
      <c r="E22" s="803">
        <f>E20+E21</f>
      </c>
      <c r="F22" s="803">
        <f>SUM(F20:F21)</f>
      </c>
      <c r="G22" s="803">
        <f>SUM(G20:G21)</f>
      </c>
      <c r="H22" s="803">
        <f>SUM(H20:H21)</f>
      </c>
      <c r="I22" s="804">
        <f t="shared" si="2"/>
      </c>
      <c r="J22" s="804">
        <f t="shared" si="0"/>
      </c>
      <c r="K22" s="804">
        <f t="shared" si="1"/>
      </c>
      <c r="L22" s="803"/>
      <c r="M22" s="805">
        <f>SUM(M20:M21)</f>
      </c>
      <c r="N22" s="803"/>
      <c r="O22" s="803"/>
      <c r="P22" s="803"/>
      <c r="Q22" s="806">
        <f>AVERAGE(Q20:Q21)</f>
      </c>
      <c r="R22" s="807">
        <f>AVERAGE(R20:R21)</f>
      </c>
      <c r="S22" s="807">
        <f>AVERAGE(S20:S21)</f>
      </c>
      <c r="T22" s="807">
        <f>AVERAGE(T20:T21)</f>
      </c>
      <c r="U22" s="807">
        <f>AVERAGE(U20:U21)</f>
      </c>
      <c r="V22" s="808">
        <f>SUM(V20:V21)</f>
      </c>
      <c r="W22" s="807">
        <f>AVERAGE(W20:W21)</f>
      </c>
      <c r="X22" s="808">
        <f>AVERAGE(X20:X21)</f>
      </c>
      <c r="Y22" s="806">
        <f>AVERAGE(Y20:Y21)</f>
      </c>
      <c r="Z22" s="808">
        <f>SUM(Z20:Z21)</f>
      </c>
      <c r="AA22" s="808">
        <f>SUM(AA20:AA21)</f>
      </c>
      <c r="AB22" s="808">
        <f>SUM(AB20:AB21)</f>
      </c>
      <c r="AC22" s="808">
        <f>SUM(AC20:AC21)</f>
      </c>
      <c r="AD22" s="808">
        <f>SUM(AD20:AD21)</f>
      </c>
      <c r="AE22" s="808">
        <f>SUM(AE20:AE21)</f>
      </c>
      <c r="AF22" s="808">
        <f>SUM(AF20:AF21)</f>
      </c>
      <c r="AG22" s="808">
        <f>SUM(AG20:AG21)</f>
      </c>
    </row>
    <row r="23">
      <c r="A23" s="794" t="s">
        <v>1714</v>
      </c>
      <c r="B23" s="794" t="s">
        <v>1696</v>
      </c>
      <c r="C23" s="794" t="s">
        <v>1697</v>
      </c>
      <c r="D23" s="794">
        <v>4</v>
      </c>
      <c r="E23" s="794">
        <v>9</v>
      </c>
      <c r="F23" s="794">
        <v>11</v>
      </c>
      <c r="G23" s="794">
        <v>29078.4</v>
      </c>
      <c r="H23" s="795">
        <v>6798.469999999999</v>
      </c>
      <c r="I23" s="796">
        <f t="shared" si="2"/>
      </c>
      <c r="J23" s="796">
        <f t="shared" si="0"/>
      </c>
      <c r="K23" s="796">
        <f t="shared" si="1"/>
      </c>
      <c r="L23" s="794" t="s">
        <v>1711</v>
      </c>
      <c r="M23" s="797">
        <v>8</v>
      </c>
      <c r="N23" s="798"/>
      <c r="O23" s="794"/>
      <c r="P23" s="798"/>
      <c r="Q23" s="799">
        <v>5.336318681318681</v>
      </c>
      <c r="R23" s="800">
        <v>0.15139373990539823</v>
      </c>
      <c r="S23" s="800">
        <v>0.019969278033794162</v>
      </c>
      <c r="T23" s="800">
        <v>0.021113514530236056</v>
      </c>
      <c r="U23" s="800">
        <v>0.18262806236080179</v>
      </c>
      <c r="V23" s="801">
        <v>9658.617818484596</v>
      </c>
      <c r="W23" s="800">
        <v>0.030025</v>
      </c>
      <c r="X23" s="801">
        <v>65</v>
      </c>
      <c r="Y23" s="799">
        <v>106.56243142418256</v>
      </c>
      <c r="Z23" s="801">
        <v>63798</v>
      </c>
      <c r="AA23" s="801">
        <v>1274</v>
      </c>
      <c r="AB23" s="801">
        <v>290</v>
      </c>
      <c r="AC23" s="801">
        <v>1347</v>
      </c>
      <c r="AD23" s="801">
        <v>246</v>
      </c>
      <c r="AE23" s="801">
        <v>17</v>
      </c>
      <c r="AF23" s="801">
        <v>1</v>
      </c>
      <c r="AG23" s="801">
        <v>40</v>
      </c>
    </row>
    <row r="24">
      <c r="A24" s="794" t="s">
        <v>1714</v>
      </c>
      <c r="B24" s="794" t="s">
        <v>1703</v>
      </c>
      <c r="C24" s="794" t="s">
        <v>1708</v>
      </c>
      <c r="D24" s="794">
        <v>4</v>
      </c>
      <c r="E24" s="794">
        <v>8</v>
      </c>
      <c r="F24" s="794">
        <v>11</v>
      </c>
      <c r="G24" s="794">
        <v>25314.9</v>
      </c>
      <c r="H24" s="795">
        <v>6499.39</v>
      </c>
      <c r="I24" s="796">
        <f t="shared" si="2"/>
      </c>
      <c r="J24" s="796">
        <f t="shared" si="0"/>
      </c>
      <c r="K24" s="796">
        <f t="shared" si="1"/>
      </c>
      <c r="L24" s="794"/>
      <c r="M24" s="797"/>
      <c r="N24" s="794"/>
      <c r="O24" s="794"/>
      <c r="P24" s="798"/>
      <c r="Q24" s="799">
        <v>3.803443786982249</v>
      </c>
      <c r="R24" s="800">
        <v>0.16615378724982793</v>
      </c>
      <c r="S24" s="800">
        <v>0.03225129291425736</v>
      </c>
      <c r="T24" s="800">
        <v>0.034655827178870634</v>
      </c>
      <c r="U24" s="800">
        <v>0.16740088105726872</v>
      </c>
      <c r="V24" s="801">
        <v>8706.624605678233</v>
      </c>
      <c r="W24" s="800">
        <v>0.023775</v>
      </c>
      <c r="X24" s="801">
        <v>62.25</v>
      </c>
      <c r="Y24" s="799">
        <v>122.66597965687679</v>
      </c>
      <c r="Z24" s="801">
        <v>52401</v>
      </c>
      <c r="AA24" s="801">
        <v>1690</v>
      </c>
      <c r="AB24" s="801">
        <v>207</v>
      </c>
      <c r="AC24" s="801">
        <v>1816</v>
      </c>
      <c r="AD24" s="801">
        <v>304</v>
      </c>
      <c r="AE24" s="801">
        <v>18</v>
      </c>
      <c r="AF24" s="801">
        <v>5</v>
      </c>
      <c r="AG24" s="801">
        <v>36</v>
      </c>
    </row>
    <row r="25">
      <c r="A25" s="802" t="s">
        <v>1714</v>
      </c>
      <c r="B25" s="802" t="s">
        <v>1701</v>
      </c>
      <c r="C25" s="803"/>
      <c r="D25" s="803">
        <f>SUM(D23:D24)</f>
      </c>
      <c r="E25" s="803">
        <f>E23+E24</f>
      </c>
      <c r="F25" s="803">
        <f>SUM(F23:F24)</f>
      </c>
      <c r="G25" s="803">
        <f>SUM(G23:G24)</f>
      </c>
      <c r="H25" s="803">
        <f>SUM(H23:H24)</f>
      </c>
      <c r="I25" s="804">
        <f t="shared" si="2"/>
      </c>
      <c r="J25" s="804">
        <f t="shared" si="0"/>
      </c>
      <c r="K25" s="804">
        <f t="shared" si="1"/>
      </c>
      <c r="L25" s="803"/>
      <c r="M25" s="805">
        <f>SUM(M23:M24)</f>
      </c>
      <c r="N25" s="803"/>
      <c r="O25" s="803"/>
      <c r="P25" s="803"/>
      <c r="Q25" s="806">
        <f>AVERAGE(Q23:Q24)</f>
      </c>
      <c r="R25" s="807">
        <f>AVERAGE(R23:R24)</f>
      </c>
      <c r="S25" s="807">
        <f>AVERAGE(S23:S24)</f>
      </c>
      <c r="T25" s="807">
        <f>AVERAGE(T23:T24)</f>
      </c>
      <c r="U25" s="807">
        <f>AVERAGE(U23:U24)</f>
      </c>
      <c r="V25" s="808">
        <f>SUM(V23:V24)</f>
      </c>
      <c r="W25" s="807">
        <f>AVERAGE(W23:W24)</f>
      </c>
      <c r="X25" s="808">
        <f>AVERAGE(X23:X24)</f>
      </c>
      <c r="Y25" s="806">
        <f>AVERAGE(Y23:Y24)</f>
      </c>
      <c r="Z25" s="808">
        <f>SUM(Z23:Z24)</f>
      </c>
      <c r="AA25" s="808">
        <f>SUM(AA23:AA24)</f>
      </c>
      <c r="AB25" s="808">
        <f>SUM(AB23:AB24)</f>
      </c>
      <c r="AC25" s="808">
        <f>SUM(AC23:AC24)</f>
      </c>
      <c r="AD25" s="808">
        <f>SUM(AD23:AD24)</f>
      </c>
      <c r="AE25" s="808">
        <f>SUM(AE23:AE24)</f>
      </c>
      <c r="AF25" s="808">
        <f>SUM(AF23:AF24)</f>
      </c>
      <c r="AG25" s="808">
        <f>SUM(AG23:AG24)</f>
      </c>
    </row>
    <row r="26">
      <c r="A26" s="794" t="s">
        <v>1715</v>
      </c>
      <c r="B26" s="794" t="s">
        <v>1696</v>
      </c>
      <c r="C26" s="794" t="s">
        <v>1697</v>
      </c>
      <c r="D26" s="794">
        <v>4</v>
      </c>
      <c r="E26" s="794">
        <v>10</v>
      </c>
      <c r="F26" s="794">
        <v>12</v>
      </c>
      <c r="G26" s="794">
        <v>31348.2</v>
      </c>
      <c r="H26" s="795">
        <v>6320.15</v>
      </c>
      <c r="I26" s="796">
        <f t="shared" si="2"/>
      </c>
      <c r="J26" s="796">
        <f t="shared" si="0"/>
      </c>
      <c r="K26" s="796">
        <f t="shared" si="1"/>
      </c>
      <c r="L26" s="794" t="s">
        <v>1711</v>
      </c>
      <c r="M26" s="797">
        <v>8</v>
      </c>
      <c r="N26" s="798"/>
      <c r="O26" s="794"/>
      <c r="P26" s="798"/>
      <c r="Q26" s="799">
        <v>5.491007819287575</v>
      </c>
      <c r="R26" s="800">
        <v>0.19697445784409862</v>
      </c>
      <c r="S26" s="800">
        <v>0.02253283999921693</v>
      </c>
      <c r="T26" s="800">
        <v>0.023903212544781817</v>
      </c>
      <c r="U26" s="800">
        <v>0.18018018018018017</v>
      </c>
      <c r="V26" s="801">
        <v>10061.652281134402</v>
      </c>
      <c r="W26" s="800">
        <v>0.020275</v>
      </c>
      <c r="X26" s="801">
        <v>61.25</v>
      </c>
      <c r="Y26" s="799">
        <v>123.72800062645602</v>
      </c>
      <c r="Z26" s="801">
        <v>51081</v>
      </c>
      <c r="AA26" s="801">
        <v>1151</v>
      </c>
      <c r="AB26" s="801">
        <v>204</v>
      </c>
      <c r="AC26" s="801">
        <v>1221</v>
      </c>
      <c r="AD26" s="801">
        <v>220</v>
      </c>
      <c r="AE26" s="801">
        <v>9</v>
      </c>
      <c r="AF26" s="801">
        <v>4</v>
      </c>
      <c r="AG26" s="801">
        <v>24</v>
      </c>
    </row>
    <row r="27">
      <c r="A27" s="794" t="s">
        <v>1715</v>
      </c>
      <c r="B27" s="794" t="s">
        <v>1705</v>
      </c>
      <c r="C27" s="794" t="s">
        <v>1708</v>
      </c>
      <c r="D27" s="794">
        <v>4</v>
      </c>
      <c r="E27" s="794">
        <v>8</v>
      </c>
      <c r="F27" s="794">
        <v>11</v>
      </c>
      <c r="G27" s="794">
        <v>24316.5</v>
      </c>
      <c r="H27" s="795">
        <v>9222.38</v>
      </c>
      <c r="I27" s="796">
        <f t="shared" si="2"/>
      </c>
      <c r="J27" s="796">
        <f t="shared" si="0"/>
      </c>
      <c r="K27" s="796">
        <f t="shared" si="1"/>
      </c>
      <c r="L27" s="794"/>
      <c r="M27" s="797"/>
      <c r="N27" s="794"/>
      <c r="O27" s="794"/>
      <c r="P27" s="798"/>
      <c r="Q27" s="799">
        <v>4.636691804927098</v>
      </c>
      <c r="R27" s="800">
        <v>0.10132932917822919</v>
      </c>
      <c r="S27" s="800">
        <v>0.024295503682802595</v>
      </c>
      <c r="T27" s="800">
        <v>0.0259078749679358</v>
      </c>
      <c r="U27" s="800">
        <v>0.1324846770391325</v>
      </c>
      <c r="V27" s="801">
        <v>8295.52819183409</v>
      </c>
      <c r="W27" s="800">
        <v>0.038575</v>
      </c>
      <c r="X27" s="801">
        <v>61.75</v>
      </c>
      <c r="Y27" s="799">
        <v>112.65076282262694</v>
      </c>
      <c r="Z27" s="801">
        <v>81867</v>
      </c>
      <c r="AA27" s="801">
        <v>1989</v>
      </c>
      <c r="AB27" s="801">
        <v>320</v>
      </c>
      <c r="AC27" s="801">
        <v>2121</v>
      </c>
      <c r="AD27" s="801">
        <v>281</v>
      </c>
      <c r="AE27" s="801">
        <v>22</v>
      </c>
      <c r="AF27" s="801">
        <v>8</v>
      </c>
      <c r="AG27" s="801">
        <v>64</v>
      </c>
    </row>
    <row r="28">
      <c r="A28" s="802" t="s">
        <v>1715</v>
      </c>
      <c r="B28" s="802" t="s">
        <v>1701</v>
      </c>
      <c r="C28" s="803"/>
      <c r="D28" s="803">
        <f>D26+D27</f>
      </c>
      <c r="E28" s="803">
        <f>E26+E27</f>
      </c>
      <c r="F28" s="803">
        <f>SUM(F26:F27)</f>
      </c>
      <c r="G28" s="803">
        <f>SUM(G26:G27)</f>
      </c>
      <c r="H28" s="803">
        <f>SUM(H26:H27)</f>
      </c>
      <c r="I28" s="804">
        <f t="shared" si="2"/>
      </c>
      <c r="J28" s="804">
        <f t="shared" si="0"/>
      </c>
      <c r="K28" s="804">
        <f t="shared" si="1"/>
      </c>
      <c r="L28" s="803"/>
      <c r="M28" s="805">
        <f>SUM(M26:M27)</f>
      </c>
      <c r="N28" s="803"/>
      <c r="O28" s="803"/>
      <c r="P28" s="803"/>
      <c r="Q28" s="806">
        <f>AVERAGE(Q26:Q27)</f>
      </c>
      <c r="R28" s="807">
        <f>AVERAGE(R26:R27)</f>
      </c>
      <c r="S28" s="807">
        <f>AVERAGE(S26:S27)</f>
      </c>
      <c r="T28" s="807">
        <f>AVERAGE(T26:T27)</f>
      </c>
      <c r="U28" s="807">
        <f>AVERAGE(U26:U27)</f>
      </c>
      <c r="V28" s="808">
        <f>SUM(V26:V27)</f>
      </c>
      <c r="W28" s="807">
        <f>AVERAGE(W26:W27)</f>
      </c>
      <c r="X28" s="808">
        <f>AVERAGE(X26:X27)</f>
      </c>
      <c r="Y28" s="806">
        <f>AVERAGE(Y26:Y27)</f>
      </c>
      <c r="Z28" s="808">
        <f>SUM(Z26:Z27)</f>
      </c>
      <c r="AA28" s="808">
        <f>SUM(AA26:AA27)</f>
      </c>
      <c r="AB28" s="808">
        <f>SUM(AB26:AB27)</f>
      </c>
      <c r="AC28" s="808">
        <f>SUM(AC26:AC27)</f>
      </c>
      <c r="AD28" s="808">
        <f>SUM(AD26:AD27)</f>
      </c>
      <c r="AE28" s="808">
        <f>SUM(AE26:AE27)</f>
      </c>
      <c r="AF28" s="808">
        <f>SUM(AF26:AF27)</f>
      </c>
      <c r="AG28" s="808">
        <f>SUM(AG26:AG27)</f>
      </c>
    </row>
    <row r="29">
      <c r="A29" s="794" t="s">
        <v>1716</v>
      </c>
      <c r="B29" s="794" t="s">
        <v>1705</v>
      </c>
      <c r="C29" s="794" t="s">
        <v>1697</v>
      </c>
      <c r="D29" s="794">
        <v>4</v>
      </c>
      <c r="E29" s="794">
        <v>1</v>
      </c>
      <c r="F29" s="794">
        <v>2</v>
      </c>
      <c r="G29" s="794">
        <v>4056</v>
      </c>
      <c r="H29" s="795">
        <v>6376.69</v>
      </c>
      <c r="I29" s="796">
        <f t="shared" si="2"/>
      </c>
      <c r="J29" s="796">
        <f t="shared" si="0"/>
      </c>
      <c r="K29" s="796">
        <f t="shared" si="1"/>
      </c>
      <c r="L29" s="794" t="s">
        <v>1711</v>
      </c>
      <c r="M29" s="797">
        <v>8</v>
      </c>
      <c r="N29" s="798"/>
      <c r="O29" s="794"/>
      <c r="P29" s="798"/>
      <c r="Q29" s="799">
        <v>5.2699917355371895</v>
      </c>
      <c r="R29" s="800">
        <v>0.23795600093754662</v>
      </c>
      <c r="S29" s="800">
        <v>0.023544978692767216</v>
      </c>
      <c r="T29" s="800">
        <v>0.025121130158977253</v>
      </c>
      <c r="U29" s="800">
        <v>0.08520526723470179</v>
      </c>
      <c r="V29" s="801">
        <v>12228.79684418146</v>
      </c>
      <c r="W29" s="800">
        <v>0.012675</v>
      </c>
      <c r="X29" s="801">
        <v>48.5</v>
      </c>
      <c r="Y29" s="799">
        <v>124.08184312428246</v>
      </c>
      <c r="Z29" s="801">
        <v>51391</v>
      </c>
      <c r="AA29" s="801">
        <v>1210</v>
      </c>
      <c r="AB29" s="801">
        <v>155</v>
      </c>
      <c r="AC29" s="801">
        <v>1291</v>
      </c>
      <c r="AD29" s="801">
        <v>110</v>
      </c>
      <c r="AE29" s="801">
        <v>6</v>
      </c>
      <c r="AF29" s="801">
        <v>4</v>
      </c>
      <c r="AG29" s="801">
        <v>28</v>
      </c>
    </row>
    <row r="30">
      <c r="A30" s="794" t="s">
        <v>1716</v>
      </c>
      <c r="B30" s="794" t="s">
        <v>1703</v>
      </c>
      <c r="C30" s="794" t="s">
        <v>1708</v>
      </c>
      <c r="D30" s="794">
        <v>4</v>
      </c>
      <c r="E30" s="794">
        <v>12</v>
      </c>
      <c r="F30" s="794">
        <v>13</v>
      </c>
      <c r="G30" s="794">
        <v>27132.3</v>
      </c>
      <c r="H30" s="795">
        <v>6050.540000000001</v>
      </c>
      <c r="I30" s="796">
        <f t="shared" si="2"/>
      </c>
      <c r="J30" s="796">
        <f t="shared" si="0"/>
      </c>
      <c r="K30" s="796">
        <f t="shared" si="1"/>
      </c>
      <c r="L30" s="794"/>
      <c r="M30" s="797"/>
      <c r="N30" s="794"/>
      <c r="O30" s="794"/>
      <c r="P30" s="798"/>
      <c r="Q30" s="799">
        <v>4.362321557317953</v>
      </c>
      <c r="R30" s="800">
        <v>0.27357131350747366</v>
      </c>
      <c r="S30" s="800">
        <v>0.035403425479235265</v>
      </c>
      <c r="T30" s="800">
        <v>0.03818567016361641</v>
      </c>
      <c r="U30" s="800">
        <v>0.19719251336898397</v>
      </c>
      <c r="V30" s="801">
        <v>10717.703349282296</v>
      </c>
      <c r="W30" s="800">
        <v>0.015675</v>
      </c>
      <c r="X30" s="801">
        <v>57.75</v>
      </c>
      <c r="Y30" s="799">
        <v>154.44112617096766</v>
      </c>
      <c r="Z30" s="801">
        <v>39177</v>
      </c>
      <c r="AA30" s="801">
        <v>1387</v>
      </c>
      <c r="AB30" s="801">
        <v>168</v>
      </c>
      <c r="AC30" s="801">
        <v>1496</v>
      </c>
      <c r="AD30" s="801">
        <v>295</v>
      </c>
      <c r="AE30" s="801">
        <v>16</v>
      </c>
      <c r="AF30" s="801">
        <v>3</v>
      </c>
      <c r="AG30" s="801">
        <v>14</v>
      </c>
    </row>
    <row r="31">
      <c r="A31" s="802" t="s">
        <v>1716</v>
      </c>
      <c r="B31" s="802" t="s">
        <v>1701</v>
      </c>
      <c r="C31" s="803"/>
      <c r="D31" s="803">
        <f>D29+D30</f>
      </c>
      <c r="E31" s="803">
        <f>E29+E30</f>
      </c>
      <c r="F31" s="803">
        <f>SUM(F29:F30)</f>
      </c>
      <c r="G31" s="803">
        <f>SUM(G29:G30)</f>
      </c>
      <c r="H31" s="803">
        <f>SUM(H29:H30)</f>
      </c>
      <c r="I31" s="804">
        <f t="shared" si="2"/>
      </c>
      <c r="J31" s="804">
        <f t="shared" si="0"/>
      </c>
      <c r="K31" s="804">
        <f t="shared" si="1"/>
      </c>
      <c r="L31" s="803"/>
      <c r="M31" s="805">
        <f>SUM(M29:M30)</f>
      </c>
      <c r="N31" s="803"/>
      <c r="O31" s="803"/>
      <c r="P31" s="803"/>
      <c r="Q31" s="806">
        <f>AVERAGE(Q29:Q30)</f>
      </c>
      <c r="R31" s="807">
        <f>AVERAGE(R29:R30)</f>
      </c>
      <c r="S31" s="807">
        <f>AVERAGE(S29:S30)</f>
      </c>
      <c r="T31" s="807">
        <f>AVERAGE(T29:T30)</f>
      </c>
      <c r="U31" s="807">
        <f>AVERAGE(U29:U30)</f>
      </c>
      <c r="V31" s="808">
        <f>SUM(V29:V30)</f>
      </c>
      <c r="W31" s="807">
        <f>AVERAGE(W29:W30)</f>
      </c>
      <c r="X31" s="808">
        <f>AVERAGE(X29:X30)</f>
      </c>
      <c r="Y31" s="806">
        <f>AVERAGE(Y29:Y30)</f>
      </c>
      <c r="Z31" s="808">
        <f>SUM(Z29:Z30)</f>
      </c>
      <c r="AA31" s="808">
        <f>SUM(AA29:AA30)</f>
      </c>
      <c r="AB31" s="808">
        <f>SUM(AB29:AB30)</f>
      </c>
      <c r="AC31" s="808">
        <f>SUM(AC29:AC30)</f>
      </c>
      <c r="AD31" s="808">
        <f>SUM(AD29:AD30)</f>
      </c>
      <c r="AE31" s="808">
        <f>SUM(AE29:AE30)</f>
      </c>
      <c r="AF31" s="808">
        <f>SUM(AF29:AF30)</f>
      </c>
      <c r="AG31" s="808">
        <f>SUM(AG29:AG30)</f>
      </c>
    </row>
    <row r="32">
      <c r="A32" s="794" t="s">
        <v>1717</v>
      </c>
      <c r="B32" s="794" t="s">
        <v>1703</v>
      </c>
      <c r="C32" s="794" t="s">
        <v>1697</v>
      </c>
      <c r="D32" s="794">
        <v>4</v>
      </c>
      <c r="E32" s="794">
        <v>5</v>
      </c>
      <c r="F32" s="794">
        <v>7</v>
      </c>
      <c r="G32" s="794">
        <v>15367.95</v>
      </c>
      <c r="H32" s="795">
        <v>5633.24</v>
      </c>
      <c r="I32" s="796">
        <f t="shared" si="2"/>
      </c>
      <c r="J32" s="796">
        <f t="shared" si="0"/>
      </c>
      <c r="K32" s="796">
        <f t="shared" si="1"/>
      </c>
      <c r="L32" s="794" t="s">
        <v>1711</v>
      </c>
      <c r="M32" s="797">
        <v>8</v>
      </c>
      <c r="N32" s="798"/>
      <c r="O32" s="794"/>
      <c r="P32" s="798"/>
      <c r="Q32" s="799">
        <v>4.967583774250441</v>
      </c>
      <c r="R32" s="800">
        <v>0.18457156003948283</v>
      </c>
      <c r="S32" s="800">
        <v>0.02671189315242739</v>
      </c>
      <c r="T32" s="800">
        <v>0.02890255105646244</v>
      </c>
      <c r="U32" s="800">
        <v>0.13528932355338225</v>
      </c>
      <c r="V32" s="801">
        <v>7835.6164383561645</v>
      </c>
      <c r="W32" s="800">
        <v>0.01825</v>
      </c>
      <c r="X32" s="801">
        <v>42</v>
      </c>
      <c r="Y32" s="799">
        <v>132.69356700350977</v>
      </c>
      <c r="Z32" s="801">
        <v>42453</v>
      </c>
      <c r="AA32" s="801">
        <v>1134</v>
      </c>
      <c r="AB32" s="801">
        <v>143</v>
      </c>
      <c r="AC32" s="801">
        <v>1227</v>
      </c>
      <c r="AD32" s="801">
        <v>166</v>
      </c>
      <c r="AE32" s="801">
        <v>9</v>
      </c>
      <c r="AF32" s="801">
        <v>4</v>
      </c>
      <c r="AG32" s="801">
        <v>25</v>
      </c>
    </row>
    <row r="33">
      <c r="A33" s="794" t="s">
        <v>1717</v>
      </c>
      <c r="B33" s="794" t="s">
        <v>1705</v>
      </c>
      <c r="C33" s="794" t="s">
        <v>1708</v>
      </c>
      <c r="D33" s="794">
        <v>4</v>
      </c>
      <c r="E33" s="794">
        <v>9</v>
      </c>
      <c r="F33" s="794">
        <v>11</v>
      </c>
      <c r="G33" s="794">
        <v>25628.85</v>
      </c>
      <c r="H33" s="795">
        <v>5085.34</v>
      </c>
      <c r="I33" s="796">
        <f t="shared" si="2"/>
      </c>
      <c r="J33" s="796">
        <f t="shared" si="0"/>
      </c>
      <c r="K33" s="796">
        <f t="shared" si="1"/>
      </c>
      <c r="L33" s="794"/>
      <c r="M33" s="797"/>
      <c r="N33" s="794"/>
      <c r="O33" s="794"/>
      <c r="P33" s="798"/>
      <c r="Q33" s="799">
        <v>3.5071310344827586</v>
      </c>
      <c r="R33" s="800">
        <v>0.23199822551883562</v>
      </c>
      <c r="S33" s="800">
        <v>0.036904125626733855</v>
      </c>
      <c r="T33" s="800">
        <v>0.040314575857066506</v>
      </c>
      <c r="U33" s="800">
        <v>0.08775252525252525</v>
      </c>
      <c r="V33" s="801">
        <v>9115.44227886057</v>
      </c>
      <c r="W33" s="800">
        <v>0.016675</v>
      </c>
      <c r="X33" s="801">
        <v>48.25</v>
      </c>
      <c r="Y33" s="799">
        <v>129.4276042859688</v>
      </c>
      <c r="Z33" s="801">
        <v>39291</v>
      </c>
      <c r="AA33" s="801">
        <v>1450</v>
      </c>
      <c r="AB33" s="801">
        <v>152</v>
      </c>
      <c r="AC33" s="801">
        <v>1584</v>
      </c>
      <c r="AD33" s="801">
        <v>139</v>
      </c>
      <c r="AE33" s="801">
        <v>10</v>
      </c>
      <c r="AF33" s="801">
        <v>0</v>
      </c>
      <c r="AG33" s="801">
        <v>22</v>
      </c>
    </row>
    <row r="34">
      <c r="A34" s="802" t="s">
        <v>1717</v>
      </c>
      <c r="B34" s="802" t="s">
        <v>1701</v>
      </c>
      <c r="C34" s="803"/>
      <c r="D34" s="803">
        <f>D32+D33</f>
      </c>
      <c r="E34" s="803">
        <f>E32+E33</f>
      </c>
      <c r="F34" s="803">
        <f>SUM(F32:F33)</f>
      </c>
      <c r="G34" s="803">
        <f>SUM(G32:G33)</f>
      </c>
      <c r="H34" s="803">
        <f>SUM(H32:H33)</f>
      </c>
      <c r="I34" s="804">
        <f t="shared" si="2"/>
      </c>
      <c r="J34" s="804">
        <f t="shared" si="0"/>
      </c>
      <c r="K34" s="804">
        <f t="shared" si="1"/>
      </c>
      <c r="L34" s="803"/>
      <c r="M34" s="805">
        <f>SUM(M32:M33)</f>
      </c>
      <c r="N34" s="803"/>
      <c r="O34" s="803"/>
      <c r="P34" s="803"/>
      <c r="Q34" s="806">
        <f>AVERAGE(Q32:Q33)</f>
      </c>
      <c r="R34" s="807">
        <f>AVERAGE(R32:R33)</f>
      </c>
      <c r="S34" s="807">
        <f>AVERAGE(S32:S33)</f>
      </c>
      <c r="T34" s="807">
        <f>AVERAGE(T32:T33)</f>
      </c>
      <c r="U34" s="807">
        <f>AVERAGE(U32:U33)</f>
      </c>
      <c r="V34" s="808">
        <f>SUM(V32:V33)</f>
      </c>
      <c r="W34" s="807">
        <f>AVERAGE(W32:W33)</f>
      </c>
      <c r="X34" s="808">
        <f>AVERAGE(X32:X33)</f>
      </c>
      <c r="Y34" s="806">
        <f>AVERAGE(Y32:Y33)</f>
      </c>
      <c r="Z34" s="808">
        <f>SUM(Z32:Z33)</f>
      </c>
      <c r="AA34" s="808">
        <f>SUM(AA32:AA33)</f>
      </c>
      <c r="AB34" s="808">
        <f>SUM(AB32:AB33)</f>
      </c>
      <c r="AC34" s="808">
        <f>SUM(AC32:AC33)</f>
      </c>
      <c r="AD34" s="808">
        <f>SUM(AD32:AD33)</f>
      </c>
      <c r="AE34" s="808">
        <f>SUM(AE32:AE33)</f>
      </c>
      <c r="AF34" s="808">
        <f>SUM(AF32:AF33)</f>
      </c>
      <c r="AG34" s="808">
        <f>SUM(AG32:AG33)</f>
      </c>
    </row>
    <row r="35">
      <c r="A35" s="794" t="s">
        <v>1718</v>
      </c>
      <c r="B35" s="794" t="s">
        <v>1703</v>
      </c>
      <c r="C35" s="794" t="s">
        <v>1697</v>
      </c>
      <c r="D35" s="794">
        <v>4</v>
      </c>
      <c r="E35" s="794">
        <v>1</v>
      </c>
      <c r="F35" s="794">
        <v>4</v>
      </c>
      <c r="G35" s="794">
        <v>9812.4</v>
      </c>
      <c r="H35" s="795">
        <v>4088.09</v>
      </c>
      <c r="I35" s="796">
        <f t="shared" si="2"/>
      </c>
      <c r="J35" s="796">
        <f t="shared" si="0"/>
      </c>
      <c r="K35" s="796">
        <f t="shared" si="1"/>
      </c>
      <c r="L35" s="794" t="s">
        <v>1719</v>
      </c>
      <c r="M35" s="797">
        <v>3.2</v>
      </c>
      <c r="N35" s="798"/>
      <c r="O35" s="794"/>
      <c r="P35" s="798"/>
      <c r="Q35" s="799">
        <v>4.424339826839827</v>
      </c>
      <c r="R35" s="800">
        <v>0.18375255678407065</v>
      </c>
      <c r="S35" s="800">
        <v>0.030335861321776816</v>
      </c>
      <c r="T35" s="800">
        <v>0.03378311829016054</v>
      </c>
      <c r="U35" s="800">
        <v>0.09912536443148688</v>
      </c>
      <c r="V35" s="801">
        <v>5596.919127086008</v>
      </c>
      <c r="W35" s="800">
        <v>0.019475</v>
      </c>
      <c r="X35" s="801">
        <v>42.75</v>
      </c>
      <c r="Y35" s="799">
        <v>134.21615942742704</v>
      </c>
      <c r="Z35" s="801">
        <v>30459</v>
      </c>
      <c r="AA35" s="801">
        <v>924</v>
      </c>
      <c r="AB35" s="801">
        <v>109</v>
      </c>
      <c r="AC35" s="801">
        <v>1029</v>
      </c>
      <c r="AD35" s="801">
        <v>102</v>
      </c>
      <c r="AE35" s="801">
        <v>2</v>
      </c>
      <c r="AF35" s="801">
        <v>0</v>
      </c>
      <c r="AG35" s="801">
        <v>17</v>
      </c>
    </row>
    <row r="36">
      <c r="A36" s="794" t="s">
        <v>1718</v>
      </c>
      <c r="B36" s="794" t="s">
        <v>1705</v>
      </c>
      <c r="C36" s="794" t="s">
        <v>1708</v>
      </c>
      <c r="D36" s="794">
        <v>4</v>
      </c>
      <c r="E36" s="794">
        <v>4</v>
      </c>
      <c r="F36" s="794">
        <v>4</v>
      </c>
      <c r="G36" s="794">
        <v>12396.15</v>
      </c>
      <c r="H36" s="795">
        <v>3770.87</v>
      </c>
      <c r="I36" s="796">
        <f t="shared" si="2"/>
      </c>
      <c r="J36" s="796">
        <f t="shared" si="0"/>
      </c>
      <c r="K36" s="796">
        <f t="shared" si="1"/>
      </c>
      <c r="L36" s="794"/>
      <c r="M36" s="797"/>
      <c r="N36" s="794"/>
      <c r="O36" s="794"/>
      <c r="P36" s="798"/>
      <c r="Q36" s="799">
        <v>3.328217122683142</v>
      </c>
      <c r="R36" s="800">
        <v>0.32413870078481316</v>
      </c>
      <c r="S36" s="800">
        <v>0.0342130692112574</v>
      </c>
      <c r="T36" s="800">
        <v>0.038078270322502716</v>
      </c>
      <c r="U36" s="800">
        <v>0.10467882632831087</v>
      </c>
      <c r="V36" s="801">
        <v>10734.177215189873</v>
      </c>
      <c r="W36" s="800">
        <v>0.009875</v>
      </c>
      <c r="X36" s="801">
        <v>44.25</v>
      </c>
      <c r="Y36" s="799">
        <v>113.86852276845029</v>
      </c>
      <c r="Z36" s="801">
        <v>33116</v>
      </c>
      <c r="AA36" s="801">
        <v>1133</v>
      </c>
      <c r="AB36" s="801">
        <v>106</v>
      </c>
      <c r="AC36" s="801">
        <v>1261</v>
      </c>
      <c r="AD36" s="801">
        <v>132</v>
      </c>
      <c r="AE36" s="801">
        <v>8</v>
      </c>
      <c r="AF36" s="801">
        <v>3</v>
      </c>
      <c r="AG36" s="801">
        <v>10</v>
      </c>
    </row>
    <row r="37">
      <c r="A37" s="802" t="s">
        <v>1718</v>
      </c>
      <c r="B37" s="802" t="s">
        <v>1701</v>
      </c>
      <c r="C37" s="803"/>
      <c r="D37" s="803">
        <f>D35+D36</f>
      </c>
      <c r="E37" s="803">
        <f>E35+E36</f>
      </c>
      <c r="F37" s="803">
        <f>SUM(F35:F36)</f>
      </c>
      <c r="G37" s="803">
        <f>SUM(G35:G36)</f>
      </c>
      <c r="H37" s="803">
        <f>SUM(H35:H36)</f>
      </c>
      <c r="I37" s="804">
        <f t="shared" si="2"/>
      </c>
      <c r="J37" s="804">
        <f t="shared" si="0"/>
      </c>
      <c r="K37" s="804">
        <f t="shared" si="1"/>
      </c>
      <c r="L37" s="803"/>
      <c r="M37" s="805">
        <f>SUM(M35:M36)</f>
      </c>
      <c r="N37" s="803"/>
      <c r="O37" s="803"/>
      <c r="P37" s="803"/>
      <c r="Q37" s="806">
        <f>AVERAGE(Q35:Q36)</f>
      </c>
      <c r="R37" s="807">
        <f>AVERAGE(R35:R36)</f>
      </c>
      <c r="S37" s="807">
        <f>AVERAGE(S35:S36)</f>
      </c>
      <c r="T37" s="807">
        <f>AVERAGE(T35:T36)</f>
      </c>
      <c r="U37" s="807">
        <f>AVERAGE(U35:U36)</f>
      </c>
      <c r="V37" s="808">
        <f>SUM(V35:V36)</f>
      </c>
      <c r="W37" s="807">
        <f>AVERAGE(W35:W36)</f>
      </c>
      <c r="X37" s="808">
        <f>AVERAGE(X35:X36)</f>
      </c>
      <c r="Y37" s="806">
        <f>AVERAGE(Y35:Y36)</f>
      </c>
      <c r="Z37" s="808">
        <f>SUM(Z35:Z36)</f>
      </c>
      <c r="AA37" s="808">
        <f>SUM(AA35:AA36)</f>
      </c>
      <c r="AB37" s="808">
        <f>SUM(AB35:AB36)</f>
      </c>
      <c r="AC37" s="808">
        <f>SUM(AC35:AC36)</f>
      </c>
      <c r="AD37" s="808">
        <f>SUM(AD35:AD36)</f>
      </c>
      <c r="AE37" s="808">
        <f>SUM(AE35:AE36)</f>
      </c>
      <c r="AF37" s="808">
        <f>SUM(AF35:AF36)</f>
      </c>
      <c r="AG37" s="808">
        <f>SUM(AG35:AG36)</f>
      </c>
    </row>
    <row r="38">
      <c r="A38" s="794" t="s">
        <v>1720</v>
      </c>
      <c r="B38" s="794" t="s">
        <v>1703</v>
      </c>
      <c r="C38" s="794" t="s">
        <v>1697</v>
      </c>
      <c r="D38" s="794">
        <v>4</v>
      </c>
      <c r="E38" s="794">
        <v>7</v>
      </c>
      <c r="F38" s="794">
        <v>8</v>
      </c>
      <c r="G38" s="794">
        <v>20549.1</v>
      </c>
      <c r="H38" s="795">
        <v>4018</v>
      </c>
      <c r="I38" s="796">
        <f t="shared" si="2"/>
      </c>
      <c r="J38" s="796">
        <f t="shared" si="0"/>
      </c>
      <c r="K38" s="796">
        <f t="shared" si="1"/>
      </c>
      <c r="L38" s="794" t="s">
        <v>1711</v>
      </c>
      <c r="M38" s="797">
        <v>8</v>
      </c>
      <c r="N38" s="798"/>
      <c r="O38" s="794"/>
      <c r="P38" s="798"/>
      <c r="Q38" s="799">
        <v>4.062689585439839</v>
      </c>
      <c r="R38" s="800">
        <v>0.20496865216501672</v>
      </c>
      <c r="S38" s="800">
        <v>0.03221288515406162</v>
      </c>
      <c r="T38" s="800">
        <v>0.034297439906195035</v>
      </c>
      <c r="U38" s="800">
        <v>0.1339031339031339</v>
      </c>
      <c r="V38" s="801">
        <v>6292.947558770344</v>
      </c>
      <c r="W38" s="800">
        <v>0.013825</v>
      </c>
      <c r="X38" s="801">
        <v>34.5</v>
      </c>
      <c r="Y38" s="799">
        <v>130.87095303237575</v>
      </c>
      <c r="Z38" s="801">
        <v>30702</v>
      </c>
      <c r="AA38" s="801">
        <v>989</v>
      </c>
      <c r="AB38" s="801">
        <v>87</v>
      </c>
      <c r="AC38" s="801">
        <v>1053</v>
      </c>
      <c r="AD38" s="801">
        <v>141</v>
      </c>
      <c r="AE38" s="801">
        <v>12</v>
      </c>
      <c r="AF38" s="801">
        <v>1</v>
      </c>
      <c r="AG38" s="801">
        <v>12</v>
      </c>
    </row>
    <row r="39">
      <c r="A39" s="794" t="s">
        <v>1720</v>
      </c>
      <c r="B39" s="794" t="s">
        <v>1705</v>
      </c>
      <c r="C39" s="794" t="s">
        <v>1708</v>
      </c>
      <c r="D39" s="794">
        <v>4</v>
      </c>
      <c r="E39" s="794">
        <v>5</v>
      </c>
      <c r="F39" s="794">
        <v>7</v>
      </c>
      <c r="G39" s="794">
        <v>13511.55</v>
      </c>
      <c r="H39" s="795">
        <v>5610.66</v>
      </c>
      <c r="I39" s="796">
        <f t="shared" si="2"/>
      </c>
      <c r="J39" s="796">
        <f t="shared" si="0"/>
      </c>
      <c r="K39" s="796">
        <f t="shared" si="1"/>
      </c>
      <c r="L39" s="794"/>
      <c r="M39" s="797"/>
      <c r="N39" s="794"/>
      <c r="O39" s="794"/>
      <c r="P39" s="798"/>
      <c r="Q39" s="799">
        <v>3.254443155452436</v>
      </c>
      <c r="R39" s="800">
        <v>0.2337210409531202</v>
      </c>
      <c r="S39" s="800">
        <v>0.04284294234592445</v>
      </c>
      <c r="T39" s="800">
        <v>0.04726640159045726</v>
      </c>
      <c r="U39" s="800">
        <v>0.08569926393270241</v>
      </c>
      <c r="V39" s="801">
        <v>9404.934687953557</v>
      </c>
      <c r="W39" s="800">
        <v>0.017224999999999997</v>
      </c>
      <c r="X39" s="801">
        <v>43.25</v>
      </c>
      <c r="Y39" s="799">
        <v>139.4299204771372</v>
      </c>
      <c r="Z39" s="801">
        <v>40240</v>
      </c>
      <c r="AA39" s="801">
        <v>1724</v>
      </c>
      <c r="AB39" s="801">
        <v>162</v>
      </c>
      <c r="AC39" s="801">
        <v>1902</v>
      </c>
      <c r="AD39" s="801">
        <v>163</v>
      </c>
      <c r="AE39" s="801">
        <v>7</v>
      </c>
      <c r="AF39" s="801">
        <v>6</v>
      </c>
      <c r="AG39" s="801">
        <v>11</v>
      </c>
    </row>
    <row r="40">
      <c r="A40" s="802" t="s">
        <v>1720</v>
      </c>
      <c r="B40" s="802" t="s">
        <v>1701</v>
      </c>
      <c r="C40" s="803"/>
      <c r="D40" s="803">
        <f>D38+D39</f>
      </c>
      <c r="E40" s="803">
        <f>E38+E39</f>
      </c>
      <c r="F40" s="803">
        <f>SUM(F38:F39)</f>
      </c>
      <c r="G40" s="803">
        <f>SUM(G38:G39)</f>
      </c>
      <c r="H40" s="803">
        <f>SUM(H38:H39)</f>
      </c>
      <c r="I40" s="804">
        <f t="shared" si="2"/>
      </c>
      <c r="J40" s="804">
        <f t="shared" si="0"/>
      </c>
      <c r="K40" s="804">
        <f t="shared" si="1"/>
      </c>
      <c r="L40" s="803"/>
      <c r="M40" s="805">
        <f>SUM(M38:M39)</f>
      </c>
      <c r="N40" s="803"/>
      <c r="O40" s="803"/>
      <c r="P40" s="803"/>
      <c r="Q40" s="806">
        <f>AVERAGE(Q38:Q39)</f>
      </c>
      <c r="R40" s="807">
        <f>AVERAGE(R38:R39)</f>
      </c>
      <c r="S40" s="807">
        <f>AVERAGE(S38:S39)</f>
      </c>
      <c r="T40" s="807">
        <f>AVERAGE(T38:T39)</f>
      </c>
      <c r="U40" s="807">
        <f>AVERAGE(U38:U39)</f>
      </c>
      <c r="V40" s="808">
        <f>SUM(V38:V39)</f>
      </c>
      <c r="W40" s="807">
        <f>AVERAGE(W38:W39)</f>
      </c>
      <c r="X40" s="808">
        <f>AVERAGE(X38:X39)</f>
      </c>
      <c r="Y40" s="806">
        <f>AVERAGE(Y38:Y39)</f>
      </c>
      <c r="Z40" s="808">
        <f>SUM(Z38:Z39)</f>
      </c>
      <c r="AA40" s="808">
        <f>SUM(AA38:AA39)</f>
      </c>
      <c r="AB40" s="808">
        <f>SUM(AB38:AB39)</f>
      </c>
      <c r="AC40" s="808">
        <f>SUM(AC38:AC39)</f>
      </c>
      <c r="AD40" s="808">
        <f>SUM(AD38:AD39)</f>
      </c>
      <c r="AE40" s="808">
        <f>SUM(AE38:AE39)</f>
      </c>
      <c r="AF40" s="808">
        <f>SUM(AF38:AF39)</f>
      </c>
      <c r="AG40" s="808">
        <f>SUM(AG38:AG39)</f>
      </c>
    </row>
    <row r="41">
      <c r="A41" s="794" t="s">
        <v>1721</v>
      </c>
      <c r="B41" s="794" t="s">
        <v>1703</v>
      </c>
      <c r="C41" s="794" t="s">
        <v>1697</v>
      </c>
      <c r="D41" s="794">
        <v>4</v>
      </c>
      <c r="E41" s="794">
        <v>5</v>
      </c>
      <c r="F41" s="794">
        <v>8</v>
      </c>
      <c r="G41" s="794">
        <v>18470.4</v>
      </c>
      <c r="H41" s="795">
        <v>6432.280000000001</v>
      </c>
      <c r="I41" s="796">
        <f t="shared" si="2"/>
      </c>
      <c r="J41" s="796">
        <f t="shared" si="0"/>
      </c>
      <c r="K41" s="796">
        <f t="shared" si="1"/>
      </c>
      <c r="L41" s="794" t="s">
        <v>1711</v>
      </c>
      <c r="M41" s="797">
        <v>8</v>
      </c>
      <c r="N41" s="798"/>
      <c r="O41" s="794"/>
      <c r="P41" s="798"/>
      <c r="Q41" s="799">
        <v>5.166489959839358</v>
      </c>
      <c r="R41" s="800">
        <v>0.1836998475377375</v>
      </c>
      <c r="S41" s="800">
        <v>0.02576519525672068</v>
      </c>
      <c r="T41" s="800">
        <v>0.02833136731441816</v>
      </c>
      <c r="U41" s="800">
        <v>0.17531044558071585</v>
      </c>
      <c r="V41" s="801">
        <v>8876.560332871013</v>
      </c>
      <c r="W41" s="800">
        <v>0.018025</v>
      </c>
      <c r="X41" s="801">
        <v>46.75</v>
      </c>
      <c r="Y41" s="799">
        <v>133.11562260714805</v>
      </c>
      <c r="Z41" s="801">
        <v>48321</v>
      </c>
      <c r="AA41" s="801">
        <v>1245</v>
      </c>
      <c r="AB41" s="801">
        <v>160</v>
      </c>
      <c r="AC41" s="801">
        <v>1369</v>
      </c>
      <c r="AD41" s="801">
        <v>240</v>
      </c>
      <c r="AE41" s="801">
        <v>9</v>
      </c>
      <c r="AF41" s="801">
        <v>3</v>
      </c>
      <c r="AG41" s="801">
        <v>24</v>
      </c>
    </row>
    <row r="42">
      <c r="A42" s="794" t="s">
        <v>1721</v>
      </c>
      <c r="B42" s="794" t="s">
        <v>1705</v>
      </c>
      <c r="C42" s="794" t="s">
        <v>1708</v>
      </c>
      <c r="D42" s="794">
        <v>4</v>
      </c>
      <c r="E42" s="794">
        <v>12</v>
      </c>
      <c r="F42" s="794">
        <v>20</v>
      </c>
      <c r="G42" s="794">
        <v>40277.25</v>
      </c>
      <c r="H42" s="795">
        <v>6836.31</v>
      </c>
      <c r="I42" s="796">
        <f t="shared" si="2"/>
      </c>
      <c r="J42" s="796">
        <f t="shared" si="0"/>
      </c>
      <c r="K42" s="796">
        <f t="shared" si="1"/>
      </c>
      <c r="L42" s="794"/>
      <c r="M42" s="797"/>
      <c r="N42" s="794"/>
      <c r="O42" s="794"/>
      <c r="P42" s="798"/>
      <c r="Q42" s="799">
        <v>3.644088486140725</v>
      </c>
      <c r="R42" s="800">
        <v>0.19394635595036985</v>
      </c>
      <c r="S42" s="800">
        <v>0.03617571059431524</v>
      </c>
      <c r="T42" s="800">
        <v>0.03962744417447645</v>
      </c>
      <c r="U42" s="800">
        <v>0.09343065693430656</v>
      </c>
      <c r="V42" s="801">
        <v>10057.67012687428</v>
      </c>
      <c r="W42" s="800">
        <v>0.021675</v>
      </c>
      <c r="X42" s="801">
        <v>58</v>
      </c>
      <c r="Y42" s="799">
        <v>131.82749045470325</v>
      </c>
      <c r="Z42" s="801">
        <v>51858</v>
      </c>
      <c r="AA42" s="801">
        <v>1876</v>
      </c>
      <c r="AB42" s="801">
        <v>218</v>
      </c>
      <c r="AC42" s="801">
        <v>2055</v>
      </c>
      <c r="AD42" s="801">
        <v>192</v>
      </c>
      <c r="AE42" s="801">
        <v>18</v>
      </c>
      <c r="AF42" s="801">
        <v>3</v>
      </c>
      <c r="AG42" s="801">
        <v>15</v>
      </c>
    </row>
    <row r="43">
      <c r="A43" s="802" t="s">
        <v>1721</v>
      </c>
      <c r="B43" s="802" t="s">
        <v>1701</v>
      </c>
      <c r="C43" s="803"/>
      <c r="D43" s="803">
        <f>D41+D42</f>
      </c>
      <c r="E43" s="803">
        <f>SUM(E41:E42)</f>
      </c>
      <c r="F43" s="803">
        <f>SUM(F41:F42)</f>
      </c>
      <c r="G43" s="803">
        <f>SUM(G41:G42)</f>
      </c>
      <c r="H43" s="803">
        <f>SUM(H41:H42)</f>
      </c>
      <c r="I43" s="804">
        <f t="shared" si="2"/>
      </c>
      <c r="J43" s="804">
        <f t="shared" si="0"/>
      </c>
      <c r="K43" s="804">
        <f t="shared" si="1"/>
      </c>
      <c r="L43" s="803"/>
      <c r="M43" s="805">
        <f>SUM(M41:M42)</f>
      </c>
      <c r="N43" s="803"/>
      <c r="O43" s="803"/>
      <c r="P43" s="803"/>
      <c r="Q43" s="806">
        <f>AVERAGE(Q41:Q42)</f>
      </c>
      <c r="R43" s="807">
        <f>AVERAGE(R41:R42)</f>
      </c>
      <c r="S43" s="807">
        <f>AVERAGE(S41:S42)</f>
      </c>
      <c r="T43" s="807">
        <f>AVERAGE(T41:T42)</f>
      </c>
      <c r="U43" s="807">
        <f>AVERAGE(U41:U42)</f>
      </c>
      <c r="V43" s="808">
        <f>SUM(V41:V42)</f>
      </c>
      <c r="W43" s="807">
        <f>AVERAGE(W41:W42)</f>
      </c>
      <c r="X43" s="808">
        <f>AVERAGE(X41:X42)</f>
      </c>
      <c r="Y43" s="806">
        <f>AVERAGE(Y41:Y42)</f>
      </c>
      <c r="Z43" s="808">
        <f>SUM(Z41:Z42)</f>
      </c>
      <c r="AA43" s="808">
        <f>SUM(AA41:AA42)</f>
      </c>
      <c r="AB43" s="808">
        <f>SUM(AB41:AB42)</f>
      </c>
      <c r="AC43" s="808">
        <f>SUM(AC41:AC42)</f>
      </c>
      <c r="AD43" s="808">
        <f>SUM(AD41:AD42)</f>
      </c>
      <c r="AE43" s="808">
        <f>SUM(AE41:AE42)</f>
      </c>
      <c r="AF43" s="808">
        <f>SUM(AF41:AF42)</f>
      </c>
      <c r="AG43" s="808">
        <f>SUM(AG41:AG42)</f>
      </c>
    </row>
    <row r="44">
      <c r="A44" s="794" t="s">
        <v>1722</v>
      </c>
      <c r="B44" s="794" t="s">
        <v>1705</v>
      </c>
      <c r="C44" s="794" t="s">
        <v>1697</v>
      </c>
      <c r="D44" s="794">
        <v>4</v>
      </c>
      <c r="E44" s="794">
        <v>7</v>
      </c>
      <c r="F44" s="794">
        <v>7</v>
      </c>
      <c r="G44" s="794">
        <v>16346.849999999999</v>
      </c>
      <c r="H44" s="795">
        <v>7520.660000000001</v>
      </c>
      <c r="I44" s="796">
        <f t="shared" si="2"/>
      </c>
      <c r="J44" s="796">
        <f t="shared" si="0"/>
      </c>
      <c r="K44" s="796">
        <f t="shared" si="1"/>
      </c>
      <c r="L44" s="794" t="s">
        <v>1719</v>
      </c>
      <c r="M44" s="797">
        <v>3.2</v>
      </c>
      <c r="N44" s="798"/>
      <c r="O44" s="794"/>
      <c r="P44" s="798"/>
      <c r="Q44" s="799">
        <v>4.858307493540052</v>
      </c>
      <c r="R44" s="800">
        <v>0.21106917424486182</v>
      </c>
      <c r="S44" s="800">
        <v>0.025281311753850174</v>
      </c>
      <c r="T44" s="800">
        <v>0.02745341412029854</v>
      </c>
      <c r="U44" s="800">
        <v>0.09280190362879238</v>
      </c>
      <c r="V44" s="801">
        <v>12923.976608187135</v>
      </c>
      <c r="W44" s="800">
        <v>0.0171</v>
      </c>
      <c r="X44" s="801">
        <v>51.75</v>
      </c>
      <c r="Y44" s="799">
        <v>122.8243863402525</v>
      </c>
      <c r="Z44" s="801">
        <v>61231</v>
      </c>
      <c r="AA44" s="801">
        <v>1548</v>
      </c>
      <c r="AB44" s="801">
        <v>221</v>
      </c>
      <c r="AC44" s="801">
        <v>1681</v>
      </c>
      <c r="AD44" s="801">
        <v>156</v>
      </c>
      <c r="AE44" s="801">
        <v>19</v>
      </c>
      <c r="AF44" s="801">
        <v>4</v>
      </c>
      <c r="AG44" s="801">
        <v>32</v>
      </c>
    </row>
    <row r="45">
      <c r="A45" s="794" t="s">
        <v>1722</v>
      </c>
      <c r="B45" s="794" t="s">
        <v>1703</v>
      </c>
      <c r="C45" s="794" t="s">
        <v>1708</v>
      </c>
      <c r="D45" s="794">
        <v>4</v>
      </c>
      <c r="E45" s="794">
        <v>12</v>
      </c>
      <c r="F45" s="794">
        <v>15</v>
      </c>
      <c r="G45" s="794">
        <v>35088.3</v>
      </c>
      <c r="H45" s="795">
        <v>9328.83</v>
      </c>
      <c r="I45" s="796">
        <f t="shared" si="2"/>
      </c>
      <c r="J45" s="796">
        <f t="shared" si="0"/>
      </c>
      <c r="K45" s="796">
        <f t="shared" si="1"/>
      </c>
      <c r="L45" s="794"/>
      <c r="M45" s="797"/>
      <c r="N45" s="794"/>
      <c r="O45" s="794"/>
      <c r="P45" s="798"/>
      <c r="Q45" s="799">
        <v>3.786970546984572</v>
      </c>
      <c r="R45" s="800">
        <v>0.1742689435456816</v>
      </c>
      <c r="S45" s="800">
        <v>0.03697429603636929</v>
      </c>
      <c r="T45" s="800">
        <v>0.04029316692883442</v>
      </c>
      <c r="U45" s="800">
        <v>0.14671814671814673</v>
      </c>
      <c r="V45" s="801">
        <v>10081.632653061226</v>
      </c>
      <c r="W45" s="800">
        <v>0.024499999999999997</v>
      </c>
      <c r="X45" s="801">
        <v>50</v>
      </c>
      <c r="Y45" s="799">
        <v>140.02057008521894</v>
      </c>
      <c r="Z45" s="801">
        <v>57851</v>
      </c>
      <c r="AA45" s="801">
        <v>2139</v>
      </c>
      <c r="AB45" s="801">
        <v>247</v>
      </c>
      <c r="AC45" s="801">
        <v>2331</v>
      </c>
      <c r="AD45" s="801">
        <v>342</v>
      </c>
      <c r="AE45" s="801">
        <v>23</v>
      </c>
      <c r="AF45" s="801">
        <v>1</v>
      </c>
      <c r="AG45" s="801">
        <v>36</v>
      </c>
    </row>
    <row r="46">
      <c r="A46" s="802" t="s">
        <v>1722</v>
      </c>
      <c r="B46" s="802" t="s">
        <v>1701</v>
      </c>
      <c r="C46" s="803"/>
      <c r="D46" s="803">
        <f>D44+D45</f>
      </c>
      <c r="E46" s="803">
        <f>SUM(E44:E45)</f>
      </c>
      <c r="F46" s="803">
        <f>SUM(F44:F45)</f>
      </c>
      <c r="G46" s="803">
        <f>SUM(G44:G45)</f>
      </c>
      <c r="H46" s="803">
        <f>SUM(H44:H45)</f>
      </c>
      <c r="I46" s="804">
        <f t="shared" si="2"/>
      </c>
      <c r="J46" s="804">
        <f t="shared" si="0"/>
      </c>
      <c r="K46" s="804">
        <f t="shared" si="1"/>
      </c>
      <c r="L46" s="803"/>
      <c r="M46" s="805">
        <f>SUM(M44:M45)</f>
      </c>
      <c r="N46" s="803"/>
      <c r="O46" s="803"/>
      <c r="P46" s="803"/>
      <c r="Q46" s="806">
        <f>AVERAGE(Q44:Q45)</f>
      </c>
      <c r="R46" s="807">
        <f>AVERAGE(R44:R45)</f>
      </c>
      <c r="S46" s="807">
        <f>AVERAGE(S44:S45)</f>
      </c>
      <c r="T46" s="807">
        <f>AVERAGE(T44:T45)</f>
      </c>
      <c r="U46" s="807">
        <f>AVERAGE(U44:U45)</f>
      </c>
      <c r="V46" s="808">
        <f>SUM(V44:V45)</f>
      </c>
      <c r="W46" s="807">
        <f>AVERAGE(W44:W45)</f>
      </c>
      <c r="X46" s="808">
        <f>AVERAGE(X44:X45)</f>
      </c>
      <c r="Y46" s="806">
        <f>AVERAGE(Y44:Y45)</f>
      </c>
      <c r="Z46" s="808">
        <f>SUM(Z44:Z45)</f>
      </c>
      <c r="AA46" s="808">
        <f>SUM(AA44:AA45)</f>
      </c>
      <c r="AB46" s="808">
        <f>SUM(AB44:AB45)</f>
      </c>
      <c r="AC46" s="808">
        <f>SUM(AC44:AC45)</f>
      </c>
      <c r="AD46" s="808">
        <f>SUM(AD44:AD45)</f>
      </c>
      <c r="AE46" s="808">
        <f>SUM(AE44:AE45)</f>
      </c>
      <c r="AF46" s="808">
        <f>SUM(AF44:AF45)</f>
      </c>
      <c r="AG46" s="808">
        <f>SUM(AG44:AG45)</f>
      </c>
    </row>
    <row r="47">
      <c r="A47" s="794" t="s">
        <v>1723</v>
      </c>
      <c r="B47" s="794" t="s">
        <v>1705</v>
      </c>
      <c r="C47" s="794" t="s">
        <v>1697</v>
      </c>
      <c r="D47" s="794">
        <v>4</v>
      </c>
      <c r="E47" s="794">
        <v>9</v>
      </c>
      <c r="F47" s="794">
        <v>13</v>
      </c>
      <c r="G47" s="794">
        <v>27849.9</v>
      </c>
      <c r="H47" s="795">
        <v>7200.65</v>
      </c>
      <c r="I47" s="796">
        <f t="shared" si="2"/>
      </c>
      <c r="J47" s="796">
        <f t="shared" si="0"/>
      </c>
      <c r="K47" s="796">
        <f t="shared" si="1"/>
      </c>
      <c r="L47" s="794" t="s">
        <v>1724</v>
      </c>
      <c r="M47" s="797">
        <v>8</v>
      </c>
      <c r="N47" s="798"/>
      <c r="O47" s="794"/>
      <c r="P47" s="798"/>
      <c r="Q47" s="799">
        <v>5.03</v>
      </c>
      <c r="R47" s="800">
        <v>0.1065</v>
      </c>
      <c r="S47" s="800">
        <v>0.0288</v>
      </c>
      <c r="T47" s="800">
        <v>0.0321</v>
      </c>
      <c r="U47" s="800">
        <v>0.1026</v>
      </c>
      <c r="V47" s="801">
        <v>5301</v>
      </c>
      <c r="W47" s="800">
        <v>0.0428</v>
      </c>
      <c r="X47" s="801">
        <v>59.5</v>
      </c>
      <c r="Y47" s="799">
        <v>144.73</v>
      </c>
      <c r="Z47" s="801">
        <v>49752</v>
      </c>
      <c r="AA47" s="801">
        <v>1432</v>
      </c>
      <c r="AB47" s="801">
        <v>227</v>
      </c>
      <c r="AC47" s="801">
        <v>1599</v>
      </c>
      <c r="AD47" s="801">
        <v>164</v>
      </c>
      <c r="AE47" s="801">
        <v>16</v>
      </c>
      <c r="AF47" s="801">
        <v>0</v>
      </c>
      <c r="AG47" s="801">
        <v>26</v>
      </c>
    </row>
    <row r="48">
      <c r="A48" s="794" t="s">
        <v>1723</v>
      </c>
      <c r="B48" s="794" t="s">
        <v>1703</v>
      </c>
      <c r="C48" s="794" t="s">
        <v>1708</v>
      </c>
      <c r="D48" s="794">
        <v>4</v>
      </c>
      <c r="E48" s="794">
        <v>13</v>
      </c>
      <c r="F48" s="794">
        <v>17</v>
      </c>
      <c r="G48" s="794">
        <v>36318.75</v>
      </c>
      <c r="H48" s="795">
        <v>7141.66</v>
      </c>
      <c r="I48" s="796">
        <f t="shared" si="2"/>
      </c>
      <c r="J48" s="796">
        <f t="shared" si="0"/>
      </c>
      <c r="K48" s="796">
        <f t="shared" si="1"/>
      </c>
      <c r="L48" s="794"/>
      <c r="M48" s="797"/>
      <c r="N48" s="794"/>
      <c r="O48" s="794"/>
      <c r="P48" s="798"/>
      <c r="Q48" s="799">
        <v>3.68</v>
      </c>
      <c r="R48" s="800">
        <v>0.1657</v>
      </c>
      <c r="S48" s="800">
        <v>0.0395</v>
      </c>
      <c r="T48" s="800">
        <v>0.0427</v>
      </c>
      <c r="U48" s="800">
        <v>0.1519</v>
      </c>
      <c r="V48" s="801">
        <v>8142</v>
      </c>
      <c r="W48" s="800">
        <v>0.0296</v>
      </c>
      <c r="X48" s="801">
        <v>54.25</v>
      </c>
      <c r="Y48" s="799">
        <v>145.3</v>
      </c>
      <c r="Z48" s="801">
        <v>49150</v>
      </c>
      <c r="AA48" s="801">
        <v>1943</v>
      </c>
      <c r="AB48" s="801">
        <v>241</v>
      </c>
      <c r="AC48" s="801">
        <v>2100</v>
      </c>
      <c r="AD48" s="801">
        <v>319</v>
      </c>
      <c r="AE48" s="801">
        <v>13</v>
      </c>
      <c r="AF48" s="801">
        <v>1</v>
      </c>
      <c r="AG48" s="801">
        <v>39</v>
      </c>
    </row>
    <row r="49">
      <c r="A49" s="802" t="s">
        <v>1723</v>
      </c>
      <c r="B49" s="802" t="s">
        <v>1701</v>
      </c>
      <c r="C49" s="803"/>
      <c r="D49" s="803">
        <f>D47+D48</f>
      </c>
      <c r="E49" s="803">
        <f>E47+E48</f>
      </c>
      <c r="F49" s="803">
        <f>SUM(F47:F48)</f>
      </c>
      <c r="G49" s="803">
        <f>SUM(G47:G48)</f>
      </c>
      <c r="H49" s="803">
        <f>SUM(H47:H48)</f>
      </c>
      <c r="I49" s="804">
        <f t="shared" si="2"/>
      </c>
      <c r="J49" s="804">
        <f t="shared" si="0"/>
      </c>
      <c r="K49" s="804">
        <f t="shared" si="1"/>
      </c>
      <c r="L49" s="803"/>
      <c r="M49" s="805">
        <f>SUM(M47:M48)</f>
      </c>
      <c r="N49" s="803"/>
      <c r="O49" s="803"/>
      <c r="P49" s="803"/>
      <c r="Q49" s="806">
        <f>AVERAGE(Q47:Q48)</f>
      </c>
      <c r="R49" s="807">
        <f>AVERAGE(R47:R48)</f>
      </c>
      <c r="S49" s="807">
        <f>AVERAGE(S47:S48)</f>
      </c>
      <c r="T49" s="807">
        <f>AVERAGE(T47:T48)</f>
      </c>
      <c r="U49" s="807">
        <f>AVERAGE(U47:U48)</f>
      </c>
      <c r="V49" s="808">
        <f>SUM(V47:V48)</f>
      </c>
      <c r="W49" s="807">
        <f>AVERAGE(W47:W48)</f>
      </c>
      <c r="X49" s="808">
        <f>AVERAGE(X47:X48)</f>
      </c>
      <c r="Y49" s="806">
        <f>AVERAGE(Y47:Y48)</f>
      </c>
      <c r="Z49" s="808">
        <f>SUM(Z47:Z48)</f>
      </c>
      <c r="AA49" s="808">
        <f>SUM(AA47:AA48)</f>
      </c>
      <c r="AB49" s="808">
        <f>SUM(AB47:AB48)</f>
      </c>
      <c r="AC49" s="808">
        <f>SUM(AC47:AC48)</f>
      </c>
      <c r="AD49" s="808">
        <f>SUM(AD47:AD48)</f>
      </c>
      <c r="AE49" s="808">
        <f>SUM(AE47:AE48)</f>
      </c>
      <c r="AF49" s="808">
        <f>SUM(AF47:AF48)</f>
      </c>
      <c r="AG49" s="808">
        <f>SUM(AG47:AG48)</f>
      </c>
    </row>
    <row r="50">
      <c r="A50" s="794" t="s">
        <v>1725</v>
      </c>
      <c r="B50" s="794" t="s">
        <v>1696</v>
      </c>
      <c r="C50" s="794" t="s">
        <v>1697</v>
      </c>
      <c r="D50" s="794">
        <v>4</v>
      </c>
      <c r="E50" s="794">
        <v>9</v>
      </c>
      <c r="F50" s="794">
        <v>14</v>
      </c>
      <c r="G50" s="794">
        <v>34899.15</v>
      </c>
      <c r="H50" s="795">
        <v>6384.92</v>
      </c>
      <c r="I50" s="796">
        <f t="shared" si="2"/>
      </c>
      <c r="J50" s="796">
        <f t="shared" si="0"/>
      </c>
      <c r="K50" s="796">
        <f t="shared" si="1"/>
      </c>
      <c r="L50" s="794" t="s">
        <v>1698</v>
      </c>
      <c r="M50" s="797">
        <v>3.2</v>
      </c>
      <c r="N50" s="798"/>
      <c r="O50" s="794"/>
      <c r="P50" s="798"/>
      <c r="Q50" s="799">
        <v>4.370239561943874</v>
      </c>
      <c r="R50" s="800">
        <v>0.1274935481871409</v>
      </c>
      <c r="S50" s="800">
        <v>0.032623986780698035</v>
      </c>
      <c r="T50" s="800">
        <v>0.034566688252238575</v>
      </c>
      <c r="U50" s="800">
        <v>0.1569767441860465</v>
      </c>
      <c r="V50" s="801">
        <v>5709.543568464731</v>
      </c>
      <c r="W50" s="800">
        <v>0.030125</v>
      </c>
      <c r="X50" s="801">
        <v>45.75</v>
      </c>
      <c r="Y50" s="799">
        <v>142.57463769734053</v>
      </c>
      <c r="Z50" s="801">
        <v>44783</v>
      </c>
      <c r="AA50" s="801">
        <v>1461</v>
      </c>
      <c r="AB50" s="801">
        <v>172</v>
      </c>
      <c r="AC50" s="801">
        <v>1548</v>
      </c>
      <c r="AD50" s="801">
        <v>243</v>
      </c>
      <c r="AE50" s="801">
        <v>11</v>
      </c>
      <c r="AF50" s="801">
        <v>2</v>
      </c>
      <c r="AG50" s="801">
        <v>23</v>
      </c>
    </row>
    <row r="51">
      <c r="A51" s="794" t="s">
        <v>1725</v>
      </c>
      <c r="B51" s="794" t="s">
        <v>1703</v>
      </c>
      <c r="C51" s="794" t="s">
        <v>1708</v>
      </c>
      <c r="D51" s="794">
        <v>4</v>
      </c>
      <c r="E51" s="794">
        <v>9</v>
      </c>
      <c r="F51" s="794">
        <v>12</v>
      </c>
      <c r="G51" s="794">
        <v>26658.45</v>
      </c>
      <c r="H51" s="795">
        <v>5514.35</v>
      </c>
      <c r="I51" s="796">
        <f t="shared" si="2"/>
      </c>
      <c r="J51" s="796">
        <f t="shared" si="0"/>
      </c>
      <c r="K51" s="796">
        <f t="shared" si="1"/>
      </c>
      <c r="L51" s="794"/>
      <c r="M51" s="797"/>
      <c r="N51" s="794"/>
      <c r="O51" s="794"/>
      <c r="P51" s="798"/>
      <c r="Q51" s="799">
        <v>3.5325752722613712</v>
      </c>
      <c r="R51" s="800">
        <v>0.12823924313198704</v>
      </c>
      <c r="S51" s="800">
        <v>0.04310725726278582</v>
      </c>
      <c r="T51" s="800">
        <v>0.04774660333591075</v>
      </c>
      <c r="U51" s="800">
        <v>0.1382301908617698</v>
      </c>
      <c r="V51" s="801">
        <v>4643.7994722955145</v>
      </c>
      <c r="W51" s="800">
        <v>0.028425</v>
      </c>
      <c r="X51" s="801">
        <v>48.5</v>
      </c>
      <c r="Y51" s="799">
        <v>152.2796310615266</v>
      </c>
      <c r="Z51" s="801">
        <v>36212</v>
      </c>
      <c r="AA51" s="801">
        <v>1561</v>
      </c>
      <c r="AB51" s="801">
        <v>132</v>
      </c>
      <c r="AC51" s="801">
        <v>1729</v>
      </c>
      <c r="AD51" s="801">
        <v>239</v>
      </c>
      <c r="AE51" s="801">
        <v>13</v>
      </c>
      <c r="AF51" s="801">
        <v>2</v>
      </c>
      <c r="AG51" s="801">
        <v>17</v>
      </c>
    </row>
    <row r="52">
      <c r="A52" s="802" t="s">
        <v>1725</v>
      </c>
      <c r="B52" s="802" t="s">
        <v>1701</v>
      </c>
      <c r="C52" s="803"/>
      <c r="D52" s="803">
        <f>D50+D51</f>
      </c>
      <c r="E52" s="803">
        <f>E50+E51</f>
      </c>
      <c r="F52" s="803">
        <f>SUM(F50:F51)</f>
      </c>
      <c r="G52" s="803">
        <f>SUM(G50:G51)</f>
      </c>
      <c r="H52" s="803">
        <f>SUM(H50:H51)</f>
      </c>
      <c r="I52" s="804">
        <f t="shared" si="2"/>
      </c>
      <c r="J52" s="804">
        <f t="shared" si="0"/>
      </c>
      <c r="K52" s="804">
        <f t="shared" si="1"/>
      </c>
      <c r="L52" s="803"/>
      <c r="M52" s="805">
        <f>SUM(M50:M51)</f>
      </c>
      <c r="N52" s="803"/>
      <c r="O52" s="803"/>
      <c r="P52" s="803"/>
      <c r="Q52" s="806">
        <f>AVERAGE(Q50:Q51)</f>
      </c>
      <c r="R52" s="807">
        <f>AVERAGE(R50:R51)</f>
      </c>
      <c r="S52" s="807">
        <f>AVERAGE(S50:S51)</f>
      </c>
      <c r="T52" s="807">
        <f>AVERAGE(T50:T51)</f>
      </c>
      <c r="U52" s="807">
        <f>AVERAGE(U50:U51)</f>
      </c>
      <c r="V52" s="808">
        <f>SUM(V50:V51)</f>
      </c>
      <c r="W52" s="807">
        <f>AVERAGE(W50:W51)</f>
      </c>
      <c r="X52" s="808">
        <f>AVERAGE(X50:X51)</f>
      </c>
      <c r="Y52" s="806">
        <f>AVERAGE(Y50:Y51)</f>
      </c>
      <c r="Z52" s="808">
        <f>SUM(Z50:Z51)</f>
      </c>
      <c r="AA52" s="808">
        <f>SUM(AA50:AA51)</f>
      </c>
      <c r="AB52" s="808">
        <f>SUM(AB50:AB51)</f>
      </c>
      <c r="AC52" s="808">
        <f>SUM(AC50:AC51)</f>
      </c>
      <c r="AD52" s="808">
        <f>SUM(AD50:AD51)</f>
      </c>
      <c r="AE52" s="808">
        <f>SUM(AE50:AE51)</f>
      </c>
      <c r="AF52" s="808">
        <f>SUM(AF50:AF51)</f>
      </c>
      <c r="AG52" s="808">
        <f>SUM(AG50:AG51)</f>
      </c>
    </row>
    <row r="53">
      <c r="A53" s="794" t="s">
        <v>1726</v>
      </c>
      <c r="B53" s="794" t="s">
        <v>1705</v>
      </c>
      <c r="C53" s="794" t="s">
        <v>1727</v>
      </c>
      <c r="D53" s="794">
        <v>5</v>
      </c>
      <c r="E53" s="794">
        <v>10</v>
      </c>
      <c r="F53" s="794">
        <v>10</v>
      </c>
      <c r="G53" s="794">
        <v>23031.45</v>
      </c>
      <c r="H53" s="795">
        <v>7709.140000000001</v>
      </c>
      <c r="I53" s="796">
        <f t="shared" si="2"/>
      </c>
      <c r="J53" s="796">
        <f t="shared" si="0"/>
      </c>
      <c r="K53" s="796">
        <f t="shared" si="1"/>
      </c>
      <c r="L53" s="794" t="s">
        <v>1719</v>
      </c>
      <c r="M53" s="797">
        <v>3.2</v>
      </c>
      <c r="N53" s="798"/>
      <c r="O53" s="794"/>
      <c r="P53" s="798"/>
      <c r="Q53" s="799">
        <v>4.422914515203672</v>
      </c>
      <c r="R53" s="800">
        <v>0.1622010259004783</v>
      </c>
      <c r="S53" s="800">
        <v>0.03002946091690643</v>
      </c>
      <c r="T53" s="800">
        <v>0.03207966507589201</v>
      </c>
      <c r="U53" s="800">
        <v>0.09344790547798067</v>
      </c>
      <c r="V53" s="801">
        <v>9414.634146341463</v>
      </c>
      <c r="W53" s="800">
        <v>0.0205</v>
      </c>
      <c r="X53" s="801">
        <v>44.75</v>
      </c>
      <c r="Y53" s="799">
        <v>132.81773857312683</v>
      </c>
      <c r="Z53" s="801">
        <v>58043</v>
      </c>
      <c r="AA53" s="801">
        <v>1743</v>
      </c>
      <c r="AB53" s="801">
        <v>193</v>
      </c>
      <c r="AC53" s="801">
        <v>1862</v>
      </c>
      <c r="AD53" s="801">
        <v>174</v>
      </c>
      <c r="AE53" s="801">
        <v>5</v>
      </c>
      <c r="AF53" s="801">
        <v>2</v>
      </c>
      <c r="AG53" s="801">
        <v>26</v>
      </c>
    </row>
    <row r="54">
      <c r="A54" s="794" t="s">
        <v>1726</v>
      </c>
      <c r="B54" s="794" t="s">
        <v>1728</v>
      </c>
      <c r="C54" s="794" t="s">
        <v>1729</v>
      </c>
      <c r="D54" s="794">
        <v>3</v>
      </c>
      <c r="E54" s="794">
        <v>6</v>
      </c>
      <c r="F54" s="794">
        <v>6</v>
      </c>
      <c r="G54" s="794">
        <v>13453.05</v>
      </c>
      <c r="H54" s="795">
        <v>5124.82</v>
      </c>
      <c r="I54" s="796">
        <f t="shared" si="2"/>
      </c>
      <c r="J54" s="796">
        <f t="shared" si="0"/>
      </c>
      <c r="K54" s="796">
        <f t="shared" si="1"/>
      </c>
      <c r="L54" s="794"/>
      <c r="M54" s="797"/>
      <c r="N54" s="794"/>
      <c r="O54" s="794"/>
      <c r="P54" s="798"/>
      <c r="Q54" s="799">
        <v>3.7244331395348835</v>
      </c>
      <c r="R54" s="800">
        <v>0.1706490741307649</v>
      </c>
      <c r="S54" s="800">
        <v>0.03605492086783356</v>
      </c>
      <c r="T54" s="800">
        <v>0.039304056178597634</v>
      </c>
      <c r="U54" s="800">
        <v>0.09466666666666666</v>
      </c>
      <c r="V54" s="801">
        <v>6512.651265126512</v>
      </c>
      <c r="W54" s="800">
        <v>0.022725000000000002</v>
      </c>
      <c r="X54" s="801">
        <v>50.6875</v>
      </c>
      <c r="Y54" s="799">
        <v>134.28414212346712</v>
      </c>
      <c r="Z54" s="801">
        <v>38164</v>
      </c>
      <c r="AA54" s="801">
        <v>1376</v>
      </c>
      <c r="AB54" s="801">
        <v>148</v>
      </c>
      <c r="AC54" s="801">
        <v>1500</v>
      </c>
      <c r="AD54" s="801">
        <v>142</v>
      </c>
      <c r="AE54" s="801">
        <v>12</v>
      </c>
      <c r="AF54" s="801">
        <v>0</v>
      </c>
      <c r="AG54" s="801">
        <v>19</v>
      </c>
    </row>
    <row r="55">
      <c r="A55" s="802" t="s">
        <v>1726</v>
      </c>
      <c r="B55" s="802" t="s">
        <v>1701</v>
      </c>
      <c r="C55" s="803"/>
      <c r="D55" s="803">
        <f>D53+D54</f>
      </c>
      <c r="E55" s="803">
        <f>E53+E54</f>
      </c>
      <c r="F55" s="803">
        <f>SUM(F53:F54)</f>
      </c>
      <c r="G55" s="803">
        <f>SUM(G53:G54)</f>
      </c>
      <c r="H55" s="803">
        <f>SUM(H53:H54)</f>
      </c>
      <c r="I55" s="804">
        <f t="shared" si="2"/>
      </c>
      <c r="J55" s="804">
        <f t="shared" si="0"/>
      </c>
      <c r="K55" s="804">
        <f t="shared" si="1"/>
      </c>
      <c r="L55" s="803"/>
      <c r="M55" s="805">
        <f>SUM(M53:M54)</f>
      </c>
      <c r="N55" s="803"/>
      <c r="O55" s="803"/>
      <c r="P55" s="803"/>
      <c r="Q55" s="806">
        <f>AVERAGE(Q53:Q54)</f>
      </c>
      <c r="R55" s="807">
        <f>AVERAGE(R53:R54)</f>
      </c>
      <c r="S55" s="807">
        <f>AVERAGE(S53:S54)</f>
      </c>
      <c r="T55" s="807">
        <f>AVERAGE(T53:T54)</f>
      </c>
      <c r="U55" s="807">
        <f>AVERAGE(U53:U54)</f>
      </c>
      <c r="V55" s="808">
        <f>SUM(V53:V54)</f>
      </c>
      <c r="W55" s="807">
        <f>AVERAGE(W53:W54)</f>
      </c>
      <c r="X55" s="808">
        <f>AVERAGE(X53:X54)</f>
      </c>
      <c r="Y55" s="806">
        <f>AVERAGE(Y53:Y54)</f>
      </c>
      <c r="Z55" s="808">
        <f>SUM(Z53:Z54)</f>
      </c>
      <c r="AA55" s="808">
        <f>SUM(AA53:AA54)</f>
      </c>
      <c r="AB55" s="808">
        <f>SUM(AB53:AB54)</f>
      </c>
      <c r="AC55" s="808">
        <f>SUM(AC53:AC54)</f>
      </c>
      <c r="AD55" s="808">
        <f>SUM(AD53:AD54)</f>
      </c>
      <c r="AE55" s="808">
        <f>SUM(AE53:AE54)</f>
      </c>
      <c r="AF55" s="808">
        <f>SUM(AF53:AF54)</f>
      </c>
      <c r="AG55" s="808">
        <f>SUM(AG53:AG54)</f>
      </c>
    </row>
    <row r="56">
      <c r="A56" s="794" t="s">
        <v>1730</v>
      </c>
      <c r="B56" s="794" t="s">
        <v>1703</v>
      </c>
      <c r="C56" s="794" t="s">
        <v>1727</v>
      </c>
      <c r="D56" s="794">
        <v>5</v>
      </c>
      <c r="E56" s="794">
        <v>10</v>
      </c>
      <c r="F56" s="794">
        <v>11</v>
      </c>
      <c r="G56" s="794">
        <v>29193.45</v>
      </c>
      <c r="H56" s="795">
        <v>9304.25</v>
      </c>
      <c r="I56" s="796">
        <f t="shared" si="2"/>
      </c>
      <c r="J56" s="796">
        <f t="shared" si="0"/>
      </c>
      <c r="K56" s="796">
        <f t="shared" si="1"/>
      </c>
      <c r="L56" s="794" t="s">
        <v>1719</v>
      </c>
      <c r="M56" s="797">
        <v>3.2</v>
      </c>
      <c r="N56" s="798"/>
      <c r="O56" s="794"/>
      <c r="P56" s="798"/>
      <c r="Q56" s="799">
        <v>4.273886081763895</v>
      </c>
      <c r="R56" s="800">
        <v>0.13218850397919843</v>
      </c>
      <c r="S56" s="800">
        <v>0.02998085742222467</v>
      </c>
      <c r="T56" s="800">
        <v>0.032349579276438105</v>
      </c>
      <c r="U56" s="800">
        <v>0.11834823329076202</v>
      </c>
      <c r="V56" s="801">
        <v>9598.603839441535</v>
      </c>
      <c r="W56" s="800">
        <v>0.028650000000000002</v>
      </c>
      <c r="X56" s="801">
        <v>41.75</v>
      </c>
      <c r="Y56" s="799">
        <v>128.1347692561938</v>
      </c>
      <c r="Z56" s="801">
        <v>72613</v>
      </c>
      <c r="AA56" s="801">
        <v>2177</v>
      </c>
      <c r="AB56" s="801">
        <v>275</v>
      </c>
      <c r="AC56" s="801">
        <v>2349</v>
      </c>
      <c r="AD56" s="801">
        <v>278</v>
      </c>
      <c r="AE56" s="801">
        <v>16</v>
      </c>
      <c r="AF56" s="801">
        <v>3</v>
      </c>
      <c r="AG56" s="801">
        <v>44</v>
      </c>
    </row>
    <row r="57">
      <c r="A57" s="794" t="s">
        <v>1730</v>
      </c>
      <c r="B57" s="794" t="s">
        <v>1728</v>
      </c>
      <c r="C57" s="794" t="s">
        <v>1729</v>
      </c>
      <c r="D57" s="794">
        <v>3</v>
      </c>
      <c r="E57" s="794">
        <v>4</v>
      </c>
      <c r="F57" s="794">
        <v>5</v>
      </c>
      <c r="G57" s="794">
        <v>9677.85</v>
      </c>
      <c r="H57" s="795">
        <v>5875.15</v>
      </c>
      <c r="I57" s="796">
        <f t="shared" si="2"/>
      </c>
      <c r="J57" s="796">
        <f t="shared" si="0"/>
      </c>
      <c r="K57" s="796">
        <f t="shared" si="1"/>
      </c>
      <c r="L57" s="794"/>
      <c r="M57" s="797"/>
      <c r="N57" s="794"/>
      <c r="O57" s="794"/>
      <c r="P57" s="798"/>
      <c r="Q57" s="799">
        <v>3.6021765787860205</v>
      </c>
      <c r="R57" s="800">
        <v>0.13991549971179754</v>
      </c>
      <c r="S57" s="800">
        <v>0.031598116899471104</v>
      </c>
      <c r="T57" s="800">
        <v>0.03450413623418641</v>
      </c>
      <c r="U57" s="800">
        <v>0.1308253790005615</v>
      </c>
      <c r="V57" s="801">
        <v>7222.018348623853</v>
      </c>
      <c r="W57" s="800">
        <v>0.0340625</v>
      </c>
      <c r="X57" s="801">
        <v>46.4375</v>
      </c>
      <c r="Y57" s="799">
        <v>113.82199662901756</v>
      </c>
      <c r="Z57" s="801">
        <v>51617</v>
      </c>
      <c r="AA57" s="801">
        <v>1631</v>
      </c>
      <c r="AB57" s="801">
        <v>246</v>
      </c>
      <c r="AC57" s="801">
        <v>1781</v>
      </c>
      <c r="AD57" s="801">
        <v>233</v>
      </c>
      <c r="AE57" s="801">
        <v>20</v>
      </c>
      <c r="AF57" s="801">
        <v>6</v>
      </c>
      <c r="AG57" s="801">
        <v>22</v>
      </c>
    </row>
    <row r="58">
      <c r="A58" s="802" t="s">
        <v>1730</v>
      </c>
      <c r="B58" s="802" t="s">
        <v>1701</v>
      </c>
      <c r="C58" s="803"/>
      <c r="D58" s="803">
        <f>D56+D57</f>
      </c>
      <c r="E58" s="803">
        <f>E56+E57</f>
      </c>
      <c r="F58" s="803">
        <f>SUM(F56:F57)</f>
      </c>
      <c r="G58" s="803">
        <f>SUM(G56:G57)</f>
      </c>
      <c r="H58" s="803">
        <f>SUM(H56:H57)</f>
      </c>
      <c r="I58" s="804">
        <f t="shared" si="2"/>
      </c>
      <c r="J58" s="804">
        <f t="shared" si="0"/>
      </c>
      <c r="K58" s="804">
        <f t="shared" si="1"/>
      </c>
      <c r="L58" s="803"/>
      <c r="M58" s="805">
        <f>SUM(M56:M57)</f>
      </c>
      <c r="N58" s="803"/>
      <c r="O58" s="803"/>
      <c r="P58" s="803"/>
      <c r="Q58" s="806">
        <f>AVERAGE(Q56:Q57)</f>
      </c>
      <c r="R58" s="807">
        <f>AVERAGE(R56:R57)</f>
      </c>
      <c r="S58" s="807">
        <f>AVERAGE(S56:S57)</f>
      </c>
      <c r="T58" s="807">
        <f>AVERAGE(T56:T57)</f>
      </c>
      <c r="U58" s="807">
        <f>AVERAGE(U56:U57)</f>
      </c>
      <c r="V58" s="808">
        <f>SUM(V56:V57)</f>
      </c>
      <c r="W58" s="807">
        <f>AVERAGE(W56:W57)</f>
      </c>
      <c r="X58" s="808">
        <f>AVERAGE(X56:X57)</f>
      </c>
      <c r="Y58" s="806">
        <f>AVERAGE(Y56:Y57)</f>
      </c>
      <c r="Z58" s="808">
        <f>SUM(Z56:Z57)</f>
      </c>
      <c r="AA58" s="808">
        <f>SUM(AA56:AA57)</f>
      </c>
      <c r="AB58" s="808">
        <f>SUM(AB56:AB57)</f>
      </c>
      <c r="AC58" s="808">
        <f>SUM(AC56:AC57)</f>
      </c>
      <c r="AD58" s="808">
        <f>SUM(AD56:AD57)</f>
      </c>
      <c r="AE58" s="808">
        <f>SUM(AE56:AE57)</f>
      </c>
      <c r="AF58" s="808">
        <f>SUM(AF56:AF57)</f>
      </c>
      <c r="AG58" s="808">
        <f>SUM(AG56:AG57)</f>
      </c>
    </row>
    <row r="59">
      <c r="A59" s="794" t="s">
        <v>1731</v>
      </c>
      <c r="B59" s="794" t="s">
        <v>1705</v>
      </c>
      <c r="C59" s="794" t="s">
        <v>1697</v>
      </c>
      <c r="D59" s="794">
        <v>4</v>
      </c>
      <c r="E59" s="794">
        <v>11</v>
      </c>
      <c r="F59" s="794">
        <v>12</v>
      </c>
      <c r="G59" s="794">
        <v>27886.95</v>
      </c>
      <c r="H59" s="795">
        <v>7939.390000000001</v>
      </c>
      <c r="I59" s="796">
        <f t="shared" si="2"/>
      </c>
      <c r="J59" s="796">
        <f t="shared" si="0"/>
      </c>
      <c r="K59" s="796">
        <f t="shared" si="1"/>
      </c>
      <c r="L59" s="794" t="s">
        <v>1732</v>
      </c>
      <c r="M59" s="797">
        <v>8</v>
      </c>
      <c r="N59" s="798"/>
      <c r="O59" s="794"/>
      <c r="P59" s="798"/>
      <c r="Q59" s="799">
        <v>5.382637288135594</v>
      </c>
      <c r="R59" s="800">
        <v>0.13263423339931465</v>
      </c>
      <c r="S59" s="800">
        <v>0.020987478656801367</v>
      </c>
      <c r="T59" s="800">
        <v>0.022709163346613544</v>
      </c>
      <c r="U59" s="800">
        <v>0.12468671679197994</v>
      </c>
      <c r="V59" s="801">
        <v>9321.533923303834</v>
      </c>
      <c r="W59" s="800">
        <v>0.025425000000000003</v>
      </c>
      <c r="X59" s="801">
        <v>65</v>
      </c>
      <c r="Y59" s="799">
        <v>112.96798520204896</v>
      </c>
      <c r="Z59" s="801">
        <v>70280</v>
      </c>
      <c r="AA59" s="801">
        <v>1475</v>
      </c>
      <c r="AB59" s="801">
        <v>237</v>
      </c>
      <c r="AC59" s="801">
        <v>1596</v>
      </c>
      <c r="AD59" s="801">
        <v>199</v>
      </c>
      <c r="AE59" s="801">
        <v>15</v>
      </c>
      <c r="AF59" s="801">
        <v>3</v>
      </c>
      <c r="AG59" s="801">
        <v>35</v>
      </c>
    </row>
    <row r="60">
      <c r="A60" s="794" t="s">
        <v>1731</v>
      </c>
      <c r="B60" s="794" t="s">
        <v>1696</v>
      </c>
      <c r="C60" s="794" t="s">
        <v>1708</v>
      </c>
      <c r="D60" s="794">
        <v>4</v>
      </c>
      <c r="E60" s="794">
        <v>4</v>
      </c>
      <c r="F60" s="794">
        <v>5</v>
      </c>
      <c r="G60" s="794">
        <v>13505.7</v>
      </c>
      <c r="H60" s="795">
        <v>4170.26</v>
      </c>
      <c r="I60" s="796">
        <f t="shared" si="2"/>
      </c>
      <c r="J60" s="796">
        <f t="shared" si="0"/>
      </c>
      <c r="K60" s="796">
        <f t="shared" si="1"/>
      </c>
      <c r="L60" s="794"/>
      <c r="M60" s="797"/>
      <c r="N60" s="794"/>
      <c r="O60" s="794"/>
      <c r="P60" s="798"/>
      <c r="Q60" s="799">
        <v>3.591955211024979</v>
      </c>
      <c r="R60" s="800">
        <v>0.17237544178083636</v>
      </c>
      <c r="S60" s="800">
        <v>0.029877248513857795</v>
      </c>
      <c r="T60" s="800">
        <v>0.032013175840860546</v>
      </c>
      <c r="U60" s="800">
        <v>0.10932475884244373</v>
      </c>
      <c r="V60" s="801">
        <v>6698.33729216152</v>
      </c>
      <c r="W60" s="800">
        <v>0.02105</v>
      </c>
      <c r="X60" s="801">
        <v>62.75</v>
      </c>
      <c r="Y60" s="799">
        <v>107.3177384904398</v>
      </c>
      <c r="Z60" s="801">
        <v>38859</v>
      </c>
      <c r="AA60" s="801">
        <v>1161</v>
      </c>
      <c r="AB60" s="801">
        <v>141</v>
      </c>
      <c r="AC60" s="801">
        <v>1244</v>
      </c>
      <c r="AD60" s="801">
        <v>136</v>
      </c>
      <c r="AE60" s="801">
        <v>11</v>
      </c>
      <c r="AF60" s="801">
        <v>2</v>
      </c>
      <c r="AG60" s="801">
        <v>14</v>
      </c>
    </row>
    <row r="61">
      <c r="A61" s="802" t="s">
        <v>1731</v>
      </c>
      <c r="B61" s="802" t="s">
        <v>1701</v>
      </c>
      <c r="C61" s="803"/>
      <c r="D61" s="803">
        <f>D59+D60</f>
      </c>
      <c r="E61" s="803">
        <f>E59+E60</f>
      </c>
      <c r="F61" s="803">
        <f>SUM(F59:F60)</f>
      </c>
      <c r="G61" s="803">
        <f>SUM(G59:G60)</f>
      </c>
      <c r="H61" s="803">
        <f>SUM(H59:H60)</f>
      </c>
      <c r="I61" s="804">
        <f t="shared" si="2"/>
      </c>
      <c r="J61" s="804">
        <f t="shared" si="0"/>
      </c>
      <c r="K61" s="804">
        <f t="shared" si="1"/>
      </c>
      <c r="L61" s="803"/>
      <c r="M61" s="805">
        <f>SUM(M59:M60)</f>
      </c>
      <c r="N61" s="803"/>
      <c r="O61" s="803"/>
      <c r="P61" s="803"/>
      <c r="Q61" s="806">
        <f>AVERAGE(Q59:Q60)</f>
      </c>
      <c r="R61" s="807">
        <f>AVERAGE(R59:R60)</f>
      </c>
      <c r="S61" s="807">
        <f>AVERAGE(S59:S60)</f>
      </c>
      <c r="T61" s="807">
        <f>AVERAGE(T59:T60)</f>
      </c>
      <c r="U61" s="807">
        <f>AVERAGE(U59:U60)</f>
      </c>
      <c r="V61" s="808">
        <f>SUM(V59:V60)</f>
      </c>
      <c r="W61" s="807">
        <f>AVERAGE(W59:W60)</f>
      </c>
      <c r="X61" s="808">
        <f>AVERAGE(X59:X60)</f>
      </c>
      <c r="Y61" s="806">
        <f>AVERAGE(Y59:Y60)</f>
      </c>
      <c r="Z61" s="808">
        <f>SUM(Z59:Z60)</f>
      </c>
      <c r="AA61" s="808">
        <f>SUM(AA59:AA60)</f>
      </c>
      <c r="AB61" s="808">
        <f>SUM(AB59:AB60)</f>
      </c>
      <c r="AC61" s="808">
        <f>SUM(AC59:AC60)</f>
      </c>
      <c r="AD61" s="808">
        <f>SUM(AD59:AD60)</f>
      </c>
      <c r="AE61" s="808">
        <f>SUM(AE59:AE60)</f>
      </c>
      <c r="AF61" s="808">
        <f>SUM(AF59:AF60)</f>
      </c>
      <c r="AG61" s="808">
        <f>SUM(AG59:AG60)</f>
      </c>
    </row>
    <row r="62">
      <c r="A62" s="794" t="s">
        <v>1733</v>
      </c>
      <c r="B62" s="794" t="s">
        <v>1705</v>
      </c>
      <c r="C62" s="794" t="s">
        <v>1697</v>
      </c>
      <c r="D62" s="794">
        <v>4</v>
      </c>
      <c r="E62" s="794">
        <v>7</v>
      </c>
      <c r="F62" s="794">
        <v>9</v>
      </c>
      <c r="G62" s="794">
        <v>16614</v>
      </c>
      <c r="H62" s="795">
        <v>7114.61</v>
      </c>
      <c r="I62" s="796">
        <f t="shared" si="2"/>
      </c>
      <c r="J62" s="796">
        <f t="shared" si="0"/>
      </c>
      <c r="K62" s="796">
        <f t="shared" si="1"/>
      </c>
      <c r="L62" s="794" t="s">
        <v>1732</v>
      </c>
      <c r="M62" s="797">
        <v>8</v>
      </c>
      <c r="N62" s="798"/>
      <c r="O62" s="794"/>
      <c r="P62" s="798"/>
      <c r="Q62" s="799">
        <v>4.77811282740094</v>
      </c>
      <c r="R62" s="800">
        <v>0.10783649429734607</v>
      </c>
      <c r="S62" s="800">
        <v>0.022834621518832046</v>
      </c>
      <c r="T62" s="800">
        <v>0.02505827505827506</v>
      </c>
      <c r="U62" s="800">
        <v>0.08996328029375765</v>
      </c>
      <c r="V62" s="801">
        <v>7031.802120141342</v>
      </c>
      <c r="W62" s="800">
        <v>0.028300000000000002</v>
      </c>
      <c r="X62" s="801">
        <v>52.5</v>
      </c>
      <c r="Y62" s="799">
        <v>109.10639798797693</v>
      </c>
      <c r="Z62" s="801">
        <v>65208</v>
      </c>
      <c r="AA62" s="801">
        <v>1489</v>
      </c>
      <c r="AB62" s="801">
        <v>199</v>
      </c>
      <c r="AC62" s="801">
        <v>1634</v>
      </c>
      <c r="AD62" s="801">
        <v>147</v>
      </c>
      <c r="AE62" s="801">
        <v>13</v>
      </c>
      <c r="AF62" s="801">
        <v>1</v>
      </c>
      <c r="AG62" s="801"/>
    </row>
    <row r="63">
      <c r="A63" s="794" t="s">
        <v>1733</v>
      </c>
      <c r="B63" s="794" t="s">
        <v>1703</v>
      </c>
      <c r="C63" s="794" t="s">
        <v>1708</v>
      </c>
      <c r="D63" s="794">
        <v>4</v>
      </c>
      <c r="E63" s="794">
        <v>6</v>
      </c>
      <c r="F63" s="794">
        <v>6</v>
      </c>
      <c r="G63" s="794">
        <v>15182.7</v>
      </c>
      <c r="H63" s="795">
        <v>7511.740000000002</v>
      </c>
      <c r="I63" s="796">
        <f t="shared" si="2"/>
      </c>
      <c r="J63" s="796">
        <f t="shared" si="0"/>
      </c>
      <c r="K63" s="796">
        <f t="shared" si="1"/>
      </c>
      <c r="L63" s="794"/>
      <c r="M63" s="797"/>
      <c r="N63" s="794"/>
      <c r="O63" s="794"/>
      <c r="P63" s="798"/>
      <c r="Q63" s="799">
        <v>4.319574468085107</v>
      </c>
      <c r="R63" s="800">
        <v>0.20240890723932228</v>
      </c>
      <c r="S63" s="800">
        <v>0.03565935981298829</v>
      </c>
      <c r="T63" s="800">
        <v>0.04039616954087805</v>
      </c>
      <c r="U63" s="800">
        <v>0.12538071065989848</v>
      </c>
      <c r="V63" s="801">
        <v>9870.87517934003</v>
      </c>
      <c r="W63" s="800">
        <v>0.017425</v>
      </c>
      <c r="X63" s="801">
        <v>52.25</v>
      </c>
      <c r="Y63" s="799">
        <v>154.03326019644433</v>
      </c>
      <c r="Z63" s="801">
        <v>48767</v>
      </c>
      <c r="AA63" s="801">
        <v>1739</v>
      </c>
      <c r="AB63" s="801">
        <v>172</v>
      </c>
      <c r="AC63" s="801">
        <v>1970</v>
      </c>
      <c r="AD63" s="801">
        <v>247</v>
      </c>
      <c r="AE63" s="801">
        <v>18</v>
      </c>
      <c r="AF63" s="801">
        <v>2</v>
      </c>
      <c r="AG63" s="801"/>
    </row>
    <row r="64">
      <c r="A64" s="802" t="s">
        <v>1733</v>
      </c>
      <c r="B64" s="802" t="s">
        <v>1701</v>
      </c>
      <c r="C64" s="803"/>
      <c r="D64" s="803">
        <f>D62+D63</f>
      </c>
      <c r="E64" s="803">
        <f>E62+E63</f>
      </c>
      <c r="F64" s="803">
        <f>SUM(F62:F63)</f>
      </c>
      <c r="G64" s="803">
        <f>SUM(G62:G63)</f>
      </c>
      <c r="H64" s="803">
        <f>SUM(H62:H63)</f>
      </c>
      <c r="I64" s="804">
        <f t="shared" si="2"/>
      </c>
      <c r="J64" s="804">
        <f t="shared" si="0"/>
      </c>
      <c r="K64" s="804">
        <f t="shared" si="1"/>
      </c>
      <c r="L64" s="803"/>
      <c r="M64" s="805">
        <f>SUM(M62:M63)</f>
      </c>
      <c r="N64" s="803"/>
      <c r="O64" s="803"/>
      <c r="P64" s="803"/>
      <c r="Q64" s="806">
        <f>AVERAGE(Q62:Q63)</f>
      </c>
      <c r="R64" s="807">
        <f>AVERAGE(R62:R63)</f>
      </c>
      <c r="S64" s="807">
        <f>AVERAGE(S62:S63)</f>
      </c>
      <c r="T64" s="807">
        <f>AVERAGE(T62:T63)</f>
      </c>
      <c r="U64" s="807">
        <f>AVERAGE(U62:U63)</f>
      </c>
      <c r="V64" s="808">
        <f>SUM(V62:V63)</f>
      </c>
      <c r="W64" s="807">
        <f>AVERAGE(W62:W63)</f>
      </c>
      <c r="X64" s="808">
        <f>AVERAGE(X62:X63)</f>
      </c>
      <c r="Y64" s="806">
        <f>AVERAGE(Y62:Y63)</f>
      </c>
      <c r="Z64" s="808">
        <f>SUM(Z62:Z63)</f>
      </c>
      <c r="AA64" s="808">
        <f>SUM(AA62:AA63)</f>
      </c>
      <c r="AB64" s="808">
        <f>SUM(AB62:AB63)</f>
      </c>
      <c r="AC64" s="808">
        <f>SUM(AC62:AC63)</f>
      </c>
      <c r="AD64" s="808">
        <f>SUM(AD62:AD63)</f>
      </c>
      <c r="AE64" s="808">
        <f>SUM(AE62:AE63)</f>
      </c>
      <c r="AF64" s="808">
        <f>SUM(AF62:AF63)</f>
      </c>
      <c r="AG64" s="808">
        <f>SUM(AG62:AG63)</f>
      </c>
    </row>
    <row r="65">
      <c r="A65" s="794" t="s">
        <v>1734</v>
      </c>
      <c r="B65" s="794" t="s">
        <v>1703</v>
      </c>
      <c r="C65" s="794" t="s">
        <v>1727</v>
      </c>
      <c r="D65" s="794">
        <v>5</v>
      </c>
      <c r="E65" s="794">
        <v>7</v>
      </c>
      <c r="F65" s="794">
        <v>9</v>
      </c>
      <c r="G65" s="794">
        <v>21522.15</v>
      </c>
      <c r="H65" s="795">
        <v>8305.56</v>
      </c>
      <c r="I65" s="796">
        <f t="shared" si="2"/>
      </c>
      <c r="J65" s="796">
        <f t="shared" si="0"/>
      </c>
      <c r="K65" s="796">
        <f t="shared" si="1"/>
      </c>
      <c r="L65" s="794" t="s">
        <v>1711</v>
      </c>
      <c r="M65" s="797">
        <v>8</v>
      </c>
      <c r="N65" s="798"/>
      <c r="O65" s="794"/>
      <c r="P65" s="798"/>
      <c r="Q65" s="799">
        <v>4.9615053763440855</v>
      </c>
      <c r="R65" s="800">
        <v>0.16642514497365277</v>
      </c>
      <c r="S65" s="800">
        <v>0.02907764460656592</v>
      </c>
      <c r="T65" s="800">
        <v>0.03213479242661108</v>
      </c>
      <c r="U65" s="800">
        <v>0.14432432432432432</v>
      </c>
      <c r="V65" s="801">
        <v>9581.09559613319</v>
      </c>
      <c r="W65" s="800">
        <v>0.023275000000000004</v>
      </c>
      <c r="X65" s="801">
        <v>58.25</v>
      </c>
      <c r="Y65" s="799">
        <v>144.2688900468994</v>
      </c>
      <c r="Z65" s="801">
        <v>57570</v>
      </c>
      <c r="AA65" s="801">
        <v>1674</v>
      </c>
      <c r="AB65" s="801">
        <v>223</v>
      </c>
      <c r="AC65" s="801">
        <v>1850</v>
      </c>
      <c r="AD65" s="801">
        <v>267</v>
      </c>
      <c r="AE65" s="801">
        <v>12</v>
      </c>
      <c r="AF65" s="801">
        <v>1</v>
      </c>
      <c r="AG65" s="801">
        <v>20</v>
      </c>
    </row>
    <row r="66">
      <c r="A66" s="794" t="s">
        <v>1734</v>
      </c>
      <c r="B66" s="794" t="s">
        <v>1728</v>
      </c>
      <c r="C66" s="794" t="s">
        <v>1729</v>
      </c>
      <c r="D66" s="794">
        <v>3</v>
      </c>
      <c r="E66" s="794">
        <v>3</v>
      </c>
      <c r="F66" s="794">
        <v>3</v>
      </c>
      <c r="G66" s="794">
        <v>9765.6</v>
      </c>
      <c r="H66" s="795">
        <v>3678.6400000000003</v>
      </c>
      <c r="I66" s="796">
        <f t="shared" si="2"/>
      </c>
      <c r="J66" s="796">
        <f t="shared" si="0"/>
      </c>
      <c r="K66" s="796">
        <f t="shared" si="1"/>
      </c>
      <c r="L66" s="794"/>
      <c r="M66" s="797"/>
      <c r="N66" s="794"/>
      <c r="O66" s="794"/>
      <c r="P66" s="798"/>
      <c r="Q66" s="799">
        <v>2.8583061383061388</v>
      </c>
      <c r="R66" s="800">
        <v>0.16819411195763034</v>
      </c>
      <c r="S66" s="800">
        <v>0.05008561643835616</v>
      </c>
      <c r="T66" s="800">
        <v>0.055611768368617684</v>
      </c>
      <c r="U66" s="800">
        <v>0.11056682995101469</v>
      </c>
      <c r="V66" s="801">
        <v>4321.91590086327</v>
      </c>
      <c r="W66" s="800">
        <v>0.02244375</v>
      </c>
      <c r="X66" s="801">
        <v>57.0625</v>
      </c>
      <c r="Y66" s="799">
        <v>143.16002490660026</v>
      </c>
      <c r="Z66" s="801">
        <v>25696</v>
      </c>
      <c r="AA66" s="801">
        <v>1287</v>
      </c>
      <c r="AB66" s="801">
        <v>97</v>
      </c>
      <c r="AC66" s="801">
        <v>1429</v>
      </c>
      <c r="AD66" s="801">
        <v>158</v>
      </c>
      <c r="AE66" s="801">
        <v>3</v>
      </c>
      <c r="AF66" s="801">
        <v>2</v>
      </c>
      <c r="AG66" s="801">
        <v>10</v>
      </c>
    </row>
    <row r="67">
      <c r="A67" s="802" t="s">
        <v>1734</v>
      </c>
      <c r="B67" s="802" t="s">
        <v>1701</v>
      </c>
      <c r="C67" s="803"/>
      <c r="D67" s="803">
        <f>D65+D66</f>
      </c>
      <c r="E67" s="803">
        <f>E65+E66</f>
      </c>
      <c r="F67" s="803">
        <f>SUM(F65:F66)</f>
      </c>
      <c r="G67" s="803">
        <f>SUM(G65:G66)</f>
      </c>
      <c r="H67" s="803">
        <f>SUM(H65:H66)</f>
      </c>
      <c r="I67" s="804">
        <f t="shared" si="2"/>
      </c>
      <c r="J67" s="804">
        <f t="shared" si="0"/>
      </c>
      <c r="K67" s="804">
        <f t="shared" si="1"/>
      </c>
      <c r="L67" s="803"/>
      <c r="M67" s="805">
        <f>SUM(M65:M66)</f>
      </c>
      <c r="N67" s="803"/>
      <c r="O67" s="803"/>
      <c r="P67" s="803"/>
      <c r="Q67" s="806">
        <f>AVERAGE(Q65:Q66)</f>
      </c>
      <c r="R67" s="807">
        <f>AVERAGE(R65:R66)</f>
      </c>
      <c r="S67" s="807">
        <f>AVERAGE(S65:S66)</f>
      </c>
      <c r="T67" s="807">
        <f>AVERAGE(T65:T66)</f>
      </c>
      <c r="U67" s="807">
        <f>AVERAGE(U65:U66)</f>
      </c>
      <c r="V67" s="808">
        <f>SUM(V65:V66)</f>
      </c>
      <c r="W67" s="807">
        <f>AVERAGE(W65:W66)</f>
      </c>
      <c r="X67" s="808">
        <f>AVERAGE(X65:X66)</f>
      </c>
      <c r="Y67" s="806">
        <f>AVERAGE(Y65:Y66)</f>
      </c>
      <c r="Z67" s="808">
        <f>SUM(Z65:Z66)</f>
      </c>
      <c r="AA67" s="808">
        <f>SUM(AA65:AA66)</f>
      </c>
      <c r="AB67" s="808">
        <f>SUM(AB65:AB66)</f>
      </c>
      <c r="AC67" s="808">
        <f>SUM(AC65:AC66)</f>
      </c>
      <c r="AD67" s="808">
        <f>SUM(AD65:AD66)</f>
      </c>
      <c r="AE67" s="808">
        <f>SUM(AE65:AE66)</f>
      </c>
      <c r="AF67" s="808">
        <f>SUM(AF65:AF66)</f>
      </c>
      <c r="AG67" s="808">
        <f>SUM(AG65:AG66)</f>
      </c>
    </row>
    <row r="68">
      <c r="A68" s="794" t="s">
        <v>1735</v>
      </c>
      <c r="B68" s="794" t="s">
        <v>1705</v>
      </c>
      <c r="C68" s="794" t="s">
        <v>1727</v>
      </c>
      <c r="D68" s="794">
        <v>5</v>
      </c>
      <c r="E68" s="794">
        <v>7</v>
      </c>
      <c r="F68" s="794">
        <v>10</v>
      </c>
      <c r="G68" s="794">
        <v>18640.05</v>
      </c>
      <c r="H68" s="795">
        <v>6378.629999999999</v>
      </c>
      <c r="I68" s="796">
        <f t="shared" si="2"/>
      </c>
      <c r="J68" s="796">
        <f t="shared" si="0"/>
      </c>
      <c r="K68" s="796">
        <f t="shared" si="1"/>
      </c>
      <c r="L68" s="794" t="s">
        <v>1711</v>
      </c>
      <c r="M68" s="797">
        <v>8</v>
      </c>
      <c r="N68" s="798"/>
      <c r="O68" s="794"/>
      <c r="P68" s="798"/>
      <c r="Q68" s="799">
        <v>4.861760670731707</v>
      </c>
      <c r="R68" s="800">
        <v>0.10875494576062864</v>
      </c>
      <c r="S68" s="800">
        <v>0.028178694158075602</v>
      </c>
      <c r="T68" s="800">
        <v>0.031164089347079038</v>
      </c>
      <c r="U68" s="800">
        <v>0.13232253618194348</v>
      </c>
      <c r="V68" s="801">
        <v>5063.630274614869</v>
      </c>
      <c r="W68" s="800">
        <v>0.037325</v>
      </c>
      <c r="X68" s="801">
        <v>62.25</v>
      </c>
      <c r="Y68" s="799">
        <v>136.99806701030926</v>
      </c>
      <c r="Z68" s="801">
        <v>46560</v>
      </c>
      <c r="AA68" s="801">
        <v>1312</v>
      </c>
      <c r="AB68" s="801">
        <v>189</v>
      </c>
      <c r="AC68" s="801">
        <v>1451</v>
      </c>
      <c r="AD68" s="801">
        <v>192</v>
      </c>
      <c r="AE68" s="801">
        <v>14</v>
      </c>
      <c r="AF68" s="801">
        <v>2</v>
      </c>
      <c r="AG68" s="801">
        <v>20</v>
      </c>
    </row>
    <row r="69">
      <c r="A69" s="794" t="s">
        <v>1735</v>
      </c>
      <c r="B69" s="794" t="s">
        <v>1728</v>
      </c>
      <c r="C69" s="794" t="s">
        <v>1729</v>
      </c>
      <c r="D69" s="794">
        <v>3</v>
      </c>
      <c r="E69" s="794">
        <v>4</v>
      </c>
      <c r="F69" s="794">
        <v>6</v>
      </c>
      <c r="G69" s="794">
        <v>17335.5</v>
      </c>
      <c r="H69" s="795">
        <v>3803.56</v>
      </c>
      <c r="I69" s="796">
        <f t="shared" si="2"/>
      </c>
      <c r="J69" s="796">
        <f t="shared" si="0"/>
      </c>
      <c r="K69" s="796">
        <f t="shared" si="1"/>
      </c>
      <c r="L69" s="794"/>
      <c r="M69" s="797"/>
      <c r="N69" s="794"/>
      <c r="O69" s="794"/>
      <c r="P69" s="798"/>
      <c r="Q69" s="799">
        <v>4.259305711086226</v>
      </c>
      <c r="R69" s="800">
        <v>0.1371774290965614</v>
      </c>
      <c r="S69" s="800">
        <v>0.03304836978646238</v>
      </c>
      <c r="T69" s="800">
        <v>0.03571296399096999</v>
      </c>
      <c r="U69" s="800">
        <v>0.17305699481865286</v>
      </c>
      <c r="V69" s="801">
        <v>3706.6713116181854</v>
      </c>
      <c r="W69" s="800">
        <v>0.035881249999999996</v>
      </c>
      <c r="X69" s="801">
        <v>66.8125</v>
      </c>
      <c r="Y69" s="799">
        <v>140.76311017356872</v>
      </c>
      <c r="Z69" s="801">
        <v>27021</v>
      </c>
      <c r="AA69" s="801">
        <v>893</v>
      </c>
      <c r="AB69" s="801">
        <v>133</v>
      </c>
      <c r="AC69" s="801">
        <v>965</v>
      </c>
      <c r="AD69" s="801">
        <v>167</v>
      </c>
      <c r="AE69" s="801">
        <v>13</v>
      </c>
      <c r="AF69" s="801">
        <v>2</v>
      </c>
      <c r="AG69" s="801">
        <v>11</v>
      </c>
    </row>
    <row r="70">
      <c r="A70" s="802" t="s">
        <v>1735</v>
      </c>
      <c r="B70" s="802" t="s">
        <v>1701</v>
      </c>
      <c r="C70" s="803"/>
      <c r="D70" s="803">
        <f>D68+D69</f>
      </c>
      <c r="E70" s="803">
        <f>E68+E69</f>
      </c>
      <c r="F70" s="803">
        <f>SUM(F68:F69)</f>
      </c>
      <c r="G70" s="803">
        <f>SUM(G68:G69)</f>
      </c>
      <c r="H70" s="803">
        <f>SUM(H68:H69)</f>
      </c>
      <c r="I70" s="804">
        <f t="shared" si="2"/>
      </c>
      <c r="J70" s="804">
        <f t="shared" si="0"/>
      </c>
      <c r="K70" s="804">
        <f t="shared" si="1"/>
      </c>
      <c r="L70" s="803"/>
      <c r="M70" s="805">
        <f>SUM(M68:M69)</f>
      </c>
      <c r="N70" s="803"/>
      <c r="O70" s="803"/>
      <c r="P70" s="803"/>
      <c r="Q70" s="806">
        <f>AVERAGE(Q68:Q69)</f>
      </c>
      <c r="R70" s="807">
        <f>AVERAGE(R68:R69)</f>
      </c>
      <c r="S70" s="807">
        <f>AVERAGE(S68:S69)</f>
      </c>
      <c r="T70" s="807">
        <f>AVERAGE(T68:T69)</f>
      </c>
      <c r="U70" s="807">
        <f>AVERAGE(U68:U69)</f>
      </c>
      <c r="V70" s="808">
        <f>SUM(V68:V69)</f>
      </c>
      <c r="W70" s="807">
        <f>AVERAGE(W68:W69)</f>
      </c>
      <c r="X70" s="808">
        <f>AVERAGE(X68:X69)</f>
      </c>
      <c r="Y70" s="806">
        <f>AVERAGE(Y68:Y69)</f>
      </c>
      <c r="Z70" s="808">
        <f>SUM(Z68:Z69)</f>
      </c>
      <c r="AA70" s="808">
        <f>SUM(AA68:AA69)</f>
      </c>
      <c r="AB70" s="808">
        <f>SUM(AB68:AB69)</f>
      </c>
      <c r="AC70" s="808">
        <f>SUM(AC68:AC69)</f>
      </c>
      <c r="AD70" s="808">
        <f>SUM(AD68:AD69)</f>
      </c>
      <c r="AE70" s="808">
        <f>SUM(AE68:AE69)</f>
      </c>
      <c r="AF70" s="808">
        <f>SUM(AF68:AF69)</f>
      </c>
      <c r="AG70" s="808">
        <f>SUM(AG68:AG69)</f>
      </c>
    </row>
    <row r="71">
      <c r="A71" s="794" t="s">
        <v>1736</v>
      </c>
      <c r="B71" s="794" t="s">
        <v>1705</v>
      </c>
      <c r="C71" s="794" t="s">
        <v>1697</v>
      </c>
      <c r="D71" s="794">
        <v>4</v>
      </c>
      <c r="E71" s="794">
        <v>6</v>
      </c>
      <c r="F71" s="794">
        <v>8</v>
      </c>
      <c r="G71" s="794">
        <v>18004.35</v>
      </c>
      <c r="H71" s="795">
        <v>4995.6900000000005</v>
      </c>
      <c r="I71" s="796">
        <f t="shared" si="2"/>
      </c>
      <c r="J71" s="796">
        <f t="shared" si="0"/>
      </c>
      <c r="K71" s="796">
        <f t="shared" si="1"/>
      </c>
      <c r="L71" s="794" t="s">
        <v>1711</v>
      </c>
      <c r="M71" s="797">
        <v>8</v>
      </c>
      <c r="N71" s="798"/>
      <c r="O71" s="794"/>
      <c r="P71" s="798"/>
      <c r="Q71" s="799">
        <v>6.152327586206897</v>
      </c>
      <c r="R71" s="800">
        <v>0.11873316967280725</v>
      </c>
      <c r="S71" s="800">
        <v>0.022339606030593154</v>
      </c>
      <c r="T71" s="800">
        <v>0.024347969626939584</v>
      </c>
      <c r="U71" s="800">
        <v>0.16045197740112993</v>
      </c>
      <c r="V71" s="801">
        <v>4315.713251267198</v>
      </c>
      <c r="W71" s="800">
        <v>0.034525</v>
      </c>
      <c r="X71" s="801">
        <v>60.75</v>
      </c>
      <c r="Y71" s="799">
        <v>137.44057444701224</v>
      </c>
      <c r="Z71" s="801">
        <v>36348</v>
      </c>
      <c r="AA71" s="801">
        <v>812</v>
      </c>
      <c r="AB71" s="801">
        <v>149</v>
      </c>
      <c r="AC71" s="801">
        <v>885</v>
      </c>
      <c r="AD71" s="801">
        <v>142</v>
      </c>
      <c r="AE71" s="801">
        <v>8</v>
      </c>
      <c r="AF71" s="801">
        <v>1</v>
      </c>
      <c r="AG71" s="801">
        <v>17</v>
      </c>
    </row>
    <row r="72">
      <c r="A72" s="794" t="s">
        <v>1736</v>
      </c>
      <c r="B72" s="794" t="s">
        <v>1703</v>
      </c>
      <c r="C72" s="794" t="s">
        <v>1708</v>
      </c>
      <c r="D72" s="794">
        <v>4</v>
      </c>
      <c r="E72" s="794">
        <v>9</v>
      </c>
      <c r="F72" s="794">
        <v>11</v>
      </c>
      <c r="G72" s="794">
        <v>25377.3</v>
      </c>
      <c r="H72" s="795">
        <v>5532.5199999999995</v>
      </c>
      <c r="I72" s="796">
        <f t="shared" si="2"/>
      </c>
      <c r="J72" s="796">
        <f t="shared" si="0"/>
      </c>
      <c r="K72" s="796">
        <f t="shared" si="1"/>
      </c>
      <c r="L72" s="794"/>
      <c r="M72" s="797"/>
      <c r="N72" s="794"/>
      <c r="O72" s="794"/>
      <c r="P72" s="798"/>
      <c r="Q72" s="799">
        <v>4.7571109200343935</v>
      </c>
      <c r="R72" s="800">
        <v>0.12153142158652848</v>
      </c>
      <c r="S72" s="800">
        <v>0.029251974445394638</v>
      </c>
      <c r="T72" s="800">
        <v>0.03133960460787766</v>
      </c>
      <c r="U72" s="800">
        <v>0.18138041733547353</v>
      </c>
      <c r="V72" s="801">
        <v>4831.8462594371995</v>
      </c>
      <c r="W72" s="800">
        <v>0.036425</v>
      </c>
      <c r="X72" s="801">
        <v>67.25</v>
      </c>
      <c r="Y72" s="799">
        <v>139.15488706675384</v>
      </c>
      <c r="Z72" s="801">
        <v>39758</v>
      </c>
      <c r="AA72" s="801">
        <v>1163</v>
      </c>
      <c r="AB72" s="801">
        <v>176</v>
      </c>
      <c r="AC72" s="801">
        <v>1246</v>
      </c>
      <c r="AD72" s="801">
        <v>226</v>
      </c>
      <c r="AE72" s="801">
        <v>12</v>
      </c>
      <c r="AF72" s="801">
        <v>4</v>
      </c>
      <c r="AG72" s="801">
        <v>23</v>
      </c>
    </row>
    <row r="73">
      <c r="A73" s="802" t="s">
        <v>1736</v>
      </c>
      <c r="B73" s="802" t="s">
        <v>1701</v>
      </c>
      <c r="C73" s="803"/>
      <c r="D73" s="803">
        <f>D71+D72</f>
      </c>
      <c r="E73" s="803">
        <f>E71+E72</f>
      </c>
      <c r="F73" s="803">
        <f>SUM(F71:F72)</f>
      </c>
      <c r="G73" s="803">
        <f>SUM(G71:G72)</f>
      </c>
      <c r="H73" s="803">
        <f>SUM(H71:H72)</f>
      </c>
      <c r="I73" s="804">
        <f t="shared" si="2"/>
      </c>
      <c r="J73" s="804">
        <f t="shared" si="0"/>
      </c>
      <c r="K73" s="804">
        <f t="shared" si="1"/>
      </c>
      <c r="L73" s="803"/>
      <c r="M73" s="805">
        <f>SUM(M71:M72)</f>
      </c>
      <c r="N73" s="803"/>
      <c r="O73" s="803"/>
      <c r="P73" s="803"/>
      <c r="Q73" s="806">
        <f>AVERAGE(Q71:Q72)</f>
      </c>
      <c r="R73" s="807">
        <f>AVERAGE(R71:R72)</f>
      </c>
      <c r="S73" s="807">
        <f>AVERAGE(S71:S72)</f>
      </c>
      <c r="T73" s="807">
        <f>AVERAGE(T71:T72)</f>
      </c>
      <c r="U73" s="807">
        <f>AVERAGE(U71:U72)</f>
      </c>
      <c r="V73" s="808">
        <f>SUM(V71:V72)</f>
      </c>
      <c r="W73" s="807">
        <f>AVERAGE(W71:W72)</f>
      </c>
      <c r="X73" s="808">
        <f>AVERAGE(X71:X72)</f>
      </c>
      <c r="Y73" s="806">
        <f>AVERAGE(Y71:Y72)</f>
      </c>
      <c r="Z73" s="808">
        <f>SUM(Z71:Z72)</f>
      </c>
      <c r="AA73" s="808">
        <f>SUM(AA71:AA72)</f>
      </c>
      <c r="AB73" s="808">
        <f>SUM(AB71:AB72)</f>
      </c>
      <c r="AC73" s="808">
        <f>SUM(AC71:AC72)</f>
      </c>
      <c r="AD73" s="808">
        <f>SUM(AD71:AD72)</f>
      </c>
      <c r="AE73" s="808">
        <f>SUM(AE71:AE72)</f>
      </c>
      <c r="AF73" s="808">
        <f>SUM(AF71:AF72)</f>
      </c>
      <c r="AG73" s="808">
        <f>SUM(AG71:AG72)</f>
      </c>
    </row>
    <row r="74">
      <c r="A74" s="794" t="s">
        <v>1737</v>
      </c>
      <c r="B74" s="794" t="s">
        <v>1703</v>
      </c>
      <c r="C74" s="794" t="s">
        <v>1727</v>
      </c>
      <c r="D74" s="794">
        <v>5</v>
      </c>
      <c r="E74" s="794">
        <v>7</v>
      </c>
      <c r="F74" s="794">
        <v>9</v>
      </c>
      <c r="G74" s="794">
        <v>21173.1</v>
      </c>
      <c r="H74" s="795">
        <v>7163.54</v>
      </c>
      <c r="I74" s="796">
        <f t="shared" si="2"/>
      </c>
      <c r="J74" s="796">
        <f t="shared" si="0"/>
      </c>
      <c r="K74" s="796">
        <f t="shared" si="1"/>
      </c>
      <c r="L74" s="794" t="s">
        <v>1706</v>
      </c>
      <c r="M74" s="797">
        <v>8</v>
      </c>
      <c r="N74" s="798"/>
      <c r="O74" s="794"/>
      <c r="P74" s="798"/>
      <c r="Q74" s="799">
        <v>5.721677316293929</v>
      </c>
      <c r="R74" s="800">
        <v>0.09197432727677671</v>
      </c>
      <c r="S74" s="800">
        <v>0.02211506191157508</v>
      </c>
      <c r="T74" s="800">
        <v>0.02365181142140498</v>
      </c>
      <c r="U74" s="800">
        <v>0.1157580283793876</v>
      </c>
      <c r="V74" s="801">
        <v>5206.942590120159</v>
      </c>
      <c r="W74" s="800">
        <v>0.029960000000000004</v>
      </c>
      <c r="X74" s="801">
        <v>46</v>
      </c>
      <c r="Y74" s="799">
        <v>126.53524808789501</v>
      </c>
      <c r="Z74" s="801">
        <v>56613</v>
      </c>
      <c r="AA74" s="801">
        <v>1252</v>
      </c>
      <c r="AB74" s="801">
        <v>156</v>
      </c>
      <c r="AC74" s="801">
        <v>1339</v>
      </c>
      <c r="AD74" s="801">
        <v>155</v>
      </c>
      <c r="AE74" s="801">
        <v>13</v>
      </c>
      <c r="AF74" s="801">
        <v>2</v>
      </c>
      <c r="AG74" s="801">
        <v>32</v>
      </c>
    </row>
    <row r="75">
      <c r="A75" s="794" t="s">
        <v>1737</v>
      </c>
      <c r="B75" s="794" t="s">
        <v>1728</v>
      </c>
      <c r="C75" s="794" t="s">
        <v>1729</v>
      </c>
      <c r="D75" s="794">
        <v>3</v>
      </c>
      <c r="E75" s="794">
        <v>3</v>
      </c>
      <c r="F75" s="794">
        <v>4</v>
      </c>
      <c r="G75" s="794">
        <v>10335</v>
      </c>
      <c r="H75" s="795">
        <v>2992.77</v>
      </c>
      <c r="I75" s="796">
        <f t="shared" si="2"/>
      </c>
      <c r="J75" s="796">
        <f t="shared" si="0"/>
      </c>
      <c r="K75" s="796">
        <f t="shared" si="1"/>
      </c>
      <c r="L75" s="794"/>
      <c r="M75" s="797"/>
      <c r="N75" s="794"/>
      <c r="O75" s="794"/>
      <c r="P75" s="798"/>
      <c r="Q75" s="799">
        <v>3.4125085518814133</v>
      </c>
      <c r="R75" s="800">
        <v>0.13530159107023618</v>
      </c>
      <c r="S75" s="800">
        <v>0.03919202752826563</v>
      </c>
      <c r="T75" s="800">
        <v>0.042945881932341244</v>
      </c>
      <c r="U75" s="800">
        <v>0.1675338189386056</v>
      </c>
      <c r="V75" s="801">
        <v>3027.6437033786747</v>
      </c>
      <c r="W75" s="800">
        <v>0.02279</v>
      </c>
      <c r="X75" s="801">
        <v>44.75</v>
      </c>
      <c r="Y75" s="799">
        <v>133.74312910577822</v>
      </c>
      <c r="Z75" s="801">
        <v>22377</v>
      </c>
      <c r="AA75" s="801">
        <v>877</v>
      </c>
      <c r="AB75" s="801">
        <v>69</v>
      </c>
      <c r="AC75" s="801">
        <v>961</v>
      </c>
      <c r="AD75" s="801">
        <v>161</v>
      </c>
      <c r="AE75" s="801">
        <v>6</v>
      </c>
      <c r="AF75" s="801">
        <v>2</v>
      </c>
      <c r="AG75" s="801">
        <v>8</v>
      </c>
    </row>
    <row r="76">
      <c r="A76" s="802" t="s">
        <v>1737</v>
      </c>
      <c r="B76" s="802" t="s">
        <v>1701</v>
      </c>
      <c r="C76" s="803"/>
      <c r="D76" s="803">
        <f>D74+D75</f>
      </c>
      <c r="E76" s="803">
        <f>E74+E75</f>
      </c>
      <c r="F76" s="803">
        <f>SUM(F74:F75)</f>
      </c>
      <c r="G76" s="803">
        <f>SUM(G74:G75)</f>
      </c>
      <c r="H76" s="803">
        <f>SUM(H74:H75)</f>
      </c>
      <c r="I76" s="804">
        <f t="shared" si="2"/>
      </c>
      <c r="J76" s="804">
        <f t="shared" si="0"/>
      </c>
      <c r="K76" s="804">
        <f t="shared" si="1"/>
      </c>
      <c r="L76" s="803"/>
      <c r="M76" s="805">
        <f>SUM(M74:M75)</f>
      </c>
      <c r="N76" s="803"/>
      <c r="O76" s="803"/>
      <c r="P76" s="803"/>
      <c r="Q76" s="806">
        <f>AVERAGE(Q74:Q75)</f>
      </c>
      <c r="R76" s="807">
        <f>AVERAGE(R74:R75)</f>
      </c>
      <c r="S76" s="807">
        <f>AVERAGE(S74:S75)</f>
      </c>
      <c r="T76" s="807">
        <f>AVERAGE(T74:T75)</f>
      </c>
      <c r="U76" s="807">
        <f>AVERAGE(U74:U75)</f>
      </c>
      <c r="V76" s="808">
        <f>SUM(V74:V75)</f>
      </c>
      <c r="W76" s="807">
        <f>AVERAGE(W74:W75)</f>
      </c>
      <c r="X76" s="808">
        <f>AVERAGE(X74:X75)</f>
      </c>
      <c r="Y76" s="806">
        <f>AVERAGE(Y74:Y75)</f>
      </c>
      <c r="Z76" s="808">
        <f>SUM(Z74:Z75)</f>
      </c>
      <c r="AA76" s="808">
        <f>SUM(AA74:AA75)</f>
      </c>
      <c r="AB76" s="808">
        <f>SUM(AB74:AB75)</f>
      </c>
      <c r="AC76" s="808">
        <f>SUM(AC74:AC75)</f>
      </c>
      <c r="AD76" s="808">
        <f>SUM(AD74:AD75)</f>
      </c>
      <c r="AE76" s="808">
        <f>SUM(AE74:AE75)</f>
      </c>
      <c r="AF76" s="808">
        <f>SUM(AF74:AF75)</f>
      </c>
      <c r="AG76" s="808">
        <f>SUM(AG74:AG75)</f>
      </c>
    </row>
    <row r="77">
      <c r="A77" s="794" t="s">
        <v>1738</v>
      </c>
      <c r="B77" s="794" t="s">
        <v>1703</v>
      </c>
      <c r="C77" s="794" t="s">
        <v>1697</v>
      </c>
      <c r="D77" s="794">
        <v>4</v>
      </c>
      <c r="E77" s="794">
        <v>7</v>
      </c>
      <c r="F77" s="794">
        <v>14</v>
      </c>
      <c r="G77" s="794">
        <v>30225</v>
      </c>
      <c r="H77" s="795">
        <v>5930.81</v>
      </c>
      <c r="I77" s="796">
        <f t="shared" si="2"/>
      </c>
      <c r="J77" s="796">
        <f t="shared" si="0"/>
      </c>
      <c r="K77" s="796">
        <f t="shared" si="1"/>
      </c>
      <c r="L77" s="794" t="s">
        <v>1711</v>
      </c>
      <c r="M77" s="797">
        <v>8</v>
      </c>
      <c r="N77" s="798"/>
      <c r="O77" s="794"/>
      <c r="P77" s="798"/>
      <c r="Q77" s="799">
        <v>6.0089260385005066</v>
      </c>
      <c r="R77" s="800">
        <v>0.06160428171000739</v>
      </c>
      <c r="S77" s="800">
        <v>0.021962616822429906</v>
      </c>
      <c r="T77" s="800">
        <v>0.023164218958611482</v>
      </c>
      <c r="U77" s="800">
        <v>0.19692603266090297</v>
      </c>
      <c r="V77" s="801">
        <v>2768.496420047732</v>
      </c>
      <c r="W77" s="800">
        <v>0.07332500000000002</v>
      </c>
      <c r="X77" s="801">
        <v>57.75</v>
      </c>
      <c r="Y77" s="799">
        <v>131.97174009790834</v>
      </c>
      <c r="Z77" s="801">
        <v>44940</v>
      </c>
      <c r="AA77" s="801">
        <v>987</v>
      </c>
      <c r="AB77" s="801">
        <v>203</v>
      </c>
      <c r="AC77" s="801">
        <v>1041</v>
      </c>
      <c r="AD77" s="801">
        <v>205</v>
      </c>
      <c r="AE77" s="801">
        <v>7</v>
      </c>
      <c r="AF77" s="801">
        <v>2</v>
      </c>
      <c r="AG77" s="801">
        <v>43</v>
      </c>
    </row>
    <row r="78">
      <c r="A78" s="794" t="s">
        <v>1738</v>
      </c>
      <c r="B78" s="794" t="s">
        <v>1705</v>
      </c>
      <c r="C78" s="794" t="s">
        <v>1708</v>
      </c>
      <c r="D78" s="794">
        <v>4</v>
      </c>
      <c r="E78" s="794">
        <v>9</v>
      </c>
      <c r="F78" s="794">
        <v>14</v>
      </c>
      <c r="G78" s="794">
        <v>34871.85</v>
      </c>
      <c r="H78" s="795">
        <v>6651.05</v>
      </c>
      <c r="I78" s="796">
        <f t="shared" si="2"/>
      </c>
      <c r="J78" s="796">
        <f t="shared" si="0"/>
      </c>
      <c r="K78" s="796">
        <f t="shared" si="1"/>
      </c>
      <c r="L78" s="794"/>
      <c r="M78" s="797"/>
      <c r="N78" s="794"/>
      <c r="O78" s="794"/>
      <c r="P78" s="798"/>
      <c r="Q78" s="799">
        <v>4.555513698630137</v>
      </c>
      <c r="R78" s="800">
        <v>0.10149080996623386</v>
      </c>
      <c r="S78" s="800">
        <v>0.033658390391221156</v>
      </c>
      <c r="T78" s="800">
        <v>0.036355672360928605</v>
      </c>
      <c r="U78" s="800">
        <v>0.12175015852885225</v>
      </c>
      <c r="V78" s="801">
        <v>4402.366863905326</v>
      </c>
      <c r="W78" s="800">
        <v>0.042249999999999996</v>
      </c>
      <c r="X78" s="801">
        <v>62</v>
      </c>
      <c r="Y78" s="799">
        <v>153.33125850104895</v>
      </c>
      <c r="Z78" s="801">
        <v>43377</v>
      </c>
      <c r="AA78" s="801">
        <v>1460</v>
      </c>
      <c r="AB78" s="801">
        <v>186</v>
      </c>
      <c r="AC78" s="801">
        <v>1577</v>
      </c>
      <c r="AD78" s="801">
        <v>192</v>
      </c>
      <c r="AE78" s="801">
        <v>18</v>
      </c>
      <c r="AF78" s="801">
        <v>1</v>
      </c>
      <c r="AG78" s="801">
        <v>26</v>
      </c>
    </row>
    <row r="79">
      <c r="A79" s="802" t="s">
        <v>1738</v>
      </c>
      <c r="B79" s="802" t="s">
        <v>1701</v>
      </c>
      <c r="C79" s="803"/>
      <c r="D79" s="803">
        <f>D77+D78</f>
      </c>
      <c r="E79" s="803">
        <f>E77+E78</f>
      </c>
      <c r="F79" s="803">
        <f>SUM(F77:F78)</f>
      </c>
      <c r="G79" s="803">
        <f>SUM(G77:G78)</f>
      </c>
      <c r="H79" s="803">
        <f>SUM(H77:H78)</f>
      </c>
      <c r="I79" s="804">
        <f t="shared" si="2"/>
      </c>
      <c r="J79" s="804">
        <f t="shared" si="0"/>
      </c>
      <c r="K79" s="804">
        <f t="shared" si="1"/>
      </c>
      <c r="L79" s="803"/>
      <c r="M79" s="805">
        <f>SUM(M77:M78)</f>
      </c>
      <c r="N79" s="803"/>
      <c r="O79" s="803"/>
      <c r="P79" s="803"/>
      <c r="Q79" s="806">
        <f>AVERAGE(Q77:Q78)</f>
      </c>
      <c r="R79" s="807">
        <f>AVERAGE(R77:R78)</f>
      </c>
      <c r="S79" s="807">
        <f>AVERAGE(S77:S78)</f>
      </c>
      <c r="T79" s="807">
        <f>AVERAGE(T77:T78)</f>
      </c>
      <c r="U79" s="807">
        <f>AVERAGE(U77:U78)</f>
      </c>
      <c r="V79" s="808">
        <f>SUM(V77:V78)</f>
      </c>
      <c r="W79" s="807">
        <f>AVERAGE(W77:W78)</f>
      </c>
      <c r="X79" s="808">
        <f>AVERAGE(X77:X78)</f>
      </c>
      <c r="Y79" s="806">
        <f>AVERAGE(Y77:Y78)</f>
      </c>
      <c r="Z79" s="808">
        <f>SUM(Z77:Z78)</f>
      </c>
      <c r="AA79" s="808">
        <f>SUM(AA77:AA78)</f>
      </c>
      <c r="AB79" s="808">
        <f>SUM(AB77:AB78)</f>
      </c>
      <c r="AC79" s="808">
        <f>SUM(AC77:AC78)</f>
      </c>
      <c r="AD79" s="808">
        <f>SUM(AD77:AD78)</f>
      </c>
      <c r="AE79" s="808">
        <f>SUM(AE77:AE78)</f>
      </c>
      <c r="AF79" s="808">
        <f>SUM(AF77:AF78)</f>
      </c>
      <c r="AG79" s="808">
        <f>SUM(AG77:AG78)</f>
      </c>
    </row>
    <row r="80">
      <c r="A80" s="794" t="s">
        <v>1739</v>
      </c>
      <c r="B80" s="794" t="s">
        <v>1705</v>
      </c>
      <c r="C80" s="794" t="s">
        <v>1727</v>
      </c>
      <c r="D80" s="794">
        <v>5</v>
      </c>
      <c r="E80" s="794">
        <v>3</v>
      </c>
      <c r="F80" s="794">
        <v>4</v>
      </c>
      <c r="G80" s="794">
        <v>10192.65</v>
      </c>
      <c r="H80" s="795">
        <v>6201.71</v>
      </c>
      <c r="I80" s="796">
        <f t="shared" si="2"/>
      </c>
      <c r="J80" s="796">
        <f t="shared" si="0"/>
      </c>
      <c r="K80" s="796">
        <f t="shared" si="1"/>
      </c>
      <c r="L80" s="794" t="s">
        <v>1711</v>
      </c>
      <c r="M80" s="797">
        <v>8</v>
      </c>
      <c r="N80" s="798"/>
      <c r="O80" s="794"/>
      <c r="P80" s="798"/>
      <c r="Q80" s="799">
        <v>4.977295345104334</v>
      </c>
      <c r="R80" s="800">
        <v>0.13084943369107507</v>
      </c>
      <c r="S80" s="800">
        <v>0.02479108635097493</v>
      </c>
      <c r="T80" s="800">
        <v>0.02725825706327099</v>
      </c>
      <c r="U80" s="800">
        <v>0.08686131386861314</v>
      </c>
      <c r="V80" s="801">
        <v>6576.492537313433</v>
      </c>
      <c r="W80" s="800">
        <v>0.02144</v>
      </c>
      <c r="X80" s="801">
        <v>45.6</v>
      </c>
      <c r="Y80" s="799">
        <v>123.3925586947871</v>
      </c>
      <c r="Z80" s="801">
        <v>50260</v>
      </c>
      <c r="AA80" s="801">
        <v>1246</v>
      </c>
      <c r="AB80" s="801">
        <v>141</v>
      </c>
      <c r="AC80" s="801">
        <v>1370</v>
      </c>
      <c r="AD80" s="801">
        <v>119</v>
      </c>
      <c r="AE80" s="801">
        <v>13</v>
      </c>
      <c r="AF80" s="801">
        <v>3</v>
      </c>
      <c r="AG80" s="801">
        <v>24</v>
      </c>
    </row>
    <row r="81">
      <c r="A81" s="794" t="s">
        <v>1739</v>
      </c>
      <c r="B81" s="794" t="s">
        <v>1728</v>
      </c>
      <c r="C81" s="794" t="s">
        <v>1729</v>
      </c>
      <c r="D81" s="794">
        <v>3</v>
      </c>
      <c r="E81" s="794">
        <v>5</v>
      </c>
      <c r="F81" s="794">
        <v>7</v>
      </c>
      <c r="G81" s="794">
        <v>20358</v>
      </c>
      <c r="H81" s="795">
        <v>3710.28</v>
      </c>
      <c r="I81" s="796">
        <f t="shared" si="2"/>
      </c>
      <c r="J81" s="796">
        <f t="shared" si="0"/>
      </c>
      <c r="K81" s="796">
        <f t="shared" si="1"/>
      </c>
      <c r="L81" s="794"/>
      <c r="M81" s="797"/>
      <c r="N81" s="794"/>
      <c r="O81" s="794"/>
      <c r="P81" s="798"/>
      <c r="Q81" s="799">
        <v>4.245171624713959</v>
      </c>
      <c r="R81" s="800">
        <v>0.12153258880653428</v>
      </c>
      <c r="S81" s="800">
        <v>0.0312981199641898</v>
      </c>
      <c r="T81" s="800">
        <v>0.03577439570277529</v>
      </c>
      <c r="U81" s="800">
        <v>0.14514514514514515</v>
      </c>
      <c r="V81" s="801">
        <v>3393.7975424224696</v>
      </c>
      <c r="W81" s="800">
        <v>0.025634999999999998</v>
      </c>
      <c r="X81" s="801">
        <v>45.9</v>
      </c>
      <c r="Y81" s="799">
        <v>132.86589077887197</v>
      </c>
      <c r="Z81" s="801">
        <v>27925</v>
      </c>
      <c r="AA81" s="801">
        <v>874</v>
      </c>
      <c r="AB81" s="801">
        <v>87</v>
      </c>
      <c r="AC81" s="801">
        <v>999</v>
      </c>
      <c r="AD81" s="801">
        <v>145</v>
      </c>
      <c r="AE81" s="801">
        <v>6</v>
      </c>
      <c r="AF81" s="801">
        <v>0</v>
      </c>
      <c r="AG81" s="801">
        <v>7</v>
      </c>
    </row>
    <row r="82">
      <c r="A82" s="802" t="s">
        <v>1739</v>
      </c>
      <c r="B82" s="802" t="s">
        <v>1701</v>
      </c>
      <c r="C82" s="803"/>
      <c r="D82" s="803">
        <f>D80+D81</f>
      </c>
      <c r="E82" s="803">
        <f>E80+E81</f>
      </c>
      <c r="F82" s="803">
        <f>SUM(F80:F81)</f>
      </c>
      <c r="G82" s="803">
        <f>SUM(G80:G81)</f>
      </c>
      <c r="H82" s="803">
        <f>SUM(H80:H81)</f>
      </c>
      <c r="I82" s="804">
        <f t="shared" si="2"/>
      </c>
      <c r="J82" s="804">
        <f t="shared" si="0"/>
      </c>
      <c r="K82" s="804">
        <f t="shared" si="1"/>
      </c>
      <c r="L82" s="803"/>
      <c r="M82" s="805">
        <f>SUM(M80:M81)</f>
      </c>
      <c r="N82" s="803"/>
      <c r="O82" s="803"/>
      <c r="P82" s="803"/>
      <c r="Q82" s="806">
        <f>AVERAGE(Q80:Q81)</f>
      </c>
      <c r="R82" s="807">
        <f>AVERAGE(R80:R81)</f>
      </c>
      <c r="S82" s="807">
        <f>AVERAGE(S80:S81)</f>
      </c>
      <c r="T82" s="807">
        <f>AVERAGE(T80:T81)</f>
      </c>
      <c r="U82" s="807">
        <f>AVERAGE(U80:U81)</f>
      </c>
      <c r="V82" s="808">
        <f>SUM(V80:V81)</f>
      </c>
      <c r="W82" s="807">
        <f>AVERAGE(W80:W81)</f>
      </c>
      <c r="X82" s="808">
        <f>AVERAGE(X80:X81)</f>
      </c>
      <c r="Y82" s="806">
        <f>AVERAGE(Y80:Y81)</f>
      </c>
      <c r="Z82" s="808">
        <f>SUM(Z80:Z81)</f>
      </c>
      <c r="AA82" s="808">
        <f>SUM(AA80:AA81)</f>
      </c>
      <c r="AB82" s="808">
        <f>SUM(AB80:AB81)</f>
      </c>
      <c r="AC82" s="808">
        <f>SUM(AC80:AC81)</f>
      </c>
      <c r="AD82" s="808">
        <f>SUM(AD80:AD81)</f>
      </c>
      <c r="AE82" s="808">
        <f>SUM(AE80:AE81)</f>
      </c>
      <c r="AF82" s="808">
        <f>SUM(AF80:AF81)</f>
      </c>
      <c r="AG82" s="808">
        <f>SUM(AG80:AG81)</f>
      </c>
    </row>
    <row r="83">
      <c r="A83" s="794" t="s">
        <v>1740</v>
      </c>
      <c r="B83" s="794" t="s">
        <v>1696</v>
      </c>
      <c r="C83" s="794" t="s">
        <v>1697</v>
      </c>
      <c r="D83" s="794">
        <v>4</v>
      </c>
      <c r="E83" s="794">
        <v>8</v>
      </c>
      <c r="F83" s="794">
        <v>8</v>
      </c>
      <c r="G83" s="794">
        <v>19340.1</v>
      </c>
      <c r="H83" s="795">
        <v>5856.52</v>
      </c>
      <c r="I83" s="796">
        <f t="shared" si="2"/>
      </c>
      <c r="J83" s="796">
        <f t="shared" si="0"/>
      </c>
      <c r="K83" s="796">
        <f t="shared" si="1"/>
      </c>
      <c r="L83" s="794" t="s">
        <v>1711</v>
      </c>
      <c r="M83" s="797">
        <v>8</v>
      </c>
      <c r="N83" s="798"/>
      <c r="O83" s="794"/>
      <c r="P83" s="798"/>
      <c r="Q83" s="799">
        <v>4.711464199517297</v>
      </c>
      <c r="R83" s="800">
        <v>0.1367726209556089</v>
      </c>
      <c r="S83" s="800">
        <v>0.026397383622154266</v>
      </c>
      <c r="T83" s="800">
        <v>0.029710329595650696</v>
      </c>
      <c r="U83" s="800">
        <v>0.15368120085775555</v>
      </c>
      <c r="V83" s="801">
        <v>6440.349175557712</v>
      </c>
      <c r="W83" s="800">
        <v>0.025774999999999996</v>
      </c>
      <c r="X83" s="801">
        <v>62.5</v>
      </c>
      <c r="Y83" s="799">
        <v>124.37032789670404</v>
      </c>
      <c r="Z83" s="801">
        <v>47088</v>
      </c>
      <c r="AA83" s="801">
        <v>1243</v>
      </c>
      <c r="AB83" s="801">
        <v>166</v>
      </c>
      <c r="AC83" s="801">
        <v>1399</v>
      </c>
      <c r="AD83" s="801">
        <v>215</v>
      </c>
      <c r="AE83" s="801">
        <v>9</v>
      </c>
      <c r="AF83" s="801">
        <v>0</v>
      </c>
      <c r="AG83" s="801">
        <v>19</v>
      </c>
    </row>
    <row r="84">
      <c r="A84" s="794" t="s">
        <v>1740</v>
      </c>
      <c r="B84" s="794" t="s">
        <v>1705</v>
      </c>
      <c r="C84" s="794" t="s">
        <v>1708</v>
      </c>
      <c r="D84" s="794">
        <v>4</v>
      </c>
      <c r="E84" s="794">
        <v>10</v>
      </c>
      <c r="F84" s="794">
        <v>11</v>
      </c>
      <c r="G84" s="794">
        <v>21637.2</v>
      </c>
      <c r="H84" s="795">
        <v>7577.24</v>
      </c>
      <c r="I84" s="796">
        <f t="shared" si="2"/>
      </c>
      <c r="J84" s="796">
        <f t="shared" si="0"/>
      </c>
      <c r="K84" s="796">
        <f t="shared" si="1"/>
      </c>
      <c r="L84" s="794"/>
      <c r="M84" s="797"/>
      <c r="N84" s="794"/>
      <c r="O84" s="794"/>
      <c r="P84" s="798"/>
      <c r="Q84" s="799">
        <v>3.641153291686689</v>
      </c>
      <c r="R84" s="800">
        <v>0.15157230819174802</v>
      </c>
      <c r="S84" s="800">
        <v>0.03585767209442578</v>
      </c>
      <c r="T84" s="800">
        <v>0.04014818643921771</v>
      </c>
      <c r="U84" s="800">
        <v>0.09356223175965665</v>
      </c>
      <c r="V84" s="801">
        <v>8796.498905908096</v>
      </c>
      <c r="W84" s="800">
        <v>0.02285</v>
      </c>
      <c r="X84" s="801">
        <v>49</v>
      </c>
      <c r="Y84" s="799">
        <v>130.56328077884035</v>
      </c>
      <c r="Z84" s="801">
        <v>58035</v>
      </c>
      <c r="AA84" s="801">
        <v>2081</v>
      </c>
      <c r="AB84" s="801">
        <v>201</v>
      </c>
      <c r="AC84" s="801">
        <v>2330</v>
      </c>
      <c r="AD84" s="801">
        <v>218</v>
      </c>
      <c r="AE84" s="801">
        <v>17</v>
      </c>
      <c r="AF84" s="801">
        <v>5</v>
      </c>
      <c r="AG84" s="801">
        <v>26</v>
      </c>
    </row>
    <row r="85">
      <c r="A85" s="802" t="s">
        <v>1740</v>
      </c>
      <c r="B85" s="802" t="s">
        <v>1701</v>
      </c>
      <c r="C85" s="803"/>
      <c r="D85" s="803">
        <f>D83+D84</f>
      </c>
      <c r="E85" s="803">
        <f>E83+E84</f>
      </c>
      <c r="F85" s="803">
        <f>SUM(F83:F84)</f>
      </c>
      <c r="G85" s="803">
        <f>SUM(G83:G84)</f>
      </c>
      <c r="H85" s="803">
        <f>SUM(H83:H84)</f>
      </c>
      <c r="I85" s="804">
        <f t="shared" si="2"/>
      </c>
      <c r="J85" s="804">
        <f t="shared" si="0"/>
      </c>
      <c r="K85" s="804">
        <f t="shared" si="1"/>
      </c>
      <c r="L85" s="803"/>
      <c r="M85" s="805">
        <f>SUM(M83:M84)</f>
      </c>
      <c r="N85" s="803"/>
      <c r="O85" s="803"/>
      <c r="P85" s="803"/>
      <c r="Q85" s="806">
        <f>AVERAGE(Q83:Q84)</f>
      </c>
      <c r="R85" s="807">
        <f>AVERAGE(R83:R84)</f>
      </c>
      <c r="S85" s="807">
        <f>AVERAGE(S83:S84)</f>
      </c>
      <c r="T85" s="807">
        <f>AVERAGE(T83:T84)</f>
      </c>
      <c r="U85" s="807">
        <f>AVERAGE(U83:U84)</f>
      </c>
      <c r="V85" s="808">
        <f>SUM(V83:V84)</f>
      </c>
      <c r="W85" s="807">
        <f>AVERAGE(W83:W84)</f>
      </c>
      <c r="X85" s="808">
        <f>AVERAGE(X83:X84)</f>
      </c>
      <c r="Y85" s="806">
        <f>AVERAGE(Y83:Y84)</f>
      </c>
      <c r="Z85" s="808">
        <f>SUM(Z83:Z84)</f>
      </c>
      <c r="AA85" s="808">
        <f>SUM(AA83:AA84)</f>
      </c>
      <c r="AB85" s="808">
        <f>SUM(AB83:AB84)</f>
      </c>
      <c r="AC85" s="808">
        <f>SUM(AC83:AC84)</f>
      </c>
      <c r="AD85" s="808">
        <f>SUM(AD83:AD84)</f>
      </c>
      <c r="AE85" s="808">
        <f>SUM(AE83:AE84)</f>
      </c>
      <c r="AF85" s="808">
        <f>SUM(AF83:AF84)</f>
      </c>
      <c r="AG85" s="808">
        <f>SUM(AG83:AG84)</f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>
      <c r="E111" s="809"/>
    </row>
  </sheetData>
  <autoFilter ref="A1:AG12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16"/>
  <cols>
    <col collapsed="false" customWidth="true" hidden="false" max="5" min="5" style="0" width="11.211267605633802"/>
  </cols>
  <sheetData>
    <row customHeight="true" ht="16.071428571428573" r="1">
      <c r="A1" s="810" t="s">
        <v>1741</v>
      </c>
      <c r="B1" s="811" t="s">
        <v>1742</v>
      </c>
      <c r="C1" s="811" t="s">
        <v>1743</v>
      </c>
      <c r="D1" s="811" t="s">
        <v>1744</v>
      </c>
      <c r="E1" s="810" t="s">
        <v>1745</v>
      </c>
      <c r="F1" s="811" t="s">
        <v>1746</v>
      </c>
      <c r="G1" s="812" t="s">
        <v>1747</v>
      </c>
      <c r="H1" s="811" t="s">
        <v>1748</v>
      </c>
      <c r="I1" s="813" t="s">
        <v>1749</v>
      </c>
      <c r="J1" s="813" t="s">
        <v>1750</v>
      </c>
      <c r="K1" s="813" t="s">
        <v>1751</v>
      </c>
      <c r="L1" s="811" t="s">
        <v>1752</v>
      </c>
      <c r="M1" s="814" t="s">
        <v>1753</v>
      </c>
      <c r="N1" s="811" t="s">
        <v>1754</v>
      </c>
      <c r="O1" s="811" t="s">
        <v>1755</v>
      </c>
      <c r="P1" s="811"/>
      <c r="Q1" s="811" t="s">
        <v>1756</v>
      </c>
      <c r="R1" s="815" t="s">
        <v>1757</v>
      </c>
      <c r="S1" s="815" t="s">
        <v>1758</v>
      </c>
      <c r="T1" s="815" t="s">
        <v>1759</v>
      </c>
      <c r="U1" s="815" t="s">
        <v>1760</v>
      </c>
      <c r="V1" s="816" t="s">
        <v>1761</v>
      </c>
      <c r="W1" s="815" t="s">
        <v>1762</v>
      </c>
      <c r="X1" s="816" t="s">
        <v>1763</v>
      </c>
      <c r="Y1" s="817" t="s">
        <v>1764</v>
      </c>
      <c r="Z1" s="818" t="s">
        <v>1765</v>
      </c>
      <c r="AA1" s="816" t="s">
        <v>1766</v>
      </c>
      <c r="AB1" s="816" t="s">
        <v>1767</v>
      </c>
      <c r="AC1" s="816" t="s">
        <v>1768</v>
      </c>
      <c r="AD1" s="816" t="s">
        <v>1769</v>
      </c>
      <c r="AE1" s="816" t="s">
        <v>1770</v>
      </c>
      <c r="AF1" s="816" t="s">
        <v>1771</v>
      </c>
      <c r="AG1" s="816" t="s">
        <v>1772</v>
      </c>
    </row>
    <row r="2">
      <c r="A2" s="819" t="s">
        <v>1773</v>
      </c>
      <c r="B2" s="819" t="s">
        <v>1774</v>
      </c>
      <c r="C2" s="819" t="s">
        <v>1775</v>
      </c>
      <c r="D2" s="819">
        <v>4</v>
      </c>
      <c r="E2" s="819">
        <v>8</v>
      </c>
      <c r="F2" s="819">
        <v>8</v>
      </c>
      <c r="G2" s="820">
        <v>16142.1</v>
      </c>
      <c r="H2" s="820">
        <v>6240.81</v>
      </c>
      <c r="I2" s="821">
        <f t="shared" ref="I2:I94" si="2">G2/H2</f>
      </c>
      <c r="J2" s="821">
        <f t="shared" ref="J2:J94" si="0">G2/F2</f>
      </c>
      <c r="K2" s="821">
        <f t="shared" ref="K2:K94" si="1">H2/F2</f>
      </c>
      <c r="L2" s="819" t="s">
        <v>1776</v>
      </c>
      <c r="M2" s="822">
        <v>8</v>
      </c>
      <c r="N2" s="823"/>
      <c r="O2" s="819"/>
      <c r="P2" s="823"/>
      <c r="Q2" s="824">
        <v>4.391843771991556</v>
      </c>
      <c r="R2" s="825">
        <v>0.23096380296785923</v>
      </c>
      <c r="S2" s="825">
        <v>0.02169763784336779</v>
      </c>
      <c r="T2" s="825">
        <v>0.023652104869371363</v>
      </c>
      <c r="U2" s="825">
        <v>0.1459005810200129</v>
      </c>
      <c r="V2" s="826">
        <v>15126.050420168069</v>
      </c>
      <c r="W2" s="825">
        <v>0.017849999999999998</v>
      </c>
      <c r="X2" s="826">
        <v>59</v>
      </c>
      <c r="Y2" s="824">
        <v>95.29263562932312</v>
      </c>
      <c r="Z2" s="826">
        <v>65491</v>
      </c>
      <c r="AA2" s="826">
        <v>1421</v>
      </c>
      <c r="AB2" s="826">
        <v>270</v>
      </c>
      <c r="AC2" s="826">
        <v>1549</v>
      </c>
      <c r="AD2" s="826">
        <v>226</v>
      </c>
      <c r="AE2" s="826">
        <v>18</v>
      </c>
      <c r="AF2" s="826">
        <v>3</v>
      </c>
      <c r="AG2" s="826">
        <v>43</v>
      </c>
    </row>
    <row r="3">
      <c r="A3" s="819" t="s">
        <v>1773</v>
      </c>
      <c r="B3" s="819" t="s">
        <v>1777</v>
      </c>
      <c r="C3" s="819" t="s">
        <v>1778</v>
      </c>
      <c r="D3" s="819">
        <v>4</v>
      </c>
      <c r="E3" s="819">
        <v>14</v>
      </c>
      <c r="F3" s="819">
        <v>14</v>
      </c>
      <c r="G3" s="820">
        <v>32371.95</v>
      </c>
      <c r="H3" s="820">
        <v>6637.63</v>
      </c>
      <c r="I3" s="821">
        <f t="shared" si="2"/>
      </c>
      <c r="J3" s="821">
        <f t="shared" si="0"/>
      </c>
      <c r="K3" s="821">
        <f t="shared" si="1"/>
      </c>
      <c r="L3" s="819"/>
      <c r="M3" s="822"/>
      <c r="N3" s="819"/>
      <c r="O3" s="819"/>
      <c r="P3" s="823"/>
      <c r="Q3" s="824">
        <v>3.33381717729784</v>
      </c>
      <c r="R3" s="825">
        <v>0.2428444531674376</v>
      </c>
      <c r="S3" s="825">
        <v>0.029017824610496554</v>
      </c>
      <c r="T3" s="825">
        <v>0.03206389459723376</v>
      </c>
      <c r="U3" s="825">
        <v>0.12318181818181818</v>
      </c>
      <c r="V3" s="826">
        <v>16662.286465177396</v>
      </c>
      <c r="W3" s="825">
        <v>0.019025</v>
      </c>
      <c r="X3" s="826">
        <v>63</v>
      </c>
      <c r="Y3" s="824">
        <v>96.74012213428942</v>
      </c>
      <c r="Z3" s="826">
        <v>68613</v>
      </c>
      <c r="AA3" s="826">
        <v>1991</v>
      </c>
      <c r="AB3" s="826">
        <v>317</v>
      </c>
      <c r="AC3" s="826">
        <v>2200</v>
      </c>
      <c r="AD3" s="826">
        <v>271</v>
      </c>
      <c r="AE3" s="826">
        <v>21</v>
      </c>
      <c r="AF3" s="826">
        <v>3</v>
      </c>
      <c r="AG3" s="826">
        <v>59</v>
      </c>
    </row>
    <row r="4">
      <c r="A4" s="827" t="s">
        <v>1773</v>
      </c>
      <c r="B4" s="827" t="s">
        <v>1779</v>
      </c>
      <c r="C4" s="828"/>
      <c r="D4" s="828">
        <f>SUM(D2:D3)</f>
      </c>
      <c r="E4" s="828">
        <f>SUM(E2:E3)</f>
      </c>
      <c r="F4" s="828">
        <f>SUM(F2:F3)</f>
      </c>
      <c r="G4" s="829">
        <f>SUM(G2:G3)</f>
      </c>
      <c r="H4" s="828">
        <f>SUM(H2:H3)</f>
      </c>
      <c r="I4" s="830">
        <f t="shared" si="2"/>
      </c>
      <c r="J4" s="830">
        <f t="shared" si="0"/>
      </c>
      <c r="K4" s="830">
        <f t="shared" si="1"/>
      </c>
      <c r="L4" s="828"/>
      <c r="M4" s="831">
        <f>SUM(M2:M3)</f>
      </c>
      <c r="N4" s="828"/>
      <c r="O4" s="828"/>
      <c r="P4" s="828"/>
      <c r="Q4" s="832">
        <f>AVERAGE(Q2:Q3)</f>
      </c>
      <c r="R4" s="833">
        <f>AVERAGE(R2:R3)</f>
      </c>
      <c r="S4" s="833">
        <f>AVERAGE(S2:S3)</f>
      </c>
      <c r="T4" s="833">
        <f>AVERAGE(T2:T3)</f>
      </c>
      <c r="U4" s="833">
        <f>AVERAGE(U2:U3)</f>
      </c>
      <c r="V4" s="834">
        <f>SUM(V2:V3)</f>
      </c>
      <c r="W4" s="833">
        <f>AVERAGE(W2:W3)</f>
      </c>
      <c r="X4" s="834">
        <f>AVERAGE(X2:X3)</f>
      </c>
      <c r="Y4" s="832">
        <f>AVERAGE(Y2:Y3)</f>
      </c>
      <c r="Z4" s="834">
        <f>SUM(Z2:Z3)</f>
      </c>
      <c r="AA4" s="834">
        <f>SUM(AA2:AA3)</f>
      </c>
      <c r="AB4" s="834">
        <f>SUM(AB2:AB3)</f>
      </c>
      <c r="AC4" s="834">
        <f>SUM(AC2:AC3)</f>
      </c>
      <c r="AD4" s="834">
        <f>SUM(AD2:AD3)</f>
      </c>
      <c r="AE4" s="834">
        <f>SUM(AE2:AE3)</f>
      </c>
      <c r="AF4" s="834">
        <f>SUM(AF2:AF3)</f>
      </c>
      <c r="AG4" s="834">
        <f>SUM(AG2:AG3)</f>
      </c>
    </row>
    <row r="5">
      <c r="A5" s="819" t="s">
        <v>1780</v>
      </c>
      <c r="B5" s="819" t="s">
        <v>1774</v>
      </c>
      <c r="C5" s="819" t="s">
        <v>1775</v>
      </c>
      <c r="D5" s="819">
        <v>4</v>
      </c>
      <c r="E5" s="819">
        <v>8</v>
      </c>
      <c r="F5" s="819">
        <v>8</v>
      </c>
      <c r="G5" s="820">
        <v>20593.95</v>
      </c>
      <c r="H5" s="820">
        <v>8556.89</v>
      </c>
      <c r="I5" s="821">
        <f t="shared" si="2"/>
      </c>
      <c r="J5" s="821">
        <f t="shared" si="0"/>
      </c>
      <c r="K5" s="821">
        <f t="shared" si="1"/>
      </c>
      <c r="L5" s="819" t="s">
        <v>1776</v>
      </c>
      <c r="M5" s="822">
        <v>8</v>
      </c>
      <c r="N5" s="823"/>
      <c r="O5" s="819"/>
      <c r="P5" s="823"/>
      <c r="Q5" s="824">
        <v>3.4517507059298103</v>
      </c>
      <c r="R5" s="825">
        <v>0.32639886126602163</v>
      </c>
      <c r="S5" s="825">
        <v>0.02883530492840609</v>
      </c>
      <c r="T5" s="825">
        <v>0.030801084086494283</v>
      </c>
      <c r="U5" s="825">
        <v>0.12084592145015106</v>
      </c>
      <c r="V5" s="826">
        <v>28060.836501901143</v>
      </c>
      <c r="W5" s="825">
        <v>0.013149999999999998</v>
      </c>
      <c r="X5" s="826">
        <v>57.75</v>
      </c>
      <c r="Y5" s="824">
        <v>99.53228414232706</v>
      </c>
      <c r="Z5" s="826">
        <v>85971</v>
      </c>
      <c r="AA5" s="826">
        <v>2479</v>
      </c>
      <c r="AB5" s="826">
        <v>369</v>
      </c>
      <c r="AC5" s="826">
        <v>2648</v>
      </c>
      <c r="AD5" s="826">
        <v>320</v>
      </c>
      <c r="AE5" s="826">
        <v>24</v>
      </c>
      <c r="AF5" s="826">
        <v>3</v>
      </c>
      <c r="AG5" s="826">
        <v>51</v>
      </c>
    </row>
    <row r="6">
      <c r="A6" s="819" t="s">
        <v>1780</v>
      </c>
      <c r="B6" s="819" t="s">
        <v>1781</v>
      </c>
      <c r="C6" s="819" t="s">
        <v>1778</v>
      </c>
      <c r="D6" s="819">
        <v>4</v>
      </c>
      <c r="E6" s="819">
        <v>14</v>
      </c>
      <c r="F6" s="819">
        <v>14</v>
      </c>
      <c r="G6" s="820">
        <v>33559.5</v>
      </c>
      <c r="H6" s="820">
        <v>6904.45</v>
      </c>
      <c r="I6" s="821">
        <f t="shared" si="2"/>
      </c>
      <c r="J6" s="821">
        <f t="shared" si="0"/>
      </c>
      <c r="K6" s="821">
        <f t="shared" si="1"/>
      </c>
      <c r="L6" s="819"/>
      <c r="M6" s="822"/>
      <c r="N6" s="819"/>
      <c r="O6" s="819"/>
      <c r="P6" s="823"/>
      <c r="Q6" s="824">
        <v>3.7503802281368825</v>
      </c>
      <c r="R6" s="825">
        <v>0.18339669902798064</v>
      </c>
      <c r="S6" s="825">
        <v>0.031808286395521614</v>
      </c>
      <c r="T6" s="825">
        <v>0.03370883582708456</v>
      </c>
      <c r="U6" s="825">
        <v>0.12967708867247565</v>
      </c>
      <c r="V6" s="826">
        <v>10614.634146341463</v>
      </c>
      <c r="W6" s="825">
        <v>0.025625000000000002</v>
      </c>
      <c r="X6" s="826">
        <v>59</v>
      </c>
      <c r="Y6" s="824">
        <v>119.29316838867965</v>
      </c>
      <c r="Z6" s="826">
        <v>57878</v>
      </c>
      <c r="AA6" s="826">
        <v>1841</v>
      </c>
      <c r="AB6" s="826">
        <v>272</v>
      </c>
      <c r="AC6" s="826">
        <v>1951</v>
      </c>
      <c r="AD6" s="826">
        <v>253</v>
      </c>
      <c r="AE6" s="826">
        <v>22</v>
      </c>
      <c r="AF6" s="826">
        <v>3</v>
      </c>
      <c r="AG6" s="826">
        <v>59</v>
      </c>
    </row>
    <row r="7">
      <c r="A7" s="827" t="s">
        <v>1780</v>
      </c>
      <c r="B7" s="827" t="s">
        <v>1779</v>
      </c>
      <c r="C7" s="828"/>
      <c r="D7" s="828">
        <f>SUM(D5:D6)</f>
      </c>
      <c r="E7" s="828">
        <f>SUM(E5:E6)</f>
      </c>
      <c r="F7" s="828">
        <f>SUM(F5:F6)</f>
      </c>
      <c r="G7" s="829">
        <f>SUM(G5:G6)</f>
      </c>
      <c r="H7" s="828">
        <f>SUM(H5:H6)</f>
      </c>
      <c r="I7" s="830">
        <f t="shared" si="2"/>
      </c>
      <c r="J7" s="830">
        <f t="shared" si="0"/>
      </c>
      <c r="K7" s="830">
        <f t="shared" si="1"/>
      </c>
      <c r="L7" s="828"/>
      <c r="M7" s="831">
        <f>SUM(M5:M6)</f>
      </c>
      <c r="N7" s="828"/>
      <c r="O7" s="828"/>
      <c r="P7" s="828"/>
      <c r="Q7" s="832">
        <f>AVERAGE(Q5:Q6)</f>
      </c>
      <c r="R7" s="833">
        <f>AVERAGE(R5:R6)</f>
      </c>
      <c r="S7" s="833">
        <f>AVERAGE(S5:S6)</f>
      </c>
      <c r="T7" s="833">
        <f>AVERAGE(T5:T6)</f>
      </c>
      <c r="U7" s="833">
        <f>AVERAGE(U5:U6)</f>
      </c>
      <c r="V7" s="834">
        <f>SUM(V5:V6)</f>
      </c>
      <c r="W7" s="833">
        <f>AVERAGE(W5:W6)</f>
      </c>
      <c r="X7" s="834">
        <f>AVERAGE(X5:X6)</f>
      </c>
      <c r="Y7" s="832">
        <f>AVERAGE(Y5:Y6)</f>
      </c>
      <c r="Z7" s="834">
        <f>SUM(Z5:Z6)</f>
      </c>
      <c r="AA7" s="834">
        <f>SUM(AA5:AA6)</f>
      </c>
      <c r="AB7" s="834">
        <f>SUM(AB5:AB6)</f>
      </c>
      <c r="AC7" s="834">
        <f>SUM(AC5:AC6)</f>
      </c>
      <c r="AD7" s="834">
        <f>SUM(AD5:AD6)</f>
      </c>
      <c r="AE7" s="834">
        <f>SUM(AE5:AE6)</f>
      </c>
      <c r="AF7" s="834">
        <f>SUM(AF5:AF6)</f>
      </c>
      <c r="AG7" s="834">
        <f>SUM(AG5:AG6)</f>
      </c>
    </row>
    <row r="8">
      <c r="A8" s="819" t="s">
        <v>1782</v>
      </c>
      <c r="B8" s="819" t="s">
        <v>1774</v>
      </c>
      <c r="C8" s="819" t="s">
        <v>1783</v>
      </c>
      <c r="D8" s="819">
        <v>3</v>
      </c>
      <c r="E8" s="819">
        <v>8</v>
      </c>
      <c r="F8" s="819">
        <v>8</v>
      </c>
      <c r="G8" s="820">
        <v>18240.3</v>
      </c>
      <c r="H8" s="820">
        <v>5202.6</v>
      </c>
      <c r="I8" s="821">
        <f t="shared" si="2"/>
      </c>
      <c r="J8" s="821">
        <f t="shared" si="0"/>
      </c>
      <c r="K8" s="821">
        <f t="shared" si="1"/>
      </c>
      <c r="L8" s="819" t="s">
        <v>1776</v>
      </c>
      <c r="M8" s="822">
        <v>8</v>
      </c>
      <c r="N8" s="823"/>
      <c r="O8" s="819"/>
      <c r="P8" s="823"/>
      <c r="Q8" s="824">
        <v>3.645697266993693</v>
      </c>
      <c r="R8" s="825">
        <v>0.3668802168939243</v>
      </c>
      <c r="S8" s="825">
        <v>0.026321128838882227</v>
      </c>
      <c r="T8" s="825">
        <v>0.027852070460204742</v>
      </c>
      <c r="U8" s="825">
        <v>0.1562913907284768</v>
      </c>
      <c r="V8" s="826">
        <v>19890.410958904107</v>
      </c>
      <c r="W8" s="825">
        <v>0.012166666666666668</v>
      </c>
      <c r="X8" s="826">
        <v>65.33333333333333</v>
      </c>
      <c r="Y8" s="824">
        <v>95.95886747210182</v>
      </c>
      <c r="Z8" s="826">
        <v>54215</v>
      </c>
      <c r="AA8" s="826">
        <v>1427</v>
      </c>
      <c r="AB8" s="826">
        <v>242</v>
      </c>
      <c r="AC8" s="826">
        <v>1510</v>
      </c>
      <c r="AD8" s="826">
        <v>236</v>
      </c>
      <c r="AE8" s="826">
        <v>15</v>
      </c>
      <c r="AF8" s="826">
        <v>4</v>
      </c>
      <c r="AG8" s="826">
        <v>27</v>
      </c>
    </row>
    <row r="9">
      <c r="A9" s="819" t="s">
        <v>1782</v>
      </c>
      <c r="B9" s="819" t="s">
        <v>1781</v>
      </c>
      <c r="C9" s="819" t="s">
        <v>1784</v>
      </c>
      <c r="D9" s="819">
        <v>5</v>
      </c>
      <c r="E9" s="819">
        <v>12</v>
      </c>
      <c r="F9" s="819">
        <v>12</v>
      </c>
      <c r="G9" s="820">
        <v>28286.7</v>
      </c>
      <c r="H9" s="820">
        <v>6498.21</v>
      </c>
      <c r="I9" s="821">
        <f t="shared" si="2"/>
      </c>
      <c r="J9" s="821">
        <f t="shared" si="0"/>
      </c>
      <c r="K9" s="821">
        <f t="shared" si="1"/>
      </c>
      <c r="L9" s="819"/>
      <c r="M9" s="822"/>
      <c r="N9" s="819"/>
      <c r="O9" s="819"/>
      <c r="P9" s="823"/>
      <c r="Q9" s="824">
        <v>3.4022041884816754</v>
      </c>
      <c r="R9" s="825">
        <v>0.2945374004480258</v>
      </c>
      <c r="S9" s="825">
        <v>0.03642883027216723</v>
      </c>
      <c r="T9" s="825">
        <v>0.03986191375331388</v>
      </c>
      <c r="U9" s="825">
        <v>0.15933014354066985</v>
      </c>
      <c r="V9" s="826">
        <v>15442.89044289044</v>
      </c>
      <c r="W9" s="825">
        <v>0.01716</v>
      </c>
      <c r="X9" s="826">
        <v>65.6</v>
      </c>
      <c r="Y9" s="824">
        <v>123.9383189334554</v>
      </c>
      <c r="Z9" s="826">
        <v>52431</v>
      </c>
      <c r="AA9" s="826">
        <v>1910</v>
      </c>
      <c r="AB9" s="826">
        <v>265</v>
      </c>
      <c r="AC9" s="826">
        <v>2090</v>
      </c>
      <c r="AD9" s="826">
        <v>333</v>
      </c>
      <c r="AE9" s="826">
        <v>20</v>
      </c>
      <c r="AF9" s="826">
        <v>1</v>
      </c>
      <c r="AG9" s="826">
        <v>21</v>
      </c>
    </row>
    <row r="10">
      <c r="A10" s="827" t="s">
        <v>1782</v>
      </c>
      <c r="B10" s="827" t="s">
        <v>1779</v>
      </c>
      <c r="C10" s="828"/>
      <c r="D10" s="828">
        <f>SUM(D8:D9)</f>
      </c>
      <c r="E10" s="828">
        <f>SUM(E8:E9)</f>
      </c>
      <c r="F10" s="828">
        <f>SUM(F8:F9)</f>
      </c>
      <c r="G10" s="829">
        <f>SUM(G8:G9)</f>
      </c>
      <c r="H10" s="828">
        <f>SUM(H8:H9)</f>
      </c>
      <c r="I10" s="830">
        <f t="shared" si="2"/>
      </c>
      <c r="J10" s="830">
        <f t="shared" si="0"/>
      </c>
      <c r="K10" s="830">
        <f t="shared" si="1"/>
      </c>
      <c r="L10" s="828"/>
      <c r="M10" s="831">
        <f>SUM(M8:M9)</f>
      </c>
      <c r="N10" s="828"/>
      <c r="O10" s="828"/>
      <c r="P10" s="828"/>
      <c r="Q10" s="832">
        <f>AVERAGE(Q8:Q9)</f>
      </c>
      <c r="R10" s="833">
        <f>AVERAGE(R8:R9)</f>
      </c>
      <c r="S10" s="833">
        <f>AVERAGE(S8:S9)</f>
      </c>
      <c r="T10" s="833">
        <f>AVERAGE(T8:T9)</f>
      </c>
      <c r="U10" s="833">
        <f>AVERAGE(U8:U9)</f>
      </c>
      <c r="V10" s="834">
        <f>SUM(V8:V9)</f>
      </c>
      <c r="W10" s="833">
        <f>AVERAGE(W8:W9)</f>
      </c>
      <c r="X10" s="834">
        <f>AVERAGE(X8:X9)</f>
      </c>
      <c r="Y10" s="832">
        <f>AVERAGE(Y8:Y9)</f>
      </c>
      <c r="Z10" s="834">
        <f>SUM(Z8:Z9)</f>
      </c>
      <c r="AA10" s="834">
        <f>SUM(AA8:AA9)</f>
      </c>
      <c r="AB10" s="834">
        <f>SUM(AB8:AB9)</f>
      </c>
      <c r="AC10" s="834">
        <f>SUM(AC8:AC9)</f>
      </c>
      <c r="AD10" s="834">
        <f>SUM(AD8:AD9)</f>
      </c>
      <c r="AE10" s="834">
        <f>SUM(AE8:AE9)</f>
      </c>
      <c r="AF10" s="834">
        <f>SUM(AF8:AF9)</f>
      </c>
      <c r="AG10" s="834">
        <f>SUM(AG8:AG9)</f>
      </c>
    </row>
    <row r="11">
      <c r="A11" s="819" t="s">
        <v>1785</v>
      </c>
      <c r="B11" s="819" t="s">
        <v>1781</v>
      </c>
      <c r="C11" s="819" t="s">
        <v>1775</v>
      </c>
      <c r="D11" s="819">
        <v>4</v>
      </c>
      <c r="E11" s="819">
        <v>4</v>
      </c>
      <c r="F11" s="819">
        <v>4</v>
      </c>
      <c r="G11" s="820">
        <v>7644</v>
      </c>
      <c r="H11" s="820">
        <v>6473.29</v>
      </c>
      <c r="I11" s="821">
        <f t="shared" si="2"/>
      </c>
      <c r="J11" s="821">
        <f t="shared" si="0"/>
      </c>
      <c r="K11" s="821">
        <f t="shared" si="1"/>
      </c>
      <c r="L11" s="819" t="s">
        <v>1786</v>
      </c>
      <c r="M11" s="822">
        <v>8</v>
      </c>
      <c r="N11" s="823"/>
      <c r="O11" s="819"/>
      <c r="P11" s="823"/>
      <c r="Q11" s="824">
        <v>3.75</v>
      </c>
      <c r="R11" s="824">
        <v>0.305</v>
      </c>
      <c r="S11" s="824">
        <v>0.0223</v>
      </c>
      <c r="T11" s="824">
        <v>0.0229</v>
      </c>
      <c r="U11" s="824">
        <v>0.1275</v>
      </c>
      <c r="V11" s="824">
        <v>23650</v>
      </c>
      <c r="W11" s="824">
        <v>0.0132</v>
      </c>
      <c r="X11" s="824">
        <v>56</v>
      </c>
      <c r="Y11" s="824">
        <v>83.49</v>
      </c>
      <c r="Z11" s="824">
        <v>77535</v>
      </c>
      <c r="AA11" s="824">
        <v>1727</v>
      </c>
      <c r="AB11" s="824">
        <v>311</v>
      </c>
      <c r="AC11" s="824">
        <v>1773</v>
      </c>
      <c r="AD11" s="824">
        <v>226</v>
      </c>
      <c r="AE11" s="824">
        <v>13</v>
      </c>
      <c r="AF11" s="824">
        <v>2</v>
      </c>
      <c r="AG11" s="824">
        <v>55</v>
      </c>
    </row>
    <row r="12">
      <c r="A12" s="819" t="s">
        <v>1785</v>
      </c>
      <c r="B12" s="819" t="s">
        <v>1777</v>
      </c>
      <c r="C12" s="819" t="s">
        <v>1778</v>
      </c>
      <c r="D12" s="819">
        <v>4</v>
      </c>
      <c r="E12" s="819">
        <v>11</v>
      </c>
      <c r="F12" s="819">
        <v>11</v>
      </c>
      <c r="G12" s="820">
        <v>30217.2</v>
      </c>
      <c r="H12" s="820">
        <v>4435.13</v>
      </c>
      <c r="I12" s="821">
        <f t="shared" si="2"/>
      </c>
      <c r="J12" s="821">
        <f t="shared" si="0"/>
      </c>
      <c r="K12" s="821">
        <f t="shared" si="1"/>
      </c>
      <c r="L12" s="819"/>
      <c r="M12" s="822"/>
      <c r="N12" s="819"/>
      <c r="O12" s="819"/>
      <c r="P12" s="823"/>
      <c r="Q12" s="824">
        <v>3.68</v>
      </c>
      <c r="R12" s="824">
        <v>0.2295</v>
      </c>
      <c r="S12" s="824">
        <v>0.0295</v>
      </c>
      <c r="T12" s="824">
        <v>0.0312</v>
      </c>
      <c r="U12" s="824">
        <v>0.1736</v>
      </c>
      <c r="V12" s="824">
        <v>9366</v>
      </c>
      <c r="W12" s="824">
        <v>0.0256</v>
      </c>
      <c r="X12" s="824">
        <v>73.75</v>
      </c>
      <c r="Y12" s="824">
        <v>108.7</v>
      </c>
      <c r="Z12" s="824">
        <v>40802</v>
      </c>
      <c r="AA12" s="824">
        <v>1205</v>
      </c>
      <c r="AB12" s="824">
        <v>240</v>
      </c>
      <c r="AC12" s="824">
        <v>1273</v>
      </c>
      <c r="AD12" s="824">
        <v>221</v>
      </c>
      <c r="AE12" s="824">
        <v>18</v>
      </c>
      <c r="AF12" s="824">
        <v>4</v>
      </c>
      <c r="AG12" s="824">
        <v>22</v>
      </c>
    </row>
    <row r="13">
      <c r="A13" s="827" t="s">
        <v>1785</v>
      </c>
      <c r="B13" s="827" t="s">
        <v>1779</v>
      </c>
      <c r="C13" s="828"/>
      <c r="D13" s="828">
        <f>SUM(D11:D12)</f>
      </c>
      <c r="E13" s="828">
        <f>SUM(E11:E12)</f>
      </c>
      <c r="F13" s="828">
        <f>SUM(F11:F12)</f>
      </c>
      <c r="G13" s="829">
        <f>SUM(G11:G12)</f>
      </c>
      <c r="H13" s="828">
        <f>SUM(H11:H12)</f>
      </c>
      <c r="I13" s="830">
        <f t="shared" si="2"/>
      </c>
      <c r="J13" s="830">
        <f t="shared" si="0"/>
      </c>
      <c r="K13" s="830">
        <f t="shared" si="1"/>
      </c>
      <c r="L13" s="828"/>
      <c r="M13" s="831">
        <f>SUM(M11:M12)</f>
      </c>
      <c r="N13" s="828"/>
      <c r="O13" s="828"/>
      <c r="P13" s="828"/>
      <c r="Q13" s="832">
        <f>AVERAGE(Q11:Q12)</f>
      </c>
      <c r="R13" s="833">
        <f>AVERAGE(R11:R12)</f>
      </c>
      <c r="S13" s="833">
        <f>AVERAGE(S11:S12)</f>
      </c>
      <c r="T13" s="833">
        <f>AVERAGE(T11:T12)</f>
      </c>
      <c r="U13" s="833">
        <f>AVERAGE(U11:U12)</f>
      </c>
      <c r="V13" s="834">
        <f>SUM(V11:V12)</f>
      </c>
      <c r="W13" s="833">
        <f>AVERAGE(W11:W12)</f>
      </c>
      <c r="X13" s="834">
        <f>AVERAGE(X11:X12)</f>
      </c>
      <c r="Y13" s="832">
        <f>AVERAGE(Y11:Y12)</f>
      </c>
      <c r="Z13" s="834">
        <f>SUM(Z11:Z12)</f>
      </c>
      <c r="AA13" s="834">
        <f>SUM(AA11:AA12)</f>
      </c>
      <c r="AB13" s="834">
        <f>SUM(AB11:AB12)</f>
      </c>
      <c r="AC13" s="834">
        <f>SUM(AC11:AC12)</f>
      </c>
      <c r="AD13" s="834">
        <f>SUM(AD11:AD12)</f>
      </c>
      <c r="AE13" s="834">
        <f>SUM(AE11:AE12)</f>
      </c>
      <c r="AF13" s="834">
        <f>SUM(AF11:AF12)</f>
      </c>
      <c r="AG13" s="834">
        <f>SUM(AG11:AG12)</f>
      </c>
    </row>
    <row r="14">
      <c r="A14" s="819" t="s">
        <v>1787</v>
      </c>
      <c r="B14" s="819" t="s">
        <v>1781</v>
      </c>
      <c r="C14" s="819" t="s">
        <v>1775</v>
      </c>
      <c r="D14" s="819">
        <v>4</v>
      </c>
      <c r="E14" s="819">
        <v>5</v>
      </c>
      <c r="F14" s="819">
        <v>5</v>
      </c>
      <c r="G14" s="820">
        <v>11001.9</v>
      </c>
      <c r="H14" s="820">
        <v>5870.49</v>
      </c>
      <c r="I14" s="821">
        <f t="shared" si="2"/>
      </c>
      <c r="J14" s="821">
        <f t="shared" si="0"/>
      </c>
      <c r="K14" s="821">
        <f t="shared" si="1"/>
      </c>
      <c r="L14" s="819" t="s">
        <v>1786</v>
      </c>
      <c r="M14" s="822">
        <v>8</v>
      </c>
      <c r="N14" s="823"/>
      <c r="O14" s="819"/>
      <c r="P14" s="823"/>
      <c r="Q14" s="824">
        <v>3.89</v>
      </c>
      <c r="R14" s="824">
        <v>0.3509</v>
      </c>
      <c r="S14" s="824">
        <v>0.0273</v>
      </c>
      <c r="T14" s="824">
        <v>0.0282</v>
      </c>
      <c r="U14" s="824">
        <v>0.1477</v>
      </c>
      <c r="V14" s="824">
        <v>19392</v>
      </c>
      <c r="W14" s="824">
        <v>0.0132</v>
      </c>
      <c r="X14" s="824">
        <v>64.25</v>
      </c>
      <c r="Y14" s="824">
        <v>106.23</v>
      </c>
      <c r="Z14" s="824">
        <v>55260</v>
      </c>
      <c r="AA14" s="824">
        <v>1511</v>
      </c>
      <c r="AB14" s="824">
        <v>255</v>
      </c>
      <c r="AC14" s="824">
        <v>1557</v>
      </c>
      <c r="AD14" s="824">
        <v>230</v>
      </c>
      <c r="AE14" s="824">
        <v>9</v>
      </c>
      <c r="AF14" s="824">
        <v>4</v>
      </c>
      <c r="AG14" s="824">
        <v>39</v>
      </c>
    </row>
    <row r="15">
      <c r="A15" s="819" t="s">
        <v>1787</v>
      </c>
      <c r="B15" s="819" t="s">
        <v>1777</v>
      </c>
      <c r="C15" s="819" t="s">
        <v>1778</v>
      </c>
      <c r="D15" s="819">
        <v>4</v>
      </c>
      <c r="E15" s="819">
        <v>9</v>
      </c>
      <c r="F15" s="819">
        <v>9</v>
      </c>
      <c r="G15" s="820">
        <v>25174.5</v>
      </c>
      <c r="H15" s="820">
        <v>4589.63</v>
      </c>
      <c r="I15" s="821">
        <f t="shared" si="2"/>
      </c>
      <c r="J15" s="821">
        <f t="shared" si="0"/>
      </c>
      <c r="K15" s="821">
        <f t="shared" si="1"/>
      </c>
      <c r="L15" s="819"/>
      <c r="M15" s="822"/>
      <c r="N15" s="819"/>
      <c r="O15" s="819"/>
      <c r="P15" s="823"/>
      <c r="Q15" s="824">
        <v>4.03</v>
      </c>
      <c r="R15" s="824">
        <v>0.274</v>
      </c>
      <c r="S15" s="824">
        <v>0.0378</v>
      </c>
      <c r="T15" s="824">
        <v>0.0427</v>
      </c>
      <c r="U15" s="824">
        <v>0.2357</v>
      </c>
      <c r="V15" s="824">
        <v>8273</v>
      </c>
      <c r="W15" s="824">
        <v>0.0256</v>
      </c>
      <c r="X15" s="824">
        <v>77.75</v>
      </c>
      <c r="Y15" s="824">
        <v>152</v>
      </c>
      <c r="Z15" s="824">
        <v>30195</v>
      </c>
      <c r="AA15" s="824">
        <v>1140</v>
      </c>
      <c r="AB15" s="824">
        <v>212</v>
      </c>
      <c r="AC15" s="824">
        <v>1290</v>
      </c>
      <c r="AD15" s="824">
        <v>304</v>
      </c>
      <c r="AE15" s="824">
        <v>17</v>
      </c>
      <c r="AF15" s="824">
        <v>3</v>
      </c>
      <c r="AG15" s="824">
        <v>16</v>
      </c>
    </row>
    <row r="16">
      <c r="A16" s="827" t="s">
        <v>1787</v>
      </c>
      <c r="B16" s="827" t="s">
        <v>1779</v>
      </c>
      <c r="C16" s="828"/>
      <c r="D16" s="828">
        <f>SUM(D14:D15)</f>
      </c>
      <c r="E16" s="828">
        <f>SUM(E14:E15)</f>
      </c>
      <c r="F16" s="828">
        <f>SUM(F14:F15)</f>
      </c>
      <c r="G16" s="829">
        <f>SUM(G14:G15)</f>
      </c>
      <c r="H16" s="828">
        <f>SUM(H14:H15)</f>
      </c>
      <c r="I16" s="830">
        <f t="shared" si="2"/>
      </c>
      <c r="J16" s="830">
        <f t="shared" si="0"/>
      </c>
      <c r="K16" s="830">
        <f t="shared" si="1"/>
      </c>
      <c r="L16" s="828"/>
      <c r="M16" s="831">
        <f>SUM(M14:M15)</f>
      </c>
      <c r="N16" s="828"/>
      <c r="O16" s="828"/>
      <c r="P16" s="828"/>
      <c r="Q16" s="832">
        <f>AVERAGE(Q14:Q15)</f>
      </c>
      <c r="R16" s="833">
        <f>AVERAGE(R14:R15)</f>
      </c>
      <c r="S16" s="833">
        <f>AVERAGE(S14:S15)</f>
      </c>
      <c r="T16" s="833">
        <f>AVERAGE(T14:T15)</f>
      </c>
      <c r="U16" s="833">
        <f>AVERAGE(U14:U15)</f>
      </c>
      <c r="V16" s="834">
        <f>SUM(V14:V15)</f>
      </c>
      <c r="W16" s="833">
        <f>AVERAGE(W14:W15)</f>
      </c>
      <c r="X16" s="834">
        <f>AVERAGE(X14:X15)</f>
      </c>
      <c r="Y16" s="832">
        <f>AVERAGE(Y14:Y15)</f>
      </c>
      <c r="Z16" s="834">
        <f>SUM(Z14:Z15)</f>
      </c>
      <c r="AA16" s="834">
        <f>SUM(AA14:AA15)</f>
      </c>
      <c r="AB16" s="834">
        <f>SUM(AB14:AB15)</f>
      </c>
      <c r="AC16" s="834">
        <f>SUM(AC14:AC15)</f>
      </c>
      <c r="AD16" s="834">
        <f>SUM(AD14:AD15)</f>
      </c>
      <c r="AE16" s="834">
        <f>SUM(AE14:AE15)</f>
      </c>
      <c r="AF16" s="834">
        <f>SUM(AF14:AF15)</f>
      </c>
      <c r="AG16" s="834">
        <f>SUM(AG14:AG15)</f>
      </c>
    </row>
    <row r="17">
      <c r="A17" s="819" t="s">
        <v>1788</v>
      </c>
      <c r="B17" s="819" t="s">
        <v>1781</v>
      </c>
      <c r="C17" s="819" t="s">
        <v>1775</v>
      </c>
      <c r="D17" s="819">
        <v>4</v>
      </c>
      <c r="E17" s="819">
        <v>10</v>
      </c>
      <c r="F17" s="819">
        <v>10</v>
      </c>
      <c r="G17" s="820">
        <v>21050.25</v>
      </c>
      <c r="H17" s="820">
        <v>6209.69</v>
      </c>
      <c r="I17" s="821">
        <f t="shared" si="2"/>
      </c>
      <c r="J17" s="821">
        <f t="shared" si="0"/>
      </c>
      <c r="K17" s="821">
        <f t="shared" si="1"/>
      </c>
      <c r="L17" s="819" t="s">
        <v>1786</v>
      </c>
      <c r="M17" s="822">
        <v>8</v>
      </c>
      <c r="N17" s="823"/>
      <c r="O17" s="819"/>
      <c r="P17" s="823"/>
      <c r="Q17" s="824">
        <v>3.97</v>
      </c>
      <c r="R17" s="824">
        <v>0.3644</v>
      </c>
      <c r="S17" s="824">
        <v>0.0294</v>
      </c>
      <c r="T17" s="824">
        <v>0.0318</v>
      </c>
      <c r="U17" s="824">
        <v>0.1175</v>
      </c>
      <c r="V17" s="824">
        <v>19392</v>
      </c>
      <c r="W17" s="824">
        <v>0.0132</v>
      </c>
      <c r="X17" s="824">
        <v>61</v>
      </c>
      <c r="Y17" s="824">
        <v>116.68</v>
      </c>
      <c r="Z17" s="824">
        <v>53221</v>
      </c>
      <c r="AA17" s="824">
        <v>1563</v>
      </c>
      <c r="AB17" s="824">
        <v>255</v>
      </c>
      <c r="AC17" s="824">
        <v>1693</v>
      </c>
      <c r="AD17" s="824">
        <v>199</v>
      </c>
      <c r="AE17" s="824">
        <v>20</v>
      </c>
      <c r="AF17" s="824">
        <v>6</v>
      </c>
      <c r="AG17" s="824">
        <v>26</v>
      </c>
    </row>
    <row r="18">
      <c r="A18" s="819" t="s">
        <v>1788</v>
      </c>
      <c r="B18" s="819" t="s">
        <v>1774</v>
      </c>
      <c r="C18" s="819" t="s">
        <v>1778</v>
      </c>
      <c r="D18" s="819">
        <v>4</v>
      </c>
      <c r="E18" s="819">
        <v>8</v>
      </c>
      <c r="F18" s="819">
        <v>8</v>
      </c>
      <c r="G18" s="820">
        <v>19605.3</v>
      </c>
      <c r="H18" s="820">
        <v>5324.71</v>
      </c>
      <c r="I18" s="821">
        <f t="shared" si="2"/>
      </c>
      <c r="J18" s="821">
        <f t="shared" si="0"/>
      </c>
      <c r="K18" s="821">
        <f t="shared" si="1"/>
      </c>
      <c r="L18" s="819"/>
      <c r="M18" s="822"/>
      <c r="N18" s="819"/>
      <c r="O18" s="819"/>
      <c r="P18" s="823"/>
      <c r="Q18" s="824">
        <v>2.82</v>
      </c>
      <c r="R18" s="824">
        <v>0.1694</v>
      </c>
      <c r="S18" s="824">
        <v>0.0364</v>
      </c>
      <c r="T18" s="824">
        <v>0.0398</v>
      </c>
      <c r="U18" s="824">
        <v>0.1363</v>
      </c>
      <c r="V18" s="824">
        <v>8780</v>
      </c>
      <c r="W18" s="824">
        <v>0.0256</v>
      </c>
      <c r="X18" s="824">
        <v>59.5</v>
      </c>
      <c r="Y18" s="824">
        <v>102.74</v>
      </c>
      <c r="Z18" s="824">
        <v>51827</v>
      </c>
      <c r="AA18" s="824">
        <v>1885</v>
      </c>
      <c r="AB18" s="824">
        <v>225</v>
      </c>
      <c r="AC18" s="824">
        <v>2062</v>
      </c>
      <c r="AD18" s="824">
        <v>281</v>
      </c>
      <c r="AE18" s="824">
        <v>15</v>
      </c>
      <c r="AF18" s="824">
        <v>6</v>
      </c>
      <c r="AG18" s="824">
        <v>23</v>
      </c>
    </row>
    <row r="19">
      <c r="A19" s="827" t="s">
        <v>1788</v>
      </c>
      <c r="B19" s="827" t="s">
        <v>1779</v>
      </c>
      <c r="C19" s="828"/>
      <c r="D19" s="828">
        <f>SUM(D17:D18)</f>
      </c>
      <c r="E19" s="828">
        <f>SUM(E17:E18)</f>
      </c>
      <c r="F19" s="828">
        <f>SUM(F17:F18)</f>
      </c>
      <c r="G19" s="829">
        <f>SUM(G17:G18)</f>
      </c>
      <c r="H19" s="828">
        <f>SUM(H17:H18)</f>
      </c>
      <c r="I19" s="830">
        <f t="shared" si="2"/>
      </c>
      <c r="J19" s="830">
        <f t="shared" si="0"/>
      </c>
      <c r="K19" s="830">
        <f t="shared" si="1"/>
      </c>
      <c r="L19" s="828"/>
      <c r="M19" s="831">
        <f>SUM(M17:M18)</f>
      </c>
      <c r="N19" s="828"/>
      <c r="O19" s="828"/>
      <c r="P19" s="828"/>
      <c r="Q19" s="832">
        <f>AVERAGE(Q17:Q18)</f>
      </c>
      <c r="R19" s="833">
        <f>AVERAGE(R17:R18)</f>
      </c>
      <c r="S19" s="833">
        <f>AVERAGE(S17:S18)</f>
      </c>
      <c r="T19" s="833">
        <f>AVERAGE(T17:T18)</f>
      </c>
      <c r="U19" s="833">
        <f>AVERAGE(U17:U18)</f>
      </c>
      <c r="V19" s="834">
        <f>SUM(V17:V18)</f>
      </c>
      <c r="W19" s="833">
        <f>AVERAGE(W17:W18)</f>
      </c>
      <c r="X19" s="834">
        <f>AVERAGE(X17:X18)</f>
      </c>
      <c r="Y19" s="832">
        <f>AVERAGE(Y17:Y18)</f>
      </c>
      <c r="Z19" s="834">
        <f>SUM(Z17:Z18)</f>
      </c>
      <c r="AA19" s="834">
        <f>SUM(AA17:AA18)</f>
      </c>
      <c r="AB19" s="834">
        <f>SUM(AB17:AB18)</f>
      </c>
      <c r="AC19" s="834">
        <f>SUM(AC17:AC18)</f>
      </c>
      <c r="AD19" s="834">
        <f>SUM(AD17:AD18)</f>
      </c>
      <c r="AE19" s="834">
        <f>SUM(AE17:AE18)</f>
      </c>
      <c r="AF19" s="834">
        <f>SUM(AF17:AF18)</f>
      </c>
      <c r="AG19" s="834">
        <f>SUM(AG17:AG18)</f>
      </c>
    </row>
    <row r="20">
      <c r="A20" s="819" t="s">
        <v>1789</v>
      </c>
      <c r="B20" s="819" t="s">
        <v>1781</v>
      </c>
      <c r="C20" s="819" t="s">
        <v>1775</v>
      </c>
      <c r="D20" s="819">
        <v>4</v>
      </c>
      <c r="E20" s="819">
        <v>8</v>
      </c>
      <c r="F20" s="819">
        <v>8</v>
      </c>
      <c r="G20" s="820">
        <v>17052.75</v>
      </c>
      <c r="H20" s="820">
        <v>4890.3</v>
      </c>
      <c r="I20" s="821">
        <f t="shared" si="2"/>
      </c>
      <c r="J20" s="821">
        <f t="shared" si="0"/>
      </c>
      <c r="K20" s="821">
        <f t="shared" si="1"/>
      </c>
      <c r="L20" s="819" t="s">
        <v>1786</v>
      </c>
      <c r="M20" s="822">
        <v>8</v>
      </c>
      <c r="N20" s="823"/>
      <c r="O20" s="819"/>
      <c r="P20" s="823"/>
      <c r="Q20" s="824">
        <v>3.33</v>
      </c>
      <c r="R20" s="824">
        <v>0.3036</v>
      </c>
      <c r="S20" s="824">
        <v>0.0271</v>
      </c>
      <c r="T20" s="824">
        <v>0.0307</v>
      </c>
      <c r="U20" s="824">
        <v>0.1905</v>
      </c>
      <c r="V20" s="824">
        <v>16426</v>
      </c>
      <c r="W20" s="824">
        <v>0.0132</v>
      </c>
      <c r="X20" s="824">
        <v>58.5</v>
      </c>
      <c r="Y20" s="824">
        <v>90.38</v>
      </c>
      <c r="Z20" s="824">
        <v>54110</v>
      </c>
      <c r="AA20" s="824">
        <v>1468</v>
      </c>
      <c r="AB20" s="824">
        <v>216</v>
      </c>
      <c r="AC20" s="824">
        <v>1659</v>
      </c>
      <c r="AD20" s="824">
        <v>316</v>
      </c>
      <c r="AE20" s="824">
        <v>18</v>
      </c>
      <c r="AF20" s="824">
        <v>5</v>
      </c>
      <c r="AG20" s="824">
        <v>20</v>
      </c>
    </row>
    <row r="21">
      <c r="A21" s="819" t="s">
        <v>1789</v>
      </c>
      <c r="B21" s="819" t="s">
        <v>1774</v>
      </c>
      <c r="C21" s="819" t="s">
        <v>1778</v>
      </c>
      <c r="D21" s="819">
        <v>4</v>
      </c>
      <c r="E21" s="819">
        <v>10</v>
      </c>
      <c r="F21" s="819">
        <v>10</v>
      </c>
      <c r="G21" s="820">
        <v>23284.95</v>
      </c>
      <c r="H21" s="820">
        <v>4736.66</v>
      </c>
      <c r="I21" s="821">
        <f t="shared" si="2"/>
      </c>
      <c r="J21" s="821">
        <f t="shared" si="0"/>
      </c>
      <c r="K21" s="821">
        <f t="shared" si="1"/>
      </c>
      <c r="L21" s="819"/>
      <c r="M21" s="822"/>
      <c r="N21" s="819"/>
      <c r="O21" s="819"/>
      <c r="P21" s="823"/>
      <c r="Q21" s="824">
        <v>3.26</v>
      </c>
      <c r="R21" s="824">
        <v>0.2016</v>
      </c>
      <c r="S21" s="824">
        <v>0.0334</v>
      </c>
      <c r="T21" s="824">
        <v>0.0412</v>
      </c>
      <c r="U21" s="824">
        <v>0.1802</v>
      </c>
      <c r="V21" s="824">
        <v>8780</v>
      </c>
      <c r="W21" s="824">
        <v>0.0256</v>
      </c>
      <c r="X21" s="824">
        <v>59.75</v>
      </c>
      <c r="Y21" s="824">
        <v>108.78</v>
      </c>
      <c r="Z21" s="824">
        <v>43544</v>
      </c>
      <c r="AA21" s="824">
        <v>1453</v>
      </c>
      <c r="AB21" s="824">
        <v>225</v>
      </c>
      <c r="AC21" s="824">
        <v>1792</v>
      </c>
      <c r="AD21" s="824">
        <v>323</v>
      </c>
      <c r="AE21" s="824">
        <v>22</v>
      </c>
      <c r="AF21" s="824">
        <v>1</v>
      </c>
      <c r="AG21" s="824">
        <v>46</v>
      </c>
    </row>
    <row r="22">
      <c r="A22" s="827" t="s">
        <v>1789</v>
      </c>
      <c r="B22" s="827" t="s">
        <v>1779</v>
      </c>
      <c r="C22" s="828"/>
      <c r="D22" s="828">
        <f>SUM(D20:D21)</f>
      </c>
      <c r="E22" s="828">
        <f>SUM(E20:E21)</f>
      </c>
      <c r="F22" s="828">
        <f>SUM(F20:F21)</f>
      </c>
      <c r="G22" s="829">
        <f>SUM(G20:G21)</f>
      </c>
      <c r="H22" s="828">
        <f>SUM(H20:H21)</f>
      </c>
      <c r="I22" s="830">
        <f t="shared" si="2"/>
      </c>
      <c r="J22" s="830">
        <f t="shared" si="0"/>
      </c>
      <c r="K22" s="830">
        <f t="shared" si="1"/>
      </c>
      <c r="L22" s="828"/>
      <c r="M22" s="831">
        <f>SUM(M20:M21)</f>
      </c>
      <c r="N22" s="828"/>
      <c r="O22" s="828"/>
      <c r="P22" s="828"/>
      <c r="Q22" s="832">
        <f>AVERAGE(Q20:Q21)</f>
      </c>
      <c r="R22" s="833">
        <f>AVERAGE(R20:R21)</f>
      </c>
      <c r="S22" s="833">
        <f>AVERAGE(S20:S21)</f>
      </c>
      <c r="T22" s="833">
        <f>AVERAGE(T20:T21)</f>
      </c>
      <c r="U22" s="833">
        <f>AVERAGE(U20:U21)</f>
      </c>
      <c r="V22" s="834">
        <f>SUM(V20:V21)</f>
      </c>
      <c r="W22" s="833">
        <f>AVERAGE(W20:W21)</f>
      </c>
      <c r="X22" s="834">
        <f>AVERAGE(X20:X21)</f>
      </c>
      <c r="Y22" s="832">
        <f>AVERAGE(Y20:Y21)</f>
      </c>
      <c r="Z22" s="834">
        <f>SUM(Z20:Z21)</f>
      </c>
      <c r="AA22" s="834">
        <f>SUM(AA20:AA21)</f>
      </c>
      <c r="AB22" s="834">
        <f>SUM(AB20:AB21)</f>
      </c>
      <c r="AC22" s="834">
        <f>SUM(AC20:AC21)</f>
      </c>
      <c r="AD22" s="834">
        <f>SUM(AD20:AD21)</f>
      </c>
      <c r="AE22" s="834">
        <f>SUM(AE20:AE21)</f>
      </c>
      <c r="AF22" s="834">
        <f>SUM(AF20:AF21)</f>
      </c>
      <c r="AG22" s="834">
        <f>SUM(AG20:AG21)</f>
      </c>
    </row>
    <row r="23">
      <c r="A23" s="819" t="s">
        <v>1790</v>
      </c>
      <c r="B23" s="819" t="s">
        <v>1774</v>
      </c>
      <c r="C23" s="819" t="s">
        <v>1775</v>
      </c>
      <c r="D23" s="819">
        <v>4</v>
      </c>
      <c r="E23" s="819">
        <v>5</v>
      </c>
      <c r="F23" s="819">
        <v>5</v>
      </c>
      <c r="G23" s="820">
        <v>9851.4</v>
      </c>
      <c r="H23" s="820">
        <v>4388.28</v>
      </c>
      <c r="I23" s="821">
        <f t="shared" si="2"/>
      </c>
      <c r="J23" s="821">
        <f t="shared" si="0"/>
      </c>
      <c r="K23" s="821">
        <f t="shared" si="1"/>
      </c>
      <c r="L23" s="819" t="s">
        <v>1786</v>
      </c>
      <c r="M23" s="822">
        <v>8</v>
      </c>
      <c r="N23" s="823"/>
      <c r="O23" s="819"/>
      <c r="P23" s="823"/>
      <c r="Q23" s="824">
        <v>4.39</v>
      </c>
      <c r="R23" s="824">
        <v>0.321</v>
      </c>
      <c r="S23" s="824">
        <v>0.023</v>
      </c>
      <c r="T23" s="824">
        <v>0.0256</v>
      </c>
      <c r="U23" s="824">
        <v>0.162</v>
      </c>
      <c r="V23" s="824">
        <v>13916</v>
      </c>
      <c r="W23" s="824">
        <v>0.0132</v>
      </c>
      <c r="X23" s="824">
        <v>57.25</v>
      </c>
      <c r="Y23" s="824">
        <v>101.21</v>
      </c>
      <c r="Z23" s="824">
        <v>43358</v>
      </c>
      <c r="AA23" s="824">
        <v>999</v>
      </c>
      <c r="AB23" s="824">
        <v>183</v>
      </c>
      <c r="AC23" s="824">
        <v>1111</v>
      </c>
      <c r="AD23" s="824">
        <v>180</v>
      </c>
      <c r="AE23" s="824">
        <v>10</v>
      </c>
      <c r="AF23" s="824">
        <v>2</v>
      </c>
      <c r="AG23" s="824">
        <v>26</v>
      </c>
    </row>
    <row r="24">
      <c r="A24" s="819" t="s">
        <v>1790</v>
      </c>
      <c r="B24" s="819" t="s">
        <v>1777</v>
      </c>
      <c r="C24" s="819" t="s">
        <v>1778</v>
      </c>
      <c r="D24" s="819">
        <v>4</v>
      </c>
      <c r="E24" s="819">
        <v>4</v>
      </c>
      <c r="F24" s="819">
        <v>4</v>
      </c>
      <c r="G24" s="820">
        <v>10416.9</v>
      </c>
      <c r="H24" s="820">
        <v>3775</v>
      </c>
      <c r="I24" s="821">
        <f t="shared" si="2"/>
      </c>
      <c r="J24" s="821">
        <f t="shared" si="0"/>
      </c>
      <c r="K24" s="821">
        <f t="shared" si="1"/>
      </c>
      <c r="L24" s="819"/>
      <c r="M24" s="822"/>
      <c r="N24" s="819"/>
      <c r="O24" s="819"/>
      <c r="P24" s="823"/>
      <c r="Q24" s="824">
        <v>4</v>
      </c>
      <c r="R24" s="824">
        <v>0.2804</v>
      </c>
      <c r="S24" s="824">
        <v>0.0383</v>
      </c>
      <c r="T24" s="824">
        <v>0.0427</v>
      </c>
      <c r="U24" s="824">
        <v>0.1863</v>
      </c>
      <c r="V24" s="824">
        <v>6907</v>
      </c>
      <c r="W24" s="824">
        <v>0.0256</v>
      </c>
      <c r="X24" s="824">
        <v>71.25</v>
      </c>
      <c r="Y24" s="824">
        <v>153.26</v>
      </c>
      <c r="Z24" s="824">
        <v>24632</v>
      </c>
      <c r="AA24" s="824">
        <v>944</v>
      </c>
      <c r="AB24" s="824">
        <v>177</v>
      </c>
      <c r="AC24" s="824">
        <v>1052</v>
      </c>
      <c r="AD24" s="824">
        <v>196</v>
      </c>
      <c r="AE24" s="824">
        <v>13</v>
      </c>
      <c r="AF24" s="824">
        <v>1</v>
      </c>
      <c r="AG24" s="824">
        <v>15</v>
      </c>
    </row>
    <row r="25">
      <c r="A25" s="827" t="s">
        <v>1790</v>
      </c>
      <c r="B25" s="827" t="s">
        <v>1779</v>
      </c>
      <c r="C25" s="828"/>
      <c r="D25" s="828">
        <f>SUM(D23:D24)</f>
      </c>
      <c r="E25" s="828">
        <f>SUM(E23:E24)</f>
      </c>
      <c r="F25" s="828">
        <f>SUM(F23:F24)</f>
      </c>
      <c r="G25" s="829">
        <f>SUM(G23:G24)</f>
      </c>
      <c r="H25" s="828">
        <f>SUM(H23:H24)</f>
      </c>
      <c r="I25" s="830">
        <f t="shared" si="2"/>
      </c>
      <c r="J25" s="830">
        <f t="shared" si="0"/>
      </c>
      <c r="K25" s="830">
        <f t="shared" si="1"/>
      </c>
      <c r="L25" s="828"/>
      <c r="M25" s="831">
        <f>SUM(M23:M24)</f>
      </c>
      <c r="N25" s="828"/>
      <c r="O25" s="828"/>
      <c r="P25" s="828"/>
      <c r="Q25" s="832">
        <f>AVERAGE(Q23:Q24)</f>
      </c>
      <c r="R25" s="833">
        <f>AVERAGE(R23:R24)</f>
      </c>
      <c r="S25" s="833">
        <f>AVERAGE(S23:S24)</f>
      </c>
      <c r="T25" s="833">
        <f>AVERAGE(T23:T24)</f>
      </c>
      <c r="U25" s="833">
        <f>AVERAGE(U23:U24)</f>
      </c>
      <c r="V25" s="834">
        <f>SUM(V23:V24)</f>
      </c>
      <c r="W25" s="833">
        <f>AVERAGE(W23:W24)</f>
      </c>
      <c r="X25" s="834">
        <f>AVERAGE(X23:X24)</f>
      </c>
      <c r="Y25" s="832">
        <f>AVERAGE(Y23:Y24)</f>
      </c>
      <c r="Z25" s="834">
        <f>SUM(Z23:Z24)</f>
      </c>
      <c r="AA25" s="834">
        <f>SUM(AA23:AA24)</f>
      </c>
      <c r="AB25" s="834">
        <f>SUM(AB23:AB24)</f>
      </c>
      <c r="AC25" s="834">
        <f>SUM(AC23:AC24)</f>
      </c>
      <c r="AD25" s="834">
        <f>SUM(AD23:AD24)</f>
      </c>
      <c r="AE25" s="834">
        <f>SUM(AE23:AE24)</f>
      </c>
      <c r="AF25" s="834">
        <f>SUM(AF23:AF24)</f>
      </c>
      <c r="AG25" s="834">
        <f>SUM(AG23:AG24)</f>
      </c>
    </row>
    <row r="26">
      <c r="A26" s="819" t="s">
        <v>1791</v>
      </c>
      <c r="B26" s="819" t="s">
        <v>1774</v>
      </c>
      <c r="C26" s="819" t="s">
        <v>1775</v>
      </c>
      <c r="D26" s="819">
        <v>4</v>
      </c>
      <c r="E26" s="819">
        <v>9</v>
      </c>
      <c r="F26" s="819">
        <v>9</v>
      </c>
      <c r="G26" s="820">
        <v>22434.75</v>
      </c>
      <c r="H26" s="820">
        <v>4560.39</v>
      </c>
      <c r="I26" s="821">
        <f t="shared" si="2"/>
      </c>
      <c r="J26" s="821">
        <f t="shared" si="0"/>
      </c>
      <c r="K26" s="821">
        <f t="shared" si="1"/>
      </c>
      <c r="L26" s="819" t="s">
        <v>1786</v>
      </c>
      <c r="M26" s="822">
        <v>2</v>
      </c>
      <c r="N26" s="823"/>
      <c r="O26" s="819"/>
      <c r="P26" s="823"/>
      <c r="Q26" s="824">
        <v>4.19</v>
      </c>
      <c r="R26" s="824">
        <v>0.3329</v>
      </c>
      <c r="S26" s="824">
        <v>0.0256</v>
      </c>
      <c r="T26" s="824">
        <v>0.0298</v>
      </c>
      <c r="U26" s="824">
        <v>0.1586</v>
      </c>
      <c r="V26" s="824">
        <v>14144</v>
      </c>
      <c r="W26" s="824">
        <v>0.0132</v>
      </c>
      <c r="X26" s="824">
        <v>61.25</v>
      </c>
      <c r="Y26" s="824">
        <v>107.32</v>
      </c>
      <c r="Z26" s="824">
        <v>42494</v>
      </c>
      <c r="AA26" s="824">
        <v>1088</v>
      </c>
      <c r="AB26" s="824">
        <v>186</v>
      </c>
      <c r="AC26" s="824">
        <v>1267</v>
      </c>
      <c r="AD26" s="824">
        <v>201</v>
      </c>
      <c r="AE26" s="824">
        <v>13</v>
      </c>
      <c r="AF26" s="824">
        <v>1</v>
      </c>
      <c r="AG26" s="824">
        <v>21</v>
      </c>
    </row>
    <row r="27">
      <c r="A27" s="819" t="s">
        <v>1791</v>
      </c>
      <c r="B27" s="819" t="s">
        <v>1781</v>
      </c>
      <c r="C27" s="819" t="s">
        <v>1778</v>
      </c>
      <c r="D27" s="819">
        <v>4</v>
      </c>
      <c r="E27" s="819">
        <v>9</v>
      </c>
      <c r="F27" s="819">
        <v>9</v>
      </c>
      <c r="G27" s="820">
        <v>20200.05</v>
      </c>
      <c r="H27" s="820">
        <v>4454.01</v>
      </c>
      <c r="I27" s="821">
        <f t="shared" si="2"/>
      </c>
      <c r="J27" s="821">
        <f t="shared" si="0"/>
      </c>
      <c r="K27" s="821">
        <f t="shared" si="1"/>
      </c>
      <c r="L27" s="819" t="s">
        <v>1792</v>
      </c>
      <c r="M27" s="822">
        <v>2.4</v>
      </c>
      <c r="N27" s="819"/>
      <c r="O27" s="819"/>
      <c r="P27" s="823"/>
      <c r="Q27" s="824">
        <v>5.23</v>
      </c>
      <c r="R27" s="824">
        <v>0.1929</v>
      </c>
      <c r="S27" s="824">
        <v>0.0282</v>
      </c>
      <c r="T27" s="824">
        <v>0.0336</v>
      </c>
      <c r="U27" s="824">
        <v>0.1627</v>
      </c>
      <c r="V27" s="824">
        <v>5815</v>
      </c>
      <c r="W27" s="824">
        <v>0.0256</v>
      </c>
      <c r="X27" s="824">
        <v>64.75</v>
      </c>
      <c r="Y27" s="824">
        <v>147.75</v>
      </c>
      <c r="Z27" s="824">
        <v>30146</v>
      </c>
      <c r="AA27" s="824">
        <v>851</v>
      </c>
      <c r="AB27" s="824">
        <v>149</v>
      </c>
      <c r="AC27" s="824">
        <v>1014</v>
      </c>
      <c r="AD27" s="824">
        <v>165</v>
      </c>
      <c r="AE27" s="824">
        <v>10</v>
      </c>
      <c r="AF27" s="824">
        <v>3</v>
      </c>
      <c r="AG27" s="824">
        <v>13</v>
      </c>
    </row>
    <row r="28">
      <c r="A28" s="827" t="s">
        <v>1791</v>
      </c>
      <c r="B28" s="827" t="s">
        <v>1779</v>
      </c>
      <c r="C28" s="828"/>
      <c r="D28" s="828">
        <f>SUM(D26:D27)</f>
      </c>
      <c r="E28" s="828">
        <f>SUM(E26:E27)</f>
      </c>
      <c r="F28" s="828">
        <f>SUM(F26:F27)</f>
      </c>
      <c r="G28" s="829">
        <f>SUM(G26:G27)</f>
      </c>
      <c r="H28" s="828">
        <f>SUM(H26:H27)</f>
      </c>
      <c r="I28" s="830">
        <f t="shared" si="2"/>
      </c>
      <c r="J28" s="830">
        <f t="shared" si="0"/>
      </c>
      <c r="K28" s="830">
        <f t="shared" si="1"/>
      </c>
      <c r="L28" s="828"/>
      <c r="M28" s="831">
        <f>SUM(M26:M27)</f>
      </c>
      <c r="N28" s="828"/>
      <c r="O28" s="828"/>
      <c r="P28" s="828"/>
      <c r="Q28" s="832">
        <f>AVERAGE(Q26:Q27)</f>
      </c>
      <c r="R28" s="833">
        <f>AVERAGE(R26:R27)</f>
      </c>
      <c r="S28" s="833">
        <f>AVERAGE(S26:S27)</f>
      </c>
      <c r="T28" s="833">
        <f>AVERAGE(T26:T27)</f>
      </c>
      <c r="U28" s="833">
        <f>AVERAGE(U26:U27)</f>
      </c>
      <c r="V28" s="834">
        <f>SUM(V26:V27)</f>
      </c>
      <c r="W28" s="833">
        <f>AVERAGE(W26:W27)</f>
      </c>
      <c r="X28" s="834">
        <f>AVERAGE(X26:X27)</f>
      </c>
      <c r="Y28" s="832">
        <f>AVERAGE(Y26:Y27)</f>
      </c>
      <c r="Z28" s="834">
        <f>SUM(Z26:Z27)</f>
      </c>
      <c r="AA28" s="834">
        <f>SUM(AA26:AA27)</f>
      </c>
      <c r="AB28" s="834">
        <f>SUM(AB26:AB27)</f>
      </c>
      <c r="AC28" s="834">
        <f>SUM(AC26:AC27)</f>
      </c>
      <c r="AD28" s="834">
        <f>SUM(AD26:AD27)</f>
      </c>
      <c r="AE28" s="834">
        <f>SUM(AE26:AE27)</f>
      </c>
      <c r="AF28" s="834">
        <f>SUM(AF26:AF27)</f>
      </c>
      <c r="AG28" s="834">
        <f>SUM(AG26:AG27)</f>
      </c>
    </row>
    <row r="29">
      <c r="A29" s="819" t="s">
        <v>1793</v>
      </c>
      <c r="B29" s="819" t="s">
        <v>1774</v>
      </c>
      <c r="C29" s="819" t="s">
        <v>1794</v>
      </c>
      <c r="D29" s="819">
        <v>4</v>
      </c>
      <c r="E29" s="819">
        <v>9</v>
      </c>
      <c r="F29" s="819">
        <v>9</v>
      </c>
      <c r="G29" s="820">
        <v>25747.8</v>
      </c>
      <c r="H29" s="820">
        <v>4994.8</v>
      </c>
      <c r="I29" s="821">
        <f t="shared" si="2"/>
      </c>
      <c r="J29" s="821">
        <f t="shared" si="0"/>
      </c>
      <c r="K29" s="821">
        <f t="shared" si="1"/>
      </c>
      <c r="L29" s="819" t="s">
        <v>1786</v>
      </c>
      <c r="M29" s="822">
        <v>8</v>
      </c>
      <c r="N29" s="823"/>
      <c r="O29" s="819"/>
      <c r="P29" s="823"/>
      <c r="Q29" s="824">
        <v>5.21</v>
      </c>
      <c r="R29" s="824">
        <v>0.3153</v>
      </c>
      <c r="S29" s="824">
        <v>0.0216</v>
      </c>
      <c r="T29" s="824">
        <v>0.0247</v>
      </c>
      <c r="U29" s="824">
        <v>0.1553</v>
      </c>
      <c r="V29" s="824">
        <v>13992</v>
      </c>
      <c r="W29" s="824">
        <v>0.0132</v>
      </c>
      <c r="X29" s="824">
        <v>59.5</v>
      </c>
      <c r="Y29" s="824">
        <v>112.57</v>
      </c>
      <c r="Z29" s="824">
        <v>44372</v>
      </c>
      <c r="AA29" s="824">
        <v>958</v>
      </c>
      <c r="AB29" s="824">
        <v>184</v>
      </c>
      <c r="AC29" s="824">
        <v>1095</v>
      </c>
      <c r="AD29" s="824">
        <v>170</v>
      </c>
      <c r="AE29" s="824">
        <v>14</v>
      </c>
      <c r="AF29" s="824">
        <v>2</v>
      </c>
      <c r="AG29" s="824">
        <v>30</v>
      </c>
    </row>
    <row r="30">
      <c r="A30" s="819" t="s">
        <v>1793</v>
      </c>
      <c r="B30" s="819" t="s">
        <v>1781</v>
      </c>
      <c r="C30" s="819" t="s">
        <v>1795</v>
      </c>
      <c r="D30" s="819">
        <v>4</v>
      </c>
      <c r="E30" s="819">
        <v>10</v>
      </c>
      <c r="F30" s="819">
        <v>10</v>
      </c>
      <c r="G30" s="820">
        <v>28041</v>
      </c>
      <c r="H30" s="820">
        <v>3901.75</v>
      </c>
      <c r="I30" s="821">
        <f t="shared" si="2"/>
      </c>
      <c r="J30" s="821">
        <f t="shared" si="0"/>
      </c>
      <c r="K30" s="821">
        <f t="shared" si="1"/>
      </c>
      <c r="L30" s="819"/>
      <c r="M30" s="822"/>
      <c r="N30" s="819"/>
      <c r="O30" s="819"/>
      <c r="P30" s="823"/>
      <c r="Q30" s="824">
        <v>3.32</v>
      </c>
      <c r="R30" s="824">
        <v>0.2276</v>
      </c>
      <c r="S30" s="824">
        <v>0.0347</v>
      </c>
      <c r="T30" s="824">
        <v>0.038</v>
      </c>
      <c r="U30" s="824">
        <v>0.1243</v>
      </c>
      <c r="V30" s="824">
        <v>7571</v>
      </c>
      <c r="W30" s="824">
        <v>0.0256</v>
      </c>
      <c r="X30" s="824">
        <v>66</v>
      </c>
      <c r="Y30" s="824">
        <v>115.29</v>
      </c>
      <c r="Z30" s="824">
        <v>33263</v>
      </c>
      <c r="AA30" s="824">
        <v>1154</v>
      </c>
      <c r="AB30" s="824">
        <v>194</v>
      </c>
      <c r="AC30" s="824">
        <v>1263</v>
      </c>
      <c r="AD30" s="824">
        <v>157</v>
      </c>
      <c r="AE30" s="824">
        <v>14</v>
      </c>
      <c r="AF30" s="824">
        <v>2</v>
      </c>
      <c r="AG30" s="824">
        <v>13</v>
      </c>
    </row>
    <row r="31">
      <c r="A31" s="827" t="s">
        <v>1793</v>
      </c>
      <c r="B31" s="827" t="s">
        <v>1779</v>
      </c>
      <c r="C31" s="828"/>
      <c r="D31" s="828">
        <f>SUM(D29:D30)</f>
      </c>
      <c r="E31" s="828">
        <f>SUM(E29:E30)</f>
      </c>
      <c r="F31" s="828">
        <f>SUM(F29:F30)</f>
      </c>
      <c r="G31" s="829">
        <f>SUM(G29:G30)</f>
      </c>
      <c r="H31" s="828">
        <f>SUM(H29:H30)</f>
      </c>
      <c r="I31" s="830">
        <f t="shared" si="2"/>
      </c>
      <c r="J31" s="830">
        <f t="shared" si="0"/>
      </c>
      <c r="K31" s="830">
        <f t="shared" si="1"/>
      </c>
      <c r="L31" s="828"/>
      <c r="M31" s="831">
        <f>SUM(M29:M30)</f>
      </c>
      <c r="N31" s="828"/>
      <c r="O31" s="828"/>
      <c r="P31" s="828"/>
      <c r="Q31" s="832">
        <f>AVERAGE(Q29:Q30)</f>
      </c>
      <c r="R31" s="833">
        <f>AVERAGE(R29:R30)</f>
      </c>
      <c r="S31" s="833">
        <f>AVERAGE(S29:S30)</f>
      </c>
      <c r="T31" s="833">
        <f>AVERAGE(T29:T30)</f>
      </c>
      <c r="U31" s="833">
        <f>AVERAGE(U29:U30)</f>
      </c>
      <c r="V31" s="834">
        <f>SUM(V29:V30)</f>
      </c>
      <c r="W31" s="833">
        <f>AVERAGE(W29:W30)</f>
      </c>
      <c r="X31" s="834">
        <f>AVERAGE(X29:X30)</f>
      </c>
      <c r="Y31" s="832">
        <f>AVERAGE(Y29:Y30)</f>
      </c>
      <c r="Z31" s="834">
        <f>SUM(Z29:Z30)</f>
      </c>
      <c r="AA31" s="834">
        <f>SUM(AA29:AA30)</f>
      </c>
      <c r="AB31" s="834">
        <f>SUM(AB29:AB30)</f>
      </c>
      <c r="AC31" s="834">
        <f>SUM(AC29:AC30)</f>
      </c>
      <c r="AD31" s="834">
        <f>SUM(AD29:AD30)</f>
      </c>
      <c r="AE31" s="834">
        <f>SUM(AE29:AE30)</f>
      </c>
      <c r="AF31" s="834">
        <f>SUM(AF29:AF30)</f>
      </c>
      <c r="AG31" s="834">
        <f>SUM(AG29:AG30)</f>
      </c>
    </row>
    <row r="32">
      <c r="A32" s="819" t="s">
        <v>1796</v>
      </c>
      <c r="B32" s="819" t="s">
        <v>1797</v>
      </c>
      <c r="C32" s="819" t="s">
        <v>1775</v>
      </c>
      <c r="D32" s="819">
        <v>4</v>
      </c>
      <c r="E32" s="819">
        <v>13</v>
      </c>
      <c r="F32" s="819">
        <v>13</v>
      </c>
      <c r="G32" s="820">
        <v>34140.6</v>
      </c>
      <c r="H32" s="819">
        <v>6141.32</v>
      </c>
      <c r="I32" s="821">
        <f t="shared" si="2"/>
      </c>
      <c r="J32" s="821">
        <f t="shared" si="0"/>
      </c>
      <c r="K32" s="821">
        <f t="shared" si="1"/>
      </c>
      <c r="L32" s="819" t="s">
        <v>1786</v>
      </c>
      <c r="M32" s="822">
        <v>8</v>
      </c>
      <c r="N32" s="823"/>
      <c r="O32" s="819"/>
      <c r="P32" s="823"/>
      <c r="Q32" s="824">
        <v>4.8</v>
      </c>
      <c r="R32" s="824">
        <v>0.3349</v>
      </c>
      <c r="S32" s="824">
        <v>0.0215</v>
      </c>
      <c r="T32" s="824">
        <v>0.0239</v>
      </c>
      <c r="U32" s="824">
        <v>0.1903</v>
      </c>
      <c r="V32" s="824">
        <v>19924</v>
      </c>
      <c r="W32" s="824">
        <v>0.0132</v>
      </c>
      <c r="X32" s="824">
        <v>70</v>
      </c>
      <c r="Y32" s="824">
        <v>103.22</v>
      </c>
      <c r="Z32" s="824">
        <v>59495</v>
      </c>
      <c r="AA32" s="824">
        <v>1280</v>
      </c>
      <c r="AB32" s="824">
        <v>262</v>
      </c>
      <c r="AC32" s="824">
        <v>1419</v>
      </c>
      <c r="AD32" s="824">
        <v>270</v>
      </c>
      <c r="AE32" s="824">
        <v>19</v>
      </c>
      <c r="AF32" s="824">
        <v>6</v>
      </c>
      <c r="AG32" s="824">
        <v>31</v>
      </c>
    </row>
    <row r="33">
      <c r="A33" s="819" t="s">
        <v>1796</v>
      </c>
      <c r="B33" s="819" t="s">
        <v>1781</v>
      </c>
      <c r="C33" s="819" t="s">
        <v>1778</v>
      </c>
      <c r="D33" s="819">
        <v>4</v>
      </c>
      <c r="E33" s="819">
        <v>20</v>
      </c>
      <c r="F33" s="819">
        <v>20</v>
      </c>
      <c r="G33" s="820">
        <v>51171.9</v>
      </c>
      <c r="H33" s="819">
        <v>10780.14</v>
      </c>
      <c r="I33" s="821">
        <f t="shared" si="2"/>
      </c>
      <c r="J33" s="821">
        <f t="shared" si="0"/>
      </c>
      <c r="K33" s="821">
        <f t="shared" si="1"/>
      </c>
      <c r="L33" s="819"/>
      <c r="M33" s="822"/>
      <c r="N33" s="819"/>
      <c r="O33" s="819"/>
      <c r="P33" s="823"/>
      <c r="Q33" s="824">
        <v>4.85</v>
      </c>
      <c r="R33" s="824">
        <v>0.1453</v>
      </c>
      <c r="S33" s="824">
        <v>0.0158</v>
      </c>
      <c r="T33" s="824">
        <v>0.0168</v>
      </c>
      <c r="U33" s="824">
        <v>0.1319</v>
      </c>
      <c r="V33" s="824">
        <v>20488</v>
      </c>
      <c r="W33" s="824">
        <v>0.0256</v>
      </c>
      <c r="X33" s="824">
        <v>72.67</v>
      </c>
      <c r="Y33" s="824">
        <v>76.43</v>
      </c>
      <c r="Z33" s="824">
        <v>141040</v>
      </c>
      <c r="AA33" s="824">
        <v>2225</v>
      </c>
      <c r="AB33" s="824">
        <v>525</v>
      </c>
      <c r="AC33" s="824">
        <v>2366</v>
      </c>
      <c r="AD33" s="824">
        <v>312</v>
      </c>
      <c r="AE33" s="824">
        <v>20</v>
      </c>
      <c r="AF33" s="824">
        <v>11</v>
      </c>
      <c r="AG33" s="824">
        <v>104</v>
      </c>
    </row>
    <row r="34">
      <c r="A34" s="827" t="s">
        <v>1796</v>
      </c>
      <c r="B34" s="827" t="s">
        <v>1779</v>
      </c>
      <c r="C34" s="828"/>
      <c r="D34" s="828">
        <f>SUM(D32:D33)</f>
      </c>
      <c r="E34" s="828">
        <f>SUM(E32:E33)</f>
      </c>
      <c r="F34" s="828">
        <f>SUM(F32:F33)</f>
      </c>
      <c r="G34" s="829">
        <f>SUM(G32:G33)</f>
      </c>
      <c r="H34" s="828">
        <f>SUM(H32:H33)</f>
      </c>
      <c r="I34" s="830">
        <f t="shared" si="2"/>
      </c>
      <c r="J34" s="830">
        <f t="shared" si="0"/>
      </c>
      <c r="K34" s="830">
        <f t="shared" si="1"/>
      </c>
      <c r="L34" s="828"/>
      <c r="M34" s="831">
        <f>SUM(M32:M33)</f>
      </c>
      <c r="N34" s="828"/>
      <c r="O34" s="828"/>
      <c r="P34" s="828"/>
      <c r="Q34" s="832">
        <f>AVERAGE(Q32:Q33)</f>
      </c>
      <c r="R34" s="833">
        <f>AVERAGE(R32:R33)</f>
      </c>
      <c r="S34" s="833">
        <f>AVERAGE(S32:S33)</f>
      </c>
      <c r="T34" s="833">
        <f>AVERAGE(T32:T33)</f>
      </c>
      <c r="U34" s="833">
        <f>AVERAGE(U32:U33)</f>
      </c>
      <c r="V34" s="834">
        <f>SUM(V32:V33)</f>
      </c>
      <c r="W34" s="833">
        <f>AVERAGE(W32:W33)</f>
      </c>
      <c r="X34" s="834">
        <f>AVERAGE(X32:X33)</f>
      </c>
      <c r="Y34" s="832">
        <f>AVERAGE(Y32:Y33)</f>
      </c>
      <c r="Z34" s="834">
        <f>SUM(Z32:Z33)</f>
      </c>
      <c r="AA34" s="834">
        <f>SUM(AA32:AA33)</f>
      </c>
      <c r="AB34" s="834">
        <f>SUM(AB32:AB33)</f>
      </c>
      <c r="AC34" s="834">
        <f>SUM(AC32:AC33)</f>
      </c>
      <c r="AD34" s="834">
        <f>SUM(AD32:AD33)</f>
      </c>
      <c r="AE34" s="834">
        <f>SUM(AE32:AE33)</f>
      </c>
      <c r="AF34" s="834">
        <f>SUM(AF32:AF33)</f>
      </c>
      <c r="AG34" s="834">
        <f>SUM(AG32:AG33)</f>
      </c>
    </row>
    <row r="35">
      <c r="A35" s="819" t="s">
        <v>1798</v>
      </c>
      <c r="B35" s="819" t="s">
        <v>1774</v>
      </c>
      <c r="C35" s="819" t="s">
        <v>1799</v>
      </c>
      <c r="D35" s="819">
        <v>4</v>
      </c>
      <c r="E35" s="819">
        <v>13</v>
      </c>
      <c r="F35" s="819">
        <v>13</v>
      </c>
      <c r="G35" s="820">
        <v>28692.3</v>
      </c>
      <c r="H35" s="819">
        <v>9460.67</v>
      </c>
      <c r="I35" s="821">
        <f t="shared" si="2"/>
      </c>
      <c r="J35" s="821">
        <f t="shared" si="0"/>
      </c>
      <c r="K35" s="821">
        <f t="shared" si="1"/>
      </c>
      <c r="L35" s="819" t="s">
        <v>1800</v>
      </c>
      <c r="M35" s="822">
        <v>2.8</v>
      </c>
      <c r="N35" s="823"/>
      <c r="O35" s="819"/>
      <c r="P35" s="823"/>
      <c r="Q35" s="824">
        <v>4.96</v>
      </c>
      <c r="R35" s="824">
        <v>0.3432</v>
      </c>
      <c r="S35" s="824">
        <v>0.0175</v>
      </c>
      <c r="T35" s="824">
        <v>0.018</v>
      </c>
      <c r="U35" s="824">
        <v>0.1471</v>
      </c>
      <c r="V35" s="824">
        <v>37490</v>
      </c>
      <c r="W35" s="824">
        <v>0.0132</v>
      </c>
      <c r="X35" s="824">
        <v>75</v>
      </c>
      <c r="Y35" s="824">
        <v>86.62</v>
      </c>
      <c r="Z35" s="824">
        <v>109224</v>
      </c>
      <c r="AA35" s="824">
        <v>1907</v>
      </c>
      <c r="AB35" s="824">
        <v>493</v>
      </c>
      <c r="AC35" s="824">
        <v>1964</v>
      </c>
      <c r="AD35" s="824">
        <v>289</v>
      </c>
      <c r="AE35" s="824">
        <v>30</v>
      </c>
      <c r="AF35" s="824">
        <v>8</v>
      </c>
      <c r="AG35" s="824">
        <v>63</v>
      </c>
    </row>
    <row r="36">
      <c r="A36" s="819" t="s">
        <v>1798</v>
      </c>
      <c r="B36" s="819" t="s">
        <v>1797</v>
      </c>
      <c r="C36" s="819" t="s">
        <v>1801</v>
      </c>
      <c r="D36" s="819">
        <v>3</v>
      </c>
      <c r="E36" s="819">
        <v>6</v>
      </c>
      <c r="F36" s="819">
        <v>6</v>
      </c>
      <c r="G36" s="820">
        <v>15477.15</v>
      </c>
      <c r="H36" s="819">
        <v>6509.65</v>
      </c>
      <c r="I36" s="821">
        <f t="shared" si="2"/>
      </c>
      <c r="J36" s="821">
        <f t="shared" si="0"/>
      </c>
      <c r="K36" s="821">
        <f t="shared" si="1"/>
      </c>
      <c r="L36" s="819"/>
      <c r="M36" s="822"/>
      <c r="N36" s="819"/>
      <c r="O36" s="819"/>
      <c r="P36" s="823"/>
      <c r="Q36" s="824">
        <v>4.38</v>
      </c>
      <c r="R36" s="824">
        <v>0.158</v>
      </c>
      <c r="S36" s="824">
        <v>0.0209</v>
      </c>
      <c r="T36" s="824">
        <v>0.0226</v>
      </c>
      <c r="U36" s="824">
        <v>0.1075</v>
      </c>
      <c r="V36" s="824">
        <v>11209</v>
      </c>
      <c r="W36" s="824">
        <v>0.0276</v>
      </c>
      <c r="X36" s="824">
        <v>71.67</v>
      </c>
      <c r="Y36" s="824">
        <v>91.75</v>
      </c>
      <c r="Z36" s="824">
        <v>70948</v>
      </c>
      <c r="AA36" s="824">
        <v>1486</v>
      </c>
      <c r="AB36" s="824">
        <v>309</v>
      </c>
      <c r="AC36" s="824">
        <v>1600</v>
      </c>
      <c r="AD36" s="824">
        <v>172</v>
      </c>
      <c r="AE36" s="824">
        <v>14</v>
      </c>
      <c r="AF36" s="824">
        <v>2</v>
      </c>
      <c r="AG36" s="824">
        <v>50</v>
      </c>
    </row>
    <row r="37">
      <c r="A37" s="827" t="s">
        <v>1798</v>
      </c>
      <c r="B37" s="827" t="s">
        <v>1779</v>
      </c>
      <c r="C37" s="828"/>
      <c r="D37" s="828">
        <f>SUM(D35:D36)</f>
      </c>
      <c r="E37" s="828">
        <f>SUM(E35:E36)</f>
      </c>
      <c r="F37" s="828">
        <f>SUM(F35:F36)</f>
      </c>
      <c r="G37" s="829">
        <f>SUM(G35:G36)</f>
      </c>
      <c r="H37" s="828">
        <f>SUM(H35:H36)</f>
      </c>
      <c r="I37" s="830">
        <f t="shared" si="2"/>
      </c>
      <c r="J37" s="830">
        <f t="shared" si="0"/>
      </c>
      <c r="K37" s="830">
        <f t="shared" si="1"/>
      </c>
      <c r="L37" s="828"/>
      <c r="M37" s="831">
        <f>SUM(M35:M36)</f>
      </c>
      <c r="N37" s="828"/>
      <c r="O37" s="828"/>
      <c r="P37" s="828"/>
      <c r="Q37" s="832">
        <f>AVERAGE(Q35:Q36)</f>
      </c>
      <c r="R37" s="833">
        <f>AVERAGE(R35:R36)</f>
      </c>
      <c r="S37" s="833">
        <f>AVERAGE(S35:S36)</f>
      </c>
      <c r="T37" s="833">
        <f>AVERAGE(T35:T36)</f>
      </c>
      <c r="U37" s="833">
        <f>AVERAGE(U35:U36)</f>
      </c>
      <c r="V37" s="834">
        <f>SUM(V35:V36)</f>
      </c>
      <c r="W37" s="833">
        <f>AVERAGE(W35:W36)</f>
      </c>
      <c r="X37" s="834">
        <f>AVERAGE(X35:X36)</f>
      </c>
      <c r="Y37" s="832">
        <f>AVERAGE(Y35:Y36)</f>
      </c>
      <c r="Z37" s="834">
        <f>SUM(Z35:Z36)</f>
      </c>
      <c r="AA37" s="834">
        <f>SUM(AA35:AA36)</f>
      </c>
      <c r="AB37" s="834">
        <f>SUM(AB35:AB36)</f>
      </c>
      <c r="AC37" s="834">
        <f>SUM(AC35:AC36)</f>
      </c>
      <c r="AD37" s="834">
        <f>SUM(AD35:AD36)</f>
      </c>
      <c r="AE37" s="834">
        <f>SUM(AE35:AE36)</f>
      </c>
      <c r="AF37" s="834">
        <f>SUM(AF35:AF36)</f>
      </c>
      <c r="AG37" s="834">
        <f>SUM(AG35:AG36)</f>
      </c>
    </row>
    <row r="38">
      <c r="A38" s="819" t="s">
        <v>1802</v>
      </c>
      <c r="B38" s="819" t="s">
        <v>1774</v>
      </c>
      <c r="C38" s="819" t="s">
        <v>1799</v>
      </c>
      <c r="D38" s="819">
        <v>4</v>
      </c>
      <c r="E38" s="819">
        <v>17</v>
      </c>
      <c r="F38" s="819">
        <v>17</v>
      </c>
      <c r="G38" s="820">
        <v>40673.1</v>
      </c>
      <c r="H38" s="819">
        <v>8609.39</v>
      </c>
      <c r="I38" s="821">
        <f t="shared" si="2"/>
      </c>
      <c r="J38" s="821">
        <f t="shared" si="0"/>
      </c>
      <c r="K38" s="821">
        <f t="shared" si="1"/>
      </c>
      <c r="L38" s="819" t="s">
        <v>1786</v>
      </c>
      <c r="M38" s="822">
        <v>1.6</v>
      </c>
      <c r="N38" s="823"/>
      <c r="O38" s="823"/>
      <c r="P38" s="823"/>
      <c r="Q38" s="824">
        <v>4.96</v>
      </c>
      <c r="R38" s="824">
        <v>0.3432</v>
      </c>
      <c r="S38" s="824">
        <v>0.0175</v>
      </c>
      <c r="T38" s="824">
        <v>0.018</v>
      </c>
      <c r="U38" s="824">
        <v>0.1471</v>
      </c>
      <c r="V38" s="824">
        <v>37490</v>
      </c>
      <c r="W38" s="824">
        <v>0.0132</v>
      </c>
      <c r="X38" s="824">
        <v>75</v>
      </c>
      <c r="Y38" s="824">
        <v>86.62</v>
      </c>
      <c r="Z38" s="824">
        <v>109224</v>
      </c>
      <c r="AA38" s="824">
        <v>1907</v>
      </c>
      <c r="AB38" s="824">
        <v>493</v>
      </c>
      <c r="AC38" s="824">
        <v>1964</v>
      </c>
      <c r="AD38" s="824">
        <v>289</v>
      </c>
      <c r="AE38" s="824">
        <v>30</v>
      </c>
      <c r="AF38" s="824">
        <v>8</v>
      </c>
      <c r="AG38" s="824">
        <v>63</v>
      </c>
    </row>
    <row r="39">
      <c r="A39" s="819" t="s">
        <v>1802</v>
      </c>
      <c r="B39" s="819" t="s">
        <v>1777</v>
      </c>
      <c r="C39" s="819" t="s">
        <v>1801</v>
      </c>
      <c r="D39" s="819">
        <v>3</v>
      </c>
      <c r="E39" s="819">
        <v>9</v>
      </c>
      <c r="F39" s="819">
        <v>9</v>
      </c>
      <c r="G39" s="820">
        <v>22272.9</v>
      </c>
      <c r="H39" s="819">
        <v>8343.58</v>
      </c>
      <c r="I39" s="821">
        <f t="shared" si="2"/>
      </c>
      <c r="J39" s="821">
        <f t="shared" si="0"/>
      </c>
      <c r="K39" s="821">
        <f t="shared" si="1"/>
      </c>
      <c r="L39" s="819" t="s">
        <v>1803</v>
      </c>
      <c r="M39" s="822">
        <v>1.2</v>
      </c>
      <c r="N39" s="819"/>
      <c r="O39" s="819"/>
      <c r="P39" s="823"/>
      <c r="Q39" s="824">
        <v>4.38</v>
      </c>
      <c r="R39" s="824">
        <v>0.158</v>
      </c>
      <c r="S39" s="824">
        <v>0.0209</v>
      </c>
      <c r="T39" s="824">
        <v>0.0226</v>
      </c>
      <c r="U39" s="824">
        <v>0.1075</v>
      </c>
      <c r="V39" s="824">
        <v>11209</v>
      </c>
      <c r="W39" s="824">
        <v>0.0276</v>
      </c>
      <c r="X39" s="824">
        <v>71.67</v>
      </c>
      <c r="Y39" s="824">
        <v>91.75</v>
      </c>
      <c r="Z39" s="824">
        <v>70948</v>
      </c>
      <c r="AA39" s="824">
        <v>1486</v>
      </c>
      <c r="AB39" s="824">
        <v>309</v>
      </c>
      <c r="AC39" s="824">
        <v>1600</v>
      </c>
      <c r="AD39" s="824">
        <v>172</v>
      </c>
      <c r="AE39" s="824">
        <v>14</v>
      </c>
      <c r="AF39" s="824">
        <v>2</v>
      </c>
      <c r="AG39" s="824">
        <v>50</v>
      </c>
    </row>
    <row r="40">
      <c r="A40" s="827" t="s">
        <v>1802</v>
      </c>
      <c r="B40" s="827" t="s">
        <v>1779</v>
      </c>
      <c r="C40" s="828"/>
      <c r="D40" s="828">
        <f>SUM(D38:D39)</f>
      </c>
      <c r="E40" s="828">
        <f>SUM(E38:E39)</f>
      </c>
      <c r="F40" s="828">
        <f>SUM(F38:F39)</f>
      </c>
      <c r="G40" s="829">
        <f>SUM(G38:G39)</f>
      </c>
      <c r="H40" s="828">
        <f>SUM(H38:H39)</f>
      </c>
      <c r="I40" s="830">
        <f t="shared" si="2"/>
      </c>
      <c r="J40" s="830">
        <f t="shared" si="0"/>
      </c>
      <c r="K40" s="830">
        <f t="shared" si="1"/>
      </c>
      <c r="L40" s="828"/>
      <c r="M40" s="831">
        <f>SUM(M38:M39)</f>
      </c>
      <c r="N40" s="828"/>
      <c r="O40" s="828"/>
      <c r="P40" s="828"/>
      <c r="Q40" s="832">
        <f>AVERAGE(Q38:Q39)</f>
      </c>
      <c r="R40" s="833">
        <f>AVERAGE(R38:R39)</f>
      </c>
      <c r="S40" s="833">
        <f>AVERAGE(S38:S39)</f>
      </c>
      <c r="T40" s="833">
        <f>AVERAGE(T38:T39)</f>
      </c>
      <c r="U40" s="833">
        <f>AVERAGE(U38:U39)</f>
      </c>
      <c r="V40" s="834">
        <f>SUM(V38:V39)</f>
      </c>
      <c r="W40" s="833">
        <f>AVERAGE(W38:W39)</f>
      </c>
      <c r="X40" s="834">
        <f>AVERAGE(X38:X39)</f>
      </c>
      <c r="Y40" s="832">
        <f>AVERAGE(Y38:Y39)</f>
      </c>
      <c r="Z40" s="834">
        <f>SUM(Z38:Z39)</f>
      </c>
      <c r="AA40" s="834">
        <f>SUM(AA38:AA39)</f>
      </c>
      <c r="AB40" s="834">
        <f>SUM(AB38:AB39)</f>
      </c>
      <c r="AC40" s="834">
        <f>SUM(AC38:AC39)</f>
      </c>
      <c r="AD40" s="834">
        <f>SUM(AD38:AD39)</f>
      </c>
      <c r="AE40" s="834">
        <f>SUM(AE38:AE39)</f>
      </c>
      <c r="AF40" s="834">
        <f>SUM(AF38:AF39)</f>
      </c>
      <c r="AG40" s="834">
        <f>SUM(AG38:AG39)</f>
      </c>
    </row>
    <row r="41">
      <c r="A41" s="819" t="s">
        <v>1804</v>
      </c>
      <c r="B41" s="819" t="s">
        <v>1781</v>
      </c>
      <c r="C41" s="819" t="s">
        <v>1799</v>
      </c>
      <c r="D41" s="819">
        <v>4</v>
      </c>
      <c r="E41" s="819">
        <v>14</v>
      </c>
      <c r="F41" s="819">
        <v>14</v>
      </c>
      <c r="G41" s="820">
        <v>39390</v>
      </c>
      <c r="H41" s="819">
        <v>9808.74</v>
      </c>
      <c r="I41" s="821">
        <f t="shared" si="2"/>
      </c>
      <c r="J41" s="821">
        <f t="shared" si="0"/>
      </c>
      <c r="K41" s="821">
        <f t="shared" si="1"/>
      </c>
      <c r="L41" s="819" t="s">
        <v>1805</v>
      </c>
      <c r="M41" s="822">
        <v>2.8</v>
      </c>
      <c r="N41" s="819"/>
      <c r="O41" s="819"/>
      <c r="P41" s="819"/>
      <c r="Q41" s="824">
        <v>4.688690248565965</v>
      </c>
      <c r="R41" s="824">
        <v>0.17402383821278536</v>
      </c>
      <c r="S41" s="824">
        <v>0.022709262817381486</v>
      </c>
      <c r="T41" s="824">
        <v>0.024077029124738115</v>
      </c>
      <c r="U41" s="824">
        <v>0.17808836789900812</v>
      </c>
      <c r="V41" s="824">
        <v>16031.25</v>
      </c>
      <c r="W41" s="824">
        <v>0.032</v>
      </c>
      <c r="X41" s="824">
        <v>70.5</v>
      </c>
      <c r="Y41" s="824">
        <v>106.47669912397824</v>
      </c>
      <c r="Z41" s="824">
        <v>92121</v>
      </c>
      <c r="AA41" s="824">
        <v>2092</v>
      </c>
      <c r="AB41" s="824">
        <v>513</v>
      </c>
      <c r="AC41" s="824">
        <v>2218</v>
      </c>
      <c r="AD41" s="824">
        <v>395</v>
      </c>
      <c r="AE41" s="824">
        <v>28</v>
      </c>
      <c r="AF41" s="824">
        <v>12</v>
      </c>
      <c r="AG41" s="824">
        <v>47</v>
      </c>
    </row>
    <row r="42">
      <c r="A42" s="819" t="s">
        <v>1804</v>
      </c>
      <c r="B42" s="819" t="s">
        <v>1797</v>
      </c>
      <c r="C42" s="819" t="s">
        <v>1801</v>
      </c>
      <c r="D42" s="819">
        <v>3</v>
      </c>
      <c r="E42" s="819">
        <v>10</v>
      </c>
      <c r="F42" s="819">
        <v>10</v>
      </c>
      <c r="G42" s="820">
        <v>21171.15</v>
      </c>
      <c r="H42" s="819">
        <v>7927.25</v>
      </c>
      <c r="I42" s="821">
        <f t="shared" si="2"/>
      </c>
      <c r="J42" s="821">
        <f t="shared" si="0"/>
      </c>
      <c r="K42" s="821">
        <f t="shared" si="1"/>
      </c>
      <c r="L42" s="819"/>
      <c r="M42" s="822"/>
      <c r="N42" s="819"/>
      <c r="O42" s="819"/>
      <c r="P42" s="823"/>
      <c r="Q42" s="824">
        <v>4.732686567164179</v>
      </c>
      <c r="R42" s="824">
        <v>0.06300430812429021</v>
      </c>
      <c r="S42" s="824">
        <v>0.019240267870475666</v>
      </c>
      <c r="T42" s="824">
        <v>0.020446374214595036</v>
      </c>
      <c r="U42" s="824">
        <v>0.14382022471910114</v>
      </c>
      <c r="V42" s="824">
        <v>5484.966052376333</v>
      </c>
      <c r="W42" s="824">
        <v>0.06873333333333334</v>
      </c>
      <c r="X42" s="824">
        <v>77.66666666666667</v>
      </c>
      <c r="Y42" s="824">
        <v>91.05815729924073</v>
      </c>
      <c r="Z42" s="824">
        <v>87057</v>
      </c>
      <c r="AA42" s="824">
        <v>1675</v>
      </c>
      <c r="AB42" s="824">
        <v>377</v>
      </c>
      <c r="AC42" s="824">
        <v>1780</v>
      </c>
      <c r="AD42" s="824">
        <v>256</v>
      </c>
      <c r="AE42" s="824">
        <v>23</v>
      </c>
      <c r="AF42" s="824">
        <v>4</v>
      </c>
      <c r="AG42" s="824">
        <v>64</v>
      </c>
    </row>
    <row r="43">
      <c r="A43" s="827" t="s">
        <v>1804</v>
      </c>
      <c r="B43" s="827" t="s">
        <v>1779</v>
      </c>
      <c r="C43" s="828"/>
      <c r="D43" s="828">
        <f>SUM(D41:D42)</f>
      </c>
      <c r="E43" s="828">
        <f>SUM(E41:E42)</f>
      </c>
      <c r="F43" s="828">
        <f>SUM(F41:F42)</f>
      </c>
      <c r="G43" s="829">
        <f>SUM(G41:G42)</f>
      </c>
      <c r="H43" s="828">
        <f>SUM(H41:H42)</f>
      </c>
      <c r="I43" s="830">
        <f t="shared" si="2"/>
      </c>
      <c r="J43" s="830">
        <f t="shared" si="0"/>
      </c>
      <c r="K43" s="830">
        <f t="shared" si="1"/>
      </c>
      <c r="L43" s="828"/>
      <c r="M43" s="831">
        <f>SUM(M41:M42)</f>
      </c>
      <c r="N43" s="828"/>
      <c r="O43" s="828"/>
      <c r="P43" s="828"/>
      <c r="Q43" s="832">
        <f>AVERAGE(Q41:Q42)</f>
      </c>
      <c r="R43" s="833">
        <f>AVERAGE(R41:R42)</f>
      </c>
      <c r="S43" s="833">
        <f>AVERAGE(S41:S42)</f>
      </c>
      <c r="T43" s="833">
        <f>AVERAGE(T41:T42)</f>
      </c>
      <c r="U43" s="833">
        <f>AVERAGE(U41:U42)</f>
      </c>
      <c r="V43" s="834">
        <f>SUM(V41:V42)</f>
      </c>
      <c r="W43" s="833">
        <f>AVERAGE(W41:W42)</f>
      </c>
      <c r="X43" s="834">
        <f>AVERAGE(X41:X42)</f>
      </c>
      <c r="Y43" s="832">
        <f>AVERAGE(Y41:Y42)</f>
      </c>
      <c r="Z43" s="834">
        <f>SUM(Z41:Z42)</f>
      </c>
      <c r="AA43" s="834">
        <f>SUM(AA41:AA42)</f>
      </c>
      <c r="AB43" s="834">
        <f>SUM(AB41:AB42)</f>
      </c>
      <c r="AC43" s="834">
        <f>SUM(AC41:AC42)</f>
      </c>
      <c r="AD43" s="834">
        <f>SUM(AD41:AD42)</f>
      </c>
      <c r="AE43" s="834">
        <f>SUM(AE41:AE42)</f>
      </c>
      <c r="AF43" s="834">
        <f>SUM(AF41:AF42)</f>
      </c>
      <c r="AG43" s="834">
        <f>SUM(AG41:AG42)</f>
      </c>
    </row>
    <row r="44">
      <c r="A44" s="819" t="s">
        <v>1806</v>
      </c>
      <c r="B44" s="819" t="s">
        <v>1774</v>
      </c>
      <c r="C44" s="819" t="s">
        <v>1807</v>
      </c>
      <c r="D44" s="819">
        <v>4</v>
      </c>
      <c r="E44" s="819">
        <v>18</v>
      </c>
      <c r="F44" s="819">
        <v>18</v>
      </c>
      <c r="G44" s="820">
        <v>42874.65</v>
      </c>
      <c r="H44" s="819">
        <v>8645.97</v>
      </c>
      <c r="I44" s="821">
        <f t="shared" si="2"/>
      </c>
      <c r="J44" s="821">
        <f t="shared" si="0"/>
      </c>
      <c r="K44" s="821">
        <f t="shared" si="1"/>
      </c>
      <c r="L44" s="819" t="s">
        <v>1805</v>
      </c>
      <c r="M44" s="822">
        <v>2.8</v>
      </c>
      <c r="N44" s="823"/>
      <c r="O44" s="823"/>
      <c r="P44" s="823"/>
      <c r="Q44" s="824">
        <v>5.233638014527845</v>
      </c>
      <c r="R44" s="824">
        <v>0.2167405576885483</v>
      </c>
      <c r="S44" s="824">
        <v>0.017354217221854547</v>
      </c>
      <c r="T44" s="824">
        <v>0.018268149969010328</v>
      </c>
      <c r="U44" s="824">
        <v>0.10753306497987349</v>
      </c>
      <c r="V44" s="824">
        <v>20632.18390804598</v>
      </c>
      <c r="W44" s="824">
        <v>0.0174</v>
      </c>
      <c r="X44" s="824">
        <v>52.5</v>
      </c>
      <c r="Y44" s="824">
        <v>90.82569096467176</v>
      </c>
      <c r="Z44" s="824">
        <v>95193</v>
      </c>
      <c r="AA44" s="824">
        <v>1652</v>
      </c>
      <c r="AB44" s="824">
        <v>359</v>
      </c>
      <c r="AC44" s="824">
        <v>1739</v>
      </c>
      <c r="AD44" s="824">
        <v>187</v>
      </c>
      <c r="AE44" s="824">
        <v>12</v>
      </c>
      <c r="AF44" s="824">
        <v>3</v>
      </c>
      <c r="AG44" s="824">
        <v>66</v>
      </c>
    </row>
    <row r="45">
      <c r="A45" s="819" t="s">
        <v>1806</v>
      </c>
      <c r="B45" s="819" t="s">
        <v>1797</v>
      </c>
      <c r="C45" s="819" t="s">
        <v>1808</v>
      </c>
      <c r="D45" s="819">
        <v>3</v>
      </c>
      <c r="E45" s="819">
        <v>9</v>
      </c>
      <c r="F45" s="819">
        <v>9</v>
      </c>
      <c r="G45" s="820">
        <v>23123.1</v>
      </c>
      <c r="H45" s="819">
        <v>6967.94</v>
      </c>
      <c r="I45" s="821">
        <f t="shared" si="2"/>
      </c>
      <c r="J45" s="821">
        <f t="shared" si="0"/>
      </c>
      <c r="K45" s="821">
        <f t="shared" si="1"/>
      </c>
      <c r="L45" s="819"/>
      <c r="M45" s="822"/>
      <c r="N45" s="819"/>
      <c r="O45" s="819"/>
      <c r="P45" s="823"/>
      <c r="Q45" s="824">
        <v>3.890530429927415</v>
      </c>
      <c r="R45" s="824">
        <v>0.06158250327525561</v>
      </c>
      <c r="S45" s="824">
        <v>0.017502369807190533</v>
      </c>
      <c r="T45" s="824">
        <v>0.01831347907240372</v>
      </c>
      <c r="U45" s="824">
        <v>0.11739594450373532</v>
      </c>
      <c r="V45" s="824">
        <v>6301.675977653631</v>
      </c>
      <c r="W45" s="824">
        <v>0.059666666666666666</v>
      </c>
      <c r="X45" s="824">
        <v>64</v>
      </c>
      <c r="Y45" s="824">
        <v>68.0935023307176</v>
      </c>
      <c r="Z45" s="824">
        <v>102329</v>
      </c>
      <c r="AA45" s="824">
        <v>1791</v>
      </c>
      <c r="AB45" s="824">
        <v>376</v>
      </c>
      <c r="AC45" s="824">
        <v>1874</v>
      </c>
      <c r="AD45" s="824">
        <v>220</v>
      </c>
      <c r="AE45" s="824">
        <v>25</v>
      </c>
      <c r="AF45" s="824">
        <v>7</v>
      </c>
      <c r="AG45" s="824">
        <v>97</v>
      </c>
    </row>
    <row r="46">
      <c r="A46" s="827" t="s">
        <v>1806</v>
      </c>
      <c r="B46" s="827" t="s">
        <v>1779</v>
      </c>
      <c r="C46" s="828"/>
      <c r="D46" s="828">
        <f>SUM(D44:D45)</f>
      </c>
      <c r="E46" s="828">
        <f>SUM(E44:E45)</f>
      </c>
      <c r="F46" s="828">
        <f>SUM(F44:F45)</f>
      </c>
      <c r="G46" s="829">
        <f>SUM(G44:G45)</f>
      </c>
      <c r="H46" s="828">
        <f>SUM(H44:H45)</f>
      </c>
      <c r="I46" s="830">
        <f t="shared" si="2"/>
      </c>
      <c r="J46" s="830">
        <f t="shared" si="0"/>
      </c>
      <c r="K46" s="830">
        <f t="shared" si="1"/>
      </c>
      <c r="L46" s="828"/>
      <c r="M46" s="831">
        <f>SUM(M44:M45)</f>
      </c>
      <c r="N46" s="828"/>
      <c r="O46" s="828"/>
      <c r="P46" s="828"/>
      <c r="Q46" s="832">
        <f>AVERAGE(Q44:Q45)</f>
      </c>
      <c r="R46" s="833">
        <f>AVERAGE(R44:R45)</f>
      </c>
      <c r="S46" s="833">
        <f>AVERAGE(S44:S45)</f>
      </c>
      <c r="T46" s="833">
        <f>AVERAGE(T44:T45)</f>
      </c>
      <c r="U46" s="833">
        <f>AVERAGE(U44:U45)</f>
      </c>
      <c r="V46" s="834">
        <f>SUM(V44:V45)</f>
      </c>
      <c r="W46" s="833">
        <f>AVERAGE(W44:W45)</f>
      </c>
      <c r="X46" s="834">
        <f>AVERAGE(X44:X45)</f>
      </c>
      <c r="Y46" s="832">
        <f>AVERAGE(Y44:Y45)</f>
      </c>
      <c r="Z46" s="834">
        <f>SUM(Z44:Z45)</f>
      </c>
      <c r="AA46" s="834">
        <f>SUM(AA44:AA45)</f>
      </c>
      <c r="AB46" s="834">
        <f>SUM(AB44:AB45)</f>
      </c>
      <c r="AC46" s="834">
        <f>SUM(AC44:AC45)</f>
      </c>
      <c r="AD46" s="834">
        <f>SUM(AD44:AD45)</f>
      </c>
      <c r="AE46" s="834">
        <f>SUM(AE44:AE45)</f>
      </c>
      <c r="AF46" s="834">
        <f>SUM(AF44:AF45)</f>
      </c>
      <c r="AG46" s="834">
        <f>SUM(AG44:AG45)</f>
      </c>
    </row>
    <row r="47">
      <c r="A47" s="819" t="s">
        <v>1809</v>
      </c>
      <c r="B47" s="819" t="s">
        <v>1774</v>
      </c>
      <c r="C47" s="819" t="s">
        <v>1799</v>
      </c>
      <c r="D47" s="819">
        <v>4</v>
      </c>
      <c r="E47" s="819">
        <v>14</v>
      </c>
      <c r="F47" s="819">
        <v>14</v>
      </c>
      <c r="G47" s="820">
        <v>34372.65</v>
      </c>
      <c r="H47" s="819">
        <v>11725.82</v>
      </c>
      <c r="I47" s="821">
        <f t="shared" si="2"/>
      </c>
      <c r="J47" s="821">
        <f t="shared" si="0"/>
      </c>
      <c r="K47" s="821">
        <f t="shared" si="1"/>
      </c>
      <c r="L47" s="819" t="s">
        <v>1805</v>
      </c>
      <c r="M47" s="822">
        <v>2.8</v>
      </c>
      <c r="N47" s="823"/>
      <c r="O47" s="823"/>
      <c r="P47" s="823"/>
      <c r="Q47" s="824">
        <v>4.254651669085631</v>
      </c>
      <c r="R47" s="824">
        <v>0.15029310273909546</v>
      </c>
      <c r="S47" s="824">
        <v>0.020932864445271496</v>
      </c>
      <c r="T47" s="824">
        <v>0.02204178977510083</v>
      </c>
      <c r="U47" s="824">
        <v>0.10957960027567196</v>
      </c>
      <c r="V47" s="824">
        <v>19787.43961352657</v>
      </c>
      <c r="W47" s="824">
        <v>0.025875</v>
      </c>
      <c r="X47" s="824">
        <v>53.25</v>
      </c>
      <c r="Y47" s="824">
        <v>89.06204665081763</v>
      </c>
      <c r="Z47" s="824">
        <v>131659</v>
      </c>
      <c r="AA47" s="824">
        <v>2756</v>
      </c>
      <c r="AB47" s="824">
        <v>512</v>
      </c>
      <c r="AC47" s="824">
        <v>2902</v>
      </c>
      <c r="AD47" s="824">
        <v>318</v>
      </c>
      <c r="AE47" s="824">
        <v>27</v>
      </c>
      <c r="AF47" s="824">
        <v>4</v>
      </c>
      <c r="AG47" s="824">
        <v>106</v>
      </c>
    </row>
    <row r="48">
      <c r="A48" s="819" t="s">
        <v>1809</v>
      </c>
      <c r="B48" s="819" t="s">
        <v>1797</v>
      </c>
      <c r="C48" s="819" t="s">
        <v>1801</v>
      </c>
      <c r="D48" s="819">
        <v>3</v>
      </c>
      <c r="E48" s="819">
        <v>17</v>
      </c>
      <c r="F48" s="819">
        <v>17</v>
      </c>
      <c r="G48" s="820">
        <v>41784.6</v>
      </c>
      <c r="H48" s="819">
        <v>6207.04</v>
      </c>
      <c r="I48" s="821">
        <f t="shared" si="2"/>
      </c>
      <c r="J48" s="821">
        <f t="shared" si="0"/>
      </c>
      <c r="K48" s="821">
        <f t="shared" si="1"/>
      </c>
      <c r="L48" s="819"/>
      <c r="M48" s="822"/>
      <c r="N48" s="819"/>
      <c r="O48" s="819"/>
      <c r="P48" s="823"/>
      <c r="Q48" s="824">
        <v>3.471498881431768</v>
      </c>
      <c r="R48" s="824">
        <v>0.10220752892934154</v>
      </c>
      <c r="S48" s="824">
        <v>0.02761816496756256</v>
      </c>
      <c r="T48" s="824">
        <v>0.02984244670991659</v>
      </c>
      <c r="U48" s="824">
        <v>0.11542443064182195</v>
      </c>
      <c r="V48" s="824">
        <v>6616.915422885571</v>
      </c>
      <c r="W48" s="824">
        <v>0.04020000000000001</v>
      </c>
      <c r="X48" s="824">
        <v>55.666666666666664</v>
      </c>
      <c r="Y48" s="824">
        <v>95.87642879209146</v>
      </c>
      <c r="Z48" s="824">
        <v>64740</v>
      </c>
      <c r="AA48" s="824">
        <v>1788</v>
      </c>
      <c r="AB48" s="824">
        <v>266</v>
      </c>
      <c r="AC48" s="824">
        <v>1932</v>
      </c>
      <c r="AD48" s="824">
        <v>223</v>
      </c>
      <c r="AE48" s="824">
        <v>24</v>
      </c>
      <c r="AF48" s="824">
        <v>3</v>
      </c>
      <c r="AG48" s="824">
        <v>44</v>
      </c>
    </row>
    <row r="49">
      <c r="A49" s="827" t="s">
        <v>1809</v>
      </c>
      <c r="B49" s="827" t="s">
        <v>1779</v>
      </c>
      <c r="C49" s="828"/>
      <c r="D49" s="828">
        <f>SUM(D47:D48)</f>
      </c>
      <c r="E49" s="828">
        <f>SUM(E47:E48)</f>
      </c>
      <c r="F49" s="828">
        <f>SUM(F47:F48)</f>
      </c>
      <c r="G49" s="829">
        <f>SUM(G47:G48)</f>
      </c>
      <c r="H49" s="828">
        <f>SUM(H47:H48)</f>
      </c>
      <c r="I49" s="830">
        <f t="shared" si="2"/>
      </c>
      <c r="J49" s="830">
        <f t="shared" si="0"/>
      </c>
      <c r="K49" s="830">
        <f t="shared" si="1"/>
      </c>
      <c r="L49" s="828"/>
      <c r="M49" s="831">
        <f>SUM(M47:M48)</f>
      </c>
      <c r="N49" s="828"/>
      <c r="O49" s="828"/>
      <c r="P49" s="828"/>
      <c r="Q49" s="832">
        <f>AVERAGE(Q47:Q48)</f>
      </c>
      <c r="R49" s="833">
        <f>AVERAGE(R47:R48)</f>
      </c>
      <c r="S49" s="833">
        <f>AVERAGE(S47:S48)</f>
      </c>
      <c r="T49" s="833">
        <f>AVERAGE(T47:T48)</f>
      </c>
      <c r="U49" s="833">
        <f>AVERAGE(U47:U48)</f>
      </c>
      <c r="V49" s="834">
        <f>SUM(V47:V48)</f>
      </c>
      <c r="W49" s="833">
        <f>AVERAGE(W47:W48)</f>
      </c>
      <c r="X49" s="834">
        <f>AVERAGE(X47:X48)</f>
      </c>
      <c r="Y49" s="832">
        <f>AVERAGE(Y47:Y48)</f>
      </c>
      <c r="Z49" s="834">
        <f>SUM(Z47:Z48)</f>
      </c>
      <c r="AA49" s="834">
        <f>SUM(AA47:AA48)</f>
      </c>
      <c r="AB49" s="834">
        <f>SUM(AB47:AB48)</f>
      </c>
      <c r="AC49" s="834">
        <f>SUM(AC47:AC48)</f>
      </c>
      <c r="AD49" s="834">
        <f>SUM(AD47:AD48)</f>
      </c>
      <c r="AE49" s="834">
        <f>SUM(AE47:AE48)</f>
      </c>
      <c r="AF49" s="834">
        <f>SUM(AF47:AF48)</f>
      </c>
      <c r="AG49" s="834">
        <f>SUM(AG47:AG48)</f>
      </c>
    </row>
    <row r="50">
      <c r="A50" s="819" t="s">
        <v>1810</v>
      </c>
      <c r="B50" s="819" t="s">
        <v>1781</v>
      </c>
      <c r="C50" s="819" t="s">
        <v>1799</v>
      </c>
      <c r="D50" s="819">
        <v>4</v>
      </c>
      <c r="E50" s="819">
        <v>22</v>
      </c>
      <c r="F50" s="819">
        <v>22</v>
      </c>
      <c r="G50" s="820">
        <v>50645.4</v>
      </c>
      <c r="H50" s="819">
        <v>15484.84</v>
      </c>
      <c r="I50" s="821">
        <f t="shared" si="2"/>
      </c>
      <c r="J50" s="821">
        <f t="shared" si="0"/>
      </c>
      <c r="K50" s="821">
        <f t="shared" si="1"/>
      </c>
      <c r="L50" s="819" t="s">
        <v>1805</v>
      </c>
      <c r="M50" s="822">
        <v>2.8</v>
      </c>
      <c r="N50" s="819"/>
      <c r="O50" s="819"/>
      <c r="P50" s="819"/>
      <c r="Q50" s="824">
        <v>4.66410843373494</v>
      </c>
      <c r="R50" s="824">
        <v>0.13120395176931018</v>
      </c>
      <c r="S50" s="824">
        <v>0.01784198024484356</v>
      </c>
      <c r="T50" s="824">
        <v>0.019260740119734734</v>
      </c>
      <c r="U50" s="824">
        <v>0.11049107142857142</v>
      </c>
      <c r="V50" s="824">
        <v>24414.1689373297</v>
      </c>
      <c r="W50" s="824">
        <v>0.027525</v>
      </c>
      <c r="X50" s="824">
        <v>62.25</v>
      </c>
      <c r="Y50" s="824">
        <v>83.21693053450703</v>
      </c>
      <c r="Z50" s="824">
        <v>186078</v>
      </c>
      <c r="AA50" s="824">
        <v>3320</v>
      </c>
      <c r="AB50" s="824">
        <v>672</v>
      </c>
      <c r="AC50" s="824">
        <v>3584</v>
      </c>
      <c r="AD50" s="824">
        <v>396</v>
      </c>
      <c r="AE50" s="824">
        <v>40</v>
      </c>
      <c r="AF50" s="824">
        <v>8</v>
      </c>
      <c r="AG50" s="824">
        <v>143</v>
      </c>
    </row>
    <row r="51">
      <c r="A51" s="819" t="s">
        <v>1810</v>
      </c>
      <c r="B51" s="819" t="s">
        <v>1777</v>
      </c>
      <c r="C51" s="819" t="s">
        <v>1801</v>
      </c>
      <c r="D51" s="819">
        <v>3</v>
      </c>
      <c r="E51" s="819">
        <v>18</v>
      </c>
      <c r="F51" s="819">
        <v>18</v>
      </c>
      <c r="G51" s="820">
        <v>49130.25</v>
      </c>
      <c r="H51" s="819">
        <v>8055.29</v>
      </c>
      <c r="I51" s="821">
        <f t="shared" si="2"/>
      </c>
      <c r="J51" s="821">
        <f t="shared" si="0"/>
      </c>
      <c r="K51" s="821">
        <f t="shared" si="1"/>
      </c>
      <c r="L51" s="819"/>
      <c r="M51" s="822"/>
      <c r="N51" s="819"/>
      <c r="O51" s="819"/>
      <c r="P51" s="823"/>
      <c r="Q51" s="824">
        <v>3.8486813186813182</v>
      </c>
      <c r="R51" s="824">
        <v>0.09386490185439189</v>
      </c>
      <c r="S51" s="824">
        <v>0.02420464664453979</v>
      </c>
      <c r="T51" s="824">
        <v>0.026783545928692858</v>
      </c>
      <c r="U51" s="824">
        <v>0.15198618307426598</v>
      </c>
      <c r="V51" s="824">
        <v>8116.591928251121</v>
      </c>
      <c r="W51" s="824">
        <v>0.0446</v>
      </c>
      <c r="X51" s="824">
        <v>61.666666666666664</v>
      </c>
      <c r="Y51" s="824">
        <v>93.15597136612273</v>
      </c>
      <c r="Z51" s="824">
        <v>86471</v>
      </c>
      <c r="AA51" s="824">
        <v>2093</v>
      </c>
      <c r="AB51" s="824">
        <v>362</v>
      </c>
      <c r="AC51" s="824">
        <v>2316</v>
      </c>
      <c r="AD51" s="824">
        <v>352</v>
      </c>
      <c r="AE51" s="824">
        <v>33</v>
      </c>
      <c r="AF51" s="824">
        <v>9</v>
      </c>
      <c r="AG51" s="824">
        <v>69</v>
      </c>
    </row>
    <row r="52">
      <c r="A52" s="827" t="s">
        <v>1810</v>
      </c>
      <c r="B52" s="827" t="s">
        <v>1779</v>
      </c>
      <c r="C52" s="828"/>
      <c r="D52" s="828">
        <f>SUM(D50:D51)</f>
      </c>
      <c r="E52" s="828">
        <f>SUM(E50:E51)</f>
      </c>
      <c r="F52" s="828">
        <f>SUM(F50:F51)</f>
      </c>
      <c r="G52" s="829">
        <f>SUM(G50:G51)</f>
      </c>
      <c r="H52" s="828">
        <f>SUM(H50:H51)</f>
      </c>
      <c r="I52" s="830">
        <f t="shared" si="2"/>
      </c>
      <c r="J52" s="830">
        <f t="shared" si="0"/>
      </c>
      <c r="K52" s="830">
        <f t="shared" si="1"/>
      </c>
      <c r="L52" s="828"/>
      <c r="M52" s="831">
        <f>SUM(M50:M51)</f>
      </c>
      <c r="N52" s="828"/>
      <c r="O52" s="828"/>
      <c r="P52" s="828"/>
      <c r="Q52" s="832">
        <f>AVERAGE(Q50:Q51)</f>
      </c>
      <c r="R52" s="833">
        <f>AVERAGE(R50:R51)</f>
      </c>
      <c r="S52" s="833">
        <f>AVERAGE(S50:S51)</f>
      </c>
      <c r="T52" s="833">
        <f>AVERAGE(T50:T51)</f>
      </c>
      <c r="U52" s="833">
        <f>AVERAGE(U50:U51)</f>
      </c>
      <c r="V52" s="834">
        <f>SUM(V50:V51)</f>
      </c>
      <c r="W52" s="833">
        <f>AVERAGE(W50:W51)</f>
      </c>
      <c r="X52" s="834">
        <f>AVERAGE(X50:X51)</f>
      </c>
      <c r="Y52" s="832">
        <f>AVERAGE(Y50:Y51)</f>
      </c>
      <c r="Z52" s="834">
        <f>SUM(Z50:Z51)</f>
      </c>
      <c r="AA52" s="834">
        <f>SUM(AA50:AA51)</f>
      </c>
      <c r="AB52" s="834">
        <f>SUM(AB50:AB51)</f>
      </c>
      <c r="AC52" s="834">
        <f>SUM(AC50:AC51)</f>
      </c>
      <c r="AD52" s="834">
        <f>SUM(AD50:AD51)</f>
      </c>
      <c r="AE52" s="834">
        <f>SUM(AE50:AE51)</f>
      </c>
      <c r="AF52" s="834">
        <f>SUM(AF50:AF51)</f>
      </c>
      <c r="AG52" s="834">
        <f>SUM(AG50:AG51)</f>
      </c>
    </row>
    <row r="53">
      <c r="A53" s="819" t="s">
        <v>1811</v>
      </c>
      <c r="B53" s="819" t="s">
        <v>1781</v>
      </c>
      <c r="C53" s="819" t="s">
        <v>1799</v>
      </c>
      <c r="D53" s="819">
        <v>4</v>
      </c>
      <c r="E53" s="819">
        <v>11</v>
      </c>
      <c r="F53" s="819">
        <v>11</v>
      </c>
      <c r="G53" s="820">
        <v>28003.95</v>
      </c>
      <c r="H53" s="819">
        <v>11272.45</v>
      </c>
      <c r="I53" s="821">
        <f t="shared" si="2"/>
      </c>
      <c r="J53" s="821">
        <f t="shared" si="0"/>
      </c>
      <c r="K53" s="821">
        <f t="shared" si="1"/>
      </c>
      <c r="L53" s="819" t="s">
        <v>1805</v>
      </c>
      <c r="M53" s="822">
        <v>2.8</v>
      </c>
      <c r="N53" s="819"/>
      <c r="O53" s="819"/>
      <c r="P53" s="819"/>
      <c r="Q53" s="824">
        <v>4.809065699658703</v>
      </c>
      <c r="R53" s="824">
        <v>0.15840534216671492</v>
      </c>
      <c r="S53" s="824">
        <v>0.017710883428536887</v>
      </c>
      <c r="T53" s="824">
        <v>0.019116269229606794</v>
      </c>
      <c r="U53" s="824">
        <v>0.1075098814229249</v>
      </c>
      <c r="V53" s="824">
        <v>20964.630225080386</v>
      </c>
      <c r="W53" s="824">
        <v>0.023325</v>
      </c>
      <c r="X53" s="824">
        <v>57.75</v>
      </c>
      <c r="Y53" s="824">
        <v>85.17280200683047</v>
      </c>
      <c r="Z53" s="824">
        <v>132348</v>
      </c>
      <c r="AA53" s="824">
        <v>2344</v>
      </c>
      <c r="AB53" s="824">
        <v>489</v>
      </c>
      <c r="AC53" s="824">
        <v>2530</v>
      </c>
      <c r="AD53" s="824">
        <v>272</v>
      </c>
      <c r="AE53" s="824">
        <v>16</v>
      </c>
      <c r="AF53" s="824">
        <v>6</v>
      </c>
      <c r="AG53" s="824">
        <v>82</v>
      </c>
    </row>
    <row r="54">
      <c r="A54" s="819" t="s">
        <v>1811</v>
      </c>
      <c r="B54" s="819" t="s">
        <v>1777</v>
      </c>
      <c r="C54" s="819" t="s">
        <v>1801</v>
      </c>
      <c r="D54" s="819">
        <v>3</v>
      </c>
      <c r="E54" s="819">
        <v>7</v>
      </c>
      <c r="F54" s="819">
        <v>7</v>
      </c>
      <c r="G54" s="820">
        <v>16645.2</v>
      </c>
      <c r="H54" s="819">
        <v>4508.54</v>
      </c>
      <c r="I54" s="821">
        <f t="shared" si="2"/>
      </c>
      <c r="J54" s="821">
        <f t="shared" si="0"/>
      </c>
      <c r="K54" s="821">
        <f t="shared" si="1"/>
      </c>
      <c r="L54" s="819"/>
      <c r="M54" s="822"/>
      <c r="N54" s="819"/>
      <c r="O54" s="819"/>
      <c r="P54" s="819"/>
      <c r="Q54" s="824">
        <v>3.6774388254486134</v>
      </c>
      <c r="R54" s="824">
        <v>0.2139208210281111</v>
      </c>
      <c r="S54" s="824">
        <v>0.032315032025092914</v>
      </c>
      <c r="T54" s="824">
        <v>0.03563615277155434</v>
      </c>
      <c r="U54" s="824">
        <v>0.13535502958579881</v>
      </c>
      <c r="V54" s="824">
        <v>8115.942028985507</v>
      </c>
      <c r="W54" s="824">
        <v>0.0207</v>
      </c>
      <c r="X54" s="824">
        <v>59</v>
      </c>
      <c r="Y54" s="824">
        <v>118.836553414692</v>
      </c>
      <c r="Z54" s="824">
        <v>37939</v>
      </c>
      <c r="AA54" s="824">
        <v>1226</v>
      </c>
      <c r="AB54" s="824">
        <v>168</v>
      </c>
      <c r="AC54" s="824">
        <v>1352</v>
      </c>
      <c r="AD54" s="824">
        <v>183</v>
      </c>
      <c r="AE54" s="824">
        <v>17</v>
      </c>
      <c r="AF54" s="824">
        <v>2</v>
      </c>
      <c r="AG54" s="824">
        <v>29</v>
      </c>
    </row>
    <row r="55">
      <c r="A55" s="827" t="s">
        <v>1811</v>
      </c>
      <c r="B55" s="827" t="s">
        <v>1779</v>
      </c>
      <c r="C55" s="828"/>
      <c r="D55" s="828">
        <f>SUM(D53:D54)</f>
      </c>
      <c r="E55" s="828">
        <f>SUM(E53:E54)</f>
      </c>
      <c r="F55" s="828">
        <f>SUM(F53:F54)</f>
      </c>
      <c r="G55" s="829">
        <f>SUM(G53:G54)</f>
      </c>
      <c r="H55" s="828">
        <f>SUM(H53:H54)</f>
      </c>
      <c r="I55" s="830">
        <f t="shared" si="2"/>
      </c>
      <c r="J55" s="830">
        <f t="shared" si="0"/>
      </c>
      <c r="K55" s="830">
        <f t="shared" si="1"/>
      </c>
      <c r="L55" s="828"/>
      <c r="M55" s="831">
        <f>SUM(M53:M54)</f>
      </c>
      <c r="N55" s="828"/>
      <c r="O55" s="828"/>
      <c r="P55" s="828"/>
      <c r="Q55" s="832">
        <f>AVERAGE(Q53:Q54)</f>
      </c>
      <c r="R55" s="833">
        <f>AVERAGE(R53:R54)</f>
      </c>
      <c r="S55" s="833">
        <f>AVERAGE(S53:S54)</f>
      </c>
      <c r="T55" s="833">
        <f>AVERAGE(T53:T54)</f>
      </c>
      <c r="U55" s="833">
        <f>AVERAGE(U53:U54)</f>
      </c>
      <c r="V55" s="834">
        <f>SUM(V53:V54)</f>
      </c>
      <c r="W55" s="833">
        <f>AVERAGE(W53:W54)</f>
      </c>
      <c r="X55" s="834">
        <f>AVERAGE(X53:X54)</f>
      </c>
      <c r="Y55" s="832">
        <f>AVERAGE(Y53:Y54)</f>
      </c>
      <c r="Z55" s="834">
        <f>SUM(Z53:Z54)</f>
      </c>
      <c r="AA55" s="834">
        <f>SUM(AA53:AA54)</f>
      </c>
      <c r="AB55" s="834">
        <f>SUM(AB53:AB54)</f>
      </c>
      <c r="AC55" s="834">
        <f>SUM(AC53:AC54)</f>
      </c>
      <c r="AD55" s="834">
        <f>SUM(AD53:AD54)</f>
      </c>
      <c r="AE55" s="834">
        <f>SUM(AE53:AE54)</f>
      </c>
      <c r="AF55" s="834">
        <f>SUM(AF53:AF54)</f>
      </c>
      <c r="AG55" s="834">
        <f>SUM(AG53:AG54)</f>
      </c>
    </row>
    <row r="56">
      <c r="A56" s="819" t="s">
        <v>1812</v>
      </c>
      <c r="B56" s="819" t="s">
        <v>1774</v>
      </c>
      <c r="C56" s="819" t="s">
        <v>1799</v>
      </c>
      <c r="D56" s="819">
        <v>4</v>
      </c>
      <c r="E56" s="819">
        <v>10</v>
      </c>
      <c r="F56" s="819">
        <v>10</v>
      </c>
      <c r="G56" s="820">
        <v>23339.55</v>
      </c>
      <c r="H56" s="819">
        <v>12171.9</v>
      </c>
      <c r="I56" s="821">
        <f t="shared" si="2"/>
      </c>
      <c r="J56" s="821">
        <f t="shared" si="0"/>
      </c>
      <c r="K56" s="821">
        <f t="shared" si="1"/>
      </c>
      <c r="L56" s="819" t="s">
        <v>1805</v>
      </c>
      <c r="M56" s="822">
        <v>2.8</v>
      </c>
      <c r="N56" s="823"/>
      <c r="O56" s="823"/>
      <c r="P56" s="823"/>
      <c r="Q56" s="824">
        <v>4.69957528957529</v>
      </c>
      <c r="R56" s="824">
        <v>0.11154310172194441</v>
      </c>
      <c r="S56" s="824">
        <v>0.015834199425322493</v>
      </c>
      <c r="T56" s="824">
        <v>0.016861282631289356</v>
      </c>
      <c r="U56" s="824">
        <v>0.13415518491660625</v>
      </c>
      <c r="V56" s="824">
        <v>18245.105148658447</v>
      </c>
      <c r="W56" s="824">
        <v>0.034475</v>
      </c>
      <c r="X56" s="824">
        <v>51.75</v>
      </c>
      <c r="Y56" s="824">
        <v>74.41401234945285</v>
      </c>
      <c r="Z56" s="824">
        <v>163570</v>
      </c>
      <c r="AA56" s="824">
        <v>2590</v>
      </c>
      <c r="AB56" s="824">
        <v>629</v>
      </c>
      <c r="AC56" s="824">
        <v>2758</v>
      </c>
      <c r="AD56" s="824">
        <v>370</v>
      </c>
      <c r="AE56" s="824">
        <v>34</v>
      </c>
      <c r="AF56" s="824">
        <v>7</v>
      </c>
      <c r="AG56" s="824">
        <v>108</v>
      </c>
    </row>
    <row r="57">
      <c r="A57" s="819" t="s">
        <v>1812</v>
      </c>
      <c r="B57" s="819" t="s">
        <v>1797</v>
      </c>
      <c r="C57" s="819" t="s">
        <v>1801</v>
      </c>
      <c r="D57" s="819">
        <v>3</v>
      </c>
      <c r="E57" s="819">
        <v>10</v>
      </c>
      <c r="F57" s="819">
        <v>10</v>
      </c>
      <c r="G57" s="820">
        <v>28719.6</v>
      </c>
      <c r="H57" s="819">
        <v>5428.43</v>
      </c>
      <c r="I57" s="821">
        <f t="shared" si="2"/>
      </c>
      <c r="J57" s="821">
        <f t="shared" si="0"/>
      </c>
      <c r="K57" s="821">
        <f t="shared" si="1"/>
      </c>
      <c r="L57" s="819"/>
      <c r="M57" s="822"/>
      <c r="N57" s="819"/>
      <c r="O57" s="819"/>
      <c r="P57" s="823"/>
      <c r="Q57" s="824">
        <v>3.3120378279438683</v>
      </c>
      <c r="R57" s="824">
        <v>0.16316251824169067</v>
      </c>
      <c r="S57" s="824">
        <v>0.03146416847440057</v>
      </c>
      <c r="T57" s="824">
        <v>0.034958054174425525</v>
      </c>
      <c r="U57" s="824">
        <v>0.09774848984074684</v>
      </c>
      <c r="V57" s="824">
        <v>8499.29873772791</v>
      </c>
      <c r="W57" s="824">
        <v>0.02376666666666667</v>
      </c>
      <c r="X57" s="824">
        <v>54.333333333333336</v>
      </c>
      <c r="Y57" s="824">
        <v>104.21051621201359</v>
      </c>
      <c r="Z57" s="824">
        <v>52091</v>
      </c>
      <c r="AA57" s="824">
        <v>1639</v>
      </c>
      <c r="AB57" s="824">
        <v>202</v>
      </c>
      <c r="AC57" s="824">
        <v>1821</v>
      </c>
      <c r="AD57" s="824">
        <v>178</v>
      </c>
      <c r="AE57" s="824">
        <v>19</v>
      </c>
      <c r="AF57" s="824">
        <v>2</v>
      </c>
      <c r="AG57" s="824">
        <v>32</v>
      </c>
    </row>
    <row r="58">
      <c r="A58" s="827" t="s">
        <v>1812</v>
      </c>
      <c r="B58" s="827" t="s">
        <v>1779</v>
      </c>
      <c r="C58" s="828"/>
      <c r="D58" s="828">
        <f>SUM(D56:D57)</f>
      </c>
      <c r="E58" s="828">
        <f>SUM(E56:E57)</f>
      </c>
      <c r="F58" s="828">
        <f>SUM(F56:F57)</f>
      </c>
      <c r="G58" s="829">
        <f>SUM(G56:G57)</f>
      </c>
      <c r="H58" s="828">
        <f>SUM(H56:H57)</f>
      </c>
      <c r="I58" s="830">
        <f t="shared" si="2"/>
      </c>
      <c r="J58" s="830">
        <f t="shared" si="0"/>
      </c>
      <c r="K58" s="830">
        <f t="shared" si="1"/>
      </c>
      <c r="L58" s="828"/>
      <c r="M58" s="831">
        <f>SUM(M56:M57)</f>
      </c>
      <c r="N58" s="828"/>
      <c r="O58" s="828"/>
      <c r="P58" s="828"/>
      <c r="Q58" s="832">
        <f>AVERAGE(Q56:Q57)</f>
      </c>
      <c r="R58" s="833">
        <f>AVERAGE(R56:R57)</f>
      </c>
      <c r="S58" s="833">
        <f>AVERAGE(S56:S57)</f>
      </c>
      <c r="T58" s="833">
        <f>AVERAGE(T56:T57)</f>
      </c>
      <c r="U58" s="833">
        <f>AVERAGE(U56:U57)</f>
      </c>
      <c r="V58" s="834">
        <f>SUM(V56:V57)</f>
      </c>
      <c r="W58" s="833">
        <f>AVERAGE(W56:W57)</f>
      </c>
      <c r="X58" s="834">
        <f>AVERAGE(X56:X57)</f>
      </c>
      <c r="Y58" s="832">
        <f>AVERAGE(Y56:Y57)</f>
      </c>
      <c r="Z58" s="834">
        <f>SUM(Z56:Z57)</f>
      </c>
      <c r="AA58" s="834">
        <f>SUM(AA56:AA57)</f>
      </c>
      <c r="AB58" s="834">
        <f>SUM(AB56:AB57)</f>
      </c>
      <c r="AC58" s="834">
        <f>SUM(AC56:AC57)</f>
      </c>
      <c r="AD58" s="834">
        <f>SUM(AD56:AD57)</f>
      </c>
      <c r="AE58" s="834">
        <f>SUM(AE56:AE57)</f>
      </c>
      <c r="AF58" s="834">
        <f>SUM(AF56:AF57)</f>
      </c>
      <c r="AG58" s="834">
        <f>SUM(AG56:AG57)</f>
      </c>
    </row>
    <row r="59">
      <c r="A59" s="819" t="s">
        <v>1813</v>
      </c>
      <c r="B59" s="819" t="s">
        <v>1774</v>
      </c>
      <c r="C59" s="819" t="s">
        <v>1799</v>
      </c>
      <c r="D59" s="819">
        <v>4</v>
      </c>
      <c r="E59" s="819">
        <v>16</v>
      </c>
      <c r="F59" s="819">
        <v>16</v>
      </c>
      <c r="G59" s="820">
        <v>38227.8</v>
      </c>
      <c r="H59" s="819">
        <v>10615.11</v>
      </c>
      <c r="I59" s="821">
        <f t="shared" si="2"/>
      </c>
      <c r="J59" s="821">
        <f t="shared" si="0"/>
      </c>
      <c r="K59" s="821">
        <f t="shared" si="1"/>
      </c>
      <c r="L59" s="819" t="s">
        <v>1805</v>
      </c>
      <c r="M59" s="822">
        <v>2.8</v>
      </c>
      <c r="N59" s="823"/>
      <c r="O59" s="823"/>
      <c r="P59" s="823"/>
      <c r="Q59" s="824">
        <v>4.522841925862803</v>
      </c>
      <c r="R59" s="824">
        <v>0.1578400366930771</v>
      </c>
      <c r="S59" s="824">
        <v>0.01627939238399112</v>
      </c>
      <c r="T59" s="824">
        <v>0.017333703266976485</v>
      </c>
      <c r="U59" s="824">
        <v>0.09803921568627451</v>
      </c>
      <c r="V59" s="824">
        <v>22755.798090040927</v>
      </c>
      <c r="W59" s="824">
        <v>0.018325</v>
      </c>
      <c r="X59" s="824">
        <v>47</v>
      </c>
      <c r="Y59" s="824">
        <v>73.62911840188666</v>
      </c>
      <c r="Z59" s="824">
        <v>144170</v>
      </c>
      <c r="AA59" s="824">
        <v>2347</v>
      </c>
      <c r="AB59" s="824">
        <v>417</v>
      </c>
      <c r="AC59" s="824">
        <v>2499</v>
      </c>
      <c r="AD59" s="824">
        <v>245</v>
      </c>
      <c r="AE59" s="824">
        <v>38</v>
      </c>
      <c r="AF59" s="824">
        <v>9</v>
      </c>
      <c r="AG59" s="824">
        <v>88</v>
      </c>
    </row>
    <row r="60">
      <c r="A60" s="819" t="s">
        <v>1813</v>
      </c>
      <c r="B60" s="819" t="s">
        <v>1797</v>
      </c>
      <c r="C60" s="819" t="s">
        <v>1801</v>
      </c>
      <c r="D60" s="819">
        <v>3</v>
      </c>
      <c r="E60" s="819">
        <v>11</v>
      </c>
      <c r="F60" s="819">
        <v>11</v>
      </c>
      <c r="G60" s="820">
        <v>22409.4</v>
      </c>
      <c r="H60" s="819">
        <v>5019.42</v>
      </c>
      <c r="I60" s="821">
        <f t="shared" si="2"/>
      </c>
      <c r="J60" s="821">
        <f t="shared" si="0"/>
      </c>
      <c r="K60" s="821">
        <f t="shared" si="1"/>
      </c>
      <c r="L60" s="819"/>
      <c r="M60" s="822"/>
      <c r="N60" s="819"/>
      <c r="O60" s="819"/>
      <c r="P60" s="819"/>
      <c r="Q60" s="824">
        <v>3.9153042121684867</v>
      </c>
      <c r="R60" s="824">
        <v>0.1894344146295094</v>
      </c>
      <c r="S60" s="824">
        <v>0.03010237625622241</v>
      </c>
      <c r="T60" s="824">
        <v>0.03409411101718794</v>
      </c>
      <c r="U60" s="824">
        <v>0.07369146005509641</v>
      </c>
      <c r="V60" s="824">
        <v>8067.632850241546</v>
      </c>
      <c r="W60" s="824">
        <v>0.0207</v>
      </c>
      <c r="X60" s="824">
        <v>47</v>
      </c>
      <c r="Y60" s="824">
        <v>117.85996055226825</v>
      </c>
      <c r="Z60" s="824">
        <v>42588</v>
      </c>
      <c r="AA60" s="824">
        <v>1282</v>
      </c>
      <c r="AB60" s="824">
        <v>167</v>
      </c>
      <c r="AC60" s="824">
        <v>1452</v>
      </c>
      <c r="AD60" s="824">
        <v>107</v>
      </c>
      <c r="AE60" s="824">
        <v>7</v>
      </c>
      <c r="AF60" s="824">
        <v>2</v>
      </c>
      <c r="AG60" s="824">
        <v>20</v>
      </c>
    </row>
    <row r="61">
      <c r="A61" s="827" t="s">
        <v>1813</v>
      </c>
      <c r="B61" s="827" t="s">
        <v>1779</v>
      </c>
      <c r="C61" s="828"/>
      <c r="D61" s="828">
        <f>SUM(D59:D60)</f>
      </c>
      <c r="E61" s="828">
        <f>SUM(E59:E60)</f>
      </c>
      <c r="F61" s="828">
        <f>SUM(F59:F60)</f>
      </c>
      <c r="G61" s="829">
        <f>SUM(G59:G60)</f>
      </c>
      <c r="H61" s="828">
        <f>SUM(H59:H60)</f>
      </c>
      <c r="I61" s="830">
        <f t="shared" si="2"/>
      </c>
      <c r="J61" s="830">
        <f t="shared" si="0"/>
      </c>
      <c r="K61" s="830">
        <f t="shared" si="1"/>
      </c>
      <c r="L61" s="828"/>
      <c r="M61" s="831">
        <f>SUM(M59:M60)</f>
      </c>
      <c r="N61" s="828"/>
      <c r="O61" s="828"/>
      <c r="P61" s="828"/>
      <c r="Q61" s="832">
        <f>AVERAGE(Q59:Q60)</f>
      </c>
      <c r="R61" s="833">
        <f>AVERAGE(R59:R60)</f>
      </c>
      <c r="S61" s="833">
        <f>AVERAGE(S59:S60)</f>
      </c>
      <c r="T61" s="833">
        <f>AVERAGE(T59:T60)</f>
      </c>
      <c r="U61" s="833">
        <f>AVERAGE(U59:U60)</f>
      </c>
      <c r="V61" s="834">
        <f>SUM(V59:V60)</f>
      </c>
      <c r="W61" s="833">
        <f>AVERAGE(W59:W60)</f>
      </c>
      <c r="X61" s="834">
        <f>AVERAGE(X59:X60)</f>
      </c>
      <c r="Y61" s="832">
        <f>AVERAGE(Y59:Y60)</f>
      </c>
      <c r="Z61" s="834">
        <f>SUM(Z59:Z60)</f>
      </c>
      <c r="AA61" s="834">
        <f>SUM(AA59:AA60)</f>
      </c>
      <c r="AB61" s="834">
        <f>SUM(AB59:AB60)</f>
      </c>
      <c r="AC61" s="834">
        <f>SUM(AC59:AC60)</f>
      </c>
      <c r="AD61" s="834">
        <f>SUM(AD59:AD60)</f>
      </c>
      <c r="AE61" s="834">
        <f>SUM(AE59:AE60)</f>
      </c>
      <c r="AF61" s="834">
        <f>SUM(AF59:AF60)</f>
      </c>
      <c r="AG61" s="834">
        <f>SUM(AG59:AG60)</f>
      </c>
    </row>
    <row r="62">
      <c r="A62" s="819" t="s">
        <v>1814</v>
      </c>
      <c r="B62" s="819" t="s">
        <v>1781</v>
      </c>
      <c r="C62" s="819" t="s">
        <v>1799</v>
      </c>
      <c r="D62" s="819">
        <v>4</v>
      </c>
      <c r="E62" s="819">
        <v>6</v>
      </c>
      <c r="F62" s="819">
        <v>6</v>
      </c>
      <c r="G62" s="820">
        <v>15580.5</v>
      </c>
      <c r="H62" s="819">
        <v>6041.7</v>
      </c>
      <c r="I62" s="821">
        <f t="shared" si="2"/>
      </c>
      <c r="J62" s="821">
        <f t="shared" si="0"/>
      </c>
      <c r="K62" s="821">
        <f t="shared" si="1"/>
      </c>
      <c r="L62" s="819" t="s">
        <v>1805</v>
      </c>
      <c r="M62" s="822">
        <v>2.8</v>
      </c>
      <c r="N62" s="819"/>
      <c r="O62" s="819"/>
      <c r="P62" s="819"/>
      <c r="Q62" s="824">
        <v>3.708839779005525</v>
      </c>
      <c r="R62" s="824">
        <v>0.23722536702373645</v>
      </c>
      <c r="S62" s="824">
        <v>0.026097822778320703</v>
      </c>
      <c r="T62" s="824">
        <v>0.02806837661609446</v>
      </c>
      <c r="U62" s="824">
        <v>0.1375570776255708</v>
      </c>
      <c r="V62" s="824">
        <v>14807.370184254605</v>
      </c>
      <c r="W62" s="824">
        <v>0.014925</v>
      </c>
      <c r="X62" s="824">
        <v>47.5</v>
      </c>
      <c r="Y62" s="824">
        <v>96.79264326567233</v>
      </c>
      <c r="Z62" s="824">
        <v>62419</v>
      </c>
      <c r="AA62" s="824">
        <v>1629</v>
      </c>
      <c r="AB62" s="824">
        <v>221</v>
      </c>
      <c r="AC62" s="824">
        <v>1752</v>
      </c>
      <c r="AD62" s="824">
        <v>241</v>
      </c>
      <c r="AE62" s="824">
        <v>12</v>
      </c>
      <c r="AF62" s="824">
        <v>7</v>
      </c>
      <c r="AG62" s="824">
        <v>38</v>
      </c>
    </row>
    <row r="63">
      <c r="A63" s="819" t="s">
        <v>1814</v>
      </c>
      <c r="B63" s="819" t="s">
        <v>1777</v>
      </c>
      <c r="C63" s="819" t="s">
        <v>1801</v>
      </c>
      <c r="D63" s="819">
        <v>3</v>
      </c>
      <c r="E63" s="819">
        <v>3</v>
      </c>
      <c r="F63" s="819">
        <v>3</v>
      </c>
      <c r="G63" s="820">
        <v>6132.75</v>
      </c>
      <c r="H63" s="819">
        <v>3498.77</v>
      </c>
      <c r="I63" s="821">
        <f t="shared" si="2"/>
      </c>
      <c r="J63" s="821">
        <f t="shared" si="0"/>
      </c>
      <c r="K63" s="821">
        <f t="shared" si="1"/>
      </c>
      <c r="L63" s="819"/>
      <c r="M63" s="822"/>
      <c r="N63" s="819"/>
      <c r="O63" s="819"/>
      <c r="P63" s="819"/>
      <c r="Q63" s="824">
        <v>3.192308394160584</v>
      </c>
      <c r="R63" s="824">
        <v>0.25406043008801377</v>
      </c>
      <c r="S63" s="824">
        <v>0.03314883706862656</v>
      </c>
      <c r="T63" s="824">
        <v>0.037867102198832533</v>
      </c>
      <c r="U63" s="824">
        <v>0.07667731629392971</v>
      </c>
      <c r="V63" s="824">
        <v>8400</v>
      </c>
      <c r="W63" s="824">
        <v>0.015</v>
      </c>
      <c r="X63" s="824">
        <v>46.666666666666664</v>
      </c>
      <c r="Y63" s="824">
        <v>105.8213108308381</v>
      </c>
      <c r="Z63" s="824">
        <v>33063</v>
      </c>
      <c r="AA63" s="824">
        <v>1096</v>
      </c>
      <c r="AB63" s="824">
        <v>126</v>
      </c>
      <c r="AC63" s="824">
        <v>1252</v>
      </c>
      <c r="AD63" s="824">
        <v>96</v>
      </c>
      <c r="AE63" s="824">
        <v>4</v>
      </c>
      <c r="AF63" s="824">
        <v>2</v>
      </c>
      <c r="AG63" s="824">
        <v>22</v>
      </c>
    </row>
    <row r="64">
      <c r="A64" s="827" t="s">
        <v>1814</v>
      </c>
      <c r="B64" s="827" t="s">
        <v>1779</v>
      </c>
      <c r="C64" s="828"/>
      <c r="D64" s="828">
        <f>SUM(D62:D63)</f>
      </c>
      <c r="E64" s="828">
        <f>SUM(E62:E63)</f>
      </c>
      <c r="F64" s="828">
        <f>SUM(F62:F63)</f>
      </c>
      <c r="G64" s="829">
        <f>SUM(G62:G63)</f>
      </c>
      <c r="H64" s="828">
        <f>SUM(H62:H63)</f>
      </c>
      <c r="I64" s="830">
        <f t="shared" si="2"/>
      </c>
      <c r="J64" s="830">
        <f t="shared" si="0"/>
      </c>
      <c r="K64" s="830">
        <f t="shared" si="1"/>
      </c>
      <c r="L64" s="828"/>
      <c r="M64" s="831">
        <f>SUM(M62:M63)</f>
      </c>
      <c r="N64" s="828"/>
      <c r="O64" s="828"/>
      <c r="P64" s="828"/>
      <c r="Q64" s="832">
        <f>AVERAGE(Q62:Q63)</f>
      </c>
      <c r="R64" s="833">
        <f>AVERAGE(R62:R63)</f>
      </c>
      <c r="S64" s="833">
        <f>AVERAGE(S62:S63)</f>
      </c>
      <c r="T64" s="833">
        <f>AVERAGE(T62:T63)</f>
      </c>
      <c r="U64" s="833">
        <f>AVERAGE(U62:U63)</f>
      </c>
      <c r="V64" s="834">
        <f>SUM(V62:V63)</f>
      </c>
      <c r="W64" s="833">
        <f>AVERAGE(W62:W63)</f>
      </c>
      <c r="X64" s="834">
        <f>AVERAGE(X62:X63)</f>
      </c>
      <c r="Y64" s="832">
        <f>AVERAGE(Y62:Y63)</f>
      </c>
      <c r="Z64" s="834">
        <f>SUM(Z62:Z63)</f>
      </c>
      <c r="AA64" s="834">
        <f>SUM(AA62:AA63)</f>
      </c>
      <c r="AB64" s="834">
        <f>SUM(AB62:AB63)</f>
      </c>
      <c r="AC64" s="834">
        <f>SUM(AC62:AC63)</f>
      </c>
      <c r="AD64" s="834">
        <f>SUM(AD62:AD63)</f>
      </c>
      <c r="AE64" s="834">
        <f>SUM(AE62:AE63)</f>
      </c>
      <c r="AF64" s="834">
        <f>SUM(AF62:AF63)</f>
      </c>
      <c r="AG64" s="834">
        <f>SUM(AG62:AG63)</f>
      </c>
    </row>
    <row r="65">
      <c r="A65" s="819" t="s">
        <v>1815</v>
      </c>
      <c r="B65" s="819" t="s">
        <v>1774</v>
      </c>
      <c r="C65" s="819" t="s">
        <v>1799</v>
      </c>
      <c r="D65" s="819">
        <v>4</v>
      </c>
      <c r="E65" s="819">
        <v>4</v>
      </c>
      <c r="F65" s="819">
        <v>4</v>
      </c>
      <c r="G65" s="820">
        <v>12129</v>
      </c>
      <c r="H65" s="819">
        <v>4211.849999999999</v>
      </c>
      <c r="I65" s="821">
        <f t="shared" si="2"/>
      </c>
      <c r="J65" s="821">
        <f t="shared" si="0"/>
      </c>
      <c r="K65" s="821">
        <f t="shared" si="1"/>
      </c>
      <c r="L65" s="819" t="s">
        <v>1816</v>
      </c>
      <c r="M65" s="822">
        <v>2.8</v>
      </c>
      <c r="N65" s="823"/>
      <c r="O65" s="823"/>
      <c r="P65" s="823"/>
      <c r="Q65" s="824">
        <v>3.5784621920135935</v>
      </c>
      <c r="R65" s="824">
        <v>0.36500015808924047</v>
      </c>
      <c r="S65" s="824">
        <v>0.025174316636009754</v>
      </c>
      <c r="T65" s="824">
        <v>0.027334559609872952</v>
      </c>
      <c r="U65" s="824">
        <v>0.08841940532081377</v>
      </c>
      <c r="V65" s="824">
        <v>17065.217391304348</v>
      </c>
      <c r="W65" s="824">
        <v>0.0092</v>
      </c>
      <c r="X65" s="824">
        <v>43</v>
      </c>
      <c r="Y65" s="824">
        <v>90.08534029173973</v>
      </c>
      <c r="Z65" s="824">
        <v>46754</v>
      </c>
      <c r="AA65" s="824">
        <v>1177</v>
      </c>
      <c r="AB65" s="824">
        <v>157</v>
      </c>
      <c r="AC65" s="824">
        <v>1278</v>
      </c>
      <c r="AD65" s="824">
        <v>113</v>
      </c>
      <c r="AE65" s="824">
        <v>4</v>
      </c>
      <c r="AF65" s="824">
        <v>2</v>
      </c>
      <c r="AG65" s="824">
        <v>16</v>
      </c>
    </row>
    <row r="66">
      <c r="A66" s="819" t="s">
        <v>1815</v>
      </c>
      <c r="B66" s="819" t="s">
        <v>1797</v>
      </c>
      <c r="C66" s="819" t="s">
        <v>1801</v>
      </c>
      <c r="D66" s="819">
        <v>3</v>
      </c>
      <c r="E66" s="819">
        <v>2</v>
      </c>
      <c r="F66" s="819">
        <v>2</v>
      </c>
      <c r="G66" s="820">
        <v>3451.5</v>
      </c>
      <c r="H66" s="819">
        <v>2499.14</v>
      </c>
      <c r="I66" s="821">
        <f t="shared" si="2"/>
      </c>
      <c r="J66" s="821">
        <f t="shared" si="0"/>
      </c>
      <c r="K66" s="821">
        <f t="shared" si="1"/>
      </c>
      <c r="L66" s="819"/>
      <c r="M66" s="822"/>
      <c r="N66" s="819"/>
      <c r="O66" s="819"/>
      <c r="P66" s="819"/>
      <c r="Q66" s="824">
        <v>3.534851485148515</v>
      </c>
      <c r="R66" s="824">
        <v>0.005899740228789039</v>
      </c>
      <c r="S66" s="824">
        <v>0.03818938043536974</v>
      </c>
      <c r="T66" s="824">
        <v>0.04380705450224167</v>
      </c>
      <c r="U66" s="824">
        <v>0.09617755856966707</v>
      </c>
      <c r="V66" s="824">
        <v>109.22189085557147</v>
      </c>
      <c r="W66" s="824">
        <v>0.8606333333333334</v>
      </c>
      <c r="X66" s="824">
        <v>46</v>
      </c>
      <c r="Y66" s="824">
        <v>134.99378814886836</v>
      </c>
      <c r="Z66" s="824">
        <v>18513</v>
      </c>
      <c r="AA66" s="824">
        <v>707</v>
      </c>
      <c r="AB66" s="824">
        <v>94</v>
      </c>
      <c r="AC66" s="824">
        <v>811</v>
      </c>
      <c r="AD66" s="824">
        <v>78</v>
      </c>
      <c r="AE66" s="824">
        <v>9</v>
      </c>
      <c r="AF66" s="824">
        <v>2</v>
      </c>
      <c r="AG66" s="824">
        <v>12</v>
      </c>
    </row>
    <row r="67">
      <c r="A67" s="827" t="s">
        <v>1815</v>
      </c>
      <c r="B67" s="827" t="s">
        <v>1779</v>
      </c>
      <c r="C67" s="828"/>
      <c r="D67" s="828">
        <f>SUM(D65:D66)</f>
      </c>
      <c r="E67" s="828">
        <f>SUM(E65:E66)</f>
      </c>
      <c r="F67" s="828">
        <f>SUM(F65:F66)</f>
      </c>
      <c r="G67" s="829">
        <f>SUM(G65:G66)</f>
      </c>
      <c r="H67" s="828">
        <f>SUM(H65:H66)</f>
      </c>
      <c r="I67" s="830">
        <f t="shared" si="2"/>
      </c>
      <c r="J67" s="830">
        <f t="shared" si="0"/>
      </c>
      <c r="K67" s="830">
        <f t="shared" si="1"/>
      </c>
      <c r="L67" s="828"/>
      <c r="M67" s="831">
        <f>SUM(M65:M66)</f>
      </c>
      <c r="N67" s="828"/>
      <c r="O67" s="828"/>
      <c r="P67" s="828"/>
      <c r="Q67" s="832">
        <f>AVERAGE(Q65:Q66)</f>
      </c>
      <c r="R67" s="833">
        <f>AVERAGE(R65:R66)</f>
      </c>
      <c r="S67" s="833">
        <f>AVERAGE(S65:S66)</f>
      </c>
      <c r="T67" s="833">
        <f>AVERAGE(T65:T66)</f>
      </c>
      <c r="U67" s="833">
        <f>AVERAGE(U65:U66)</f>
      </c>
      <c r="V67" s="834">
        <f>SUM(V65:V66)</f>
      </c>
      <c r="W67" s="833">
        <f>AVERAGE(W65:W66)</f>
      </c>
      <c r="X67" s="834">
        <f>AVERAGE(X65:X66)</f>
      </c>
      <c r="Y67" s="832">
        <f>AVERAGE(Y65:Y66)</f>
      </c>
      <c r="Z67" s="834">
        <f>SUM(Z65:Z66)</f>
      </c>
      <c r="AA67" s="834">
        <f>SUM(AA65:AA66)</f>
      </c>
      <c r="AB67" s="834">
        <f>SUM(AB65:AB66)</f>
      </c>
      <c r="AC67" s="834">
        <f>SUM(AC65:AC66)</f>
      </c>
      <c r="AD67" s="834">
        <f>SUM(AD65:AD66)</f>
      </c>
      <c r="AE67" s="834">
        <f>SUM(AE65:AE66)</f>
      </c>
      <c r="AF67" s="834">
        <f>SUM(AF65:AF66)</f>
      </c>
      <c r="AG67" s="834">
        <f>SUM(AG65:AG66)</f>
      </c>
    </row>
    <row r="68">
      <c r="A68" s="819" t="s">
        <v>1817</v>
      </c>
      <c r="B68" s="819" t="s">
        <v>1774</v>
      </c>
      <c r="C68" s="819" t="s">
        <v>1799</v>
      </c>
      <c r="D68" s="819">
        <v>4</v>
      </c>
      <c r="E68" s="819">
        <v>4</v>
      </c>
      <c r="F68" s="819">
        <v>4</v>
      </c>
      <c r="G68" s="820">
        <v>9642.75</v>
      </c>
      <c r="H68" s="819">
        <v>4633.47</v>
      </c>
      <c r="I68" s="821">
        <f t="shared" si="2"/>
      </c>
      <c r="J68" s="821">
        <f t="shared" si="0"/>
      </c>
      <c r="K68" s="821">
        <f t="shared" si="1"/>
      </c>
      <c r="L68" s="819" t="s">
        <v>1818</v>
      </c>
      <c r="M68" s="822">
        <v>2.8</v>
      </c>
      <c r="N68" s="823"/>
      <c r="O68" s="819"/>
      <c r="P68" s="823"/>
      <c r="Q68" s="824">
        <v>4.178061316501353</v>
      </c>
      <c r="R68" s="824">
        <v>0.3979137628703745</v>
      </c>
      <c r="S68" s="824">
        <v>0.02293691830403309</v>
      </c>
      <c r="T68" s="824">
        <v>0.024488107549120994</v>
      </c>
      <c r="U68" s="824">
        <v>0.11824324324324324</v>
      </c>
      <c r="V68" s="824">
        <v>19239.130434782608</v>
      </c>
      <c r="W68" s="824">
        <v>0.0092</v>
      </c>
      <c r="X68" s="824">
        <v>44</v>
      </c>
      <c r="Y68" s="824">
        <v>95.83185108583248</v>
      </c>
      <c r="Z68" s="824">
        <v>48350</v>
      </c>
      <c r="AA68" s="824">
        <v>1109</v>
      </c>
      <c r="AB68" s="824">
        <v>177</v>
      </c>
      <c r="AC68" s="824">
        <v>1184</v>
      </c>
      <c r="AD68" s="824">
        <v>140</v>
      </c>
      <c r="AE68" s="824">
        <v>5</v>
      </c>
      <c r="AF68" s="824">
        <v>6</v>
      </c>
      <c r="AG68" s="824">
        <v>28</v>
      </c>
    </row>
    <row r="69">
      <c r="A69" s="819" t="s">
        <v>1817</v>
      </c>
      <c r="B69" s="819" t="s">
        <v>1797</v>
      </c>
      <c r="C69" s="819" t="s">
        <v>1801</v>
      </c>
      <c r="D69" s="819">
        <v>3</v>
      </c>
      <c r="E69" s="819">
        <v>5</v>
      </c>
      <c r="F69" s="819">
        <v>5</v>
      </c>
      <c r="G69" s="820">
        <v>13942.5</v>
      </c>
      <c r="H69" s="819">
        <v>2132.42</v>
      </c>
      <c r="I69" s="821">
        <f t="shared" si="2"/>
      </c>
      <c r="J69" s="821">
        <f t="shared" si="0"/>
      </c>
      <c r="K69" s="821">
        <f t="shared" si="1"/>
      </c>
      <c r="L69" s="819"/>
      <c r="M69" s="822"/>
      <c r="N69" s="819"/>
      <c r="O69" s="819"/>
      <c r="P69" s="819"/>
      <c r="Q69" s="824">
        <v>2.719923469387755</v>
      </c>
      <c r="R69" s="824">
        <v>0.17339760604597437</v>
      </c>
      <c r="S69" s="824">
        <v>0.0390983443048075</v>
      </c>
      <c r="T69" s="824">
        <v>0.04283861958906842</v>
      </c>
      <c r="U69" s="824">
        <v>0.10360884749708964</v>
      </c>
      <c r="V69" s="824">
        <v>3476.968796433878</v>
      </c>
      <c r="W69" s="824">
        <v>0.022433333333333333</v>
      </c>
      <c r="X69" s="824">
        <v>47</v>
      </c>
      <c r="Y69" s="824">
        <v>106.344504288849</v>
      </c>
      <c r="Z69" s="824">
        <v>20052</v>
      </c>
      <c r="AA69" s="824">
        <v>784</v>
      </c>
      <c r="AB69" s="824">
        <v>78</v>
      </c>
      <c r="AC69" s="824">
        <v>859</v>
      </c>
      <c r="AD69" s="824">
        <v>89</v>
      </c>
      <c r="AE69" s="824">
        <v>2</v>
      </c>
      <c r="AF69" s="824">
        <v>1</v>
      </c>
      <c r="AG69" s="824">
        <v>8</v>
      </c>
    </row>
    <row r="70">
      <c r="A70" s="827" t="s">
        <v>1817</v>
      </c>
      <c r="B70" s="827" t="s">
        <v>1779</v>
      </c>
      <c r="C70" s="828"/>
      <c r="D70" s="828">
        <f>SUM(D68:D69)</f>
      </c>
      <c r="E70" s="828">
        <f>SUM(E68:E69)</f>
      </c>
      <c r="F70" s="828">
        <f>SUM(F68:F69)</f>
      </c>
      <c r="G70" s="829">
        <f>SUM(G68:G69)</f>
      </c>
      <c r="H70" s="828">
        <f>SUM(H68:H69)</f>
      </c>
      <c r="I70" s="830">
        <f t="shared" si="2"/>
      </c>
      <c r="J70" s="830">
        <f t="shared" si="0"/>
      </c>
      <c r="K70" s="830">
        <f t="shared" si="1"/>
      </c>
      <c r="L70" s="828"/>
      <c r="M70" s="831">
        <f>SUM(M68:M69)</f>
      </c>
      <c r="N70" s="828"/>
      <c r="O70" s="828"/>
      <c r="P70" s="828"/>
      <c r="Q70" s="832">
        <f>AVERAGE(Q68:Q69)</f>
      </c>
      <c r="R70" s="833">
        <f>AVERAGE(R68:R69)</f>
      </c>
      <c r="S70" s="833">
        <f>AVERAGE(S68:S69)</f>
      </c>
      <c r="T70" s="833">
        <f>AVERAGE(T68:T69)</f>
      </c>
      <c r="U70" s="833">
        <f>AVERAGE(U68:U69)</f>
      </c>
      <c r="V70" s="834">
        <f>SUM(V68:V69)</f>
      </c>
      <c r="W70" s="833">
        <f>AVERAGE(W68:W69)</f>
      </c>
      <c r="X70" s="834">
        <f>AVERAGE(X68:X69)</f>
      </c>
      <c r="Y70" s="832">
        <f>AVERAGE(Y68:Y69)</f>
      </c>
      <c r="Z70" s="834">
        <f>SUM(Z68:Z69)</f>
      </c>
      <c r="AA70" s="834">
        <f>SUM(AA68:AA69)</f>
      </c>
      <c r="AB70" s="834">
        <f>SUM(AB68:AB69)</f>
      </c>
      <c r="AC70" s="834">
        <f>SUM(AC68:AC69)</f>
      </c>
      <c r="AD70" s="834">
        <f>SUM(AD68:AD69)</f>
      </c>
      <c r="AE70" s="834">
        <f>SUM(AE68:AE69)</f>
      </c>
      <c r="AF70" s="834">
        <f>SUM(AF68:AF69)</f>
      </c>
      <c r="AG70" s="834">
        <f>SUM(AG68:AG69)</f>
      </c>
    </row>
    <row r="71">
      <c r="A71" s="819" t="s">
        <v>1819</v>
      </c>
      <c r="B71" s="819" t="s">
        <v>1781</v>
      </c>
      <c r="C71" s="819" t="s">
        <v>1820</v>
      </c>
      <c r="D71" s="819">
        <v>3</v>
      </c>
      <c r="E71" s="819">
        <v>6</v>
      </c>
      <c r="F71" s="819">
        <v>6</v>
      </c>
      <c r="G71" s="820">
        <v>15028.65</v>
      </c>
      <c r="H71" s="819">
        <v>3175.33</v>
      </c>
      <c r="I71" s="821">
        <f t="shared" si="2"/>
      </c>
      <c r="J71" s="821">
        <f t="shared" si="0"/>
      </c>
      <c r="K71" s="821">
        <f t="shared" si="1"/>
      </c>
      <c r="L71" s="819" t="s">
        <v>1805</v>
      </c>
      <c r="M71" s="822">
        <v>2.8</v>
      </c>
      <c r="N71" s="819"/>
      <c r="O71" s="819"/>
      <c r="P71" s="819"/>
      <c r="Q71" s="824">
        <v>3.5281444444444445</v>
      </c>
      <c r="R71" s="824">
        <v>0.28363919778613444</v>
      </c>
      <c r="S71" s="824">
        <v>0.026174965100046535</v>
      </c>
      <c r="T71" s="824">
        <v>0.028472545369939508</v>
      </c>
      <c r="U71" s="824">
        <v>0.06128702757916241</v>
      </c>
      <c r="V71" s="824">
        <v>9752.650176678446</v>
      </c>
      <c r="W71" s="824">
        <v>0.009433333333333334</v>
      </c>
      <c r="X71" s="824">
        <v>46.333333333333336</v>
      </c>
      <c r="Y71" s="824">
        <v>92.3490577012564</v>
      </c>
      <c r="Z71" s="824">
        <v>34384</v>
      </c>
      <c r="AA71" s="824">
        <v>900</v>
      </c>
      <c r="AB71" s="824">
        <v>92</v>
      </c>
      <c r="AC71" s="824">
        <v>979</v>
      </c>
      <c r="AD71" s="824">
        <v>60</v>
      </c>
      <c r="AE71" s="824">
        <v>4</v>
      </c>
      <c r="AF71" s="824">
        <v>4</v>
      </c>
      <c r="AG71" s="824">
        <v>19</v>
      </c>
    </row>
    <row r="72">
      <c r="A72" s="819" t="s">
        <v>1819</v>
      </c>
      <c r="B72" s="819" t="s">
        <v>1797</v>
      </c>
      <c r="C72" s="819" t="s">
        <v>1778</v>
      </c>
      <c r="D72" s="819">
        <v>4</v>
      </c>
      <c r="E72" s="819">
        <v>9</v>
      </c>
      <c r="F72" s="819">
        <v>9</v>
      </c>
      <c r="G72" s="820">
        <v>22187.1</v>
      </c>
      <c r="H72" s="819">
        <v>5863.34</v>
      </c>
      <c r="I72" s="821">
        <f t="shared" si="2"/>
      </c>
      <c r="J72" s="821">
        <f t="shared" si="0"/>
      </c>
      <c r="K72" s="821">
        <f t="shared" si="1"/>
      </c>
      <c r="L72" s="819"/>
      <c r="M72" s="822"/>
      <c r="N72" s="819"/>
      <c r="O72" s="819"/>
      <c r="P72" s="819"/>
      <c r="Q72" s="824">
        <v>3.5861406727828746</v>
      </c>
      <c r="R72" s="824">
        <v>0.15448195255607752</v>
      </c>
      <c r="S72" s="824">
        <v>0.02667732671974938</v>
      </c>
      <c r="T72" s="824">
        <v>0.028635295653308968</v>
      </c>
      <c r="U72" s="824">
        <v>0.09344729344729345</v>
      </c>
      <c r="V72" s="824">
        <v>9467.889908256879</v>
      </c>
      <c r="W72" s="824">
        <v>0.027250000000000003</v>
      </c>
      <c r="X72" s="824">
        <v>59</v>
      </c>
      <c r="Y72" s="824">
        <v>95.66864639081061</v>
      </c>
      <c r="Z72" s="824">
        <v>61288</v>
      </c>
      <c r="AA72" s="824">
        <v>1635</v>
      </c>
      <c r="AB72" s="824">
        <v>258</v>
      </c>
      <c r="AC72" s="824">
        <v>1755</v>
      </c>
      <c r="AD72" s="824">
        <v>164</v>
      </c>
      <c r="AE72" s="824">
        <v>11</v>
      </c>
      <c r="AF72" s="824">
        <v>9</v>
      </c>
      <c r="AG72" s="824">
        <v>32</v>
      </c>
    </row>
    <row r="73">
      <c r="A73" s="827" t="s">
        <v>1819</v>
      </c>
      <c r="B73" s="827" t="s">
        <v>1779</v>
      </c>
      <c r="C73" s="828"/>
      <c r="D73" s="828">
        <f>SUM(D71:D72)</f>
      </c>
      <c r="E73" s="828">
        <f>SUM(E71:E72)</f>
      </c>
      <c r="F73" s="828">
        <f>SUM(F71:F72)</f>
      </c>
      <c r="G73" s="829">
        <f>SUM(G71:G72)</f>
      </c>
      <c r="H73" s="828">
        <f>SUM(H71:H72)</f>
      </c>
      <c r="I73" s="830">
        <f t="shared" si="2"/>
      </c>
      <c r="J73" s="830">
        <f t="shared" si="0"/>
      </c>
      <c r="K73" s="830">
        <f t="shared" si="1"/>
      </c>
      <c r="L73" s="828"/>
      <c r="M73" s="831">
        <f>SUM(M71:M72)</f>
      </c>
      <c r="N73" s="828"/>
      <c r="O73" s="828"/>
      <c r="P73" s="828"/>
      <c r="Q73" s="832">
        <f>AVERAGE(Q71:Q72)</f>
      </c>
      <c r="R73" s="833">
        <f>AVERAGE(R71:R72)</f>
      </c>
      <c r="S73" s="833">
        <f>AVERAGE(S71:S72)</f>
      </c>
      <c r="T73" s="833">
        <f>AVERAGE(T71:T72)</f>
      </c>
      <c r="U73" s="833">
        <f>AVERAGE(U71:U72)</f>
      </c>
      <c r="V73" s="834">
        <f>SUM(V71:V72)</f>
      </c>
      <c r="W73" s="833">
        <f>AVERAGE(W71:W72)</f>
      </c>
      <c r="X73" s="834">
        <f>AVERAGE(X71:X72)</f>
      </c>
      <c r="Y73" s="832">
        <f>AVERAGE(Y71:Y72)</f>
      </c>
      <c r="Z73" s="834">
        <f>SUM(Z71:Z72)</f>
      </c>
      <c r="AA73" s="834">
        <f>SUM(AA71:AA72)</f>
      </c>
      <c r="AB73" s="834">
        <f>SUM(AB71:AB72)</f>
      </c>
      <c r="AC73" s="834">
        <f>SUM(AC71:AC72)</f>
      </c>
      <c r="AD73" s="834">
        <f>SUM(AD71:AD72)</f>
      </c>
      <c r="AE73" s="834">
        <f>SUM(AE71:AE72)</f>
      </c>
      <c r="AF73" s="834">
        <f>SUM(AF71:AF72)</f>
      </c>
      <c r="AG73" s="834">
        <f>SUM(AG71:AG72)</f>
      </c>
    </row>
    <row r="74">
      <c r="A74" s="819" t="s">
        <v>1821</v>
      </c>
      <c r="B74" s="819" t="s">
        <v>1777</v>
      </c>
      <c r="C74" s="819" t="s">
        <v>1820</v>
      </c>
      <c r="D74" s="819">
        <v>3</v>
      </c>
      <c r="E74" s="819">
        <v>1</v>
      </c>
      <c r="F74" s="819">
        <v>1</v>
      </c>
      <c r="G74" s="820">
        <v>2418</v>
      </c>
      <c r="H74" s="819">
        <v>3336.12</v>
      </c>
      <c r="I74" s="821">
        <f t="shared" si="2"/>
      </c>
      <c r="J74" s="821">
        <f t="shared" si="0"/>
      </c>
      <c r="K74" s="821">
        <f t="shared" si="1"/>
      </c>
      <c r="L74" s="819" t="s">
        <v>1776</v>
      </c>
      <c r="M74" s="822">
        <v>7</v>
      </c>
      <c r="N74" s="819"/>
      <c r="O74" s="819"/>
      <c r="P74" s="819"/>
      <c r="Q74" s="824">
        <v>3.5302857142857142</v>
      </c>
      <c r="R74" s="824">
        <v>0.3457378716793889</v>
      </c>
      <c r="S74" s="824">
        <v>0.02750851454021483</v>
      </c>
      <c r="T74" s="824">
        <v>0.02983727767589439</v>
      </c>
      <c r="U74" s="824">
        <v>0.15121951219512195</v>
      </c>
      <c r="V74" s="824">
        <v>11877.133105802048</v>
      </c>
      <c r="W74" s="824">
        <v>0.009766666666666667</v>
      </c>
      <c r="X74" s="824">
        <v>47.666666666666664</v>
      </c>
      <c r="Y74" s="824">
        <v>97.11291590254126</v>
      </c>
      <c r="Z74" s="824">
        <v>34353</v>
      </c>
      <c r="AA74" s="824">
        <v>945</v>
      </c>
      <c r="AB74" s="824">
        <v>116</v>
      </c>
      <c r="AC74" s="824">
        <v>1025</v>
      </c>
      <c r="AD74" s="824">
        <v>155</v>
      </c>
      <c r="AE74" s="824">
        <v>10</v>
      </c>
      <c r="AF74" s="824">
        <v>2</v>
      </c>
      <c r="AG74" s="824">
        <v>15</v>
      </c>
    </row>
    <row r="75">
      <c r="A75" s="819" t="s">
        <v>1821</v>
      </c>
      <c r="B75" s="819" t="s">
        <v>1781</v>
      </c>
      <c r="C75" s="819" t="s">
        <v>1778</v>
      </c>
      <c r="D75" s="819">
        <v>4</v>
      </c>
      <c r="E75" s="819">
        <v>7</v>
      </c>
      <c r="F75" s="819">
        <v>7</v>
      </c>
      <c r="G75" s="820">
        <v>18423.6</v>
      </c>
      <c r="H75" s="819">
        <v>3624.03</v>
      </c>
      <c r="I75" s="821">
        <f t="shared" si="2"/>
      </c>
      <c r="J75" s="821">
        <f t="shared" si="0"/>
      </c>
      <c r="K75" s="821">
        <f t="shared" si="1"/>
      </c>
      <c r="L75" s="819"/>
      <c r="M75" s="822"/>
      <c r="N75" s="819"/>
      <c r="O75" s="819"/>
      <c r="P75" s="823"/>
      <c r="Q75" s="824">
        <v>3.399652908067542</v>
      </c>
      <c r="R75" s="824">
        <v>0.25717414805583894</v>
      </c>
      <c r="S75" s="824">
        <v>0.03702031602708804</v>
      </c>
      <c r="T75" s="824">
        <v>0.039138739364473</v>
      </c>
      <c r="U75" s="824">
        <v>0.15173025732031944</v>
      </c>
      <c r="V75" s="824">
        <v>7405.329593267882</v>
      </c>
      <c r="W75" s="824">
        <v>0.017825</v>
      </c>
      <c r="X75" s="824">
        <v>52.5</v>
      </c>
      <c r="Y75" s="824">
        <v>125.85622503906926</v>
      </c>
      <c r="Z75" s="824">
        <v>28795</v>
      </c>
      <c r="AA75" s="824">
        <v>1066</v>
      </c>
      <c r="AB75" s="824">
        <v>132</v>
      </c>
      <c r="AC75" s="824">
        <v>1127</v>
      </c>
      <c r="AD75" s="824">
        <v>171</v>
      </c>
      <c r="AE75" s="824">
        <v>9</v>
      </c>
      <c r="AF75" s="824">
        <v>1</v>
      </c>
      <c r="AG75" s="824">
        <v>22</v>
      </c>
    </row>
    <row r="76">
      <c r="A76" s="827" t="s">
        <v>1821</v>
      </c>
      <c r="B76" s="827" t="s">
        <v>1779</v>
      </c>
      <c r="C76" s="828"/>
      <c r="D76" s="828">
        <f>SUM(D74:D75)</f>
      </c>
      <c r="E76" s="828">
        <f>SUM(E74:E75)</f>
      </c>
      <c r="F76" s="828">
        <f>SUM(F74:F75)</f>
      </c>
      <c r="G76" s="829">
        <f>SUM(G74:G75)</f>
      </c>
      <c r="H76" s="828">
        <f>SUM(H74:H75)</f>
      </c>
      <c r="I76" s="830">
        <f t="shared" si="2"/>
      </c>
      <c r="J76" s="830">
        <f t="shared" si="0"/>
      </c>
      <c r="K76" s="830">
        <f t="shared" si="1"/>
      </c>
      <c r="L76" s="828"/>
      <c r="M76" s="831">
        <f>SUM(M74:M75)</f>
      </c>
      <c r="N76" s="828"/>
      <c r="O76" s="828"/>
      <c r="P76" s="828"/>
      <c r="Q76" s="832">
        <f>AVERAGE(Q74:Q75)</f>
      </c>
      <c r="R76" s="833">
        <f>AVERAGE(R74:R75)</f>
      </c>
      <c r="S76" s="833">
        <f>AVERAGE(S74:S75)</f>
      </c>
      <c r="T76" s="833">
        <f>AVERAGE(T74:T75)</f>
      </c>
      <c r="U76" s="833">
        <f>AVERAGE(U74:U75)</f>
      </c>
      <c r="V76" s="834">
        <f>SUM(V74:V75)</f>
      </c>
      <c r="W76" s="833">
        <f>AVERAGE(W74:W75)</f>
      </c>
      <c r="X76" s="834">
        <f>AVERAGE(X74:X75)</f>
      </c>
      <c r="Y76" s="832">
        <f>AVERAGE(Y74:Y75)</f>
      </c>
      <c r="Z76" s="834">
        <f>SUM(Z74:Z75)</f>
      </c>
      <c r="AA76" s="834">
        <f>SUM(AA74:AA75)</f>
      </c>
      <c r="AB76" s="834">
        <f>SUM(AB74:AB75)</f>
      </c>
      <c r="AC76" s="834">
        <f>SUM(AC74:AC75)</f>
      </c>
      <c r="AD76" s="834">
        <f>SUM(AD74:AD75)</f>
      </c>
      <c r="AE76" s="834">
        <f>SUM(AE74:AE75)</f>
      </c>
      <c r="AF76" s="834">
        <f>SUM(AF74:AF75)</f>
      </c>
      <c r="AG76" s="834">
        <f>SUM(AG74:AG75)</f>
      </c>
    </row>
    <row customHeight="true" ht="16.071428571428573" r="77">
      <c r="A77" s="819" t="s">
        <v>1822</v>
      </c>
      <c r="B77" s="819" t="s">
        <v>1777</v>
      </c>
      <c r="C77" s="819" t="s">
        <v>1823</v>
      </c>
      <c r="D77" s="819">
        <v>5</v>
      </c>
      <c r="E77" s="819">
        <v>9</v>
      </c>
      <c r="F77" s="819">
        <v>9</v>
      </c>
      <c r="G77" s="820">
        <v>25975.95</v>
      </c>
      <c r="H77" s="819">
        <v>4640.48</v>
      </c>
      <c r="I77" s="821">
        <f t="shared" si="2"/>
      </c>
      <c r="J77" s="821">
        <f t="shared" si="0"/>
      </c>
      <c r="K77" s="821">
        <f t="shared" si="1"/>
      </c>
      <c r="L77" s="819" t="s">
        <v>1776</v>
      </c>
      <c r="M77" s="822">
        <v>7</v>
      </c>
      <c r="N77" s="819"/>
      <c r="O77" s="819"/>
      <c r="P77" s="819"/>
      <c r="Q77" s="824">
        <v>3.4196610169491524</v>
      </c>
      <c r="R77" s="824">
        <v>0.29347515906546695</v>
      </c>
      <c r="S77" s="824">
        <v>0.0332744838409102</v>
      </c>
      <c r="T77" s="824">
        <v>0.03494188612623216</v>
      </c>
      <c r="U77" s="824">
        <v>0.15017543859649124</v>
      </c>
      <c r="V77" s="824">
        <v>11968.503937007874</v>
      </c>
      <c r="W77" s="824">
        <v>0.0127</v>
      </c>
      <c r="X77" s="824">
        <v>42.2</v>
      </c>
      <c r="Y77" s="824">
        <v>113.78745524986512</v>
      </c>
      <c r="Z77" s="824">
        <v>40782</v>
      </c>
      <c r="AA77" s="824">
        <v>1357</v>
      </c>
      <c r="AB77" s="824">
        <v>152</v>
      </c>
      <c r="AC77" s="824">
        <v>1425</v>
      </c>
      <c r="AD77" s="824">
        <v>214</v>
      </c>
      <c r="AE77" s="824">
        <v>11</v>
      </c>
      <c r="AF77" s="824">
        <v>5</v>
      </c>
      <c r="AG77" s="824">
        <v>14</v>
      </c>
    </row>
    <row customHeight="true" ht="16.071428571428573" r="78">
      <c r="A78" s="819" t="s">
        <v>1822</v>
      </c>
      <c r="B78" s="819" t="s">
        <v>1774</v>
      </c>
      <c r="C78" s="819" t="s">
        <v>1824</v>
      </c>
      <c r="D78" s="819">
        <v>2</v>
      </c>
      <c r="E78" s="819">
        <v>5</v>
      </c>
      <c r="F78" s="819">
        <v>5</v>
      </c>
      <c r="G78" s="820">
        <v>11438.7</v>
      </c>
      <c r="H78" s="819">
        <v>1901.86</v>
      </c>
      <c r="I78" s="821">
        <f t="shared" si="2"/>
      </c>
      <c r="J78" s="821">
        <f t="shared" si="0"/>
      </c>
      <c r="K78" s="821">
        <f t="shared" si="1"/>
      </c>
      <c r="L78" s="819"/>
      <c r="M78" s="822"/>
      <c r="N78" s="819"/>
      <c r="O78" s="819"/>
      <c r="P78" s="823"/>
      <c r="Q78" s="824">
        <v>2.570081081081081</v>
      </c>
      <c r="R78" s="824">
        <v>0.23664912855963907</v>
      </c>
      <c r="S78" s="824">
        <v>0.04318646046104464</v>
      </c>
      <c r="T78" s="824">
        <v>0.046396264954770935</v>
      </c>
      <c r="U78" s="824">
        <v>0.12075471698113208</v>
      </c>
      <c r="V78" s="824">
        <v>4054.9828178694156</v>
      </c>
      <c r="W78" s="824">
        <v>0.01455</v>
      </c>
      <c r="X78" s="824">
        <v>46.5</v>
      </c>
      <c r="Y78" s="824">
        <v>110.99270498978699</v>
      </c>
      <c r="Z78" s="824">
        <v>17135</v>
      </c>
      <c r="AA78" s="824">
        <v>740</v>
      </c>
      <c r="AB78" s="824">
        <v>59</v>
      </c>
      <c r="AC78" s="824">
        <v>795</v>
      </c>
      <c r="AD78" s="824">
        <v>96</v>
      </c>
      <c r="AE78" s="824">
        <v>7</v>
      </c>
      <c r="AF78" s="824">
        <v>1</v>
      </c>
      <c r="AG78" s="824">
        <v>3</v>
      </c>
    </row>
    <row customHeight="true" ht="16.071428571428573" r="79">
      <c r="A79" s="827" t="s">
        <v>1822</v>
      </c>
      <c r="B79" s="827" t="s">
        <v>1779</v>
      </c>
      <c r="C79" s="828"/>
      <c r="D79" s="828">
        <f>SUM(D77:D78)</f>
      </c>
      <c r="E79" s="828">
        <f>SUM(E77:E78)</f>
      </c>
      <c r="F79" s="828">
        <f>SUM(F77:F78)</f>
      </c>
      <c r="G79" s="829">
        <f>SUM(G77:G78)</f>
      </c>
      <c r="H79" s="828">
        <f>SUM(H77:H78)</f>
      </c>
      <c r="I79" s="830">
        <f t="shared" si="2"/>
      </c>
      <c r="J79" s="830">
        <f t="shared" si="0"/>
      </c>
      <c r="K79" s="830">
        <f t="shared" si="1"/>
      </c>
      <c r="L79" s="828"/>
      <c r="M79" s="831">
        <f>SUM(M77:M78)</f>
      </c>
      <c r="N79" s="828"/>
      <c r="O79" s="828"/>
      <c r="P79" s="828"/>
      <c r="Q79" s="832">
        <f>AVERAGE(Q77:Q78)</f>
      </c>
      <c r="R79" s="833">
        <f>AVERAGE(R77:R78)</f>
      </c>
      <c r="S79" s="833">
        <f>AVERAGE(S77:S78)</f>
      </c>
      <c r="T79" s="833">
        <f>AVERAGE(T77:T78)</f>
      </c>
      <c r="U79" s="833">
        <f>AVERAGE(U77:U78)</f>
      </c>
      <c r="V79" s="834">
        <f>SUM(V77:V78)</f>
      </c>
      <c r="W79" s="833">
        <f>AVERAGE(W77:W78)</f>
      </c>
      <c r="X79" s="834">
        <f>AVERAGE(X77:X78)</f>
      </c>
      <c r="Y79" s="832">
        <f>AVERAGE(Y77:Y78)</f>
      </c>
      <c r="Z79" s="834">
        <f>SUM(Z77:Z78)</f>
      </c>
      <c r="AA79" s="834">
        <f>SUM(AA77:AA78)</f>
      </c>
      <c r="AB79" s="834">
        <f>SUM(AB77:AB78)</f>
      </c>
      <c r="AC79" s="834">
        <f>SUM(AC77:AC78)</f>
      </c>
      <c r="AD79" s="834">
        <f>SUM(AD77:AD78)</f>
      </c>
      <c r="AE79" s="834">
        <f>SUM(AE77:AE78)</f>
      </c>
      <c r="AF79" s="834">
        <f>SUM(AF77:AF78)</f>
      </c>
      <c r="AG79" s="834">
        <f>SUM(AG77:AG78)</f>
      </c>
    </row>
    <row r="80">
      <c r="A80" s="819" t="s">
        <v>1825</v>
      </c>
      <c r="B80" s="819" t="s">
        <v>1797</v>
      </c>
      <c r="C80" s="819" t="s">
        <v>1820</v>
      </c>
      <c r="D80" s="819">
        <v>3</v>
      </c>
      <c r="E80" s="819">
        <v>1</v>
      </c>
      <c r="F80" s="819">
        <v>2</v>
      </c>
      <c r="G80" s="819">
        <v>4995.9</v>
      </c>
      <c r="H80" s="819">
        <v>3313.35</v>
      </c>
      <c r="I80" s="821">
        <f t="shared" si="2"/>
      </c>
      <c r="J80" s="821">
        <f t="shared" si="0"/>
      </c>
      <c r="K80" s="821">
        <f t="shared" si="1"/>
      </c>
      <c r="L80" s="819" t="s">
        <v>1805</v>
      </c>
      <c r="M80" s="822">
        <v>2.8</v>
      </c>
      <c r="N80" s="819"/>
      <c r="O80" s="819"/>
      <c r="P80" s="819"/>
      <c r="Q80" s="824">
        <v>3.9968033775633294</v>
      </c>
      <c r="R80" s="824">
        <v>0.2516108814844127</v>
      </c>
      <c r="S80" s="824">
        <v>0.02591515833567789</v>
      </c>
      <c r="T80" s="824">
        <v>0.02838475726030823</v>
      </c>
      <c r="U80" s="824">
        <v>0.09911894273127753</v>
      </c>
      <c r="V80" s="824">
        <v>8048.780487804877</v>
      </c>
      <c r="W80" s="824">
        <v>0.015033333333333334</v>
      </c>
      <c r="X80" s="824">
        <v>49</v>
      </c>
      <c r="Y80" s="824">
        <v>103.57779236612585</v>
      </c>
      <c r="Z80" s="824">
        <v>31989</v>
      </c>
      <c r="AA80" s="824">
        <v>829</v>
      </c>
      <c r="AB80" s="824">
        <v>121</v>
      </c>
      <c r="AC80" s="824">
        <v>908</v>
      </c>
      <c r="AD80" s="824">
        <v>90</v>
      </c>
      <c r="AE80" s="824">
        <v>4</v>
      </c>
      <c r="AF80" s="824">
        <v>5</v>
      </c>
      <c r="AG80" s="824">
        <v>15</v>
      </c>
    </row>
    <row r="81">
      <c r="A81" s="819" t="s">
        <v>1825</v>
      </c>
      <c r="B81" s="819" t="s">
        <v>1781</v>
      </c>
      <c r="C81" s="819" t="s">
        <v>1778</v>
      </c>
      <c r="D81" s="819">
        <v>4</v>
      </c>
      <c r="E81" s="819">
        <v>12</v>
      </c>
      <c r="F81" s="819">
        <v>11</v>
      </c>
      <c r="G81" s="819">
        <v>29394.3</v>
      </c>
      <c r="H81" s="819">
        <v>3593.12</v>
      </c>
      <c r="I81" s="821">
        <f t="shared" si="2"/>
      </c>
      <c r="J81" s="821">
        <f t="shared" si="0"/>
      </c>
      <c r="K81" s="821">
        <f t="shared" si="1"/>
      </c>
      <c r="L81" s="819"/>
      <c r="M81" s="822"/>
      <c r="N81" s="819"/>
      <c r="O81" s="819"/>
      <c r="P81" s="823"/>
      <c r="Q81" s="824">
        <v>2.6458910162002947</v>
      </c>
      <c r="R81" s="824">
        <v>0.2532757658623842</v>
      </c>
      <c r="S81" s="824">
        <v>0.04239642845992944</v>
      </c>
      <c r="T81" s="824">
        <v>0.045705722581249414</v>
      </c>
      <c r="U81" s="824">
        <v>0.12090163934426229</v>
      </c>
      <c r="V81" s="824">
        <v>8112.6760563380285</v>
      </c>
      <c r="W81" s="824">
        <v>0.01775</v>
      </c>
      <c r="X81" s="824">
        <v>51</v>
      </c>
      <c r="Y81" s="824">
        <v>112.1763291811058</v>
      </c>
      <c r="Z81" s="824">
        <v>32031</v>
      </c>
      <c r="AA81" s="824">
        <v>1358</v>
      </c>
      <c r="AB81" s="824">
        <v>144</v>
      </c>
      <c r="AC81" s="824">
        <v>1464</v>
      </c>
      <c r="AD81" s="824">
        <v>177</v>
      </c>
      <c r="AE81" s="824">
        <v>15</v>
      </c>
      <c r="AF81" s="824">
        <v>4</v>
      </c>
      <c r="AG81" s="824">
        <v>16</v>
      </c>
    </row>
    <row r="82">
      <c r="A82" s="827" t="s">
        <v>1825</v>
      </c>
      <c r="B82" s="827" t="s">
        <v>1779</v>
      </c>
      <c r="C82" s="828"/>
      <c r="D82" s="828">
        <f>SUM(D80:D81)</f>
      </c>
      <c r="E82" s="828">
        <f>SUM(E80:E81)</f>
      </c>
      <c r="F82" s="828">
        <f>SUM(F80:F81)</f>
      </c>
      <c r="G82" s="829">
        <f>SUM(G80:G81)</f>
      </c>
      <c r="H82" s="828">
        <f>SUM(H80:H81)</f>
      </c>
      <c r="I82" s="830">
        <f t="shared" si="2"/>
      </c>
      <c r="J82" s="830">
        <f t="shared" si="0"/>
      </c>
      <c r="K82" s="830">
        <f t="shared" si="1"/>
      </c>
      <c r="L82" s="828"/>
      <c r="M82" s="831">
        <f>SUM(M80:M81)</f>
      </c>
      <c r="N82" s="828"/>
      <c r="O82" s="828"/>
      <c r="P82" s="828"/>
      <c r="Q82" s="832">
        <f>AVERAGE(Q80:Q81)</f>
      </c>
      <c r="R82" s="833">
        <f>AVERAGE(R80:R81)</f>
      </c>
      <c r="S82" s="833">
        <f>AVERAGE(S80:S81)</f>
      </c>
      <c r="T82" s="833">
        <f>AVERAGE(T80:T81)</f>
      </c>
      <c r="U82" s="833">
        <f>AVERAGE(U80:U81)</f>
      </c>
      <c r="V82" s="834">
        <f>SUM(V80:V81)</f>
      </c>
      <c r="W82" s="833">
        <f>AVERAGE(W80:W81)</f>
      </c>
      <c r="X82" s="834">
        <f>AVERAGE(X80:X81)</f>
      </c>
      <c r="Y82" s="832">
        <f>AVERAGE(Y80:Y81)</f>
      </c>
      <c r="Z82" s="834">
        <f>SUM(Z80:Z81)</f>
      </c>
      <c r="AA82" s="834">
        <f>SUM(AA80:AA81)</f>
      </c>
      <c r="AB82" s="834">
        <f>SUM(AB80:AB81)</f>
      </c>
      <c r="AC82" s="834">
        <f>SUM(AC80:AC81)</f>
      </c>
      <c r="AD82" s="834">
        <f>SUM(AD80:AD81)</f>
      </c>
      <c r="AE82" s="834">
        <f>SUM(AE80:AE81)</f>
      </c>
      <c r="AF82" s="834">
        <f>SUM(AF80:AF81)</f>
      </c>
      <c r="AG82" s="834">
        <f>SUM(AG80:AG81)</f>
      </c>
    </row>
    <row r="83">
      <c r="A83" s="819" t="s">
        <v>1826</v>
      </c>
      <c r="B83" s="819" t="s">
        <v>1797</v>
      </c>
      <c r="C83" s="819" t="s">
        <v>1820</v>
      </c>
      <c r="D83" s="819">
        <v>3</v>
      </c>
      <c r="E83" s="819">
        <v>3</v>
      </c>
      <c r="F83" s="819">
        <v>3</v>
      </c>
      <c r="G83" s="819">
        <v>7406.1</v>
      </c>
      <c r="H83" s="819">
        <v>2803.51</v>
      </c>
      <c r="I83" s="821">
        <f t="shared" si="2"/>
      </c>
      <c r="J83" s="821">
        <f t="shared" si="0"/>
      </c>
      <c r="K83" s="821">
        <f t="shared" si="1"/>
      </c>
      <c r="L83" s="819"/>
      <c r="M83" s="822"/>
      <c r="N83" s="819"/>
      <c r="O83" s="819"/>
      <c r="P83" s="819"/>
      <c r="Q83" s="824">
        <v>3.3899758162031444</v>
      </c>
      <c r="R83" s="824">
        <v>0.29712837690489274</v>
      </c>
      <c r="S83" s="824">
        <v>0.030959868224019166</v>
      </c>
      <c r="T83" s="824">
        <v>0.03275681341719078</v>
      </c>
      <c r="U83" s="824">
        <v>0.10857142857142857</v>
      </c>
      <c r="V83" s="824">
        <v>7936.893203883495</v>
      </c>
      <c r="W83" s="824">
        <v>0.013733333333333334</v>
      </c>
      <c r="X83" s="824">
        <v>54.666666666666664</v>
      </c>
      <c r="Y83" s="824">
        <v>104.95320455226116</v>
      </c>
      <c r="Z83" s="824">
        <v>26712</v>
      </c>
      <c r="AA83" s="824">
        <v>827</v>
      </c>
      <c r="AB83" s="824">
        <v>109</v>
      </c>
      <c r="AC83" s="824">
        <v>875</v>
      </c>
      <c r="AD83" s="824">
        <v>95</v>
      </c>
      <c r="AE83" s="824">
        <v>12</v>
      </c>
      <c r="AF83" s="824">
        <v>1</v>
      </c>
      <c r="AG83" s="824">
        <v>15</v>
      </c>
    </row>
    <row r="84">
      <c r="A84" s="819" t="s">
        <v>1826</v>
      </c>
      <c r="B84" s="819" t="s">
        <v>1781</v>
      </c>
      <c r="C84" s="819" t="s">
        <v>1778</v>
      </c>
      <c r="D84" s="819">
        <v>4</v>
      </c>
      <c r="E84" s="819">
        <v>8</v>
      </c>
      <c r="F84" s="819">
        <v>8</v>
      </c>
      <c r="G84" s="819">
        <v>21073.65</v>
      </c>
      <c r="H84" s="819">
        <v>2843.8399999999997</v>
      </c>
      <c r="I84" s="821">
        <f t="shared" si="2"/>
      </c>
      <c r="J84" s="821">
        <f t="shared" si="0"/>
      </c>
      <c r="K84" s="821">
        <f t="shared" si="1"/>
      </c>
      <c r="L84" s="819" t="s">
        <v>1816</v>
      </c>
      <c r="M84" s="822">
        <v>2.8</v>
      </c>
      <c r="N84" s="819"/>
      <c r="O84" s="819"/>
      <c r="P84" s="823"/>
      <c r="Q84" s="824">
        <v>2.580617059891107</v>
      </c>
      <c r="R84" s="824">
        <v>0.24879974468960778</v>
      </c>
      <c r="S84" s="824">
        <v>0.04548268603739321</v>
      </c>
      <c r="T84" s="824">
        <v>0.048371785876429076</v>
      </c>
      <c r="U84" s="824">
        <v>0.09556313993174062</v>
      </c>
      <c r="V84" s="824">
        <v>6028.169014084507</v>
      </c>
      <c r="W84" s="824">
        <v>0.017750000000000002</v>
      </c>
      <c r="X84" s="824">
        <v>53.25</v>
      </c>
      <c r="Y84" s="824">
        <v>117.37339551776795</v>
      </c>
      <c r="Z84" s="824">
        <v>24229</v>
      </c>
      <c r="AA84" s="824">
        <v>1102</v>
      </c>
      <c r="AB84" s="824">
        <v>107</v>
      </c>
      <c r="AC84" s="824">
        <v>1172</v>
      </c>
      <c r="AD84" s="824">
        <v>112</v>
      </c>
      <c r="AE84" s="824">
        <v>12</v>
      </c>
      <c r="AF84" s="824">
        <v>3</v>
      </c>
      <c r="AG84" s="824">
        <v>9</v>
      </c>
    </row>
    <row r="85">
      <c r="A85" s="827" t="s">
        <v>1826</v>
      </c>
      <c r="B85" s="827" t="s">
        <v>1779</v>
      </c>
      <c r="C85" s="828"/>
      <c r="D85" s="828">
        <f>SUM(D83:D84)</f>
      </c>
      <c r="E85" s="828">
        <f>SUM(E83:E84)</f>
      </c>
      <c r="F85" s="828">
        <f>SUM(F83:F84)</f>
      </c>
      <c r="G85" s="829">
        <f>SUM(G83:G84)</f>
      </c>
      <c r="H85" s="828">
        <f>SUM(H83:H84)</f>
      </c>
      <c r="I85" s="830">
        <f t="shared" si="2"/>
      </c>
      <c r="J85" s="830">
        <f t="shared" si="0"/>
      </c>
      <c r="K85" s="830">
        <f t="shared" si="1"/>
      </c>
      <c r="L85" s="828"/>
      <c r="M85" s="831">
        <f>SUM(M83:M84)</f>
      </c>
      <c r="N85" s="828"/>
      <c r="O85" s="828"/>
      <c r="P85" s="828"/>
      <c r="Q85" s="832">
        <f>AVERAGE(Q83:Q84)</f>
      </c>
      <c r="R85" s="833">
        <f>AVERAGE(R83:R84)</f>
      </c>
      <c r="S85" s="833">
        <f>AVERAGE(S83:S84)</f>
      </c>
      <c r="T85" s="833">
        <f>AVERAGE(T83:T84)</f>
      </c>
      <c r="U85" s="833">
        <f>AVERAGE(U83:U84)</f>
      </c>
      <c r="V85" s="834">
        <f>SUM(V83:V84)</f>
      </c>
      <c r="W85" s="833">
        <f>AVERAGE(W83:W84)</f>
      </c>
      <c r="X85" s="834">
        <f>AVERAGE(X83:X84)</f>
      </c>
      <c r="Y85" s="832">
        <f>AVERAGE(Y83:Y84)</f>
      </c>
      <c r="Z85" s="834">
        <f>SUM(Z83:Z84)</f>
      </c>
      <c r="AA85" s="834">
        <f>SUM(AA83:AA84)</f>
      </c>
      <c r="AB85" s="834">
        <f>SUM(AB83:AB84)</f>
      </c>
      <c r="AC85" s="834">
        <f>SUM(AC83:AC84)</f>
      </c>
      <c r="AD85" s="834">
        <f>SUM(AD83:AD84)</f>
      </c>
      <c r="AE85" s="834">
        <f>SUM(AE83:AE84)</f>
      </c>
      <c r="AF85" s="834">
        <f>SUM(AF83:AF84)</f>
      </c>
      <c r="AG85" s="834">
        <f>SUM(AG83:AG84)</f>
      </c>
    </row>
    <row r="86">
      <c r="A86" s="819" t="s">
        <v>1827</v>
      </c>
      <c r="B86" s="819" t="s">
        <v>1797</v>
      </c>
      <c r="C86" s="819" t="s">
        <v>1799</v>
      </c>
      <c r="D86" s="819">
        <v>4</v>
      </c>
      <c r="E86" s="819">
        <v>4</v>
      </c>
      <c r="F86" s="819">
        <v>5</v>
      </c>
      <c r="G86" s="819">
        <v>12758.85</v>
      </c>
      <c r="H86" s="819">
        <v>3494.55</v>
      </c>
      <c r="I86" s="821">
        <f t="shared" si="2"/>
      </c>
      <c r="J86" s="821">
        <f t="shared" si="0"/>
      </c>
      <c r="K86" s="821">
        <f t="shared" si="1"/>
      </c>
      <c r="L86" s="819"/>
      <c r="M86" s="822"/>
      <c r="N86" s="823"/>
      <c r="O86" s="819"/>
      <c r="P86" s="823"/>
      <c r="Q86" s="824">
        <v>3.422673849167483</v>
      </c>
      <c r="R86" s="824">
        <v>0.3177710028663701</v>
      </c>
      <c r="S86" s="824">
        <v>0.03386064404868504</v>
      </c>
      <c r="T86" s="824">
        <v>0.0353198686697841</v>
      </c>
      <c r="U86" s="824">
        <v>0.14929577464788732</v>
      </c>
      <c r="V86" s="824">
        <v>9581.749049429658</v>
      </c>
      <c r="W86" s="824">
        <v>0.01315</v>
      </c>
      <c r="X86" s="824">
        <v>58.25</v>
      </c>
      <c r="Y86" s="824">
        <v>115.89394090140286</v>
      </c>
      <c r="Z86" s="824">
        <v>30153</v>
      </c>
      <c r="AA86" s="824">
        <v>1021</v>
      </c>
      <c r="AB86" s="824">
        <v>126</v>
      </c>
      <c r="AC86" s="824">
        <v>1065</v>
      </c>
      <c r="AD86" s="824">
        <v>159</v>
      </c>
      <c r="AE86" s="824">
        <v>11</v>
      </c>
      <c r="AF86" s="824">
        <v>3</v>
      </c>
      <c r="AG86" s="824">
        <v>9</v>
      </c>
    </row>
    <row r="87">
      <c r="A87" s="819" t="s">
        <v>1827</v>
      </c>
      <c r="B87" s="819" t="s">
        <v>1781</v>
      </c>
      <c r="C87" s="819" t="s">
        <v>1801</v>
      </c>
      <c r="D87" s="819">
        <v>3</v>
      </c>
      <c r="E87" s="819">
        <v>8</v>
      </c>
      <c r="F87" s="819">
        <v>7</v>
      </c>
      <c r="G87" s="819">
        <v>16935.75</v>
      </c>
      <c r="H87" s="819">
        <v>3168.46</v>
      </c>
      <c r="I87" s="821">
        <f t="shared" si="2"/>
      </c>
      <c r="J87" s="821">
        <f t="shared" si="0"/>
      </c>
      <c r="K87" s="821">
        <f t="shared" si="1"/>
      </c>
      <c r="L87" s="819" t="s">
        <v>1816</v>
      </c>
      <c r="M87" s="822">
        <v>2.8</v>
      </c>
      <c r="N87" s="819"/>
      <c r="O87" s="819"/>
      <c r="P87" s="823"/>
      <c r="Q87" s="824">
        <v>3.0378331735378716</v>
      </c>
      <c r="R87" s="824">
        <v>0.11526822748260418</v>
      </c>
      <c r="S87" s="824">
        <v>0.0310361245015771</v>
      </c>
      <c r="T87" s="824">
        <v>0.033595191334880675</v>
      </c>
      <c r="U87" s="824">
        <v>0.13640389725420726</v>
      </c>
      <c r="V87" s="824">
        <v>3873.704052780396</v>
      </c>
      <c r="W87" s="824">
        <v>0.035366666666666664</v>
      </c>
      <c r="X87" s="824">
        <v>55.333333333333336</v>
      </c>
      <c r="Y87" s="824">
        <v>94.28256858894245</v>
      </c>
      <c r="Z87" s="824">
        <v>33606</v>
      </c>
      <c r="AA87" s="824">
        <v>1043</v>
      </c>
      <c r="AB87" s="824">
        <v>137</v>
      </c>
      <c r="AC87" s="824">
        <v>1129</v>
      </c>
      <c r="AD87" s="824">
        <v>154</v>
      </c>
      <c r="AE87" s="824">
        <v>9</v>
      </c>
      <c r="AF87" s="824">
        <v>4</v>
      </c>
      <c r="AG87" s="824">
        <v>16</v>
      </c>
    </row>
    <row r="88">
      <c r="A88" s="827" t="s">
        <v>1827</v>
      </c>
      <c r="B88" s="827" t="s">
        <v>1779</v>
      </c>
      <c r="C88" s="828"/>
      <c r="D88" s="828">
        <f>SUM(D86:D87)</f>
      </c>
      <c r="E88" s="828">
        <f>SUM(E86:E87)</f>
      </c>
      <c r="F88" s="828">
        <f>SUM(F86:F87)</f>
      </c>
      <c r="G88" s="829">
        <f>SUM(G86:G87)</f>
      </c>
      <c r="H88" s="828">
        <f>SUM(H86:H87)</f>
      </c>
      <c r="I88" s="830">
        <f t="shared" si="2"/>
      </c>
      <c r="J88" s="830">
        <f t="shared" si="0"/>
      </c>
      <c r="K88" s="830">
        <f t="shared" si="1"/>
      </c>
      <c r="L88" s="828"/>
      <c r="M88" s="831">
        <f>SUM(M86:M87)</f>
      </c>
      <c r="N88" s="828"/>
      <c r="O88" s="828"/>
      <c r="P88" s="828"/>
      <c r="Q88" s="832">
        <f>AVERAGE(Q86:Q87)</f>
      </c>
      <c r="R88" s="833">
        <f>AVERAGE(R86:R87)</f>
      </c>
      <c r="S88" s="833">
        <f>AVERAGE(S86:S87)</f>
      </c>
      <c r="T88" s="833">
        <f>AVERAGE(T86:T87)</f>
      </c>
      <c r="U88" s="833">
        <f>AVERAGE(U86:U87)</f>
      </c>
      <c r="V88" s="834">
        <f>SUM(V86:V87)</f>
      </c>
      <c r="W88" s="833">
        <f>AVERAGE(W86:W87)</f>
      </c>
      <c r="X88" s="834">
        <f>AVERAGE(X86:X87)</f>
      </c>
      <c r="Y88" s="832">
        <f>AVERAGE(Y86:Y87)</f>
      </c>
      <c r="Z88" s="834">
        <f>SUM(Z86:Z87)</f>
      </c>
      <c r="AA88" s="834">
        <f>SUM(AA86:AA87)</f>
      </c>
      <c r="AB88" s="834">
        <f>SUM(AB86:AB87)</f>
      </c>
      <c r="AC88" s="834">
        <f>SUM(AC86:AC87)</f>
      </c>
      <c r="AD88" s="834">
        <f>SUM(AD86:AD87)</f>
      </c>
      <c r="AE88" s="834">
        <f>SUM(AE86:AE87)</f>
      </c>
      <c r="AF88" s="834">
        <f>SUM(AF86:AF87)</f>
      </c>
      <c r="AG88" s="834">
        <f>SUM(AG86:AG87)</f>
      </c>
    </row>
    <row r="89">
      <c r="A89" s="819" t="s">
        <v>1828</v>
      </c>
      <c r="B89" s="819" t="s">
        <v>1797</v>
      </c>
      <c r="C89" s="819" t="s">
        <v>1823</v>
      </c>
      <c r="D89" s="819">
        <v>5</v>
      </c>
      <c r="E89" s="819">
        <v>5</v>
      </c>
      <c r="F89" s="819">
        <v>5</v>
      </c>
      <c r="G89" s="819">
        <v>10450.05</v>
      </c>
      <c r="H89" s="819">
        <v>6979.31</v>
      </c>
      <c r="I89" s="821">
        <f t="shared" si="2"/>
      </c>
      <c r="J89" s="821">
        <f t="shared" si="0"/>
      </c>
      <c r="K89" s="821">
        <f t="shared" si="1"/>
      </c>
      <c r="L89" s="819"/>
      <c r="M89" s="822"/>
      <c r="N89" s="823"/>
      <c r="O89" s="819"/>
      <c r="P89" s="823"/>
      <c r="Q89" s="824">
        <v>3.4774838066766316</v>
      </c>
      <c r="R89" s="824">
        <v>0.24014748962568588</v>
      </c>
      <c r="S89" s="824">
        <v>0.02974875861557845</v>
      </c>
      <c r="T89" s="824">
        <v>0.03126065367227451</v>
      </c>
      <c r="U89" s="824">
        <v>0.0687529634898056</v>
      </c>
      <c r="V89" s="824">
        <v>16201.550387596899</v>
      </c>
      <c r="W89" s="824">
        <v>0.0129</v>
      </c>
      <c r="X89" s="824">
        <v>52</v>
      </c>
      <c r="Y89" s="824">
        <v>103.45082635440599</v>
      </c>
      <c r="Z89" s="824">
        <v>67465</v>
      </c>
      <c r="AA89" s="824">
        <v>2007</v>
      </c>
      <c r="AB89" s="824">
        <v>209</v>
      </c>
      <c r="AC89" s="824">
        <v>2109</v>
      </c>
      <c r="AD89" s="824">
        <v>145</v>
      </c>
      <c r="AE89" s="824">
        <v>8</v>
      </c>
      <c r="AF89" s="824">
        <v>6</v>
      </c>
      <c r="AG89" s="824">
        <v>24</v>
      </c>
    </row>
    <row r="90">
      <c r="A90" s="819" t="s">
        <v>1828</v>
      </c>
      <c r="B90" s="819" t="s">
        <v>1781</v>
      </c>
      <c r="C90" s="819" t="s">
        <v>1824</v>
      </c>
      <c r="D90" s="819">
        <v>2</v>
      </c>
      <c r="E90" s="819">
        <v>6</v>
      </c>
      <c r="F90" s="819">
        <v>6</v>
      </c>
      <c r="G90" s="819">
        <v>17277</v>
      </c>
      <c r="H90" s="819">
        <v>2151.87</v>
      </c>
      <c r="I90" s="821">
        <f t="shared" si="2"/>
      </c>
      <c r="J90" s="821">
        <f t="shared" si="0"/>
      </c>
      <c r="K90" s="821">
        <f t="shared" si="1"/>
      </c>
      <c r="L90" s="819" t="s">
        <v>1776</v>
      </c>
      <c r="M90" s="822">
        <v>7</v>
      </c>
      <c r="N90" s="819"/>
      <c r="O90" s="819"/>
      <c r="P90" s="823"/>
      <c r="Q90" s="824">
        <v>2.872990654205607</v>
      </c>
      <c r="R90" s="824">
        <v>0.11611280856978877</v>
      </c>
      <c r="S90" s="824">
        <v>0.0433148276659727</v>
      </c>
      <c r="T90" s="824">
        <v>0.04551237566504742</v>
      </c>
      <c r="U90" s="824">
        <v>0.1156289707750953</v>
      </c>
      <c r="V90" s="824">
        <v>2007.8226857887873</v>
      </c>
      <c r="W90" s="824">
        <v>0.03835</v>
      </c>
      <c r="X90" s="824">
        <v>46.5</v>
      </c>
      <c r="Y90" s="824">
        <v>124.44309507286606</v>
      </c>
      <c r="Z90" s="824">
        <v>17292</v>
      </c>
      <c r="AA90" s="824">
        <v>749</v>
      </c>
      <c r="AB90" s="824">
        <v>77</v>
      </c>
      <c r="AC90" s="824">
        <v>787</v>
      </c>
      <c r="AD90" s="824">
        <v>91</v>
      </c>
      <c r="AE90" s="824">
        <v>4</v>
      </c>
      <c r="AF90" s="824">
        <v>2</v>
      </c>
      <c r="AG90" s="824">
        <v>9</v>
      </c>
    </row>
    <row r="91">
      <c r="A91" s="827" t="s">
        <v>1828</v>
      </c>
      <c r="B91" s="827" t="s">
        <v>1779</v>
      </c>
      <c r="C91" s="828"/>
      <c r="D91" s="828">
        <f>SUM(D89:D90)</f>
      </c>
      <c r="E91" s="828">
        <f>SUM(E89:E90)</f>
      </c>
      <c r="F91" s="828">
        <f>SUM(F89:F90)</f>
      </c>
      <c r="G91" s="829">
        <f>SUM(G89:G90)</f>
      </c>
      <c r="H91" s="828">
        <f>SUM(H89:H90)</f>
      </c>
      <c r="I91" s="830">
        <f t="shared" si="2"/>
      </c>
      <c r="J91" s="830">
        <f t="shared" si="0"/>
      </c>
      <c r="K91" s="830">
        <f t="shared" si="1"/>
      </c>
      <c r="L91" s="828"/>
      <c r="M91" s="831">
        <f>SUM(M89:M90)</f>
      </c>
      <c r="N91" s="828"/>
      <c r="O91" s="828"/>
      <c r="P91" s="828"/>
      <c r="Q91" s="832">
        <f>AVERAGE(Q89:Q90)</f>
      </c>
      <c r="R91" s="833">
        <f>AVERAGE(R89:R90)</f>
      </c>
      <c r="S91" s="833">
        <f>AVERAGE(S89:S90)</f>
      </c>
      <c r="T91" s="833">
        <f>AVERAGE(T89:T90)</f>
      </c>
      <c r="U91" s="833">
        <f>AVERAGE(U89:U90)</f>
      </c>
      <c r="V91" s="834">
        <f>SUM(V89:V90)</f>
      </c>
      <c r="W91" s="833">
        <f>AVERAGE(W89:W90)</f>
      </c>
      <c r="X91" s="834">
        <f>AVERAGE(X89:X90)</f>
      </c>
      <c r="Y91" s="832">
        <f>AVERAGE(Y89:Y90)</f>
      </c>
      <c r="Z91" s="834">
        <f>SUM(Z89:Z90)</f>
      </c>
      <c r="AA91" s="834">
        <f>SUM(AA89:AA90)</f>
      </c>
      <c r="AB91" s="834">
        <f>SUM(AB89:AB90)</f>
      </c>
      <c r="AC91" s="834">
        <f>SUM(AC89:AC90)</f>
      </c>
      <c r="AD91" s="834">
        <f>SUM(AD89:AD90)</f>
      </c>
      <c r="AE91" s="834">
        <f>SUM(AE89:AE90)</f>
      </c>
      <c r="AF91" s="834">
        <f>SUM(AF89:AF90)</f>
      </c>
      <c r="AG91" s="834">
        <f>SUM(AG89:AG90)</f>
      </c>
    </row>
    <row r="92">
      <c r="A92" s="819" t="s">
        <v>1829</v>
      </c>
      <c r="B92" s="819" t="s">
        <v>1797</v>
      </c>
      <c r="C92" s="819" t="s">
        <v>1799</v>
      </c>
      <c r="D92" s="819">
        <v>4</v>
      </c>
      <c r="E92" s="819">
        <v>5</v>
      </c>
      <c r="F92" s="819">
        <v>9</v>
      </c>
      <c r="G92" s="819">
        <v>24648</v>
      </c>
      <c r="H92" s="819">
        <v>4598.95</v>
      </c>
      <c r="I92" s="821">
        <f t="shared" si="2"/>
      </c>
      <c r="J92" s="821">
        <f t="shared" si="0"/>
      </c>
      <c r="K92" s="821">
        <f t="shared" si="1"/>
      </c>
      <c r="L92" s="819"/>
      <c r="M92" s="822"/>
      <c r="N92" s="823"/>
      <c r="O92" s="819"/>
      <c r="P92" s="823"/>
      <c r="Q92" s="824">
        <v>3.9273697694278393</v>
      </c>
      <c r="R92" s="824">
        <v>0.24387864598575748</v>
      </c>
      <c r="S92" s="824">
        <v>0.028990889285006934</v>
      </c>
      <c r="T92" s="824">
        <v>0.030377302436125967</v>
      </c>
      <c r="U92" s="824">
        <v>0.06682966585167074</v>
      </c>
      <c r="V92" s="824">
        <v>9850.746268656716</v>
      </c>
      <c r="W92" s="824">
        <v>0.01675</v>
      </c>
      <c r="X92" s="824">
        <v>54</v>
      </c>
      <c r="Y92" s="824">
        <v>113.85794216676568</v>
      </c>
      <c r="Z92" s="824">
        <v>40392</v>
      </c>
      <c r="AA92" s="824">
        <v>1171</v>
      </c>
      <c r="AB92" s="824">
        <v>165</v>
      </c>
      <c r="AC92" s="824">
        <v>1227</v>
      </c>
      <c r="AD92" s="824">
        <v>82</v>
      </c>
      <c r="AE92" s="824">
        <v>9</v>
      </c>
      <c r="AF92" s="824">
        <v>4</v>
      </c>
      <c r="AG92" s="824">
        <v>23</v>
      </c>
    </row>
    <row r="93">
      <c r="A93" s="819" t="s">
        <v>1829</v>
      </c>
      <c r="B93" s="819" t="s">
        <v>1781</v>
      </c>
      <c r="C93" s="819" t="s">
        <v>1801</v>
      </c>
      <c r="D93" s="819">
        <v>3</v>
      </c>
      <c r="E93" s="819">
        <v>13</v>
      </c>
      <c r="F93" s="819">
        <v>9</v>
      </c>
      <c r="G93" s="819">
        <v>20944.95</v>
      </c>
      <c r="H93" s="819">
        <v>4328.26</v>
      </c>
      <c r="I93" s="821">
        <f t="shared" si="2"/>
      </c>
      <c r="J93" s="821">
        <f t="shared" si="0"/>
      </c>
      <c r="K93" s="821">
        <f t="shared" si="1"/>
      </c>
      <c r="L93" s="819" t="s">
        <v>1776</v>
      </c>
      <c r="M93" s="822">
        <v>7</v>
      </c>
      <c r="N93" s="819"/>
      <c r="O93" s="819"/>
      <c r="P93" s="823"/>
      <c r="Q93" s="824">
        <v>3.631090604026846</v>
      </c>
      <c r="R93" s="824">
        <v>0.1467531956119816</v>
      </c>
      <c r="S93" s="824">
        <v>0.03309088890122703</v>
      </c>
      <c r="T93" s="824">
        <v>0.03553384043084781</v>
      </c>
      <c r="U93" s="824">
        <v>0.1109375</v>
      </c>
      <c r="V93" s="824">
        <v>5286.343612334802</v>
      </c>
      <c r="W93" s="824">
        <v>0.030266666666666664</v>
      </c>
      <c r="X93" s="824">
        <v>58.666666666666664</v>
      </c>
      <c r="Y93" s="824">
        <v>120.1560157681417</v>
      </c>
      <c r="Z93" s="824">
        <v>36022</v>
      </c>
      <c r="AA93" s="824">
        <v>1192</v>
      </c>
      <c r="AB93" s="824">
        <v>160</v>
      </c>
      <c r="AC93" s="824">
        <v>1280</v>
      </c>
      <c r="AD93" s="824">
        <v>142</v>
      </c>
      <c r="AE93" s="824">
        <v>16</v>
      </c>
      <c r="AF93" s="824">
        <v>8</v>
      </c>
      <c r="AG93" s="824">
        <v>17</v>
      </c>
    </row>
    <row r="94">
      <c r="A94" s="827" t="s">
        <v>1829</v>
      </c>
      <c r="B94" s="827" t="s">
        <v>1779</v>
      </c>
      <c r="C94" s="828"/>
      <c r="D94" s="828">
        <f>SUM(D92:D93)</f>
      </c>
      <c r="E94" s="828">
        <f>SUM(E92:E93)</f>
      </c>
      <c r="F94" s="828">
        <f>SUM(F92:F93)</f>
      </c>
      <c r="G94" s="829">
        <f>SUM(G92:G93)</f>
      </c>
      <c r="H94" s="828">
        <f>SUM(H92:H93)</f>
      </c>
      <c r="I94" s="830">
        <f t="shared" si="2"/>
      </c>
      <c r="J94" s="830">
        <f t="shared" si="0"/>
      </c>
      <c r="K94" s="830">
        <f t="shared" si="1"/>
      </c>
      <c r="L94" s="828"/>
      <c r="M94" s="831">
        <f>SUM(M92:M93)</f>
      </c>
      <c r="N94" s="828"/>
      <c r="O94" s="828"/>
      <c r="P94" s="828"/>
      <c r="Q94" s="832">
        <f>AVERAGE(Q92:Q93)</f>
      </c>
      <c r="R94" s="833">
        <f>AVERAGE(R92:R93)</f>
      </c>
      <c r="S94" s="833">
        <f>AVERAGE(S92:S93)</f>
      </c>
      <c r="T94" s="833">
        <f>AVERAGE(T92:T93)</f>
      </c>
      <c r="U94" s="833">
        <f>AVERAGE(U92:U93)</f>
      </c>
      <c r="V94" s="834">
        <f>SUM(V92:V93)</f>
      </c>
      <c r="W94" s="833">
        <f>AVERAGE(W92:W93)</f>
      </c>
      <c r="X94" s="834">
        <f>AVERAGE(X92:X93)</f>
      </c>
      <c r="Y94" s="832">
        <f>AVERAGE(Y92:Y93)</f>
      </c>
      <c r="Z94" s="834">
        <f>SUM(Z92:Z93)</f>
      </c>
      <c r="AA94" s="834">
        <f>SUM(AA92:AA93)</f>
      </c>
      <c r="AB94" s="834">
        <f>SUM(AB92:AB93)</f>
      </c>
      <c r="AC94" s="834">
        <f>SUM(AC92:AC93)</f>
      </c>
      <c r="AD94" s="834">
        <f>SUM(AD92:AD93)</f>
      </c>
      <c r="AE94" s="834">
        <f>SUM(AE92:AE93)</f>
      </c>
      <c r="AF94" s="834">
        <f>SUM(AF92:AF93)</f>
      </c>
      <c r="AG94" s="834">
        <f>SUM(AG92:AG93)</f>
      </c>
    </row>
    <row r="95">
      <c r="D95" s="835"/>
      <c r="E95" s="835"/>
      <c r="F95" s="835"/>
      <c r="G95" s="836"/>
      <c r="H95" s="835"/>
      <c r="M95" s="837"/>
    </row>
    <row r="96">
      <c r="D96" s="835"/>
      <c r="E96" s="835"/>
      <c r="F96" s="835"/>
      <c r="G96" s="836"/>
      <c r="H96" s="835"/>
      <c r="M96" s="837"/>
    </row>
    <row r="97">
      <c r="E97" s="835"/>
      <c r="F97" s="835"/>
      <c r="G97" s="836"/>
      <c r="H97" s="835"/>
      <c r="M97" s="837"/>
    </row>
    <row r="98">
      <c r="E98" s="835"/>
      <c r="F98" s="835"/>
      <c r="G98" s="836"/>
      <c r="H98" s="835"/>
      <c r="M98" s="837"/>
    </row>
    <row r="99">
      <c r="E99" s="835"/>
      <c r="F99" s="835"/>
      <c r="G99" s="836"/>
      <c r="H99" s="835"/>
      <c r="M99" s="837"/>
    </row>
    <row r="100">
      <c r="E100" s="835"/>
      <c r="F100" s="835"/>
      <c r="G100" s="836"/>
      <c r="H100" s="835"/>
      <c r="M100" s="837"/>
    </row>
    <row r="101">
      <c r="E101" s="835"/>
      <c r="F101" s="835"/>
      <c r="G101" s="838"/>
      <c r="H101" s="835"/>
      <c r="M101" s="837"/>
    </row>
    <row r="102">
      <c r="E102" s="835"/>
      <c r="F102" s="835"/>
      <c r="G102" s="838"/>
      <c r="H102" s="835"/>
      <c r="M102" s="837"/>
    </row>
    <row r="103">
      <c r="E103" s="835"/>
      <c r="F103" s="835"/>
      <c r="G103" s="838"/>
      <c r="H103" s="835"/>
      <c r="M103" s="837"/>
    </row>
    <row r="104">
      <c r="E104" s="835"/>
      <c r="F104" s="839"/>
      <c r="G104" s="839"/>
    </row>
    <row r="105">
      <c r="E105" s="835"/>
      <c r="F105" s="839"/>
      <c r="G105" s="839"/>
    </row>
    <row r="106">
      <c r="F106" s="839"/>
    </row>
    <row r="107">
      <c r="F107" s="839"/>
    </row>
    <row r="108">
      <c r="F108" s="839"/>
    </row>
    <row r="109">
      <c r="F109" s="839"/>
    </row>
    <row r="110">
      <c r="F110" s="839"/>
    </row>
    <row r="111">
      <c r="F111" s="839"/>
    </row>
    <row r="112">
      <c r="F112" s="839"/>
    </row>
    <row r="113">
      <c r="F113" s="840"/>
    </row>
  </sheetData>
  <autoFilter ref="A1:AG112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841" t="s">
        <v>1830</v>
      </c>
      <c r="B1" s="842" t="s">
        <v>1831</v>
      </c>
      <c r="C1" s="842" t="s">
        <v>1832</v>
      </c>
      <c r="D1" s="842" t="s">
        <v>1833</v>
      </c>
      <c r="E1" s="842" t="s">
        <v>1834</v>
      </c>
      <c r="F1" s="842" t="s">
        <v>1835</v>
      </c>
      <c r="G1" s="842" t="s">
        <v>1836</v>
      </c>
      <c r="H1" s="842" t="s">
        <v>1837</v>
      </c>
      <c r="I1" s="843" t="s">
        <v>1838</v>
      </c>
      <c r="J1" s="843" t="s">
        <v>1839</v>
      </c>
      <c r="K1" s="843" t="s">
        <v>1840</v>
      </c>
      <c r="L1" s="842" t="s">
        <v>1841</v>
      </c>
      <c r="M1" s="844" t="s">
        <v>1842</v>
      </c>
      <c r="N1" s="842" t="s">
        <v>1843</v>
      </c>
      <c r="O1" s="842" t="s">
        <v>1844</v>
      </c>
      <c r="P1" s="842"/>
      <c r="Q1" s="842" t="s">
        <v>1845</v>
      </c>
      <c r="R1" s="845" t="s">
        <v>1846</v>
      </c>
      <c r="S1" s="845" t="s">
        <v>1847</v>
      </c>
      <c r="T1" s="845" t="s">
        <v>1848</v>
      </c>
      <c r="U1" s="845" t="s">
        <v>1849</v>
      </c>
      <c r="V1" s="844" t="s">
        <v>1850</v>
      </c>
      <c r="W1" s="845" t="s">
        <v>1851</v>
      </c>
      <c r="X1" s="844" t="s">
        <v>1852</v>
      </c>
      <c r="Y1" s="846" t="s">
        <v>1853</v>
      </c>
      <c r="Z1" s="847" t="s">
        <v>1854</v>
      </c>
      <c r="AA1" s="844" t="s">
        <v>1855</v>
      </c>
      <c r="AB1" s="844" t="s">
        <v>1856</v>
      </c>
      <c r="AC1" s="844" t="s">
        <v>1857</v>
      </c>
      <c r="AD1" s="844" t="s">
        <v>1858</v>
      </c>
      <c r="AE1" s="844" t="s">
        <v>1859</v>
      </c>
      <c r="AF1" s="844" t="s">
        <v>1860</v>
      </c>
      <c r="AG1" s="844" t="s">
        <v>1861</v>
      </c>
    </row>
    <row r="2">
      <c r="A2" s="848" t="s">
        <v>1862</v>
      </c>
      <c r="B2" s="848" t="s">
        <v>1863</v>
      </c>
      <c r="C2" s="848" t="s">
        <v>1864</v>
      </c>
      <c r="D2" s="848">
        <v>4</v>
      </c>
      <c r="E2" s="848">
        <v>27</v>
      </c>
      <c r="F2" s="848">
        <v>27</v>
      </c>
      <c r="G2" s="848">
        <v>40368.15</v>
      </c>
      <c r="H2" s="849">
        <v>14256.3</v>
      </c>
      <c r="I2" s="850">
        <f t="shared" ref="I2:I94" si="0">G2/H2</f>
      </c>
      <c r="J2" s="850">
        <f t="shared" ref="J2:J94" si="1">G2/F2</f>
      </c>
      <c r="K2" s="850">
        <f t="shared" ref="K2:K94" si="2">H2/F2</f>
      </c>
      <c r="L2" s="848" t="s">
        <v>1865</v>
      </c>
      <c r="M2" s="851">
        <v>8</v>
      </c>
      <c r="N2" s="852"/>
      <c r="O2" s="848"/>
      <c r="P2" s="852"/>
      <c r="Q2" s="853">
        <v>3.84681597409606</v>
      </c>
      <c r="R2" s="854">
        <v>0.15566956130409318</v>
      </c>
      <c r="S2" s="854">
        <v>0.018098089103543925</v>
      </c>
      <c r="T2" s="854">
        <v>0.019387321570714888</v>
      </c>
      <c r="U2" s="854">
        <v>0.10302267002518892</v>
      </c>
      <c r="V2" s="855">
        <v>31876.923076923074</v>
      </c>
      <c r="W2" s="854">
        <v>0.024375</v>
      </c>
      <c r="X2" s="855">
        <v>69.75</v>
      </c>
      <c r="Y2" s="853">
        <v>69.62001826412661</v>
      </c>
      <c r="Z2" s="855">
        <v>204773</v>
      </c>
      <c r="AA2" s="855">
        <v>3706</v>
      </c>
      <c r="AB2" s="855">
        <v>777</v>
      </c>
      <c r="AC2" s="855">
        <v>3970</v>
      </c>
      <c r="AD2" s="855">
        <v>409</v>
      </c>
      <c r="AE2" s="855">
        <v>59</v>
      </c>
      <c r="AF2" s="855">
        <v>19</v>
      </c>
      <c r="AG2" s="855">
        <v>141</v>
      </c>
    </row>
    <row r="3">
      <c r="A3" s="848" t="s">
        <v>1862</v>
      </c>
      <c r="B3" s="848" t="s">
        <v>1866</v>
      </c>
      <c r="C3" s="848" t="s">
        <v>1867</v>
      </c>
      <c r="D3" s="848">
        <v>4</v>
      </c>
      <c r="E3" s="848">
        <v>18</v>
      </c>
      <c r="F3" s="848">
        <v>18</v>
      </c>
      <c r="G3" s="848">
        <v>29667.1</v>
      </c>
      <c r="H3" s="849">
        <v>8403.12</v>
      </c>
      <c r="I3" s="850">
        <f t="shared" si="0"/>
      </c>
      <c r="J3" s="850">
        <f t="shared" si="1"/>
      </c>
      <c r="K3" s="850">
        <f t="shared" si="2"/>
      </c>
      <c r="L3" s="848"/>
      <c r="M3" s="848"/>
      <c r="N3" s="848"/>
      <c r="O3" s="848"/>
      <c r="P3" s="852"/>
      <c r="Q3" s="853">
        <v>2.7318335500650197</v>
      </c>
      <c r="R3" s="854">
        <v>0.27664950130511967</v>
      </c>
      <c r="S3" s="854">
        <v>0.03414401314255903</v>
      </c>
      <c r="T3" s="854">
        <v>0.03711884913807457</v>
      </c>
      <c r="U3" s="854">
        <v>0.09659090909090909</v>
      </c>
      <c r="V3" s="855">
        <v>24923.076923076926</v>
      </c>
      <c r="W3" s="854">
        <v>0.013</v>
      </c>
      <c r="X3" s="855">
        <v>63.25</v>
      </c>
      <c r="Y3" s="853">
        <v>93.27576063670372</v>
      </c>
      <c r="Z3" s="855">
        <v>90089</v>
      </c>
      <c r="AA3" s="855">
        <v>3076</v>
      </c>
      <c r="AB3" s="855">
        <v>324</v>
      </c>
      <c r="AC3" s="855">
        <v>3344</v>
      </c>
      <c r="AD3" s="855">
        <v>323</v>
      </c>
      <c r="AE3" s="855">
        <v>26</v>
      </c>
      <c r="AF3" s="855">
        <v>11</v>
      </c>
      <c r="AG3" s="855">
        <v>18</v>
      </c>
    </row>
    <row r="4">
      <c r="A4" s="856" t="s">
        <v>1862</v>
      </c>
      <c r="B4" s="856" t="s">
        <v>1868</v>
      </c>
      <c r="C4" s="857"/>
      <c r="D4" s="857">
        <f>SUM(D3)</f>
      </c>
      <c r="E4" s="857">
        <f>SUM(E3)</f>
      </c>
      <c r="F4" s="857">
        <f>SUM(F3)</f>
      </c>
      <c r="G4" s="857">
        <f>SUM(G3)</f>
      </c>
      <c r="H4" s="857">
        <f>SUM(H3)</f>
      </c>
      <c r="I4" s="858">
        <f t="shared" si="0"/>
      </c>
      <c r="J4" s="858">
        <f t="shared" si="1"/>
      </c>
      <c r="K4" s="858">
        <f t="shared" si="2"/>
      </c>
      <c r="L4" s="857"/>
      <c r="M4" s="857">
        <f>SUM(M3)</f>
      </c>
      <c r="N4" s="857"/>
      <c r="O4" s="857"/>
      <c r="P4" s="857"/>
      <c r="Q4" s="859">
        <f>AVERAGE(Q3)</f>
      </c>
      <c r="R4" s="860">
        <f>AVERAGE(R3)</f>
      </c>
      <c r="S4" s="860">
        <f>AVERAGE(S3)</f>
      </c>
      <c r="T4" s="860">
        <f>AVERAGE(T3)</f>
      </c>
      <c r="U4" s="860">
        <f>AVERAGE(U3)</f>
      </c>
      <c r="V4" s="861">
        <f>SUM(V3)</f>
      </c>
      <c r="W4" s="860">
        <f>AVERAGE(W3)</f>
      </c>
      <c r="X4" s="861">
        <f>AVERAGE(X3)</f>
      </c>
      <c r="Y4" s="859">
        <f>AVERAGE(Y3)</f>
      </c>
      <c r="Z4" s="861">
        <f>SUM(Z3)</f>
      </c>
      <c r="AA4" s="861">
        <f>SUM(AA3)</f>
      </c>
      <c r="AB4" s="861">
        <f>SUM(AB3)</f>
      </c>
      <c r="AC4" s="861">
        <f>SUM(AC3)</f>
      </c>
      <c r="AD4" s="861">
        <f>SUM(AD3)</f>
      </c>
      <c r="AE4" s="861">
        <f>SUM(AE3)</f>
      </c>
      <c r="AF4" s="861">
        <f>SUM(AF3)</f>
      </c>
      <c r="AG4" s="861">
        <f>SUM(AG3)</f>
      </c>
    </row>
    <row r="5">
      <c r="A5" s="848" t="s">
        <v>1869</v>
      </c>
      <c r="B5" s="848" t="s">
        <v>1863</v>
      </c>
      <c r="C5" s="848" t="s">
        <v>1864</v>
      </c>
      <c r="D5" s="848">
        <v>4</v>
      </c>
      <c r="E5" s="848">
        <v>27</v>
      </c>
      <c r="F5" s="848">
        <v>27</v>
      </c>
      <c r="G5" s="848">
        <v>36113.15</v>
      </c>
      <c r="H5" s="849">
        <v>7753.6</v>
      </c>
      <c r="I5" s="850">
        <f t="shared" si="0"/>
      </c>
      <c r="J5" s="850">
        <f t="shared" si="1"/>
      </c>
      <c r="K5" s="850">
        <f t="shared" si="2"/>
      </c>
      <c r="L5" s="848" t="s">
        <v>1865</v>
      </c>
      <c r="M5" s="851">
        <v>8</v>
      </c>
      <c r="N5" s="852"/>
      <c r="O5" s="848"/>
      <c r="P5" s="852"/>
      <c r="Q5" s="853">
        <v>2.778072375492655</v>
      </c>
      <c r="R5" s="854">
        <v>0.36604003969043625</v>
      </c>
      <c r="S5" s="854">
        <v>0.032870097750559414</v>
      </c>
      <c r="T5" s="854">
        <v>0.03501354375220822</v>
      </c>
      <c r="U5" s="854">
        <v>0.12176252943155062</v>
      </c>
      <c r="V5" s="855">
        <v>31080.45977011494</v>
      </c>
      <c r="W5" s="854">
        <v>0.010875000000000001</v>
      </c>
      <c r="X5" s="855">
        <v>63</v>
      </c>
      <c r="Y5" s="853">
        <v>91.31551054057238</v>
      </c>
      <c r="Z5" s="855">
        <v>84910</v>
      </c>
      <c r="AA5" s="855">
        <v>2791</v>
      </c>
      <c r="AB5" s="855">
        <v>338</v>
      </c>
      <c r="AC5" s="855">
        <v>2973</v>
      </c>
      <c r="AD5" s="855">
        <v>362</v>
      </c>
      <c r="AE5" s="855">
        <v>20</v>
      </c>
      <c r="AF5" s="855">
        <v>0</v>
      </c>
      <c r="AG5" s="855">
        <v>25</v>
      </c>
    </row>
    <row r="6">
      <c r="A6" s="848" t="s">
        <v>1869</v>
      </c>
      <c r="B6" s="848" t="s">
        <v>1866</v>
      </c>
      <c r="C6" s="848" t="s">
        <v>1867</v>
      </c>
      <c r="D6" s="848">
        <v>4</v>
      </c>
      <c r="E6" s="848">
        <v>16</v>
      </c>
      <c r="F6" s="848">
        <v>16</v>
      </c>
      <c r="G6" s="848">
        <v>26784</v>
      </c>
      <c r="H6" s="849">
        <v>8351.27</v>
      </c>
      <c r="I6" s="850">
        <f t="shared" si="0"/>
      </c>
      <c r="J6" s="850">
        <f t="shared" si="1"/>
      </c>
      <c r="K6" s="850">
        <f t="shared" si="2"/>
      </c>
      <c r="L6" s="848"/>
      <c r="M6" s="848"/>
      <c r="N6" s="848"/>
      <c r="O6" s="848"/>
      <c r="P6" s="852"/>
      <c r="Q6" s="853">
        <v>2.256490137800594</v>
      </c>
      <c r="R6" s="854">
        <v>0.2352754872351737</v>
      </c>
      <c r="S6" s="854">
        <v>0.04216222374117111</v>
      </c>
      <c r="T6" s="854">
        <v>0.04488493962178173</v>
      </c>
      <c r="U6" s="854">
        <v>0.1218274111675127</v>
      </c>
      <c r="V6" s="855">
        <v>20652.482269503547</v>
      </c>
      <c r="W6" s="854">
        <v>0.017625</v>
      </c>
      <c r="X6" s="855">
        <v>55</v>
      </c>
      <c r="Y6" s="853">
        <v>95.13864205969467</v>
      </c>
      <c r="Z6" s="855">
        <v>87780</v>
      </c>
      <c r="AA6" s="855">
        <v>3701</v>
      </c>
      <c r="AB6" s="855">
        <v>364</v>
      </c>
      <c r="AC6" s="855">
        <v>3940</v>
      </c>
      <c r="AD6" s="855">
        <v>480</v>
      </c>
      <c r="AE6" s="855">
        <v>28</v>
      </c>
      <c r="AF6" s="855">
        <v>11</v>
      </c>
      <c r="AG6" s="855">
        <v>51</v>
      </c>
    </row>
    <row r="7">
      <c r="A7" s="856" t="s">
        <v>1869</v>
      </c>
      <c r="B7" s="856" t="s">
        <v>1868</v>
      </c>
      <c r="C7" s="857"/>
      <c r="D7" s="857">
        <f>SUM(D5:D6)</f>
      </c>
      <c r="E7" s="857">
        <f>SUM(E5:E6)</f>
      </c>
      <c r="F7" s="857">
        <f>SUM(F5:F6)</f>
      </c>
      <c r="G7" s="857">
        <f>SUM(G5:G6)</f>
      </c>
      <c r="H7" s="857">
        <f>SUM(H5:H6)</f>
      </c>
      <c r="I7" s="858">
        <f t="shared" si="0"/>
      </c>
      <c r="J7" s="858">
        <f t="shared" si="1"/>
      </c>
      <c r="K7" s="858">
        <f t="shared" si="2"/>
      </c>
      <c r="L7" s="857"/>
      <c r="M7" s="857">
        <f>SUM(M5:M6)</f>
      </c>
      <c r="N7" s="857"/>
      <c r="O7" s="857"/>
      <c r="P7" s="857"/>
      <c r="Q7" s="859">
        <f>AVERAGE(Q5:Q6)</f>
      </c>
      <c r="R7" s="860">
        <f>AVERAGE(R5:R6)</f>
      </c>
      <c r="S7" s="860">
        <f>AVERAGE(S5:S6)</f>
      </c>
      <c r="T7" s="860">
        <f>AVERAGE(T5:T6)</f>
      </c>
      <c r="U7" s="860">
        <f>AVERAGE(U5:U6)</f>
      </c>
      <c r="V7" s="861">
        <f>SUM(V5:V6)</f>
      </c>
      <c r="W7" s="860">
        <f>AVERAGE(W5:W6)</f>
      </c>
      <c r="X7" s="861">
        <f>AVERAGE(X5:X6)</f>
      </c>
      <c r="Y7" s="859">
        <f>AVERAGE(Y5:Y6)</f>
      </c>
      <c r="Z7" s="861">
        <f>SUM(Z5:Z6)</f>
      </c>
      <c r="AA7" s="861">
        <f>SUM(AA5:AA6)</f>
      </c>
      <c r="AB7" s="861">
        <f>SUM(AB5:AB6)</f>
      </c>
      <c r="AC7" s="861">
        <f>SUM(AC5:AC6)</f>
      </c>
      <c r="AD7" s="861">
        <f>SUM(AD5:AD6)</f>
      </c>
      <c r="AE7" s="861">
        <f>SUM(AE5:AE6)</f>
      </c>
      <c r="AF7" s="861">
        <f>SUM(AF5:AF6)</f>
      </c>
      <c r="AG7" s="861">
        <f>SUM(AG5:AG6)</f>
      </c>
    </row>
    <row r="8">
      <c r="A8" s="848" t="s">
        <v>1870</v>
      </c>
      <c r="B8" s="848" t="s">
        <v>1863</v>
      </c>
      <c r="C8" s="848" t="s">
        <v>1871</v>
      </c>
      <c r="D8" s="848">
        <v>5</v>
      </c>
      <c r="E8" s="848">
        <v>15</v>
      </c>
      <c r="F8" s="848">
        <v>15</v>
      </c>
      <c r="G8" s="848">
        <v>20785</v>
      </c>
      <c r="H8" s="849">
        <v>8732.28</v>
      </c>
      <c r="I8" s="850">
        <f t="shared" si="0"/>
      </c>
      <c r="J8" s="850">
        <f t="shared" si="1"/>
      </c>
      <c r="K8" s="850">
        <f t="shared" si="2"/>
      </c>
      <c r="L8" s="848" t="s">
        <v>1872</v>
      </c>
      <c r="M8" s="851">
        <v>8</v>
      </c>
      <c r="N8" s="852"/>
      <c r="O8" s="848"/>
      <c r="P8" s="852"/>
      <c r="Q8" s="853">
        <v>2.731398185799187</v>
      </c>
      <c r="R8" s="854">
        <v>0.33580997431488857</v>
      </c>
      <c r="S8" s="854">
        <v>0.028558922318302007</v>
      </c>
      <c r="T8" s="854">
        <v>0.030282998642178233</v>
      </c>
      <c r="U8" s="854">
        <v>0.11297935103244838</v>
      </c>
      <c r="V8" s="855">
        <v>37591.91176470589</v>
      </c>
      <c r="W8" s="854">
        <v>0.010879999999999999</v>
      </c>
      <c r="X8" s="855">
        <v>58.2</v>
      </c>
      <c r="Y8" s="853">
        <v>78.00578860859002</v>
      </c>
      <c r="Z8" s="855">
        <v>111944</v>
      </c>
      <c r="AA8" s="855">
        <v>3197</v>
      </c>
      <c r="AB8" s="855">
        <v>409</v>
      </c>
      <c r="AC8" s="855">
        <v>3390</v>
      </c>
      <c r="AD8" s="855">
        <v>383</v>
      </c>
      <c r="AE8" s="855">
        <v>28</v>
      </c>
      <c r="AF8" s="855">
        <v>3</v>
      </c>
      <c r="AG8" s="855">
        <v>47</v>
      </c>
    </row>
    <row r="9">
      <c r="A9" s="848" t="s">
        <v>1870</v>
      </c>
      <c r="B9" s="848" t="s">
        <v>1873</v>
      </c>
      <c r="C9" s="848" t="s">
        <v>1874</v>
      </c>
      <c r="D9" s="848">
        <v>3</v>
      </c>
      <c r="E9" s="848">
        <v>15</v>
      </c>
      <c r="F9" s="848">
        <v>15</v>
      </c>
      <c r="G9" s="848">
        <v>21175.05</v>
      </c>
      <c r="H9" s="849">
        <v>5037.92</v>
      </c>
      <c r="I9" s="850">
        <f t="shared" si="0"/>
      </c>
      <c r="J9" s="850">
        <f t="shared" si="1"/>
      </c>
      <c r="K9" s="850">
        <f t="shared" si="2"/>
      </c>
      <c r="L9" s="848"/>
      <c r="M9" s="848"/>
      <c r="N9" s="848"/>
      <c r="O9" s="848"/>
      <c r="P9" s="852"/>
      <c r="Q9" s="853">
        <v>2.769609675645959</v>
      </c>
      <c r="R9" s="854">
        <v>0.19134498411681067</v>
      </c>
      <c r="S9" s="854">
        <v>0.03452267982539381</v>
      </c>
      <c r="T9" s="854">
        <v>0.036192825963180866</v>
      </c>
      <c r="U9" s="854">
        <v>0.09648662821185107</v>
      </c>
      <c r="V9" s="855">
        <v>10081.967213114754</v>
      </c>
      <c r="W9" s="854">
        <v>0.02033333333333333</v>
      </c>
      <c r="X9" s="855">
        <v>55.333333333333336</v>
      </c>
      <c r="Y9" s="853">
        <v>95.61434807363827</v>
      </c>
      <c r="Z9" s="855">
        <v>52690</v>
      </c>
      <c r="AA9" s="855">
        <v>1819</v>
      </c>
      <c r="AB9" s="855">
        <v>205</v>
      </c>
      <c r="AC9" s="855">
        <v>1907</v>
      </c>
      <c r="AD9" s="855">
        <v>184</v>
      </c>
      <c r="AE9" s="855">
        <v>22</v>
      </c>
      <c r="AF9" s="855">
        <v>5</v>
      </c>
      <c r="AG9" s="855">
        <v>20</v>
      </c>
    </row>
    <row r="10">
      <c r="A10" s="856" t="s">
        <v>1870</v>
      </c>
      <c r="B10" s="856" t="s">
        <v>1868</v>
      </c>
      <c r="C10" s="857"/>
      <c r="D10" s="857">
        <f>SUM(D8:D9)</f>
      </c>
      <c r="E10" s="857">
        <f>SUM(E8:E9)</f>
      </c>
      <c r="F10" s="857">
        <f>SUM(F8:F9)</f>
      </c>
      <c r="G10" s="857">
        <f>SUM(G8:G9)</f>
      </c>
      <c r="H10" s="857">
        <f>SUM(H8:H9)</f>
      </c>
      <c r="I10" s="858">
        <f t="shared" si="0"/>
      </c>
      <c r="J10" s="858">
        <f t="shared" si="1"/>
      </c>
      <c r="K10" s="858">
        <f t="shared" si="2"/>
      </c>
      <c r="L10" s="857"/>
      <c r="M10" s="857">
        <f>SUM(M8:M9)</f>
      </c>
      <c r="N10" s="857"/>
      <c r="O10" s="857"/>
      <c r="P10" s="857"/>
      <c r="Q10" s="859">
        <f>AVERAGE(Q8:Q9)</f>
      </c>
      <c r="R10" s="860">
        <f>AVERAGE(R8:R9)</f>
      </c>
      <c r="S10" s="860">
        <f>AVERAGE(S8:S9)</f>
      </c>
      <c r="T10" s="860">
        <f>AVERAGE(T8:T9)</f>
      </c>
      <c r="U10" s="860">
        <f>AVERAGE(U8:U9)</f>
      </c>
      <c r="V10" s="861">
        <f>SUM(V8:V9)</f>
      </c>
      <c r="W10" s="860">
        <f>AVERAGE(W8:W9)</f>
      </c>
      <c r="X10" s="861">
        <f>AVERAGE(X8:X9)</f>
      </c>
      <c r="Y10" s="859">
        <f>AVERAGE(Y8:Y9)</f>
      </c>
      <c r="Z10" s="861">
        <f>SUM(Z8:Z9)</f>
      </c>
      <c r="AA10" s="861">
        <f>SUM(AA8:AA9)</f>
      </c>
      <c r="AB10" s="861">
        <f>SUM(AB8:AB9)</f>
      </c>
      <c r="AC10" s="861">
        <f>SUM(AC8:AC9)</f>
      </c>
      <c r="AD10" s="861">
        <f>SUM(AD8:AD9)</f>
      </c>
      <c r="AE10" s="861">
        <f>SUM(AE8:AE9)</f>
      </c>
      <c r="AF10" s="861">
        <f>SUM(AF8:AF9)</f>
      </c>
      <c r="AG10" s="861">
        <f>SUM(AG8:AG9)</f>
      </c>
    </row>
    <row r="11">
      <c r="A11" s="848" t="s">
        <v>1875</v>
      </c>
      <c r="B11" s="848" t="s">
        <v>1863</v>
      </c>
      <c r="C11" s="848" t="s">
        <v>1871</v>
      </c>
      <c r="D11" s="848">
        <v>5</v>
      </c>
      <c r="E11" s="848">
        <v>25</v>
      </c>
      <c r="F11" s="848">
        <v>25</v>
      </c>
      <c r="G11" s="848">
        <v>38895.2</v>
      </c>
      <c r="H11" s="849">
        <v>9559.41</v>
      </c>
      <c r="I11" s="850">
        <f t="shared" si="0"/>
      </c>
      <c r="J11" s="850">
        <f t="shared" si="1"/>
      </c>
      <c r="K11" s="850">
        <f t="shared" si="2"/>
      </c>
      <c r="L11" s="848" t="s">
        <v>1872</v>
      </c>
      <c r="M11" s="851">
        <v>8</v>
      </c>
      <c r="N11" s="852"/>
      <c r="O11" s="848"/>
      <c r="P11" s="852"/>
      <c r="Q11" s="853">
        <v>3.4104209775240815</v>
      </c>
      <c r="R11" s="854">
        <v>0.2189961290633045</v>
      </c>
      <c r="S11" s="854">
        <v>0.022790841382899146</v>
      </c>
      <c r="T11" s="854">
        <v>0.02393729469541744</v>
      </c>
      <c r="U11" s="854">
        <v>0.14402173913043478</v>
      </c>
      <c r="V11" s="855">
        <v>26933.895921237694</v>
      </c>
      <c r="W11" s="854">
        <v>0.01422</v>
      </c>
      <c r="X11" s="855">
        <v>61.4</v>
      </c>
      <c r="Y11" s="853">
        <v>77.72636354766318</v>
      </c>
      <c r="Z11" s="855">
        <v>122988</v>
      </c>
      <c r="AA11" s="855">
        <v>2803</v>
      </c>
      <c r="AB11" s="855">
        <v>383</v>
      </c>
      <c r="AC11" s="855">
        <v>2944</v>
      </c>
      <c r="AD11" s="855">
        <v>424</v>
      </c>
      <c r="AE11" s="855">
        <v>29</v>
      </c>
      <c r="AF11" s="855">
        <v>6</v>
      </c>
      <c r="AG11" s="855">
        <v>68</v>
      </c>
    </row>
    <row r="12">
      <c r="A12" s="848" t="s">
        <v>1875</v>
      </c>
      <c r="B12" s="848" t="s">
        <v>1873</v>
      </c>
      <c r="C12" s="848" t="s">
        <v>1874</v>
      </c>
      <c r="D12" s="848">
        <v>3</v>
      </c>
      <c r="E12" s="848">
        <v>17</v>
      </c>
      <c r="F12" s="848">
        <v>17</v>
      </c>
      <c r="G12" s="848">
        <v>25313.05</v>
      </c>
      <c r="H12" s="849">
        <v>4753.85</v>
      </c>
      <c r="I12" s="850">
        <f t="shared" si="0"/>
      </c>
      <c r="J12" s="850">
        <f t="shared" si="1"/>
      </c>
      <c r="K12" s="850">
        <f t="shared" si="2"/>
      </c>
      <c r="L12" s="848"/>
      <c r="M12" s="848"/>
      <c r="N12" s="848"/>
      <c r="O12" s="848"/>
      <c r="P12" s="852"/>
      <c r="Q12" s="853">
        <v>2.6206449834619625</v>
      </c>
      <c r="R12" s="854">
        <v>0.1739241651146403</v>
      </c>
      <c r="S12" s="854">
        <v>0.028748474619249117</v>
      </c>
      <c r="T12" s="854">
        <v>0.03093551403350291</v>
      </c>
      <c r="U12" s="854">
        <v>0.1285860655737705</v>
      </c>
      <c r="V12" s="855">
        <v>10974.440894568688</v>
      </c>
      <c r="W12" s="854">
        <v>0.02086666666666667</v>
      </c>
      <c r="X12" s="855">
        <v>63</v>
      </c>
      <c r="Y12" s="853">
        <v>75.33954579311876</v>
      </c>
      <c r="Z12" s="855">
        <v>63099</v>
      </c>
      <c r="AA12" s="855">
        <v>1814</v>
      </c>
      <c r="AB12" s="855">
        <v>229</v>
      </c>
      <c r="AC12" s="855">
        <v>1952</v>
      </c>
      <c r="AD12" s="855">
        <v>251</v>
      </c>
      <c r="AE12" s="855">
        <v>20</v>
      </c>
      <c r="AF12" s="855">
        <v>10</v>
      </c>
      <c r="AG12" s="855">
        <v>28</v>
      </c>
    </row>
    <row r="13">
      <c r="A13" s="856" t="s">
        <v>1875</v>
      </c>
      <c r="B13" s="856" t="s">
        <v>1868</v>
      </c>
      <c r="C13" s="857"/>
      <c r="D13" s="857">
        <f>SUM(D11:D12)</f>
      </c>
      <c r="E13" s="857">
        <f>SUM(E11:E12)</f>
      </c>
      <c r="F13" s="857">
        <f>SUM(F11:F12)</f>
      </c>
      <c r="G13" s="857">
        <f>SUM(G11:G12)</f>
      </c>
      <c r="H13" s="857">
        <f>SUM(H11:H12)</f>
      </c>
      <c r="I13" s="858">
        <f t="shared" si="0"/>
      </c>
      <c r="J13" s="858">
        <f t="shared" si="1"/>
      </c>
      <c r="K13" s="858">
        <f t="shared" si="2"/>
      </c>
      <c r="L13" s="857"/>
      <c r="M13" s="857">
        <f>SUM(M11:M12)</f>
      </c>
      <c r="N13" s="857"/>
      <c r="O13" s="857"/>
      <c r="P13" s="857"/>
      <c r="Q13" s="859">
        <f>AVERAGE(Q11:Q12)</f>
      </c>
      <c r="R13" s="860">
        <f>AVERAGE(R11:R12)</f>
      </c>
      <c r="S13" s="860">
        <f>AVERAGE(S11:S12)</f>
      </c>
      <c r="T13" s="860">
        <f>AVERAGE(T11:T12)</f>
      </c>
      <c r="U13" s="860">
        <f>AVERAGE(U11:U12)</f>
      </c>
      <c r="V13" s="861">
        <f>SUM(V11:V12)</f>
      </c>
      <c r="W13" s="860">
        <f>AVERAGE(W11:W12)</f>
      </c>
      <c r="X13" s="861">
        <f>AVERAGE(X11:X12)</f>
      </c>
      <c r="Y13" s="859">
        <f>AVERAGE(Y11:Y12)</f>
      </c>
      <c r="Z13" s="861">
        <f>SUM(Z11:Z12)</f>
      </c>
      <c r="AA13" s="861">
        <f>SUM(AA11:AA12)</f>
      </c>
      <c r="AB13" s="861">
        <f>SUM(AB11:AB12)</f>
      </c>
      <c r="AC13" s="861">
        <f>SUM(AC11:AC12)</f>
      </c>
      <c r="AD13" s="861">
        <f>SUM(AD11:AD12)</f>
      </c>
      <c r="AE13" s="861">
        <f>SUM(AE11:AE12)</f>
      </c>
      <c r="AF13" s="861">
        <f>SUM(AF11:AF12)</f>
      </c>
      <c r="AG13" s="861">
        <f>SUM(AG11:AG12)</f>
      </c>
    </row>
    <row r="14">
      <c r="A14" s="848" t="s">
        <v>1876</v>
      </c>
      <c r="B14" s="848" t="s">
        <v>1863</v>
      </c>
      <c r="C14" s="848" t="s">
        <v>1871</v>
      </c>
      <c r="D14" s="848">
        <v>5</v>
      </c>
      <c r="E14" s="848">
        <v>28</v>
      </c>
      <c r="F14" s="848">
        <v>28</v>
      </c>
      <c r="G14" s="848">
        <v>38887.15</v>
      </c>
      <c r="H14" s="849">
        <v>12644.5</v>
      </c>
      <c r="I14" s="850">
        <f t="shared" si="0"/>
      </c>
      <c r="J14" s="850">
        <f t="shared" si="1"/>
      </c>
      <c r="K14" s="850">
        <f t="shared" si="2"/>
      </c>
      <c r="L14" s="848" t="s">
        <v>1877</v>
      </c>
      <c r="M14" s="848">
        <v>4</v>
      </c>
      <c r="N14" s="852"/>
      <c r="O14" s="848"/>
      <c r="P14" s="852"/>
      <c r="Q14" s="853">
        <v>2.91</v>
      </c>
      <c r="R14" s="854">
        <v>0.22109482892658142</v>
      </c>
      <c r="S14" s="854">
        <v>0.022664530505529145</v>
      </c>
      <c r="T14" s="854">
        <v>0.024125748221750225</v>
      </c>
      <c r="U14" s="854">
        <v>0.10382868267358858</v>
      </c>
      <c r="V14" s="855">
        <v>42366.412213740456</v>
      </c>
      <c r="W14" s="854">
        <v>0.0131</v>
      </c>
      <c r="X14" s="855">
        <v>53.2</v>
      </c>
      <c r="Y14" s="853">
        <v>65.98702647413383</v>
      </c>
      <c r="Z14" s="855">
        <v>191621</v>
      </c>
      <c r="AA14" s="855">
        <v>4343</v>
      </c>
      <c r="AB14" s="855">
        <v>555</v>
      </c>
      <c r="AC14" s="855">
        <v>4623</v>
      </c>
      <c r="AD14" s="855">
        <v>480</v>
      </c>
      <c r="AE14" s="855">
        <v>40</v>
      </c>
      <c r="AF14" s="855">
        <v>6</v>
      </c>
      <c r="AG14" s="855">
        <v>85</v>
      </c>
    </row>
    <row r="15">
      <c r="A15" s="848" t="s">
        <v>1876</v>
      </c>
      <c r="B15" s="848" t="s">
        <v>1873</v>
      </c>
      <c r="C15" s="848" t="s">
        <v>1874</v>
      </c>
      <c r="D15" s="848">
        <v>3</v>
      </c>
      <c r="E15" s="848">
        <v>9</v>
      </c>
      <c r="F15" s="848">
        <v>9</v>
      </c>
      <c r="G15" s="848">
        <v>12466.1</v>
      </c>
      <c r="H15" s="849">
        <v>6599.29</v>
      </c>
      <c r="I15" s="850">
        <f t="shared" si="0"/>
      </c>
      <c r="J15" s="850">
        <f t="shared" si="1"/>
      </c>
      <c r="K15" s="850">
        <f t="shared" si="2"/>
      </c>
      <c r="L15" s="848" t="s">
        <v>1878</v>
      </c>
      <c r="M15" s="848">
        <v>4</v>
      </c>
      <c r="N15" s="848"/>
      <c r="O15" s="848"/>
      <c r="P15" s="852"/>
      <c r="Q15" s="853">
        <v>2.658859790491539</v>
      </c>
      <c r="R15" s="854">
        <v>0.2131628030908607</v>
      </c>
      <c r="S15" s="854">
        <v>0.026453503863575804</v>
      </c>
      <c r="T15" s="854">
        <v>0.02889421795896616</v>
      </c>
      <c r="U15" s="854">
        <v>0.09553670232386573</v>
      </c>
      <c r="V15" s="855">
        <v>20000.000000000004</v>
      </c>
      <c r="W15" s="854">
        <v>0.013799999999999998</v>
      </c>
      <c r="X15" s="855">
        <v>55.333333333333336</v>
      </c>
      <c r="Y15" s="853">
        <v>70.33615774047429</v>
      </c>
      <c r="Z15" s="855">
        <v>93825</v>
      </c>
      <c r="AA15" s="855">
        <v>2482</v>
      </c>
      <c r="AB15" s="855">
        <v>276</v>
      </c>
      <c r="AC15" s="855">
        <v>2711</v>
      </c>
      <c r="AD15" s="855">
        <v>259</v>
      </c>
      <c r="AE15" s="855">
        <v>24</v>
      </c>
      <c r="AF15" s="855">
        <v>4</v>
      </c>
      <c r="AG15" s="855">
        <v>35</v>
      </c>
    </row>
    <row r="16">
      <c r="A16" s="856" t="s">
        <v>1876</v>
      </c>
      <c r="B16" s="856" t="s">
        <v>1868</v>
      </c>
      <c r="C16" s="857"/>
      <c r="D16" s="857">
        <f>SUM(D14:D15)</f>
      </c>
      <c r="E16" s="857">
        <f>SUM(E14:E15)</f>
      </c>
      <c r="F16" s="857">
        <f>SUM(F14:F15)</f>
      </c>
      <c r="G16" s="857">
        <f>SUM(G14:G15)</f>
      </c>
      <c r="H16" s="857">
        <f>SUM(H14:H15)</f>
      </c>
      <c r="I16" s="858">
        <f t="shared" si="0"/>
      </c>
      <c r="J16" s="858">
        <f t="shared" si="1"/>
      </c>
      <c r="K16" s="858">
        <f t="shared" si="2"/>
      </c>
      <c r="L16" s="857"/>
      <c r="M16" s="857">
        <f>SUM(M14:M15)</f>
      </c>
      <c r="N16" s="857"/>
      <c r="O16" s="857"/>
      <c r="P16" s="857"/>
      <c r="Q16" s="859">
        <f>AVERAGE(Q14:Q15)</f>
      </c>
      <c r="R16" s="860">
        <f>AVERAGE(R14:R15)</f>
      </c>
      <c r="S16" s="860">
        <f>AVERAGE(S14:S15)</f>
      </c>
      <c r="T16" s="860">
        <f>AVERAGE(T14:T15)</f>
      </c>
      <c r="U16" s="860">
        <f>AVERAGE(U14:U15)</f>
      </c>
      <c r="V16" s="861">
        <f>SUM(V14:V15)</f>
      </c>
      <c r="W16" s="860">
        <f>AVERAGE(W14:W15)</f>
      </c>
      <c r="X16" s="861">
        <f>AVERAGE(X14:X15)</f>
      </c>
      <c r="Y16" s="859">
        <f>AVERAGE(Y14:Y15)</f>
      </c>
      <c r="Z16" s="861">
        <f>SUM(Z14:Z15)</f>
      </c>
      <c r="AA16" s="861">
        <f>SUM(AA14:AA15)</f>
      </c>
      <c r="AB16" s="861">
        <f>SUM(AB14:AB15)</f>
      </c>
      <c r="AC16" s="861">
        <f>SUM(AC14:AC15)</f>
      </c>
      <c r="AD16" s="861">
        <f>SUM(AD14:AD15)</f>
      </c>
      <c r="AE16" s="861">
        <f>SUM(AE14:AE15)</f>
      </c>
      <c r="AF16" s="861">
        <f>SUM(AF14:AF15)</f>
      </c>
      <c r="AG16" s="861">
        <f>SUM(AG14:AG15)</f>
      </c>
    </row>
    <row r="17">
      <c r="A17" s="848" t="s">
        <v>1879</v>
      </c>
      <c r="B17" s="848" t="s">
        <v>1863</v>
      </c>
      <c r="C17" s="848" t="s">
        <v>1871</v>
      </c>
      <c r="D17" s="848">
        <v>5</v>
      </c>
      <c r="E17" s="848">
        <v>28</v>
      </c>
      <c r="F17" s="848">
        <v>28</v>
      </c>
      <c r="G17" s="848">
        <v>42847.2</v>
      </c>
      <c r="H17" s="849">
        <v>13130.57</v>
      </c>
      <c r="I17" s="850">
        <f t="shared" si="0"/>
      </c>
      <c r="J17" s="850">
        <f t="shared" si="1"/>
      </c>
      <c r="K17" s="850">
        <f t="shared" si="2"/>
      </c>
      <c r="L17" s="848" t="s">
        <v>1865</v>
      </c>
      <c r="M17" s="848">
        <v>8</v>
      </c>
      <c r="N17" s="852"/>
      <c r="O17" s="848"/>
      <c r="P17" s="852"/>
      <c r="Q17" s="853">
        <v>2.7012075704587533</v>
      </c>
      <c r="R17" s="854">
        <v>0.3786113353000703</v>
      </c>
      <c r="S17" s="854">
        <v>0.024873865299397214</v>
      </c>
      <c r="T17" s="854">
        <v>0.026864388566516226</v>
      </c>
      <c r="U17" s="854">
        <v>0.11847619047619047</v>
      </c>
      <c r="V17" s="855">
        <v>73990.49881235154</v>
      </c>
      <c r="W17" s="854">
        <v>0.00842</v>
      </c>
      <c r="X17" s="855">
        <v>63</v>
      </c>
      <c r="Y17" s="853">
        <v>67.18947325330305</v>
      </c>
      <c r="Z17" s="855">
        <v>195426</v>
      </c>
      <c r="AA17" s="855">
        <v>4861</v>
      </c>
      <c r="AB17" s="855">
        <v>623</v>
      </c>
      <c r="AC17" s="855">
        <v>5250</v>
      </c>
      <c r="AD17" s="855">
        <v>622</v>
      </c>
      <c r="AE17" s="855">
        <v>53</v>
      </c>
      <c r="AF17" s="855">
        <v>20</v>
      </c>
      <c r="AG17" s="855">
        <v>58</v>
      </c>
    </row>
    <row r="18">
      <c r="A18" s="848" t="s">
        <v>1879</v>
      </c>
      <c r="B18" s="848" t="s">
        <v>1866</v>
      </c>
      <c r="C18" s="848" t="s">
        <v>1874</v>
      </c>
      <c r="D18" s="848">
        <v>3</v>
      </c>
      <c r="E18" s="848">
        <v>26</v>
      </c>
      <c r="F18" s="848">
        <v>26</v>
      </c>
      <c r="G18" s="848">
        <v>40249.15</v>
      </c>
      <c r="H18" s="849">
        <v>5733.19</v>
      </c>
      <c r="I18" s="850">
        <f t="shared" si="0"/>
      </c>
      <c r="J18" s="850">
        <f t="shared" si="1"/>
      </c>
      <c r="K18" s="850">
        <f t="shared" si="2"/>
      </c>
      <c r="L18" s="848"/>
      <c r="M18" s="848"/>
      <c r="N18" s="848"/>
      <c r="O18" s="848"/>
      <c r="P18" s="852"/>
      <c r="Q18" s="853">
        <v>2.339122807017544</v>
      </c>
      <c r="R18" s="854">
        <v>0.3018596834687968</v>
      </c>
      <c r="S18" s="854">
        <v>0.03303768803580094</v>
      </c>
      <c r="T18" s="854">
        <v>0.0368523211301019</v>
      </c>
      <c r="U18" s="854">
        <v>0.0866861741038771</v>
      </c>
      <c r="V18" s="855">
        <v>22394.3661971831</v>
      </c>
      <c r="W18" s="854">
        <v>0.011833333333333333</v>
      </c>
      <c r="X18" s="855">
        <v>57.333333333333336</v>
      </c>
      <c r="Y18" s="853">
        <v>77.27920957567262</v>
      </c>
      <c r="Z18" s="855">
        <v>74188</v>
      </c>
      <c r="AA18" s="855">
        <v>2451</v>
      </c>
      <c r="AB18" s="855">
        <v>265</v>
      </c>
      <c r="AC18" s="855">
        <v>2734</v>
      </c>
      <c r="AD18" s="855">
        <v>237</v>
      </c>
      <c r="AE18" s="855">
        <v>31</v>
      </c>
      <c r="AF18" s="855">
        <v>8</v>
      </c>
      <c r="AG18" s="855">
        <v>11</v>
      </c>
    </row>
    <row r="19">
      <c r="A19" s="856" t="s">
        <v>1879</v>
      </c>
      <c r="B19" s="856" t="s">
        <v>1868</v>
      </c>
      <c r="C19" s="857"/>
      <c r="D19" s="857">
        <f>SUM(D17:D18)</f>
      </c>
      <c r="E19" s="857">
        <f>SUM(E17:E18)</f>
      </c>
      <c r="F19" s="857">
        <f>SUM(F17:F18)</f>
      </c>
      <c r="G19" s="857">
        <f>SUM(G17:G18)</f>
      </c>
      <c r="H19" s="857">
        <f>SUM(H17:H18)</f>
      </c>
      <c r="I19" s="858">
        <f t="shared" si="0"/>
      </c>
      <c r="J19" s="858">
        <f t="shared" si="1"/>
      </c>
      <c r="K19" s="858">
        <f t="shared" si="2"/>
      </c>
      <c r="L19" s="857"/>
      <c r="M19" s="857">
        <f>SUM(M17:M18)</f>
      </c>
      <c r="N19" s="857"/>
      <c r="O19" s="857"/>
      <c r="P19" s="857"/>
      <c r="Q19" s="859">
        <f>AVERAGE(Q17:Q18)</f>
      </c>
      <c r="R19" s="860">
        <f>AVERAGE(R17:R18)</f>
      </c>
      <c r="S19" s="860">
        <f>AVERAGE(S17:S18)</f>
      </c>
      <c r="T19" s="860">
        <f>AVERAGE(T17:T18)</f>
      </c>
      <c r="U19" s="860">
        <f>AVERAGE(U17:U18)</f>
      </c>
      <c r="V19" s="861">
        <f>SUM(V17:V18)</f>
      </c>
      <c r="W19" s="860">
        <f>AVERAGE(W17:W18)</f>
      </c>
      <c r="X19" s="861">
        <f>AVERAGE(X17:X18)</f>
      </c>
      <c r="Y19" s="859">
        <f>AVERAGE(Y17:Y18)</f>
      </c>
      <c r="Z19" s="861">
        <f>SUM(Z17:Z18)</f>
      </c>
      <c r="AA19" s="861">
        <f>SUM(AA17:AA18)</f>
      </c>
      <c r="AB19" s="861">
        <f>SUM(AB17:AB18)</f>
      </c>
      <c r="AC19" s="861">
        <f>SUM(AC17:AC18)</f>
      </c>
      <c r="AD19" s="861">
        <f>SUM(AD17:AD18)</f>
      </c>
      <c r="AE19" s="861">
        <f>SUM(AE17:AE18)</f>
      </c>
      <c r="AF19" s="861">
        <f>SUM(AF17:AF18)</f>
      </c>
      <c r="AG19" s="861">
        <f>SUM(AG17:AG18)</f>
      </c>
    </row>
    <row r="20">
      <c r="A20" s="848" t="s">
        <v>1880</v>
      </c>
      <c r="B20" s="848" t="s">
        <v>1863</v>
      </c>
      <c r="C20" s="848" t="s">
        <v>1871</v>
      </c>
      <c r="D20" s="848">
        <v>5</v>
      </c>
      <c r="E20" s="848">
        <v>39</v>
      </c>
      <c r="F20" s="848">
        <v>39</v>
      </c>
      <c r="G20" s="848">
        <v>55906.05</v>
      </c>
      <c r="H20" s="849">
        <v>15849.95</v>
      </c>
      <c r="I20" s="850">
        <f t="shared" si="0"/>
      </c>
      <c r="J20" s="850">
        <f t="shared" si="1"/>
      </c>
      <c r="K20" s="850">
        <f t="shared" si="2"/>
      </c>
      <c r="L20" s="848" t="s">
        <v>1865</v>
      </c>
      <c r="M20" s="848">
        <v>8</v>
      </c>
      <c r="N20" s="852"/>
      <c r="O20" s="848"/>
      <c r="P20" s="852"/>
      <c r="Q20" s="853">
        <v>2.554383561643836</v>
      </c>
      <c r="R20" s="854">
        <v>0.17572458467482088</v>
      </c>
      <c r="S20" s="854">
        <v>0.026670506417254807</v>
      </c>
      <c r="T20" s="854">
        <v>0.02887549751992229</v>
      </c>
      <c r="U20" s="854">
        <v>0.09615957130098243</v>
      </c>
      <c r="V20" s="855">
        <v>40883.02752293578</v>
      </c>
      <c r="W20" s="854">
        <v>0.01744</v>
      </c>
      <c r="X20" s="855">
        <v>48.4</v>
      </c>
      <c r="Y20" s="853">
        <v>68.1267031729521</v>
      </c>
      <c r="Z20" s="855">
        <v>232654</v>
      </c>
      <c r="AA20" s="855">
        <v>6205</v>
      </c>
      <c r="AB20" s="855">
        <v>713</v>
      </c>
      <c r="AC20" s="855">
        <v>6718</v>
      </c>
      <c r="AD20" s="855">
        <v>646</v>
      </c>
      <c r="AE20" s="855">
        <v>54</v>
      </c>
      <c r="AF20" s="855">
        <v>9</v>
      </c>
      <c r="AG20" s="855">
        <v>67</v>
      </c>
    </row>
    <row r="21">
      <c r="A21" s="848" t="s">
        <v>1880</v>
      </c>
      <c r="B21" s="848" t="s">
        <v>1866</v>
      </c>
      <c r="C21" s="848" t="s">
        <v>1874</v>
      </c>
      <c r="D21" s="848">
        <v>3</v>
      </c>
      <c r="E21" s="848">
        <v>18</v>
      </c>
      <c r="F21" s="848">
        <v>18</v>
      </c>
      <c r="G21" s="848">
        <v>26847.1</v>
      </c>
      <c r="H21" s="849">
        <v>8004.73</v>
      </c>
      <c r="I21" s="850">
        <f t="shared" si="0"/>
      </c>
      <c r="J21" s="850">
        <f t="shared" si="1"/>
      </c>
      <c r="K21" s="850">
        <f t="shared" si="2"/>
      </c>
      <c r="L21" s="848"/>
      <c r="M21" s="848"/>
      <c r="N21" s="848"/>
      <c r="O21" s="848"/>
      <c r="P21" s="852"/>
      <c r="Q21" s="853">
        <v>2.1763811854268624</v>
      </c>
      <c r="R21" s="854">
        <v>0.1899392863252315</v>
      </c>
      <c r="S21" s="854">
        <v>0.033392043287999565</v>
      </c>
      <c r="T21" s="854">
        <v>0.03682385197828337</v>
      </c>
      <c r="U21" s="854">
        <v>0.0621301775147929</v>
      </c>
      <c r="V21" s="855">
        <v>20921.052631578947</v>
      </c>
      <c r="W21" s="854">
        <v>0.0152</v>
      </c>
      <c r="X21" s="855">
        <v>48.333333333333336</v>
      </c>
      <c r="Y21" s="853">
        <v>72.6738147549616</v>
      </c>
      <c r="Z21" s="855">
        <v>110146</v>
      </c>
      <c r="AA21" s="855">
        <v>3678</v>
      </c>
      <c r="AB21" s="855">
        <v>318</v>
      </c>
      <c r="AC21" s="855">
        <v>4056</v>
      </c>
      <c r="AD21" s="855">
        <v>252</v>
      </c>
      <c r="AE21" s="855">
        <v>19</v>
      </c>
      <c r="AF21" s="855">
        <v>7</v>
      </c>
      <c r="AG21" s="855">
        <v>24</v>
      </c>
    </row>
    <row r="22">
      <c r="A22" s="856" t="s">
        <v>1880</v>
      </c>
      <c r="B22" s="856" t="s">
        <v>1868</v>
      </c>
      <c r="C22" s="857"/>
      <c r="D22" s="857">
        <f>SUM(D20:D21)</f>
      </c>
      <c r="E22" s="857">
        <f>SUM(E20:E21)</f>
      </c>
      <c r="F22" s="857">
        <f>SUM(F20:F21)</f>
      </c>
      <c r="G22" s="857">
        <f>SUM(G20:G21)</f>
      </c>
      <c r="H22" s="857">
        <f>SUM(H20:H21)</f>
      </c>
      <c r="I22" s="858">
        <f t="shared" si="0"/>
      </c>
      <c r="J22" s="858">
        <f t="shared" si="1"/>
      </c>
      <c r="K22" s="858">
        <f t="shared" si="2"/>
      </c>
      <c r="L22" s="857"/>
      <c r="M22" s="857">
        <f>SUM(M20:M21)</f>
      </c>
      <c r="N22" s="857"/>
      <c r="O22" s="857"/>
      <c r="P22" s="857"/>
      <c r="Q22" s="859">
        <f>AVERAGE(Q20:Q21)</f>
      </c>
      <c r="R22" s="860">
        <f>AVERAGE(R20:R21)</f>
      </c>
      <c r="S22" s="860">
        <f>AVERAGE(S20:S21)</f>
      </c>
      <c r="T22" s="860">
        <f>AVERAGE(T20:T21)</f>
      </c>
      <c r="U22" s="860">
        <f>AVERAGE(U20:U21)</f>
      </c>
      <c r="V22" s="861">
        <f>SUM(V20:V21)</f>
      </c>
      <c r="W22" s="860">
        <f>AVERAGE(W20:W21)</f>
      </c>
      <c r="X22" s="861">
        <f>AVERAGE(X20:X21)</f>
      </c>
      <c r="Y22" s="859">
        <f>AVERAGE(Y20:Y21)</f>
      </c>
      <c r="Z22" s="861">
        <f>SUM(Z20:Z21)</f>
      </c>
      <c r="AA22" s="861">
        <f>SUM(AA20:AA21)</f>
      </c>
      <c r="AB22" s="861">
        <f>SUM(AB20:AB21)</f>
      </c>
      <c r="AC22" s="861">
        <f>SUM(AC20:AC21)</f>
      </c>
      <c r="AD22" s="861">
        <f>SUM(AD20:AD21)</f>
      </c>
      <c r="AE22" s="861">
        <f>SUM(AE20:AE21)</f>
      </c>
      <c r="AF22" s="861">
        <f>SUM(AF20:AF21)</f>
      </c>
      <c r="AG22" s="861">
        <f>SUM(AG20:AG21)</f>
      </c>
    </row>
    <row r="23">
      <c r="A23" s="848" t="s">
        <v>1881</v>
      </c>
      <c r="B23" s="848" t="s">
        <v>1863</v>
      </c>
      <c r="C23" s="848" t="s">
        <v>1864</v>
      </c>
      <c r="D23" s="848">
        <v>4</v>
      </c>
      <c r="E23" s="848">
        <v>28</v>
      </c>
      <c r="F23" s="848">
        <v>28</v>
      </c>
      <c r="G23" s="848">
        <v>39272</v>
      </c>
      <c r="H23" s="849">
        <v>10482.69</v>
      </c>
      <c r="I23" s="850">
        <f t="shared" si="0"/>
      </c>
      <c r="J23" s="850">
        <f t="shared" si="1"/>
      </c>
      <c r="K23" s="850">
        <f t="shared" si="2"/>
      </c>
      <c r="L23" s="848" t="s">
        <v>1865</v>
      </c>
      <c r="M23" s="851">
        <v>8</v>
      </c>
      <c r="N23" s="852"/>
      <c r="O23" s="848"/>
      <c r="P23" s="852"/>
      <c r="Q23" s="853">
        <v>2.595367665263679</v>
      </c>
      <c r="R23" s="854">
        <v>0.28951379040635744</v>
      </c>
      <c r="S23" s="854">
        <v>0.029978030460469672</v>
      </c>
      <c r="T23" s="854">
        <v>0.03342190422468307</v>
      </c>
      <c r="U23" s="854">
        <v>0.0899400399733511</v>
      </c>
      <c r="V23" s="855">
        <v>39006.77200902935</v>
      </c>
      <c r="W23" s="854">
        <v>0.011074999999999998</v>
      </c>
      <c r="X23" s="855">
        <v>53.5</v>
      </c>
      <c r="Y23" s="853">
        <v>77.80401092539262</v>
      </c>
      <c r="Z23" s="855">
        <v>134732</v>
      </c>
      <c r="AA23" s="855">
        <v>4039</v>
      </c>
      <c r="AB23" s="855">
        <v>432</v>
      </c>
      <c r="AC23" s="855">
        <v>4503</v>
      </c>
      <c r="AD23" s="855">
        <v>405</v>
      </c>
      <c r="AE23" s="855">
        <v>29</v>
      </c>
      <c r="AF23" s="855">
        <v>9</v>
      </c>
      <c r="AG23" s="855">
        <v>29</v>
      </c>
    </row>
    <row r="24">
      <c r="A24" s="848" t="s">
        <v>1881</v>
      </c>
      <c r="B24" s="848" t="s">
        <v>1873</v>
      </c>
      <c r="C24" s="848" t="s">
        <v>1867</v>
      </c>
      <c r="D24" s="848">
        <v>4</v>
      </c>
      <c r="E24" s="848">
        <v>25</v>
      </c>
      <c r="F24" s="848">
        <v>25</v>
      </c>
      <c r="G24" s="848">
        <v>37100.25</v>
      </c>
      <c r="H24" s="849">
        <v>8599.36</v>
      </c>
      <c r="I24" s="850">
        <f t="shared" si="0"/>
      </c>
      <c r="J24" s="850">
        <f t="shared" si="1"/>
      </c>
      <c r="K24" s="850">
        <f t="shared" si="2"/>
      </c>
      <c r="L24" s="848"/>
      <c r="M24" s="848"/>
      <c r="N24" s="848"/>
      <c r="O24" s="848"/>
      <c r="P24" s="852"/>
      <c r="Q24" s="853">
        <v>1.9535120399818267</v>
      </c>
      <c r="R24" s="854">
        <v>0.21637970525269187</v>
      </c>
      <c r="S24" s="854">
        <v>0.038047658971278424</v>
      </c>
      <c r="T24" s="854">
        <v>0.042317432604129755</v>
      </c>
      <c r="U24" s="854">
        <v>0.07495915032679738</v>
      </c>
      <c r="V24" s="855">
        <v>25034.482758620692</v>
      </c>
      <c r="W24" s="854">
        <v>0.014499999999999999</v>
      </c>
      <c r="X24" s="855">
        <v>45.75</v>
      </c>
      <c r="Y24" s="853">
        <v>74.32655989351495</v>
      </c>
      <c r="Z24" s="855">
        <v>115697</v>
      </c>
      <c r="AA24" s="855">
        <v>4402</v>
      </c>
      <c r="AB24" s="855">
        <v>363</v>
      </c>
      <c r="AC24" s="855">
        <v>4896</v>
      </c>
      <c r="AD24" s="855">
        <v>367</v>
      </c>
      <c r="AE24" s="855">
        <v>29</v>
      </c>
      <c r="AF24" s="855">
        <v>7</v>
      </c>
      <c r="AG24" s="855">
        <v>21</v>
      </c>
    </row>
    <row r="25">
      <c r="A25" s="856" t="s">
        <v>1881</v>
      </c>
      <c r="B25" s="856" t="s">
        <v>1868</v>
      </c>
      <c r="C25" s="857"/>
      <c r="D25" s="857">
        <f>SUM(D23:D24)</f>
      </c>
      <c r="E25" s="857">
        <f>SUM(E23:E24)</f>
      </c>
      <c r="F25" s="857">
        <f>SUM(F23:F24)</f>
      </c>
      <c r="G25" s="857">
        <f>SUM(G23:G24)</f>
      </c>
      <c r="H25" s="857">
        <f>SUM(H23:H24)</f>
      </c>
      <c r="I25" s="858">
        <f t="shared" si="0"/>
      </c>
      <c r="J25" s="858">
        <f t="shared" si="1"/>
      </c>
      <c r="K25" s="858">
        <f t="shared" si="2"/>
      </c>
      <c r="L25" s="857"/>
      <c r="M25" s="857">
        <f>SUM(M23:M24)</f>
      </c>
      <c r="N25" s="857"/>
      <c r="O25" s="857"/>
      <c r="P25" s="857"/>
      <c r="Q25" s="859">
        <f>AVERAGE(Q23:Q24)</f>
      </c>
      <c r="R25" s="860">
        <f>AVERAGE(R23:R24)</f>
      </c>
      <c r="S25" s="860">
        <f>AVERAGE(S23:S24)</f>
      </c>
      <c r="T25" s="860">
        <f>AVERAGE(T23:T24)</f>
      </c>
      <c r="U25" s="860">
        <f>AVERAGE(U23:U24)</f>
      </c>
      <c r="V25" s="861">
        <f>SUM(V23:V24)</f>
      </c>
      <c r="W25" s="860">
        <f>AVERAGE(W23:W24)</f>
      </c>
      <c r="X25" s="861">
        <f>AVERAGE(X23:X24)</f>
      </c>
      <c r="Y25" s="859">
        <f>AVERAGE(Y23:Y24)</f>
      </c>
      <c r="Z25" s="861">
        <f>SUM(Z23:Z24)</f>
      </c>
      <c r="AA25" s="861">
        <f>SUM(AA23:AA24)</f>
      </c>
      <c r="AB25" s="861">
        <f>SUM(AB23:AB24)</f>
      </c>
      <c r="AC25" s="861">
        <f>SUM(AC23:AC24)</f>
      </c>
      <c r="AD25" s="861">
        <f>SUM(AD23:AD24)</f>
      </c>
      <c r="AE25" s="861">
        <f>SUM(AE23:AE24)</f>
      </c>
      <c r="AF25" s="861">
        <f>SUM(AF23:AF24)</f>
      </c>
      <c r="AG25" s="861">
        <f>SUM(AG23:AG24)</f>
      </c>
    </row>
    <row r="26">
      <c r="A26" s="848" t="s">
        <v>1882</v>
      </c>
      <c r="B26" s="848" t="s">
        <v>1863</v>
      </c>
      <c r="C26" s="848" t="s">
        <v>1864</v>
      </c>
      <c r="D26" s="848">
        <v>4</v>
      </c>
      <c r="E26" s="848">
        <v>19</v>
      </c>
      <c r="F26" s="848">
        <v>19</v>
      </c>
      <c r="G26" s="848">
        <v>24766.1</v>
      </c>
      <c r="H26" s="849">
        <v>9980.97</v>
      </c>
      <c r="I26" s="850">
        <f t="shared" si="0"/>
      </c>
      <c r="J26" s="850">
        <f t="shared" si="1"/>
      </c>
      <c r="K26" s="850">
        <f t="shared" si="2"/>
      </c>
      <c r="L26" s="848" t="s">
        <v>1865</v>
      </c>
      <c r="M26" s="851">
        <v>8</v>
      </c>
      <c r="N26" s="852"/>
      <c r="O26" s="848"/>
      <c r="P26" s="852"/>
      <c r="Q26" s="853">
        <v>2.29976267281106</v>
      </c>
      <c r="R26" s="854">
        <v>0.43583245423047084</v>
      </c>
      <c r="S26" s="854">
        <v>0.028846601219001535</v>
      </c>
      <c r="T26" s="854">
        <v>0.0313457537670072</v>
      </c>
      <c r="U26" s="854">
        <v>0.0871501272264631</v>
      </c>
      <c r="V26" s="855">
        <v>65571.42857142857</v>
      </c>
      <c r="W26" s="854">
        <v>0.007</v>
      </c>
      <c r="X26" s="855">
        <v>47</v>
      </c>
      <c r="Y26" s="853">
        <v>66.34033672092576</v>
      </c>
      <c r="Z26" s="855">
        <v>150451</v>
      </c>
      <c r="AA26" s="855">
        <v>4340</v>
      </c>
      <c r="AB26" s="855">
        <v>459</v>
      </c>
      <c r="AC26" s="855">
        <v>4716</v>
      </c>
      <c r="AD26" s="855">
        <v>411</v>
      </c>
      <c r="AE26" s="855">
        <v>43</v>
      </c>
      <c r="AF26" s="855">
        <v>9</v>
      </c>
      <c r="AG26" s="855">
        <v>18</v>
      </c>
    </row>
    <row r="27">
      <c r="A27" s="848" t="s">
        <v>1882</v>
      </c>
      <c r="B27" s="848" t="s">
        <v>1873</v>
      </c>
      <c r="C27" s="848" t="s">
        <v>1867</v>
      </c>
      <c r="D27" s="848">
        <v>4</v>
      </c>
      <c r="E27" s="848">
        <v>17</v>
      </c>
      <c r="F27" s="848">
        <v>17</v>
      </c>
      <c r="G27" s="848">
        <v>23898.15</v>
      </c>
      <c r="H27" s="849">
        <v>7370.34</v>
      </c>
      <c r="I27" s="850">
        <f t="shared" si="0"/>
      </c>
      <c r="J27" s="850">
        <f t="shared" si="1"/>
      </c>
      <c r="K27" s="850">
        <f t="shared" si="2"/>
      </c>
      <c r="L27" s="848"/>
      <c r="M27" s="848"/>
      <c r="N27" s="848"/>
      <c r="O27" s="848"/>
      <c r="P27" s="852"/>
      <c r="Q27" s="853">
        <v>1.8055707986281235</v>
      </c>
      <c r="R27" s="854">
        <v>0.33999265615862695</v>
      </c>
      <c r="S27" s="854">
        <v>0.03869157638316224</v>
      </c>
      <c r="T27" s="854">
        <v>0.04226500222746704</v>
      </c>
      <c r="U27" s="854">
        <v>0.06862525229872168</v>
      </c>
      <c r="V27" s="855">
        <v>35869.565217391304</v>
      </c>
      <c r="W27" s="854">
        <v>0.0092</v>
      </c>
      <c r="X27" s="855">
        <v>44</v>
      </c>
      <c r="Y27" s="853">
        <v>69.86038047032729</v>
      </c>
      <c r="Z27" s="855">
        <v>105501</v>
      </c>
      <c r="AA27" s="855">
        <v>4082</v>
      </c>
      <c r="AB27" s="855">
        <v>330</v>
      </c>
      <c r="AC27" s="855">
        <v>4459</v>
      </c>
      <c r="AD27" s="855">
        <v>306</v>
      </c>
      <c r="AE27" s="855">
        <v>29</v>
      </c>
      <c r="AF27" s="855">
        <v>8</v>
      </c>
      <c r="AG27" s="855">
        <v>5</v>
      </c>
    </row>
    <row r="28">
      <c r="A28" s="856" t="s">
        <v>1882</v>
      </c>
      <c r="B28" s="856" t="s">
        <v>1868</v>
      </c>
      <c r="C28" s="857"/>
      <c r="D28" s="857">
        <f>SUM(D26:D27)</f>
      </c>
      <c r="E28" s="857">
        <f>SUM(E26:E27)</f>
      </c>
      <c r="F28" s="857">
        <f>SUM(F26:F27)</f>
      </c>
      <c r="G28" s="857">
        <f>SUM(G26:G27)</f>
      </c>
      <c r="H28" s="857">
        <f>SUM(H26:H27)</f>
      </c>
      <c r="I28" s="858">
        <f t="shared" si="0"/>
      </c>
      <c r="J28" s="858">
        <f t="shared" si="1"/>
      </c>
      <c r="K28" s="858">
        <f t="shared" si="2"/>
      </c>
      <c r="L28" s="857"/>
      <c r="M28" s="857">
        <f>SUM(M26:M27)</f>
      </c>
      <c r="N28" s="857"/>
      <c r="O28" s="857"/>
      <c r="P28" s="857"/>
      <c r="Q28" s="859">
        <f>AVERAGE(Q26:Q27)</f>
      </c>
      <c r="R28" s="860">
        <f>AVERAGE(R26:R27)</f>
      </c>
      <c r="S28" s="860">
        <f>AVERAGE(S26:S27)</f>
      </c>
      <c r="T28" s="860">
        <f>AVERAGE(T26:T27)</f>
      </c>
      <c r="U28" s="860">
        <f>AVERAGE(U26:U27)</f>
      </c>
      <c r="V28" s="861">
        <f>SUM(V26:V27)</f>
      </c>
      <c r="W28" s="860">
        <f>AVERAGE(W26:W27)</f>
      </c>
      <c r="X28" s="861">
        <f>AVERAGE(X26:X27)</f>
      </c>
      <c r="Y28" s="859">
        <f>AVERAGE(Y26:Y27)</f>
      </c>
      <c r="Z28" s="861">
        <f>SUM(Z26:Z27)</f>
      </c>
      <c r="AA28" s="861">
        <f>SUM(AA26:AA27)</f>
      </c>
      <c r="AB28" s="861">
        <f>SUM(AB26:AB27)</f>
      </c>
      <c r="AC28" s="861">
        <f>SUM(AC26:AC27)</f>
      </c>
      <c r="AD28" s="861">
        <f>SUM(AD26:AD27)</f>
      </c>
      <c r="AE28" s="861">
        <f>SUM(AE26:AE27)</f>
      </c>
      <c r="AF28" s="861">
        <f>SUM(AF26:AF27)</f>
      </c>
      <c r="AG28" s="861">
        <f>SUM(AG26:AG27)</f>
      </c>
    </row>
    <row r="29">
      <c r="A29" s="848" t="s">
        <v>1883</v>
      </c>
      <c r="B29" s="848" t="s">
        <v>1863</v>
      </c>
      <c r="C29" s="848" t="s">
        <v>1864</v>
      </c>
      <c r="D29" s="848">
        <v>4</v>
      </c>
      <c r="E29" s="848">
        <v>14</v>
      </c>
      <c r="F29" s="848">
        <v>14</v>
      </c>
      <c r="G29" s="848">
        <v>19886</v>
      </c>
      <c r="H29" s="849">
        <v>7710.68</v>
      </c>
      <c r="I29" s="850">
        <f t="shared" si="0"/>
      </c>
      <c r="J29" s="850">
        <f t="shared" si="1"/>
      </c>
      <c r="K29" s="850">
        <f t="shared" si="2"/>
      </c>
      <c r="L29" s="848" t="s">
        <v>1865</v>
      </c>
      <c r="M29" s="851">
        <v>8</v>
      </c>
      <c r="N29" s="852"/>
      <c r="O29" s="848"/>
      <c r="P29" s="852"/>
      <c r="Q29" s="853">
        <v>2.5970629841697543</v>
      </c>
      <c r="R29" s="854">
        <v>0.2986591135880183</v>
      </c>
      <c r="S29" s="854">
        <v>0.0315260788311247</v>
      </c>
      <c r="T29" s="854">
        <v>0.03374532789670404</v>
      </c>
      <c r="U29" s="854">
        <v>0.08747640025173065</v>
      </c>
      <c r="V29" s="855">
        <v>28126.520681265207</v>
      </c>
      <c r="W29" s="854">
        <v>0.010275</v>
      </c>
      <c r="X29" s="855">
        <v>46</v>
      </c>
      <c r="Y29" s="853">
        <v>81.87521236833163</v>
      </c>
      <c r="Z29" s="855">
        <v>94176</v>
      </c>
      <c r="AA29" s="855">
        <v>2969</v>
      </c>
      <c r="AB29" s="855">
        <v>289</v>
      </c>
      <c r="AC29" s="855">
        <v>3178</v>
      </c>
      <c r="AD29" s="855">
        <v>278</v>
      </c>
      <c r="AE29" s="855">
        <v>28</v>
      </c>
      <c r="AF29" s="855">
        <v>5</v>
      </c>
      <c r="AG29" s="855">
        <v>20</v>
      </c>
    </row>
    <row r="30">
      <c r="A30" s="848" t="s">
        <v>1883</v>
      </c>
      <c r="B30" s="848" t="s">
        <v>1866</v>
      </c>
      <c r="C30" s="848" t="s">
        <v>1867</v>
      </c>
      <c r="D30" s="848">
        <v>4</v>
      </c>
      <c r="E30" s="848">
        <v>19</v>
      </c>
      <c r="F30" s="848">
        <v>19</v>
      </c>
      <c r="G30" s="848">
        <v>28701.15</v>
      </c>
      <c r="H30" s="849">
        <v>6694.21</v>
      </c>
      <c r="I30" s="850">
        <f t="shared" si="0"/>
      </c>
      <c r="J30" s="850">
        <f t="shared" si="1"/>
      </c>
      <c r="K30" s="850">
        <f t="shared" si="2"/>
      </c>
      <c r="L30" s="848"/>
      <c r="M30" s="848"/>
      <c r="N30" s="848"/>
      <c r="O30" s="848"/>
      <c r="P30" s="852"/>
      <c r="Q30" s="853">
        <v>2.348021746755524</v>
      </c>
      <c r="R30" s="854">
        <v>0.27190995142678837</v>
      </c>
      <c r="S30" s="854">
        <v>0.03564953171695447</v>
      </c>
      <c r="T30" s="854">
        <v>0.039263251347329726</v>
      </c>
      <c r="U30" s="854">
        <v>0.10222929936305733</v>
      </c>
      <c r="V30" s="855">
        <v>21745.454545454548</v>
      </c>
      <c r="W30" s="854">
        <v>0.013749999999999998</v>
      </c>
      <c r="X30" s="855">
        <v>51</v>
      </c>
      <c r="Y30" s="853">
        <v>83.7058757330599</v>
      </c>
      <c r="Z30" s="855">
        <v>79973</v>
      </c>
      <c r="AA30" s="855">
        <v>2851</v>
      </c>
      <c r="AB30" s="855">
        <v>299</v>
      </c>
      <c r="AC30" s="855">
        <v>3140</v>
      </c>
      <c r="AD30" s="855">
        <v>321</v>
      </c>
      <c r="AE30" s="855">
        <v>24</v>
      </c>
      <c r="AF30" s="855">
        <v>9</v>
      </c>
      <c r="AG30" s="855">
        <v>12</v>
      </c>
    </row>
    <row r="31">
      <c r="A31" s="856" t="s">
        <v>1883</v>
      </c>
      <c r="B31" s="856" t="s">
        <v>1868</v>
      </c>
      <c r="C31" s="857"/>
      <c r="D31" s="857">
        <f>SUM(D29:D30)</f>
      </c>
      <c r="E31" s="857">
        <f>SUM(E29:E30)</f>
      </c>
      <c r="F31" s="857">
        <f>SUM(F29:F30)</f>
      </c>
      <c r="G31" s="857">
        <f>SUM(G29:G30)</f>
      </c>
      <c r="H31" s="857">
        <f>SUM(H29:H30)</f>
      </c>
      <c r="I31" s="858">
        <f t="shared" si="0"/>
      </c>
      <c r="J31" s="858">
        <f t="shared" si="1"/>
      </c>
      <c r="K31" s="858">
        <f t="shared" si="2"/>
      </c>
      <c r="L31" s="857"/>
      <c r="M31" s="857">
        <f>SUM(M29:M30)</f>
      </c>
      <c r="N31" s="857"/>
      <c r="O31" s="857"/>
      <c r="P31" s="857"/>
      <c r="Q31" s="859">
        <f>AVERAGE(Q29:Q30)</f>
      </c>
      <c r="R31" s="860">
        <f>AVERAGE(R29:R30)</f>
      </c>
      <c r="S31" s="860">
        <f>AVERAGE(S29:S30)</f>
      </c>
      <c r="T31" s="860">
        <f>AVERAGE(T29:T30)</f>
      </c>
      <c r="U31" s="860">
        <f>AVERAGE(U29:U30)</f>
      </c>
      <c r="V31" s="861">
        <f>SUM(V29:V30)</f>
      </c>
      <c r="W31" s="860">
        <f>AVERAGE(W29:W30)</f>
      </c>
      <c r="X31" s="861">
        <f>AVERAGE(X29:X30)</f>
      </c>
      <c r="Y31" s="859">
        <f>AVERAGE(Y29:Y30)</f>
      </c>
      <c r="Z31" s="861">
        <f>SUM(Z29:Z30)</f>
      </c>
      <c r="AA31" s="861">
        <f>SUM(AA29:AA30)</f>
      </c>
      <c r="AB31" s="861">
        <f>SUM(AB29:AB30)</f>
      </c>
      <c r="AC31" s="861">
        <f>SUM(AC29:AC30)</f>
      </c>
      <c r="AD31" s="861">
        <f>SUM(AD29:AD30)</f>
      </c>
      <c r="AE31" s="861">
        <f>SUM(AE29:AE30)</f>
      </c>
      <c r="AF31" s="861">
        <f>SUM(AF29:AF30)</f>
      </c>
      <c r="AG31" s="861">
        <f>SUM(AG29:AG30)</f>
      </c>
    </row>
    <row r="32">
      <c r="A32" s="848" t="s">
        <v>1884</v>
      </c>
      <c r="B32" s="848" t="s">
        <v>1863</v>
      </c>
      <c r="C32" s="848" t="s">
        <v>1864</v>
      </c>
      <c r="D32" s="848">
        <v>4</v>
      </c>
      <c r="E32" s="848">
        <v>38</v>
      </c>
      <c r="F32" s="848">
        <v>38</v>
      </c>
      <c r="G32" s="848">
        <v>59627.05</v>
      </c>
      <c r="H32" s="849">
        <v>11167.96</v>
      </c>
      <c r="I32" s="850">
        <f t="shared" si="0"/>
      </c>
      <c r="J32" s="850">
        <f t="shared" si="1"/>
      </c>
      <c r="K32" s="850">
        <f t="shared" si="2"/>
      </c>
      <c r="L32" s="848" t="s">
        <v>1865</v>
      </c>
      <c r="M32" s="851">
        <v>8</v>
      </c>
      <c r="N32" s="852"/>
      <c r="O32" s="848"/>
      <c r="P32" s="852"/>
      <c r="Q32" s="853">
        <v>2.850423685553854</v>
      </c>
      <c r="R32" s="854">
        <v>0.32256358009691094</v>
      </c>
      <c r="S32" s="854">
        <v>0.029227027914124157</v>
      </c>
      <c r="T32" s="854">
        <v>0.030801020484282453</v>
      </c>
      <c r="U32" s="854">
        <v>0.11528215064180189</v>
      </c>
      <c r="V32" s="855">
        <v>43240.9381663113</v>
      </c>
      <c r="W32" s="854">
        <v>0.011725</v>
      </c>
      <c r="X32" s="855">
        <v>55.25</v>
      </c>
      <c r="Y32" s="853">
        <v>83.30941262476314</v>
      </c>
      <c r="Z32" s="855">
        <v>134054</v>
      </c>
      <c r="AA32" s="855">
        <v>3918</v>
      </c>
      <c r="AB32" s="855">
        <v>507</v>
      </c>
      <c r="AC32" s="855">
        <v>4129</v>
      </c>
      <c r="AD32" s="855">
        <v>476</v>
      </c>
      <c r="AE32" s="855">
        <v>43</v>
      </c>
      <c r="AF32" s="855">
        <v>14</v>
      </c>
      <c r="AG32" s="855">
        <v>45</v>
      </c>
    </row>
    <row r="33">
      <c r="A33" s="848" t="s">
        <v>1884</v>
      </c>
      <c r="B33" s="848" t="s">
        <v>1866</v>
      </c>
      <c r="C33" s="848" t="s">
        <v>1867</v>
      </c>
      <c r="D33" s="848">
        <v>4</v>
      </c>
      <c r="E33" s="848">
        <v>31</v>
      </c>
      <c r="F33" s="848">
        <v>31</v>
      </c>
      <c r="G33" s="848">
        <v>51039.25</v>
      </c>
      <c r="H33" s="849">
        <v>11147.16</v>
      </c>
      <c r="I33" s="850">
        <f t="shared" si="0"/>
      </c>
      <c r="J33" s="850">
        <f t="shared" si="1"/>
      </c>
      <c r="K33" s="850">
        <f t="shared" si="2"/>
      </c>
      <c r="L33" s="848"/>
      <c r="M33" s="848"/>
      <c r="N33" s="848"/>
      <c r="O33" s="848"/>
      <c r="P33" s="852"/>
      <c r="Q33" s="853">
        <v>2.7155079171741776</v>
      </c>
      <c r="R33" s="854">
        <v>0.19806261601730585</v>
      </c>
      <c r="S33" s="854">
        <v>0.03219077642113848</v>
      </c>
      <c r="T33" s="854">
        <v>0.03551571897961904</v>
      </c>
      <c r="U33" s="854">
        <v>0.08302053433429013</v>
      </c>
      <c r="V33" s="855">
        <v>25257.14285714286</v>
      </c>
      <c r="W33" s="854">
        <v>0.017499999999999998</v>
      </c>
      <c r="X33" s="855">
        <v>57</v>
      </c>
      <c r="Y33" s="853">
        <v>87.41430823158538</v>
      </c>
      <c r="Z33" s="855">
        <v>127521</v>
      </c>
      <c r="AA33" s="855">
        <v>4105</v>
      </c>
      <c r="AB33" s="855">
        <v>442</v>
      </c>
      <c r="AC33" s="855">
        <v>4529</v>
      </c>
      <c r="AD33" s="855">
        <v>376</v>
      </c>
      <c r="AE33" s="855">
        <v>36</v>
      </c>
      <c r="AF33" s="855">
        <v>5</v>
      </c>
      <c r="AG33" s="855">
        <v>26</v>
      </c>
    </row>
    <row r="34">
      <c r="A34" s="856" t="s">
        <v>1884</v>
      </c>
      <c r="B34" s="856" t="s">
        <v>1868</v>
      </c>
      <c r="C34" s="857"/>
      <c r="D34" s="857">
        <f>SUM(D32:D33)</f>
      </c>
      <c r="E34" s="857">
        <f>SUM(E32:E33)</f>
      </c>
      <c r="F34" s="857">
        <f>SUM(F32:F33)</f>
      </c>
      <c r="G34" s="857">
        <f>SUM(G32:G33)</f>
      </c>
      <c r="H34" s="857">
        <f>SUM(H32:H33)</f>
      </c>
      <c r="I34" s="858">
        <f t="shared" si="0"/>
      </c>
      <c r="J34" s="858">
        <f t="shared" si="1"/>
      </c>
      <c r="K34" s="858">
        <f t="shared" si="2"/>
      </c>
      <c r="L34" s="857"/>
      <c r="M34" s="857">
        <f>SUM(M32:M33)</f>
      </c>
      <c r="N34" s="857"/>
      <c r="O34" s="857"/>
      <c r="P34" s="857"/>
      <c r="Q34" s="859">
        <f>AVERAGE(Q32:Q33)</f>
      </c>
      <c r="R34" s="860">
        <f>AVERAGE(R32:R33)</f>
      </c>
      <c r="S34" s="860">
        <f>AVERAGE(S32:S33)</f>
      </c>
      <c r="T34" s="860">
        <f>AVERAGE(T32:T33)</f>
      </c>
      <c r="U34" s="860">
        <f>AVERAGE(U32:U33)</f>
      </c>
      <c r="V34" s="861">
        <f>SUM(V32:V33)</f>
      </c>
      <c r="W34" s="860">
        <f>AVERAGE(W32:W33)</f>
      </c>
      <c r="X34" s="861">
        <f>AVERAGE(X32:X33)</f>
      </c>
      <c r="Y34" s="859">
        <f>AVERAGE(Y32:Y33)</f>
      </c>
      <c r="Z34" s="861">
        <f>SUM(Z32:Z33)</f>
      </c>
      <c r="AA34" s="861">
        <f>SUM(AA32:AA33)</f>
      </c>
      <c r="AB34" s="861">
        <f>SUM(AB32:AB33)</f>
      </c>
      <c r="AC34" s="861">
        <f>SUM(AC32:AC33)</f>
      </c>
      <c r="AD34" s="861">
        <f>SUM(AD32:AD33)</f>
      </c>
      <c r="AE34" s="861">
        <f>SUM(AE32:AE33)</f>
      </c>
      <c r="AF34" s="861">
        <f>SUM(AF32:AF33)</f>
      </c>
      <c r="AG34" s="861">
        <f>SUM(AG32:AG33)</f>
      </c>
    </row>
    <row r="35">
      <c r="A35" s="848" t="s">
        <v>1885</v>
      </c>
      <c r="B35" s="848" t="s">
        <v>1863</v>
      </c>
      <c r="C35" s="848" t="s">
        <v>1864</v>
      </c>
      <c r="D35" s="848">
        <v>4</v>
      </c>
      <c r="E35" s="848">
        <v>26</v>
      </c>
      <c r="F35" s="848">
        <v>26</v>
      </c>
      <c r="G35" s="848">
        <v>42474.2</v>
      </c>
      <c r="H35" s="849">
        <v>9309.82</v>
      </c>
      <c r="I35" s="850">
        <f t="shared" si="0"/>
      </c>
      <c r="J35" s="850">
        <f t="shared" si="1"/>
      </c>
      <c r="K35" s="850">
        <f t="shared" si="2"/>
      </c>
      <c r="L35" s="848" t="s">
        <v>1865</v>
      </c>
      <c r="M35" s="851">
        <v>8</v>
      </c>
      <c r="N35" s="852"/>
      <c r="O35" s="848"/>
      <c r="P35" s="852"/>
      <c r="Q35" s="853">
        <v>2.8323151810161242</v>
      </c>
      <c r="R35" s="854">
        <v>0.33256529971005994</v>
      </c>
      <c r="S35" s="854">
        <v>0.028756648936170214</v>
      </c>
      <c r="T35" s="854">
        <v>0.03129374300111982</v>
      </c>
      <c r="U35" s="854">
        <v>0.11713726586525021</v>
      </c>
      <c r="V35" s="855">
        <v>38013.54401805869</v>
      </c>
      <c r="W35" s="854">
        <v>0.011075</v>
      </c>
      <c r="X35" s="855">
        <v>55.5</v>
      </c>
      <c r="Y35" s="853">
        <v>81.44789333706606</v>
      </c>
      <c r="Z35" s="855">
        <v>114304</v>
      </c>
      <c r="AA35" s="855">
        <v>3287</v>
      </c>
      <c r="AB35" s="855">
        <v>421</v>
      </c>
      <c r="AC35" s="855">
        <v>3577</v>
      </c>
      <c r="AD35" s="855">
        <v>419</v>
      </c>
      <c r="AE35" s="855">
        <v>30</v>
      </c>
      <c r="AF35" s="855">
        <v>10</v>
      </c>
      <c r="AG35" s="855">
        <v>30</v>
      </c>
    </row>
    <row r="36">
      <c r="A36" s="848" t="s">
        <v>1885</v>
      </c>
      <c r="B36" s="848" t="s">
        <v>1873</v>
      </c>
      <c r="C36" s="848" t="s">
        <v>1867</v>
      </c>
      <c r="D36" s="848">
        <v>4</v>
      </c>
      <c r="E36" s="848">
        <v>19</v>
      </c>
      <c r="F36" s="848">
        <v>19</v>
      </c>
      <c r="G36" s="848">
        <v>30706.2</v>
      </c>
      <c r="H36" s="849">
        <v>8078.4</v>
      </c>
      <c r="I36" s="850">
        <f t="shared" si="0"/>
      </c>
      <c r="J36" s="850">
        <f t="shared" si="1"/>
      </c>
      <c r="K36" s="850">
        <f t="shared" si="2"/>
      </c>
      <c r="L36" s="848"/>
      <c r="M36" s="848"/>
      <c r="N36" s="848"/>
      <c r="O36" s="848"/>
      <c r="P36" s="852"/>
      <c r="Q36" s="853">
        <v>2.8677316293929715</v>
      </c>
      <c r="R36" s="854">
        <v>0.23934567838897228</v>
      </c>
      <c r="S36" s="854">
        <v>0.03121640939262641</v>
      </c>
      <c r="T36" s="854">
        <v>0.03399785020112809</v>
      </c>
      <c r="U36" s="854">
        <v>0.09941329856584094</v>
      </c>
      <c r="V36" s="855">
        <v>21598.793363499248</v>
      </c>
      <c r="W36" s="854">
        <v>0.016575</v>
      </c>
      <c r="X36" s="855">
        <v>60.25</v>
      </c>
      <c r="Y36" s="853">
        <v>89.5202845713146</v>
      </c>
      <c r="Z36" s="855">
        <v>90241</v>
      </c>
      <c r="AA36" s="855">
        <v>2817</v>
      </c>
      <c r="AB36" s="855">
        <v>358</v>
      </c>
      <c r="AC36" s="855">
        <v>3068</v>
      </c>
      <c r="AD36" s="855">
        <v>305</v>
      </c>
      <c r="AE36" s="855">
        <v>28</v>
      </c>
      <c r="AF36" s="855">
        <v>3</v>
      </c>
      <c r="AG36" s="855">
        <v>33</v>
      </c>
    </row>
    <row r="37">
      <c r="A37" s="856" t="s">
        <v>1885</v>
      </c>
      <c r="B37" s="856" t="s">
        <v>1868</v>
      </c>
      <c r="C37" s="857"/>
      <c r="D37" s="857">
        <f>SUM(D35:D36)</f>
      </c>
      <c r="E37" s="857">
        <f>SUM(E35:E36)</f>
      </c>
      <c r="F37" s="857">
        <f>SUM(F35:F36)</f>
      </c>
      <c r="G37" s="857">
        <f>SUM(G35:G36)</f>
      </c>
      <c r="H37" s="857">
        <f>SUM(H35:H36)</f>
      </c>
      <c r="I37" s="858">
        <f t="shared" si="0"/>
      </c>
      <c r="J37" s="858">
        <f t="shared" si="1"/>
      </c>
      <c r="K37" s="858">
        <f t="shared" si="2"/>
      </c>
      <c r="L37" s="857"/>
      <c r="M37" s="857">
        <f>SUM(M35:M36)</f>
      </c>
      <c r="N37" s="857"/>
      <c r="O37" s="857"/>
      <c r="P37" s="857"/>
      <c r="Q37" s="859">
        <f>AVERAGE(Q35:Q36)</f>
      </c>
      <c r="R37" s="860">
        <f>AVERAGE(R35:R36)</f>
      </c>
      <c r="S37" s="860">
        <f>AVERAGE(S35:S36)</f>
      </c>
      <c r="T37" s="860">
        <f>AVERAGE(T35:T36)</f>
      </c>
      <c r="U37" s="860">
        <f>AVERAGE(U35:U36)</f>
      </c>
      <c r="V37" s="861">
        <f>SUM(V35:V36)</f>
      </c>
      <c r="W37" s="860">
        <f>AVERAGE(W35:W36)</f>
      </c>
      <c r="X37" s="861">
        <f>AVERAGE(X35:X36)</f>
      </c>
      <c r="Y37" s="859">
        <f>AVERAGE(Y35:Y36)</f>
      </c>
      <c r="Z37" s="861">
        <f>SUM(Z35:Z36)</f>
      </c>
      <c r="AA37" s="861">
        <f>SUM(AA35:AA36)</f>
      </c>
      <c r="AB37" s="861">
        <f>SUM(AB35:AB36)</f>
      </c>
      <c r="AC37" s="861">
        <f>SUM(AC35:AC36)</f>
      </c>
      <c r="AD37" s="861">
        <f>SUM(AD35:AD36)</f>
      </c>
      <c r="AE37" s="861">
        <f>SUM(AE35:AE36)</f>
      </c>
      <c r="AF37" s="861">
        <f>SUM(AF35:AF36)</f>
      </c>
      <c r="AG37" s="861">
        <f>SUM(AG35:AG36)</f>
      </c>
    </row>
    <row r="38">
      <c r="A38" s="848" t="s">
        <v>1886</v>
      </c>
      <c r="B38" s="848" t="s">
        <v>1863</v>
      </c>
      <c r="C38" s="848" t="s">
        <v>1864</v>
      </c>
      <c r="D38" s="848">
        <v>4</v>
      </c>
      <c r="E38" s="848">
        <v>34</v>
      </c>
      <c r="F38" s="848">
        <v>34</v>
      </c>
      <c r="G38" s="848">
        <v>51981.15</v>
      </c>
      <c r="H38" s="849">
        <v>12303.27</v>
      </c>
      <c r="I38" s="850">
        <f t="shared" si="0"/>
      </c>
      <c r="J38" s="850">
        <f t="shared" si="1"/>
      </c>
      <c r="K38" s="850">
        <f t="shared" si="2"/>
      </c>
      <c r="L38" s="848" t="s">
        <v>1865</v>
      </c>
      <c r="M38" s="851">
        <v>8</v>
      </c>
      <c r="N38" s="852"/>
      <c r="O38" s="848"/>
      <c r="P38" s="852"/>
      <c r="Q38" s="853">
        <v>2.4562327809942106</v>
      </c>
      <c r="R38" s="854">
        <v>0.35603849820829486</v>
      </c>
      <c r="S38" s="854">
        <v>0.025416074690481023</v>
      </c>
      <c r="T38" s="854">
        <v>0.02719707732900345</v>
      </c>
      <c r="U38" s="854">
        <v>0.10671641791044777</v>
      </c>
      <c r="V38" s="855">
        <v>70168.06722689075</v>
      </c>
      <c r="W38" s="854">
        <v>0.0119</v>
      </c>
      <c r="X38" s="855">
        <v>62.5</v>
      </c>
      <c r="Y38" s="853">
        <v>62.427795818956774</v>
      </c>
      <c r="Z38" s="855">
        <v>197080</v>
      </c>
      <c r="AA38" s="855">
        <v>5009</v>
      </c>
      <c r="AB38" s="855">
        <v>835</v>
      </c>
      <c r="AC38" s="855">
        <v>5360</v>
      </c>
      <c r="AD38" s="855">
        <v>572</v>
      </c>
      <c r="AE38" s="855">
        <v>58</v>
      </c>
      <c r="AF38" s="855">
        <v>21</v>
      </c>
      <c r="AG38" s="855">
        <v>68</v>
      </c>
    </row>
    <row r="39">
      <c r="A39" s="848" t="s">
        <v>1886</v>
      </c>
      <c r="B39" s="848" t="s">
        <v>1873</v>
      </c>
      <c r="C39" s="848" t="s">
        <v>1867</v>
      </c>
      <c r="D39" s="848">
        <v>4</v>
      </c>
      <c r="E39" s="848">
        <v>15</v>
      </c>
      <c r="F39" s="848">
        <v>15</v>
      </c>
      <c r="G39" s="848">
        <v>24530.1</v>
      </c>
      <c r="H39" s="849">
        <v>7899.39</v>
      </c>
      <c r="I39" s="850">
        <f t="shared" si="0"/>
      </c>
      <c r="J39" s="850">
        <f t="shared" si="1"/>
      </c>
      <c r="K39" s="850">
        <f t="shared" si="2"/>
      </c>
      <c r="L39" s="848"/>
      <c r="M39" s="848"/>
      <c r="N39" s="848"/>
      <c r="O39" s="848"/>
      <c r="P39" s="852"/>
      <c r="Q39" s="853">
        <v>2.295</v>
      </c>
      <c r="R39" s="854">
        <v>0.22423586955867267</v>
      </c>
      <c r="S39" s="854">
        <v>0.03501775304446909</v>
      </c>
      <c r="T39" s="854">
        <v>0.03835471498479037</v>
      </c>
      <c r="U39" s="854">
        <v>0.08753315649867374</v>
      </c>
      <c r="V39" s="855">
        <v>22040.816326530614</v>
      </c>
      <c r="W39" s="854">
        <v>0.0196</v>
      </c>
      <c r="X39" s="855">
        <v>60.5</v>
      </c>
      <c r="Y39" s="853">
        <v>80.36574323705656</v>
      </c>
      <c r="Z39" s="855">
        <v>98293</v>
      </c>
      <c r="AA39" s="855">
        <v>3442</v>
      </c>
      <c r="AB39" s="855">
        <v>432</v>
      </c>
      <c r="AC39" s="855">
        <v>3770</v>
      </c>
      <c r="AD39" s="855">
        <v>330</v>
      </c>
      <c r="AE39" s="855">
        <v>28</v>
      </c>
      <c r="AF39" s="855">
        <v>11</v>
      </c>
      <c r="AG39" s="855">
        <v>41</v>
      </c>
    </row>
    <row r="40">
      <c r="A40" s="856" t="s">
        <v>1886</v>
      </c>
      <c r="B40" s="856" t="s">
        <v>1868</v>
      </c>
      <c r="C40" s="857"/>
      <c r="D40" s="857">
        <f>SUM(D38:D39)</f>
      </c>
      <c r="E40" s="857">
        <f>SUM(E38:E39)</f>
      </c>
      <c r="F40" s="857">
        <f>SUM(F38:F39)</f>
      </c>
      <c r="G40" s="857">
        <f>SUM(G38:G39)</f>
      </c>
      <c r="H40" s="857">
        <f>SUM(H38:H39)</f>
      </c>
      <c r="I40" s="858">
        <f t="shared" si="0"/>
      </c>
      <c r="J40" s="858">
        <f t="shared" si="1"/>
      </c>
      <c r="K40" s="858">
        <f t="shared" si="2"/>
      </c>
      <c r="L40" s="857"/>
      <c r="M40" s="857">
        <f>SUM(M38:M39)</f>
      </c>
      <c r="N40" s="857"/>
      <c r="O40" s="857"/>
      <c r="P40" s="857"/>
      <c r="Q40" s="859">
        <f>AVERAGE(Q38:Q39)</f>
      </c>
      <c r="R40" s="860">
        <f>AVERAGE(R38:R39)</f>
      </c>
      <c r="S40" s="860">
        <f>AVERAGE(S38:S39)</f>
      </c>
      <c r="T40" s="860">
        <f>AVERAGE(T38:T39)</f>
      </c>
      <c r="U40" s="860">
        <f>AVERAGE(U38:U39)</f>
      </c>
      <c r="V40" s="861">
        <f>SUM(V38:V39)</f>
      </c>
      <c r="W40" s="860">
        <f>AVERAGE(W38:W39)</f>
      </c>
      <c r="X40" s="861">
        <f>AVERAGE(X38:X39)</f>
      </c>
      <c r="Y40" s="859">
        <f>AVERAGE(Y38:Y39)</f>
      </c>
      <c r="Z40" s="861">
        <f>SUM(Z38:Z39)</f>
      </c>
      <c r="AA40" s="861">
        <f>SUM(AA38:AA39)</f>
      </c>
      <c r="AB40" s="861">
        <f>SUM(AB38:AB39)</f>
      </c>
      <c r="AC40" s="861">
        <f>SUM(AC38:AC39)</f>
      </c>
      <c r="AD40" s="861">
        <f>SUM(AD38:AD39)</f>
      </c>
      <c r="AE40" s="861">
        <f>SUM(AE38:AE39)</f>
      </c>
      <c r="AF40" s="861">
        <f>SUM(AF38:AF39)</f>
      </c>
      <c r="AG40" s="861">
        <f>SUM(AG38:AG39)</f>
      </c>
    </row>
    <row r="41">
      <c r="A41" s="848" t="s">
        <v>1887</v>
      </c>
      <c r="B41" s="848" t="s">
        <v>1866</v>
      </c>
      <c r="C41" s="848" t="s">
        <v>1864</v>
      </c>
      <c r="D41" s="848">
        <v>4</v>
      </c>
      <c r="E41" s="848">
        <v>23</v>
      </c>
      <c r="F41" s="848">
        <v>23</v>
      </c>
      <c r="G41" s="848">
        <v>30117.15</v>
      </c>
      <c r="H41" s="849">
        <v>10489.85</v>
      </c>
      <c r="I41" s="850">
        <f t="shared" si="0"/>
      </c>
      <c r="J41" s="850">
        <f t="shared" si="1"/>
      </c>
      <c r="K41" s="850">
        <f t="shared" si="2"/>
      </c>
      <c r="L41" s="848" t="s">
        <v>1865</v>
      </c>
      <c r="M41" s="851">
        <v>8</v>
      </c>
      <c r="N41" s="852"/>
      <c r="O41" s="848"/>
      <c r="P41" s="852"/>
      <c r="Q41" s="853">
        <v>2.5559064327485377</v>
      </c>
      <c r="R41" s="854">
        <v>0.39072236304689495</v>
      </c>
      <c r="S41" s="854">
        <v>0.02636667930177127</v>
      </c>
      <c r="T41" s="854">
        <v>0.02808205536745668</v>
      </c>
      <c r="U41" s="854">
        <v>0.08075955159002517</v>
      </c>
      <c r="V41" s="855">
        <v>60816.32653061225</v>
      </c>
      <c r="W41" s="854">
        <v>0.0098</v>
      </c>
      <c r="X41" s="855">
        <v>52.25</v>
      </c>
      <c r="Y41" s="853">
        <v>67.3907652376149</v>
      </c>
      <c r="Z41" s="855">
        <v>155651</v>
      </c>
      <c r="AA41" s="855">
        <v>4104</v>
      </c>
      <c r="AB41" s="855">
        <v>596</v>
      </c>
      <c r="AC41" s="855">
        <v>4371</v>
      </c>
      <c r="AD41" s="855">
        <v>353</v>
      </c>
      <c r="AE41" s="855">
        <v>30</v>
      </c>
      <c r="AF41" s="855">
        <v>15</v>
      </c>
      <c r="AG41" s="855">
        <v>42</v>
      </c>
    </row>
    <row r="42">
      <c r="A42" s="848" t="s">
        <v>1887</v>
      </c>
      <c r="B42" s="848" t="s">
        <v>1863</v>
      </c>
      <c r="C42" s="848" t="s">
        <v>1867</v>
      </c>
      <c r="D42" s="848">
        <v>4</v>
      </c>
      <c r="E42" s="848">
        <v>25</v>
      </c>
      <c r="F42" s="848">
        <v>25</v>
      </c>
      <c r="G42" s="848">
        <v>34085.25</v>
      </c>
      <c r="H42" s="849">
        <v>9079.8</v>
      </c>
      <c r="I42" s="850">
        <f t="shared" si="0"/>
      </c>
      <c r="J42" s="850">
        <f t="shared" si="1"/>
      </c>
      <c r="K42" s="850">
        <f t="shared" si="2"/>
      </c>
      <c r="L42" s="848"/>
      <c r="M42" s="848"/>
      <c r="N42" s="848"/>
      <c r="O42" s="848"/>
      <c r="P42" s="852"/>
      <c r="Q42" s="853">
        <v>2.8971920867900445</v>
      </c>
      <c r="R42" s="854">
        <v>0.22556222827200817</v>
      </c>
      <c r="S42" s="854">
        <v>0.026843913009961543</v>
      </c>
      <c r="T42" s="854">
        <v>0.02880538591336971</v>
      </c>
      <c r="U42" s="854">
        <v>0.11418376449598573</v>
      </c>
      <c r="V42" s="855">
        <v>26334.16458852868</v>
      </c>
      <c r="W42" s="854">
        <v>0.02005</v>
      </c>
      <c r="X42" s="855">
        <v>52.25</v>
      </c>
      <c r="Y42" s="853">
        <v>77.7719723509409</v>
      </c>
      <c r="Z42" s="855">
        <v>116749</v>
      </c>
      <c r="AA42" s="855">
        <v>3134</v>
      </c>
      <c r="AB42" s="855">
        <v>528</v>
      </c>
      <c r="AC42" s="855">
        <v>3363</v>
      </c>
      <c r="AD42" s="855">
        <v>384</v>
      </c>
      <c r="AE42" s="855">
        <v>31</v>
      </c>
      <c r="AF42" s="855">
        <v>11</v>
      </c>
      <c r="AG42" s="855">
        <v>60</v>
      </c>
    </row>
    <row r="43">
      <c r="A43" s="856" t="s">
        <v>1887</v>
      </c>
      <c r="B43" s="856" t="s">
        <v>1868</v>
      </c>
      <c r="C43" s="857"/>
      <c r="D43" s="857">
        <f>SUM(D41:D42)</f>
      </c>
      <c r="E43" s="857">
        <f>SUM(E41:E42)</f>
      </c>
      <c r="F43" s="857">
        <f>SUM(F41:F42)</f>
      </c>
      <c r="G43" s="857">
        <f>SUM(G41:G42)</f>
      </c>
      <c r="H43" s="857">
        <f>SUM(H41:H42)</f>
      </c>
      <c r="I43" s="858">
        <f t="shared" si="0"/>
      </c>
      <c r="J43" s="858">
        <f t="shared" si="1"/>
      </c>
      <c r="K43" s="858">
        <f t="shared" si="2"/>
      </c>
      <c r="L43" s="857"/>
      <c r="M43" s="857">
        <f>SUM(M41:M42)</f>
      </c>
      <c r="N43" s="857"/>
      <c r="O43" s="857"/>
      <c r="P43" s="857"/>
      <c r="Q43" s="859">
        <f>AVERAGE(Q41:Q42)</f>
      </c>
      <c r="R43" s="860">
        <f>AVERAGE(R41:R42)</f>
      </c>
      <c r="S43" s="860">
        <f>AVERAGE(S41:S42)</f>
      </c>
      <c r="T43" s="860">
        <f>AVERAGE(T41:T42)</f>
      </c>
      <c r="U43" s="860">
        <f>AVERAGE(U41:U42)</f>
      </c>
      <c r="V43" s="861">
        <f>SUM(V41:V42)</f>
      </c>
      <c r="W43" s="860">
        <f>AVERAGE(W41:W42)</f>
      </c>
      <c r="X43" s="861">
        <f>AVERAGE(X41:X42)</f>
      </c>
      <c r="Y43" s="859">
        <f>AVERAGE(Y41:Y42)</f>
      </c>
      <c r="Z43" s="861">
        <f>SUM(Z41:Z42)</f>
      </c>
      <c r="AA43" s="861">
        <f>SUM(AA41:AA42)</f>
      </c>
      <c r="AB43" s="861">
        <f>SUM(AB41:AB42)</f>
      </c>
      <c r="AC43" s="861">
        <f>SUM(AC41:AC42)</f>
      </c>
      <c r="AD43" s="861">
        <f>SUM(AD41:AD42)</f>
      </c>
      <c r="AE43" s="861">
        <f>SUM(AE41:AE42)</f>
      </c>
      <c r="AF43" s="861">
        <f>SUM(AF41:AF42)</f>
      </c>
      <c r="AG43" s="861">
        <f>SUM(AG41:AG42)</f>
      </c>
    </row>
    <row r="44">
      <c r="A44" s="848" t="s">
        <v>1888</v>
      </c>
      <c r="B44" s="848" t="s">
        <v>1863</v>
      </c>
      <c r="C44" s="848" t="s">
        <v>1864</v>
      </c>
      <c r="D44" s="848">
        <v>4</v>
      </c>
      <c r="E44" s="848">
        <v>23</v>
      </c>
      <c r="F44" s="848">
        <v>23</v>
      </c>
      <c r="G44" s="848">
        <v>35622.37</v>
      </c>
      <c r="H44" s="849">
        <v>10376.98</v>
      </c>
      <c r="I44" s="850">
        <f t="shared" si="0"/>
      </c>
      <c r="J44" s="850">
        <f t="shared" si="1"/>
      </c>
      <c r="K44" s="850">
        <f t="shared" si="2"/>
      </c>
      <c r="L44" s="848" t="s">
        <v>1865</v>
      </c>
      <c r="M44" s="851">
        <v>8</v>
      </c>
      <c r="N44" s="852"/>
      <c r="O44" s="848"/>
      <c r="P44" s="852"/>
      <c r="Q44" s="853">
        <v>2.9239165962242883</v>
      </c>
      <c r="R44" s="854">
        <v>0.4700618165421873</v>
      </c>
      <c r="S44" s="854">
        <v>0.02370852344465005</v>
      </c>
      <c r="T44" s="854">
        <v>0.024971107533418396</v>
      </c>
      <c r="U44" s="854">
        <v>0.13081861958266452</v>
      </c>
      <c r="V44" s="855">
        <v>70364.96350364965</v>
      </c>
      <c r="W44" s="854">
        <v>0.006849999999999999</v>
      </c>
      <c r="X44" s="855">
        <v>52.75</v>
      </c>
      <c r="Y44" s="853">
        <v>69.32174517178493</v>
      </c>
      <c r="Z44" s="855">
        <v>149693</v>
      </c>
      <c r="AA44" s="855">
        <v>3549</v>
      </c>
      <c r="AB44" s="855">
        <v>482</v>
      </c>
      <c r="AC44" s="855">
        <v>3738</v>
      </c>
      <c r="AD44" s="855">
        <v>489</v>
      </c>
      <c r="AE44" s="855">
        <v>45</v>
      </c>
      <c r="AF44" s="855">
        <v>12</v>
      </c>
      <c r="AG44" s="855">
        <v>25</v>
      </c>
    </row>
    <row r="45">
      <c r="A45" s="848" t="s">
        <v>1888</v>
      </c>
      <c r="B45" s="848" t="s">
        <v>1866</v>
      </c>
      <c r="C45" s="848" t="s">
        <v>1867</v>
      </c>
      <c r="D45" s="848">
        <v>4</v>
      </c>
      <c r="E45" s="848">
        <v>24</v>
      </c>
      <c r="F45" s="848">
        <v>24</v>
      </c>
      <c r="G45" s="848">
        <v>33915.15</v>
      </c>
      <c r="H45" s="849">
        <v>8565.71</v>
      </c>
      <c r="I45" s="850">
        <f t="shared" si="0"/>
      </c>
      <c r="J45" s="850">
        <f t="shared" si="1"/>
      </c>
      <c r="K45" s="850">
        <f t="shared" si="2"/>
      </c>
      <c r="L45" s="848"/>
      <c r="M45" s="848"/>
      <c r="N45" s="848"/>
      <c r="O45" s="848"/>
      <c r="P45" s="852"/>
      <c r="Q45" s="853">
        <v>2.900680663731798</v>
      </c>
      <c r="R45" s="854">
        <v>0.3235424245843879</v>
      </c>
      <c r="S45" s="854">
        <v>0.03520841281953453</v>
      </c>
      <c r="T45" s="854">
        <v>0.039584128195345285</v>
      </c>
      <c r="U45" s="854">
        <v>0.10391566265060241</v>
      </c>
      <c r="V45" s="855">
        <v>27136.150234741785</v>
      </c>
      <c r="W45" s="854">
        <v>0.01065</v>
      </c>
      <c r="X45" s="855">
        <v>57.25</v>
      </c>
      <c r="Y45" s="853">
        <v>102.12836226631056</v>
      </c>
      <c r="Z45" s="855">
        <v>83872</v>
      </c>
      <c r="AA45" s="855">
        <v>2953</v>
      </c>
      <c r="AB45" s="855">
        <v>289</v>
      </c>
      <c r="AC45" s="855">
        <v>3320</v>
      </c>
      <c r="AD45" s="855">
        <v>345</v>
      </c>
      <c r="AE45" s="855">
        <v>24</v>
      </c>
      <c r="AF45" s="855">
        <v>9</v>
      </c>
      <c r="AG45" s="855">
        <v>6</v>
      </c>
    </row>
    <row r="46">
      <c r="A46" s="856" t="s">
        <v>1888</v>
      </c>
      <c r="B46" s="856" t="s">
        <v>1868</v>
      </c>
      <c r="C46" s="857"/>
      <c r="D46" s="857">
        <f>SUM(D44:D45)</f>
      </c>
      <c r="E46" s="857">
        <f>SUM(E44:E45)</f>
      </c>
      <c r="F46" s="857">
        <f>SUM(F44:F45)</f>
      </c>
      <c r="G46" s="857">
        <f>SUM(G44:G45)</f>
      </c>
      <c r="H46" s="857">
        <f>SUM(H44:H45)</f>
      </c>
      <c r="I46" s="858">
        <f t="shared" si="0"/>
      </c>
      <c r="J46" s="858">
        <f t="shared" si="1"/>
      </c>
      <c r="K46" s="858">
        <f t="shared" si="2"/>
      </c>
      <c r="L46" s="857"/>
      <c r="M46" s="857">
        <f>SUM(M44:M45)</f>
      </c>
      <c r="N46" s="857"/>
      <c r="O46" s="857"/>
      <c r="P46" s="857"/>
      <c r="Q46" s="859">
        <f>AVERAGE(Q44:Q45)</f>
      </c>
      <c r="R46" s="860">
        <f>AVERAGE(R44:R45)</f>
      </c>
      <c r="S46" s="860">
        <f>AVERAGE(S44:S45)</f>
      </c>
      <c r="T46" s="860">
        <f>AVERAGE(T44:T45)</f>
      </c>
      <c r="U46" s="860">
        <f>AVERAGE(U44:U45)</f>
      </c>
      <c r="V46" s="861">
        <f>SUM(V44:V45)</f>
      </c>
      <c r="W46" s="860">
        <f>AVERAGE(W44:W45)</f>
      </c>
      <c r="X46" s="861">
        <f>AVERAGE(X44:X45)</f>
      </c>
      <c r="Y46" s="859">
        <f>AVERAGE(Y44:Y45)</f>
      </c>
      <c r="Z46" s="861">
        <f>SUM(Z44:Z45)</f>
      </c>
      <c r="AA46" s="861">
        <f>SUM(AA44:AA45)</f>
      </c>
      <c r="AB46" s="861">
        <f>SUM(AB44:AB45)</f>
      </c>
      <c r="AC46" s="861">
        <f>SUM(AC44:AC45)</f>
      </c>
      <c r="AD46" s="861">
        <f>SUM(AD44:AD45)</f>
      </c>
      <c r="AE46" s="861">
        <f>SUM(AE44:AE45)</f>
      </c>
      <c r="AF46" s="861">
        <f>SUM(AF44:AF45)</f>
      </c>
      <c r="AG46" s="861">
        <f>SUM(AG44:AG45)</f>
      </c>
    </row>
    <row r="47">
      <c r="A47" s="848" t="s">
        <v>1889</v>
      </c>
      <c r="B47" s="848" t="s">
        <v>1863</v>
      </c>
      <c r="C47" s="848" t="s">
        <v>1864</v>
      </c>
      <c r="D47" s="848">
        <v>4</v>
      </c>
      <c r="E47" s="848">
        <v>4</v>
      </c>
      <c r="F47" s="848">
        <v>4</v>
      </c>
      <c r="G47" s="848">
        <v>11692.2</v>
      </c>
      <c r="H47" s="849">
        <v>5174.02</v>
      </c>
      <c r="I47" s="850">
        <f t="shared" si="0"/>
      </c>
      <c r="J47" s="850">
        <f t="shared" si="1"/>
      </c>
      <c r="K47" s="850">
        <f t="shared" si="2"/>
      </c>
      <c r="L47" s="848" t="s">
        <v>1872</v>
      </c>
      <c r="M47" s="851">
        <v>8</v>
      </c>
      <c r="N47" s="852"/>
      <c r="O47" s="848"/>
      <c r="P47" s="852"/>
      <c r="Q47" s="853">
        <v>2.3744928866452497</v>
      </c>
      <c r="R47" s="854">
        <v>0.5408803411133039</v>
      </c>
      <c r="S47" s="854">
        <v>0.02620785874938359</v>
      </c>
      <c r="T47" s="854">
        <v>0.02821644636349422</v>
      </c>
      <c r="U47" s="854">
        <v>0.09718670076726342</v>
      </c>
      <c r="V47" s="855">
        <v>44970.41420118343</v>
      </c>
      <c r="W47" s="854">
        <v>0.0042250000000000005</v>
      </c>
      <c r="X47" s="855">
        <v>47.25</v>
      </c>
      <c r="Y47" s="853">
        <v>62.230374174614816</v>
      </c>
      <c r="Z47" s="855">
        <v>83143</v>
      </c>
      <c r="AA47" s="855">
        <v>2179</v>
      </c>
      <c r="AB47" s="855">
        <v>190</v>
      </c>
      <c r="AC47" s="855">
        <v>2346</v>
      </c>
      <c r="AD47" s="855">
        <v>228</v>
      </c>
      <c r="AE47" s="855">
        <v>16</v>
      </c>
      <c r="AF47" s="855">
        <v>7</v>
      </c>
      <c r="AG47" s="855">
        <v>0</v>
      </c>
    </row>
    <row r="48">
      <c r="A48" s="848" t="s">
        <v>1889</v>
      </c>
      <c r="B48" s="848" t="s">
        <v>1873</v>
      </c>
      <c r="C48" s="848" t="s">
        <v>1867</v>
      </c>
      <c r="D48" s="848">
        <v>4</v>
      </c>
      <c r="E48" s="848">
        <v>5</v>
      </c>
      <c r="F48" s="848">
        <v>5</v>
      </c>
      <c r="G48" s="848">
        <v>12671.1</v>
      </c>
      <c r="H48" s="849">
        <v>3674.05</v>
      </c>
      <c r="I48" s="850">
        <f t="shared" si="0"/>
      </c>
      <c r="J48" s="850">
        <f t="shared" si="1"/>
      </c>
      <c r="K48" s="850">
        <f t="shared" si="2"/>
      </c>
      <c r="L48" s="848"/>
      <c r="M48" s="848"/>
      <c r="N48" s="848"/>
      <c r="O48" s="848"/>
      <c r="P48" s="852"/>
      <c r="Q48" s="853">
        <v>1.7887293086660176</v>
      </c>
      <c r="R48" s="854">
        <v>0.3949477699746652</v>
      </c>
      <c r="S48" s="854">
        <v>0.03682851610126946</v>
      </c>
      <c r="T48" s="854">
        <v>0.040665566951158284</v>
      </c>
      <c r="U48" s="854">
        <v>0.05952380952380952</v>
      </c>
      <c r="V48" s="855">
        <v>22027.027027027027</v>
      </c>
      <c r="W48" s="854">
        <v>0.0074</v>
      </c>
      <c r="X48" s="855">
        <v>44.75</v>
      </c>
      <c r="Y48" s="853">
        <v>65.87624614501901</v>
      </c>
      <c r="Z48" s="855">
        <v>55772</v>
      </c>
      <c r="AA48" s="855">
        <v>2054</v>
      </c>
      <c r="AB48" s="855">
        <v>163</v>
      </c>
      <c r="AC48" s="855">
        <v>2268</v>
      </c>
      <c r="AD48" s="855">
        <v>135</v>
      </c>
      <c r="AE48" s="855">
        <v>10</v>
      </c>
      <c r="AF48" s="855">
        <v>0</v>
      </c>
      <c r="AG48" s="855">
        <v>0</v>
      </c>
    </row>
    <row r="49">
      <c r="A49" s="856" t="s">
        <v>1889</v>
      </c>
      <c r="B49" s="856" t="s">
        <v>1868</v>
      </c>
      <c r="C49" s="857"/>
      <c r="D49" s="857">
        <f>SUM(D47:D48)</f>
      </c>
      <c r="E49" s="857">
        <f>SUM(E47:E48)</f>
      </c>
      <c r="F49" s="857">
        <f>SUM(F47:F48)</f>
      </c>
      <c r="G49" s="857">
        <f>SUM(G47:G48)</f>
      </c>
      <c r="H49" s="857">
        <f>SUM(H47:H48)</f>
      </c>
      <c r="I49" s="858">
        <f t="shared" si="0"/>
      </c>
      <c r="J49" s="858">
        <f t="shared" si="1"/>
      </c>
      <c r="K49" s="858">
        <f t="shared" si="2"/>
      </c>
      <c r="L49" s="857"/>
      <c r="M49" s="857">
        <f>SUM(M47:M48)</f>
      </c>
      <c r="N49" s="857"/>
      <c r="O49" s="857"/>
      <c r="P49" s="857"/>
      <c r="Q49" s="859">
        <f>AVERAGE(Q47:Q48)</f>
      </c>
      <c r="R49" s="860">
        <f>AVERAGE(R47:R48)</f>
      </c>
      <c r="S49" s="860">
        <f>AVERAGE(S47:S48)</f>
      </c>
      <c r="T49" s="860">
        <f>AVERAGE(T47:T48)</f>
      </c>
      <c r="U49" s="860">
        <f>AVERAGE(U47:U48)</f>
      </c>
      <c r="V49" s="861">
        <f>SUM(V47:V48)</f>
      </c>
      <c r="W49" s="860">
        <f>AVERAGE(W47:W48)</f>
      </c>
      <c r="X49" s="861">
        <f>AVERAGE(X47:X48)</f>
      </c>
      <c r="Y49" s="859">
        <f>AVERAGE(Y47:Y48)</f>
      </c>
      <c r="Z49" s="861">
        <f>SUM(Z47:Z48)</f>
      </c>
      <c r="AA49" s="861">
        <f>SUM(AA47:AA48)</f>
      </c>
      <c r="AB49" s="861">
        <f>SUM(AB47:AB48)</f>
      </c>
      <c r="AC49" s="861">
        <f>SUM(AC47:AC48)</f>
      </c>
      <c r="AD49" s="861">
        <f>SUM(AD47:AD48)</f>
      </c>
      <c r="AE49" s="861">
        <f>SUM(AE47:AE48)</f>
      </c>
      <c r="AF49" s="861">
        <f>SUM(AF47:AF48)</f>
      </c>
      <c r="AG49" s="861">
        <f>SUM(AG47:AG48)</f>
      </c>
    </row>
    <row r="50">
      <c r="A50" s="848" t="s">
        <v>1890</v>
      </c>
      <c r="B50" s="848" t="s">
        <v>1863</v>
      </c>
      <c r="C50" s="848" t="s">
        <v>1864</v>
      </c>
      <c r="D50" s="848">
        <v>4</v>
      </c>
      <c r="E50" s="848">
        <v>2</v>
      </c>
      <c r="F50" s="848">
        <v>2</v>
      </c>
      <c r="G50" s="848">
        <v>3993.6</v>
      </c>
      <c r="H50" s="849">
        <v>2496.33</v>
      </c>
      <c r="I50" s="850">
        <f t="shared" si="0"/>
      </c>
      <c r="J50" s="850">
        <f t="shared" si="1"/>
      </c>
      <c r="K50" s="850">
        <f t="shared" si="2"/>
      </c>
      <c r="L50" s="848" t="s">
        <v>1872</v>
      </c>
      <c r="M50" s="851">
        <v>8</v>
      </c>
      <c r="N50" s="852"/>
      <c r="O50" s="848"/>
      <c r="P50" s="852"/>
      <c r="Q50" s="853">
        <v>2.0229578606158833</v>
      </c>
      <c r="R50" s="854">
        <v>0.5361115300505241</v>
      </c>
      <c r="S50" s="854">
        <v>0.03235109060402685</v>
      </c>
      <c r="T50" s="854">
        <v>0.03492030201342282</v>
      </c>
      <c r="U50" s="854">
        <v>0.06381381381381382</v>
      </c>
      <c r="V50" s="855">
        <v>20449.43820224719</v>
      </c>
      <c r="W50" s="854">
        <v>0.00445</v>
      </c>
      <c r="X50" s="855">
        <v>51.75</v>
      </c>
      <c r="Y50" s="853">
        <v>65.44489303691276</v>
      </c>
      <c r="Z50" s="855">
        <v>38144</v>
      </c>
      <c r="AA50" s="855">
        <v>1234</v>
      </c>
      <c r="AB50" s="855">
        <v>91</v>
      </c>
      <c r="AC50" s="855">
        <v>1332</v>
      </c>
      <c r="AD50" s="855">
        <v>85</v>
      </c>
      <c r="AE50" s="855">
        <v>4</v>
      </c>
      <c r="AF50" s="855">
        <v>3</v>
      </c>
      <c r="AG50" s="855">
        <v>0</v>
      </c>
    </row>
    <row r="51">
      <c r="A51" s="848" t="s">
        <v>1890</v>
      </c>
      <c r="B51" s="848" t="s">
        <v>1873</v>
      </c>
      <c r="C51" s="848" t="s">
        <v>1867</v>
      </c>
      <c r="D51" s="848">
        <v>4</v>
      </c>
      <c r="E51" s="848">
        <v>3</v>
      </c>
      <c r="F51" s="848">
        <v>3</v>
      </c>
      <c r="G51" s="848">
        <v>6949.8</v>
      </c>
      <c r="H51" s="849">
        <v>2703.41</v>
      </c>
      <c r="I51" s="850">
        <f t="shared" si="0"/>
      </c>
      <c r="J51" s="850">
        <f t="shared" si="1"/>
      </c>
      <c r="K51" s="850">
        <f t="shared" si="2"/>
      </c>
      <c r="L51" s="848"/>
      <c r="M51" s="848"/>
      <c r="N51" s="848"/>
      <c r="O51" s="848"/>
      <c r="P51" s="852"/>
      <c r="Q51" s="853">
        <v>2.706116116116116</v>
      </c>
      <c r="R51" s="854">
        <v>0.28505587095070634</v>
      </c>
      <c r="S51" s="854">
        <v>0.04076719036931239</v>
      </c>
      <c r="T51" s="854">
        <v>0.04505203019791879</v>
      </c>
      <c r="U51" s="854">
        <v>0.11865942028985507</v>
      </c>
      <c r="V51" s="855">
        <v>6985.294117647059</v>
      </c>
      <c r="W51" s="854">
        <v>0.013600000000000001</v>
      </c>
      <c r="X51" s="855">
        <v>51.25</v>
      </c>
      <c r="Y51" s="853">
        <v>110.32075086716996</v>
      </c>
      <c r="Z51" s="855">
        <v>24505</v>
      </c>
      <c r="AA51" s="855">
        <v>999</v>
      </c>
      <c r="AB51" s="855">
        <v>95</v>
      </c>
      <c r="AC51" s="855">
        <v>1104</v>
      </c>
      <c r="AD51" s="855">
        <v>131</v>
      </c>
      <c r="AE51" s="855">
        <v>10</v>
      </c>
      <c r="AF51" s="855">
        <v>0</v>
      </c>
      <c r="AG51" s="855">
        <v>5</v>
      </c>
    </row>
    <row r="52">
      <c r="A52" s="856" t="s">
        <v>1890</v>
      </c>
      <c r="B52" s="856" t="s">
        <v>1868</v>
      </c>
      <c r="C52" s="857"/>
      <c r="D52" s="857">
        <f>SUM(D50:D51)</f>
      </c>
      <c r="E52" s="857">
        <f>SUM(E50:E51)</f>
      </c>
      <c r="F52" s="857">
        <f>SUM(F50:F51)</f>
      </c>
      <c r="G52" s="857">
        <f>SUM(G50:G51)</f>
      </c>
      <c r="H52" s="857">
        <f>SUM(H50:H51)</f>
      </c>
      <c r="I52" s="858">
        <f t="shared" si="0"/>
      </c>
      <c r="J52" s="858">
        <f t="shared" si="1"/>
      </c>
      <c r="K52" s="858">
        <f t="shared" si="2"/>
      </c>
      <c r="L52" s="857"/>
      <c r="M52" s="857">
        <f>SUM(M50:M51)</f>
      </c>
      <c r="N52" s="857"/>
      <c r="O52" s="857"/>
      <c r="P52" s="857"/>
      <c r="Q52" s="859">
        <f>AVERAGE(Q50:Q51)</f>
      </c>
      <c r="R52" s="860">
        <f>AVERAGE(R50:R51)</f>
      </c>
      <c r="S52" s="860">
        <f>AVERAGE(S50:S51)</f>
      </c>
      <c r="T52" s="860">
        <f>AVERAGE(T50:T51)</f>
      </c>
      <c r="U52" s="860">
        <f>AVERAGE(U50:U51)</f>
      </c>
      <c r="V52" s="861">
        <f>SUM(V50:V51)</f>
      </c>
      <c r="W52" s="860">
        <f>AVERAGE(W50:W51)</f>
      </c>
      <c r="X52" s="861">
        <f>AVERAGE(X50:X51)</f>
      </c>
      <c r="Y52" s="859">
        <f>AVERAGE(Y50:Y51)</f>
      </c>
      <c r="Z52" s="861">
        <f>SUM(Z50:Z51)</f>
      </c>
      <c r="AA52" s="861">
        <f>SUM(AA50:AA51)</f>
      </c>
      <c r="AB52" s="861">
        <f>SUM(AB50:AB51)</f>
      </c>
      <c r="AC52" s="861">
        <f>SUM(AC50:AC51)</f>
      </c>
      <c r="AD52" s="861">
        <f>SUM(AD50:AD51)</f>
      </c>
      <c r="AE52" s="861">
        <f>SUM(AE50:AE51)</f>
      </c>
      <c r="AF52" s="861">
        <f>SUM(AF50:AF51)</f>
      </c>
      <c r="AG52" s="861">
        <f>SUM(AG50:AG51)</f>
      </c>
    </row>
    <row r="53">
      <c r="A53" s="848" t="s">
        <v>1891</v>
      </c>
      <c r="B53" s="848" t="s">
        <v>1863</v>
      </c>
      <c r="C53" s="848" t="s">
        <v>1864</v>
      </c>
      <c r="D53" s="848">
        <v>4</v>
      </c>
      <c r="E53" s="848">
        <v>7</v>
      </c>
      <c r="F53" s="848">
        <v>7</v>
      </c>
      <c r="G53" s="848">
        <v>15406.95</v>
      </c>
      <c r="H53" s="849">
        <v>6073.79</v>
      </c>
      <c r="I53" s="850">
        <f t="shared" si="0"/>
      </c>
      <c r="J53" s="850">
        <f t="shared" si="1"/>
      </c>
      <c r="K53" s="850">
        <f t="shared" si="2"/>
      </c>
      <c r="L53" s="848" t="s">
        <v>1872</v>
      </c>
      <c r="M53" s="851">
        <v>8</v>
      </c>
      <c r="N53" s="852"/>
      <c r="O53" s="848"/>
      <c r="P53" s="852"/>
      <c r="Q53" s="853">
        <v>2.864995283018868</v>
      </c>
      <c r="R53" s="854">
        <v>0.5174486332722124</v>
      </c>
      <c r="S53" s="854">
        <v>0.030940774686943576</v>
      </c>
      <c r="T53" s="854">
        <v>0.03394728392539187</v>
      </c>
      <c r="U53" s="854">
        <v>0.10963026655202064</v>
      </c>
      <c r="V53" s="855">
        <v>35454.54545454545</v>
      </c>
      <c r="W53" s="854">
        <v>0.0055000000000000005</v>
      </c>
      <c r="X53" s="855">
        <v>49</v>
      </c>
      <c r="Y53" s="853">
        <v>88.64517353104294</v>
      </c>
      <c r="Z53" s="855">
        <v>68518</v>
      </c>
      <c r="AA53" s="855">
        <v>2120</v>
      </c>
      <c r="AB53" s="855">
        <v>195</v>
      </c>
      <c r="AC53" s="855">
        <v>2326</v>
      </c>
      <c r="AD53" s="855">
        <v>255</v>
      </c>
      <c r="AE53" s="855">
        <v>19</v>
      </c>
      <c r="AF53" s="855">
        <v>4</v>
      </c>
      <c r="AG53" s="855">
        <v>6</v>
      </c>
    </row>
    <row r="54">
      <c r="A54" s="848" t="s">
        <v>1891</v>
      </c>
      <c r="B54" s="848" t="s">
        <v>1866</v>
      </c>
      <c r="C54" s="848" t="s">
        <v>1867</v>
      </c>
      <c r="D54" s="848">
        <v>4</v>
      </c>
      <c r="E54" s="848">
        <v>14</v>
      </c>
      <c r="F54" s="848">
        <v>14</v>
      </c>
      <c r="G54" s="848">
        <v>30640.35</v>
      </c>
      <c r="H54" s="849">
        <v>7774.97</v>
      </c>
      <c r="I54" s="850">
        <f t="shared" si="0"/>
      </c>
      <c r="J54" s="850">
        <f t="shared" si="1"/>
      </c>
      <c r="K54" s="850">
        <f t="shared" si="2"/>
      </c>
      <c r="L54" s="848"/>
      <c r="M54" s="848"/>
      <c r="N54" s="848"/>
      <c r="O54" s="848"/>
      <c r="P54" s="852"/>
      <c r="Q54" s="853">
        <v>2.593385590393596</v>
      </c>
      <c r="R54" s="854">
        <v>0.41602809916268185</v>
      </c>
      <c r="S54" s="854">
        <v>0.03648089559503529</v>
      </c>
      <c r="T54" s="854">
        <v>0.04050863957167194</v>
      </c>
      <c r="U54" s="854">
        <v>0.12466206067888255</v>
      </c>
      <c r="V54" s="855">
        <v>34189.189189189194</v>
      </c>
      <c r="W54" s="854">
        <v>0.0073999999999999995</v>
      </c>
      <c r="X54" s="855">
        <v>45.75</v>
      </c>
      <c r="Y54" s="853">
        <v>94.60902896081771</v>
      </c>
      <c r="Z54" s="855">
        <v>82180</v>
      </c>
      <c r="AA54" s="855">
        <v>2998</v>
      </c>
      <c r="AB54" s="855">
        <v>253</v>
      </c>
      <c r="AC54" s="855">
        <v>3329</v>
      </c>
      <c r="AD54" s="855">
        <v>415</v>
      </c>
      <c r="AE54" s="855">
        <v>28</v>
      </c>
      <c r="AF54" s="855">
        <v>7</v>
      </c>
      <c r="AG54" s="855">
        <v>8</v>
      </c>
    </row>
    <row r="55">
      <c r="A55" s="856" t="s">
        <v>1891</v>
      </c>
      <c r="B55" s="856" t="s">
        <v>1868</v>
      </c>
      <c r="C55" s="857"/>
      <c r="D55" s="857">
        <f>SUM(D53:D54)</f>
      </c>
      <c r="E55" s="857">
        <f>SUM(E53:E54)</f>
      </c>
      <c r="F55" s="857">
        <f>SUM(F53:F54)</f>
      </c>
      <c r="G55" s="857">
        <f>SUM(G53:G54)</f>
      </c>
      <c r="H55" s="857">
        <f>SUM(H53:H54)</f>
      </c>
      <c r="I55" s="858">
        <f t="shared" si="0"/>
      </c>
      <c r="J55" s="858">
        <f t="shared" si="1"/>
      </c>
      <c r="K55" s="858">
        <f t="shared" si="2"/>
      </c>
      <c r="L55" s="857"/>
      <c r="M55" s="857">
        <f>SUM(M53:M54)</f>
      </c>
      <c r="N55" s="857"/>
      <c r="O55" s="857"/>
      <c r="P55" s="857"/>
      <c r="Q55" s="859">
        <f>AVERAGE(Q53:Q54)</f>
      </c>
      <c r="R55" s="860">
        <f>AVERAGE(R53:R54)</f>
      </c>
      <c r="S55" s="860">
        <f>AVERAGE(S53:S54)</f>
      </c>
      <c r="T55" s="860">
        <f>AVERAGE(T53:T54)</f>
      </c>
      <c r="U55" s="860">
        <f>AVERAGE(U53:U54)</f>
      </c>
      <c r="V55" s="861">
        <f>SUM(V53:V54)</f>
      </c>
      <c r="W55" s="860">
        <f>AVERAGE(W53:W54)</f>
      </c>
      <c r="X55" s="861">
        <f>AVERAGE(X53:X54)</f>
      </c>
      <c r="Y55" s="859">
        <f>AVERAGE(Y53:Y54)</f>
      </c>
      <c r="Z55" s="861">
        <f>SUM(Z53:Z54)</f>
      </c>
      <c r="AA55" s="861">
        <f>SUM(AA53:AA54)</f>
      </c>
      <c r="AB55" s="861">
        <f>SUM(AB53:AB54)</f>
      </c>
      <c r="AC55" s="861">
        <f>SUM(AC53:AC54)</f>
      </c>
      <c r="AD55" s="861">
        <f>SUM(AD53:AD54)</f>
      </c>
      <c r="AE55" s="861">
        <f>SUM(AE53:AE54)</f>
      </c>
      <c r="AF55" s="861">
        <f>SUM(AF53:AF54)</f>
      </c>
      <c r="AG55" s="861">
        <f>SUM(AG53:AG54)</f>
      </c>
    </row>
    <row r="56">
      <c r="A56" s="848" t="s">
        <v>1892</v>
      </c>
      <c r="B56" s="848" t="s">
        <v>1863</v>
      </c>
      <c r="C56" s="848" t="s">
        <v>1864</v>
      </c>
      <c r="D56" s="848">
        <v>4</v>
      </c>
      <c r="E56" s="848">
        <v>11</v>
      </c>
      <c r="F56" s="848">
        <v>11</v>
      </c>
      <c r="G56" s="848">
        <v>27732.9</v>
      </c>
      <c r="H56" s="849">
        <v>8974.5</v>
      </c>
      <c r="I56" s="850">
        <f t="shared" si="0"/>
      </c>
      <c r="J56" s="850">
        <f t="shared" si="1"/>
      </c>
      <c r="K56" s="850">
        <f t="shared" si="2"/>
      </c>
      <c r="L56" s="848" t="s">
        <v>1865</v>
      </c>
      <c r="M56" s="851">
        <v>8</v>
      </c>
      <c r="N56" s="852"/>
      <c r="O56" s="848"/>
      <c r="P56" s="852"/>
      <c r="Q56" s="853">
        <v>2.5766580534022396</v>
      </c>
      <c r="R56" s="854">
        <v>0.33728494264100645</v>
      </c>
      <c r="S56" s="854">
        <v>0.03389682053078742</v>
      </c>
      <c r="T56" s="854">
        <v>0.04030052650530885</v>
      </c>
      <c r="U56" s="854">
        <v>0.066167592368993</v>
      </c>
      <c r="V56" s="855">
        <v>34657.03971119133</v>
      </c>
      <c r="W56" s="854">
        <v>0.006925000000000001</v>
      </c>
      <c r="X56" s="855">
        <v>45</v>
      </c>
      <c r="Y56" s="853">
        <v>87.34051560538377</v>
      </c>
      <c r="Z56" s="855">
        <v>102753</v>
      </c>
      <c r="AA56" s="855">
        <v>3483</v>
      </c>
      <c r="AB56" s="855">
        <v>240</v>
      </c>
      <c r="AC56" s="855">
        <v>4141</v>
      </c>
      <c r="AD56" s="855">
        <v>274</v>
      </c>
      <c r="AE56" s="855">
        <v>18</v>
      </c>
      <c r="AF56" s="855">
        <v>7</v>
      </c>
      <c r="AG56" s="855">
        <v>14</v>
      </c>
    </row>
    <row r="57">
      <c r="A57" s="848" t="s">
        <v>1892</v>
      </c>
      <c r="B57" s="848" t="s">
        <v>1866</v>
      </c>
      <c r="C57" s="848" t="s">
        <v>1867</v>
      </c>
      <c r="D57" s="848">
        <v>4</v>
      </c>
      <c r="E57" s="848">
        <v>8</v>
      </c>
      <c r="F57" s="848">
        <v>8</v>
      </c>
      <c r="G57" s="848">
        <v>19347.9</v>
      </c>
      <c r="H57" s="849">
        <v>5509.47</v>
      </c>
      <c r="I57" s="850">
        <f t="shared" si="0"/>
      </c>
      <c r="J57" s="850">
        <f t="shared" si="1"/>
      </c>
      <c r="K57" s="850">
        <f t="shared" si="2"/>
      </c>
      <c r="L57" s="848"/>
      <c r="M57" s="848"/>
      <c r="N57" s="848"/>
      <c r="O57" s="848"/>
      <c r="P57" s="852"/>
      <c r="Q57" s="853">
        <v>3.079636668529905</v>
      </c>
      <c r="R57" s="854">
        <v>0.44152106108023387</v>
      </c>
      <c r="S57" s="854">
        <v>0.04325539785778186</v>
      </c>
      <c r="T57" s="854">
        <v>0.049614352377958845</v>
      </c>
      <c r="U57" s="854">
        <v>0.12914230019493178</v>
      </c>
      <c r="V57" s="855">
        <v>18260.869565217392</v>
      </c>
      <c r="W57" s="854">
        <v>0.0092</v>
      </c>
      <c r="X57" s="855">
        <v>44.75</v>
      </c>
      <c r="Y57" s="853">
        <v>133.21090935467492</v>
      </c>
      <c r="Z57" s="855">
        <v>41359</v>
      </c>
      <c r="AA57" s="855">
        <v>1789</v>
      </c>
      <c r="AB57" s="855">
        <v>168</v>
      </c>
      <c r="AC57" s="855">
        <v>2052</v>
      </c>
      <c r="AD57" s="855">
        <v>265</v>
      </c>
      <c r="AE57" s="855">
        <v>22</v>
      </c>
      <c r="AF57" s="855">
        <v>3</v>
      </c>
      <c r="AG57" s="855">
        <v>11</v>
      </c>
    </row>
    <row r="58">
      <c r="A58" s="856" t="s">
        <v>1892</v>
      </c>
      <c r="B58" s="856" t="s">
        <v>1868</v>
      </c>
      <c r="C58" s="857"/>
      <c r="D58" s="857">
        <f>SUM(D56:D57)</f>
      </c>
      <c r="E58" s="857">
        <f>SUM(E56:E57)</f>
      </c>
      <c r="F58" s="857">
        <f>SUM(F56:F57)</f>
      </c>
      <c r="G58" s="857">
        <f>SUM(G56:G57)</f>
      </c>
      <c r="H58" s="857">
        <f>SUM(H56:H57)</f>
      </c>
      <c r="I58" s="858">
        <f t="shared" si="0"/>
      </c>
      <c r="J58" s="858">
        <f t="shared" si="1"/>
      </c>
      <c r="K58" s="858">
        <f t="shared" si="2"/>
      </c>
      <c r="L58" s="857"/>
      <c r="M58" s="857">
        <f>SUM(M56:M57)</f>
      </c>
      <c r="N58" s="857"/>
      <c r="O58" s="857"/>
      <c r="P58" s="857"/>
      <c r="Q58" s="859">
        <f>AVERAGE(Q56:Q57)</f>
      </c>
      <c r="R58" s="860">
        <f>AVERAGE(R56:R57)</f>
      </c>
      <c r="S58" s="860">
        <f>AVERAGE(S56:S57)</f>
      </c>
      <c r="T58" s="860">
        <f>AVERAGE(T56:T57)</f>
      </c>
      <c r="U58" s="860">
        <f>AVERAGE(U56:U57)</f>
      </c>
      <c r="V58" s="861">
        <f>SUM(V56:V57)</f>
      </c>
      <c r="W58" s="860">
        <f>AVERAGE(W56:W57)</f>
      </c>
      <c r="X58" s="861">
        <f>AVERAGE(X56:X57)</f>
      </c>
      <c r="Y58" s="859">
        <f>AVERAGE(Y56:Y57)</f>
      </c>
      <c r="Z58" s="861">
        <f>SUM(Z56:Z57)</f>
      </c>
      <c r="AA58" s="861">
        <f>SUM(AA56:AA57)</f>
      </c>
      <c r="AB58" s="861">
        <f>SUM(AB56:AB57)</f>
      </c>
      <c r="AC58" s="861">
        <f>SUM(AC56:AC57)</f>
      </c>
      <c r="AD58" s="861">
        <f>SUM(AD56:AD57)</f>
      </c>
      <c r="AE58" s="861">
        <f>SUM(AE56:AE57)</f>
      </c>
      <c r="AF58" s="861">
        <f>SUM(AF56:AF57)</f>
      </c>
      <c r="AG58" s="861">
        <f>SUM(AG56:AG57)</f>
      </c>
    </row>
    <row r="59">
      <c r="A59" s="848" t="s">
        <v>1893</v>
      </c>
      <c r="B59" s="848" t="s">
        <v>1863</v>
      </c>
      <c r="C59" s="848" t="s">
        <v>1864</v>
      </c>
      <c r="D59" s="848">
        <v>4</v>
      </c>
      <c r="E59" s="848">
        <v>24</v>
      </c>
      <c r="F59" s="848">
        <v>24</v>
      </c>
      <c r="G59" s="848">
        <v>63944.4</v>
      </c>
      <c r="H59" s="849">
        <v>20907.29</v>
      </c>
      <c r="I59" s="850">
        <f t="shared" si="0"/>
      </c>
      <c r="J59" s="850">
        <f t="shared" si="1"/>
      </c>
      <c r="K59" s="850">
        <f t="shared" si="2"/>
      </c>
      <c r="L59" s="848" t="s">
        <v>1865</v>
      </c>
      <c r="M59" s="851">
        <v>8</v>
      </c>
      <c r="N59" s="852"/>
      <c r="O59" s="848"/>
      <c r="P59" s="852"/>
      <c r="Q59" s="853">
        <v>3.827071206296907</v>
      </c>
      <c r="R59" s="854">
        <v>0.15105936771754389</v>
      </c>
      <c r="S59" s="854">
        <v>0.021732298499862756</v>
      </c>
      <c r="T59" s="854">
        <v>0.023072914387553357</v>
      </c>
      <c r="U59" s="854">
        <v>0.08879310344827586</v>
      </c>
      <c r="V59" s="855">
        <v>37972.850678733026</v>
      </c>
      <c r="W59" s="854">
        <v>0.027625000000000004</v>
      </c>
      <c r="X59" s="855">
        <v>51.25</v>
      </c>
      <c r="Y59" s="853">
        <v>83.17105383547421</v>
      </c>
      <c r="Z59" s="855">
        <v>251377</v>
      </c>
      <c r="AA59" s="855">
        <v>5463</v>
      </c>
      <c r="AB59" s="855">
        <v>1049</v>
      </c>
      <c r="AC59" s="855">
        <v>5800</v>
      </c>
      <c r="AD59" s="855">
        <v>515</v>
      </c>
      <c r="AE59" s="855">
        <v>51</v>
      </c>
      <c r="AF59" s="855">
        <v>9</v>
      </c>
      <c r="AG59" s="855">
        <v>221</v>
      </c>
    </row>
    <row r="60">
      <c r="A60" s="848" t="s">
        <v>1893</v>
      </c>
      <c r="B60" s="848" t="s">
        <v>1873</v>
      </c>
      <c r="C60" s="848" t="s">
        <v>1867</v>
      </c>
      <c r="D60" s="848">
        <v>4</v>
      </c>
      <c r="E60" s="848">
        <v>14</v>
      </c>
      <c r="F60" s="848">
        <v>14</v>
      </c>
      <c r="G60" s="848">
        <v>40170</v>
      </c>
      <c r="H60" s="849">
        <v>9949.08</v>
      </c>
      <c r="I60" s="850">
        <f t="shared" si="0"/>
      </c>
      <c r="J60" s="850">
        <f t="shared" si="1"/>
      </c>
      <c r="K60" s="850">
        <f t="shared" si="2"/>
      </c>
      <c r="L60" s="848"/>
      <c r="M60" s="848"/>
      <c r="N60" s="848"/>
      <c r="O60" s="848"/>
      <c r="P60" s="852"/>
      <c r="Q60" s="853">
        <v>2.297178480720388</v>
      </c>
      <c r="R60" s="854">
        <v>0.16521872829209963</v>
      </c>
      <c r="S60" s="854">
        <v>0.02915143805235278</v>
      </c>
      <c r="T60" s="854">
        <v>0.03124474150058222</v>
      </c>
      <c r="U60" s="854">
        <v>0.07798362774666093</v>
      </c>
      <c r="V60" s="855">
        <v>24546.38124362895</v>
      </c>
      <c r="W60" s="854">
        <v>0.024524999999999998</v>
      </c>
      <c r="X60" s="855">
        <v>56</v>
      </c>
      <c r="Y60" s="853">
        <v>66.96605617591827</v>
      </c>
      <c r="Z60" s="855">
        <v>148569</v>
      </c>
      <c r="AA60" s="855">
        <v>4331</v>
      </c>
      <c r="AB60" s="855">
        <v>602</v>
      </c>
      <c r="AC60" s="855">
        <v>4642</v>
      </c>
      <c r="AD60" s="855">
        <v>362</v>
      </c>
      <c r="AE60" s="855">
        <v>39</v>
      </c>
      <c r="AF60" s="855">
        <v>7</v>
      </c>
      <c r="AG60" s="855">
        <v>103</v>
      </c>
    </row>
    <row r="61">
      <c r="A61" s="856" t="s">
        <v>1893</v>
      </c>
      <c r="B61" s="856" t="s">
        <v>1868</v>
      </c>
      <c r="C61" s="857"/>
      <c r="D61" s="857">
        <f>SUM(D59:D60)</f>
      </c>
      <c r="E61" s="857">
        <f>SUM(E59:E60)</f>
      </c>
      <c r="F61" s="857">
        <f>SUM(F59:F60)</f>
      </c>
      <c r="G61" s="857">
        <f>SUM(G59:G60)</f>
      </c>
      <c r="H61" s="857">
        <f>SUM(H59:H60)</f>
      </c>
      <c r="I61" s="858">
        <f t="shared" si="0"/>
      </c>
      <c r="J61" s="858">
        <f t="shared" si="1"/>
      </c>
      <c r="K61" s="858">
        <f t="shared" si="2"/>
      </c>
      <c r="L61" s="857"/>
      <c r="M61" s="857">
        <f>SUM(M59:M60)</f>
      </c>
      <c r="N61" s="857"/>
      <c r="O61" s="857"/>
      <c r="P61" s="857"/>
      <c r="Q61" s="859">
        <f>AVERAGE(Q59:Q60)</f>
      </c>
      <c r="R61" s="860">
        <f>AVERAGE(R59:R60)</f>
      </c>
      <c r="S61" s="860">
        <f>AVERAGE(S59:S60)</f>
      </c>
      <c r="T61" s="860">
        <f>AVERAGE(T59:T60)</f>
      </c>
      <c r="U61" s="860">
        <f>AVERAGE(U59:U60)</f>
      </c>
      <c r="V61" s="861">
        <f>SUM(V59:V60)</f>
      </c>
      <c r="W61" s="860">
        <f>AVERAGE(W59:W60)</f>
      </c>
      <c r="X61" s="861">
        <f>AVERAGE(X59:X60)</f>
      </c>
      <c r="Y61" s="859">
        <f>AVERAGE(Y59:Y60)</f>
      </c>
      <c r="Z61" s="861">
        <f>SUM(Z59:Z60)</f>
      </c>
      <c r="AA61" s="861">
        <f>SUM(AA59:AA60)</f>
      </c>
      <c r="AB61" s="861">
        <f>SUM(AB59:AB60)</f>
      </c>
      <c r="AC61" s="861">
        <f>SUM(AC59:AC60)</f>
      </c>
      <c r="AD61" s="861">
        <f>SUM(AD59:AD60)</f>
      </c>
      <c r="AE61" s="861">
        <f>SUM(AE59:AE60)</f>
      </c>
      <c r="AF61" s="861">
        <f>SUM(AF59:AF60)</f>
      </c>
      <c r="AG61" s="861">
        <f>SUM(AG59:AG60)</f>
      </c>
    </row>
    <row r="62">
      <c r="A62" s="848" t="s">
        <v>1894</v>
      </c>
      <c r="B62" s="848" t="s">
        <v>1863</v>
      </c>
      <c r="C62" s="848" t="s">
        <v>1864</v>
      </c>
      <c r="D62" s="848">
        <v>4</v>
      </c>
      <c r="E62" s="848">
        <v>12</v>
      </c>
      <c r="F62" s="848">
        <v>12</v>
      </c>
      <c r="G62" s="848">
        <v>27479.4</v>
      </c>
      <c r="H62" s="849">
        <v>11685.02</v>
      </c>
      <c r="I62" s="850">
        <f t="shared" si="0"/>
      </c>
      <c r="J62" s="850">
        <f t="shared" si="1"/>
      </c>
      <c r="K62" s="850">
        <f t="shared" si="2"/>
      </c>
      <c r="L62" s="848" t="s">
        <v>1865</v>
      </c>
      <c r="M62" s="851">
        <v>8</v>
      </c>
      <c r="N62" s="852"/>
      <c r="O62" s="848"/>
      <c r="P62" s="852"/>
      <c r="Q62" s="853">
        <v>2.82178700796909</v>
      </c>
      <c r="R62" s="854">
        <v>0.25131776485916285</v>
      </c>
      <c r="S62" s="854">
        <v>0.02738702274425772</v>
      </c>
      <c r="T62" s="854">
        <v>0.029681950754945337</v>
      </c>
      <c r="U62" s="854">
        <v>0.07820855614973261</v>
      </c>
      <c r="V62" s="855">
        <v>38000</v>
      </c>
      <c r="W62" s="854">
        <v>0.0165</v>
      </c>
      <c r="X62" s="855">
        <v>54</v>
      </c>
      <c r="Y62" s="853">
        <v>77.2803449667004</v>
      </c>
      <c r="Z62" s="855">
        <v>151203</v>
      </c>
      <c r="AA62" s="855">
        <v>4141</v>
      </c>
      <c r="AB62" s="855">
        <v>627</v>
      </c>
      <c r="AC62" s="855">
        <v>4488</v>
      </c>
      <c r="AD62" s="855">
        <v>351</v>
      </c>
      <c r="AE62" s="855">
        <v>34</v>
      </c>
      <c r="AF62" s="855">
        <v>15</v>
      </c>
      <c r="AG62" s="855">
        <v>102</v>
      </c>
    </row>
    <row r="63">
      <c r="A63" s="848" t="s">
        <v>1894</v>
      </c>
      <c r="B63" s="848" t="s">
        <v>1873</v>
      </c>
      <c r="C63" s="848" t="s">
        <v>1867</v>
      </c>
      <c r="D63" s="848">
        <v>4</v>
      </c>
      <c r="E63" s="848">
        <v>15</v>
      </c>
      <c r="F63" s="848">
        <v>15</v>
      </c>
      <c r="G63" s="848">
        <v>35228.7</v>
      </c>
      <c r="H63" s="849">
        <v>6760.94</v>
      </c>
      <c r="I63" s="850">
        <f t="shared" si="0"/>
      </c>
      <c r="J63" s="850">
        <f t="shared" si="1"/>
      </c>
      <c r="K63" s="850">
        <f t="shared" si="2"/>
      </c>
      <c r="L63" s="848"/>
      <c r="M63" s="848"/>
      <c r="N63" s="848"/>
      <c r="O63" s="848"/>
      <c r="P63" s="852"/>
      <c r="Q63" s="853">
        <v>2.8252987881320517</v>
      </c>
      <c r="R63" s="854">
        <v>0.27595785320160016</v>
      </c>
      <c r="S63" s="854">
        <v>0.03667545365375184</v>
      </c>
      <c r="T63" s="854">
        <v>0.040338401177047574</v>
      </c>
      <c r="U63" s="854">
        <v>0.09764437689969604</v>
      </c>
      <c r="V63" s="855">
        <v>18005.698005698006</v>
      </c>
      <c r="W63" s="854">
        <v>0.01755</v>
      </c>
      <c r="X63" s="855">
        <v>53.25</v>
      </c>
      <c r="Y63" s="853">
        <v>103.6191147621383</v>
      </c>
      <c r="Z63" s="855">
        <v>65248</v>
      </c>
      <c r="AA63" s="855">
        <v>2393</v>
      </c>
      <c r="AB63" s="855">
        <v>316</v>
      </c>
      <c r="AC63" s="855">
        <v>2632</v>
      </c>
      <c r="AD63" s="855">
        <v>257</v>
      </c>
      <c r="AE63" s="855">
        <v>20</v>
      </c>
      <c r="AF63" s="855">
        <v>8</v>
      </c>
      <c r="AG63" s="855">
        <v>17</v>
      </c>
    </row>
    <row r="64">
      <c r="A64" s="856" t="s">
        <v>1894</v>
      </c>
      <c r="B64" s="856" t="s">
        <v>1868</v>
      </c>
      <c r="C64" s="857"/>
      <c r="D64" s="857">
        <f>SUM(D62:D63)</f>
      </c>
      <c r="E64" s="857">
        <f>SUM(E62:E63)</f>
      </c>
      <c r="F64" s="857">
        <f>SUM(F62:F63)</f>
      </c>
      <c r="G64" s="857">
        <f>SUM(G62:G63)</f>
      </c>
      <c r="H64" s="857">
        <f>SUM(H62:H63)</f>
      </c>
      <c r="I64" s="858">
        <f t="shared" si="0"/>
      </c>
      <c r="J64" s="858">
        <f t="shared" si="1"/>
      </c>
      <c r="K64" s="858">
        <f t="shared" si="2"/>
      </c>
      <c r="L64" s="857"/>
      <c r="M64" s="857">
        <f>SUM(M62:M63)</f>
      </c>
      <c r="N64" s="857"/>
      <c r="O64" s="857"/>
      <c r="P64" s="857"/>
      <c r="Q64" s="859">
        <f>AVERAGE(Q62:Q63)</f>
      </c>
      <c r="R64" s="860">
        <f>AVERAGE(R62:R63)</f>
      </c>
      <c r="S64" s="860">
        <f>AVERAGE(S62:S63)</f>
      </c>
      <c r="T64" s="860">
        <f>AVERAGE(T62:T63)</f>
      </c>
      <c r="U64" s="860">
        <f>AVERAGE(U62:U63)</f>
      </c>
      <c r="V64" s="861">
        <f>SUM(V62:V63)</f>
      </c>
      <c r="W64" s="860">
        <f>AVERAGE(W62:W63)</f>
      </c>
      <c r="X64" s="861">
        <f>AVERAGE(X62:X63)</f>
      </c>
      <c r="Y64" s="859">
        <f>AVERAGE(Y62:Y63)</f>
      </c>
      <c r="Z64" s="861">
        <f>SUM(Z62:Z63)</f>
      </c>
      <c r="AA64" s="861">
        <f>SUM(AA62:AA63)</f>
      </c>
      <c r="AB64" s="861">
        <f>SUM(AB62:AB63)</f>
      </c>
      <c r="AC64" s="861">
        <f>SUM(AC62:AC63)</f>
      </c>
      <c r="AD64" s="861">
        <f>SUM(AD62:AD63)</f>
      </c>
      <c r="AE64" s="861">
        <f>SUM(AE62:AE63)</f>
      </c>
      <c r="AF64" s="861">
        <f>SUM(AF62:AF63)</f>
      </c>
      <c r="AG64" s="861">
        <f>SUM(AG62:AG63)</f>
      </c>
    </row>
    <row customHeight="true" ht="16.071428571428573" r="65">
      <c r="A65" s="848" t="s">
        <v>1895</v>
      </c>
      <c r="B65" s="848" t="s">
        <v>1873</v>
      </c>
      <c r="C65" s="848" t="s">
        <v>1864</v>
      </c>
      <c r="D65" s="848">
        <v>4</v>
      </c>
      <c r="E65" s="848">
        <v>6</v>
      </c>
      <c r="F65" s="848">
        <v>6</v>
      </c>
      <c r="G65" s="848">
        <v>11645.4</v>
      </c>
      <c r="H65" s="849">
        <v>7690.27</v>
      </c>
      <c r="I65" s="850">
        <f t="shared" si="0"/>
      </c>
      <c r="J65" s="850">
        <f t="shared" si="1"/>
      </c>
      <c r="K65" s="850">
        <f t="shared" si="2"/>
      </c>
      <c r="L65" s="848" t="s">
        <v>1865</v>
      </c>
      <c r="M65" s="851">
        <v>8</v>
      </c>
      <c r="N65" s="852"/>
      <c r="O65" s="848"/>
      <c r="P65" s="852"/>
      <c r="Q65" s="853">
        <v>3.943728205128205</v>
      </c>
      <c r="R65" s="854">
        <v>0.3419702748914902</v>
      </c>
      <c r="S65" s="854">
        <v>0.025647770616861767</v>
      </c>
      <c r="T65" s="854">
        <v>0.027686439563330265</v>
      </c>
      <c r="U65" s="854">
        <v>0.08598574821852732</v>
      </c>
      <c r="V65" s="855">
        <v>26000</v>
      </c>
      <c r="W65" s="854">
        <v>0.0125</v>
      </c>
      <c r="X65" s="855">
        <v>52.75</v>
      </c>
      <c r="Y65" s="853">
        <v>101.14783638037618</v>
      </c>
      <c r="Z65" s="855">
        <v>76030</v>
      </c>
      <c r="AA65" s="855">
        <v>1950</v>
      </c>
      <c r="AB65" s="855">
        <v>325</v>
      </c>
      <c r="AC65" s="855">
        <v>2105</v>
      </c>
      <c r="AD65" s="855">
        <v>181</v>
      </c>
      <c r="AE65" s="855">
        <v>11</v>
      </c>
      <c r="AF65" s="855">
        <v>3</v>
      </c>
      <c r="AG65" s="855">
        <v>45</v>
      </c>
    </row>
    <row customHeight="true" ht="16.071428571428573" r="66">
      <c r="A66" s="848" t="s">
        <v>1895</v>
      </c>
      <c r="B66" s="848" t="s">
        <v>1866</v>
      </c>
      <c r="C66" s="848" t="s">
        <v>1867</v>
      </c>
      <c r="D66" s="848">
        <v>4</v>
      </c>
      <c r="E66" s="848">
        <v>6</v>
      </c>
      <c r="F66" s="848">
        <v>6</v>
      </c>
      <c r="G66" s="848">
        <v>12790.05</v>
      </c>
      <c r="H66" s="849">
        <v>4958.21</v>
      </c>
      <c r="I66" s="850">
        <f t="shared" si="0"/>
      </c>
      <c r="J66" s="850">
        <f t="shared" si="1"/>
      </c>
      <c r="K66" s="850">
        <f t="shared" si="2"/>
      </c>
      <c r="L66" s="848"/>
      <c r="M66" s="848"/>
      <c r="N66" s="848"/>
      <c r="O66" s="848"/>
      <c r="P66" s="852"/>
      <c r="Q66" s="853">
        <v>2.3599286054259876</v>
      </c>
      <c r="R66" s="854">
        <v>0.3932332585572498</v>
      </c>
      <c r="S66" s="854">
        <v>0.04066031893481963</v>
      </c>
      <c r="T66" s="854">
        <v>0.04565335191206069</v>
      </c>
      <c r="U66" s="854">
        <v>0.1089444679949131</v>
      </c>
      <c r="V66" s="855">
        <v>20319.14893617021</v>
      </c>
      <c r="W66" s="854">
        <v>0.0094</v>
      </c>
      <c r="X66" s="855">
        <v>51</v>
      </c>
      <c r="Y66" s="853">
        <v>95.95544976002478</v>
      </c>
      <c r="Z66" s="855">
        <v>51672</v>
      </c>
      <c r="AA66" s="855">
        <v>2101</v>
      </c>
      <c r="AB66" s="855">
        <v>191</v>
      </c>
      <c r="AC66" s="855">
        <v>2359</v>
      </c>
      <c r="AD66" s="855">
        <v>257</v>
      </c>
      <c r="AE66" s="855">
        <v>13</v>
      </c>
      <c r="AF66" s="855">
        <v>3</v>
      </c>
      <c r="AG66" s="855">
        <v>7</v>
      </c>
    </row>
    <row customHeight="true" ht="16.071428571428573" r="67">
      <c r="A67" s="856" t="s">
        <v>1895</v>
      </c>
      <c r="B67" s="856" t="s">
        <v>1868</v>
      </c>
      <c r="C67" s="857"/>
      <c r="D67" s="857">
        <f>SUM(D65:D66)</f>
      </c>
      <c r="E67" s="857">
        <f>SUM(E65:E66)</f>
      </c>
      <c r="F67" s="857">
        <f>SUM(F65:F66)</f>
      </c>
      <c r="G67" s="857">
        <f>SUM(G65:G66)</f>
      </c>
      <c r="H67" s="857">
        <f>SUM(H65:H66)</f>
      </c>
      <c r="I67" s="858">
        <f t="shared" si="0"/>
      </c>
      <c r="J67" s="858">
        <f t="shared" si="1"/>
      </c>
      <c r="K67" s="858">
        <f t="shared" si="2"/>
      </c>
      <c r="L67" s="857"/>
      <c r="M67" s="857">
        <f>SUM(M65:M66)</f>
      </c>
      <c r="N67" s="857"/>
      <c r="O67" s="857"/>
      <c r="P67" s="857"/>
      <c r="Q67" s="859">
        <f>AVERAGE(Q65:Q66)</f>
      </c>
      <c r="R67" s="860">
        <f>AVERAGE(R65:R66)</f>
      </c>
      <c r="S67" s="860">
        <f>AVERAGE(S65:S66)</f>
      </c>
      <c r="T67" s="860">
        <f>AVERAGE(T65:T66)</f>
      </c>
      <c r="U67" s="860">
        <f>AVERAGE(U65:U66)</f>
      </c>
      <c r="V67" s="861">
        <f>SUM(V65:V66)</f>
      </c>
      <c r="W67" s="860">
        <f>AVERAGE(W65:W66)</f>
      </c>
      <c r="X67" s="861">
        <f>AVERAGE(X65:X66)</f>
      </c>
      <c r="Y67" s="859">
        <f>AVERAGE(Y65:Y66)</f>
      </c>
      <c r="Z67" s="861">
        <f>SUM(Z65:Z66)</f>
      </c>
      <c r="AA67" s="861">
        <f>SUM(AA65:AA66)</f>
      </c>
      <c r="AB67" s="861">
        <f>SUM(AB65:AB66)</f>
      </c>
      <c r="AC67" s="861">
        <f>SUM(AC65:AC66)</f>
      </c>
      <c r="AD67" s="861">
        <f>SUM(AD65:AD66)</f>
      </c>
      <c r="AE67" s="861">
        <f>SUM(AE65:AE66)</f>
      </c>
      <c r="AF67" s="861">
        <f>SUM(AF65:AF66)</f>
      </c>
      <c r="AG67" s="861">
        <f>SUM(AG65:AG66)</f>
      </c>
    </row>
    <row customHeight="true" ht="16.071428571428573" r="68">
      <c r="A68" s="848" t="s">
        <v>1896</v>
      </c>
      <c r="B68" s="848" t="s">
        <v>1863</v>
      </c>
      <c r="C68" s="848" t="s">
        <v>1864</v>
      </c>
      <c r="D68" s="848">
        <v>4</v>
      </c>
      <c r="E68" s="848">
        <v>11</v>
      </c>
      <c r="F68" s="848">
        <v>11</v>
      </c>
      <c r="G68" s="848">
        <v>28495.35</v>
      </c>
      <c r="H68" s="849">
        <v>6809.67</v>
      </c>
      <c r="I68" s="850">
        <f t="shared" si="0"/>
      </c>
      <c r="J68" s="850">
        <f t="shared" si="1"/>
      </c>
      <c r="K68" s="850">
        <f t="shared" si="2"/>
      </c>
      <c r="L68" s="848" t="s">
        <v>1865</v>
      </c>
      <c r="M68" s="851">
        <v>8</v>
      </c>
      <c r="N68" s="852"/>
      <c r="O68" s="848"/>
      <c r="P68" s="852"/>
      <c r="Q68" s="853">
        <v>2.8720666385491356</v>
      </c>
      <c r="R68" s="854">
        <v>0.3406715743913871</v>
      </c>
      <c r="S68" s="854">
        <v>0.030468137601356995</v>
      </c>
      <c r="T68" s="854">
        <v>0.034785849214202184</v>
      </c>
      <c r="U68" s="854">
        <v>0.11747321758404138</v>
      </c>
      <c r="V68" s="855">
        <v>26510.721247563353</v>
      </c>
      <c r="W68" s="854">
        <v>0.012825</v>
      </c>
      <c r="X68" s="855">
        <v>54</v>
      </c>
      <c r="Y68" s="853">
        <v>87.50652154358191</v>
      </c>
      <c r="Z68" s="855">
        <v>77819</v>
      </c>
      <c r="AA68" s="855">
        <v>2371</v>
      </c>
      <c r="AB68" s="855">
        <v>340</v>
      </c>
      <c r="AC68" s="855">
        <v>2707</v>
      </c>
      <c r="AD68" s="855">
        <v>318</v>
      </c>
      <c r="AE68" s="855">
        <v>28</v>
      </c>
      <c r="AF68" s="855">
        <v>4</v>
      </c>
      <c r="AG68" s="855">
        <v>21</v>
      </c>
    </row>
    <row customHeight="true" ht="16.071428571428573" r="69">
      <c r="A69" s="848" t="s">
        <v>1896</v>
      </c>
      <c r="B69" s="848" t="s">
        <v>1873</v>
      </c>
      <c r="C69" s="848" t="s">
        <v>1867</v>
      </c>
      <c r="D69" s="848">
        <v>4</v>
      </c>
      <c r="E69" s="848">
        <v>12</v>
      </c>
      <c r="F69" s="848">
        <v>12</v>
      </c>
      <c r="G69" s="848">
        <v>24897.6</v>
      </c>
      <c r="H69" s="849">
        <v>5677.41</v>
      </c>
      <c r="I69" s="850">
        <f t="shared" si="0"/>
      </c>
      <c r="J69" s="850">
        <f t="shared" si="1"/>
      </c>
      <c r="K69" s="850">
        <f t="shared" si="2"/>
      </c>
      <c r="L69" s="848"/>
      <c r="M69" s="848"/>
      <c r="N69" s="848"/>
      <c r="O69" s="848"/>
      <c r="P69" s="852"/>
      <c r="Q69" s="853">
        <v>2.978704092339979</v>
      </c>
      <c r="R69" s="854">
        <v>0.27426421069222945</v>
      </c>
      <c r="S69" s="854">
        <v>0.04096634140050724</v>
      </c>
      <c r="T69" s="854">
        <v>0.045415466620814166</v>
      </c>
      <c r="U69" s="854">
        <v>0.09275911026975864</v>
      </c>
      <c r="V69" s="855">
        <v>12760.416666666668</v>
      </c>
      <c r="W69" s="854">
        <v>0.0192</v>
      </c>
      <c r="X69" s="855">
        <v>56.25</v>
      </c>
      <c r="Y69" s="853">
        <v>122.02660877788762</v>
      </c>
      <c r="Z69" s="855">
        <v>46526</v>
      </c>
      <c r="AA69" s="855">
        <v>1906</v>
      </c>
      <c r="AB69" s="855">
        <v>245</v>
      </c>
      <c r="AC69" s="855">
        <v>2113</v>
      </c>
      <c r="AD69" s="855">
        <v>196</v>
      </c>
      <c r="AE69" s="855">
        <v>12</v>
      </c>
      <c r="AF69" s="855">
        <v>2</v>
      </c>
      <c r="AG69" s="855">
        <v>23</v>
      </c>
    </row>
    <row customHeight="true" ht="16.071428571428573" r="70">
      <c r="A70" s="856" t="s">
        <v>1896</v>
      </c>
      <c r="B70" s="856" t="s">
        <v>1868</v>
      </c>
      <c r="C70" s="857"/>
      <c r="D70" s="857">
        <f>SUM(D68:D69)</f>
      </c>
      <c r="E70" s="857">
        <f>SUM(E68:E69)</f>
      </c>
      <c r="F70" s="857">
        <f>SUM(F68:F69)</f>
      </c>
      <c r="G70" s="857">
        <f>SUM(G68:G69)</f>
      </c>
      <c r="H70" s="857">
        <f>SUM(H68:H69)</f>
      </c>
      <c r="I70" s="858">
        <f t="shared" si="0"/>
      </c>
      <c r="J70" s="858">
        <f t="shared" si="1"/>
      </c>
      <c r="K70" s="858">
        <f t="shared" si="2"/>
      </c>
      <c r="L70" s="857"/>
      <c r="M70" s="857">
        <f>SUM(M68:M69)</f>
      </c>
      <c r="N70" s="857"/>
      <c r="O70" s="857"/>
      <c r="P70" s="857"/>
      <c r="Q70" s="859">
        <f>AVERAGE(Q68:Q69)</f>
      </c>
      <c r="R70" s="860">
        <f>AVERAGE(R68:R69)</f>
      </c>
      <c r="S70" s="860">
        <f>AVERAGE(S68:S69)</f>
      </c>
      <c r="T70" s="860">
        <f>AVERAGE(T68:T69)</f>
      </c>
      <c r="U70" s="860">
        <f>AVERAGE(U68:U69)</f>
      </c>
      <c r="V70" s="861">
        <f>SUM(V68:V69)</f>
      </c>
      <c r="W70" s="860">
        <f>AVERAGE(W68:W69)</f>
      </c>
      <c r="X70" s="861">
        <f>AVERAGE(X68:X69)</f>
      </c>
      <c r="Y70" s="859">
        <f>AVERAGE(Y68:Y69)</f>
      </c>
      <c r="Z70" s="861">
        <f>SUM(Z68:Z69)</f>
      </c>
      <c r="AA70" s="861">
        <f>SUM(AA68:AA69)</f>
      </c>
      <c r="AB70" s="861">
        <f>SUM(AB68:AB69)</f>
      </c>
      <c r="AC70" s="861">
        <f>SUM(AC68:AC69)</f>
      </c>
      <c r="AD70" s="861">
        <f>SUM(AD68:AD69)</f>
      </c>
      <c r="AE70" s="861">
        <f>SUM(AE68:AE69)</f>
      </c>
      <c r="AF70" s="861">
        <f>SUM(AF68:AF69)</f>
      </c>
      <c r="AG70" s="861">
        <f>SUM(AG68:AG69)</f>
      </c>
    </row>
    <row customHeight="true" ht="16.071428571428573" r="71">
      <c r="A71" s="848" t="s">
        <v>1897</v>
      </c>
      <c r="B71" s="848" t="s">
        <v>1863</v>
      </c>
      <c r="C71" s="848" t="s">
        <v>1864</v>
      </c>
      <c r="D71" s="848">
        <v>4</v>
      </c>
      <c r="E71" s="848">
        <v>7</v>
      </c>
      <c r="F71" s="848">
        <v>7</v>
      </c>
      <c r="G71" s="848">
        <v>15769.65</v>
      </c>
      <c r="H71" s="849">
        <v>6178.19</v>
      </c>
      <c r="I71" s="850">
        <f t="shared" si="0"/>
      </c>
      <c r="J71" s="850">
        <f t="shared" si="1"/>
      </c>
      <c r="K71" s="850">
        <f t="shared" si="2"/>
      </c>
      <c r="L71" s="848" t="s">
        <v>1865</v>
      </c>
      <c r="M71" s="851">
        <v>8</v>
      </c>
      <c r="N71" s="852"/>
      <c r="O71" s="848"/>
      <c r="P71" s="852"/>
      <c r="Q71" s="853">
        <v>3.92515247776366</v>
      </c>
      <c r="R71" s="854">
        <v>0.316279451891509</v>
      </c>
      <c r="S71" s="854">
        <v>0.028217493411735177</v>
      </c>
      <c r="T71" s="854">
        <v>0.031175489862139437</v>
      </c>
      <c r="U71" s="854">
        <v>0.1765382403680276</v>
      </c>
      <c r="V71" s="855">
        <v>17642.384105960264</v>
      </c>
      <c r="W71" s="854">
        <v>0.018875</v>
      </c>
      <c r="X71" s="855">
        <v>71</v>
      </c>
      <c r="Y71" s="853">
        <v>110.7579641813521</v>
      </c>
      <c r="Z71" s="855">
        <v>55781</v>
      </c>
      <c r="AA71" s="855">
        <v>1574</v>
      </c>
      <c r="AB71" s="855">
        <v>333</v>
      </c>
      <c r="AC71" s="855">
        <v>1739</v>
      </c>
      <c r="AD71" s="855">
        <v>307</v>
      </c>
      <c r="AE71" s="855">
        <v>15</v>
      </c>
      <c r="AF71" s="855">
        <v>7</v>
      </c>
      <c r="AG71" s="855">
        <v>29</v>
      </c>
    </row>
    <row customHeight="true" ht="16.071428571428573" r="72">
      <c r="A72" s="848" t="s">
        <v>1897</v>
      </c>
      <c r="B72" s="848" t="s">
        <v>1866</v>
      </c>
      <c r="C72" s="848" t="s">
        <v>1867</v>
      </c>
      <c r="D72" s="848">
        <v>4</v>
      </c>
      <c r="E72" s="848">
        <v>8</v>
      </c>
      <c r="F72" s="848">
        <v>8</v>
      </c>
      <c r="G72" s="848">
        <v>17612.4</v>
      </c>
      <c r="H72" s="849">
        <v>5142.59</v>
      </c>
      <c r="I72" s="850">
        <f t="shared" si="0"/>
      </c>
      <c r="J72" s="850">
        <f t="shared" si="1"/>
      </c>
      <c r="K72" s="850">
        <f t="shared" si="2"/>
      </c>
      <c r="L72" s="848"/>
      <c r="M72" s="848"/>
      <c r="N72" s="848"/>
      <c r="O72" s="848"/>
      <c r="P72" s="852"/>
      <c r="Q72" s="853">
        <v>3.5613504155124653</v>
      </c>
      <c r="R72" s="854">
        <v>0.3051137618732052</v>
      </c>
      <c r="S72" s="854">
        <v>0.03189750386569472</v>
      </c>
      <c r="T72" s="854">
        <v>0.03408438259332892</v>
      </c>
      <c r="U72" s="854">
        <v>0.13545042125729098</v>
      </c>
      <c r="V72" s="855">
        <v>13812.5</v>
      </c>
      <c r="W72" s="854">
        <v>0.016</v>
      </c>
      <c r="X72" s="855">
        <v>71.75</v>
      </c>
      <c r="Y72" s="853">
        <v>113.59818864590237</v>
      </c>
      <c r="Z72" s="855">
        <v>45270</v>
      </c>
      <c r="AA72" s="855">
        <v>1444</v>
      </c>
      <c r="AB72" s="855">
        <v>221</v>
      </c>
      <c r="AC72" s="855">
        <v>1543</v>
      </c>
      <c r="AD72" s="855">
        <v>209</v>
      </c>
      <c r="AE72" s="855">
        <v>14</v>
      </c>
      <c r="AF72" s="855">
        <v>4</v>
      </c>
      <c r="AG72" s="855">
        <v>16</v>
      </c>
    </row>
    <row customHeight="true" ht="16.071428571428573" r="73">
      <c r="A73" s="856" t="s">
        <v>1897</v>
      </c>
      <c r="B73" s="856" t="s">
        <v>1868</v>
      </c>
      <c r="C73" s="857"/>
      <c r="D73" s="857">
        <f>SUM(D71:D72)</f>
      </c>
      <c r="E73" s="857">
        <f>SUM(E71:E72)</f>
      </c>
      <c r="F73" s="857">
        <f>SUM(F71:F72)</f>
      </c>
      <c r="G73" s="857">
        <f>SUM(G71:G72)</f>
      </c>
      <c r="H73" s="857">
        <f>SUM(H71:H72)</f>
      </c>
      <c r="I73" s="858">
        <f t="shared" si="0"/>
      </c>
      <c r="J73" s="858">
        <f t="shared" si="1"/>
      </c>
      <c r="K73" s="858">
        <f t="shared" si="2"/>
      </c>
      <c r="L73" s="857"/>
      <c r="M73" s="857">
        <f>SUM(M71:M72)</f>
      </c>
      <c r="N73" s="857"/>
      <c r="O73" s="857"/>
      <c r="P73" s="857"/>
      <c r="Q73" s="859">
        <f>AVERAGE(Q71:Q72)</f>
      </c>
      <c r="R73" s="860">
        <f>AVERAGE(R71:R72)</f>
      </c>
      <c r="S73" s="860">
        <f>AVERAGE(S71:S72)</f>
      </c>
      <c r="T73" s="860">
        <f>AVERAGE(T71:T72)</f>
      </c>
      <c r="U73" s="860">
        <f>AVERAGE(U71:U72)</f>
      </c>
      <c r="V73" s="861">
        <f>SUM(V71:V72)</f>
      </c>
      <c r="W73" s="860">
        <f>AVERAGE(W71:W72)</f>
      </c>
      <c r="X73" s="861">
        <f>AVERAGE(X71:X72)</f>
      </c>
      <c r="Y73" s="859">
        <f>AVERAGE(Y71:Y72)</f>
      </c>
      <c r="Z73" s="861">
        <f>SUM(Z71:Z72)</f>
      </c>
      <c r="AA73" s="861">
        <f>SUM(AA71:AA72)</f>
      </c>
      <c r="AB73" s="861">
        <f>SUM(AB71:AB72)</f>
      </c>
      <c r="AC73" s="861">
        <f>SUM(AC71:AC72)</f>
      </c>
      <c r="AD73" s="861">
        <f>SUM(AD71:AD72)</f>
      </c>
      <c r="AE73" s="861">
        <f>SUM(AE71:AE72)</f>
      </c>
      <c r="AF73" s="861">
        <f>SUM(AF71:AF72)</f>
      </c>
      <c r="AG73" s="861">
        <f>SUM(AG71:AG72)</f>
      </c>
    </row>
    <row customHeight="true" ht="16.071428571428573" r="74">
      <c r="A74" s="848" t="s">
        <v>1898</v>
      </c>
      <c r="B74" s="848" t="s">
        <v>1863</v>
      </c>
      <c r="C74" s="848" t="s">
        <v>1864</v>
      </c>
      <c r="D74" s="848">
        <v>4</v>
      </c>
      <c r="E74" s="848">
        <v>14</v>
      </c>
      <c r="F74" s="848">
        <v>14</v>
      </c>
      <c r="G74" s="848">
        <v>33228</v>
      </c>
      <c r="H74" s="849">
        <v>6055.83</v>
      </c>
      <c r="I74" s="850">
        <f t="shared" si="0"/>
      </c>
      <c r="J74" s="850">
        <f t="shared" si="1"/>
      </c>
      <c r="K74" s="850">
        <f t="shared" si="2"/>
      </c>
      <c r="L74" s="848" t="s">
        <v>1899</v>
      </c>
      <c r="M74" s="851">
        <v>8</v>
      </c>
      <c r="N74" s="852"/>
      <c r="O74" s="848"/>
      <c r="P74" s="852"/>
      <c r="Q74" s="853">
        <v>3.5147011027278</v>
      </c>
      <c r="R74" s="854">
        <v>0.2226693122281666</v>
      </c>
      <c r="S74" s="854">
        <v>0.025955440398897307</v>
      </c>
      <c r="T74" s="854">
        <v>0.02792883720229577</v>
      </c>
      <c r="U74" s="854">
        <v>0.19633225458468176</v>
      </c>
      <c r="V74" s="855">
        <v>14781.456953642384</v>
      </c>
      <c r="W74" s="854">
        <v>0.018875</v>
      </c>
      <c r="X74" s="855">
        <v>47.75</v>
      </c>
      <c r="Y74" s="853">
        <v>91.22561499179007</v>
      </c>
      <c r="Z74" s="855">
        <v>66383</v>
      </c>
      <c r="AA74" s="855">
        <v>1723</v>
      </c>
      <c r="AB74" s="855">
        <v>279</v>
      </c>
      <c r="AC74" s="855">
        <v>1854</v>
      </c>
      <c r="AD74" s="855">
        <v>364</v>
      </c>
      <c r="AE74" s="855">
        <v>25</v>
      </c>
      <c r="AF74" s="855">
        <v>8</v>
      </c>
      <c r="AG74" s="855">
        <v>25</v>
      </c>
    </row>
    <row r="75">
      <c r="A75" s="848" t="s">
        <v>1898</v>
      </c>
      <c r="B75" s="848" t="s">
        <v>1873</v>
      </c>
      <c r="C75" s="848" t="s">
        <v>1867</v>
      </c>
      <c r="D75" s="848">
        <v>4</v>
      </c>
      <c r="E75" s="848">
        <v>13</v>
      </c>
      <c r="F75" s="848">
        <v>13</v>
      </c>
      <c r="G75" s="848">
        <v>30115.8</v>
      </c>
      <c r="H75" s="849">
        <v>9069.81</v>
      </c>
      <c r="I75" s="850">
        <f t="shared" si="0"/>
      </c>
      <c r="J75" s="850">
        <f t="shared" si="1"/>
      </c>
      <c r="K75" s="850">
        <f t="shared" si="2"/>
      </c>
      <c r="L75" s="848"/>
      <c r="M75" s="848"/>
      <c r="N75" s="848"/>
      <c r="O75" s="848"/>
      <c r="P75" s="852"/>
      <c r="Q75" s="853">
        <v>3.584905138339921</v>
      </c>
      <c r="R75" s="854">
        <v>0.2644077755471772</v>
      </c>
      <c r="S75" s="854">
        <v>0.024775987856828087</v>
      </c>
      <c r="T75" s="854">
        <v>0.025774861675561866</v>
      </c>
      <c r="U75" s="854">
        <v>0.11854103343465046</v>
      </c>
      <c r="V75" s="855">
        <v>27000</v>
      </c>
      <c r="W75" s="854">
        <v>0.016</v>
      </c>
      <c r="X75" s="855">
        <v>74.25</v>
      </c>
      <c r="Y75" s="853">
        <v>88.81956617539048</v>
      </c>
      <c r="Z75" s="855">
        <v>102115</v>
      </c>
      <c r="AA75" s="855">
        <v>2530</v>
      </c>
      <c r="AB75" s="855">
        <v>432</v>
      </c>
      <c r="AC75" s="855">
        <v>2632</v>
      </c>
      <c r="AD75" s="855">
        <v>312</v>
      </c>
      <c r="AE75" s="855">
        <v>34</v>
      </c>
      <c r="AF75" s="855">
        <v>13</v>
      </c>
      <c r="AG75" s="855">
        <v>146</v>
      </c>
    </row>
    <row r="76">
      <c r="A76" s="856" t="s">
        <v>1898</v>
      </c>
      <c r="B76" s="856" t="s">
        <v>1868</v>
      </c>
      <c r="C76" s="857"/>
      <c r="D76" s="857">
        <f>SUM(D74:D75)</f>
      </c>
      <c r="E76" s="857">
        <f>SUM(E74:E75)</f>
      </c>
      <c r="F76" s="857">
        <f>SUM(F74:F75)</f>
      </c>
      <c r="G76" s="857">
        <f>SUM(G74:G75)</f>
      </c>
      <c r="H76" s="857">
        <f>SUM(H74:H75)</f>
      </c>
      <c r="I76" s="858">
        <f t="shared" si="0"/>
      </c>
      <c r="J76" s="858">
        <f t="shared" si="1"/>
      </c>
      <c r="K76" s="858">
        <f t="shared" si="2"/>
      </c>
      <c r="L76" s="857"/>
      <c r="M76" s="857">
        <f>SUM(M74:M75)</f>
      </c>
      <c r="N76" s="857"/>
      <c r="O76" s="857"/>
      <c r="P76" s="857"/>
      <c r="Q76" s="859">
        <f>AVERAGE(Q74:Q75)</f>
      </c>
      <c r="R76" s="860">
        <f>AVERAGE(R74:R75)</f>
      </c>
      <c r="S76" s="860">
        <f>AVERAGE(S74:S75)</f>
      </c>
      <c r="T76" s="860">
        <f>AVERAGE(T74:T75)</f>
      </c>
      <c r="U76" s="860">
        <f>AVERAGE(U74:U75)</f>
      </c>
      <c r="V76" s="861">
        <f>SUM(V74:V75)</f>
      </c>
      <c r="W76" s="860">
        <f>AVERAGE(W74:W75)</f>
      </c>
      <c r="X76" s="861">
        <f>AVERAGE(X74:X75)</f>
      </c>
      <c r="Y76" s="859">
        <f>AVERAGE(Y74:Y75)</f>
      </c>
      <c r="Z76" s="861">
        <f>SUM(Z74:Z75)</f>
      </c>
      <c r="AA76" s="861">
        <f>SUM(AA74:AA75)</f>
      </c>
      <c r="AB76" s="861">
        <f>SUM(AB74:AB75)</f>
      </c>
      <c r="AC76" s="861">
        <f>SUM(AC74:AC75)</f>
      </c>
      <c r="AD76" s="861">
        <f>SUM(AD74:AD75)</f>
      </c>
      <c r="AE76" s="861">
        <f>SUM(AE74:AE75)</f>
      </c>
      <c r="AF76" s="861">
        <f>SUM(AF74:AF75)</f>
      </c>
      <c r="AG76" s="861">
        <f>SUM(AG74:AG75)</f>
      </c>
    </row>
    <row r="77">
      <c r="A77" s="848" t="s">
        <v>1900</v>
      </c>
      <c r="B77" s="848" t="s">
        <v>1863</v>
      </c>
      <c r="C77" s="848" t="s">
        <v>1864</v>
      </c>
      <c r="D77" s="848">
        <v>4</v>
      </c>
      <c r="E77" s="848">
        <v>15</v>
      </c>
      <c r="F77" s="848">
        <v>15</v>
      </c>
      <c r="G77" s="848">
        <v>34210.8</v>
      </c>
      <c r="H77" s="849">
        <v>11394.41</v>
      </c>
      <c r="I77" s="850">
        <f t="shared" si="0"/>
      </c>
      <c r="J77" s="850">
        <f t="shared" si="1"/>
      </c>
      <c r="K77" s="850">
        <f t="shared" si="2"/>
      </c>
      <c r="L77" s="848" t="s">
        <v>1865</v>
      </c>
      <c r="M77" s="851">
        <v>8</v>
      </c>
      <c r="N77" s="852"/>
      <c r="O77" s="848"/>
      <c r="P77" s="852"/>
      <c r="Q77" s="853">
        <v>3.378123332345093</v>
      </c>
      <c r="R77" s="854">
        <v>0.28098192568152947</v>
      </c>
      <c r="S77" s="854">
        <v>0.022415087819562862</v>
      </c>
      <c r="T77" s="854">
        <v>0.024461885047082983</v>
      </c>
      <c r="U77" s="854">
        <v>0.11898940505297473</v>
      </c>
      <c r="V77" s="855">
        <v>42281.87919463087</v>
      </c>
      <c r="W77" s="854">
        <v>0.0149</v>
      </c>
      <c r="X77" s="855">
        <v>51</v>
      </c>
      <c r="Y77" s="853">
        <v>75.72093115982962</v>
      </c>
      <c r="Z77" s="855">
        <v>150479</v>
      </c>
      <c r="AA77" s="855">
        <v>3373</v>
      </c>
      <c r="AB77" s="855">
        <v>630</v>
      </c>
      <c r="AC77" s="855">
        <v>3681</v>
      </c>
      <c r="AD77" s="855">
        <v>438</v>
      </c>
      <c r="AE77" s="855">
        <v>27</v>
      </c>
      <c r="AF77" s="855">
        <v>6</v>
      </c>
      <c r="AG77" s="855">
        <v>84</v>
      </c>
    </row>
    <row r="78">
      <c r="A78" s="848" t="s">
        <v>1900</v>
      </c>
      <c r="B78" s="848" t="s">
        <v>1873</v>
      </c>
      <c r="C78" s="848" t="s">
        <v>1867</v>
      </c>
      <c r="D78" s="848">
        <v>4</v>
      </c>
      <c r="E78" s="848">
        <v>17</v>
      </c>
      <c r="F78" s="848">
        <v>17</v>
      </c>
      <c r="G78" s="848">
        <v>34789.95</v>
      </c>
      <c r="H78" s="849">
        <v>7442.5</v>
      </c>
      <c r="I78" s="850">
        <f t="shared" si="0"/>
      </c>
      <c r="J78" s="850">
        <f t="shared" si="1"/>
      </c>
      <c r="K78" s="850">
        <f t="shared" si="2"/>
      </c>
      <c r="L78" s="848"/>
      <c r="M78" s="848"/>
      <c r="N78" s="848"/>
      <c r="O78" s="848"/>
      <c r="P78" s="852"/>
      <c r="Q78" s="853">
        <v>2.790588676415448</v>
      </c>
      <c r="R78" s="854">
        <v>0.29081941881857976</v>
      </c>
      <c r="S78" s="854">
        <v>0.030858412301711272</v>
      </c>
      <c r="T78" s="854">
        <v>0.035347750124382425</v>
      </c>
      <c r="U78" s="854">
        <v>0.0972176759410802</v>
      </c>
      <c r="V78" s="855">
        <v>25134.649910233395</v>
      </c>
      <c r="W78" s="854">
        <v>0.013925</v>
      </c>
      <c r="X78" s="855">
        <v>52.75</v>
      </c>
      <c r="Y78" s="853">
        <v>86.11313594131462</v>
      </c>
      <c r="Z78" s="855">
        <v>86427</v>
      </c>
      <c r="AA78" s="855">
        <v>2667</v>
      </c>
      <c r="AB78" s="855">
        <v>350</v>
      </c>
      <c r="AC78" s="855">
        <v>3055</v>
      </c>
      <c r="AD78" s="855">
        <v>297</v>
      </c>
      <c r="AE78" s="855">
        <v>28</v>
      </c>
      <c r="AF78" s="855">
        <v>5</v>
      </c>
      <c r="AG78" s="855">
        <v>41</v>
      </c>
    </row>
    <row r="79">
      <c r="A79" s="856" t="s">
        <v>1900</v>
      </c>
      <c r="B79" s="856" t="s">
        <v>1868</v>
      </c>
      <c r="C79" s="857"/>
      <c r="D79" s="857">
        <f>SUM(D77:D78)</f>
      </c>
      <c r="E79" s="857">
        <f>SUM(E77:E78)</f>
      </c>
      <c r="F79" s="857">
        <f>SUM(F77:F78)</f>
      </c>
      <c r="G79" s="857">
        <f>SUM(G77:G78)</f>
      </c>
      <c r="H79" s="857">
        <f>SUM(H77:H78)</f>
      </c>
      <c r="I79" s="858">
        <f t="shared" si="0"/>
      </c>
      <c r="J79" s="858">
        <f t="shared" si="1"/>
      </c>
      <c r="K79" s="858">
        <f t="shared" si="2"/>
      </c>
      <c r="L79" s="857"/>
      <c r="M79" s="857">
        <f>SUM(M77:M78)</f>
      </c>
      <c r="N79" s="857"/>
      <c r="O79" s="857"/>
      <c r="P79" s="857"/>
      <c r="Q79" s="859">
        <f>AVERAGE(Q77:Q78)</f>
      </c>
      <c r="R79" s="860">
        <f>AVERAGE(R77:R78)</f>
      </c>
      <c r="S79" s="860">
        <f>AVERAGE(S77:S78)</f>
      </c>
      <c r="T79" s="860">
        <f>AVERAGE(T77:T78)</f>
      </c>
      <c r="U79" s="860">
        <f>AVERAGE(U77:U78)</f>
      </c>
      <c r="V79" s="861">
        <f>SUM(V77:V78)</f>
      </c>
      <c r="W79" s="860">
        <f>AVERAGE(W77:W78)</f>
      </c>
      <c r="X79" s="861">
        <f>AVERAGE(X77:X78)</f>
      </c>
      <c r="Y79" s="859">
        <f>AVERAGE(Y77:Y78)</f>
      </c>
      <c r="Z79" s="861">
        <f>SUM(Z77:Z78)</f>
      </c>
      <c r="AA79" s="861">
        <f>SUM(AA77:AA78)</f>
      </c>
      <c r="AB79" s="861">
        <f>SUM(AB77:AB78)</f>
      </c>
      <c r="AC79" s="861">
        <f>SUM(AC77:AC78)</f>
      </c>
      <c r="AD79" s="861">
        <f>SUM(AD77:AD78)</f>
      </c>
      <c r="AE79" s="861">
        <f>SUM(AE77:AE78)</f>
      </c>
      <c r="AF79" s="861">
        <f>SUM(AF77:AF78)</f>
      </c>
      <c r="AG79" s="861">
        <f>SUM(AG77:AG78)</f>
      </c>
    </row>
    <row r="80">
      <c r="A80" s="848" t="s">
        <v>1901</v>
      </c>
      <c r="B80" s="848" t="s">
        <v>1863</v>
      </c>
      <c r="C80" s="848" t="s">
        <v>1864</v>
      </c>
      <c r="D80" s="848">
        <v>4</v>
      </c>
      <c r="E80" s="848">
        <v>9</v>
      </c>
      <c r="F80" s="848">
        <v>9</v>
      </c>
      <c r="G80" s="848">
        <v>25047.75</v>
      </c>
      <c r="H80" s="849">
        <v>7963.88</v>
      </c>
      <c r="I80" s="850">
        <f t="shared" si="0"/>
      </c>
      <c r="J80" s="850">
        <f t="shared" si="1"/>
      </c>
      <c r="K80" s="850">
        <f t="shared" si="2"/>
      </c>
      <c r="L80" s="848" t="s">
        <v>1865</v>
      </c>
      <c r="M80" s="851">
        <v>8</v>
      </c>
      <c r="N80" s="852"/>
      <c r="O80" s="848"/>
      <c r="P80" s="852"/>
      <c r="Q80" s="853">
        <v>2.84018544935806</v>
      </c>
      <c r="R80" s="854">
        <v>0.43555327484022544</v>
      </c>
      <c r="S80" s="854">
        <v>0.027122185251102684</v>
      </c>
      <c r="T80" s="854">
        <v>0.02965642652634837</v>
      </c>
      <c r="U80" s="854">
        <v>0.08708414872798434</v>
      </c>
      <c r="V80" s="855">
        <v>45029.23976608187</v>
      </c>
      <c r="W80" s="854">
        <v>0.00855</v>
      </c>
      <c r="X80" s="855">
        <v>52.25</v>
      </c>
      <c r="Y80" s="853">
        <v>77.03203590497561</v>
      </c>
      <c r="Z80" s="855">
        <v>103384</v>
      </c>
      <c r="AA80" s="855">
        <v>2804</v>
      </c>
      <c r="AB80" s="855">
        <v>385</v>
      </c>
      <c r="AC80" s="855">
        <v>3066</v>
      </c>
      <c r="AD80" s="855">
        <v>267</v>
      </c>
      <c r="AE80" s="855">
        <v>20</v>
      </c>
      <c r="AF80" s="855">
        <v>4</v>
      </c>
      <c r="AG80" s="855">
        <v>36</v>
      </c>
    </row>
    <row r="81">
      <c r="A81" s="848" t="s">
        <v>1901</v>
      </c>
      <c r="B81" s="848" t="s">
        <v>1866</v>
      </c>
      <c r="C81" s="848" t="s">
        <v>1867</v>
      </c>
      <c r="D81" s="848">
        <v>4</v>
      </c>
      <c r="E81" s="848">
        <v>5</v>
      </c>
      <c r="F81" s="848">
        <v>5</v>
      </c>
      <c r="G81" s="848">
        <v>9129.9</v>
      </c>
      <c r="H81" s="849">
        <v>4302.84</v>
      </c>
      <c r="I81" s="850">
        <f t="shared" si="0"/>
      </c>
      <c r="J81" s="850">
        <f t="shared" si="1"/>
      </c>
      <c r="K81" s="850">
        <f t="shared" si="2"/>
      </c>
      <c r="L81" s="848"/>
      <c r="M81" s="848"/>
      <c r="N81" s="848"/>
      <c r="O81" s="848"/>
      <c r="P81" s="852"/>
      <c r="Q81" s="853">
        <v>2.6642972136222913</v>
      </c>
      <c r="R81" s="854">
        <v>0.40255752849000276</v>
      </c>
      <c r="S81" s="854">
        <v>0.0370574332851472</v>
      </c>
      <c r="T81" s="854">
        <v>0.04118767352745462</v>
      </c>
      <c r="U81" s="854">
        <v>0.1309192200557103</v>
      </c>
      <c r="V81" s="855">
        <v>17543.85964912281</v>
      </c>
      <c r="W81" s="854">
        <v>0.011399999999999999</v>
      </c>
      <c r="X81" s="855">
        <v>55.25</v>
      </c>
      <c r="Y81" s="853">
        <v>98.73201624561162</v>
      </c>
      <c r="Z81" s="855">
        <v>43581</v>
      </c>
      <c r="AA81" s="855">
        <v>1615</v>
      </c>
      <c r="AB81" s="855">
        <v>200</v>
      </c>
      <c r="AC81" s="855">
        <v>1795</v>
      </c>
      <c r="AD81" s="855">
        <v>235</v>
      </c>
      <c r="AE81" s="855">
        <v>10</v>
      </c>
      <c r="AF81" s="855">
        <v>4</v>
      </c>
      <c r="AG81" s="855">
        <v>10</v>
      </c>
    </row>
    <row r="82">
      <c r="A82" s="856" t="s">
        <v>1901</v>
      </c>
      <c r="B82" s="856" t="s">
        <v>1868</v>
      </c>
      <c r="C82" s="857"/>
      <c r="D82" s="857">
        <f>SUM(D80:D81)</f>
      </c>
      <c r="E82" s="857">
        <f>SUM(E80:E81)</f>
      </c>
      <c r="F82" s="857">
        <f>SUM(F80:F81)</f>
      </c>
      <c r="G82" s="857">
        <f>SUM(G80:G81)</f>
      </c>
      <c r="H82" s="857">
        <f>SUM(H80:H81)</f>
      </c>
      <c r="I82" s="858">
        <f t="shared" si="0"/>
      </c>
      <c r="J82" s="858">
        <f t="shared" si="1"/>
      </c>
      <c r="K82" s="858">
        <f t="shared" si="2"/>
      </c>
      <c r="L82" s="857"/>
      <c r="M82" s="857">
        <f>SUM(M80:M81)</f>
      </c>
      <c r="N82" s="857"/>
      <c r="O82" s="857"/>
      <c r="P82" s="857"/>
      <c r="Q82" s="859">
        <f>AVERAGE(Q80:Q81)</f>
      </c>
      <c r="R82" s="860">
        <f>AVERAGE(R80:R81)</f>
      </c>
      <c r="S82" s="860">
        <f>AVERAGE(S80:S81)</f>
      </c>
      <c r="T82" s="860">
        <f>AVERAGE(T80:T81)</f>
      </c>
      <c r="U82" s="860">
        <f>AVERAGE(U80:U81)</f>
      </c>
      <c r="V82" s="861">
        <f>SUM(V80:V81)</f>
      </c>
      <c r="W82" s="860">
        <f>AVERAGE(W80:W81)</f>
      </c>
      <c r="X82" s="861">
        <f>AVERAGE(X80:X81)</f>
      </c>
      <c r="Y82" s="859">
        <f>AVERAGE(Y80:Y81)</f>
      </c>
      <c r="Z82" s="861">
        <f>SUM(Z80:Z81)</f>
      </c>
      <c r="AA82" s="861">
        <f>SUM(AA80:AA81)</f>
      </c>
      <c r="AB82" s="861">
        <f>SUM(AB80:AB81)</f>
      </c>
      <c r="AC82" s="861">
        <f>SUM(AC80:AC81)</f>
      </c>
      <c r="AD82" s="861">
        <f>SUM(AD80:AD81)</f>
      </c>
      <c r="AE82" s="861">
        <f>SUM(AE80:AE81)</f>
      </c>
      <c r="AF82" s="861">
        <f>SUM(AF80:AF81)</f>
      </c>
      <c r="AG82" s="861">
        <f>SUM(AG80:AG81)</f>
      </c>
    </row>
    <row r="83">
      <c r="A83" s="848" t="s">
        <v>1902</v>
      </c>
      <c r="B83" s="848" t="s">
        <v>1863</v>
      </c>
      <c r="C83" s="848" t="s">
        <v>1864</v>
      </c>
      <c r="D83" s="848">
        <v>4</v>
      </c>
      <c r="E83" s="848">
        <v>8</v>
      </c>
      <c r="F83" s="848">
        <v>8</v>
      </c>
      <c r="G83" s="848">
        <v>18345.6</v>
      </c>
      <c r="H83" s="849">
        <v>7151.82</v>
      </c>
      <c r="I83" s="850">
        <f t="shared" si="0"/>
      </c>
      <c r="J83" s="850">
        <f t="shared" si="1"/>
      </c>
      <c r="K83" s="850">
        <f t="shared" si="2"/>
      </c>
      <c r="L83" s="848" t="s">
        <v>1865</v>
      </c>
      <c r="M83" s="851">
        <v>8</v>
      </c>
      <c r="N83" s="852"/>
      <c r="O83" s="848"/>
      <c r="P83" s="852"/>
      <c r="Q83" s="853">
        <v>3.5457709469509173</v>
      </c>
      <c r="R83" s="854">
        <v>0.4089519583686907</v>
      </c>
      <c r="S83" s="854">
        <v>0.02405830291753143</v>
      </c>
      <c r="T83" s="854">
        <v>0.02566855125360815</v>
      </c>
      <c r="U83" s="854">
        <v>0.1524163568773234</v>
      </c>
      <c r="V83" s="855">
        <v>34285.71428571429</v>
      </c>
      <c r="W83" s="854">
        <v>0.009975</v>
      </c>
      <c r="X83" s="855">
        <v>58</v>
      </c>
      <c r="Y83" s="853">
        <v>85.30523151792744</v>
      </c>
      <c r="Z83" s="855">
        <v>83838</v>
      </c>
      <c r="AA83" s="855">
        <v>2017</v>
      </c>
      <c r="AB83" s="855">
        <v>342</v>
      </c>
      <c r="AC83" s="855">
        <v>2152</v>
      </c>
      <c r="AD83" s="855">
        <v>328</v>
      </c>
      <c r="AE83" s="855">
        <v>20</v>
      </c>
      <c r="AF83" s="855">
        <v>7</v>
      </c>
      <c r="AG83" s="855">
        <v>23</v>
      </c>
    </row>
    <row r="84">
      <c r="A84" s="848" t="s">
        <v>1902</v>
      </c>
      <c r="B84" s="848" t="s">
        <v>1866</v>
      </c>
      <c r="C84" s="848" t="s">
        <v>1867</v>
      </c>
      <c r="D84" s="848">
        <v>4</v>
      </c>
      <c r="E84" s="848">
        <v>16</v>
      </c>
      <c r="F84" s="848">
        <v>16</v>
      </c>
      <c r="G84" s="848">
        <v>38025</v>
      </c>
      <c r="H84" s="849">
        <v>12956.86</v>
      </c>
      <c r="I84" s="850">
        <f t="shared" si="0"/>
      </c>
      <c r="J84" s="850">
        <f t="shared" si="1"/>
      </c>
      <c r="K84" s="850">
        <f t="shared" si="2"/>
      </c>
      <c r="L84" s="848"/>
      <c r="M84" s="848"/>
      <c r="N84" s="848"/>
      <c r="O84" s="848"/>
      <c r="P84" s="852"/>
      <c r="Q84" s="853">
        <v>3.1609807270065873</v>
      </c>
      <c r="R84" s="854">
        <v>0.15287255607112363</v>
      </c>
      <c r="S84" s="854">
        <v>0.02162296180242342</v>
      </c>
      <c r="T84" s="854">
        <v>0.018399826974104142</v>
      </c>
      <c r="U84" s="854">
        <v>0.13847477064220184</v>
      </c>
      <c r="V84" s="855">
        <v>28979.591836734693</v>
      </c>
      <c r="W84" s="854">
        <v>0.0196</v>
      </c>
      <c r="X84" s="855">
        <v>60.25</v>
      </c>
      <c r="Y84" s="853">
        <v>68.34976551826004</v>
      </c>
      <c r="Z84" s="855">
        <v>189567</v>
      </c>
      <c r="AA84" s="855">
        <v>4099</v>
      </c>
      <c r="AB84" s="855">
        <v>568</v>
      </c>
      <c r="AC84" s="855">
        <v>3488</v>
      </c>
      <c r="AD84" s="855">
        <v>483</v>
      </c>
      <c r="AE84" s="855">
        <v>37</v>
      </c>
      <c r="AF84" s="855">
        <v>11</v>
      </c>
      <c r="AG84" s="855">
        <v>277</v>
      </c>
    </row>
    <row r="85">
      <c r="A85" s="856" t="s">
        <v>1902</v>
      </c>
      <c r="B85" s="856" t="s">
        <v>1868</v>
      </c>
      <c r="C85" s="857"/>
      <c r="D85" s="857">
        <f>SUM(D83:D84)</f>
      </c>
      <c r="E85" s="857">
        <f>SUM(E83:E84)</f>
      </c>
      <c r="F85" s="857">
        <f>SUM(F83:F84)</f>
      </c>
      <c r="G85" s="857">
        <f>SUM(G83:G84)</f>
      </c>
      <c r="H85" s="857">
        <f>SUM(H83:H84)</f>
      </c>
      <c r="I85" s="858">
        <f t="shared" si="0"/>
      </c>
      <c r="J85" s="858">
        <f t="shared" si="1"/>
      </c>
      <c r="K85" s="858">
        <f t="shared" si="2"/>
      </c>
      <c r="L85" s="857"/>
      <c r="M85" s="857">
        <f>SUM(M83:M84)</f>
      </c>
      <c r="N85" s="857"/>
      <c r="O85" s="857"/>
      <c r="P85" s="857"/>
      <c r="Q85" s="859">
        <f>AVERAGE(Q83:Q84)</f>
      </c>
      <c r="R85" s="860">
        <f>AVERAGE(R83:R84)</f>
      </c>
      <c r="S85" s="860">
        <f>AVERAGE(S83:S84)</f>
      </c>
      <c r="T85" s="860">
        <f>AVERAGE(T83:T84)</f>
      </c>
      <c r="U85" s="860">
        <f>AVERAGE(U83:U84)</f>
      </c>
      <c r="V85" s="861">
        <f>SUM(V83:V84)</f>
      </c>
      <c r="W85" s="860">
        <f>AVERAGE(W83:W84)</f>
      </c>
      <c r="X85" s="861">
        <f>AVERAGE(X83:X84)</f>
      </c>
      <c r="Y85" s="859">
        <f>AVERAGE(Y83:Y84)</f>
      </c>
      <c r="Z85" s="861">
        <f>SUM(Z83:Z84)</f>
      </c>
      <c r="AA85" s="861">
        <f>SUM(AA83:AA84)</f>
      </c>
      <c r="AB85" s="861">
        <f>SUM(AB83:AB84)</f>
      </c>
      <c r="AC85" s="861">
        <f>SUM(AC83:AC84)</f>
      </c>
      <c r="AD85" s="861">
        <f>SUM(AD83:AD84)</f>
      </c>
      <c r="AE85" s="861">
        <f>SUM(AE83:AE84)</f>
      </c>
      <c r="AF85" s="861">
        <f>SUM(AF83:AF84)</f>
      </c>
      <c r="AG85" s="861">
        <f>SUM(AG83:AG84)</f>
      </c>
    </row>
    <row r="86">
      <c r="A86" s="848" t="s">
        <v>1903</v>
      </c>
      <c r="B86" s="848" t="s">
        <v>1904</v>
      </c>
      <c r="C86" s="848" t="s">
        <v>1864</v>
      </c>
      <c r="D86" s="848">
        <v>4</v>
      </c>
      <c r="E86" s="848">
        <v>21</v>
      </c>
      <c r="F86" s="848">
        <v>21</v>
      </c>
      <c r="G86" s="848">
        <v>51624.3</v>
      </c>
      <c r="H86" s="849">
        <v>11371.11</v>
      </c>
      <c r="I86" s="850">
        <f t="shared" si="0"/>
      </c>
      <c r="J86" s="850">
        <f t="shared" si="1"/>
      </c>
      <c r="K86" s="850">
        <f t="shared" si="2"/>
      </c>
      <c r="L86" s="848" t="s">
        <v>1865</v>
      </c>
      <c r="M86" s="851">
        <v>8</v>
      </c>
      <c r="N86" s="852"/>
      <c r="O86" s="848"/>
      <c r="P86" s="852"/>
      <c r="Q86" s="853">
        <v>4.088856526429343</v>
      </c>
      <c r="R86" s="854">
        <v>0.2514428776688654</v>
      </c>
      <c r="S86" s="854">
        <v>0.018473618132178373</v>
      </c>
      <c r="T86" s="854">
        <v>0.019529822836607126</v>
      </c>
      <c r="U86" s="854">
        <v>0.1598639455782313</v>
      </c>
      <c r="V86" s="855">
        <v>37851.95936139333</v>
      </c>
      <c r="W86" s="854">
        <v>0.017224999999999997</v>
      </c>
      <c r="X86" s="855">
        <v>59.5</v>
      </c>
      <c r="Y86" s="853">
        <v>75.53597406652098</v>
      </c>
      <c r="Z86" s="855">
        <v>150539</v>
      </c>
      <c r="AA86" s="855">
        <v>2781</v>
      </c>
      <c r="AB86" s="855">
        <v>652</v>
      </c>
      <c r="AC86" s="855">
        <v>2940</v>
      </c>
      <c r="AD86" s="855">
        <v>470</v>
      </c>
      <c r="AE86" s="855">
        <v>38</v>
      </c>
      <c r="AF86" s="855">
        <v>12</v>
      </c>
      <c r="AG86" s="855">
        <v>105</v>
      </c>
    </row>
    <row r="87">
      <c r="A87" s="848" t="s">
        <v>1903</v>
      </c>
      <c r="B87" s="848" t="s">
        <v>1863</v>
      </c>
      <c r="C87" s="848" t="s">
        <v>1867</v>
      </c>
      <c r="D87" s="848">
        <v>4</v>
      </c>
      <c r="E87" s="848">
        <v>13</v>
      </c>
      <c r="F87" s="848">
        <v>13</v>
      </c>
      <c r="G87" s="848">
        <v>25449.45</v>
      </c>
      <c r="H87" s="849">
        <v>7546.88</v>
      </c>
      <c r="I87" s="850">
        <f t="shared" si="0"/>
      </c>
      <c r="J87" s="850">
        <f t="shared" si="1"/>
      </c>
      <c r="K87" s="850">
        <f t="shared" si="2"/>
      </c>
      <c r="L87" s="848"/>
      <c r="M87" s="848"/>
      <c r="N87" s="848"/>
      <c r="O87" s="848"/>
      <c r="P87" s="852"/>
      <c r="Q87" s="853">
        <v>2.9537690802348338</v>
      </c>
      <c r="R87" s="854">
        <v>0.19227899836485943</v>
      </c>
      <c r="S87" s="854">
        <v>0.02923073402892184</v>
      </c>
      <c r="T87" s="854">
        <v>0.03226249313563976</v>
      </c>
      <c r="U87" s="854">
        <v>0.12163120567375886</v>
      </c>
      <c r="V87" s="855">
        <v>16806.722689075632</v>
      </c>
      <c r="W87" s="854">
        <v>0.026775</v>
      </c>
      <c r="X87" s="855">
        <v>67</v>
      </c>
      <c r="Y87" s="853">
        <v>86.3408383671975</v>
      </c>
      <c r="Z87" s="855">
        <v>87408</v>
      </c>
      <c r="AA87" s="855">
        <v>2555</v>
      </c>
      <c r="AB87" s="855">
        <v>450</v>
      </c>
      <c r="AC87" s="855">
        <v>2820</v>
      </c>
      <c r="AD87" s="855">
        <v>343</v>
      </c>
      <c r="AE87" s="855">
        <v>31</v>
      </c>
      <c r="AF87" s="855">
        <v>5</v>
      </c>
      <c r="AG87" s="855">
        <v>42</v>
      </c>
    </row>
    <row r="88">
      <c r="A88" s="856" t="s">
        <v>1903</v>
      </c>
      <c r="B88" s="856" t="s">
        <v>1868</v>
      </c>
      <c r="C88" s="857"/>
      <c r="D88" s="857">
        <f>SUM(D86:D87)</f>
      </c>
      <c r="E88" s="857">
        <f>SUM(E86:E87)</f>
      </c>
      <c r="F88" s="857">
        <f>SUM(F86:F87)</f>
      </c>
      <c r="G88" s="857">
        <f>SUM(G86:G87)</f>
      </c>
      <c r="H88" s="857">
        <f>SUM(H86:H87)</f>
      </c>
      <c r="I88" s="858">
        <f t="shared" si="0"/>
      </c>
      <c r="J88" s="858">
        <f t="shared" si="1"/>
      </c>
      <c r="K88" s="858">
        <f t="shared" si="2"/>
      </c>
      <c r="L88" s="857"/>
      <c r="M88" s="857">
        <f>SUM(M86:M87)</f>
      </c>
      <c r="N88" s="857"/>
      <c r="O88" s="857"/>
      <c r="P88" s="857"/>
      <c r="Q88" s="859">
        <f>AVERAGE(Q86:Q87)</f>
      </c>
      <c r="R88" s="860">
        <f>AVERAGE(R86:R87)</f>
      </c>
      <c r="S88" s="860">
        <f>AVERAGE(S86:S87)</f>
      </c>
      <c r="T88" s="860">
        <f>AVERAGE(T86:T87)</f>
      </c>
      <c r="U88" s="860">
        <f>AVERAGE(U86:U87)</f>
      </c>
      <c r="V88" s="861">
        <f>SUM(V86:V87)</f>
      </c>
      <c r="W88" s="860">
        <f>AVERAGE(W86:W87)</f>
      </c>
      <c r="X88" s="861">
        <f>AVERAGE(X86:X87)</f>
      </c>
      <c r="Y88" s="859">
        <f>AVERAGE(Y86:Y87)</f>
      </c>
      <c r="Z88" s="861">
        <f>SUM(Z86:Z87)</f>
      </c>
      <c r="AA88" s="861">
        <f>SUM(AA86:AA87)</f>
      </c>
      <c r="AB88" s="861">
        <f>SUM(AB86:AB87)</f>
      </c>
      <c r="AC88" s="861">
        <f>SUM(AC86:AC87)</f>
      </c>
      <c r="AD88" s="861">
        <f>SUM(AD86:AD87)</f>
      </c>
      <c r="AE88" s="861">
        <f>SUM(AE86:AE87)</f>
      </c>
      <c r="AF88" s="861">
        <f>SUM(AF86:AF87)</f>
      </c>
      <c r="AG88" s="861">
        <f>SUM(AG86:AG87)</f>
      </c>
    </row>
    <row r="89">
      <c r="A89" s="848" t="s">
        <v>1905</v>
      </c>
      <c r="B89" s="848" t="s">
        <v>1904</v>
      </c>
      <c r="C89" s="848" t="s">
        <v>1864</v>
      </c>
      <c r="D89" s="848">
        <v>4</v>
      </c>
      <c r="E89" s="848">
        <v>14</v>
      </c>
      <c r="F89" s="848">
        <v>14</v>
      </c>
      <c r="G89" s="848">
        <v>32783.4</v>
      </c>
      <c r="H89" s="849">
        <v>7010.74</v>
      </c>
      <c r="I89" s="850">
        <f t="shared" si="0"/>
      </c>
      <c r="J89" s="850">
        <f t="shared" si="1"/>
      </c>
      <c r="K89" s="850">
        <f t="shared" si="2"/>
      </c>
      <c r="L89" s="848" t="s">
        <v>1865</v>
      </c>
      <c r="M89" s="851">
        <v>8</v>
      </c>
      <c r="N89" s="852"/>
      <c r="O89" s="848"/>
      <c r="P89" s="852"/>
      <c r="Q89" s="853">
        <v>3.0454300608166816</v>
      </c>
      <c r="R89" s="854">
        <v>0.5178136093202584</v>
      </c>
      <c r="S89" s="854">
        <v>0.026464332930965107</v>
      </c>
      <c r="T89" s="854">
        <v>0.02843018911306547</v>
      </c>
      <c r="U89" s="854">
        <v>0.1306105944197331</v>
      </c>
      <c r="V89" s="855">
        <v>45042.016806722684</v>
      </c>
      <c r="W89" s="854">
        <v>0.008925</v>
      </c>
      <c r="X89" s="855">
        <v>55.5</v>
      </c>
      <c r="Y89" s="853">
        <v>80.59527504742198</v>
      </c>
      <c r="Z89" s="855">
        <v>86985</v>
      </c>
      <c r="AA89" s="855">
        <v>2302</v>
      </c>
      <c r="AB89" s="855">
        <v>402</v>
      </c>
      <c r="AC89" s="855">
        <v>2473</v>
      </c>
      <c r="AD89" s="855">
        <v>323</v>
      </c>
      <c r="AE89" s="855">
        <v>28</v>
      </c>
      <c r="AF89" s="855">
        <v>7</v>
      </c>
      <c r="AG89" s="855">
        <v>22</v>
      </c>
    </row>
    <row r="90">
      <c r="A90" s="848" t="s">
        <v>1905</v>
      </c>
      <c r="B90" s="848" t="s">
        <v>1863</v>
      </c>
      <c r="C90" s="848" t="s">
        <v>1867</v>
      </c>
      <c r="D90" s="848">
        <v>4</v>
      </c>
      <c r="E90" s="848">
        <v>12</v>
      </c>
      <c r="F90" s="848">
        <v>12</v>
      </c>
      <c r="G90" s="848">
        <v>34583.25</v>
      </c>
      <c r="H90" s="849">
        <v>6466.57</v>
      </c>
      <c r="I90" s="850">
        <f t="shared" si="0"/>
      </c>
      <c r="J90" s="850">
        <f t="shared" si="1"/>
      </c>
      <c r="K90" s="850">
        <f t="shared" si="2"/>
      </c>
      <c r="L90" s="848"/>
      <c r="M90" s="848"/>
      <c r="N90" s="848"/>
      <c r="O90" s="848"/>
      <c r="P90" s="852"/>
      <c r="Q90" s="853">
        <v>2.5359098039215686</v>
      </c>
      <c r="R90" s="854">
        <v>0.5419632544446757</v>
      </c>
      <c r="S90" s="854">
        <v>0.031702617019954</v>
      </c>
      <c r="T90" s="854">
        <v>0.034251258780381676</v>
      </c>
      <c r="U90" s="854">
        <v>0.0896551724137931</v>
      </c>
      <c r="V90" s="855">
        <v>43592.81437125749</v>
      </c>
      <c r="W90" s="854">
        <v>0.00835</v>
      </c>
      <c r="X90" s="855">
        <v>54.75</v>
      </c>
      <c r="Y90" s="853">
        <v>80.39497731087212</v>
      </c>
      <c r="Z90" s="855">
        <v>80435</v>
      </c>
      <c r="AA90" s="855">
        <v>2550</v>
      </c>
      <c r="AB90" s="855">
        <v>364</v>
      </c>
      <c r="AC90" s="855">
        <v>2755</v>
      </c>
      <c r="AD90" s="855">
        <v>247</v>
      </c>
      <c r="AE90" s="855">
        <v>20</v>
      </c>
      <c r="AF90" s="855">
        <v>8</v>
      </c>
      <c r="AG90" s="855">
        <v>19</v>
      </c>
    </row>
    <row r="91">
      <c r="A91" s="856" t="s">
        <v>1905</v>
      </c>
      <c r="B91" s="856" t="s">
        <v>1868</v>
      </c>
      <c r="C91" s="857"/>
      <c r="D91" s="857">
        <f>SUM(D89:D90)</f>
      </c>
      <c r="E91" s="857">
        <f>SUM(E89:E90)</f>
      </c>
      <c r="F91" s="857">
        <f>SUM(F89:F90)</f>
      </c>
      <c r="G91" s="857">
        <f>SUM(G89:G90)</f>
      </c>
      <c r="H91" s="857">
        <f>SUM(H89:H90)</f>
      </c>
      <c r="I91" s="858">
        <f t="shared" si="0"/>
      </c>
      <c r="J91" s="858">
        <f t="shared" si="1"/>
      </c>
      <c r="K91" s="858">
        <f t="shared" si="2"/>
      </c>
      <c r="L91" s="857"/>
      <c r="M91" s="857">
        <f>SUM(M89:M90)</f>
      </c>
      <c r="N91" s="857"/>
      <c r="O91" s="857"/>
      <c r="P91" s="857"/>
      <c r="Q91" s="859">
        <f>AVERAGE(Q89:Q90)</f>
      </c>
      <c r="R91" s="860">
        <f>AVERAGE(R89:R90)</f>
      </c>
      <c r="S91" s="860">
        <f>AVERAGE(S89:S90)</f>
      </c>
      <c r="T91" s="860">
        <f>AVERAGE(T89:T90)</f>
      </c>
      <c r="U91" s="860">
        <f>AVERAGE(U89:U90)</f>
      </c>
      <c r="V91" s="861">
        <f>SUM(V89:V90)</f>
      </c>
      <c r="W91" s="860">
        <f>AVERAGE(W89:W90)</f>
      </c>
      <c r="X91" s="861">
        <f>AVERAGE(X89:X90)</f>
      </c>
      <c r="Y91" s="859">
        <f>AVERAGE(Y89:Y90)</f>
      </c>
      <c r="Z91" s="861">
        <f>SUM(Z89:Z90)</f>
      </c>
      <c r="AA91" s="861">
        <f>SUM(AA89:AA90)</f>
      </c>
      <c r="AB91" s="861">
        <f>SUM(AB89:AB90)</f>
      </c>
      <c r="AC91" s="861">
        <f>SUM(AC89:AC90)</f>
      </c>
      <c r="AD91" s="861">
        <f>SUM(AD89:AD90)</f>
      </c>
      <c r="AE91" s="861">
        <f>SUM(AE89:AE90)</f>
      </c>
      <c r="AF91" s="861">
        <f>SUM(AF89:AF90)</f>
      </c>
      <c r="AG91" s="861">
        <f>SUM(AG89:AG90)</f>
      </c>
    </row>
    <row r="92">
      <c r="A92" s="848" t="s">
        <v>1906</v>
      </c>
      <c r="B92" s="848" t="s">
        <v>1863</v>
      </c>
      <c r="C92" s="848" t="s">
        <v>1864</v>
      </c>
      <c r="D92" s="848">
        <v>4</v>
      </c>
      <c r="E92" s="848">
        <v>15</v>
      </c>
      <c r="F92" s="848">
        <v>15</v>
      </c>
      <c r="G92" s="848">
        <v>39830.7</v>
      </c>
      <c r="H92" s="849">
        <v>7741.8</v>
      </c>
      <c r="I92" s="850">
        <f t="shared" si="0"/>
      </c>
      <c r="J92" s="850">
        <f t="shared" si="1"/>
      </c>
      <c r="K92" s="850">
        <f t="shared" si="2"/>
      </c>
      <c r="L92" s="848" t="s">
        <v>1865</v>
      </c>
      <c r="M92" s="851">
        <v>8</v>
      </c>
      <c r="N92" s="852"/>
      <c r="O92" s="848"/>
      <c r="P92" s="852"/>
      <c r="Q92" s="853">
        <v>2.9890540540540544</v>
      </c>
      <c r="R92" s="854">
        <v>0.45926476972775404</v>
      </c>
      <c r="S92" s="854">
        <v>0.02374861313600895</v>
      </c>
      <c r="T92" s="854">
        <v>0.025417434599620387</v>
      </c>
      <c r="U92" s="854">
        <v>0.10173160173160173</v>
      </c>
      <c r="V92" s="855">
        <v>50086.95652173913</v>
      </c>
      <c r="W92" s="854">
        <v>0.008625</v>
      </c>
      <c r="X92" s="855">
        <v>53</v>
      </c>
      <c r="Y92" s="853">
        <v>70.98588837234891</v>
      </c>
      <c r="Z92" s="855">
        <v>109059</v>
      </c>
      <c r="AA92" s="855">
        <v>2590</v>
      </c>
      <c r="AB92" s="855">
        <v>432</v>
      </c>
      <c r="AC92" s="855">
        <v>2772</v>
      </c>
      <c r="AD92" s="855">
        <v>282</v>
      </c>
      <c r="AE92" s="855">
        <v>18</v>
      </c>
      <c r="AF92" s="855">
        <v>6</v>
      </c>
      <c r="AG92" s="855">
        <v>30</v>
      </c>
    </row>
    <row r="93">
      <c r="A93" s="848" t="s">
        <v>1906</v>
      </c>
      <c r="B93" s="848" t="s">
        <v>1866</v>
      </c>
      <c r="C93" s="848" t="s">
        <v>1867</v>
      </c>
      <c r="D93" s="848">
        <v>4</v>
      </c>
      <c r="E93" s="848">
        <v>6</v>
      </c>
      <c r="F93" s="848">
        <v>6</v>
      </c>
      <c r="G93" s="848">
        <v>15908.1</v>
      </c>
      <c r="H93" s="849">
        <v>5573.45</v>
      </c>
      <c r="I93" s="850">
        <f t="shared" si="0"/>
      </c>
      <c r="J93" s="850">
        <f t="shared" si="1"/>
      </c>
      <c r="K93" s="850">
        <f t="shared" si="2"/>
      </c>
      <c r="L93" s="848"/>
      <c r="M93" s="848"/>
      <c r="N93" s="848"/>
      <c r="O93" s="848"/>
      <c r="P93" s="852"/>
      <c r="Q93" s="853">
        <v>3.394305724725944</v>
      </c>
      <c r="R93" s="854">
        <v>0.27844168979488626</v>
      </c>
      <c r="S93" s="854">
        <v>0.03433422549347608</v>
      </c>
      <c r="T93" s="854">
        <v>0.036906155904984944</v>
      </c>
      <c r="U93" s="854">
        <v>0.14447592067988668</v>
      </c>
      <c r="V93" s="855">
        <v>13316.19537275064</v>
      </c>
      <c r="W93" s="854">
        <v>0.019450000000000002</v>
      </c>
      <c r="X93" s="855">
        <v>63</v>
      </c>
      <c r="Y93" s="853">
        <v>116.54085814653729</v>
      </c>
      <c r="Z93" s="855">
        <v>47824</v>
      </c>
      <c r="AA93" s="855">
        <v>1642</v>
      </c>
      <c r="AB93" s="855">
        <v>259</v>
      </c>
      <c r="AC93" s="855">
        <v>1765</v>
      </c>
      <c r="AD93" s="855">
        <v>255</v>
      </c>
      <c r="AE93" s="855">
        <v>14</v>
      </c>
      <c r="AF93" s="855">
        <v>3</v>
      </c>
      <c r="AG93" s="855">
        <v>22</v>
      </c>
    </row>
    <row r="94">
      <c r="A94" s="856" t="s">
        <v>1906</v>
      </c>
      <c r="B94" s="856" t="s">
        <v>1868</v>
      </c>
      <c r="C94" s="857"/>
      <c r="D94" s="857">
        <f>SUM(D92:D93)</f>
      </c>
      <c r="E94" s="857">
        <f>SUM(E92:E93)</f>
      </c>
      <c r="F94" s="857">
        <f>SUM(F92:F93)</f>
      </c>
      <c r="G94" s="857">
        <f>SUM(G92:G93)</f>
      </c>
      <c r="H94" s="857">
        <f>SUM(H92:H93)</f>
      </c>
      <c r="I94" s="858">
        <f t="shared" si="0"/>
      </c>
      <c r="J94" s="858">
        <f t="shared" si="1"/>
      </c>
      <c r="K94" s="858">
        <f t="shared" si="2"/>
      </c>
      <c r="L94" s="857"/>
      <c r="M94" s="857">
        <f>SUM(M92:M93)</f>
      </c>
      <c r="N94" s="857"/>
      <c r="O94" s="857"/>
      <c r="P94" s="857"/>
      <c r="Q94" s="859">
        <f>AVERAGE(Q92:Q93)</f>
      </c>
      <c r="R94" s="860">
        <f>AVERAGE(R92:R93)</f>
      </c>
      <c r="S94" s="860">
        <f>AVERAGE(S92:S93)</f>
      </c>
      <c r="T94" s="860">
        <f>AVERAGE(T92:T93)</f>
      </c>
      <c r="U94" s="860">
        <f>AVERAGE(U92:U93)</f>
      </c>
      <c r="V94" s="861">
        <f>SUM(V92:V93)</f>
      </c>
      <c r="W94" s="860">
        <f>AVERAGE(W92:W93)</f>
      </c>
      <c r="X94" s="861">
        <f>AVERAGE(X92:X93)</f>
      </c>
      <c r="Y94" s="859">
        <f>AVERAGE(Y92:Y93)</f>
      </c>
      <c r="Z94" s="861">
        <f>SUM(Z92:Z93)</f>
      </c>
      <c r="AA94" s="861">
        <f>SUM(AA92:AA93)</f>
      </c>
      <c r="AB94" s="861">
        <f>SUM(AB92:AB93)</f>
      </c>
      <c r="AC94" s="861">
        <f>SUM(AC92:AC93)</f>
      </c>
      <c r="AD94" s="861">
        <f>SUM(AD92:AD93)</f>
      </c>
      <c r="AE94" s="861">
        <f>SUM(AE92:AE93)</f>
      </c>
      <c r="AF94" s="861">
        <f>SUM(AF92:AF93)</f>
      </c>
      <c r="AG94" s="861">
        <f>SUM(AG92:AG93)</f>
      </c>
    </row>
    <row r="95"/>
    <row r="96"/>
    <row r="97"/>
    <row r="98">
      <c r="F98" s="862"/>
    </row>
    <row r="99">
      <c r="F99" s="862"/>
    </row>
    <row r="100">
      <c r="F100" s="862"/>
    </row>
    <row r="101">
      <c r="F101" s="862"/>
    </row>
    <row r="102">
      <c r="F102" s="862"/>
    </row>
    <row r="103">
      <c r="F103" s="862"/>
    </row>
    <row r="104">
      <c r="F104" s="862"/>
    </row>
    <row r="105">
      <c r="F105" s="862"/>
    </row>
    <row r="106">
      <c r="F106" s="862"/>
    </row>
    <row r="107">
      <c r="F107" s="862"/>
    </row>
    <row r="108">
      <c r="F108" s="862"/>
    </row>
    <row r="109">
      <c r="F109" s="862"/>
    </row>
    <row r="110">
      <c r="F110" s="862"/>
    </row>
    <row r="111">
      <c r="F111" s="862"/>
    </row>
    <row r="112">
      <c r="F112" s="862"/>
    </row>
    <row r="113">
      <c r="F113" s="862"/>
    </row>
    <row r="114">
      <c r="F114" s="862"/>
    </row>
    <row r="115">
      <c r="F115" s="862"/>
    </row>
    <row r="116">
      <c r="F116" s="862"/>
    </row>
    <row r="117">
      <c r="F117" s="862"/>
    </row>
    <row r="118">
      <c r="F118" s="862"/>
    </row>
  </sheetData>
  <autoFilter ref="A1:AG210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E2" xSplit="4" ySplit="1"/>
    </sheetView>
  </sheetViews>
  <sheetFormatPr defaultRowHeight="16"/>
  <sheetData>
    <row r="1">
      <c r="A1" s="863" t="s">
        <v>1907</v>
      </c>
      <c r="B1" s="864" t="s">
        <v>1908</v>
      </c>
      <c r="C1" s="864" t="s">
        <v>1909</v>
      </c>
      <c r="D1" s="864" t="s">
        <v>1910</v>
      </c>
      <c r="E1" s="864" t="s">
        <v>1911</v>
      </c>
      <c r="F1" s="864" t="s">
        <v>1912</v>
      </c>
      <c r="G1" s="864" t="s">
        <v>1913</v>
      </c>
      <c r="H1" s="864" t="s">
        <v>1914</v>
      </c>
      <c r="I1" s="865" t="s">
        <v>1915</v>
      </c>
      <c r="J1" s="865" t="s">
        <v>1916</v>
      </c>
      <c r="K1" s="865" t="s">
        <v>1917</v>
      </c>
      <c r="L1" s="864" t="s">
        <v>1918</v>
      </c>
      <c r="M1" s="866" t="s">
        <v>1919</v>
      </c>
      <c r="N1" s="864" t="s">
        <v>1920</v>
      </c>
      <c r="O1" s="864" t="s">
        <v>1921</v>
      </c>
      <c r="P1" s="864"/>
      <c r="Q1" s="864" t="s">
        <v>1922</v>
      </c>
      <c r="R1" s="867" t="s">
        <v>1923</v>
      </c>
      <c r="S1" s="867" t="s">
        <v>1924</v>
      </c>
      <c r="T1" s="867" t="s">
        <v>1925</v>
      </c>
      <c r="U1" s="867" t="s">
        <v>1926</v>
      </c>
      <c r="V1" s="866" t="s">
        <v>1927</v>
      </c>
      <c r="W1" s="867" t="s">
        <v>1928</v>
      </c>
      <c r="X1" s="866" t="s">
        <v>1929</v>
      </c>
      <c r="Y1" s="868" t="s">
        <v>1930</v>
      </c>
      <c r="Z1" s="869" t="s">
        <v>1931</v>
      </c>
      <c r="AA1" s="866" t="s">
        <v>1932</v>
      </c>
      <c r="AB1" s="866" t="s">
        <v>1933</v>
      </c>
      <c r="AC1" s="866" t="s">
        <v>1934</v>
      </c>
      <c r="AD1" s="866" t="s">
        <v>1935</v>
      </c>
      <c r="AE1" s="866" t="s">
        <v>1936</v>
      </c>
      <c r="AF1" s="866" t="s">
        <v>1937</v>
      </c>
      <c r="AG1" s="866" t="s">
        <v>1938</v>
      </c>
    </row>
    <row r="2">
      <c r="A2" s="870" t="s">
        <v>1939</v>
      </c>
      <c r="B2" s="870" t="s">
        <v>1940</v>
      </c>
      <c r="C2" s="870" t="s">
        <v>1941</v>
      </c>
      <c r="D2" s="870">
        <v>3</v>
      </c>
      <c r="E2" s="870">
        <v>9</v>
      </c>
      <c r="F2" s="870">
        <v>9</v>
      </c>
      <c r="G2" s="870">
        <v>13477.53</v>
      </c>
      <c r="H2" s="871">
        <v>3721.56</v>
      </c>
      <c r="I2" s="872">
        <f t="shared" ref="I2:I40" si="0">G2/H2</f>
      </c>
      <c r="J2" s="872">
        <f t="shared" ref="J2:J40" si="1">G2/F2</f>
      </c>
      <c r="K2" s="872">
        <f t="shared" ref="K2:K40" si="2">H2/F2</f>
      </c>
      <c r="L2" s="870" t="s">
        <v>1942</v>
      </c>
      <c r="M2" s="873">
        <v>8</v>
      </c>
      <c r="N2" s="874"/>
      <c r="O2" s="870"/>
      <c r="P2" s="874"/>
      <c r="Q2" s="875">
        <v>2.54726899383984</v>
      </c>
      <c r="R2" s="876">
        <v>0.6216815090172183</v>
      </c>
      <c r="S2" s="876">
        <v>0.03004565458808045</v>
      </c>
      <c r="T2" s="876">
        <v>0.036770452021552255</v>
      </c>
      <c r="U2" s="876">
        <v>0.09395973154362416</v>
      </c>
      <c r="V2" s="873">
        <v>30229.88505747126</v>
      </c>
      <c r="W2" s="876">
        <v>0.008700000000000001</v>
      </c>
      <c r="X2" s="873">
        <v>50.666666666666664</v>
      </c>
      <c r="Y2" s="875">
        <v>76.53436433183893</v>
      </c>
      <c r="Z2" s="873">
        <v>48626</v>
      </c>
      <c r="AA2" s="873">
        <v>1461</v>
      </c>
      <c r="AB2" s="873">
        <v>263</v>
      </c>
      <c r="AC2" s="873">
        <v>1788</v>
      </c>
      <c r="AD2" s="873">
        <v>168</v>
      </c>
      <c r="AE2" s="873">
        <v>25</v>
      </c>
      <c r="AF2" s="873">
        <v>8</v>
      </c>
      <c r="AG2" s="873">
        <v>30</v>
      </c>
    </row>
    <row r="3">
      <c r="A3" s="870" t="s">
        <v>1939</v>
      </c>
      <c r="B3" s="870" t="s">
        <v>1943</v>
      </c>
      <c r="C3" s="870" t="s">
        <v>1944</v>
      </c>
      <c r="D3" s="870">
        <v>5</v>
      </c>
      <c r="E3" s="870">
        <v>28</v>
      </c>
      <c r="F3" s="870">
        <v>28</v>
      </c>
      <c r="G3" s="870">
        <v>42666.74</v>
      </c>
      <c r="H3" s="871">
        <v>8651.72</v>
      </c>
      <c r="I3" s="872">
        <f t="shared" si="0"/>
      </c>
      <c r="J3" s="872">
        <f t="shared" si="1"/>
      </c>
      <c r="K3" s="872">
        <f t="shared" si="2"/>
      </c>
      <c r="L3" s="870"/>
      <c r="M3" s="873"/>
      <c r="N3" s="870"/>
      <c r="O3" s="870"/>
      <c r="P3" s="874"/>
      <c r="Q3" s="875">
        <v>2.054064577397911</v>
      </c>
      <c r="R3" s="876">
        <v>0.2535565922178411</v>
      </c>
      <c r="S3" s="876">
        <v>0.025243172297236556</v>
      </c>
      <c r="T3" s="876">
        <v>0.029809957029072798</v>
      </c>
      <c r="U3" s="876">
        <v>0.11479694410936872</v>
      </c>
      <c r="V3" s="873">
        <v>42307.69230769231</v>
      </c>
      <c r="W3" s="876">
        <v>0.0156</v>
      </c>
      <c r="X3" s="873">
        <v>43.4</v>
      </c>
      <c r="Y3" s="875">
        <v>51.85110603690586</v>
      </c>
      <c r="Z3" s="873">
        <v>166857</v>
      </c>
      <c r="AA3" s="873">
        <v>4212</v>
      </c>
      <c r="AB3" s="873">
        <v>660</v>
      </c>
      <c r="AC3" s="873">
        <v>4974</v>
      </c>
      <c r="AD3" s="873">
        <v>571</v>
      </c>
      <c r="AE3" s="873">
        <v>57</v>
      </c>
      <c r="AF3" s="873">
        <v>23</v>
      </c>
      <c r="AG3" s="873">
        <v>64</v>
      </c>
    </row>
    <row r="4">
      <c r="A4" s="877" t="s">
        <v>1939</v>
      </c>
      <c r="B4" s="877" t="s">
        <v>1945</v>
      </c>
      <c r="C4" s="878"/>
      <c r="D4" s="878">
        <f>SUM(D2:D3)</f>
      </c>
      <c r="E4" s="878">
        <f>SUM(E2:E3)</f>
      </c>
      <c r="F4" s="878">
        <f>SUM(F2:F3)</f>
      </c>
      <c r="G4" s="878">
        <f>SUM(G2:G3)</f>
      </c>
      <c r="H4" s="878">
        <f>SUM(H2:H3)</f>
      </c>
      <c r="I4" s="879">
        <f t="shared" si="0"/>
      </c>
      <c r="J4" s="879">
        <f t="shared" si="1"/>
      </c>
      <c r="K4" s="879">
        <f t="shared" si="2"/>
      </c>
      <c r="L4" s="878"/>
      <c r="M4" s="880">
        <f>SUM(M2:M3)</f>
      </c>
      <c r="N4" s="878"/>
      <c r="O4" s="878"/>
      <c r="P4" s="878"/>
      <c r="Q4" s="881">
        <f>AVERAGE(Q2:Q3)</f>
      </c>
      <c r="R4" s="882">
        <f>AVERAGE(R2:R3)</f>
      </c>
      <c r="S4" s="882">
        <f>AVERAGE(S2:S3)</f>
      </c>
      <c r="T4" s="882">
        <f>AVERAGE(T2:T3)</f>
      </c>
      <c r="U4" s="882">
        <f>AVERAGE(U2:U3)</f>
      </c>
      <c r="V4" s="880">
        <f>SUM(V2:V3)</f>
      </c>
      <c r="W4" s="882">
        <f>AVERAGE(W2:W3)</f>
      </c>
      <c r="X4" s="880">
        <f>AVERAGE(X2:X3)</f>
      </c>
      <c r="Y4" s="881">
        <f>AVERAGE(Y2:Y3)</f>
      </c>
      <c r="Z4" s="880">
        <f>SUM(Z2:Z3)</f>
      </c>
      <c r="AA4" s="880">
        <f>SUM(AA2:AA3)</f>
      </c>
      <c r="AB4" s="880">
        <f>SUM(AB2:AB3)</f>
      </c>
      <c r="AC4" s="880">
        <f>SUM(AC2:AC3)</f>
      </c>
      <c r="AD4" s="880">
        <f>SUM(AD2:AD3)</f>
      </c>
      <c r="AE4" s="880">
        <f>SUM(AE2:AE3)</f>
      </c>
      <c r="AF4" s="880">
        <f>SUM(AF2:AF3)</f>
      </c>
      <c r="AG4" s="880">
        <f>SUM(AG2:AG3)</f>
      </c>
    </row>
    <row r="5">
      <c r="A5" s="870" t="s">
        <v>1946</v>
      </c>
      <c r="B5" s="870" t="s">
        <v>1940</v>
      </c>
      <c r="C5" s="870" t="s">
        <v>1941</v>
      </c>
      <c r="D5" s="870">
        <v>3</v>
      </c>
      <c r="E5" s="870">
        <v>16</v>
      </c>
      <c r="F5" s="870">
        <v>16</v>
      </c>
      <c r="G5" s="870">
        <v>25475.64</v>
      </c>
      <c r="H5" s="871">
        <v>7078.14</v>
      </c>
      <c r="I5" s="872">
        <f t="shared" si="0"/>
      </c>
      <c r="J5" s="872">
        <f t="shared" si="1"/>
      </c>
      <c r="K5" s="872">
        <f t="shared" si="2"/>
      </c>
      <c r="L5" s="870" t="s">
        <v>1942</v>
      </c>
      <c r="M5" s="873">
        <v>8</v>
      </c>
      <c r="N5" s="874"/>
      <c r="O5" s="870"/>
      <c r="P5" s="874"/>
      <c r="Q5" s="875">
        <v>2.6070497237569064</v>
      </c>
      <c r="R5" s="876">
        <v>0.5192225716750444</v>
      </c>
      <c r="S5" s="876">
        <v>0.023183925811437404</v>
      </c>
      <c r="T5" s="876">
        <v>0.02790610296566388</v>
      </c>
      <c r="U5" s="876">
        <v>0.12086903304773562</v>
      </c>
      <c r="V5" s="873">
        <v>60804.59770114942</v>
      </c>
      <c r="W5" s="876">
        <v>0.008700000000000001</v>
      </c>
      <c r="X5" s="873">
        <v>50.666666666666664</v>
      </c>
      <c r="Y5" s="875">
        <v>60.44164738230849</v>
      </c>
      <c r="Z5" s="873">
        <v>117107</v>
      </c>
      <c r="AA5" s="873">
        <v>2715</v>
      </c>
      <c r="AB5" s="873">
        <v>529</v>
      </c>
      <c r="AC5" s="873">
        <v>3268</v>
      </c>
      <c r="AD5" s="873">
        <v>395</v>
      </c>
      <c r="AE5" s="873">
        <v>35</v>
      </c>
      <c r="AF5" s="873">
        <v>12</v>
      </c>
      <c r="AG5" s="873">
        <v>40</v>
      </c>
    </row>
    <row r="6">
      <c r="A6" s="870" t="s">
        <v>1946</v>
      </c>
      <c r="B6" s="870" t="s">
        <v>1943</v>
      </c>
      <c r="C6" s="870" t="s">
        <v>1944</v>
      </c>
      <c r="D6" s="870">
        <v>5</v>
      </c>
      <c r="E6" s="870">
        <v>20</v>
      </c>
      <c r="F6" s="870">
        <v>20</v>
      </c>
      <c r="G6" s="870">
        <v>29545.42</v>
      </c>
      <c r="H6" s="871">
        <v>6244.27</v>
      </c>
      <c r="I6" s="872">
        <f t="shared" si="0"/>
      </c>
      <c r="J6" s="872">
        <f t="shared" si="1"/>
      </c>
      <c r="K6" s="872">
        <f t="shared" si="2"/>
      </c>
      <c r="L6" s="870"/>
      <c r="M6" s="873"/>
      <c r="N6" s="870"/>
      <c r="O6" s="870"/>
      <c r="P6" s="874"/>
      <c r="Q6" s="875">
        <v>2.3238816524004466</v>
      </c>
      <c r="R6" s="876">
        <v>0.26570436068325104</v>
      </c>
      <c r="S6" s="876">
        <v>0.025841259460863044</v>
      </c>
      <c r="T6" s="876">
        <v>0.03201546436368183</v>
      </c>
      <c r="U6" s="876">
        <v>0.15680384499849806</v>
      </c>
      <c r="V6" s="873">
        <v>27628.20512820513</v>
      </c>
      <c r="W6" s="876">
        <v>0.0156</v>
      </c>
      <c r="X6" s="873">
        <v>43.4</v>
      </c>
      <c r="Y6" s="875">
        <v>60.05202873601909</v>
      </c>
      <c r="Z6" s="873">
        <v>103981</v>
      </c>
      <c r="AA6" s="873">
        <v>2687</v>
      </c>
      <c r="AB6" s="873">
        <v>431</v>
      </c>
      <c r="AC6" s="873">
        <v>3329</v>
      </c>
      <c r="AD6" s="873">
        <v>522</v>
      </c>
      <c r="AE6" s="873">
        <v>38</v>
      </c>
      <c r="AF6" s="873">
        <v>13</v>
      </c>
      <c r="AG6" s="873">
        <v>31</v>
      </c>
    </row>
    <row r="7">
      <c r="A7" s="877" t="s">
        <v>1946</v>
      </c>
      <c r="B7" s="877" t="s">
        <v>1945</v>
      </c>
      <c r="C7" s="878"/>
      <c r="D7" s="878">
        <f>SUM(D5:D6)</f>
      </c>
      <c r="E7" s="878">
        <f>SUM(E5:E6)</f>
      </c>
      <c r="F7" s="878">
        <f>SUM(F5:F6)</f>
      </c>
      <c r="G7" s="878">
        <f>SUM(G5:G6)</f>
      </c>
      <c r="H7" s="878">
        <f>SUM(H5:H6)</f>
      </c>
      <c r="I7" s="879">
        <f t="shared" si="0"/>
      </c>
      <c r="J7" s="879">
        <f t="shared" si="1"/>
      </c>
      <c r="K7" s="879">
        <f t="shared" si="2"/>
      </c>
      <c r="L7" s="878"/>
      <c r="M7" s="880">
        <f>SUM(M5:M6)</f>
      </c>
      <c r="N7" s="878"/>
      <c r="O7" s="878"/>
      <c r="P7" s="878"/>
      <c r="Q7" s="881">
        <f>AVERAGE(Q5:Q6)</f>
      </c>
      <c r="R7" s="882">
        <f>AVERAGE(R5:R6)</f>
      </c>
      <c r="S7" s="882">
        <f>AVERAGE(S5:S6)</f>
      </c>
      <c r="T7" s="882">
        <f>AVERAGE(T5:T6)</f>
      </c>
      <c r="U7" s="882">
        <f>AVERAGE(U5:U6)</f>
      </c>
      <c r="V7" s="880">
        <f>SUM(V5:V6)</f>
      </c>
      <c r="W7" s="882">
        <f>AVERAGE(W5:W6)</f>
      </c>
      <c r="X7" s="880">
        <f>AVERAGE(X5:X6)</f>
      </c>
      <c r="Y7" s="881">
        <f>AVERAGE(Y5:Y6)</f>
      </c>
      <c r="Z7" s="880">
        <f>SUM(Z5:Z6)</f>
      </c>
      <c r="AA7" s="880">
        <f>SUM(AA5:AA6)</f>
      </c>
      <c r="AB7" s="880">
        <f>SUM(AB5:AB6)</f>
      </c>
      <c r="AC7" s="880">
        <f>SUM(AC5:AC6)</f>
      </c>
      <c r="AD7" s="880">
        <f>SUM(AD5:AD6)</f>
      </c>
      <c r="AE7" s="880">
        <f>SUM(AE5:AE6)</f>
      </c>
      <c r="AF7" s="880">
        <f>SUM(AF5:AF6)</f>
      </c>
      <c r="AG7" s="880">
        <f>SUM(AG5:AG6)</f>
      </c>
    </row>
    <row r="8">
      <c r="A8" s="870" t="s">
        <v>1947</v>
      </c>
      <c r="B8" s="870" t="s">
        <v>1948</v>
      </c>
      <c r="C8" s="870" t="s">
        <v>1941</v>
      </c>
      <c r="D8" s="870">
        <v>3</v>
      </c>
      <c r="E8" s="870">
        <v>14</v>
      </c>
      <c r="F8" s="870">
        <v>14</v>
      </c>
      <c r="G8" s="870">
        <v>20831.05</v>
      </c>
      <c r="H8" s="871">
        <v>6843.86</v>
      </c>
      <c r="I8" s="872">
        <f t="shared" si="0"/>
      </c>
      <c r="J8" s="872">
        <f t="shared" si="1"/>
      </c>
      <c r="K8" s="872">
        <f t="shared" si="2"/>
      </c>
      <c r="L8" s="870" t="s">
        <v>1942</v>
      </c>
      <c r="M8" s="873">
        <v>8</v>
      </c>
      <c r="N8" s="874"/>
      <c r="O8" s="870"/>
      <c r="P8" s="874"/>
      <c r="Q8" s="875">
        <v>4.088327359617682</v>
      </c>
      <c r="R8" s="876">
        <v>0.3960585843296023</v>
      </c>
      <c r="S8" s="876">
        <v>0.01706543790076764</v>
      </c>
      <c r="T8" s="876">
        <v>0.02031745384482073</v>
      </c>
      <c r="U8" s="876">
        <v>0.09433015554440542</v>
      </c>
      <c r="V8" s="873">
        <v>38850.574712643676</v>
      </c>
      <c r="W8" s="876">
        <v>0.008700000000000001</v>
      </c>
      <c r="X8" s="873">
        <v>50.666666666666664</v>
      </c>
      <c r="Y8" s="875">
        <v>69.76909667356487</v>
      </c>
      <c r="Z8" s="873">
        <v>98093</v>
      </c>
      <c r="AA8" s="873">
        <v>1674</v>
      </c>
      <c r="AB8" s="873">
        <v>338</v>
      </c>
      <c r="AC8" s="873">
        <v>1993</v>
      </c>
      <c r="AD8" s="873">
        <v>188</v>
      </c>
      <c r="AE8" s="873">
        <v>28</v>
      </c>
      <c r="AF8" s="873">
        <v>7</v>
      </c>
      <c r="AG8" s="873">
        <v>59</v>
      </c>
    </row>
    <row r="9">
      <c r="A9" s="870" t="s">
        <v>1947</v>
      </c>
      <c r="B9" s="870" t="s">
        <v>1943</v>
      </c>
      <c r="C9" s="870" t="s">
        <v>1944</v>
      </c>
      <c r="D9" s="870">
        <v>5</v>
      </c>
      <c r="E9" s="870">
        <v>14</v>
      </c>
      <c r="F9" s="870">
        <v>14</v>
      </c>
      <c r="G9" s="870">
        <v>23351.05</v>
      </c>
      <c r="H9" s="871">
        <v>10147.29</v>
      </c>
      <c r="I9" s="872">
        <f t="shared" si="0"/>
      </c>
      <c r="J9" s="872">
        <f t="shared" si="1"/>
      </c>
      <c r="K9" s="872">
        <f t="shared" si="2"/>
      </c>
      <c r="L9" s="870"/>
      <c r="M9" s="873"/>
      <c r="N9" s="870"/>
      <c r="O9" s="870"/>
      <c r="P9" s="874"/>
      <c r="Q9" s="875">
        <v>4.538144007155634</v>
      </c>
      <c r="R9" s="876">
        <v>0.22527566627583753</v>
      </c>
      <c r="S9" s="876">
        <v>0.015317691385511218</v>
      </c>
      <c r="T9" s="876">
        <v>0.019160815208083576</v>
      </c>
      <c r="U9" s="876">
        <v>0.14050768680729353</v>
      </c>
      <c r="V9" s="873">
        <v>32884.61538461538</v>
      </c>
      <c r="W9" s="876">
        <v>0.0156</v>
      </c>
      <c r="X9" s="873">
        <v>43.4</v>
      </c>
      <c r="Y9" s="875">
        <v>69.51388936461723</v>
      </c>
      <c r="Z9" s="873">
        <v>145975</v>
      </c>
      <c r="AA9" s="873">
        <v>2236</v>
      </c>
      <c r="AB9" s="873">
        <v>513</v>
      </c>
      <c r="AC9" s="873">
        <v>2797</v>
      </c>
      <c r="AD9" s="873">
        <v>393</v>
      </c>
      <c r="AE9" s="873">
        <v>47</v>
      </c>
      <c r="AF9" s="873">
        <v>6</v>
      </c>
      <c r="AG9" s="873">
        <v>93</v>
      </c>
    </row>
    <row r="10">
      <c r="A10" s="877" t="s">
        <v>1947</v>
      </c>
      <c r="B10" s="877" t="s">
        <v>1945</v>
      </c>
      <c r="C10" s="878"/>
      <c r="D10" s="878">
        <f>SUM(D8:D9)</f>
      </c>
      <c r="E10" s="878">
        <f>SUM(E8:E9)</f>
      </c>
      <c r="F10" s="878">
        <f>SUM(F8:F9)</f>
      </c>
      <c r="G10" s="878">
        <f>SUM(G8:G9)</f>
      </c>
      <c r="H10" s="878">
        <f>SUM(H8:H9)</f>
      </c>
      <c r="I10" s="879">
        <f t="shared" si="0"/>
      </c>
      <c r="J10" s="879">
        <f t="shared" si="1"/>
      </c>
      <c r="K10" s="879">
        <f t="shared" si="2"/>
      </c>
      <c r="L10" s="878"/>
      <c r="M10" s="880">
        <f>SUM(M8:M9)</f>
      </c>
      <c r="N10" s="878"/>
      <c r="O10" s="878"/>
      <c r="P10" s="878"/>
      <c r="Q10" s="881">
        <f>AVERAGE(Q8:Q9)</f>
      </c>
      <c r="R10" s="882">
        <f>AVERAGE(R8:R9)</f>
      </c>
      <c r="S10" s="882">
        <f>AVERAGE(S8:S9)</f>
      </c>
      <c r="T10" s="882">
        <f>AVERAGE(T8:T9)</f>
      </c>
      <c r="U10" s="882">
        <f>AVERAGE(U8:U9)</f>
      </c>
      <c r="V10" s="880">
        <f>SUM(V8:V9)</f>
      </c>
      <c r="W10" s="882">
        <f>AVERAGE(W8:W9)</f>
      </c>
      <c r="X10" s="880">
        <f>AVERAGE(X8:X9)</f>
      </c>
      <c r="Y10" s="881">
        <f>AVERAGE(Y8:Y9)</f>
      </c>
      <c r="Z10" s="880">
        <f>SUM(Z8:Z9)</f>
      </c>
      <c r="AA10" s="880">
        <f>SUM(AA8:AA9)</f>
      </c>
      <c r="AB10" s="880">
        <f>SUM(AB8:AB9)</f>
      </c>
      <c r="AC10" s="880">
        <f>SUM(AC8:AC9)</f>
      </c>
      <c r="AD10" s="880">
        <f>SUM(AD8:AD9)</f>
      </c>
      <c r="AE10" s="880">
        <f>SUM(AE8:AE9)</f>
      </c>
      <c r="AF10" s="880">
        <f>SUM(AF8:AF9)</f>
      </c>
      <c r="AG10" s="880">
        <f>SUM(AG8:AG9)</f>
      </c>
    </row>
    <row r="11">
      <c r="A11" s="870" t="s">
        <v>1949</v>
      </c>
      <c r="B11" s="870" t="s">
        <v>1948</v>
      </c>
      <c r="C11" s="870" t="s">
        <v>1941</v>
      </c>
      <c r="D11" s="870">
        <v>3</v>
      </c>
      <c r="E11" s="870">
        <v>8</v>
      </c>
      <c r="F11" s="870">
        <v>8</v>
      </c>
      <c r="G11" s="870">
        <v>13102.05</v>
      </c>
      <c r="H11" s="871">
        <v>4915.32</v>
      </c>
      <c r="I11" s="872">
        <f t="shared" si="0"/>
      </c>
      <c r="J11" s="872">
        <f t="shared" si="1"/>
      </c>
      <c r="K11" s="872">
        <f t="shared" si="2"/>
      </c>
      <c r="L11" s="870" t="s">
        <v>1950</v>
      </c>
      <c r="M11" s="873">
        <v>8</v>
      </c>
      <c r="N11" s="874"/>
      <c r="O11" s="870"/>
      <c r="P11" s="874"/>
      <c r="Q11" s="875">
        <v>2.9971463414634143</v>
      </c>
      <c r="R11" s="876">
        <v>0.39632092865961127</v>
      </c>
      <c r="S11" s="876">
        <v>0.025374820132753634</v>
      </c>
      <c r="T11" s="876">
        <v>0.03190419458154756</v>
      </c>
      <c r="U11" s="876">
        <v>0.1037827352085354</v>
      </c>
      <c r="V11" s="873">
        <v>25614.617940199336</v>
      </c>
      <c r="W11" s="876">
        <v>0.010033333333333333</v>
      </c>
      <c r="X11" s="873">
        <v>59</v>
      </c>
      <c r="Y11" s="875">
        <v>76.05204932617474</v>
      </c>
      <c r="Z11" s="873">
        <v>64631</v>
      </c>
      <c r="AA11" s="873">
        <v>1640</v>
      </c>
      <c r="AB11" s="873">
        <v>257</v>
      </c>
      <c r="AC11" s="873">
        <v>2062</v>
      </c>
      <c r="AD11" s="873">
        <v>214</v>
      </c>
      <c r="AE11" s="873">
        <v>25</v>
      </c>
      <c r="AF11" s="873">
        <v>6</v>
      </c>
      <c r="AG11" s="873">
        <v>26</v>
      </c>
    </row>
    <row r="12">
      <c r="A12" s="870" t="s">
        <v>1949</v>
      </c>
      <c r="B12" s="870" t="s">
        <v>1943</v>
      </c>
      <c r="C12" s="870" t="s">
        <v>1944</v>
      </c>
      <c r="D12" s="870">
        <v>5</v>
      </c>
      <c r="E12" s="870">
        <v>17</v>
      </c>
      <c r="F12" s="870">
        <v>17</v>
      </c>
      <c r="G12" s="870">
        <v>26213.05</v>
      </c>
      <c r="H12" s="871">
        <v>5193.04</v>
      </c>
      <c r="I12" s="872">
        <f t="shared" si="0"/>
      </c>
      <c r="J12" s="872">
        <f t="shared" si="1"/>
      </c>
      <c r="K12" s="872">
        <f t="shared" si="2"/>
      </c>
      <c r="L12" s="870"/>
      <c r="M12" s="873"/>
      <c r="N12" s="870"/>
      <c r="O12" s="870"/>
      <c r="P12" s="874"/>
      <c r="Q12" s="875">
        <v>1.7597560149101998</v>
      </c>
      <c r="R12" s="876">
        <v>0.5032370114451558</v>
      </c>
      <c r="S12" s="876">
        <v>0.029969431383102967</v>
      </c>
      <c r="T12" s="876">
        <v>0.037657286197406235</v>
      </c>
      <c r="U12" s="876">
        <v>0.09870550161812297</v>
      </c>
      <c r="V12" s="873">
        <v>49552.23880597015</v>
      </c>
      <c r="W12" s="876">
        <v>0.0067</v>
      </c>
      <c r="X12" s="873">
        <v>51</v>
      </c>
      <c r="Y12" s="875">
        <v>52.73888713985396</v>
      </c>
      <c r="Z12" s="873">
        <v>98467</v>
      </c>
      <c r="AA12" s="873">
        <v>2951</v>
      </c>
      <c r="AB12" s="873">
        <v>332</v>
      </c>
      <c r="AC12" s="873">
        <v>3708</v>
      </c>
      <c r="AD12" s="873">
        <v>366</v>
      </c>
      <c r="AE12" s="873">
        <v>25</v>
      </c>
      <c r="AF12" s="873">
        <v>9</v>
      </c>
      <c r="AG12" s="873">
        <v>9</v>
      </c>
    </row>
    <row r="13">
      <c r="A13" s="877" t="s">
        <v>1949</v>
      </c>
      <c r="B13" s="877" t="s">
        <v>1945</v>
      </c>
      <c r="C13" s="878"/>
      <c r="D13" s="878">
        <f>SUM(D11:D12)</f>
      </c>
      <c r="E13" s="878">
        <f>SUM(E11:E12)</f>
      </c>
      <c r="F13" s="878">
        <f>SUM(F11:F12)</f>
      </c>
      <c r="G13" s="878">
        <f>SUM(G11:G12)</f>
      </c>
      <c r="H13" s="878">
        <f>SUM(H11:H12)</f>
      </c>
      <c r="I13" s="879">
        <f t="shared" si="0"/>
      </c>
      <c r="J13" s="879">
        <f t="shared" si="1"/>
      </c>
      <c r="K13" s="879">
        <f t="shared" si="2"/>
      </c>
      <c r="L13" s="878"/>
      <c r="M13" s="880">
        <f>SUM(M11:M12)</f>
      </c>
      <c r="N13" s="878"/>
      <c r="O13" s="878"/>
      <c r="P13" s="878"/>
      <c r="Q13" s="881">
        <f>AVERAGE(Q11:Q12)</f>
      </c>
      <c r="R13" s="882">
        <f>AVERAGE(R11:R12)</f>
      </c>
      <c r="S13" s="882">
        <f>AVERAGE(S11:S12)</f>
      </c>
      <c r="T13" s="882">
        <f>AVERAGE(T11:T12)</f>
      </c>
      <c r="U13" s="882">
        <f>AVERAGE(U11:U12)</f>
      </c>
      <c r="V13" s="880">
        <f>SUM(V11:V12)</f>
      </c>
      <c r="W13" s="882">
        <f>AVERAGE(W11:W12)</f>
      </c>
      <c r="X13" s="880">
        <f>AVERAGE(X11:X12)</f>
      </c>
      <c r="Y13" s="881">
        <f>AVERAGE(Y11:Y12)</f>
      </c>
      <c r="Z13" s="880">
        <f>SUM(Z11:Z12)</f>
      </c>
      <c r="AA13" s="880">
        <f>SUM(AA11:AA12)</f>
      </c>
      <c r="AB13" s="880">
        <f>SUM(AB11:AB12)</f>
      </c>
      <c r="AC13" s="880">
        <f>SUM(AC11:AC12)</f>
      </c>
      <c r="AD13" s="880">
        <f>SUM(AD11:AD12)</f>
      </c>
      <c r="AE13" s="880">
        <f>SUM(AE11:AE12)</f>
      </c>
      <c r="AF13" s="880">
        <f>SUM(AF11:AF12)</f>
      </c>
      <c r="AG13" s="880">
        <f>SUM(AG11:AG12)</f>
      </c>
    </row>
    <row r="14">
      <c r="A14" s="870" t="s">
        <v>1951</v>
      </c>
      <c r="B14" s="870" t="s">
        <v>1940</v>
      </c>
      <c r="C14" s="870" t="s">
        <v>1941</v>
      </c>
      <c r="D14" s="870">
        <v>3</v>
      </c>
      <c r="E14" s="870">
        <v>10</v>
      </c>
      <c r="F14" s="870">
        <v>10</v>
      </c>
      <c r="G14" s="870">
        <v>15445.05</v>
      </c>
      <c r="H14" s="871">
        <v>5870.58</v>
      </c>
      <c r="I14" s="872">
        <f t="shared" si="0"/>
      </c>
      <c r="J14" s="872">
        <f t="shared" si="1"/>
      </c>
      <c r="K14" s="872">
        <f t="shared" si="2"/>
      </c>
      <c r="L14" s="870" t="s">
        <v>1950</v>
      </c>
      <c r="M14" s="873">
        <v>8</v>
      </c>
      <c r="N14" s="874"/>
      <c r="O14" s="870"/>
      <c r="P14" s="874"/>
      <c r="Q14" s="875">
        <v>2.922140368342459</v>
      </c>
      <c r="R14" s="876">
        <v>0.5054162910780998</v>
      </c>
      <c r="S14" s="876">
        <v>0.02163355408388521</v>
      </c>
      <c r="T14" s="876">
        <v>0.025973186884186723</v>
      </c>
      <c r="U14" s="876">
        <v>0.09660033167495855</v>
      </c>
      <c r="V14" s="873">
        <v>46935.48387096774</v>
      </c>
      <c r="W14" s="876">
        <v>0.0062</v>
      </c>
      <c r="X14" s="873">
        <v>57.666666666666664</v>
      </c>
      <c r="Y14" s="875">
        <v>63.21628169924083</v>
      </c>
      <c r="Z14" s="873">
        <v>92865</v>
      </c>
      <c r="AA14" s="873">
        <v>2009</v>
      </c>
      <c r="AB14" s="873">
        <v>291</v>
      </c>
      <c r="AC14" s="873">
        <v>2412</v>
      </c>
      <c r="AD14" s="873">
        <v>233</v>
      </c>
      <c r="AE14" s="873">
        <v>26</v>
      </c>
      <c r="AF14" s="873">
        <v>12</v>
      </c>
      <c r="AG14" s="873">
        <v>36</v>
      </c>
    </row>
    <row r="15">
      <c r="A15" s="870" t="s">
        <v>1951</v>
      </c>
      <c r="B15" s="870" t="s">
        <v>1943</v>
      </c>
      <c r="C15" s="870" t="s">
        <v>1944</v>
      </c>
      <c r="D15" s="870">
        <v>5</v>
      </c>
      <c r="E15" s="870">
        <v>31</v>
      </c>
      <c r="F15" s="870">
        <v>31</v>
      </c>
      <c r="G15" s="870">
        <v>46904.35</v>
      </c>
      <c r="H15" s="871">
        <v>11827.47</v>
      </c>
      <c r="I15" s="872">
        <f t="shared" si="0"/>
      </c>
      <c r="J15" s="872">
        <f t="shared" si="1"/>
      </c>
      <c r="K15" s="872">
        <f t="shared" si="2"/>
      </c>
      <c r="L15" s="870"/>
      <c r="M15" s="873"/>
      <c r="N15" s="870"/>
      <c r="O15" s="870"/>
      <c r="P15" s="874"/>
      <c r="Q15" s="875">
        <v>2.3073488099882953</v>
      </c>
      <c r="R15" s="876">
        <v>0.2268027914501524</v>
      </c>
      <c r="S15" s="876">
        <v>0.03203309544937571</v>
      </c>
      <c r="T15" s="876">
        <v>0.04205671720138481</v>
      </c>
      <c r="U15" s="876">
        <v>0.08588410104011887</v>
      </c>
      <c r="V15" s="873">
        <v>36293.43629343629</v>
      </c>
      <c r="W15" s="876">
        <v>0.015540000000000002</v>
      </c>
      <c r="X15" s="873">
        <v>52.2</v>
      </c>
      <c r="Y15" s="875">
        <v>73.91152466535853</v>
      </c>
      <c r="Z15" s="873">
        <v>160022</v>
      </c>
      <c r="AA15" s="873">
        <v>5126</v>
      </c>
      <c r="AB15" s="873">
        <v>564</v>
      </c>
      <c r="AC15" s="873">
        <v>6730</v>
      </c>
      <c r="AD15" s="873">
        <v>578</v>
      </c>
      <c r="AE15" s="873">
        <v>44</v>
      </c>
      <c r="AF15" s="873">
        <v>13</v>
      </c>
      <c r="AG15" s="873">
        <v>55</v>
      </c>
    </row>
    <row r="16">
      <c r="A16" s="877" t="s">
        <v>1951</v>
      </c>
      <c r="B16" s="877" t="s">
        <v>1945</v>
      </c>
      <c r="C16" s="878"/>
      <c r="D16" s="878">
        <f>SUM(D14:D15)</f>
      </c>
      <c r="E16" s="878">
        <f>SUM(E14:E15)</f>
      </c>
      <c r="F16" s="878">
        <f>SUM(F14:F15)</f>
      </c>
      <c r="G16" s="878">
        <f>SUM(G14:G15)</f>
      </c>
      <c r="H16" s="878">
        <f>SUM(H14:H15)</f>
      </c>
      <c r="I16" s="879">
        <f t="shared" si="0"/>
      </c>
      <c r="J16" s="879">
        <f t="shared" si="1"/>
      </c>
      <c r="K16" s="879">
        <f t="shared" si="2"/>
      </c>
      <c r="L16" s="878"/>
      <c r="M16" s="880">
        <f>SUM(M14:M15)</f>
      </c>
      <c r="N16" s="878"/>
      <c r="O16" s="878"/>
      <c r="P16" s="878"/>
      <c r="Q16" s="881">
        <f>AVERAGE(Q14:Q15)</f>
      </c>
      <c r="R16" s="882">
        <f>AVERAGE(R14:R15)</f>
      </c>
      <c r="S16" s="882">
        <f>AVERAGE(S14:S15)</f>
      </c>
      <c r="T16" s="882">
        <f>AVERAGE(T14:T15)</f>
      </c>
      <c r="U16" s="882">
        <f>AVERAGE(U14:U15)</f>
      </c>
      <c r="V16" s="880">
        <f>SUM(V14:V15)</f>
      </c>
      <c r="W16" s="882">
        <f>AVERAGE(W14:W15)</f>
      </c>
      <c r="X16" s="880">
        <f>AVERAGE(X14:X15)</f>
      </c>
      <c r="Y16" s="881">
        <f>AVERAGE(Y14:Y15)</f>
      </c>
      <c r="Z16" s="880">
        <f>SUM(Z14:Z15)</f>
      </c>
      <c r="AA16" s="880">
        <f>SUM(AA14:AA15)</f>
      </c>
      <c r="AB16" s="880">
        <f>SUM(AB14:AB15)</f>
      </c>
      <c r="AC16" s="880">
        <f>SUM(AC14:AC15)</f>
      </c>
      <c r="AD16" s="880">
        <f>SUM(AD14:AD15)</f>
      </c>
      <c r="AE16" s="880">
        <f>SUM(AE14:AE15)</f>
      </c>
      <c r="AF16" s="880">
        <f>SUM(AF14:AF15)</f>
      </c>
      <c r="AG16" s="880">
        <f>SUM(AG14:AG15)</f>
      </c>
    </row>
    <row r="17">
      <c r="A17" s="870" t="s">
        <v>1952</v>
      </c>
      <c r="B17" s="870" t="s">
        <v>1940</v>
      </c>
      <c r="C17" s="870" t="s">
        <v>1953</v>
      </c>
      <c r="D17" s="870">
        <v>4</v>
      </c>
      <c r="E17" s="870">
        <v>12</v>
      </c>
      <c r="F17" s="870">
        <v>12</v>
      </c>
      <c r="G17" s="870">
        <v>17598.05</v>
      </c>
      <c r="H17" s="871">
        <v>6351.71</v>
      </c>
      <c r="I17" s="872">
        <f t="shared" si="0"/>
      </c>
      <c r="J17" s="872">
        <f t="shared" si="1"/>
      </c>
      <c r="K17" s="872">
        <f t="shared" si="2"/>
      </c>
      <c r="L17" s="870" t="s">
        <v>1950</v>
      </c>
      <c r="M17" s="873">
        <v>8</v>
      </c>
      <c r="N17" s="874"/>
      <c r="O17" s="870"/>
      <c r="P17" s="874"/>
      <c r="Q17" s="875">
        <v>2.6925434506146675</v>
      </c>
      <c r="R17" s="876">
        <v>0.41197787526225443</v>
      </c>
      <c r="S17" s="876">
        <v>0.022496662216288384</v>
      </c>
      <c r="T17" s="876">
        <v>0.026969292389853138</v>
      </c>
      <c r="U17" s="876">
        <v>0.07743988684582744</v>
      </c>
      <c r="V17" s="873">
        <v>43200</v>
      </c>
      <c r="W17" s="876">
        <v>0.008125</v>
      </c>
      <c r="X17" s="873">
        <v>62.25</v>
      </c>
      <c r="Y17" s="875">
        <v>60.57324051115774</v>
      </c>
      <c r="Z17" s="873">
        <v>104860</v>
      </c>
      <c r="AA17" s="873">
        <v>2359</v>
      </c>
      <c r="AB17" s="873">
        <v>351</v>
      </c>
      <c r="AC17" s="873">
        <v>2828</v>
      </c>
      <c r="AD17" s="873">
        <v>219</v>
      </c>
      <c r="AE17" s="873">
        <v>27</v>
      </c>
      <c r="AF17" s="873">
        <v>9</v>
      </c>
      <c r="AG17" s="873">
        <v>28</v>
      </c>
    </row>
    <row r="18">
      <c r="A18" s="870" t="s">
        <v>1952</v>
      </c>
      <c r="B18" s="870" t="s">
        <v>1943</v>
      </c>
      <c r="C18" s="870" t="s">
        <v>1954</v>
      </c>
      <c r="D18" s="870">
        <v>4</v>
      </c>
      <c r="E18" s="870">
        <v>18</v>
      </c>
      <c r="F18" s="870">
        <v>18</v>
      </c>
      <c r="G18" s="870">
        <v>28852.15</v>
      </c>
      <c r="H18" s="871">
        <v>5838.11</v>
      </c>
      <c r="I18" s="872">
        <f t="shared" si="0"/>
      </c>
      <c r="J18" s="872">
        <f t="shared" si="1"/>
      </c>
      <c r="K18" s="872">
        <f t="shared" si="2"/>
      </c>
      <c r="L18" s="870"/>
      <c r="M18" s="873"/>
      <c r="N18" s="870"/>
      <c r="O18" s="870"/>
      <c r="P18" s="874"/>
      <c r="Q18" s="875">
        <v>2.241977726574501</v>
      </c>
      <c r="R18" s="876">
        <v>0.42414944499593893</v>
      </c>
      <c r="S18" s="876">
        <v>0.03289955780164245</v>
      </c>
      <c r="T18" s="876">
        <v>0.038622867972204676</v>
      </c>
      <c r="U18" s="876">
        <v>0.10533202486097482</v>
      </c>
      <c r="V18" s="873">
        <v>33571.428571428565</v>
      </c>
      <c r="W18" s="876">
        <v>0.008400000000000001</v>
      </c>
      <c r="X18" s="873">
        <v>55.75</v>
      </c>
      <c r="Y18" s="875">
        <v>73.76007580543273</v>
      </c>
      <c r="Z18" s="873">
        <v>79150</v>
      </c>
      <c r="AA18" s="873">
        <v>2604</v>
      </c>
      <c r="AB18" s="873">
        <v>282</v>
      </c>
      <c r="AC18" s="873">
        <v>3057</v>
      </c>
      <c r="AD18" s="873">
        <v>322</v>
      </c>
      <c r="AE18" s="873">
        <v>34</v>
      </c>
      <c r="AF18" s="873">
        <v>9</v>
      </c>
      <c r="AG18" s="873">
        <v>14</v>
      </c>
    </row>
    <row r="19">
      <c r="A19" s="877" t="s">
        <v>1952</v>
      </c>
      <c r="B19" s="877" t="s">
        <v>1945</v>
      </c>
      <c r="C19" s="878"/>
      <c r="D19" s="878">
        <f>SUM(D17:D18)</f>
      </c>
      <c r="E19" s="878">
        <f>SUM(E17:E18)</f>
      </c>
      <c r="F19" s="878">
        <f>SUM(F17:F18)</f>
      </c>
      <c r="G19" s="878">
        <f>SUM(G17:G18)</f>
      </c>
      <c r="H19" s="878">
        <f>SUM(H17:H18)</f>
      </c>
      <c r="I19" s="879">
        <f t="shared" si="0"/>
      </c>
      <c r="J19" s="879">
        <f t="shared" si="1"/>
      </c>
      <c r="K19" s="879">
        <f t="shared" si="2"/>
      </c>
      <c r="L19" s="878"/>
      <c r="M19" s="880">
        <f>SUM(M17:M18)</f>
      </c>
      <c r="N19" s="878"/>
      <c r="O19" s="878"/>
      <c r="P19" s="878"/>
      <c r="Q19" s="881">
        <f>AVERAGE(Q17:Q18)</f>
      </c>
      <c r="R19" s="882">
        <f>AVERAGE(R17:R18)</f>
      </c>
      <c r="S19" s="882">
        <f>AVERAGE(S17:S18)</f>
      </c>
      <c r="T19" s="882">
        <f>AVERAGE(T17:T18)</f>
      </c>
      <c r="U19" s="882">
        <f>AVERAGE(U17:U18)</f>
      </c>
      <c r="V19" s="880">
        <f>SUM(V17:V18)</f>
      </c>
      <c r="W19" s="882">
        <f>AVERAGE(W17:W18)</f>
      </c>
      <c r="X19" s="880">
        <f>AVERAGE(X17:X18)</f>
      </c>
      <c r="Y19" s="881">
        <f>AVERAGE(Y17:Y18)</f>
      </c>
      <c r="Z19" s="880">
        <f>SUM(Z17:Z18)</f>
      </c>
      <c r="AA19" s="880">
        <f>SUM(AA17:AA18)</f>
      </c>
      <c r="AB19" s="880">
        <f>SUM(AB17:AB18)</f>
      </c>
      <c r="AC19" s="880">
        <f>SUM(AC17:AC18)</f>
      </c>
      <c r="AD19" s="880">
        <f>SUM(AD17:AD18)</f>
      </c>
      <c r="AE19" s="880">
        <f>SUM(AE17:AE18)</f>
      </c>
      <c r="AF19" s="880">
        <f>SUM(AF17:AF18)</f>
      </c>
      <c r="AG19" s="880">
        <f>SUM(AG17:AG18)</f>
      </c>
    </row>
    <row r="20">
      <c r="A20" s="870" t="s">
        <v>1955</v>
      </c>
      <c r="B20" s="870" t="s">
        <v>1948</v>
      </c>
      <c r="C20" s="870" t="s">
        <v>1953</v>
      </c>
      <c r="D20" s="870">
        <v>4</v>
      </c>
      <c r="E20" s="870">
        <v>14</v>
      </c>
      <c r="F20" s="870">
        <v>14</v>
      </c>
      <c r="G20" s="870">
        <v>17096.05</v>
      </c>
      <c r="H20" s="871">
        <v>8210.54</v>
      </c>
      <c r="I20" s="872">
        <f t="shared" si="0"/>
      </c>
      <c r="J20" s="872">
        <f t="shared" si="1"/>
      </c>
      <c r="K20" s="872">
        <f t="shared" si="2"/>
      </c>
      <c r="L20" s="870" t="s">
        <v>1950</v>
      </c>
      <c r="M20" s="873">
        <v>8</v>
      </c>
      <c r="N20" s="874"/>
      <c r="O20" s="870"/>
      <c r="P20" s="874"/>
      <c r="Q20" s="875">
        <v>2.3757349537037036</v>
      </c>
      <c r="R20" s="876">
        <v>0.4570520841451643</v>
      </c>
      <c r="S20" s="876">
        <v>0.02848688169206802</v>
      </c>
      <c r="T20" s="876">
        <v>0.033111054327846424</v>
      </c>
      <c r="U20" s="876">
        <v>0.08488922081155091</v>
      </c>
      <c r="V20" s="873">
        <v>55449.10179640719</v>
      </c>
      <c r="W20" s="876">
        <v>0.00835</v>
      </c>
      <c r="X20" s="873">
        <v>54.75</v>
      </c>
      <c r="Y20" s="875">
        <v>67.67728055786809</v>
      </c>
      <c r="Z20" s="873">
        <v>121319</v>
      </c>
      <c r="AA20" s="873">
        <v>3456</v>
      </c>
      <c r="AB20" s="873">
        <v>463</v>
      </c>
      <c r="AC20" s="873">
        <v>4017</v>
      </c>
      <c r="AD20" s="873">
        <v>341</v>
      </c>
      <c r="AE20" s="873">
        <v>51</v>
      </c>
      <c r="AF20" s="873">
        <v>17</v>
      </c>
      <c r="AG20" s="873">
        <v>19</v>
      </c>
    </row>
    <row r="21">
      <c r="A21" s="870" t="s">
        <v>1955</v>
      </c>
      <c r="B21" s="870" t="s">
        <v>1943</v>
      </c>
      <c r="C21" s="870" t="s">
        <v>1954</v>
      </c>
      <c r="D21" s="870">
        <v>4</v>
      </c>
      <c r="E21" s="870">
        <v>14</v>
      </c>
      <c r="F21" s="870">
        <v>14</v>
      </c>
      <c r="G21" s="870">
        <v>20181.15</v>
      </c>
      <c r="H21" s="871">
        <v>6483.8</v>
      </c>
      <c r="I21" s="872">
        <f t="shared" si="0"/>
      </c>
      <c r="J21" s="872">
        <f t="shared" si="1"/>
      </c>
      <c r="K21" s="872">
        <f t="shared" si="2"/>
      </c>
      <c r="L21" s="870"/>
      <c r="M21" s="873"/>
      <c r="N21" s="870"/>
      <c r="O21" s="870"/>
      <c r="P21" s="874"/>
      <c r="Q21" s="875">
        <v>2.0695180338333863</v>
      </c>
      <c r="R21" s="876">
        <v>0.3224983182445655</v>
      </c>
      <c r="S21" s="876">
        <v>0.04355381321767175</v>
      </c>
      <c r="T21" s="876">
        <v>0.051825284288375455</v>
      </c>
      <c r="U21" s="876">
        <v>0.10488197424892703</v>
      </c>
      <c r="V21" s="873">
        <v>23198.594024604572</v>
      </c>
      <c r="W21" s="876">
        <v>0.014224999999999998</v>
      </c>
      <c r="X21" s="873">
        <v>49.5</v>
      </c>
      <c r="Y21" s="875">
        <v>90.1354018961826</v>
      </c>
      <c r="Z21" s="873">
        <v>71934</v>
      </c>
      <c r="AA21" s="873">
        <v>3133</v>
      </c>
      <c r="AB21" s="873">
        <v>330</v>
      </c>
      <c r="AC21" s="873">
        <v>3728</v>
      </c>
      <c r="AD21" s="873">
        <v>391</v>
      </c>
      <c r="AE21" s="873">
        <v>34</v>
      </c>
      <c r="AF21" s="873">
        <v>15</v>
      </c>
      <c r="AG21" s="873">
        <v>9</v>
      </c>
    </row>
    <row r="22">
      <c r="A22" s="877" t="s">
        <v>1955</v>
      </c>
      <c r="B22" s="877" t="s">
        <v>1945</v>
      </c>
      <c r="C22" s="878"/>
      <c r="D22" s="878">
        <f>SUM(D20:D21)</f>
      </c>
      <c r="E22" s="878">
        <f>SUM(E20:E21)</f>
      </c>
      <c r="F22" s="878">
        <f>SUM(F20:F21)</f>
      </c>
      <c r="G22" s="878">
        <f>SUM(G20:G21)</f>
      </c>
      <c r="H22" s="878">
        <f>SUM(H20:H21)</f>
      </c>
      <c r="I22" s="879">
        <f t="shared" si="0"/>
      </c>
      <c r="J22" s="879">
        <f t="shared" si="1"/>
      </c>
      <c r="K22" s="879">
        <f t="shared" si="2"/>
      </c>
      <c r="L22" s="878"/>
      <c r="M22" s="880">
        <f>SUM(M20:M21)</f>
      </c>
      <c r="N22" s="878"/>
      <c r="O22" s="878"/>
      <c r="P22" s="878"/>
      <c r="Q22" s="881">
        <f>AVERAGE(Q20:Q21)</f>
      </c>
      <c r="R22" s="882">
        <f>AVERAGE(R20:R21)</f>
      </c>
      <c r="S22" s="882">
        <f>AVERAGE(S20:S21)</f>
      </c>
      <c r="T22" s="882">
        <f>AVERAGE(T20:T21)</f>
      </c>
      <c r="U22" s="882">
        <f>AVERAGE(U20:U21)</f>
      </c>
      <c r="V22" s="880">
        <f>SUM(V20:V21)</f>
      </c>
      <c r="W22" s="882">
        <f>AVERAGE(W20:W21)</f>
      </c>
      <c r="X22" s="880">
        <f>AVERAGE(X20:X21)</f>
      </c>
      <c r="Y22" s="881">
        <f>AVERAGE(Y20:Y21)</f>
      </c>
      <c r="Z22" s="880">
        <f>SUM(Z20:Z21)</f>
      </c>
      <c r="AA22" s="880">
        <f>SUM(AA20:AA21)</f>
      </c>
      <c r="AB22" s="880">
        <f>SUM(AB20:AB21)</f>
      </c>
      <c r="AC22" s="880">
        <f>SUM(AC20:AC21)</f>
      </c>
      <c r="AD22" s="880">
        <f>SUM(AD20:AD21)</f>
      </c>
      <c r="AE22" s="880">
        <f>SUM(AE20:AE21)</f>
      </c>
      <c r="AF22" s="880">
        <f>SUM(AF20:AF21)</f>
      </c>
      <c r="AG22" s="880">
        <f>SUM(AG20:AG21)</f>
      </c>
    </row>
    <row r="23">
      <c r="A23" s="870" t="s">
        <v>1956</v>
      </c>
      <c r="B23" s="870" t="s">
        <v>1943</v>
      </c>
      <c r="C23" s="870" t="s">
        <v>1957</v>
      </c>
      <c r="D23" s="870">
        <v>5</v>
      </c>
      <c r="E23" s="870">
        <v>17</v>
      </c>
      <c r="F23" s="870">
        <v>17</v>
      </c>
      <c r="G23" s="870">
        <v>23683.25</v>
      </c>
      <c r="H23" s="871">
        <v>9024.8</v>
      </c>
      <c r="I23" s="872">
        <f t="shared" si="0"/>
      </c>
      <c r="J23" s="872">
        <f t="shared" si="1"/>
      </c>
      <c r="K23" s="872">
        <f t="shared" si="2"/>
      </c>
      <c r="L23" s="870" t="s">
        <v>1950</v>
      </c>
      <c r="M23" s="873">
        <v>8</v>
      </c>
      <c r="N23" s="874"/>
      <c r="O23" s="870"/>
      <c r="P23" s="874"/>
      <c r="Q23" s="875">
        <v>2.117006802721088</v>
      </c>
      <c r="R23" s="876">
        <v>0.357587447237895</v>
      </c>
      <c r="S23" s="876">
        <v>0.037599555473235784</v>
      </c>
      <c r="T23" s="876">
        <v>0.04301502041824324</v>
      </c>
      <c r="U23" s="876">
        <v>0.08857904449456633</v>
      </c>
      <c r="V23" s="873">
        <v>40542.90718038529</v>
      </c>
      <c r="W23" s="876">
        <v>0.01142</v>
      </c>
      <c r="X23" s="873">
        <v>47.8</v>
      </c>
      <c r="Y23" s="875">
        <v>79.59851471612909</v>
      </c>
      <c r="Z23" s="873">
        <v>113379</v>
      </c>
      <c r="AA23" s="873">
        <v>4263</v>
      </c>
      <c r="AB23" s="873">
        <v>463</v>
      </c>
      <c r="AC23" s="873">
        <v>4877</v>
      </c>
      <c r="AD23" s="873">
        <v>432</v>
      </c>
      <c r="AE23" s="873">
        <v>38</v>
      </c>
      <c r="AF23" s="873">
        <v>18</v>
      </c>
      <c r="AG23" s="873">
        <v>20</v>
      </c>
    </row>
    <row r="24">
      <c r="A24" s="870" t="s">
        <v>1956</v>
      </c>
      <c r="B24" s="870" t="s">
        <v>1948</v>
      </c>
      <c r="C24" s="870" t="s">
        <v>1958</v>
      </c>
      <c r="D24" s="870">
        <v>3</v>
      </c>
      <c r="E24" s="870">
        <v>18</v>
      </c>
      <c r="F24" s="870">
        <v>18</v>
      </c>
      <c r="G24" s="870">
        <v>29167.25</v>
      </c>
      <c r="H24" s="871">
        <v>5671.71</v>
      </c>
      <c r="I24" s="872">
        <f t="shared" si="0"/>
      </c>
      <c r="J24" s="872">
        <f t="shared" si="1"/>
      </c>
      <c r="K24" s="872">
        <f t="shared" si="2"/>
      </c>
      <c r="L24" s="870"/>
      <c r="M24" s="873"/>
      <c r="N24" s="870"/>
      <c r="O24" s="870"/>
      <c r="P24" s="874"/>
      <c r="Q24" s="875">
        <v>1.9206603454114457</v>
      </c>
      <c r="R24" s="876">
        <v>0.3013376834618204</v>
      </c>
      <c r="S24" s="876">
        <v>0.050089050971079636</v>
      </c>
      <c r="T24" s="876">
        <v>0.05733186328555678</v>
      </c>
      <c r="U24" s="876">
        <v>0.06331360946745562</v>
      </c>
      <c r="V24" s="873">
        <v>17765.36312849162</v>
      </c>
      <c r="W24" s="876">
        <v>0.0179</v>
      </c>
      <c r="X24" s="873">
        <v>48</v>
      </c>
      <c r="Y24" s="875">
        <v>96.20405393944533</v>
      </c>
      <c r="Z24" s="873">
        <v>58955</v>
      </c>
      <c r="AA24" s="873">
        <v>2953</v>
      </c>
      <c r="AB24" s="873">
        <v>318</v>
      </c>
      <c r="AC24" s="873">
        <v>3380</v>
      </c>
      <c r="AD24" s="873">
        <v>214</v>
      </c>
      <c r="AE24" s="873">
        <v>28</v>
      </c>
      <c r="AF24" s="873">
        <v>15</v>
      </c>
      <c r="AG24" s="873">
        <v>10</v>
      </c>
    </row>
    <row r="25">
      <c r="A25" s="877" t="s">
        <v>1956</v>
      </c>
      <c r="B25" s="877" t="s">
        <v>1945</v>
      </c>
      <c r="C25" s="878"/>
      <c r="D25" s="878">
        <f>SUM(D23:D24)</f>
      </c>
      <c r="E25" s="878">
        <f>SUM(E23:E24)</f>
      </c>
      <c r="F25" s="878">
        <f>SUM(F23:F24)</f>
      </c>
      <c r="G25" s="878">
        <f>SUM(G23:G24)</f>
      </c>
      <c r="H25" s="878">
        <f>SUM(H23:H24)</f>
      </c>
      <c r="I25" s="879">
        <f t="shared" si="0"/>
      </c>
      <c r="J25" s="879">
        <f t="shared" si="1"/>
      </c>
      <c r="K25" s="879">
        <f t="shared" si="2"/>
      </c>
      <c r="L25" s="878"/>
      <c r="M25" s="880">
        <f>SUM(M23:M24)</f>
      </c>
      <c r="N25" s="878"/>
      <c r="O25" s="878"/>
      <c r="P25" s="878"/>
      <c r="Q25" s="881">
        <f>AVERAGE(Q23:Q24)</f>
      </c>
      <c r="R25" s="882">
        <f>AVERAGE(R23:R24)</f>
      </c>
      <c r="S25" s="882">
        <f>AVERAGE(S23:S24)</f>
      </c>
      <c r="T25" s="882">
        <f>AVERAGE(T23:T24)</f>
      </c>
      <c r="U25" s="882">
        <f>AVERAGE(U23:U24)</f>
      </c>
      <c r="V25" s="880">
        <f>SUM(V23:V24)</f>
      </c>
      <c r="W25" s="882">
        <f>AVERAGE(W23:W24)</f>
      </c>
      <c r="X25" s="880">
        <f>AVERAGE(X23:X24)</f>
      </c>
      <c r="Y25" s="881">
        <f>AVERAGE(Y23:Y24)</f>
      </c>
      <c r="Z25" s="880">
        <f>SUM(Z23:Z24)</f>
      </c>
      <c r="AA25" s="880">
        <f>SUM(AA23:AA24)</f>
      </c>
      <c r="AB25" s="880">
        <f>SUM(AB23:AB24)</f>
      </c>
      <c r="AC25" s="880">
        <f>SUM(AC23:AC24)</f>
      </c>
      <c r="AD25" s="880">
        <f>SUM(AD23:AD24)</f>
      </c>
      <c r="AE25" s="880">
        <f>SUM(AE23:AE24)</f>
      </c>
      <c r="AF25" s="880">
        <f>SUM(AF23:AF24)</f>
      </c>
      <c r="AG25" s="880">
        <f>SUM(AG23:AG24)</f>
      </c>
    </row>
    <row r="26">
      <c r="A26" s="870" t="s">
        <v>1959</v>
      </c>
      <c r="B26" s="870" t="s">
        <v>1943</v>
      </c>
      <c r="C26" s="870" t="s">
        <v>1953</v>
      </c>
      <c r="D26" s="870">
        <v>4</v>
      </c>
      <c r="E26" s="870">
        <v>15</v>
      </c>
      <c r="F26" s="870">
        <v>15</v>
      </c>
      <c r="G26" s="870">
        <v>21755.25</v>
      </c>
      <c r="H26" s="871">
        <v>6855.91</v>
      </c>
      <c r="I26" s="872">
        <f t="shared" si="0"/>
      </c>
      <c r="J26" s="872">
        <f t="shared" si="1"/>
      </c>
      <c r="K26" s="872">
        <f t="shared" si="2"/>
      </c>
      <c r="L26" s="870" t="s">
        <v>1950</v>
      </c>
      <c r="M26" s="873">
        <v>8</v>
      </c>
      <c r="N26" s="874"/>
      <c r="O26" s="870"/>
      <c r="P26" s="874"/>
      <c r="Q26" s="875">
        <v>2.727092283214001</v>
      </c>
      <c r="R26" s="876">
        <v>0.12340982814399694</v>
      </c>
      <c r="S26" s="876">
        <v>0.03356699379130783</v>
      </c>
      <c r="T26" s="876">
        <v>0.03701181654316042</v>
      </c>
      <c r="U26" s="876">
        <v>0.10497835497835498</v>
      </c>
      <c r="V26" s="873">
        <v>9242.779078844651</v>
      </c>
      <c r="W26" s="876">
        <v>0.032025000000000005</v>
      </c>
      <c r="X26" s="873">
        <v>50.5</v>
      </c>
      <c r="Y26" s="875">
        <v>91.54028973896787</v>
      </c>
      <c r="Z26" s="873">
        <v>74895</v>
      </c>
      <c r="AA26" s="873">
        <v>2514</v>
      </c>
      <c r="AB26" s="873">
        <v>296</v>
      </c>
      <c r="AC26" s="873">
        <v>2772</v>
      </c>
      <c r="AD26" s="873">
        <v>291</v>
      </c>
      <c r="AE26" s="873">
        <v>27</v>
      </c>
      <c r="AF26" s="873">
        <v>5</v>
      </c>
      <c r="AG26" s="873">
        <v>22</v>
      </c>
    </row>
    <row r="27">
      <c r="A27" s="870" t="s">
        <v>1959</v>
      </c>
      <c r="B27" s="870" t="s">
        <v>1940</v>
      </c>
      <c r="C27" s="870" t="s">
        <v>1954</v>
      </c>
      <c r="D27" s="870">
        <v>4</v>
      </c>
      <c r="E27" s="870">
        <v>20</v>
      </c>
      <c r="F27" s="870">
        <v>20</v>
      </c>
      <c r="G27" s="870">
        <v>29690.3</v>
      </c>
      <c r="H27" s="871">
        <v>8760.59</v>
      </c>
      <c r="I27" s="872">
        <f t="shared" si="0"/>
      </c>
      <c r="J27" s="872">
        <f t="shared" si="1"/>
      </c>
      <c r="K27" s="872">
        <f t="shared" si="2"/>
      </c>
      <c r="L27" s="870"/>
      <c r="M27" s="873"/>
      <c r="N27" s="870"/>
      <c r="O27" s="870"/>
      <c r="P27" s="874"/>
      <c r="Q27" s="875">
        <v>3.1741268115942027</v>
      </c>
      <c r="R27" s="876">
        <v>0.1346198257264683</v>
      </c>
      <c r="S27" s="876">
        <v>0.02681694520015546</v>
      </c>
      <c r="T27" s="876">
        <v>0.03073260785075787</v>
      </c>
      <c r="U27" s="876">
        <v>0.11476446411634524</v>
      </c>
      <c r="V27" s="873">
        <v>13855.072463768118</v>
      </c>
      <c r="W27" s="876">
        <v>0.034499999999999996</v>
      </c>
      <c r="X27" s="873">
        <v>52</v>
      </c>
      <c r="Y27" s="875">
        <v>85.12038476486592</v>
      </c>
      <c r="Z27" s="873">
        <v>102920</v>
      </c>
      <c r="AA27" s="873">
        <v>2760</v>
      </c>
      <c r="AB27" s="873">
        <v>478</v>
      </c>
      <c r="AC27" s="873">
        <v>3163</v>
      </c>
      <c r="AD27" s="873">
        <v>363</v>
      </c>
      <c r="AE27" s="873">
        <v>19</v>
      </c>
      <c r="AF27" s="873">
        <v>7</v>
      </c>
      <c r="AG27" s="873">
        <v>47</v>
      </c>
    </row>
    <row r="28">
      <c r="A28" s="877" t="s">
        <v>1959</v>
      </c>
      <c r="B28" s="877" t="s">
        <v>1945</v>
      </c>
      <c r="C28" s="878"/>
      <c r="D28" s="878">
        <f>SUM(D26:D27)</f>
      </c>
      <c r="E28" s="878">
        <f>SUM(E26:E27)</f>
      </c>
      <c r="F28" s="878">
        <f>SUM(F26:F27)</f>
      </c>
      <c r="G28" s="878">
        <f>SUM(G26:G27)</f>
      </c>
      <c r="H28" s="878">
        <f>SUM(H26:H27)</f>
      </c>
      <c r="I28" s="879">
        <f t="shared" si="0"/>
      </c>
      <c r="J28" s="879">
        <f t="shared" si="1"/>
      </c>
      <c r="K28" s="879">
        <f t="shared" si="2"/>
      </c>
      <c r="L28" s="878"/>
      <c r="M28" s="880">
        <f>SUM(M26:M27)</f>
      </c>
      <c r="N28" s="878"/>
      <c r="O28" s="878"/>
      <c r="P28" s="878"/>
      <c r="Q28" s="881">
        <f>AVERAGE(Q26:Q27)</f>
      </c>
      <c r="R28" s="882">
        <f>AVERAGE(R26:R27)</f>
      </c>
      <c r="S28" s="882">
        <f>AVERAGE(S26:S27)</f>
      </c>
      <c r="T28" s="882">
        <f>AVERAGE(T26:T27)</f>
      </c>
      <c r="U28" s="882">
        <f>AVERAGE(U26:U27)</f>
      </c>
      <c r="V28" s="880">
        <f>SUM(V26:V27)</f>
      </c>
      <c r="W28" s="882">
        <f>AVERAGE(W26:W27)</f>
      </c>
      <c r="X28" s="880">
        <f>AVERAGE(X26:X27)</f>
      </c>
      <c r="Y28" s="881">
        <f>AVERAGE(Y26:Y27)</f>
      </c>
      <c r="Z28" s="880">
        <f>SUM(Z26:Z27)</f>
      </c>
      <c r="AA28" s="880">
        <f>SUM(AA26:AA27)</f>
      </c>
      <c r="AB28" s="880">
        <f>SUM(AB26:AB27)</f>
      </c>
      <c r="AC28" s="880">
        <f>SUM(AC26:AC27)</f>
      </c>
      <c r="AD28" s="880">
        <f>SUM(AD26:AD27)</f>
      </c>
      <c r="AE28" s="880">
        <f>SUM(AE26:AE27)</f>
      </c>
      <c r="AF28" s="880">
        <f>SUM(AF26:AF27)</f>
      </c>
      <c r="AG28" s="880">
        <f>SUM(AG26:AG27)</f>
      </c>
    </row>
    <row r="29">
      <c r="A29" s="870" t="s">
        <v>1960</v>
      </c>
      <c r="B29" s="870" t="s">
        <v>1943</v>
      </c>
      <c r="C29" s="870" t="s">
        <v>1953</v>
      </c>
      <c r="D29" s="870">
        <v>4</v>
      </c>
      <c r="E29" s="870">
        <v>12</v>
      </c>
      <c r="F29" s="870">
        <v>12</v>
      </c>
      <c r="G29" s="870">
        <v>18898.05</v>
      </c>
      <c r="H29" s="871">
        <v>7973.99</v>
      </c>
      <c r="I29" s="872">
        <f t="shared" si="0"/>
      </c>
      <c r="J29" s="872">
        <f t="shared" si="1"/>
      </c>
      <c r="K29" s="872">
        <f t="shared" si="2"/>
      </c>
      <c r="L29" s="870" t="s">
        <v>1950</v>
      </c>
      <c r="M29" s="873">
        <v>8</v>
      </c>
      <c r="N29" s="874"/>
      <c r="O29" s="870"/>
      <c r="P29" s="874"/>
      <c r="Q29" s="875">
        <v>3.1099804992199687</v>
      </c>
      <c r="R29" s="876">
        <v>0.4703011963716837</v>
      </c>
      <c r="S29" s="876">
        <v>0.023087659267930306</v>
      </c>
      <c r="T29" s="876">
        <v>0.026203232632479402</v>
      </c>
      <c r="U29" s="876">
        <v>0.12199312714776632</v>
      </c>
      <c r="V29" s="873">
        <v>52229.29936305733</v>
      </c>
      <c r="W29" s="876">
        <v>0.00785</v>
      </c>
      <c r="X29" s="873">
        <v>60.25</v>
      </c>
      <c r="Y29" s="875">
        <v>71.80217009589843</v>
      </c>
      <c r="Z29" s="873">
        <v>111055</v>
      </c>
      <c r="AA29" s="873">
        <v>2564</v>
      </c>
      <c r="AB29" s="873">
        <v>410</v>
      </c>
      <c r="AC29" s="873">
        <v>2910</v>
      </c>
      <c r="AD29" s="873">
        <v>355</v>
      </c>
      <c r="AE29" s="873">
        <v>30</v>
      </c>
      <c r="AF29" s="873">
        <v>15</v>
      </c>
      <c r="AG29" s="873">
        <v>23</v>
      </c>
    </row>
    <row r="30">
      <c r="A30" s="870" t="s">
        <v>1960</v>
      </c>
      <c r="B30" s="870" t="s">
        <v>1940</v>
      </c>
      <c r="C30" s="870" t="s">
        <v>1954</v>
      </c>
      <c r="D30" s="870">
        <v>4</v>
      </c>
      <c r="E30" s="870">
        <v>16</v>
      </c>
      <c r="F30" s="870">
        <v>16</v>
      </c>
      <c r="G30" s="870">
        <v>23739.05</v>
      </c>
      <c r="H30" s="871">
        <v>6278.87</v>
      </c>
      <c r="I30" s="872">
        <f t="shared" si="0"/>
      </c>
      <c r="J30" s="872">
        <f t="shared" si="1"/>
      </c>
      <c r="K30" s="872">
        <f t="shared" si="2"/>
      </c>
      <c r="L30" s="870"/>
      <c r="M30" s="873"/>
      <c r="N30" s="870"/>
      <c r="O30" s="870"/>
      <c r="P30" s="874"/>
      <c r="Q30" s="875">
        <v>2.33502045370026</v>
      </c>
      <c r="R30" s="876">
        <v>0.30143043192090463</v>
      </c>
      <c r="S30" s="876">
        <v>0.03775147762849401</v>
      </c>
      <c r="T30" s="876">
        <v>0.04352159934857993</v>
      </c>
      <c r="U30" s="876">
        <v>0.09516129032258064</v>
      </c>
      <c r="V30" s="873">
        <v>21470.588235294115</v>
      </c>
      <c r="W30" s="876">
        <v>0.013600000000000001</v>
      </c>
      <c r="X30" s="873">
        <v>50.5</v>
      </c>
      <c r="Y30" s="875">
        <v>88.1504724199413</v>
      </c>
      <c r="Z30" s="873">
        <v>71229</v>
      </c>
      <c r="AA30" s="873">
        <v>2689</v>
      </c>
      <c r="AB30" s="873">
        <v>292</v>
      </c>
      <c r="AC30" s="873">
        <v>3100</v>
      </c>
      <c r="AD30" s="873">
        <v>295</v>
      </c>
      <c r="AE30" s="873">
        <v>32</v>
      </c>
      <c r="AF30" s="873">
        <v>11</v>
      </c>
      <c r="AG30" s="873">
        <v>17</v>
      </c>
    </row>
    <row r="31">
      <c r="A31" s="877" t="s">
        <v>1960</v>
      </c>
      <c r="B31" s="877" t="s">
        <v>1945</v>
      </c>
      <c r="C31" s="878"/>
      <c r="D31" s="878">
        <f>SUM(D29:D30)</f>
      </c>
      <c r="E31" s="878">
        <f>SUM(E29:E30)</f>
      </c>
      <c r="F31" s="878">
        <f>SUM(F29:F30)</f>
      </c>
      <c r="G31" s="878">
        <f>SUM(G29:G30)</f>
      </c>
      <c r="H31" s="878">
        <f>SUM(H29:H30)</f>
      </c>
      <c r="I31" s="879">
        <f t="shared" si="0"/>
      </c>
      <c r="J31" s="879">
        <f t="shared" si="1"/>
      </c>
      <c r="K31" s="879">
        <f t="shared" si="2"/>
      </c>
      <c r="L31" s="878"/>
      <c r="M31" s="880">
        <f>SUM(M29:M30)</f>
      </c>
      <c r="N31" s="878"/>
      <c r="O31" s="878"/>
      <c r="P31" s="878"/>
      <c r="Q31" s="881">
        <f>AVERAGE(Q29:Q30)</f>
      </c>
      <c r="R31" s="882">
        <f>AVERAGE(R29:R30)</f>
      </c>
      <c r="S31" s="882">
        <f>AVERAGE(S29:S30)</f>
      </c>
      <c r="T31" s="882">
        <f>AVERAGE(T29:T30)</f>
      </c>
      <c r="U31" s="882">
        <f>AVERAGE(U29:U30)</f>
      </c>
      <c r="V31" s="880">
        <f>SUM(V29:V30)</f>
      </c>
      <c r="W31" s="882">
        <f>AVERAGE(W29:W30)</f>
      </c>
      <c r="X31" s="880">
        <f>AVERAGE(X29:X30)</f>
      </c>
      <c r="Y31" s="881">
        <f>AVERAGE(Y29:Y30)</f>
      </c>
      <c r="Z31" s="880">
        <f>SUM(Z29:Z30)</f>
      </c>
      <c r="AA31" s="880">
        <f>SUM(AA29:AA30)</f>
      </c>
      <c r="AB31" s="880">
        <f>SUM(AB29:AB30)</f>
      </c>
      <c r="AC31" s="880">
        <f>SUM(AC29:AC30)</f>
      </c>
      <c r="AD31" s="880">
        <f>SUM(AD29:AD30)</f>
      </c>
      <c r="AE31" s="880">
        <f>SUM(AE29:AE30)</f>
      </c>
      <c r="AF31" s="880">
        <f>SUM(AF29:AF30)</f>
      </c>
      <c r="AG31" s="880">
        <f>SUM(AG29:AG30)</f>
      </c>
    </row>
    <row r="32">
      <c r="A32" s="870" t="s">
        <v>1961</v>
      </c>
      <c r="B32" s="870" t="s">
        <v>1943</v>
      </c>
      <c r="C32" s="870" t="s">
        <v>1953</v>
      </c>
      <c r="D32" s="870">
        <v>4</v>
      </c>
      <c r="E32" s="870">
        <v>17</v>
      </c>
      <c r="F32" s="870">
        <v>17</v>
      </c>
      <c r="G32" s="870">
        <v>26763.15</v>
      </c>
      <c r="H32" s="871">
        <v>6993.93</v>
      </c>
      <c r="I32" s="872">
        <f t="shared" si="0"/>
      </c>
      <c r="J32" s="872">
        <f t="shared" si="1"/>
      </c>
      <c r="K32" s="872">
        <f t="shared" si="2"/>
      </c>
      <c r="L32" s="870" t="s">
        <v>1950</v>
      </c>
      <c r="M32" s="873">
        <v>8</v>
      </c>
      <c r="N32" s="874"/>
      <c r="O32" s="870"/>
      <c r="P32" s="874"/>
      <c r="Q32" s="875">
        <v>2.635241145440844</v>
      </c>
      <c r="R32" s="876">
        <v>0.14605052876302635</v>
      </c>
      <c r="S32" s="876">
        <v>0.0348029059246243</v>
      </c>
      <c r="T32" s="876">
        <v>0.03881559967478822</v>
      </c>
      <c r="U32" s="876">
        <v>0.10101351351351351</v>
      </c>
      <c r="V32" s="873">
        <v>11137.521222410864</v>
      </c>
      <c r="W32" s="876">
        <v>0.029450000000000004</v>
      </c>
      <c r="X32" s="873">
        <v>50.5</v>
      </c>
      <c r="Y32" s="875">
        <v>91.71404967347688</v>
      </c>
      <c r="Z32" s="873">
        <v>76258</v>
      </c>
      <c r="AA32" s="873">
        <v>2654</v>
      </c>
      <c r="AB32" s="873">
        <v>328</v>
      </c>
      <c r="AC32" s="873">
        <v>2960</v>
      </c>
      <c r="AD32" s="873">
        <v>299</v>
      </c>
      <c r="AE32" s="873">
        <v>25</v>
      </c>
      <c r="AF32" s="873">
        <v>12</v>
      </c>
      <c r="AG32" s="873">
        <v>20</v>
      </c>
    </row>
    <row r="33">
      <c r="A33" s="870" t="s">
        <v>1961</v>
      </c>
      <c r="B33" s="870" t="s">
        <v>1940</v>
      </c>
      <c r="C33" s="870" t="s">
        <v>1954</v>
      </c>
      <c r="D33" s="870">
        <v>4</v>
      </c>
      <c r="E33" s="870">
        <v>10</v>
      </c>
      <c r="F33" s="870">
        <v>10</v>
      </c>
      <c r="G33" s="870">
        <v>15100.05</v>
      </c>
      <c r="H33" s="871">
        <v>5586.39</v>
      </c>
      <c r="I33" s="872">
        <f t="shared" si="0"/>
      </c>
      <c r="J33" s="872">
        <f t="shared" si="1"/>
      </c>
      <c r="K33" s="872">
        <f t="shared" si="2"/>
      </c>
      <c r="L33" s="870"/>
      <c r="M33" s="873"/>
      <c r="N33" s="870"/>
      <c r="O33" s="870"/>
      <c r="P33" s="874"/>
      <c r="Q33" s="875">
        <v>2.259866504854369</v>
      </c>
      <c r="R33" s="876">
        <v>0.24364311861268328</v>
      </c>
      <c r="S33" s="876">
        <v>0.04847343961409495</v>
      </c>
      <c r="T33" s="876">
        <v>0.053689432711728144</v>
      </c>
      <c r="U33" s="876">
        <v>0.08035062089116143</v>
      </c>
      <c r="V33" s="873">
        <v>12425.06811989101</v>
      </c>
      <c r="W33" s="876">
        <v>0.018349999999999998</v>
      </c>
      <c r="X33" s="873">
        <v>47.75</v>
      </c>
      <c r="Y33" s="875">
        <v>109.54350255897407</v>
      </c>
      <c r="Z33" s="873">
        <v>50997</v>
      </c>
      <c r="AA33" s="873">
        <v>2472</v>
      </c>
      <c r="AB33" s="873">
        <v>228</v>
      </c>
      <c r="AC33" s="873">
        <v>2738</v>
      </c>
      <c r="AD33" s="873">
        <v>220</v>
      </c>
      <c r="AE33" s="873">
        <v>16</v>
      </c>
      <c r="AF33" s="873">
        <v>9</v>
      </c>
      <c r="AG33" s="873">
        <v>11</v>
      </c>
    </row>
    <row r="34">
      <c r="A34" s="877" t="s">
        <v>1961</v>
      </c>
      <c r="B34" s="877" t="s">
        <v>1945</v>
      </c>
      <c r="C34" s="878"/>
      <c r="D34" s="878">
        <f>SUM(D32:D33)</f>
      </c>
      <c r="E34" s="878">
        <f>SUM(E32:E33)</f>
      </c>
      <c r="F34" s="878">
        <f>SUM(F32:F33)</f>
      </c>
      <c r="G34" s="878">
        <f>SUM(G32:G33)</f>
      </c>
      <c r="H34" s="878">
        <f>SUM(H32:H33)</f>
      </c>
      <c r="I34" s="879">
        <f t="shared" si="0"/>
      </c>
      <c r="J34" s="879">
        <f t="shared" si="1"/>
      </c>
      <c r="K34" s="879">
        <f t="shared" si="2"/>
      </c>
      <c r="L34" s="878"/>
      <c r="M34" s="880">
        <f>SUM(M32:M33)</f>
      </c>
      <c r="N34" s="878"/>
      <c r="O34" s="878"/>
      <c r="P34" s="878"/>
      <c r="Q34" s="881">
        <f>AVERAGE(Q32:Q33)</f>
      </c>
      <c r="R34" s="882">
        <f>AVERAGE(R32:R33)</f>
      </c>
      <c r="S34" s="882">
        <f>AVERAGE(S32:S33)</f>
      </c>
      <c r="T34" s="882">
        <f>AVERAGE(T32:T33)</f>
      </c>
      <c r="U34" s="882">
        <f>AVERAGE(U32:U33)</f>
      </c>
      <c r="V34" s="880">
        <f>SUM(V32:V33)</f>
      </c>
      <c r="W34" s="882">
        <f>AVERAGE(W32:W33)</f>
      </c>
      <c r="X34" s="880">
        <f>AVERAGE(X32:X33)</f>
      </c>
      <c r="Y34" s="881">
        <f>AVERAGE(Y32:Y33)</f>
      </c>
      <c r="Z34" s="880">
        <f>SUM(Z32:Z33)</f>
      </c>
      <c r="AA34" s="880">
        <f>SUM(AA32:AA33)</f>
      </c>
      <c r="AB34" s="880">
        <f>SUM(AB32:AB33)</f>
      </c>
      <c r="AC34" s="880">
        <f>SUM(AC32:AC33)</f>
      </c>
      <c r="AD34" s="880">
        <f>SUM(AD32:AD33)</f>
      </c>
      <c r="AE34" s="880">
        <f>SUM(AE32:AE33)</f>
      </c>
      <c r="AF34" s="880">
        <f>SUM(AF32:AF33)</f>
      </c>
      <c r="AG34" s="880">
        <f>SUM(AG32:AG33)</f>
      </c>
    </row>
    <row r="35">
      <c r="A35" s="870" t="s">
        <v>1962</v>
      </c>
      <c r="B35" s="870" t="s">
        <v>1943</v>
      </c>
      <c r="C35" s="870" t="s">
        <v>1953</v>
      </c>
      <c r="D35" s="870">
        <v>4</v>
      </c>
      <c r="E35" s="870">
        <v>17</v>
      </c>
      <c r="F35" s="870">
        <v>17</v>
      </c>
      <c r="G35" s="870">
        <v>24763.2</v>
      </c>
      <c r="H35" s="871">
        <v>9120.83</v>
      </c>
      <c r="I35" s="872">
        <f t="shared" si="0"/>
      </c>
      <c r="J35" s="872">
        <f t="shared" si="1"/>
      </c>
      <c r="K35" s="872">
        <f t="shared" si="2"/>
      </c>
      <c r="L35" s="870" t="s">
        <v>1950</v>
      </c>
      <c r="M35" s="873">
        <v>8</v>
      </c>
      <c r="N35" s="874"/>
      <c r="O35" s="870"/>
      <c r="P35" s="874"/>
      <c r="Q35" s="875">
        <v>2.802959434542102</v>
      </c>
      <c r="R35" s="876">
        <v>0.1271616760029072</v>
      </c>
      <c r="S35" s="876">
        <v>0.02903309272923563</v>
      </c>
      <c r="T35" s="876">
        <v>0.03272691583615129</v>
      </c>
      <c r="U35" s="876">
        <v>0.10768811341330425</v>
      </c>
      <c r="V35" s="873">
        <v>14252.153484729835</v>
      </c>
      <c r="W35" s="876">
        <v>0.031925</v>
      </c>
      <c r="X35" s="873">
        <v>51.5</v>
      </c>
      <c r="Y35" s="875">
        <v>81.37858117934671</v>
      </c>
      <c r="Z35" s="873">
        <v>112079</v>
      </c>
      <c r="AA35" s="873">
        <v>3254</v>
      </c>
      <c r="AB35" s="873">
        <v>455</v>
      </c>
      <c r="AC35" s="873">
        <v>3668</v>
      </c>
      <c r="AD35" s="873">
        <v>395</v>
      </c>
      <c r="AE35" s="873">
        <v>36</v>
      </c>
      <c r="AF35" s="873">
        <v>13</v>
      </c>
      <c r="AG35" s="873">
        <v>43</v>
      </c>
    </row>
    <row r="36">
      <c r="A36" s="870" t="s">
        <v>1962</v>
      </c>
      <c r="B36" s="870" t="s">
        <v>1940</v>
      </c>
      <c r="C36" s="870" t="s">
        <v>1954</v>
      </c>
      <c r="D36" s="870">
        <v>4</v>
      </c>
      <c r="E36" s="870">
        <v>15</v>
      </c>
      <c r="F36" s="870">
        <v>15</v>
      </c>
      <c r="G36" s="870">
        <v>20035.05</v>
      </c>
      <c r="H36" s="871">
        <v>7808.1</v>
      </c>
      <c r="I36" s="872">
        <f t="shared" si="0"/>
      </c>
      <c r="J36" s="872">
        <f t="shared" si="1"/>
      </c>
      <c r="K36" s="872">
        <f t="shared" si="2"/>
      </c>
      <c r="L36" s="870"/>
      <c r="M36" s="873"/>
      <c r="N36" s="870"/>
      <c r="O36" s="870"/>
      <c r="P36" s="874"/>
      <c r="Q36" s="875">
        <v>2.5914702953866575</v>
      </c>
      <c r="R36" s="876">
        <v>0.20505973735299146</v>
      </c>
      <c r="S36" s="876">
        <v>0.03303329642258061</v>
      </c>
      <c r="T36" s="876">
        <v>0.039315433445527403</v>
      </c>
      <c r="U36" s="876">
        <v>0.07724484104852203</v>
      </c>
      <c r="V36" s="873">
        <v>18703.703703703704</v>
      </c>
      <c r="W36" s="876">
        <v>0.0216</v>
      </c>
      <c r="X36" s="873">
        <v>52</v>
      </c>
      <c r="Y36" s="875">
        <v>85.60480643781999</v>
      </c>
      <c r="Z36" s="873">
        <v>91211</v>
      </c>
      <c r="AA36" s="873">
        <v>3013</v>
      </c>
      <c r="AB36" s="873">
        <v>404</v>
      </c>
      <c r="AC36" s="873">
        <v>3586</v>
      </c>
      <c r="AD36" s="873">
        <v>277</v>
      </c>
      <c r="AE36" s="873">
        <v>26</v>
      </c>
      <c r="AF36" s="873">
        <v>8</v>
      </c>
      <c r="AG36" s="873">
        <v>44</v>
      </c>
    </row>
    <row r="37">
      <c r="A37" s="877" t="s">
        <v>1962</v>
      </c>
      <c r="B37" s="877" t="s">
        <v>1945</v>
      </c>
      <c r="C37" s="878"/>
      <c r="D37" s="878">
        <f>SUM(D35:D36)</f>
      </c>
      <c r="E37" s="878">
        <f>SUM(E35:E36)</f>
      </c>
      <c r="F37" s="878">
        <f>SUM(F35:F36)</f>
      </c>
      <c r="G37" s="878">
        <f>SUM(G35:G36)</f>
      </c>
      <c r="H37" s="878">
        <f>SUM(H35:H36)</f>
      </c>
      <c r="I37" s="879">
        <f t="shared" si="0"/>
      </c>
      <c r="J37" s="879">
        <f t="shared" si="1"/>
      </c>
      <c r="K37" s="879">
        <f t="shared" si="2"/>
      </c>
      <c r="L37" s="878"/>
      <c r="M37" s="880">
        <f>SUM(M35:M36)</f>
      </c>
      <c r="N37" s="878"/>
      <c r="O37" s="878"/>
      <c r="P37" s="878"/>
      <c r="Q37" s="881">
        <f>AVERAGE(Q35:Q36)</f>
      </c>
      <c r="R37" s="882">
        <f>AVERAGE(R35:R36)</f>
      </c>
      <c r="S37" s="882">
        <f>AVERAGE(S35:S36)</f>
      </c>
      <c r="T37" s="882">
        <f>AVERAGE(T35:T36)</f>
      </c>
      <c r="U37" s="882">
        <f>AVERAGE(U35:U36)</f>
      </c>
      <c r="V37" s="880">
        <f>SUM(V35:V36)</f>
      </c>
      <c r="W37" s="882">
        <f>AVERAGE(W35:W36)</f>
      </c>
      <c r="X37" s="880">
        <f>AVERAGE(X35:X36)</f>
      </c>
      <c r="Y37" s="881">
        <f>AVERAGE(Y35:Y36)</f>
      </c>
      <c r="Z37" s="880">
        <f>SUM(Z35:Z36)</f>
      </c>
      <c r="AA37" s="880">
        <f>SUM(AA35:AA36)</f>
      </c>
      <c r="AB37" s="880">
        <f>SUM(AB35:AB36)</f>
      </c>
      <c r="AC37" s="880">
        <f>SUM(AC35:AC36)</f>
      </c>
      <c r="AD37" s="880">
        <f>SUM(AD35:AD36)</f>
      </c>
      <c r="AE37" s="880">
        <f>SUM(AE35:AE36)</f>
      </c>
      <c r="AF37" s="880">
        <f>SUM(AF35:AF36)</f>
      </c>
      <c r="AG37" s="880">
        <f>SUM(AG35:AG36)</f>
      </c>
    </row>
    <row r="38">
      <c r="A38" s="870" t="s">
        <v>1963</v>
      </c>
      <c r="B38" s="870" t="s">
        <v>1943</v>
      </c>
      <c r="C38" s="870" t="s">
        <v>1957</v>
      </c>
      <c r="D38" s="870">
        <v>5</v>
      </c>
      <c r="E38" s="870">
        <v>39</v>
      </c>
      <c r="F38" s="870">
        <v>39</v>
      </c>
      <c r="G38" s="870">
        <v>61151.3</v>
      </c>
      <c r="H38" s="871">
        <v>17077.19</v>
      </c>
      <c r="I38" s="872">
        <f t="shared" si="0"/>
      </c>
      <c r="J38" s="872">
        <f t="shared" si="1"/>
      </c>
      <c r="K38" s="872">
        <f t="shared" si="2"/>
      </c>
      <c r="L38" s="870" t="s">
        <v>1950</v>
      </c>
      <c r="M38" s="873">
        <v>8</v>
      </c>
      <c r="N38" s="874"/>
      <c r="O38" s="870"/>
      <c r="P38" s="874"/>
      <c r="Q38" s="875">
        <v>3.5644270507201</v>
      </c>
      <c r="R38" s="876">
        <v>0.12376443063591656</v>
      </c>
      <c r="S38" s="876">
        <v>0.021694930604297325</v>
      </c>
      <c r="T38" s="876">
        <v>0.02399981886929155</v>
      </c>
      <c r="U38" s="876">
        <v>0.09547169811320755</v>
      </c>
      <c r="V38" s="873">
        <v>27331.518039482635</v>
      </c>
      <c r="W38" s="876">
        <v>0.029380000000000007</v>
      </c>
      <c r="X38" s="873">
        <v>50.6</v>
      </c>
      <c r="Y38" s="875">
        <v>77.32999750945275</v>
      </c>
      <c r="Z38" s="873">
        <v>220835</v>
      </c>
      <c r="AA38" s="873">
        <v>4791</v>
      </c>
      <c r="AB38" s="873">
        <v>803</v>
      </c>
      <c r="AC38" s="873">
        <v>5300</v>
      </c>
      <c r="AD38" s="873">
        <v>506</v>
      </c>
      <c r="AE38" s="873">
        <v>58</v>
      </c>
      <c r="AF38" s="873">
        <v>19</v>
      </c>
      <c r="AG38" s="873">
        <v>114</v>
      </c>
    </row>
    <row r="39">
      <c r="A39" s="870" t="s">
        <v>1963</v>
      </c>
      <c r="B39" s="870" t="s">
        <v>1940</v>
      </c>
      <c r="C39" s="870" t="s">
        <v>1958</v>
      </c>
      <c r="D39" s="870">
        <v>3</v>
      </c>
      <c r="E39" s="870">
        <v>24</v>
      </c>
      <c r="F39" s="870">
        <v>24</v>
      </c>
      <c r="G39" s="870">
        <v>34886.05</v>
      </c>
      <c r="H39" s="871">
        <v>12269.7</v>
      </c>
      <c r="I39" s="872">
        <f t="shared" si="0"/>
      </c>
      <c r="J39" s="872">
        <f t="shared" si="1"/>
      </c>
      <c r="K39" s="872">
        <f t="shared" si="2"/>
      </c>
      <c r="L39" s="870"/>
      <c r="M39" s="873"/>
      <c r="N39" s="870"/>
      <c r="O39" s="870"/>
      <c r="P39" s="874"/>
      <c r="Q39" s="875">
        <v>2.952996389891697</v>
      </c>
      <c r="R39" s="876">
        <v>0.11046165402142266</v>
      </c>
      <c r="S39" s="876">
        <v>0.023779409492305316</v>
      </c>
      <c r="T39" s="876">
        <v>0.02579393467673166</v>
      </c>
      <c r="U39" s="876">
        <v>0.09718216108276015</v>
      </c>
      <c r="V39" s="873">
        <v>19301.075268817203</v>
      </c>
      <c r="W39" s="876">
        <v>0.037200000000000004</v>
      </c>
      <c r="X39" s="873">
        <v>57.666666666666664</v>
      </c>
      <c r="Y39" s="875">
        <v>70.22051038453395</v>
      </c>
      <c r="Z39" s="873">
        <v>174731</v>
      </c>
      <c r="AA39" s="873">
        <v>4155</v>
      </c>
      <c r="AB39" s="873">
        <v>718</v>
      </c>
      <c r="AC39" s="873">
        <v>4507</v>
      </c>
      <c r="AD39" s="873">
        <v>438</v>
      </c>
      <c r="AE39" s="873">
        <v>46</v>
      </c>
      <c r="AF39" s="873">
        <v>19</v>
      </c>
      <c r="AG39" s="873">
        <v>100</v>
      </c>
    </row>
    <row r="40">
      <c r="A40" s="877" t="s">
        <v>1963</v>
      </c>
      <c r="B40" s="877" t="s">
        <v>1945</v>
      </c>
      <c r="C40" s="878"/>
      <c r="D40" s="878">
        <f>SUM(D38:D39)</f>
      </c>
      <c r="E40" s="878">
        <f>SUM(E38:E39)</f>
      </c>
      <c r="F40" s="878">
        <f>SUM(F38:F39)</f>
      </c>
      <c r="G40" s="878">
        <f>SUM(G38:G39)</f>
      </c>
      <c r="H40" s="878">
        <f>SUM(H38:H39)</f>
      </c>
      <c r="I40" s="879">
        <f t="shared" si="0"/>
      </c>
      <c r="J40" s="879">
        <f t="shared" si="1"/>
      </c>
      <c r="K40" s="879">
        <f t="shared" si="2"/>
      </c>
      <c r="L40" s="878"/>
      <c r="M40" s="880">
        <f>SUM(M38:M39)</f>
      </c>
      <c r="N40" s="878"/>
      <c r="O40" s="878"/>
      <c r="P40" s="878"/>
      <c r="Q40" s="881">
        <f>AVERAGE(Q38:Q39)</f>
      </c>
      <c r="R40" s="882">
        <f>AVERAGE(R38:R39)</f>
      </c>
      <c r="S40" s="882">
        <f>AVERAGE(S38:S39)</f>
      </c>
      <c r="T40" s="882">
        <f>AVERAGE(T38:T39)</f>
      </c>
      <c r="U40" s="882">
        <f>AVERAGE(U38:U39)</f>
      </c>
      <c r="V40" s="880">
        <f>SUM(V38:V39)</f>
      </c>
      <c r="W40" s="882">
        <f>AVERAGE(W38:W39)</f>
      </c>
      <c r="X40" s="880">
        <f>AVERAGE(X38:X39)</f>
      </c>
      <c r="Y40" s="881">
        <f>AVERAGE(Y38:Y39)</f>
      </c>
      <c r="Z40" s="880">
        <f>SUM(Z38:Z39)</f>
      </c>
      <c r="AA40" s="880">
        <f>SUM(AA38:AA39)</f>
      </c>
      <c r="AB40" s="880">
        <f>SUM(AB38:AB39)</f>
      </c>
      <c r="AC40" s="880">
        <f>SUM(AC38:AC39)</f>
      </c>
      <c r="AD40" s="880">
        <f>SUM(AD38:AD39)</f>
      </c>
      <c r="AE40" s="880">
        <f>SUM(AE38:AE39)</f>
      </c>
      <c r="AF40" s="880">
        <f>SUM(AF38:AF39)</f>
      </c>
      <c r="AG40" s="880">
        <f>SUM(AG38:AG39)</f>
      </c>
    </row>
    <row r="41">
      <c r="B41" s="883"/>
      <c r="K41" s="883"/>
      <c r="M41" s="884"/>
    </row>
    <row r="42">
      <c r="B42" s="883"/>
      <c r="K42" s="883"/>
      <c r="M42" s="884"/>
    </row>
    <row r="43">
      <c r="B43" s="883"/>
      <c r="K43" s="883"/>
      <c r="M43" s="884"/>
    </row>
    <row r="44">
      <c r="C44" s="883"/>
      <c r="D44" s="883"/>
      <c r="E44" s="883"/>
      <c r="F44" s="883"/>
      <c r="G44" s="883"/>
      <c r="H44" s="883"/>
      <c r="I44" s="883"/>
      <c r="J44" s="883"/>
      <c r="M44" s="884"/>
    </row>
    <row r="45">
      <c r="M45" s="884"/>
    </row>
    <row r="46">
      <c r="M46" s="884"/>
    </row>
    <row r="47">
      <c r="M47" s="884"/>
    </row>
    <row r="48">
      <c r="M48" s="884"/>
    </row>
    <row r="49">
      <c r="M49" s="884"/>
    </row>
    <row r="50">
      <c r="M50" s="884"/>
    </row>
    <row r="51">
      <c r="M51" s="884"/>
    </row>
    <row r="52">
      <c r="M52" s="884"/>
    </row>
    <row r="53">
      <c r="M53" s="884"/>
    </row>
    <row r="54">
      <c r="M54" s="884"/>
    </row>
    <row r="55">
      <c r="M55" s="884"/>
    </row>
    <row r="56">
      <c r="M56" s="884"/>
    </row>
    <row r="57">
      <c r="M57" s="884"/>
    </row>
    <row r="58">
      <c r="M58" s="884"/>
    </row>
    <row r="59">
      <c r="M59" s="884"/>
    </row>
    <row r="60">
      <c r="M60" s="884"/>
    </row>
    <row r="61">
      <c r="M61" s="884"/>
    </row>
    <row r="62">
      <c r="M62" s="884"/>
    </row>
    <row r="63">
      <c r="M63" s="884"/>
    </row>
    <row r="64">
      <c r="M64" s="884"/>
    </row>
    <row r="65">
      <c r="M65" s="884"/>
    </row>
    <row r="66">
      <c r="M66" s="884"/>
    </row>
    <row r="67">
      <c r="M67" s="884"/>
    </row>
    <row r="68">
      <c r="M68" s="884"/>
    </row>
    <row r="69">
      <c r="M69" s="884"/>
    </row>
    <row r="70">
      <c r="M70" s="884"/>
    </row>
    <row r="71">
      <c r="M71" s="884"/>
    </row>
    <row r="72">
      <c r="M72" s="884"/>
    </row>
    <row r="73">
      <c r="M73" s="884"/>
    </row>
    <row r="74">
      <c r="M74" s="884"/>
    </row>
    <row r="75">
      <c r="M75" s="884"/>
    </row>
    <row r="76">
      <c r="M76" s="884"/>
    </row>
    <row r="77">
      <c r="M77" s="884"/>
    </row>
    <row r="78">
      <c r="M78" s="884"/>
    </row>
    <row r="79">
      <c r="M79" s="884"/>
    </row>
    <row r="80">
      <c r="M80" s="884"/>
    </row>
    <row r="81">
      <c r="M81" s="884"/>
    </row>
    <row r="82">
      <c r="M82" s="884"/>
    </row>
    <row r="83">
      <c r="M83" s="884"/>
    </row>
    <row r="84">
      <c r="M84" s="884"/>
    </row>
    <row r="85">
      <c r="M85" s="884"/>
    </row>
    <row r="86">
      <c r="M86" s="884"/>
    </row>
    <row r="87">
      <c r="M87" s="884"/>
    </row>
    <row r="88">
      <c r="M88" s="884"/>
    </row>
    <row r="89">
      <c r="M89" s="884"/>
    </row>
    <row r="90">
      <c r="M90" s="884"/>
    </row>
    <row r="91">
      <c r="M91" s="884"/>
    </row>
    <row r="92">
      <c r="M92" s="884"/>
    </row>
    <row r="93">
      <c r="M93" s="884"/>
    </row>
    <row r="94">
      <c r="M94" s="884"/>
    </row>
    <row r="95">
      <c r="M95" s="884"/>
    </row>
    <row r="96">
      <c r="M96" s="884"/>
    </row>
    <row r="97">
      <c r="M97" s="884"/>
    </row>
    <row r="98">
      <c r="M98" s="884"/>
    </row>
    <row r="99">
      <c r="M99" s="884"/>
    </row>
    <row r="100">
      <c r="M100" s="884"/>
    </row>
    <row r="101">
      <c r="M101" s="884"/>
    </row>
    <row r="102">
      <c r="M102" s="884"/>
    </row>
    <row r="103">
      <c r="M103" s="884"/>
    </row>
    <row r="104">
      <c r="M104" s="884"/>
    </row>
    <row r="105">
      <c r="M105" s="884"/>
    </row>
    <row r="106">
      <c r="M106" s="884"/>
    </row>
    <row r="107">
      <c r="M107" s="884"/>
    </row>
    <row r="108">
      <c r="M108" s="884"/>
    </row>
    <row r="109">
      <c r="M109" s="884"/>
    </row>
    <row r="110">
      <c r="M110" s="884"/>
    </row>
    <row r="111">
      <c r="M111" s="884"/>
    </row>
    <row r="112">
      <c r="M112" s="884"/>
    </row>
    <row r="113">
      <c r="M113" s="884"/>
    </row>
    <row r="114">
      <c r="M114" s="884"/>
    </row>
    <row r="115">
      <c r="M115" s="884"/>
    </row>
    <row r="116">
      <c r="M116" s="884"/>
    </row>
    <row r="117">
      <c r="M117" s="884"/>
    </row>
    <row r="118">
      <c r="M118" s="884"/>
    </row>
    <row r="119">
      <c r="M119" s="884"/>
    </row>
    <row r="120">
      <c r="M120" s="884"/>
    </row>
    <row r="121">
      <c r="M121" s="884"/>
    </row>
    <row r="122">
      <c r="M122" s="884"/>
    </row>
    <row r="123">
      <c r="M123" s="884"/>
    </row>
    <row r="124">
      <c r="M124" s="884"/>
    </row>
    <row r="125">
      <c r="M125" s="884"/>
    </row>
    <row r="126">
      <c r="M126" s="884"/>
    </row>
    <row r="127">
      <c r="M127" s="884"/>
    </row>
    <row r="128">
      <c r="M128" s="884"/>
    </row>
    <row r="129">
      <c r="M129" s="884"/>
    </row>
    <row r="130">
      <c r="M130" s="884"/>
    </row>
    <row r="131">
      <c r="M131" s="884"/>
    </row>
    <row r="132">
      <c r="M132" s="884"/>
    </row>
    <row r="133">
      <c r="M133" s="884"/>
    </row>
    <row r="134">
      <c r="M134" s="884"/>
    </row>
    <row r="135">
      <c r="M135" s="884"/>
    </row>
    <row r="136">
      <c r="M136" s="884"/>
    </row>
    <row r="137">
      <c r="M137" s="884"/>
    </row>
    <row r="138">
      <c r="M138" s="884"/>
    </row>
    <row r="139">
      <c r="M139" s="884"/>
    </row>
    <row r="140">
      <c r="M140" s="884"/>
    </row>
    <row r="141">
      <c r="M141" s="884"/>
    </row>
    <row r="142">
      <c r="M142" s="884"/>
    </row>
    <row r="143">
      <c r="M143" s="884"/>
    </row>
    <row r="144">
      <c r="M144" s="884"/>
    </row>
    <row r="145">
      <c r="M145" s="884"/>
    </row>
    <row r="146">
      <c r="M146" s="884"/>
    </row>
    <row r="147">
      <c r="M147" s="884"/>
    </row>
    <row r="148">
      <c r="M148" s="884"/>
    </row>
    <row r="149">
      <c r="M149" s="884"/>
    </row>
    <row r="150">
      <c r="M150" s="884"/>
    </row>
    <row r="151">
      <c r="M151" s="884"/>
    </row>
    <row r="152">
      <c r="M152" s="884"/>
    </row>
    <row r="153">
      <c r="M153" s="884"/>
    </row>
    <row r="154">
      <c r="M154" s="884"/>
    </row>
    <row r="155">
      <c r="M155" s="884"/>
    </row>
    <row r="156">
      <c r="M156" s="884"/>
    </row>
    <row r="157">
      <c r="M157" s="884"/>
    </row>
    <row r="158">
      <c r="M158" s="884"/>
    </row>
    <row r="159">
      <c r="M159" s="884"/>
    </row>
    <row r="160">
      <c r="M160" s="884"/>
    </row>
    <row r="161">
      <c r="M161" s="884"/>
    </row>
    <row r="162">
      <c r="M162" s="884"/>
    </row>
    <row r="163">
      <c r="M163" s="884"/>
    </row>
    <row r="164">
      <c r="M164" s="884"/>
    </row>
    <row r="165">
      <c r="M165" s="884"/>
    </row>
    <row r="166">
      <c r="M166" s="884"/>
    </row>
    <row r="167">
      <c r="M167" s="884"/>
    </row>
    <row r="168">
      <c r="M168" s="884"/>
    </row>
    <row r="169">
      <c r="M169" s="884"/>
    </row>
    <row r="170">
      <c r="M170" s="884"/>
    </row>
    <row r="171">
      <c r="M171" s="884"/>
    </row>
    <row r="172">
      <c r="M172" s="884"/>
    </row>
    <row r="173">
      <c r="M173" s="884"/>
    </row>
    <row r="174">
      <c r="M174" s="884"/>
    </row>
    <row r="175">
      <c r="M175" s="884"/>
    </row>
    <row r="176">
      <c r="M176" s="884"/>
    </row>
    <row r="177">
      <c r="M177" s="884"/>
    </row>
    <row r="178">
      <c r="M178" s="884"/>
    </row>
    <row r="179">
      <c r="M179" s="884"/>
    </row>
    <row r="180">
      <c r="M180" s="884"/>
    </row>
    <row r="181">
      <c r="M181" s="884"/>
    </row>
    <row r="182">
      <c r="M182" s="884"/>
    </row>
    <row r="183">
      <c r="M183" s="884"/>
    </row>
    <row r="184">
      <c r="M184" s="884"/>
    </row>
    <row r="185">
      <c r="M185" s="884"/>
    </row>
    <row r="186">
      <c r="M186" s="884"/>
    </row>
    <row r="187">
      <c r="M187" s="884"/>
    </row>
    <row r="188">
      <c r="M188" s="884"/>
    </row>
    <row r="189">
      <c r="M189" s="884"/>
    </row>
    <row r="190">
      <c r="M190" s="884"/>
    </row>
    <row r="191">
      <c r="M191" s="884"/>
    </row>
    <row r="192">
      <c r="M192" s="884"/>
    </row>
    <row r="193">
      <c r="M193" s="884"/>
    </row>
  </sheetData>
  <autoFilter ref="A1:J190"/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customHeight="true" ht="16.666666666666668" r="1">
      <c r="A1" s="885" t="s">
        <v>1964</v>
      </c>
      <c r="B1" s="886" t="s">
        <v>1965</v>
      </c>
      <c r="C1" s="887" t="s">
        <v>1966</v>
      </c>
      <c r="D1" s="888"/>
      <c r="E1" s="888" t="s">
        <v>1967</v>
      </c>
    </row>
    <row r="2">
      <c r="A2" s="889">
        <v>46262</v>
      </c>
      <c r="B2" s="890" t="s">
        <v>1968</v>
      </c>
      <c r="C2" s="891">
        <v>25</v>
      </c>
      <c r="D2" s="891"/>
      <c r="E2" s="892">
        <v>73017.52000000002</v>
      </c>
    </row>
    <row r="3">
      <c r="A3" s="889">
        <v>46262</v>
      </c>
      <c r="B3" s="890" t="s">
        <v>1969</v>
      </c>
      <c r="C3" s="893">
        <v>15</v>
      </c>
      <c r="D3" s="893"/>
      <c r="E3" s="894">
        <v>40712.70000000001</v>
      </c>
    </row>
    <row r="4">
      <c r="A4" s="889">
        <v>46262</v>
      </c>
      <c r="B4" s="895" t="s">
        <v>1970</v>
      </c>
      <c r="C4" s="893">
        <v>12</v>
      </c>
      <c r="D4" s="893"/>
      <c r="E4" s="894">
        <v>33615.11</v>
      </c>
    </row>
    <row r="5">
      <c r="A5" s="889">
        <v>46262</v>
      </c>
      <c r="B5" s="895" t="s">
        <v>1971</v>
      </c>
      <c r="C5" s="896">
        <v>16</v>
      </c>
      <c r="D5" s="896"/>
      <c r="E5" s="897">
        <v>68314.8</v>
      </c>
    </row>
    <row r="6">
      <c r="A6" s="889">
        <v>46262</v>
      </c>
      <c r="B6" s="890" t="s">
        <v>1972</v>
      </c>
      <c r="C6" s="896">
        <v>14</v>
      </c>
      <c r="D6" s="896"/>
      <c r="E6" s="897">
        <v>40726.91</v>
      </c>
    </row>
    <row r="7">
      <c r="A7" s="898">
        <v>46262</v>
      </c>
      <c r="B7" s="899" t="s">
        <v>1973</v>
      </c>
      <c r="C7" s="900">
        <f>SUM(C2:C6)</f>
      </c>
      <c r="D7" s="900"/>
      <c r="E7" s="901">
        <f>SUM(E2:E6)</f>
      </c>
    </row>
    <row r="8">
      <c r="A8" s="889">
        <v>46263</v>
      </c>
      <c r="B8" s="890" t="s">
        <v>1969</v>
      </c>
      <c r="C8" s="891">
        <v>14</v>
      </c>
      <c r="D8" s="891"/>
      <c r="E8" s="892">
        <v>55765.27000000002</v>
      </c>
    </row>
    <row r="9">
      <c r="A9" s="889">
        <v>46263</v>
      </c>
      <c r="B9" s="890" t="s">
        <v>1968</v>
      </c>
      <c r="C9" s="893">
        <v>14</v>
      </c>
      <c r="D9" s="893"/>
      <c r="E9" s="894">
        <v>34071.58999999999</v>
      </c>
    </row>
    <row r="10">
      <c r="A10" s="889">
        <v>46263</v>
      </c>
      <c r="B10" s="895" t="s">
        <v>1970</v>
      </c>
      <c r="C10" s="893">
        <v>7</v>
      </c>
      <c r="D10" s="893"/>
      <c r="E10" s="894">
        <v>27953.430000000004</v>
      </c>
    </row>
    <row r="11">
      <c r="A11" s="889">
        <v>46263</v>
      </c>
      <c r="B11" s="895" t="s">
        <v>1971</v>
      </c>
      <c r="C11" s="896">
        <v>9</v>
      </c>
      <c r="D11" s="896"/>
      <c r="E11" s="897">
        <v>22025.160000000003</v>
      </c>
    </row>
    <row r="12">
      <c r="A12" s="889">
        <v>46263</v>
      </c>
      <c r="B12" s="890" t="s">
        <v>1972</v>
      </c>
      <c r="C12" s="896">
        <v>6</v>
      </c>
      <c r="D12" s="896"/>
      <c r="E12" s="897">
        <v>15764.179999999964</v>
      </c>
    </row>
    <row r="13">
      <c r="A13" s="898">
        <v>46263</v>
      </c>
      <c r="B13" s="899" t="s">
        <v>1973</v>
      </c>
      <c r="C13" s="900">
        <f>SUM(C8:C12)</f>
      </c>
      <c r="D13" s="900"/>
      <c r="E13" s="901">
        <f>SUM(E8:E12)</f>
      </c>
    </row>
    <row r="14">
      <c r="A14" s="889">
        <v>46264</v>
      </c>
      <c r="B14" s="890" t="s">
        <v>1968</v>
      </c>
      <c r="C14" s="891">
        <v>7</v>
      </c>
      <c r="D14" s="891"/>
      <c r="E14" s="892">
        <v>25600.82</v>
      </c>
    </row>
    <row r="15">
      <c r="A15" s="889">
        <v>46264</v>
      </c>
      <c r="B15" s="890" t="s">
        <v>1969</v>
      </c>
      <c r="C15" s="893">
        <v>3</v>
      </c>
      <c r="D15" s="893"/>
      <c r="E15" s="894">
        <v>9916.650000000001</v>
      </c>
    </row>
    <row r="16">
      <c r="A16" s="889">
        <v>46264</v>
      </c>
      <c r="B16" s="895" t="s">
        <v>1970</v>
      </c>
      <c r="C16" s="893">
        <v>8</v>
      </c>
      <c r="D16" s="893"/>
      <c r="E16" s="902">
        <v>23268.97</v>
      </c>
    </row>
    <row r="17">
      <c r="A17" s="889">
        <v>46264</v>
      </c>
      <c r="B17" s="895" t="s">
        <v>1972</v>
      </c>
      <c r="C17" s="896">
        <v>11</v>
      </c>
      <c r="D17" s="896"/>
      <c r="E17" s="903">
        <v>32361.63</v>
      </c>
    </row>
    <row r="18">
      <c r="A18" s="889">
        <v>46264</v>
      </c>
      <c r="B18" s="890" t="s">
        <v>1971</v>
      </c>
      <c r="C18" s="896">
        <v>12</v>
      </c>
      <c r="D18" s="896"/>
      <c r="E18" s="897">
        <v>26343.01999999999</v>
      </c>
    </row>
    <row r="19">
      <c r="A19" s="898">
        <v>46264</v>
      </c>
      <c r="B19" s="899" t="s">
        <v>1973</v>
      </c>
      <c r="C19" s="900">
        <f>SUM(C14:C18)</f>
      </c>
      <c r="D19" s="900"/>
      <c r="E19" s="901">
        <f>SUM(E14:E18)</f>
      </c>
    </row>
    <row r="20">
      <c r="A20" s="889">
        <v>46265</v>
      </c>
      <c r="B20" s="890" t="s">
        <v>1969</v>
      </c>
      <c r="C20" s="891">
        <v>19</v>
      </c>
      <c r="D20" s="891"/>
      <c r="E20" s="892">
        <v>47057.08000000001</v>
      </c>
    </row>
    <row r="21">
      <c r="A21" s="889">
        <v>46265</v>
      </c>
      <c r="B21" s="890" t="s">
        <v>1968</v>
      </c>
      <c r="C21" s="893">
        <v>15</v>
      </c>
      <c r="D21" s="893"/>
      <c r="E21" s="894">
        <v>46102.51999999999</v>
      </c>
    </row>
    <row r="22">
      <c r="A22" s="889">
        <v>46265</v>
      </c>
      <c r="B22" s="895" t="s">
        <v>1972</v>
      </c>
      <c r="C22" s="893">
        <v>18</v>
      </c>
      <c r="D22" s="893"/>
      <c r="E22" s="902">
        <v>48024.280000000006</v>
      </c>
    </row>
    <row r="23">
      <c r="A23" s="889">
        <v>46265</v>
      </c>
      <c r="B23" s="895" t="s">
        <v>1971</v>
      </c>
      <c r="C23" s="896">
        <v>18</v>
      </c>
      <c r="D23" s="896"/>
      <c r="E23" s="903">
        <v>68657.49</v>
      </c>
    </row>
    <row r="24">
      <c r="A24" s="889">
        <v>46265</v>
      </c>
      <c r="B24" s="890" t="s">
        <v>1970</v>
      </c>
      <c r="C24" s="896">
        <v>8</v>
      </c>
      <c r="D24" s="896"/>
      <c r="E24" s="897">
        <v>23526.45</v>
      </c>
    </row>
    <row r="25">
      <c r="A25" s="898">
        <v>46265</v>
      </c>
      <c r="B25" s="899" t="s">
        <v>1973</v>
      </c>
      <c r="C25" s="900">
        <f>SUM(C20:C24)</f>
      </c>
      <c r="D25" s="900"/>
      <c r="E25" s="901">
        <f>SUM(E20:E24)</f>
      </c>
    </row>
    <row r="26">
      <c r="A26" s="889">
        <v>46266</v>
      </c>
      <c r="B26" s="890" t="s">
        <v>1969</v>
      </c>
      <c r="C26" s="891">
        <v>17</v>
      </c>
      <c r="D26" s="891"/>
      <c r="E26" s="892">
        <v>60357.64</v>
      </c>
    </row>
    <row r="27">
      <c r="A27" s="889">
        <v>46266</v>
      </c>
      <c r="B27" s="890" t="s">
        <v>1968</v>
      </c>
      <c r="C27" s="893">
        <v>19</v>
      </c>
      <c r="D27" s="893"/>
      <c r="E27" s="894">
        <v>58833.96</v>
      </c>
    </row>
    <row r="28">
      <c r="A28" s="889">
        <v>46266</v>
      </c>
      <c r="B28" s="895" t="s">
        <v>1972</v>
      </c>
      <c r="C28" s="893">
        <v>17</v>
      </c>
      <c r="D28" s="893"/>
      <c r="E28" s="902">
        <v>47174.77</v>
      </c>
    </row>
    <row r="29">
      <c r="A29" s="889">
        <v>46266</v>
      </c>
      <c r="B29" s="895" t="s">
        <v>1971</v>
      </c>
      <c r="C29" s="896">
        <v>23</v>
      </c>
      <c r="D29" s="896"/>
      <c r="E29" s="903">
        <v>68976.8</v>
      </c>
    </row>
    <row r="30">
      <c r="A30" s="889">
        <v>46266</v>
      </c>
      <c r="B30" s="890" t="s">
        <v>1970</v>
      </c>
      <c r="C30" s="896">
        <v>7</v>
      </c>
      <c r="D30" s="896"/>
      <c r="E30" s="897">
        <v>18172.440000000002</v>
      </c>
    </row>
    <row r="31">
      <c r="A31" s="898">
        <v>46266</v>
      </c>
      <c r="B31" s="899" t="s">
        <v>1973</v>
      </c>
      <c r="C31" s="900">
        <f>SUM(C26:C30)</f>
      </c>
      <c r="D31" s="900"/>
      <c r="E31" s="901">
        <f>SUM(E26:E30)</f>
      </c>
    </row>
    <row r="32">
      <c r="A32" s="889">
        <v>46267</v>
      </c>
      <c r="B32" s="890" t="s">
        <v>1969</v>
      </c>
      <c r="C32" s="891">
        <v>13</v>
      </c>
      <c r="D32" s="891"/>
      <c r="E32" s="892">
        <v>43724.50000000001</v>
      </c>
    </row>
    <row r="33">
      <c r="A33" s="889">
        <v>46267</v>
      </c>
      <c r="B33" s="890" t="s">
        <v>1972</v>
      </c>
      <c r="C33" s="893">
        <v>13</v>
      </c>
      <c r="D33" s="893"/>
      <c r="E33" s="894">
        <v>37774.5</v>
      </c>
    </row>
    <row r="34">
      <c r="A34" s="889">
        <v>46267</v>
      </c>
      <c r="B34" s="895" t="s">
        <v>1971</v>
      </c>
      <c r="C34" s="893">
        <v>11</v>
      </c>
      <c r="D34" s="893"/>
      <c r="E34" s="902">
        <v>38762.57</v>
      </c>
    </row>
    <row r="35">
      <c r="A35" s="889">
        <v>46267</v>
      </c>
      <c r="B35" s="895" t="s">
        <v>1970</v>
      </c>
      <c r="C35" s="896">
        <v>19</v>
      </c>
      <c r="D35" s="896"/>
      <c r="E35" s="903">
        <v>53487.28999999999</v>
      </c>
    </row>
    <row r="36">
      <c r="A36" s="889">
        <v>46267</v>
      </c>
      <c r="B36" s="890" t="s">
        <v>1968</v>
      </c>
      <c r="C36" s="896">
        <v>9</v>
      </c>
      <c r="D36" s="896"/>
      <c r="E36" s="897">
        <v>31311.379999999997</v>
      </c>
    </row>
    <row r="37">
      <c r="A37" s="898">
        <v>46267</v>
      </c>
      <c r="B37" s="899" t="s">
        <v>1973</v>
      </c>
      <c r="C37" s="900">
        <f>SUM(C32:C36)</f>
      </c>
      <c r="D37" s="900"/>
      <c r="E37" s="901">
        <f>SUM(E32:E36)</f>
      </c>
    </row>
    <row r="38">
      <c r="A38" s="889">
        <v>46268</v>
      </c>
      <c r="B38" s="890" t="s">
        <v>1971</v>
      </c>
      <c r="C38" s="891">
        <v>12</v>
      </c>
      <c r="D38" s="891"/>
      <c r="E38" s="892">
        <v>39682.86</v>
      </c>
    </row>
    <row r="39">
      <c r="A39" s="889">
        <v>46268</v>
      </c>
      <c r="B39" s="890" t="s">
        <v>1972</v>
      </c>
      <c r="C39" s="893">
        <v>15</v>
      </c>
      <c r="D39" s="893"/>
      <c r="E39" s="894">
        <v>43612.99</v>
      </c>
    </row>
    <row r="40">
      <c r="A40" s="889">
        <v>46268</v>
      </c>
      <c r="B40" s="895" t="s">
        <v>1968</v>
      </c>
      <c r="C40" s="893">
        <v>12</v>
      </c>
      <c r="D40" s="893"/>
      <c r="E40" s="902">
        <v>49913.990000000005</v>
      </c>
    </row>
    <row r="41">
      <c r="A41" s="889">
        <v>46268</v>
      </c>
      <c r="B41" s="895" t="s">
        <v>1969</v>
      </c>
      <c r="C41" s="896">
        <v>24</v>
      </c>
      <c r="D41" s="896"/>
      <c r="E41" s="903">
        <v>65158.15999999999</v>
      </c>
    </row>
    <row r="42">
      <c r="A42" s="889">
        <v>46268</v>
      </c>
      <c r="B42" s="890" t="s">
        <v>1970</v>
      </c>
      <c r="C42" s="896">
        <v>14</v>
      </c>
      <c r="D42" s="896"/>
      <c r="E42" s="897">
        <v>29259.969999999998</v>
      </c>
    </row>
    <row r="43">
      <c r="A43" s="898">
        <v>46268</v>
      </c>
      <c r="B43" s="899" t="s">
        <v>1973</v>
      </c>
      <c r="C43" s="900">
        <f>SUM(C38:C42)</f>
      </c>
      <c r="D43" s="900"/>
      <c r="E43" s="901">
        <f>SUM(E38:E42)</f>
      </c>
    </row>
    <row r="44">
      <c r="A44" s="889">
        <v>46269</v>
      </c>
      <c r="B44" s="890" t="s">
        <v>1971</v>
      </c>
      <c r="C44" s="891">
        <v>13</v>
      </c>
      <c r="D44" s="891"/>
      <c r="E44" s="892">
        <v>38584.28</v>
      </c>
    </row>
    <row r="45">
      <c r="A45" s="889">
        <v>46269</v>
      </c>
      <c r="B45" s="890" t="s">
        <v>1968</v>
      </c>
      <c r="C45" s="893">
        <v>16</v>
      </c>
      <c r="D45" s="893"/>
      <c r="E45" s="894">
        <v>51156.46999999999</v>
      </c>
    </row>
    <row r="46">
      <c r="A46" s="889">
        <v>46269</v>
      </c>
      <c r="B46" s="895" t="s">
        <v>1969</v>
      </c>
      <c r="C46" s="893">
        <v>7</v>
      </c>
      <c r="D46" s="893"/>
      <c r="E46" s="902">
        <v>35212.34</v>
      </c>
    </row>
    <row r="47">
      <c r="A47" s="889">
        <v>46269</v>
      </c>
      <c r="B47" s="895" t="s">
        <v>1970</v>
      </c>
      <c r="C47" s="896">
        <v>24</v>
      </c>
      <c r="D47" s="896"/>
      <c r="E47" s="903">
        <v>63623.259999999995</v>
      </c>
    </row>
    <row r="48">
      <c r="A48" s="889">
        <v>46269</v>
      </c>
      <c r="B48" s="890" t="s">
        <v>1972</v>
      </c>
      <c r="C48" s="896">
        <v>17</v>
      </c>
      <c r="D48" s="896"/>
      <c r="E48" s="897">
        <v>37779.91</v>
      </c>
    </row>
    <row r="49">
      <c r="A49" s="898">
        <v>46269</v>
      </c>
      <c r="B49" s="899" t="s">
        <v>1973</v>
      </c>
      <c r="C49" s="900">
        <f>SUM(C44:C48)</f>
      </c>
      <c r="D49" s="900"/>
      <c r="E49" s="901">
        <f>SUM(E44:E48)</f>
      </c>
    </row>
    <row r="50">
      <c r="A50" s="889">
        <v>46270</v>
      </c>
      <c r="B50" s="890" t="s">
        <v>1971</v>
      </c>
      <c r="C50" s="891">
        <v>18</v>
      </c>
      <c r="D50" s="891"/>
      <c r="E50" s="892">
        <v>60217.420000000006</v>
      </c>
    </row>
    <row r="51">
      <c r="A51" s="889">
        <v>46270</v>
      </c>
      <c r="B51" s="890" t="s">
        <v>1969</v>
      </c>
      <c r="C51" s="893">
        <v>10</v>
      </c>
      <c r="D51" s="893"/>
      <c r="E51" s="894">
        <v>28938.219999999987</v>
      </c>
    </row>
    <row r="52">
      <c r="A52" s="889">
        <v>46270</v>
      </c>
      <c r="B52" s="890" t="s">
        <v>1968</v>
      </c>
      <c r="C52" s="893">
        <v>12</v>
      </c>
      <c r="D52" s="893"/>
      <c r="E52" s="902">
        <v>39734.79000000001</v>
      </c>
    </row>
    <row r="53">
      <c r="A53" s="889">
        <v>46270</v>
      </c>
      <c r="B53" s="895" t="s">
        <v>1970</v>
      </c>
      <c r="C53" s="896">
        <v>27</v>
      </c>
      <c r="D53" s="896"/>
      <c r="E53" s="903">
        <v>69324.62</v>
      </c>
    </row>
    <row r="54">
      <c r="A54" s="889">
        <v>46270</v>
      </c>
      <c r="B54" s="890" t="s">
        <v>1972</v>
      </c>
      <c r="C54" s="896">
        <v>9</v>
      </c>
      <c r="D54" s="896"/>
      <c r="E54" s="897">
        <v>22995.78</v>
      </c>
    </row>
    <row r="55">
      <c r="A55" s="898">
        <v>46270</v>
      </c>
      <c r="B55" s="899" t="s">
        <v>1973</v>
      </c>
      <c r="C55" s="900">
        <f>SUM(C50:C54)</f>
      </c>
      <c r="D55" s="900"/>
      <c r="E55" s="901">
        <f>SUM(E50:E54)</f>
      </c>
    </row>
    <row r="56">
      <c r="A56" s="889">
        <v>46271</v>
      </c>
      <c r="B56" s="890" t="s">
        <v>1968</v>
      </c>
      <c r="C56" s="891">
        <v>11</v>
      </c>
      <c r="D56" s="891"/>
      <c r="E56" s="892">
        <v>30926.619999999995</v>
      </c>
    </row>
    <row r="57">
      <c r="A57" s="889">
        <v>46271</v>
      </c>
      <c r="B57" s="890" t="s">
        <v>1974</v>
      </c>
      <c r="C57" s="893">
        <v>13</v>
      </c>
      <c r="D57" s="893"/>
      <c r="E57" s="894">
        <v>39536.44000000001</v>
      </c>
    </row>
    <row r="58">
      <c r="A58" s="889">
        <v>46271</v>
      </c>
      <c r="B58" s="890" t="s">
        <v>1971</v>
      </c>
      <c r="C58" s="893">
        <v>9</v>
      </c>
      <c r="D58" s="896"/>
      <c r="E58" s="902">
        <v>30994.180000000004</v>
      </c>
    </row>
    <row r="59">
      <c r="A59" s="889">
        <v>46271</v>
      </c>
      <c r="B59" s="895" t="s">
        <v>1969</v>
      </c>
      <c r="C59" s="896">
        <v>19</v>
      </c>
      <c r="D59" s="896"/>
      <c r="E59" s="902">
        <v>63804.52</v>
      </c>
    </row>
    <row r="60">
      <c r="A60" s="889">
        <v>46271</v>
      </c>
      <c r="B60" s="890" t="s">
        <v>1970</v>
      </c>
      <c r="C60" s="896">
        <v>16</v>
      </c>
      <c r="D60" s="896"/>
      <c r="E60" s="897">
        <v>43989.68000000001</v>
      </c>
    </row>
    <row r="61">
      <c r="A61" s="898">
        <v>46271</v>
      </c>
      <c r="B61" s="899" t="s">
        <v>1973</v>
      </c>
      <c r="C61" s="900">
        <f>SUM(C56:C60)</f>
      </c>
      <c r="D61" s="900"/>
      <c r="E61" s="901">
        <f>SUM(E56:E60)</f>
      </c>
    </row>
    <row r="62"/>
    <row r="63"/>
    <row r="64"/>
    <row r="65"/>
    <row r="66"/>
    <row r="67"/>
    <row r="68">
      <c r="D68" s="904"/>
      <c r="E68" s="904" t="s">
        <v>1975</v>
      </c>
    </row>
    <row r="69">
      <c r="D69" s="905"/>
      <c r="E69" s="905">
        <f t="shared" ref="E69:E75" si="0">C69/D68:B66</f>
      </c>
    </row>
    <row r="70">
      <c r="D70" s="905"/>
      <c r="E70" s="905">
        <f t="shared" si="0"/>
      </c>
    </row>
    <row r="71">
      <c r="D71" s="905"/>
      <c r="E71" s="905">
        <f t="shared" si="0"/>
      </c>
    </row>
    <row r="72">
      <c r="D72" s="905"/>
      <c r="E72" s="905">
        <f t="shared" si="0"/>
      </c>
    </row>
    <row r="73">
      <c r="D73" s="905"/>
      <c r="E73" s="905">
        <f t="shared" si="0"/>
      </c>
    </row>
    <row r="74">
      <c r="D74" s="905"/>
      <c r="E74" s="905">
        <f t="shared" si="0"/>
      </c>
    </row>
    <row r="75">
      <c r="D75" s="905"/>
      <c r="E75" s="905">
        <f t="shared" si="0"/>
      </c>
    </row>
    <row r="76"/>
    <row r="77"/>
    <row r="78"/>
    <row r="79"/>
    <row r="80"/>
    <row r="81">
      <c r="D81" s="906"/>
      <c r="E81" s="906"/>
    </row>
    <row r="82">
      <c r="B82" s="907" t="s">
        <v>1965</v>
      </c>
      <c r="C82" s="908" t="s">
        <v>1976</v>
      </c>
      <c r="D82" s="908"/>
      <c r="E82" s="908" t="s">
        <v>1975</v>
      </c>
    </row>
    <row r="83">
      <c r="B83" s="909" t="s">
        <v>1968</v>
      </c>
      <c r="C83" s="910">
        <v>141767.19</v>
      </c>
      <c r="D83" s="911"/>
      <c r="E83" s="911">
        <v>3457.7363414634146</v>
      </c>
    </row>
    <row r="84">
      <c r="B84" s="909" t="s">
        <v>1970</v>
      </c>
      <c r="C84" s="910">
        <v>126616.06999999998</v>
      </c>
      <c r="D84" s="911"/>
      <c r="E84" s="911">
        <v>2693.9589361702124</v>
      </c>
    </row>
    <row r="85">
      <c r="B85" s="909" t="s">
        <v>1969</v>
      </c>
      <c r="C85" s="910">
        <v>154746.69</v>
      </c>
      <c r="D85" s="911"/>
      <c r="E85" s="911">
        <v>3684.445</v>
      </c>
    </row>
    <row r="86">
      <c r="B86" s="909" t="s">
        <v>1971</v>
      </c>
      <c r="C86" s="910">
        <v>167174.8</v>
      </c>
      <c r="D86" s="911"/>
      <c r="E86" s="911">
        <v>3714.9955555555553</v>
      </c>
    </row>
    <row r="87">
      <c r="B87" s="909" t="s">
        <v>1972</v>
      </c>
      <c r="C87" s="910">
        <v>107004.36</v>
      </c>
      <c r="D87" s="911"/>
      <c r="E87" s="911">
        <v>2743.7015384615383</v>
      </c>
    </row>
    <row r="88">
      <c r="B88" s="909" t="s">
        <v>1974</v>
      </c>
      <c r="C88" s="910">
        <v>12818.57</v>
      </c>
      <c r="D88" s="911"/>
      <c r="E88" s="911">
        <v>3204.6425</v>
      </c>
    </row>
    <row r="89">
      <c r="B89" s="909" t="s">
        <v>1977</v>
      </c>
      <c r="C89" s="910">
        <v>710127.68</v>
      </c>
      <c r="D89" s="911"/>
      <c r="E89" s="911">
        <v>3257.466422018349</v>
      </c>
    </row>
    <row r="90"/>
    <row r="91">
      <c r="B91" s="885" t="s">
        <v>1978</v>
      </c>
      <c r="C91" s="888" t="s">
        <v>1967</v>
      </c>
      <c r="D91" s="888"/>
      <c r="E91" s="887" t="s">
        <v>1979</v>
      </c>
    </row>
    <row r="92">
      <c r="A92" s="912"/>
      <c r="B92" s="913">
        <v>46262</v>
      </c>
      <c r="C92" s="914">
        <v>256387.04</v>
      </c>
      <c r="D92" s="914"/>
      <c r="E92" s="905">
        <f t="shared" ref="E92:E101" si="1">C92/D91:B89</f>
      </c>
    </row>
    <row r="93">
      <c r="A93" s="912"/>
      <c r="B93" s="913">
        <v>46263</v>
      </c>
      <c r="C93" s="914">
        <v>155579.62999999998</v>
      </c>
      <c r="D93" s="914"/>
      <c r="E93" s="905">
        <f t="shared" si="1"/>
      </c>
    </row>
    <row r="94">
      <c r="A94" s="912"/>
      <c r="B94" s="913">
        <v>46264</v>
      </c>
      <c r="C94" s="914">
        <v>117491.09</v>
      </c>
      <c r="D94" s="914"/>
      <c r="E94" s="905">
        <f t="shared" si="1"/>
      </c>
    </row>
    <row r="95">
      <c r="A95" s="912"/>
      <c r="B95" s="913">
        <v>46265</v>
      </c>
      <c r="C95" s="914">
        <v>233367.82</v>
      </c>
      <c r="D95" s="914"/>
      <c r="E95" s="905">
        <f t="shared" si="1"/>
      </c>
    </row>
    <row r="96">
      <c r="A96" s="912"/>
      <c r="B96" s="913">
        <v>46266</v>
      </c>
      <c r="C96" s="914">
        <v>253515.61</v>
      </c>
      <c r="D96" s="914"/>
      <c r="E96" s="905">
        <f t="shared" si="1"/>
      </c>
    </row>
    <row r="97">
      <c r="A97" s="912"/>
      <c r="B97" s="913">
        <v>46267</v>
      </c>
      <c r="C97" s="914">
        <v>205060.24</v>
      </c>
      <c r="D97" s="914"/>
      <c r="E97" s="905">
        <f t="shared" si="1"/>
      </c>
    </row>
    <row r="98">
      <c r="A98" s="912"/>
      <c r="B98" s="913">
        <v>46268</v>
      </c>
      <c r="C98" s="914">
        <v>227627.97</v>
      </c>
      <c r="D98" s="914"/>
      <c r="E98" s="905">
        <f t="shared" si="1"/>
      </c>
    </row>
    <row r="99">
      <c r="A99" s="912"/>
      <c r="B99" s="913">
        <v>46269</v>
      </c>
      <c r="C99" s="914">
        <v>226356.25999999998</v>
      </c>
      <c r="D99" s="914"/>
      <c r="E99" s="905">
        <f t="shared" si="1"/>
      </c>
    </row>
    <row r="100">
      <c r="A100" s="912"/>
      <c r="B100" s="913">
        <v>46270</v>
      </c>
      <c r="C100" s="914">
        <v>221210.83</v>
      </c>
      <c r="D100" s="914"/>
      <c r="E100" s="905">
        <f t="shared" si="1"/>
      </c>
    </row>
    <row r="101">
      <c r="A101" s="912"/>
      <c r="B101" s="913">
        <v>46271</v>
      </c>
      <c r="C101" s="914">
        <v>209251.44</v>
      </c>
      <c r="D101" s="914"/>
      <c r="E101" s="905">
        <f t="shared" si="1"/>
      </c>
    </row>
    <row customHeight="true" ht="16.071428571428573" r="102">
      <c r="B102" s="915"/>
      <c r="C102" s="916"/>
      <c r="D102" s="916"/>
      <c r="E102" s="917" t="s">
        <v>1980</v>
      </c>
      <c r="F102" s="917"/>
      <c r="G102" s="917"/>
      <c r="H102" s="917"/>
      <c r="I102" s="918"/>
      <c r="J102" s="918"/>
      <c r="K102" s="918"/>
      <c r="L102" s="918"/>
      <c r="M102" s="918"/>
      <c r="N102" s="918"/>
      <c r="O102" s="918"/>
      <c r="P102" s="918"/>
      <c r="Q102" s="918"/>
      <c r="R102" s="918"/>
      <c r="S102" s="918"/>
      <c r="T102" s="918"/>
      <c r="U102" s="918"/>
      <c r="V102" s="918"/>
      <c r="W102" s="918"/>
      <c r="X102" s="918"/>
      <c r="Y102" s="918"/>
      <c r="Z102" s="918"/>
      <c r="AA102" s="918"/>
      <c r="AB102" s="918"/>
      <c r="AC102" s="918"/>
      <c r="AD102" s="918"/>
      <c r="AE102" s="919"/>
      <c r="AF102" s="919"/>
      <c r="AG102" s="920"/>
    </row>
    <row customHeight="true" ht="16.071428571428573" r="103">
      <c r="B103" s="915"/>
      <c r="C103" s="916"/>
      <c r="D103" s="916"/>
      <c r="E103" s="921" t="s">
        <v>1981</v>
      </c>
      <c r="F103" s="922" t="s">
        <v>1982</v>
      </c>
      <c r="G103" s="923" t="s">
        <v>1983</v>
      </c>
      <c r="H103" s="923"/>
      <c r="I103" s="924"/>
      <c r="J103" s="924"/>
      <c r="K103" s="924"/>
      <c r="L103" s="924"/>
      <c r="M103" s="924"/>
      <c r="N103" s="924"/>
      <c r="O103" s="924"/>
      <c r="P103" s="924"/>
      <c r="Q103" s="924"/>
      <c r="R103" s="924"/>
      <c r="S103" s="924"/>
      <c r="T103" s="925"/>
      <c r="U103" s="925"/>
      <c r="V103" s="925"/>
      <c r="W103" s="925"/>
      <c r="X103" s="925"/>
      <c r="Y103" s="925"/>
      <c r="Z103" s="925"/>
      <c r="AA103" s="925"/>
      <c r="AB103" s="925"/>
      <c r="AC103" s="925"/>
      <c r="AD103" s="925"/>
      <c r="AE103" s="926"/>
      <c r="AF103" s="927"/>
      <c r="AG103" s="920"/>
    </row>
    <row r="104">
      <c r="B104" s="915"/>
      <c r="C104" s="928" t="s">
        <v>1965</v>
      </c>
      <c r="D104" s="929"/>
      <c r="E104" s="930" t="s">
        <v>1984</v>
      </c>
      <c r="F104" s="931" t="s">
        <v>1985</v>
      </c>
      <c r="G104" s="932" t="s">
        <v>1986</v>
      </c>
      <c r="H104" s="923" t="s">
        <v>1987</v>
      </c>
      <c r="I104" s="933"/>
      <c r="J104" s="934"/>
      <c r="K104" s="935"/>
      <c r="L104" s="934"/>
      <c r="M104" s="934"/>
      <c r="N104" s="936"/>
      <c r="O104" s="934"/>
      <c r="P104" s="937"/>
      <c r="Q104" s="937"/>
      <c r="R104" s="936"/>
      <c r="S104" s="936"/>
      <c r="T104" s="925"/>
      <c r="U104" s="925"/>
      <c r="V104" s="925"/>
      <c r="W104" s="925"/>
      <c r="X104" s="938"/>
      <c r="Y104" s="938"/>
      <c r="Z104" s="925"/>
      <c r="AA104" s="925"/>
      <c r="AB104" s="925"/>
      <c r="AC104" s="925"/>
      <c r="AD104" s="925"/>
      <c r="AE104" s="926"/>
      <c r="AF104" s="927"/>
      <c r="AG104" s="920"/>
    </row>
    <row r="105">
      <c r="B105" s="939" t="s">
        <v>1988</v>
      </c>
      <c r="C105" s="940" t="s">
        <v>1972</v>
      </c>
      <c r="D105" s="941"/>
      <c r="E105" s="942">
        <v>967.0999999999999</v>
      </c>
      <c r="F105" s="943">
        <v>1</v>
      </c>
      <c r="G105" s="944">
        <v>3815.96</v>
      </c>
      <c r="H105" s="945">
        <f t="shared" ref="H105:H122" si="5">H105:G105/F105:E105</f>
      </c>
    </row>
    <row r="106">
      <c r="B106" s="939" t="s">
        <v>1989</v>
      </c>
      <c r="C106" s="940" t="s">
        <v>1972</v>
      </c>
      <c r="D106" s="941"/>
      <c r="E106" s="942">
        <v>460.17</v>
      </c>
      <c r="F106" s="943">
        <v>1</v>
      </c>
      <c r="G106" s="944">
        <v>3108.109999999986</v>
      </c>
      <c r="H106" s="945">
        <f t="shared" si="5"/>
      </c>
    </row>
    <row r="107">
      <c r="B107" s="939" t="s">
        <v>1990</v>
      </c>
      <c r="C107" s="940" t="s">
        <v>1971</v>
      </c>
      <c r="D107" s="941"/>
      <c r="E107" s="942">
        <v>1128.8</v>
      </c>
      <c r="F107" s="943">
        <v>4</v>
      </c>
      <c r="G107" s="944">
        <v>7972.969999999972</v>
      </c>
      <c r="H107" s="945">
        <f t="shared" si="5"/>
      </c>
    </row>
    <row r="108">
      <c r="B108" s="939"/>
      <c r="C108" s="940" t="s">
        <v>1971</v>
      </c>
      <c r="D108" s="941"/>
      <c r="E108" s="942">
        <v>562.09</v>
      </c>
      <c r="F108" s="943">
        <v>0</v>
      </c>
      <c r="G108" s="944">
        <v>0</v>
      </c>
      <c r="H108" s="945">
        <f t="shared" si="5"/>
      </c>
    </row>
    <row r="109">
      <c r="B109" s="939" t="s">
        <v>1991</v>
      </c>
      <c r="C109" s="940" t="s">
        <v>1970</v>
      </c>
      <c r="D109" s="941"/>
      <c r="E109" s="942">
        <v>830.89</v>
      </c>
      <c r="F109" s="943">
        <v>1</v>
      </c>
      <c r="G109" s="944">
        <v>3815.960000000021</v>
      </c>
      <c r="H109" s="945">
        <f t="shared" si="5"/>
      </c>
    </row>
    <row r="110">
      <c r="B110" s="939"/>
      <c r="C110" s="940" t="s">
        <v>1970</v>
      </c>
      <c r="D110" s="941"/>
      <c r="E110" s="942">
        <v>369.63</v>
      </c>
      <c r="F110" s="943">
        <v>0</v>
      </c>
      <c r="G110" s="944">
        <v>0</v>
      </c>
      <c r="H110" s="945">
        <f t="shared" si="5"/>
      </c>
    </row>
    <row r="111">
      <c r="B111" s="939" t="s">
        <v>1992</v>
      </c>
      <c r="C111" s="940" t="s">
        <v>1970</v>
      </c>
      <c r="D111" s="941"/>
      <c r="E111" s="942">
        <v>783.37</v>
      </c>
      <c r="F111" s="943">
        <v>0</v>
      </c>
      <c r="G111" s="944">
        <v>0</v>
      </c>
      <c r="H111" s="945">
        <f t="shared" si="5"/>
      </c>
    </row>
    <row r="112">
      <c r="B112" s="939"/>
      <c r="C112" s="940" t="s">
        <v>1970</v>
      </c>
      <c r="D112" s="941"/>
      <c r="E112" s="942">
        <v>287.37</v>
      </c>
      <c r="F112" s="943">
        <v>1</v>
      </c>
      <c r="G112" s="944">
        <v>2548.2600000000093</v>
      </c>
      <c r="H112" s="945">
        <f t="shared" si="5"/>
      </c>
    </row>
    <row r="113">
      <c r="B113" s="939" t="s">
        <v>1993</v>
      </c>
      <c r="C113" s="940" t="s">
        <v>1968</v>
      </c>
      <c r="D113" s="941"/>
      <c r="E113" s="942">
        <v>675.61</v>
      </c>
      <c r="F113" s="943">
        <v>0</v>
      </c>
      <c r="G113" s="944">
        <v>0</v>
      </c>
      <c r="H113" s="945">
        <f t="shared" si="5"/>
      </c>
    </row>
    <row r="114">
      <c r="B114" s="939"/>
      <c r="C114" s="940" t="s">
        <v>1968</v>
      </c>
      <c r="D114" s="941"/>
      <c r="E114" s="942">
        <v>340.26</v>
      </c>
      <c r="F114" s="943">
        <v>0</v>
      </c>
      <c r="G114" s="944">
        <v>0</v>
      </c>
      <c r="H114" s="945">
        <f t="shared" si="5"/>
      </c>
    </row>
    <row r="115">
      <c r="B115" s="939" t="s">
        <v>1994</v>
      </c>
      <c r="C115" s="940" t="s">
        <v>1970</v>
      </c>
      <c r="D115" s="941"/>
      <c r="E115" s="942">
        <v>1245.66</v>
      </c>
      <c r="F115" s="943">
        <v>5</v>
      </c>
      <c r="G115" s="944">
        <v>12200.76999999999</v>
      </c>
      <c r="H115" s="945">
        <f t="shared" si="5"/>
      </c>
    </row>
    <row r="116">
      <c r="B116" s="939"/>
      <c r="C116" s="940" t="s">
        <v>1970</v>
      </c>
      <c r="D116" s="941"/>
      <c r="E116" s="942">
        <v>491.53</v>
      </c>
      <c r="F116" s="943">
        <v>0</v>
      </c>
      <c r="G116" s="944">
        <v>0</v>
      </c>
      <c r="H116" s="945">
        <f t="shared" si="5"/>
      </c>
    </row>
    <row r="117">
      <c r="B117" s="939" t="s">
        <v>1995</v>
      </c>
      <c r="C117" s="940" t="s">
        <v>1972</v>
      </c>
      <c r="D117" s="941"/>
      <c r="E117" s="942">
        <v>1054.26</v>
      </c>
      <c r="F117" s="943">
        <v>2</v>
      </c>
      <c r="G117" s="944">
        <v>3429.859999999986</v>
      </c>
      <c r="H117" s="945">
        <f t="shared" si="5"/>
      </c>
    </row>
    <row r="118">
      <c r="B118" s="939"/>
      <c r="C118" s="940" t="s">
        <v>1972</v>
      </c>
      <c r="D118" s="941"/>
      <c r="E118" s="942">
        <v>379.78</v>
      </c>
      <c r="F118" s="943">
        <v>1</v>
      </c>
      <c r="G118" s="944">
        <v>2548.2600000000093</v>
      </c>
      <c r="H118" s="945">
        <f t="shared" si="5"/>
      </c>
    </row>
    <row r="119">
      <c r="B119" s="939" t="s">
        <v>1996</v>
      </c>
      <c r="C119" s="940" t="s">
        <v>1972</v>
      </c>
      <c r="D119" s="941"/>
      <c r="E119" s="942">
        <v>1062.06</v>
      </c>
      <c r="F119" s="943">
        <v>4</v>
      </c>
      <c r="G119" s="944">
        <v>8169.760000000009</v>
      </c>
      <c r="H119" s="945">
        <f t="shared" si="5"/>
      </c>
    </row>
    <row r="120">
      <c r="B120" s="939"/>
      <c r="C120" s="940" t="s">
        <v>1972</v>
      </c>
      <c r="D120" s="941"/>
      <c r="E120" s="942">
        <v>338.87</v>
      </c>
      <c r="F120" s="943">
        <v>0</v>
      </c>
      <c r="G120" s="944">
        <v>0</v>
      </c>
      <c r="H120" s="945">
        <f t="shared" si="5"/>
      </c>
    </row>
    <row r="121">
      <c r="B121" s="939" t="s">
        <v>1997</v>
      </c>
      <c r="C121" s="940" t="s">
        <v>1970</v>
      </c>
      <c r="D121" s="941"/>
      <c r="E121" s="942">
        <v>1317.9</v>
      </c>
      <c r="F121" s="943">
        <v>0</v>
      </c>
      <c r="G121" s="944">
        <v>0</v>
      </c>
      <c r="H121" s="945">
        <f t="shared" si="5"/>
      </c>
    </row>
    <row r="122">
      <c r="B122" s="939"/>
      <c r="C122" s="940" t="s">
        <v>1970</v>
      </c>
      <c r="D122" s="941"/>
      <c r="E122" s="942">
        <v>506.27</v>
      </c>
      <c r="F122" s="943">
        <v>3</v>
      </c>
      <c r="G122" s="944">
        <v>7091.370000000024</v>
      </c>
      <c r="H122" s="945">
        <f t="shared" si="5"/>
      </c>
    </row>
    <row r="123"/>
    <row r="124"/>
    <row r="125"/>
    <row r="126"/>
    <row r="127"/>
    <row r="128"/>
    <row r="129"/>
    <row r="130"/>
    <row r="131"/>
    <row r="132"/>
    <row r="133"/>
    <row r="134"/>
    <row r="135"/>
    <row r="136">
      <c r="B136" s="915"/>
      <c r="C136" s="928" t="s">
        <v>1965</v>
      </c>
      <c r="D136" s="946" t="s">
        <v>1998</v>
      </c>
      <c r="E136" s="930" t="s">
        <v>1984</v>
      </c>
      <c r="F136" s="931" t="s">
        <v>1985</v>
      </c>
      <c r="G136" s="932" t="s">
        <v>1986</v>
      </c>
      <c r="H136" s="947" t="s">
        <v>1979</v>
      </c>
      <c r="I136" s="947" t="s">
        <v>1975</v>
      </c>
    </row>
    <row r="137">
      <c r="B137" s="939" t="s">
        <v>1988</v>
      </c>
      <c r="C137" s="940" t="s">
        <v>1972</v>
      </c>
      <c r="D137" s="948">
        <v>1</v>
      </c>
      <c r="E137" s="942">
        <v>967.0999999999999</v>
      </c>
      <c r="F137" s="943">
        <v>1</v>
      </c>
      <c r="G137" s="944">
        <v>3815.96</v>
      </c>
      <c r="H137" s="911">
        <f t="shared" ref="H137:H146" si="2">G137/E137</f>
      </c>
      <c r="I137" s="911">
        <f t="shared" ref="I137:I146" si="6">E137/D137</f>
      </c>
    </row>
    <row r="138">
      <c r="B138" s="939" t="s">
        <v>1989</v>
      </c>
      <c r="C138" s="940" t="s">
        <v>1972</v>
      </c>
      <c r="D138" s="948">
        <v>1</v>
      </c>
      <c r="E138" s="942">
        <v>460.17</v>
      </c>
      <c r="F138" s="943">
        <v>1</v>
      </c>
      <c r="G138" s="944">
        <v>3108.109999999986</v>
      </c>
      <c r="H138" s="911">
        <f t="shared" si="2"/>
      </c>
      <c r="I138" s="911">
        <f t="shared" si="6"/>
      </c>
    </row>
    <row customHeight="true" ht="18.452380952380953" r="139">
      <c r="B139" s="949" t="s">
        <v>1990</v>
      </c>
      <c r="C139" s="950" t="s">
        <v>1971</v>
      </c>
      <c r="D139" s="948">
        <v>2</v>
      </c>
      <c r="E139" s="948">
        <v>1690.89</v>
      </c>
      <c r="F139" s="951">
        <v>4</v>
      </c>
      <c r="G139" s="944">
        <v>7972.969999999972</v>
      </c>
      <c r="H139" s="911">
        <f t="shared" si="2"/>
      </c>
      <c r="I139" s="911">
        <f t="shared" si="6"/>
      </c>
    </row>
    <row customHeight="true" ht="18.452380952380953" r="140">
      <c r="B140" s="939" t="s">
        <v>1991</v>
      </c>
      <c r="C140" s="940" t="s">
        <v>1970</v>
      </c>
      <c r="D140" s="948">
        <v>2</v>
      </c>
      <c r="E140" s="948">
        <v>1200.52</v>
      </c>
      <c r="F140" s="948">
        <v>1</v>
      </c>
      <c r="G140" s="948">
        <v>3815.96</v>
      </c>
      <c r="H140" s="911">
        <f t="shared" si="2"/>
      </c>
      <c r="I140" s="911">
        <f t="shared" si="6"/>
      </c>
    </row>
    <row customHeight="true" ht="18.452380952380953" r="141">
      <c r="B141" s="939" t="s">
        <v>1992</v>
      </c>
      <c r="C141" s="940" t="s">
        <v>1970</v>
      </c>
      <c r="D141" s="948">
        <v>2</v>
      </c>
      <c r="E141" s="942">
        <v>1070.74</v>
      </c>
      <c r="F141" s="951">
        <v>1</v>
      </c>
      <c r="G141" s="944">
        <v>2548.26</v>
      </c>
      <c r="H141" s="911">
        <f t="shared" si="2"/>
      </c>
      <c r="I141" s="911">
        <f t="shared" si="6"/>
      </c>
    </row>
    <row customHeight="true" ht="18.452380952380953" r="142">
      <c r="B142" s="939" t="s">
        <v>1993</v>
      </c>
      <c r="C142" s="940" t="s">
        <v>1968</v>
      </c>
      <c r="D142" s="948">
        <v>2</v>
      </c>
      <c r="E142" s="942">
        <v>1015.87</v>
      </c>
      <c r="F142" s="951">
        <v>0</v>
      </c>
      <c r="G142" s="952">
        <v>0</v>
      </c>
      <c r="H142" s="911">
        <f t="shared" si="2"/>
      </c>
      <c r="I142" s="911">
        <f t="shared" si="6"/>
      </c>
    </row>
    <row customHeight="true" ht="18.452380952380953" r="143">
      <c r="B143" s="939" t="s">
        <v>1994</v>
      </c>
      <c r="C143" s="940" t="s">
        <v>1970</v>
      </c>
      <c r="D143" s="948">
        <v>2</v>
      </c>
      <c r="E143" s="942">
        <v>1737.19</v>
      </c>
      <c r="F143" s="951">
        <v>5</v>
      </c>
      <c r="G143" s="944">
        <v>12200.76999999999</v>
      </c>
      <c r="H143" s="911">
        <f t="shared" si="2"/>
      </c>
      <c r="I143" s="911">
        <f t="shared" si="6"/>
      </c>
    </row>
    <row customHeight="true" ht="18.452380952380953" r="144">
      <c r="B144" s="939" t="s">
        <v>1995</v>
      </c>
      <c r="C144" s="940" t="s">
        <v>1972</v>
      </c>
      <c r="D144" s="948">
        <v>2</v>
      </c>
      <c r="E144" s="942">
        <v>1434.04</v>
      </c>
      <c r="F144" s="951">
        <v>3</v>
      </c>
      <c r="G144" s="944">
        <v>5978.12</v>
      </c>
      <c r="H144" s="911">
        <f t="shared" si="2"/>
      </c>
      <c r="I144" s="911">
        <f t="shared" si="6"/>
      </c>
    </row>
    <row customHeight="true" ht="18.452380952380953" r="145">
      <c r="B145" s="939" t="s">
        <v>1996</v>
      </c>
      <c r="C145" s="940" t="s">
        <v>1972</v>
      </c>
      <c r="D145" s="948">
        <v>2</v>
      </c>
      <c r="E145" s="942">
        <v>1400.93</v>
      </c>
      <c r="F145" s="951">
        <v>4</v>
      </c>
      <c r="G145" s="944">
        <v>8169.760000000009</v>
      </c>
      <c r="H145" s="911">
        <f t="shared" si="2"/>
      </c>
      <c r="I145" s="911">
        <f t="shared" si="6"/>
      </c>
    </row>
    <row customHeight="true" ht="18.452380952380953" r="146">
      <c r="B146" s="939" t="s">
        <v>1997</v>
      </c>
      <c r="C146" s="940" t="s">
        <v>1970</v>
      </c>
      <c r="D146" s="948">
        <v>2</v>
      </c>
      <c r="E146" s="942">
        <v>1824.17</v>
      </c>
      <c r="F146" s="951">
        <v>3</v>
      </c>
      <c r="G146" s="944">
        <v>7091.370000000024</v>
      </c>
      <c r="H146" s="911">
        <f t="shared" si="2"/>
      </c>
      <c r="I146" s="911">
        <f t="shared" si="6"/>
      </c>
    </row>
    <row r="147"/>
    <row r="148"/>
    <row r="149"/>
    <row r="150"/>
    <row r="151"/>
    <row r="152"/>
    <row r="153">
      <c r="E153" s="953" t="s">
        <v>1979</v>
      </c>
      <c r="F153" s="953" t="s">
        <v>1975</v>
      </c>
    </row>
    <row r="154">
      <c r="E154" s="905">
        <f t="shared" ref="E154:E157" si="3">D153:B151/D154</f>
      </c>
      <c r="F154" s="905">
        <f t="shared" ref="F154:F157" si="4">D154/C154</f>
      </c>
    </row>
    <row r="155">
      <c r="E155" s="905">
        <f t="shared" si="3"/>
      </c>
      <c r="F155" s="905">
        <f t="shared" si="4"/>
      </c>
    </row>
    <row r="156">
      <c r="E156" s="905">
        <f t="shared" si="3"/>
      </c>
      <c r="F156" s="905">
        <f t="shared" si="4"/>
      </c>
    </row>
    <row r="157">
      <c r="E157" s="905">
        <f t="shared" si="3"/>
      </c>
      <c r="F157" s="905">
        <f t="shared" si="4"/>
      </c>
    </row>
    <row hidden="true" r="158">
      <c r="E158" s="905"/>
      <c r="F158" s="905"/>
    </row>
    <row r="159">
      <c r="E159" s="905">
        <f>D158:B156/D159</f>
      </c>
      <c r="F159" s="905">
        <f>D159/E159</f>
      </c>
    </row>
  </sheetData>
  <autoFilter ref="B136:G146"/>
  <mergeCells>
    <mergeCell ref="B107:B108"/>
    <mergeCell ref="B109:B110"/>
    <mergeCell ref="B111:B112"/>
    <mergeCell ref="B113:B114"/>
    <mergeCell ref="B115:B116"/>
    <mergeCell ref="B117:B118"/>
    <mergeCell ref="B119:B120"/>
    <mergeCell ref="B121:B122"/>
    <mergeCell ref="I102:R102"/>
    <mergeCell ref="T102:AD102"/>
    <mergeCell ref="AE102:AF102"/>
    <mergeCell ref="AG102:AG103"/>
    <mergeCell ref="I103:R103"/>
    <mergeCell ref="T103:AD103"/>
    <mergeCell ref="C102:C103"/>
    <mergeCell ref="E102:H102"/>
    <mergeCell ref="G103:H10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