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2026.6" sheetId="2" r:id="rId5"/>
    <sheet name="2026.7" sheetId="3" r:id="rId6"/>
    <sheet name="2026.8" sheetId="4" r:id="rId7"/>
    <sheet name="2026.9" sheetId="5" r:id="rId8"/>
    <sheet name="2026.10" sheetId="6" r:id="rId9"/>
    <sheet name="Sheet6" sheetId="7" r:id="rId10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<sst xmlns="http://schemas.openxmlformats.org/spreadsheetml/2006/main" count="280" uniqueCount="280">
  <si>
    <t xml:space="preserve">  </t>
  </si>
  <si>
    <t xml:space="preserve">基础信息</t>
  </si>
  <si>
    <t xml:space="preserve">业务数据</t>
  </si>
  <si>
    <t xml:space="preserve">过程指标</t>
  </si>
  <si>
    <t xml:space="preserve">基础数据不做展示</t>
  </si>
  <si>
    <t xml:space="preserve">日期</t>
  </si>
  <si>
    <t xml:space="preserve">主播</t>
  </si>
  <si>
    <t xml:space="preserve">时间段</t>
  </si>
  <si>
    <t xml:space="preserve">总消耗</t>
  </si>
  <si>
    <t xml:space="preserve">直投消耗</t>
  </si>
  <si>
    <t xml:space="preserve">素材消耗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</si>
  <si>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</si>
  <si>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</si>
  <si>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</si>
  <si>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</si>
  <si>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</si>
  <si>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外层点击率</t>
  </si>
  <si>
    <t xml:space="preserve">保单转化率</t>
  </si>
  <si>
    <t xml:space="preserve">千元互动比</t>
  </si>
  <si>
    <t xml:space="preserve">在投投手</t>
  </si>
  <si>
    <t xml:space="preserve">本场场控</t>
  </si>
  <si>
    <t xml:space="preserve">展示数</t>
  </si>
  <si>
    <t xml:space="preserve">点击数</t>
  </si>
  <si>
    <t xml:space="preserve">后台订单提交数</t>
  </si>
  <si>
    <t xml:space="preserve">有效评论</t>
  </si>
  <si>
    <t xml:space="preserve">2026.6.9</t>
  </si>
  <si>
    <t xml:space="preserve">王忆琳</t>
  </si>
  <si>
    <t xml:space="preserve">18:00-19:00</t>
  </si>
  <si>
    <t xml:space="preserve">邵二波</t>
  </si>
  <si>
    <t xml:space="preserve">何彩樱</t>
  </si>
  <si>
    <t xml:space="preserve">19:00-20:00</t>
  </si>
  <si>
    <t xml:space="preserve">20:00-21:00</t>
  </si>
  <si>
    <t xml:space="preserve">分主播汇总</t>
  </si>
  <si>
    <t xml:space="preserve">陈梓栩</t>
  </si>
  <si>
    <t xml:space="preserve">21:00-22:00</t>
  </si>
  <si>
    <t xml:space="preserve">22:00-23:00</t>
  </si>
  <si>
    <t xml:space="preserve">总计</t>
  </si>
  <si>
    <t xml:space="preserve">基础数据</t>
  </si>
  <si>
    <t xml:space="preserve">混投消耗</t>
  </si>
  <si>
    <t xml:space="preserve">未支付提交数</t>
  </si>
  <si>
    <t xml:space="preserve">2026.6.11</t>
  </si>
  <si>
    <t xml:space="preserve">06:00-07:00</t>
  </si>
  <si>
    <t xml:space="preserve">董柯言</t>
  </si>
  <si>
    <t xml:space="preserve">07:00-08:00</t>
  </si>
  <si>
    <t xml:space="preserve">08:00-09:00</t>
  </si>
  <si>
    <t xml:space="preserve">09:00-10:00</t>
  </si>
  <si>
    <t xml:space="preserve">10:00-11:00</t>
  </si>
  <si>
    <t xml:space="preserve">11:00-12:00</t>
  </si>
  <si>
    <t xml:space="preserve">2026.6.12</t>
  </si>
  <si>
    <t xml:space="preserve">2026.6.13</t>
  </si>
  <si>
    <t xml:space="preserve">王思佳</t>
  </si>
  <si>
    <t xml:space="preserve">2026.6.14</t>
  </si>
  <si>
    <t xml:space="preserve">12:00-13:00</t>
  </si>
  <si>
    <t xml:space="preserve">2026.6.15</t>
  </si>
  <si>
    <t xml:space="preserve">魏迪</t>
  </si>
  <si>
    <t xml:space="preserve">核保失败数</t>
  </si>
  <si>
    <t xml:space="preserve">2026.6.19</t>
  </si>
  <si>
    <t xml:space="preserve">卢林琰</t>
  </si>
  <si>
    <t xml:space="preserve">2026.6.20</t>
  </si>
  <si>
    <t xml:space="preserve">2026.6.21</t>
  </si>
  <si>
    <t xml:space="preserve">2026.6.22</t>
  </si>
  <si>
    <t xml:space="preserve">2026.6.23</t>
  </si>
  <si>
    <t xml:space="preserve">MM-泰康全能百万代播-直投户-户1</t>
  </si>
  <si>
    <t xml:space="preserve">1864962015883276</t>
  </si>
  <si>
    <t xml:space="preserve">MM-泰康全能百万代播-视频户-户2</t>
  </si>
  <si>
    <t xml:space="preserve">1864962014940172</t>
  </si>
  <si>
    <t xml:space="preserve">MM-泰康全能百万代播-混投户-户3</t>
  </si>
  <si>
    <t xml:space="preserve">1864962016771072</t>
  </si>
  <si>
    <t xml:space="preserve">基础信息</t>
  </si>
  <si>
    <t xml:space="preserve">业务数据</t>
  </si>
  <si>
    <t xml:space="preserve">过程指标</t>
  </si>
  <si>
    <t xml:space="preserve">基础数据</t>
  </si>
  <si>
    <t xml:space="preserve">日期</t>
  </si>
  <si>
    <t xml:space="preserve">主播</t>
  </si>
  <si>
    <t xml:space="preserve">时间段</t>
  </si>
  <si>
    <t xml:space="preserve">总消耗</t>
  </si>
  <si>
    <t xml:space="preserve">直投消耗</t>
  </si>
  <si>
    <t xml:space="preserve">素材消耗</t>
  </si>
  <si>
    <t xml:space="preserve">混投消耗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</si>
  <si>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</si>
  <si>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</si>
  <si>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</si>
  <si>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</si>
  <si>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</si>
  <si>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外层点击率</t>
  </si>
  <si>
    <t xml:space="preserve">保单转化率</t>
  </si>
  <si>
    <t xml:space="preserve">千元互动比</t>
  </si>
  <si>
    <t xml:space="preserve">在投投手</t>
  </si>
  <si>
    <t xml:space="preserve">本场场控</t>
  </si>
  <si>
    <t xml:space="preserve">展示数</t>
  </si>
  <si>
    <t xml:space="preserve">点击数</t>
  </si>
  <si>
    <t xml:space="preserve">未支付提交数</t>
  </si>
  <si>
    <t xml:space="preserve">核保失败数</t>
  </si>
  <si>
    <t xml:space="preserve">有效评论</t>
  </si>
  <si>
    <t xml:space="preserve">2026.7.17</t>
  </si>
  <si>
    <t xml:space="preserve">高晓丽</t>
  </si>
  <si>
    <t xml:space="preserve">19:00-20:00</t>
  </si>
  <si>
    <t xml:space="preserve">邵二波</t>
  </si>
  <si>
    <t xml:space="preserve">罗丽洋</t>
  </si>
  <si>
    <t xml:space="preserve">分主播汇总</t>
  </si>
  <si>
    <t xml:space="preserve">总计</t>
  </si>
  <si>
    <t xml:space="preserve">基础信息</t>
  </si>
  <si>
    <t xml:space="preserve">业务数据</t>
  </si>
  <si>
    <t xml:space="preserve">过程指标</t>
  </si>
  <si>
    <t xml:space="preserve">基础数据</t>
  </si>
  <si>
    <t xml:space="preserve">日期</t>
  </si>
  <si>
    <t xml:space="preserve">主播</t>
  </si>
  <si>
    <t xml:space="preserve">时间段</t>
  </si>
  <si>
    <t xml:space="preserve">总消耗</t>
  </si>
  <si>
    <t xml:space="preserve">直投消耗</t>
  </si>
  <si>
    <t xml:space="preserve">素材消耗</t>
  </si>
  <si>
    <t xml:space="preserve">混投消耗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</si>
  <si>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</si>
  <si>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</si>
  <si>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</si>
  <si>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</si>
  <si>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</si>
  <si>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外层点击率</t>
  </si>
  <si>
    <t xml:space="preserve">保单转化率</t>
  </si>
  <si>
    <t xml:space="preserve">千元互动比</t>
  </si>
  <si>
    <t xml:space="preserve">在投投手</t>
  </si>
  <si>
    <t xml:space="preserve">本场场控</t>
  </si>
  <si>
    <t xml:space="preserve">展示数</t>
  </si>
  <si>
    <t xml:space="preserve">点击数</t>
  </si>
  <si>
    <t xml:space="preserve">未支付提交数</t>
  </si>
  <si>
    <t xml:space="preserve">核保失败数</t>
  </si>
  <si>
    <t xml:space="preserve">有效评论</t>
  </si>
  <si>
    <t xml:space="preserve">王恬</t>
  </si>
  <si>
    <t xml:space="preserve">19:00-20:00</t>
  </si>
  <si>
    <t xml:space="preserve">赖法彬</t>
  </si>
  <si>
    <t xml:space="preserve">罗丽洋</t>
  </si>
  <si>
    <t xml:space="preserve">分主播汇总</t>
  </si>
  <si>
    <t xml:space="preserve">总计</t>
  </si>
  <si>
    <t xml:space="preserve">何雅源</t>
  </si>
  <si>
    <t xml:space="preserve">18:00-19:00</t>
  </si>
  <si>
    <t xml:space="preserve">李子健</t>
  </si>
  <si>
    <t xml:space="preserve">20:00-21:00</t>
  </si>
  <si>
    <t xml:space="preserve">刘梦</t>
  </si>
  <si>
    <t xml:space="preserve">21:00-22:00</t>
  </si>
  <si>
    <t xml:space="preserve">22:00-22:30</t>
  </si>
  <si>
    <t xml:space="preserve">22:00-23:00</t>
  </si>
  <si>
    <t xml:space="preserve">23:00-24:00</t>
  </si>
  <si>
    <t xml:space="preserve">24:00-01:00</t>
  </si>
  <si>
    <t xml:space="preserve">23:00-23:30</t>
  </si>
  <si>
    <t xml:space="preserve">张滋怡</t>
  </si>
  <si>
    <t xml:space="preserve">张怡棣</t>
  </si>
  <si>
    <t xml:space="preserve">李凯丽</t>
  </si>
  <si>
    <t xml:space="preserve">曹颖慧</t>
  </si>
  <si>
    <t xml:space="preserve">基础信息</t>
  </si>
  <si>
    <t xml:space="preserve">业务数据</t>
  </si>
  <si>
    <t xml:space="preserve">过程指标</t>
  </si>
  <si>
    <t xml:space="preserve">基础数据</t>
  </si>
  <si>
    <t xml:space="preserve">日期</t>
  </si>
  <si>
    <t xml:space="preserve">主播</t>
  </si>
  <si>
    <t xml:space="preserve">时间段</t>
  </si>
  <si>
    <t xml:space="preserve">总消耗</t>
  </si>
  <si>
    <t xml:space="preserve">直投消耗</t>
  </si>
  <si>
    <t xml:space="preserve">素材消耗</t>
  </si>
  <si>
    <t xml:space="preserve">混投消耗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</si>
  <si>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</si>
  <si>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</si>
  <si>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</si>
  <si>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</si>
  <si>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</si>
  <si>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外层点击率</t>
  </si>
  <si>
    <t xml:space="preserve">保单转化率</t>
  </si>
  <si>
    <t xml:space="preserve">千元互动比</t>
  </si>
  <si>
    <t xml:space="preserve">在投投手</t>
  </si>
  <si>
    <t xml:space="preserve">本场场控</t>
  </si>
  <si>
    <t xml:space="preserve">展示数</t>
  </si>
  <si>
    <t xml:space="preserve">点击数</t>
  </si>
  <si>
    <t xml:space="preserve">未支付提交数</t>
  </si>
  <si>
    <t xml:space="preserve">核保失败数</t>
  </si>
  <si>
    <t xml:space="preserve">有效评论</t>
  </si>
  <si>
    <t xml:space="preserve">何雅源</t>
  </si>
  <si>
    <t xml:space="preserve">18:00-19:00</t>
  </si>
  <si>
    <t xml:space="preserve">赖法彬</t>
  </si>
  <si>
    <t xml:space="preserve">曹颖慧</t>
  </si>
  <si>
    <t xml:space="preserve">19:00-20:00</t>
  </si>
  <si>
    <t xml:space="preserve">20:00-21:00</t>
  </si>
  <si>
    <t xml:space="preserve">21:00-22:00</t>
  </si>
  <si>
    <t xml:space="preserve">分主播汇总</t>
  </si>
  <si>
    <t xml:space="preserve">刘梦</t>
  </si>
  <si>
    <t xml:space="preserve">22:00-23:00</t>
  </si>
  <si>
    <t xml:space="preserve">23:00-24:00</t>
  </si>
  <si>
    <t xml:space="preserve">总计</t>
  </si>
  <si>
    <t xml:space="preserve">李子健</t>
  </si>
  <si>
    <t xml:space="preserve">张滋怡 </t>
  </si>
  <si>
    <t xml:space="preserve">17:00-18:00</t>
  </si>
  <si>
    <t xml:space="preserve">武周帅</t>
  </si>
  <si>
    <t xml:space="preserve">孟璐瑶</t>
  </si>
  <si>
    <t xml:space="preserve">23:00-23:30</t>
  </si>
  <si>
    <t xml:space="preserve">李凯丽</t>
  </si>
  <si>
    <t xml:space="preserve">24:00-01:00</t>
  </si>
  <si>
    <t xml:space="preserve">董柯言</t>
  </si>
  <si>
    <t xml:space="preserve">19:00-19:30</t>
  </si>
  <si>
    <t xml:space="preserve">19:30-20:00</t>
  </si>
  <si>
    <t xml:space="preserve">王笑荣</t>
  </si>
  <si>
    <t xml:space="preserve">核对消耗</t>
  </si>
  <si>
    <t xml:space="preserve">上小时保费</t>
  </si>
  <si>
    <t xml:space="preserve">总保费</t>
  </si>
  <si>
    <t xml:space="preserve">凌晨</t>
  </si>
  <si>
    <t xml:space="preserve">消耗减去这个</t>
  </si>
  <si>
    <t xml:space="preserve">延播成交</t>
  </si>
  <si>
    <t xml:space="preserve">今日成交（减去昨日延播成交）</t>
  </si>
  <si>
    <t xml:space="preserve">基础信息</t>
  </si>
  <si>
    <t xml:space="preserve">业务数据</t>
  </si>
  <si>
    <t xml:space="preserve">过程指标</t>
  </si>
  <si>
    <t xml:space="preserve">基础数据</t>
  </si>
  <si>
    <t xml:space="preserve">日期</t>
  </si>
  <si>
    <t xml:space="preserve">主播</t>
  </si>
  <si>
    <t xml:space="preserve">时间段</t>
  </si>
  <si>
    <t xml:space="preserve">总消耗</t>
  </si>
  <si>
    <t xml:space="preserve">直投消耗</t>
  </si>
  <si>
    <t xml:space="preserve">素材消耗</t>
  </si>
  <si>
    <t xml:space="preserve">混投消耗</t>
  </si>
  <si>
    <t xml:space="preserve">成交单量</t>
  </si>
  <si>
    <t xml:space="preserve">年化保费</t>
  </si>
  <si>
    <t xml:space="preserve">ROI</t>
  </si>
  <si>
    <t xml:space="preserve">保单成本</t>
  </si>
  <si>
    <t xml:space="preserve">件均</t>
  </si>
  <si>
    <t xml:space="preserve">外层点击率</t>
  </si>
  <si>
    <t xml:space="preserve">保单转化率</t>
  </si>
  <si>
    <t xml:space="preserve">千元互动比</t>
  </si>
  <si>
    <t xml:space="preserve">在投投手</t>
  </si>
  <si>
    <t xml:space="preserve">本场场控</t>
  </si>
  <si>
    <t xml:space="preserve">展示数</t>
  </si>
  <si>
    <t xml:space="preserve">点击数</t>
  </si>
  <si>
    <t xml:space="preserve">未支付提交数</t>
  </si>
  <si>
    <t xml:space="preserve">核保失败数</t>
  </si>
  <si>
    <t xml:space="preserve">有效评论</t>
  </si>
  <si>
    <t xml:space="preserve">王笑荣</t>
  </si>
  <si>
    <t xml:space="preserve">19:00-20:00</t>
  </si>
  <si>
    <t xml:space="preserve">张德华</t>
  </si>
  <si>
    <t xml:space="preserve">李子健</t>
  </si>
  <si>
    <t xml:space="preserve">20:00-21:00</t>
  </si>
  <si>
    <t xml:space="preserve">21:00-22:00</t>
  </si>
  <si>
    <t xml:space="preserve">22:00-23:00</t>
  </si>
  <si>
    <t xml:space="preserve">23:00-24:00</t>
  </si>
  <si>
    <t xml:space="preserve">分主播汇总</t>
  </si>
  <si>
    <t xml:space="preserve">总计</t>
  </si>
  <si>
    <t xml:space="preserve">李佳怡</t>
  </si>
  <si>
    <t xml:space="preserve">12:00-13:00</t>
  </si>
  <si>
    <t xml:space="preserve">13:00-14:00</t>
  </si>
  <si>
    <t xml:space="preserve">14:00-15:00</t>
  </si>
  <si>
    <t xml:space="preserve">15:00-16:00</t>
  </si>
  <si>
    <t xml:space="preserve">郭玉龙</t>
  </si>
  <si>
    <t xml:space="preserve">16:00-17:00</t>
  </si>
  <si>
    <t xml:space="preserve">孟治君</t>
  </si>
  <si>
    <t xml:space="preserve">17:00-18:00</t>
  </si>
  <si>
    <t xml:space="preserve">18:00-19:00</t>
  </si>
  <si>
    <t xml:space="preserve">刘梦</t>
  </si>
  <si>
    <t xml:space="preserve">李寒玉</t>
  </si>
  <si>
    <t xml:space="preserve">何雅源</t>
  </si>
  <si>
    <t xml:space="preserve">何彩樱</t>
  </si>
  <si>
    <t xml:space="preserve">李凯丽</t>
  </si>
  <si>
    <t xml:space="preserve">张欣颖</t>
  </si>
  <si>
    <t xml:space="preserve">07:00-08:00</t>
  </si>
  <si>
    <t xml:space="preserve">08:00-09:00</t>
  </si>
  <si>
    <t xml:space="preserve">09:00-10:00</t>
  </si>
  <si>
    <t xml:space="preserve">10:00-11:00</t>
  </si>
  <si>
    <t xml:space="preserve">11:00-12:00</t>
  </si>
  <si>
    <t xml:space="preserve">赖法彬</t>
  </si>
  <si>
    <t xml:space="preserve">董柯言</t>
  </si>
  <si>
    <t xml:space="preserve">郝泽晗</t>
  </si>
  <si>
    <t xml:space="preserve">张保林</t>
  </si>
  <si>
    <t xml:space="preserve">泰康在线保险直播间（十月份违规明细）</t>
  </si>
  <si>
    <t xml:space="preserve">日期</t>
  </si>
  <si>
    <t xml:space="preserve">账号昵称</t>
  </si>
  <si>
    <t xml:space="preserve">账号uid</t>
  </si>
  <si>
    <t xml:space="preserve">违规原因</t>
  </si>
  <si>
    <t xml:space="preserve">是否申诉</t>
  </si>
  <si>
    <t xml:space="preserve">申诉结果</t>
  </si>
  <si>
    <t xml:space="preserve">具体处罚</t>
  </si>
  <si>
    <t xml:space="preserve">泰康在线保险直播间</t>
  </si>
  <si>
    <t xml:space="preserve">直播违规-违反国家法律法规-虚假宣传</t>
  </si>
  <si>
    <t xml:space="preserve">是</t>
  </si>
  <si>
    <t xml:space="preserve">通过</t>
  </si>
  <si>
    <t xml:space="preserve">-0.2（健康分）</t>
  </si>
  <si>
    <t xml:space="preserve">未通过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</si>
</sst>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1">
    <numFmt numFmtId="164" formatCode="yyyy/m/d"/>
    <numFmt numFmtId="165" formatCode="0.00_);(0.00)"/>
    <numFmt numFmtId="166" formatCode="0_);[Red](0)"/>
    <numFmt numFmtId="167" formatCode="0_);(0)"/>
    <numFmt numFmtId="168" formatCode="0.00;[Red]0.00"/>
    <numFmt numFmtId="169" formatCode="0.00_ "/>
    <numFmt numFmtId="170" formatCode="0.00%"/>
    <numFmt numFmtId="171" formatCode="0.00"/>
    <numFmt numFmtId="172" formatCode="#,##0.00"/>
    <numFmt numFmtId="173" formatCode="0.00_);[Red](0.00)"/>
    <numFmt numFmtId="174" formatCode="0"/>
    <numFmt numFmtId="175" formatCode="General"/>
    <numFmt numFmtId="176" formatCode="@"/>
    <numFmt numFmtId="177" formatCode="yyyy/m/d"/>
    <numFmt numFmtId="178" formatCode="0.00_);(0.00)"/>
    <numFmt numFmtId="179" formatCode="0_);[Red](0)"/>
    <numFmt numFmtId="180" formatCode="#,##0.00"/>
    <numFmt numFmtId="181" formatCode="0_);(0)"/>
    <numFmt numFmtId="182" formatCode="0.00;[Red]0.00"/>
    <numFmt numFmtId="183" formatCode="0.00_ "/>
    <numFmt numFmtId="184" formatCode="0.00%"/>
    <numFmt numFmtId="185" formatCode="0.00"/>
    <numFmt numFmtId="186" formatCode="0.00_);[Red](0.00)"/>
    <numFmt numFmtId="187" formatCode="General"/>
    <numFmt numFmtId="188" formatCode="0"/>
    <numFmt numFmtId="189" formatCode="yyyy/m/d"/>
    <numFmt numFmtId="190" formatCode="0.00_);(0.00)"/>
    <numFmt numFmtId="191" formatCode="0_);[Red](0)"/>
    <numFmt numFmtId="192" formatCode="#,##0.00"/>
    <numFmt numFmtId="193" formatCode="0_);(0)"/>
    <numFmt numFmtId="194" formatCode="0.00;[Red]0.00"/>
    <numFmt numFmtId="195" formatCode="0.00_ "/>
    <numFmt numFmtId="196" formatCode="0.00%"/>
    <numFmt numFmtId="197" formatCode="0.00"/>
    <numFmt numFmtId="198" formatCode="0.00_);[Red](0.00)"/>
    <numFmt numFmtId="199" formatCode="General"/>
    <numFmt numFmtId="200" formatCode="0"/>
    <numFmt numFmtId="201" formatCode="yyyy/m/d"/>
    <numFmt numFmtId="202" formatCode="0.00_);(0.00)"/>
    <numFmt numFmtId="203" formatCode="0_);[Red](0)"/>
    <numFmt numFmtId="204" formatCode="#,##0.00"/>
    <numFmt numFmtId="205" formatCode="0_);(0)"/>
    <numFmt numFmtId="206" formatCode="0.00;[Red]0.00"/>
    <numFmt numFmtId="207" formatCode="0.00_ "/>
    <numFmt numFmtId="208" formatCode="0.00%"/>
    <numFmt numFmtId="209" formatCode="0.00_);[Red](0.00)"/>
    <numFmt numFmtId="210" formatCode="0.00"/>
    <numFmt numFmtId="211" formatCode="0"/>
    <numFmt numFmtId="212" formatCode="yyyy/m/d"/>
    <numFmt numFmtId="213" formatCode="0.00_);(0.00)"/>
    <numFmt numFmtId="214" formatCode="0_);[Red](0)"/>
    <numFmt numFmtId="215" formatCode="0_);(0)"/>
    <numFmt numFmtId="216" formatCode="0.00;[Red]0.00"/>
    <numFmt numFmtId="217" formatCode="0.00_ "/>
    <numFmt numFmtId="218" formatCode="0.00%"/>
    <numFmt numFmtId="219" formatCode="0.00_);[Red](0.00)"/>
    <numFmt numFmtId="220" formatCode="0.00"/>
    <numFmt numFmtId="221" formatCode="#,##0.00"/>
    <numFmt numFmtId="222" formatCode="0"/>
    <numFmt numFmtId="223" formatCode="@"/>
    <numFmt numFmtId="224" formatCode="m月d日"/>
  </numFmts>
  <fonts count="18">
    <font>
      <sz val="12"/>
      <color theme="1"/>
      <name val="Calibri"/>
      <family val="2"/>
      <scheme val="minor"/>
    </font>
    <font>
      <b val="true"/>
      <sz val="12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23335"/>
      <name val="Calibri"/>
      <family val="2"/>
      <scheme val="minor"/>
    </font>
    <font>
      <b val="true"/>
      <sz val="12"/>
      <color rgb="FFC00000"/>
      <name val="Calibri"/>
      <family val="2"/>
      <scheme val="minor"/>
    </font>
    <font>
      <sz val="12"/>
      <color rgb="FFC609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54A45"/>
      <name val="Calibri"/>
      <family val="2"/>
      <scheme val="minor"/>
    </font>
    <font>
      <sz val="9"/>
      <color rgb="FF31343B"/>
      <name val="Noto Sans SC"/>
      <family val="2"/>
    </font>
    <font>
      <b val="true"/>
      <sz val="12"/>
      <color rgb="FF606266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14"/>
      <color rgb="FF606266"/>
      <name val="Calibri"/>
      <family val="2"/>
      <scheme val="minor"/>
    </font>
    <font>
      <sz val="13"/>
      <color rgb="FF606266"/>
      <name val="Calibri"/>
      <family val="2"/>
      <scheme val="minor"/>
    </font>
    <font>
      <sz val="15"/>
      <color rgb="FF222222"/>
      <name val="Calibri"/>
      <family val="2"/>
      <scheme val="minor"/>
    </font>
    <font>
      <b val="true"/>
      <sz val="14"/>
      <color rgb="FF000000"/>
      <name val="Calibri"/>
      <family val="2"/>
      <scheme val="minor"/>
    </font>
    <font>
      <b val="true"/>
      <sz val="10"/>
      <color rgb="FF000000"/>
      <name val="Calibri"/>
      <family val="2"/>
      <scheme val="minor"/>
    </font>
    <font>
      <sz val="9"/>
      <color rgb="FF323335"/>
      <name val="Calibri"/>
      <family val="2"/>
      <scheme val="minor"/>
    </font>
  </fonts>
  <fills count="41">
    <fill>
      <patternFill patternType="none">
        <fgColor/>
        <bgColor/>
      </patternFill>
    </fill>
    <fill>
      <patternFill patternType="gray125">
        <fgColor/>
        <bgColor/>
      </patternFill>
    </fill>
    <fill>
      <patternFill patternType="solid">
        <fgColor rgb="FFFFD0AE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270"/>
        <bgColor/>
      </patternFill>
    </fill>
    <fill>
      <patternFill patternType="solid">
        <fgColor rgb="FFFFFFFF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D0AE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270"/>
        <bgColor/>
      </patternFill>
    </fill>
    <fill>
      <patternFill patternType="solid">
        <fgColor rgb="FFFFFFFF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D0AE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270"/>
        <bgColor/>
      </patternFill>
    </fill>
    <fill>
      <patternFill patternType="solid">
        <fgColor rgb="FFFFFFFF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D0AE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270"/>
        <bgColor/>
      </patternFill>
    </fill>
    <fill>
      <patternFill patternType="solid">
        <fgColor rgb="FFFFFFFF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FFD0AE"/>
        <bgColor/>
      </patternFill>
    </fill>
    <fill>
      <patternFill patternType="solid">
        <fgColor rgb="FF99BEFF"/>
        <bgColor/>
      </patternFill>
    </fill>
    <fill>
      <patternFill patternType="solid">
        <fgColor rgb="FF98D7B6"/>
        <bgColor/>
      </patternFill>
    </fill>
    <fill>
      <patternFill patternType="solid">
        <fgColor rgb="FFFFE270"/>
        <bgColor/>
      </patternFill>
    </fill>
    <fill>
      <patternFill patternType="solid">
        <fgColor rgb="FFFFFFFF"/>
        <bgColor/>
      </patternFill>
    </fill>
    <fill>
      <patternFill patternType="solid">
        <fgColor rgb="FFFFEEAD"/>
        <bgColor/>
      </patternFill>
    </fill>
    <fill>
      <patternFill patternType="solid">
        <fgColor rgb="FFEAFAF1"/>
        <bgColor/>
      </patternFill>
    </fill>
    <fill>
      <patternFill patternType="solid">
        <fgColor rgb="FF5A91FF"/>
        <bgColor/>
      </patternFill>
    </fill>
    <fill>
      <patternFill patternType="solid">
        <fgColor rgb="FFFFF258"/>
        <bgColor/>
      </patternFill>
    </fill>
    <fill>
      <patternFill patternType="solid">
        <fgColor rgb="FF14C0FF"/>
        <bgColor/>
      </patternFill>
    </fill>
    <fill>
      <patternFill patternType="solid">
        <fgColor rgb="FFFBFCFC"/>
        <bgColor/>
      </patternFill>
    </fill>
  </fills>
  <borders count="42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/>
      <right/>
      <top/>
      <bottom style="medium">
        <color rgb="FFDFE0E2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494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true" applyFont="true" applyNumberFormat="true" applyProtection="false" borderId="1" fillId="2" fontId="1" numFmtId="164" xfId="0">
      <alignment horizontal="center" vertical="center"/>
    </xf>
    <xf applyAlignment="true" applyBorder="false" applyFill="true" applyFont="true" applyNumberFormat="true" applyProtection="false" borderId="1" fillId="3" fontId="1" numFmtId="165" xfId="0">
      <alignment horizontal="center" vertical="center"/>
    </xf>
    <xf applyAlignment="true" applyBorder="false" applyFill="true" applyFont="true" applyNumberFormat="false" applyProtection="false" borderId="1" fillId="4" fontId="1" numFmtId="0" xfId="0">
      <alignment horizontal="center" vertical="center"/>
    </xf>
    <xf applyAlignment="true" applyBorder="false" applyFill="true" applyFont="true" applyNumberFormat="true" applyProtection="false" borderId="1" fillId="5" fontId="2" numFmtId="166" xfId="0">
      <alignment horizontal="center" vertical="center"/>
    </xf>
    <xf applyAlignment="true" applyBorder="false" applyFill="true" applyFont="true" applyNumberFormat="true" applyProtection="false" borderId="2" fillId="2" fontId="1" numFmtId="164" xfId="0">
      <alignment horizontal="center" vertical="center"/>
    </xf>
    <xf applyAlignment="true" applyBorder="false" applyFill="true" applyFont="true" applyNumberFormat="true" applyProtection="false" borderId="2" fillId="3" fontId="1" numFmtId="165" xfId="0">
      <alignment horizontal="center" vertical="center"/>
    </xf>
    <xf applyAlignment="true" applyBorder="false" applyFill="true" applyFont="true" applyNumberFormat="true" applyProtection="false" borderId="2" fillId="3" fontId="1" numFmtId="167" xfId="0">
      <alignment horizontal="center" vertical="center"/>
    </xf>
    <xf applyAlignment="true" applyBorder="false" applyFill="true" applyFont="true" applyNumberFormat="true" applyProtection="false" borderId="2" fillId="3" fontId="1" numFmtId="168" xfId="0">
      <alignment horizontal="center" vertical="center"/>
    </xf>
    <xf applyAlignment="true" applyBorder="false" applyFill="true" applyFont="true" applyNumberFormat="true" applyProtection="false" borderId="2" fillId="3" fontId="1" numFmtId="169" xfId="0">
      <alignment horizontal="center" vertical="center"/>
    </xf>
    <xf applyAlignment="true" applyBorder="false" applyFill="true" applyFont="true" applyNumberFormat="true" applyProtection="false" borderId="3" fillId="3" fontId="1" numFmtId="165" xfId="0">
      <alignment horizontal="center" vertical="center"/>
    </xf>
    <xf applyAlignment="true" applyBorder="false" applyFill="true" applyFont="true" applyNumberFormat="true" applyProtection="false" borderId="1" fillId="4" fontId="1" numFmtId="170" xfId="0">
      <alignment horizontal="center" vertical="center"/>
    </xf>
    <xf applyAlignment="true" applyBorder="false" applyFill="false" applyFont="true" applyNumberFormat="true" applyProtection="false" borderId="1" fillId="0" fontId="2" numFmtId="166" xfId="0">
      <alignment horizontal="center" vertical="center"/>
    </xf>
    <xf applyAlignment="true" applyBorder="false" applyFill="false" applyFont="true" applyNumberFormat="true" applyProtection="false" borderId="1" fillId="0" fontId="3" numFmtId="164" xfId="0">
      <alignment horizontal="center" vertical="center"/>
    </xf>
    <xf applyAlignment="true" applyBorder="false" applyFill="false" applyFont="true" applyNumberFormat="true" applyProtection="false" borderId="1" fillId="0" fontId="2" numFmtId="165" xfId="0">
      <alignment horizontal="center" vertical="center"/>
    </xf>
    <xf applyAlignment="true" applyBorder="false" applyFill="false" applyFont="true" applyNumberFormat="true" applyProtection="false" borderId="1" fillId="0" fontId="3" numFmtId="165" xfId="0">
      <alignment horizontal="center" vertical="center"/>
    </xf>
    <xf applyAlignment="true" applyBorder="false" applyFill="false" applyFont="true" applyNumberFormat="true" applyProtection="false" borderId="1" fillId="0" fontId="3" numFmtId="165" xfId="0">
      <alignment horizontal="center" vertical="center"/>
    </xf>
    <xf applyAlignment="true" applyBorder="false" applyFill="false" applyFont="true" applyNumberFormat="true" applyProtection="false" borderId="1" fillId="0" fontId="3" numFmtId="167" xfId="0">
      <alignment horizontal="center" vertical="center"/>
    </xf>
    <xf applyAlignment="true" applyBorder="false" applyFill="false" applyFont="true" applyNumberFormat="true" applyProtection="false" borderId="1" fillId="0" fontId="3" numFmtId="169" xfId="0">
      <alignment horizontal="center" vertical="center"/>
    </xf>
    <xf applyAlignment="true" applyBorder="false" applyFill="false" applyFont="true" applyNumberFormat="true" applyProtection="false" borderId="4" fillId="0" fontId="3" numFmtId="169" xfId="0">
      <alignment horizontal="center" vertical="center"/>
    </xf>
    <xf applyAlignment="true" applyBorder="false" applyFill="false" applyFont="true" applyNumberFormat="true" applyProtection="false" borderId="1" fillId="0" fontId="4" numFmtId="170" xfId="0">
      <alignment horizontal="center" vertical="center"/>
    </xf>
    <xf applyAlignment="true" applyBorder="false" applyFill="false" applyFont="true" applyNumberFormat="true" applyProtection="false" borderId="1" fillId="0" fontId="3" numFmtId="170" xfId="0">
      <alignment horizontal="center" vertical="center"/>
    </xf>
    <xf applyAlignment="true" applyBorder="false" applyFill="false" applyFont="true" applyNumberFormat="true" applyProtection="false" borderId="1" fillId="0" fontId="3" numFmtId="171" xfId="0">
      <alignment horizontal="center" vertical="center"/>
    </xf>
    <xf applyAlignment="true" applyBorder="false" applyFill="false" applyFont="true" applyNumberFormat="true" applyProtection="false" borderId="1" fillId="0" fontId="3" numFmtId="172" xfId="0">
      <alignment horizontal="center" vertical="center"/>
    </xf>
    <xf applyAlignment="true" applyBorder="false" applyFill="true" applyFont="true" applyNumberFormat="true" applyProtection="false" borderId="1" fillId="6" fontId="3" numFmtId="172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true" applyProtection="false" borderId="1" fillId="0" fontId="3" numFmtId="164" xfId="0">
      <alignment horizontal="center" vertical="center"/>
    </xf>
    <xf applyAlignment="true" applyBorder="false" applyFill="true" applyFont="true" applyNumberFormat="true" applyProtection="false" borderId="1" fillId="6" fontId="3" numFmtId="172" xfId="0">
      <alignment horizontal="center" vertical="center"/>
    </xf>
    <xf applyAlignment="true" applyBorder="false" applyFill="false" applyFont="true" applyNumberFormat="true" applyProtection="false" borderId="5" fillId="0" fontId="3" numFmtId="167" xfId="0">
      <alignment horizontal="center" vertical="center"/>
    </xf>
    <xf applyAlignment="true" applyBorder="false" applyFill="false" applyFont="true" applyNumberFormat="true" applyProtection="false" borderId="5" fillId="0" fontId="3" numFmtId="165" xfId="0">
      <alignment horizontal="center" vertical="center"/>
    </xf>
    <xf applyAlignment="true" applyBorder="false" applyFill="true" applyFont="true" applyNumberFormat="true" applyProtection="false" borderId="1" fillId="7" fontId="1" numFmtId="165" xfId="0">
      <alignment horizontal="center" vertical="center"/>
    </xf>
    <xf applyAlignment="true" applyBorder="false" applyFill="true" applyFont="true" applyNumberFormat="true" applyProtection="false" borderId="1" fillId="7" fontId="5" numFmtId="165" xfId="0">
      <alignment horizontal="center" vertical="center"/>
    </xf>
    <xf applyAlignment="true" applyBorder="false" applyFill="true" applyFont="true" applyNumberFormat="true" applyProtection="false" borderId="4" fillId="7" fontId="5" numFmtId="165" xfId="0">
      <alignment horizontal="center" vertical="center"/>
    </xf>
    <xf applyAlignment="true" applyBorder="false" applyFill="true" applyFont="true" applyNumberFormat="true" applyProtection="false" borderId="1" fillId="7" fontId="5" numFmtId="167" xfId="0">
      <alignment horizontal="center" vertical="center"/>
    </xf>
    <xf applyAlignment="true" applyBorder="false" applyFill="true" applyFont="true" applyNumberFormat="true" applyProtection="false" borderId="6" fillId="7" fontId="5" numFmtId="173" xfId="0">
      <alignment horizontal="center" vertical="center"/>
    </xf>
    <xf applyAlignment="true" applyBorder="false" applyFill="true" applyFont="true" applyNumberFormat="true" applyProtection="false" borderId="1" fillId="7" fontId="5" numFmtId="169" xfId="0">
      <alignment horizontal="center" vertical="center"/>
    </xf>
    <xf applyAlignment="true" applyBorder="false" applyFill="true" applyFont="true" applyNumberFormat="true" applyProtection="false" borderId="4" fillId="7" fontId="5" numFmtId="171" xfId="0">
      <alignment horizontal="center" vertical="center"/>
    </xf>
    <xf applyAlignment="true" applyBorder="false" applyFill="true" applyFont="true" applyNumberFormat="true" applyProtection="false" borderId="1" fillId="7" fontId="1" numFmtId="170" xfId="0">
      <alignment horizontal="center" vertical="center"/>
    </xf>
    <xf applyAlignment="true" applyBorder="false" applyFill="true" applyFont="true" applyNumberFormat="true" applyProtection="false" borderId="1" fillId="7" fontId="1" numFmtId="173" xfId="0">
      <alignment horizontal="center" vertical="center"/>
    </xf>
    <xf applyAlignment="true" applyBorder="false" applyFill="true" applyFont="true" applyNumberFormat="true" applyProtection="false" borderId="1" fillId="7" fontId="1" numFmtId="166" xfId="0">
      <alignment horizontal="center" vertical="center"/>
    </xf>
    <xf applyAlignment="true" applyBorder="false" applyFill="false" applyFont="true" applyNumberFormat="true" applyProtection="false" borderId="1" fillId="0" fontId="2" numFmtId="173" xfId="0">
      <alignment horizontal="center" vertical="center"/>
    </xf>
    <xf applyAlignment="true" applyBorder="false" applyFill="false" applyFont="true" applyNumberFormat="true" applyProtection="false" borderId="2" fillId="0" fontId="3" numFmtId="167" xfId="0">
      <alignment horizontal="center" vertical="center"/>
    </xf>
    <xf applyAlignment="true" applyBorder="false" applyFill="false" applyFont="true" applyNumberFormat="true" applyProtection="false" borderId="2" fillId="0" fontId="3" numFmtId="165" xfId="0">
      <alignment horizontal="center" vertical="center"/>
    </xf>
    <xf applyAlignment="true" applyBorder="false" applyFill="false" applyFont="true" applyNumberFormat="true" applyProtection="false" borderId="1" fillId="0" fontId="3" numFmtId="172" xfId="0">
      <alignment horizontal="center" vertical="center"/>
    </xf>
    <xf applyAlignment="true" applyBorder="false" applyFill="false" applyFont="true" applyNumberFormat="true" applyProtection="false" borderId="1" fillId="0" fontId="2" numFmtId="166" xfId="0">
      <alignment horizontal="center" vertical="center"/>
    </xf>
    <xf applyAlignment="true" applyBorder="false" applyFill="false" applyFont="true" applyNumberFormat="true" applyProtection="false" borderId="1" fillId="0" fontId="2" numFmtId="167" xfId="0">
      <alignment horizontal="center" vertical="center"/>
    </xf>
    <xf applyAlignment="true" applyBorder="false" applyFill="false" applyFont="true" applyNumberFormat="true" applyProtection="false" borderId="1" fillId="0" fontId="2" numFmtId="167" xfId="0">
      <alignment horizontal="center" vertical="center"/>
    </xf>
    <xf applyAlignment="true" applyBorder="false" applyFill="true" applyFont="true" applyNumberFormat="true" applyProtection="false" borderId="1" fillId="7" fontId="5" numFmtId="173" xfId="0">
      <alignment horizontal="center" vertical="center"/>
    </xf>
    <xf applyAlignment="true" applyBorder="false" applyFill="true" applyFont="true" applyNumberFormat="true" applyProtection="false" borderId="1" fillId="8" fontId="5" numFmtId="173" xfId="0">
      <alignment horizontal="center" vertical="center"/>
    </xf>
    <xf applyAlignment="true" applyBorder="false" applyFill="true" applyFont="true" applyNumberFormat="true" applyProtection="false" borderId="1" fillId="8" fontId="5" numFmtId="165" xfId="0">
      <alignment horizontal="center" vertical="center"/>
    </xf>
    <xf applyAlignment="true" applyBorder="false" applyFill="true" applyFont="true" applyNumberFormat="true" applyProtection="false" borderId="1" fillId="8" fontId="5" numFmtId="173" xfId="0">
      <alignment horizontal="center" vertical="center"/>
    </xf>
    <xf applyAlignment="true" applyBorder="false" applyFill="true" applyFont="true" applyNumberFormat="true" applyProtection="false" borderId="4" fillId="8" fontId="5" numFmtId="173" xfId="0">
      <alignment horizontal="center" vertical="center"/>
    </xf>
    <xf applyAlignment="true" applyBorder="false" applyFill="true" applyFont="true" applyNumberFormat="true" applyProtection="false" borderId="1" fillId="8" fontId="5" numFmtId="170" xfId="0">
      <alignment horizontal="center" vertical="center"/>
    </xf>
    <xf applyAlignment="true" applyBorder="false" applyFill="true" applyFont="true" applyNumberFormat="true" applyProtection="false" borderId="5" fillId="8" fontId="5" numFmtId="170" xfId="0">
      <alignment horizontal="center" vertical="center"/>
    </xf>
    <xf applyAlignment="true" applyBorder="false" applyFill="true" applyFont="true" applyNumberFormat="true" applyProtection="false" borderId="5" fillId="8" fontId="5" numFmtId="173" xfId="0">
      <alignment horizontal="center" vertical="center"/>
    </xf>
    <xf applyAlignment="true" applyBorder="false" applyFill="true" applyFont="true" applyNumberFormat="true" applyProtection="false" borderId="5" fillId="8" fontId="6" numFmtId="174" xfId="0">
      <alignment horizontal="center" vertical="center"/>
    </xf>
    <xf applyAlignment="true" applyBorder="false" applyFill="true" applyFont="true" applyNumberFormat="true" applyProtection="false" borderId="5" fillId="8" fontId="5" numFmtId="167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true" applyProtection="false" borderId="4" fillId="3" fontId="1" numFmtId="165" xfId="0">
      <alignment horizontal="center" vertical="center"/>
    </xf>
    <xf applyAlignment="true" applyBorder="false" applyFill="true" applyFont="true" applyNumberFormat="false" applyProtection="false" borderId="7" fillId="4" fontId="1" numFmtId="0" xfId="0">
      <alignment horizontal="center" vertical="center"/>
    </xf>
    <xf applyAlignment="true" applyBorder="false" applyFill="true" applyFont="true" applyNumberFormat="true" applyProtection="false" borderId="7" fillId="5" fontId="1" numFmtId="166" xfId="0">
      <alignment horizontal="center" vertical="center"/>
    </xf>
    <xf applyAlignment="true" applyBorder="false" applyFill="true" applyFont="true" applyNumberFormat="true" applyProtection="false" borderId="7" fillId="5" fontId="1" numFmtId="166" xfId="0">
      <alignment horizontal="center" vertical="center"/>
    </xf>
    <xf applyAlignment="true" applyBorder="false" applyFill="true" applyFont="true" applyNumberFormat="true" applyProtection="false" borderId="2" fillId="3" fontId="1" numFmtId="165" xfId="0">
      <alignment horizontal="center" vertical="center"/>
    </xf>
    <xf applyAlignment="true" applyBorder="false" applyFill="true" applyFont="true" applyNumberFormat="true" applyProtection="false" borderId="7" fillId="4" fontId="1" numFmtId="170" xfId="0">
      <alignment horizontal="center" vertical="center"/>
    </xf>
    <xf applyAlignment="true" applyBorder="false" applyFill="false" applyFont="true" applyNumberFormat="true" applyProtection="false" borderId="7" fillId="0" fontId="4" numFmtId="170" xfId="0">
      <alignment horizontal="center" vertical="center"/>
    </xf>
    <xf applyAlignment="true" applyBorder="false" applyFill="false" applyFont="true" applyNumberFormat="true" applyProtection="false" borderId="7" fillId="0" fontId="3" numFmtId="170" xfId="0">
      <alignment horizontal="center" vertical="center"/>
    </xf>
    <xf applyAlignment="true" applyBorder="false" applyFill="false" applyFont="true" applyNumberFormat="true" applyProtection="false" borderId="7" fillId="0" fontId="3" numFmtId="171" xfId="0">
      <alignment horizontal="center" vertical="center"/>
    </xf>
    <xf applyAlignment="true" applyBorder="false" applyFill="false" applyFont="true" applyNumberFormat="true" applyProtection="false" borderId="7" fillId="0" fontId="3" numFmtId="172" xfId="0">
      <alignment horizontal="center" vertical="center"/>
    </xf>
    <xf applyAlignment="true" applyBorder="false" applyFill="true" applyFont="true" applyNumberFormat="true" applyProtection="false" borderId="7" fillId="6" fontId="3" numFmtId="172" xfId="0">
      <alignment horizontal="center" vertical="center"/>
    </xf>
    <xf applyAlignment="true" applyBorder="false" applyFill="false" applyFont="true" applyNumberFormat="false" applyProtection="false" borderId="7" fillId="0" fontId="2" numFmtId="0" xfId="0">
      <alignment horizontal="center" vertical="center"/>
    </xf>
    <xf applyAlignment="true" applyBorder="false" applyFill="false" applyFont="true" applyNumberFormat="false" applyProtection="false" borderId="7" fillId="0" fontId="2" numFmtId="0" xfId="0">
      <alignment horizontal="center" vertical="center"/>
    </xf>
    <xf applyAlignment="true" applyBorder="false" applyFill="false" applyFont="true" applyNumberFormat="false" applyProtection="false" borderId="7" fillId="0" fontId="2" numFmtId="0" xfId="0">
      <alignment horizontal="center" vertical="center"/>
    </xf>
    <xf applyAlignment="true" applyBorder="false" applyFill="true" applyFont="true" applyNumberFormat="true" applyProtection="false" borderId="7" fillId="7" fontId="1" numFmtId="170" xfId="0">
      <alignment horizontal="center" vertical="center"/>
    </xf>
    <xf applyAlignment="true" applyBorder="false" applyFill="true" applyFont="true" applyNumberFormat="true" applyProtection="false" borderId="7" fillId="7" fontId="1" numFmtId="173" xfId="0">
      <alignment horizontal="center" vertical="center"/>
    </xf>
    <xf applyAlignment="true" applyBorder="false" applyFill="true" applyFont="true" applyNumberFormat="true" applyProtection="false" borderId="7" fillId="7" fontId="1" numFmtId="166" xfId="0">
      <alignment horizontal="center" vertical="center"/>
    </xf>
    <xf applyAlignment="true" applyBorder="false" applyFill="true" applyFont="true" applyNumberFormat="true" applyProtection="false" borderId="7" fillId="7" fontId="1" numFmtId="166" xfId="0">
      <alignment horizontal="center" vertical="center"/>
    </xf>
    <xf applyAlignment="true" applyBorder="false" applyFill="false" applyFont="true" applyNumberFormat="true" applyProtection="false" borderId="7" fillId="0" fontId="3" numFmtId="172" xfId="0">
      <alignment horizontal="center" vertical="center"/>
    </xf>
    <xf applyAlignment="true" applyBorder="false" applyFill="false" applyFont="true" applyNumberFormat="true" applyProtection="false" borderId="7" fillId="0" fontId="2" numFmtId="166" xfId="0">
      <alignment horizontal="center" vertical="center"/>
    </xf>
    <xf applyAlignment="true" applyBorder="false" applyFill="false" applyFont="true" applyNumberFormat="true" applyProtection="false" borderId="7" fillId="0" fontId="2" numFmtId="166" xfId="0">
      <alignment horizontal="center" vertical="center"/>
    </xf>
    <xf applyAlignment="true" applyBorder="false" applyFill="false" applyFont="true" applyNumberFormat="true" applyProtection="false" borderId="7" fillId="0" fontId="2" numFmtId="166" xfId="0">
      <alignment horizontal="center" vertical="center"/>
    </xf>
    <xf applyAlignment="true" applyBorder="false" applyFill="false" applyFont="true" applyNumberFormat="true" applyProtection="false" borderId="7" fillId="0" fontId="2" numFmtId="167" xfId="0">
      <alignment horizontal="center" vertical="center"/>
    </xf>
    <xf applyAlignment="true" applyBorder="false" applyFill="false" applyFont="true" applyNumberFormat="true" applyProtection="false" borderId="7" fillId="0" fontId="2" numFmtId="167" xfId="0">
      <alignment horizontal="center" vertical="center"/>
    </xf>
    <xf applyAlignment="true" applyBorder="false" applyFill="false" applyFont="true" applyNumberFormat="true" applyProtection="false" borderId="7" fillId="0" fontId="2" numFmtId="167" xfId="0">
      <alignment horizontal="center" vertical="center"/>
    </xf>
    <xf applyAlignment="true" applyBorder="false" applyFill="true" applyFont="true" applyNumberFormat="true" applyProtection="false" borderId="7" fillId="8" fontId="5" numFmtId="167" xfId="0">
      <alignment horizontal="center" vertical="center"/>
    </xf>
    <xf applyAlignment="true" applyBorder="false" applyFill="true" applyFont="true" applyNumberFormat="true" applyProtection="false" borderId="7" fillId="8" fontId="5" numFmtId="170" xfId="0">
      <alignment horizontal="center" vertical="center"/>
    </xf>
    <xf applyAlignment="true" applyBorder="false" applyFill="true" applyFont="true" applyNumberFormat="true" applyProtection="false" borderId="7" fillId="8" fontId="5" numFmtId="173" xfId="0">
      <alignment horizontal="center" vertical="center"/>
    </xf>
    <xf applyAlignment="true" applyBorder="false" applyFill="true" applyFont="true" applyNumberFormat="true" applyProtection="false" borderId="7" fillId="8" fontId="6" numFmtId="174" xfId="0">
      <alignment horizontal="center" vertical="center"/>
    </xf>
    <xf applyAlignment="true" applyBorder="false" applyFill="true" applyFont="true" applyNumberFormat="true" applyProtection="false" borderId="7" fillId="8" fontId="5" numFmtId="167" xfId="0">
      <alignment horizontal="center" vertical="center"/>
    </xf>
    <xf applyAlignment="true" applyBorder="false" applyFill="true" applyFont="true" applyNumberFormat="true" applyProtection="false" borderId="7" fillId="8" fontId="5" numFmtId="167" xfId="0">
      <alignment horizontal="center" vertical="center"/>
    </xf>
    <xf applyAlignment="true" applyBorder="false" applyFill="true" applyFont="true" applyNumberFormat="true" applyProtection="false" borderId="1" fillId="7" fontId="1" numFmtId="166" xfId="0">
      <alignment horizontal="center" vertical="center"/>
    </xf>
    <xf applyAlignment="true" applyBorder="false" applyFill="true" applyFont="true" applyNumberFormat="true" applyProtection="false" borderId="1" fillId="5" fontId="1" numFmtId="166" xfId="0">
      <alignment horizontal="center" vertical="center"/>
    </xf>
    <xf applyAlignment="true" applyBorder="false" applyFill="true" applyFont="true" applyNumberFormat="true" applyProtection="false" borderId="1" fillId="5" fontId="1" numFmtId="166" xfId="0">
      <alignment horizontal="center" vertical="center"/>
    </xf>
    <xf applyAlignment="true" applyBorder="false" applyFill="true" applyFont="true" applyNumberFormat="true" applyProtection="false" borderId="2" fillId="3" fontId="1" numFmtId="165" xfId="0">
      <alignment horizontal="center" vertical="center"/>
    </xf>
    <xf applyAlignment="true" applyBorder="false" applyFill="false" applyFont="true" applyNumberFormat="true" applyProtection="false" borderId="1" fillId="0" fontId="3" numFmtId="165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false" applyProtection="false" borderId="1" fillId="0" fontId="2" numFmtId="0" xfId="0">
      <alignment horizontal="center" vertical="center"/>
    </xf>
    <xf applyAlignment="true" applyBorder="false" applyFill="false" applyFont="true" applyNumberFormat="true" applyProtection="false" borderId="5" fillId="0" fontId="3" numFmtId="167" xfId="0">
      <alignment horizontal="center" vertical="center"/>
    </xf>
    <xf applyAlignment="true" applyBorder="false" applyFill="false" applyFont="true" applyNumberFormat="true" applyProtection="false" borderId="5" fillId="0" fontId="3" numFmtId="165" xfId="0">
      <alignment horizontal="center" vertical="center"/>
    </xf>
    <xf applyAlignment="true" applyBorder="false" applyFill="false" applyFont="true" applyNumberFormat="true" applyProtection="false" borderId="1" fillId="0" fontId="2" numFmtId="166" xfId="0">
      <alignment horizontal="center" vertical="center"/>
    </xf>
    <xf applyAlignment="true" applyBorder="false" applyFill="false" applyFont="true" applyNumberFormat="true" applyProtection="false" borderId="1" fillId="0" fontId="3" numFmtId="167" xfId="0">
      <alignment horizontal="center" vertical="center"/>
    </xf>
    <xf applyAlignment="true" applyBorder="false" applyFill="false" applyFont="true" applyNumberFormat="true" applyProtection="false" borderId="1" fillId="0" fontId="2" numFmtId="167" xfId="0">
      <alignment horizontal="center" vertical="center"/>
    </xf>
    <xf applyAlignment="true" applyBorder="false" applyFill="true" applyFont="true" applyNumberFormat="true" applyProtection="false" borderId="1" fillId="8" fontId="5" numFmtId="167" xfId="0">
      <alignment horizontal="center" vertical="center"/>
    </xf>
    <xf applyAlignment="true" applyBorder="false" applyFill="true" applyFont="true" applyNumberFormat="true" applyProtection="false" borderId="1" fillId="8" fontId="6" numFmtId="174" xfId="0">
      <alignment horizontal="center" vertical="center"/>
    </xf>
    <xf applyAlignment="true" applyBorder="false" applyFill="true" applyFont="true" applyNumberFormat="true" applyProtection="false" borderId="1" fillId="8" fontId="5" numFmtId="167" xfId="0">
      <alignment horizontal="center" vertical="center"/>
    </xf>
    <xf applyAlignment="true" applyBorder="false" applyFill="false" applyFont="true" applyNumberFormat="true" applyProtection="false" borderId="1" fillId="0" fontId="2" numFmtId="166" xfId="0">
      <alignment horizontal="center" vertical="center"/>
    </xf>
    <xf applyAlignment="true" applyBorder="false" applyFill="true" applyFont="true" applyNumberFormat="true" applyProtection="false" borderId="1" fillId="5" fontId="1" numFmtId="166" xfId="0">
      <alignment horizontal="center" vertical="center"/>
    </xf>
    <xf applyAlignment="true" applyBorder="false" applyFill="true" applyFont="true" applyNumberFormat="true" applyProtection="false" borderId="1" fillId="8" fontId="5" numFmtId="175" xfId="0">
      <alignment horizontal="center" vertical="center"/>
    </xf>
    <xf applyAlignment="true" applyBorder="false" applyFill="true" applyFont="true" applyNumberFormat="true" applyProtection="false" borderId="1" fillId="8" fontId="5" numFmtId="175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172" xfId="0">
      <alignment vertical="center"/>
    </xf>
    <xf applyAlignment="true" applyBorder="false" applyFill="false" applyFont="true" applyNumberFormat="true" applyProtection="false" borderId="0" fillId="0" fontId="2" numFmtId="167" xfId="0">
      <alignment vertical="center"/>
    </xf>
    <xf applyAlignment="true" applyBorder="false" applyFill="false" applyFont="true" applyNumberFormat="true" applyProtection="false" borderId="0" fillId="0" fontId="2" numFmtId="171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165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right" vertical="center"/>
    </xf>
    <xf applyAlignment="true" applyBorder="false" applyFill="false" applyFont="true" applyNumberFormat="true" applyProtection="false" borderId="0" fillId="0" fontId="2" numFmtId="176" xfId="0">
      <alignment vertical="center"/>
    </xf>
    <xf applyAlignment="true" applyBorder="false" applyFill="false" applyFont="true" applyNumberFormat="true" applyProtection="false" borderId="0" fillId="0" fontId="2" numFmtId="176" xfId="0">
      <alignment vertical="center"/>
    </xf>
    <xf applyAlignment="true" applyBorder="false" applyFill="true" applyFont="true" applyNumberFormat="true" applyProtection="false" borderId="8" fillId="9" fontId="1" numFmtId="177" xfId="0">
      <alignment horizontal="center" vertical="center"/>
    </xf>
    <xf applyAlignment="true" applyBorder="false" applyFill="true" applyFont="true" applyNumberFormat="true" applyProtection="false" borderId="8" fillId="10" fontId="1" numFmtId="178" xfId="0">
      <alignment horizontal="center" vertical="center"/>
    </xf>
    <xf applyAlignment="true" applyBorder="false" applyFill="true" applyFont="true" applyNumberFormat="false" applyProtection="false" borderId="8" fillId="11" fontId="1" numFmtId="0" xfId="0">
      <alignment horizontal="center" vertical="center"/>
    </xf>
    <xf applyAlignment="true" applyBorder="false" applyFill="true" applyFont="true" applyNumberFormat="true" applyProtection="false" borderId="8" fillId="12" fontId="1" numFmtId="179" xfId="0">
      <alignment horizontal="center" vertical="center"/>
    </xf>
    <xf applyAlignment="true" applyBorder="false" applyFill="true" applyFont="true" applyNumberFormat="true" applyProtection="false" borderId="9" fillId="9" fontId="1" numFmtId="177" xfId="0">
      <alignment horizontal="center" vertical="center"/>
    </xf>
    <xf applyAlignment="true" applyBorder="false" applyFill="true" applyFont="true" applyNumberFormat="true" applyProtection="false" borderId="9" fillId="10" fontId="1" numFmtId="178" xfId="0">
      <alignment horizontal="center" vertical="center"/>
    </xf>
    <xf applyAlignment="true" applyBorder="false" applyFill="true" applyFont="true" applyNumberFormat="true" applyProtection="false" borderId="9" fillId="10" fontId="1" numFmtId="178" xfId="0">
      <alignment horizontal="center" vertical="center"/>
    </xf>
    <xf applyAlignment="true" applyBorder="false" applyFill="true" applyFont="true" applyNumberFormat="true" applyProtection="false" borderId="9" fillId="10" fontId="1" numFmtId="181" xfId="0">
      <alignment horizontal="center" vertical="center"/>
    </xf>
    <xf applyAlignment="true" applyBorder="false" applyFill="true" applyFont="true" applyNumberFormat="true" applyProtection="false" borderId="9" fillId="10" fontId="1" numFmtId="182" xfId="0">
      <alignment horizontal="center" vertical="center"/>
    </xf>
    <xf applyAlignment="true" applyBorder="false" applyFill="true" applyFont="true" applyNumberFormat="true" applyProtection="false" borderId="9" fillId="10" fontId="1" numFmtId="183" xfId="0">
      <alignment horizontal="center" vertical="center"/>
    </xf>
    <xf applyAlignment="true" applyBorder="false" applyFill="true" applyFont="true" applyNumberFormat="true" applyProtection="false" borderId="10" fillId="10" fontId="1" numFmtId="178" xfId="0">
      <alignment horizontal="center" vertical="center"/>
    </xf>
    <xf applyAlignment="true" applyBorder="false" applyFill="true" applyFont="true" applyNumberFormat="true" applyProtection="false" borderId="8" fillId="11" fontId="1" numFmtId="184" xfId="0">
      <alignment horizontal="center" vertical="center"/>
    </xf>
    <xf applyAlignment="true" applyBorder="false" applyFill="true" applyFont="true" applyNumberFormat="true" applyProtection="false" borderId="8" fillId="12" fontId="1" numFmtId="179" xfId="0">
      <alignment horizontal="center" vertical="center"/>
    </xf>
    <xf applyAlignment="true" applyBorder="false" applyFill="false" applyFont="true" applyNumberFormat="true" applyProtection="false" borderId="8" fillId="0" fontId="3" numFmtId="177" xfId="0">
      <alignment horizontal="center" vertical="center"/>
    </xf>
    <xf applyAlignment="true" applyBorder="false" applyFill="false" applyFont="true" applyNumberFormat="true" applyProtection="false" borderId="8" fillId="0" fontId="2" numFmtId="178" xfId="0">
      <alignment horizontal="center" vertical="center"/>
    </xf>
    <xf applyAlignment="true" applyBorder="false" applyFill="false" applyFont="true" applyNumberFormat="true" applyProtection="false" borderId="8" fillId="0" fontId="3" numFmtId="178" xfId="0">
      <alignment horizontal="center" vertical="center"/>
    </xf>
    <xf applyAlignment="true" applyBorder="false" applyFill="false" applyFont="true" applyNumberFormat="true" applyProtection="false" borderId="8" fillId="0" fontId="3" numFmtId="178" xfId="0">
      <alignment horizontal="center" vertical="center"/>
    </xf>
    <xf applyAlignment="true" applyBorder="false" applyFill="false" applyFont="true" applyNumberFormat="true" applyProtection="false" borderId="8" fillId="0" fontId="3" numFmtId="181" xfId="0">
      <alignment horizontal="center" vertical="center"/>
    </xf>
    <xf applyAlignment="true" applyBorder="false" applyFill="false" applyFont="true" applyNumberFormat="true" applyProtection="false" borderId="8" fillId="0" fontId="3" numFmtId="178" xfId="0">
      <alignment horizontal="center" vertical="center"/>
    </xf>
    <xf applyAlignment="true" applyBorder="false" applyFill="false" applyFont="true" applyNumberFormat="true" applyProtection="false" borderId="8" fillId="0" fontId="3" numFmtId="183" xfId="0">
      <alignment horizontal="center" vertical="center"/>
    </xf>
    <xf applyAlignment="true" applyBorder="false" applyFill="false" applyFont="true" applyNumberFormat="true" applyProtection="false" borderId="11" fillId="0" fontId="3" numFmtId="183" xfId="0">
      <alignment horizontal="center" vertical="center"/>
    </xf>
    <xf applyAlignment="true" applyBorder="false" applyFill="false" applyFont="true" applyNumberFormat="true" applyProtection="false" borderId="8" fillId="0" fontId="4" numFmtId="184" xfId="0">
      <alignment horizontal="center" vertical="center"/>
    </xf>
    <xf applyAlignment="true" applyBorder="false" applyFill="false" applyFont="true" applyNumberFormat="true" applyProtection="false" borderId="8" fillId="0" fontId="3" numFmtId="184" xfId="0">
      <alignment horizontal="center" vertical="center"/>
    </xf>
    <xf applyAlignment="true" applyBorder="false" applyFill="false" applyFont="true" applyNumberFormat="true" applyProtection="false" borderId="12" fillId="0" fontId="3" numFmtId="185" xfId="0">
      <alignment horizontal="center" vertical="center"/>
    </xf>
    <xf applyAlignment="true" applyBorder="false" applyFill="false" applyFont="true" applyNumberFormat="true" applyProtection="false" borderId="8" fillId="0" fontId="3" numFmtId="180" xfId="0">
      <alignment horizontal="center" vertical="center"/>
    </xf>
    <xf applyAlignment="true" applyBorder="false" applyFill="true" applyFont="true" applyNumberFormat="true" applyProtection="false" borderId="8" fillId="13" fontId="3" numFmtId="180" xfId="0">
      <alignment horizontal="center" vertical="center"/>
    </xf>
    <xf applyAlignment="true" applyBorder="false" applyFill="false" applyFont="true" applyNumberFormat="false" applyProtection="false" borderId="8" fillId="0" fontId="2" numFmtId="0" xfId="0">
      <alignment horizontal="center" vertical="center"/>
    </xf>
    <xf applyAlignment="true" applyBorder="false" applyFill="false" applyFont="true" applyNumberFormat="false" applyProtection="false" borderId="8" fillId="0" fontId="2" numFmtId="0" xfId="0">
      <alignment horizontal="center" vertical="center"/>
    </xf>
    <xf applyAlignment="true" applyBorder="false" applyFill="true" applyFont="true" applyNumberFormat="true" applyProtection="false" borderId="8" fillId="14" fontId="1" numFmtId="178" xfId="0">
      <alignment horizontal="center" vertical="center"/>
    </xf>
    <xf applyAlignment="true" applyBorder="false" applyFill="true" applyFont="true" applyNumberFormat="true" applyProtection="false" borderId="8" fillId="14" fontId="5" numFmtId="178" xfId="0">
      <alignment horizontal="center" vertical="center"/>
    </xf>
    <xf applyAlignment="true" applyBorder="false" applyFill="true" applyFont="true" applyNumberFormat="true" applyProtection="false" borderId="8" fillId="14" fontId="5" numFmtId="181" xfId="0">
      <alignment horizontal="center" vertical="center"/>
    </xf>
    <xf applyAlignment="true" applyBorder="false" applyFill="true" applyFont="true" applyNumberFormat="true" applyProtection="false" borderId="13" fillId="14" fontId="5" numFmtId="186" xfId="0">
      <alignment horizontal="center" vertical="center"/>
    </xf>
    <xf applyAlignment="true" applyBorder="false" applyFill="true" applyFont="true" applyNumberFormat="true" applyProtection="false" borderId="8" fillId="14" fontId="5" numFmtId="183" xfId="0">
      <alignment horizontal="center" vertical="center"/>
    </xf>
    <xf applyAlignment="true" applyBorder="false" applyFill="true" applyFont="true" applyNumberFormat="true" applyProtection="false" borderId="11" fillId="14" fontId="5" numFmtId="185" xfId="0">
      <alignment horizontal="center" vertical="center"/>
    </xf>
    <xf applyAlignment="true" applyBorder="false" applyFill="true" applyFont="true" applyNumberFormat="true" applyProtection="false" borderId="8" fillId="14" fontId="1" numFmtId="184" xfId="0">
      <alignment horizontal="center" vertical="center"/>
    </xf>
    <xf applyAlignment="true" applyBorder="false" applyFill="true" applyFont="true" applyNumberFormat="true" applyProtection="false" borderId="8" fillId="14" fontId="1" numFmtId="186" xfId="0">
      <alignment horizontal="center" vertical="center"/>
    </xf>
    <xf applyAlignment="true" applyBorder="false" applyFill="true" applyFont="true" applyNumberFormat="true" applyProtection="false" borderId="8" fillId="14" fontId="1" numFmtId="179" xfId="0">
      <alignment horizontal="center" vertical="center"/>
    </xf>
    <xf applyAlignment="true" applyBorder="false" applyFill="true" applyFont="true" applyNumberFormat="true" applyProtection="false" borderId="8" fillId="15" fontId="5" numFmtId="186" xfId="0">
      <alignment horizontal="center" vertical="center"/>
    </xf>
    <xf applyAlignment="true" applyBorder="false" applyFill="true" applyFont="true" applyNumberFormat="true" applyProtection="false" borderId="8" fillId="15" fontId="5" numFmtId="178" xfId="0">
      <alignment horizontal="center" vertical="center"/>
    </xf>
    <xf applyAlignment="true" applyBorder="false" applyFill="true" applyFont="true" applyNumberFormat="true" applyProtection="false" borderId="8" fillId="15" fontId="5" numFmtId="187" xfId="0">
      <alignment horizontal="center" vertical="center"/>
    </xf>
    <xf applyAlignment="true" applyBorder="false" applyFill="true" applyFont="true" applyNumberFormat="true" applyProtection="false" borderId="8" fillId="15" fontId="5" numFmtId="186" xfId="0">
      <alignment horizontal="center" vertical="center"/>
    </xf>
    <xf applyAlignment="true" applyBorder="false" applyFill="true" applyFont="true" applyNumberFormat="true" applyProtection="false" borderId="11" fillId="15" fontId="5" numFmtId="186" xfId="0">
      <alignment horizontal="center" vertical="center"/>
    </xf>
    <xf applyAlignment="true" applyBorder="false" applyFill="true" applyFont="true" applyNumberFormat="true" applyProtection="false" borderId="8" fillId="15" fontId="5" numFmtId="184" xfId="0">
      <alignment horizontal="center" vertical="center"/>
    </xf>
    <xf applyAlignment="true" applyBorder="false" applyFill="true" applyFont="true" applyNumberFormat="true" applyProtection="false" borderId="8" fillId="15" fontId="6" numFmtId="188" xfId="0">
      <alignment horizontal="center" vertical="center"/>
    </xf>
    <xf applyAlignment="true" applyBorder="false" applyFill="true" applyFont="true" applyNumberFormat="true" applyProtection="false" borderId="14" fillId="16" fontId="1" numFmtId="189" xfId="0">
      <alignment horizontal="center" vertical="center"/>
    </xf>
    <xf applyAlignment="true" applyBorder="false" applyFill="true" applyFont="true" applyNumberFormat="true" applyProtection="false" borderId="14" fillId="17" fontId="1" numFmtId="190" xfId="0">
      <alignment horizontal="center" vertical="center"/>
    </xf>
    <xf applyAlignment="true" applyBorder="false" applyFill="true" applyFont="true" applyNumberFormat="false" applyProtection="false" borderId="14" fillId="18" fontId="1" numFmtId="0" xfId="0">
      <alignment horizontal="center" vertical="center"/>
    </xf>
    <xf applyAlignment="true" applyBorder="false" applyFill="true" applyFont="true" applyNumberFormat="true" applyProtection="false" borderId="14" fillId="19" fontId="1" numFmtId="191" xfId="0">
      <alignment horizontal="center" vertical="center"/>
    </xf>
    <xf applyAlignment="true" applyBorder="false" applyFill="true" applyFont="true" applyNumberFormat="true" applyProtection="false" borderId="15" fillId="16" fontId="1" numFmtId="189" xfId="0">
      <alignment horizontal="center" vertical="center"/>
    </xf>
    <xf applyAlignment="true" applyBorder="false" applyFill="true" applyFont="true" applyNumberFormat="true" applyProtection="false" borderId="15" fillId="17" fontId="1" numFmtId="190" xfId="0">
      <alignment horizontal="center" vertical="center"/>
    </xf>
    <xf applyAlignment="true" applyBorder="false" applyFill="true" applyFont="true" applyNumberFormat="true" applyProtection="false" borderId="15" fillId="17" fontId="1" numFmtId="190" xfId="0">
      <alignment horizontal="center" vertical="center"/>
    </xf>
    <xf applyAlignment="true" applyBorder="false" applyFill="true" applyFont="true" applyNumberFormat="true" applyProtection="false" borderId="15" fillId="17" fontId="1" numFmtId="193" xfId="0">
      <alignment horizontal="center" vertical="center"/>
    </xf>
    <xf applyAlignment="true" applyBorder="false" applyFill="true" applyFont="true" applyNumberFormat="true" applyProtection="false" borderId="15" fillId="17" fontId="1" numFmtId="194" xfId="0">
      <alignment horizontal="center" vertical="center"/>
    </xf>
    <xf applyAlignment="true" applyBorder="false" applyFill="true" applyFont="true" applyNumberFormat="true" applyProtection="false" borderId="15" fillId="17" fontId="1" numFmtId="195" xfId="0">
      <alignment horizontal="center" vertical="center"/>
    </xf>
    <xf applyAlignment="true" applyBorder="false" applyFill="true" applyFont="true" applyNumberFormat="true" applyProtection="false" borderId="16" fillId="17" fontId="1" numFmtId="190" xfId="0">
      <alignment horizontal="center" vertical="center"/>
    </xf>
    <xf applyAlignment="true" applyBorder="false" applyFill="true" applyFont="true" applyNumberFormat="true" applyProtection="false" borderId="14" fillId="18" fontId="1" numFmtId="196" xfId="0">
      <alignment horizontal="center" vertical="center"/>
    </xf>
    <xf applyAlignment="true" applyBorder="false" applyFill="true" applyFont="true" applyNumberFormat="true" applyProtection="false" borderId="14" fillId="19" fontId="1" numFmtId="191" xfId="0">
      <alignment horizontal="center" vertical="center"/>
    </xf>
    <xf applyAlignment="true" applyBorder="false" applyFill="false" applyFont="true" applyNumberFormat="true" applyProtection="false" borderId="14" fillId="0" fontId="3" numFmtId="189" xfId="0">
      <alignment horizontal="center" vertical="center"/>
    </xf>
    <xf applyAlignment="true" applyBorder="false" applyFill="false" applyFont="true" applyNumberFormat="true" applyProtection="false" borderId="14" fillId="0" fontId="2" numFmtId="190" xfId="0">
      <alignment horizontal="center" vertical="center"/>
    </xf>
    <xf applyAlignment="true" applyBorder="false" applyFill="false" applyFont="true" applyNumberFormat="true" applyProtection="false" borderId="14" fillId="0" fontId="3" numFmtId="190" xfId="0">
      <alignment horizontal="center" vertical="center"/>
    </xf>
    <xf applyAlignment="true" applyBorder="false" applyFill="false" applyFont="true" applyNumberFormat="true" applyProtection="false" borderId="14" fillId="0" fontId="3" numFmtId="190" xfId="0">
      <alignment horizontal="center" vertical="center"/>
    </xf>
    <xf applyAlignment="true" applyBorder="false" applyFill="false" applyFont="true" applyNumberFormat="true" applyProtection="false" borderId="14" fillId="0" fontId="3" numFmtId="193" xfId="0">
      <alignment horizontal="center" vertical="center"/>
    </xf>
    <xf applyAlignment="true" applyBorder="false" applyFill="false" applyFont="true" applyNumberFormat="true" applyProtection="false" borderId="14" fillId="0" fontId="3" numFmtId="195" xfId="0">
      <alignment horizontal="center" vertical="center"/>
    </xf>
    <xf applyAlignment="true" applyBorder="false" applyFill="false" applyFont="true" applyNumberFormat="true" applyProtection="false" borderId="17" fillId="0" fontId="3" numFmtId="195" xfId="0">
      <alignment horizontal="center" vertical="center"/>
    </xf>
    <xf applyAlignment="true" applyBorder="false" applyFill="false" applyFont="true" applyNumberFormat="true" applyProtection="false" borderId="14" fillId="0" fontId="4" numFmtId="196" xfId="0">
      <alignment horizontal="center" vertical="center"/>
    </xf>
    <xf applyAlignment="true" applyBorder="false" applyFill="false" applyFont="true" applyNumberFormat="true" applyProtection="false" borderId="14" fillId="0" fontId="3" numFmtId="196" xfId="0">
      <alignment horizontal="center" vertical="center"/>
    </xf>
    <xf applyAlignment="true" applyBorder="false" applyFill="false" applyFont="true" applyNumberFormat="true" applyProtection="false" borderId="18" fillId="0" fontId="3" numFmtId="197" xfId="0">
      <alignment horizontal="center" vertical="center"/>
    </xf>
    <xf applyAlignment="true" applyBorder="false" applyFill="false" applyFont="true" applyNumberFormat="true" applyProtection="false" borderId="14" fillId="0" fontId="3" numFmtId="192" xfId="0">
      <alignment horizontal="center" vertical="center"/>
    </xf>
    <xf applyAlignment="true" applyBorder="false" applyFill="true" applyFont="true" applyNumberFormat="true" applyProtection="false" borderId="14" fillId="20" fontId="3" numFmtId="192" xfId="0">
      <alignment horizontal="center" vertical="center"/>
    </xf>
    <xf applyAlignment="true" applyBorder="false" applyFill="false" applyFont="true" applyNumberFormat="false" applyProtection="false" borderId="14" fillId="0" fontId="2" numFmtId="0" xfId="0">
      <alignment horizontal="center" vertical="center"/>
    </xf>
    <xf applyAlignment="true" applyBorder="false" applyFill="false" applyFont="true" applyNumberFormat="false" applyProtection="false" borderId="14" fillId="0" fontId="2" numFmtId="0" xfId="0">
      <alignment horizontal="center" vertical="center"/>
    </xf>
    <xf applyAlignment="true" applyBorder="false" applyFill="true" applyFont="true" applyNumberFormat="true" applyProtection="false" borderId="14" fillId="21" fontId="1" numFmtId="190" xfId="0">
      <alignment horizontal="center" vertical="center"/>
    </xf>
    <xf applyAlignment="true" applyBorder="false" applyFill="true" applyFont="true" applyNumberFormat="true" applyProtection="false" borderId="14" fillId="21" fontId="5" numFmtId="190" xfId="0">
      <alignment horizontal="center" vertical="center"/>
    </xf>
    <xf applyAlignment="true" applyBorder="false" applyFill="true" applyFont="true" applyNumberFormat="true" applyProtection="false" borderId="14" fillId="21" fontId="5" numFmtId="193" xfId="0">
      <alignment horizontal="center" vertical="center"/>
    </xf>
    <xf applyAlignment="true" applyBorder="false" applyFill="true" applyFont="true" applyNumberFormat="true" applyProtection="false" borderId="19" fillId="21" fontId="5" numFmtId="198" xfId="0">
      <alignment horizontal="center" vertical="center"/>
    </xf>
    <xf applyAlignment="true" applyBorder="false" applyFill="true" applyFont="true" applyNumberFormat="true" applyProtection="false" borderId="14" fillId="21" fontId="5" numFmtId="195" xfId="0">
      <alignment horizontal="center" vertical="center"/>
    </xf>
    <xf applyAlignment="true" applyBorder="false" applyFill="true" applyFont="true" applyNumberFormat="true" applyProtection="false" borderId="17" fillId="21" fontId="5" numFmtId="197" xfId="0">
      <alignment horizontal="center" vertical="center"/>
    </xf>
    <xf applyAlignment="true" applyBorder="false" applyFill="true" applyFont="true" applyNumberFormat="true" applyProtection="false" borderId="14" fillId="21" fontId="1" numFmtId="196" xfId="0">
      <alignment horizontal="center" vertical="center"/>
    </xf>
    <xf applyAlignment="true" applyBorder="false" applyFill="true" applyFont="true" applyNumberFormat="true" applyProtection="false" borderId="14" fillId="21" fontId="1" numFmtId="198" xfId="0">
      <alignment horizontal="center" vertical="center"/>
    </xf>
    <xf applyAlignment="true" applyBorder="false" applyFill="true" applyFont="true" applyNumberFormat="true" applyProtection="false" borderId="14" fillId="21" fontId="1" numFmtId="191" xfId="0">
      <alignment horizontal="center" vertical="center"/>
    </xf>
    <xf applyAlignment="true" applyBorder="false" applyFill="true" applyFont="true" applyNumberFormat="true" applyProtection="false" borderId="14" fillId="22" fontId="5" numFmtId="198" xfId="0">
      <alignment horizontal="center" vertical="center"/>
    </xf>
    <xf applyAlignment="true" applyBorder="false" applyFill="true" applyFont="true" applyNumberFormat="true" applyProtection="false" borderId="14" fillId="22" fontId="5" numFmtId="190" xfId="0">
      <alignment horizontal="center" vertical="center"/>
    </xf>
    <xf applyAlignment="true" applyBorder="false" applyFill="true" applyFont="true" applyNumberFormat="true" applyProtection="false" borderId="14" fillId="22" fontId="5" numFmtId="199" xfId="0">
      <alignment horizontal="center" vertical="center"/>
    </xf>
    <xf applyAlignment="true" applyBorder="false" applyFill="true" applyFont="true" applyNumberFormat="true" applyProtection="false" borderId="14" fillId="22" fontId="5" numFmtId="198" xfId="0">
      <alignment horizontal="center" vertical="center"/>
    </xf>
    <xf applyAlignment="true" applyBorder="false" applyFill="true" applyFont="true" applyNumberFormat="true" applyProtection="false" borderId="17" fillId="22" fontId="5" numFmtId="198" xfId="0">
      <alignment horizontal="center" vertical="center"/>
    </xf>
    <xf applyAlignment="true" applyBorder="false" applyFill="true" applyFont="true" applyNumberFormat="true" applyProtection="false" borderId="14" fillId="22" fontId="5" numFmtId="196" xfId="0">
      <alignment horizontal="center" vertical="center"/>
    </xf>
    <xf applyAlignment="true" applyBorder="false" applyFill="true" applyFont="true" applyNumberFormat="true" applyProtection="false" borderId="14" fillId="22" fontId="6" numFmtId="200" xfId="0">
      <alignment horizontal="center" vertical="center"/>
    </xf>
    <xf applyAlignment="true" applyBorder="false" applyFill="false" applyFont="true" applyNumberFormat="true" applyProtection="false" borderId="20" fillId="0" fontId="3" numFmtId="190" xfId="0">
      <alignment horizontal="center" vertical="center"/>
    </xf>
    <xf applyAlignment="true" applyBorder="false" applyFill="false" applyFont="true" applyNumberFormat="true" applyProtection="false" borderId="20" fillId="0" fontId="3" numFmtId="193" xfId="0">
      <alignment horizontal="center" vertical="center"/>
    </xf>
    <xf applyAlignment="true" applyBorder="false" applyFill="false" applyFont="true" applyNumberFormat="true" applyProtection="false" borderId="14" fillId="0" fontId="2" numFmtId="198" xfId="0">
      <alignment horizontal="center" vertical="center"/>
    </xf>
    <xf applyAlignment="true" applyBorder="false" applyFill="true" applyFont="true" applyNumberFormat="true" applyProtection="false" borderId="14" fillId="21" fontId="5" numFmtId="198" xfId="0">
      <alignment horizontal="center" vertical="center"/>
    </xf>
    <xf applyAlignment="true" applyBorder="false" applyFill="true" applyFont="true" applyNumberFormat="true" applyProtection="false" borderId="14" fillId="22" fontId="5" numFmtId="193" xfId="0">
      <alignment horizontal="center" vertical="center"/>
    </xf>
    <xf applyAlignment="true" applyBorder="false" applyFill="true" applyFont="true" applyNumberFormat="true" applyProtection="false" borderId="14" fillId="21" fontId="5" numFmtId="192" xfId="0">
      <alignment horizontal="center" vertical="center"/>
    </xf>
    <xf applyAlignment="true" applyBorder="false" applyFill="false" applyFont="true" applyNumberFormat="true" applyProtection="false" borderId="14" fillId="0" fontId="2" numFmtId="190" xfId="0">
      <alignment horizontal="center" vertical="center"/>
    </xf>
    <xf applyAlignment="true" applyBorder="false" applyFill="false" applyFont="true" applyNumberFormat="true" applyProtection="false" borderId="14" fillId="0" fontId="3" numFmtId="193" xfId="0">
      <alignment horizontal="center" vertical="center"/>
    </xf>
    <xf applyAlignment="true" applyBorder="false" applyFill="false" applyFont="true" applyNumberFormat="true" applyProtection="false" borderId="14" fillId="0" fontId="3" numFmtId="197" xfId="0">
      <alignment horizontal="center" vertical="center"/>
    </xf>
    <xf applyAlignment="true" applyBorder="false" applyFill="false" applyFont="true" applyNumberFormat="true" applyProtection="false" borderId="14" fillId="0" fontId="3" numFmtId="192" xfId="0">
      <alignment horizontal="center" vertical="center"/>
    </xf>
    <xf applyAlignment="true" applyBorder="false" applyFill="true" applyFont="true" applyNumberFormat="true" applyProtection="false" borderId="14" fillId="20" fontId="3" numFmtId="192" xfId="0">
      <alignment horizontal="center" vertical="center"/>
    </xf>
    <xf applyAlignment="true" applyBorder="false" applyFill="false" applyFont="true" applyNumberFormat="true" applyProtection="false" borderId="14" fillId="0" fontId="3" numFmtId="189" xfId="0">
      <alignment horizontal="center" vertical="center"/>
    </xf>
    <xf applyAlignment="true" applyBorder="false" applyFill="false" applyFont="true" applyNumberFormat="true" applyProtection="false" borderId="20" fillId="0" fontId="3" numFmtId="190" xfId="0">
      <alignment horizontal="center" vertical="center"/>
    </xf>
    <xf applyAlignment="true" applyBorder="false" applyFill="false" applyFont="true" applyNumberFormat="true" applyProtection="false" borderId="20" fillId="0" fontId="3" numFmtId="193" xfId="0">
      <alignment horizontal="center" vertical="center"/>
    </xf>
    <xf applyAlignment="true" applyBorder="false" applyFill="false" applyFont="true" applyNumberFormat="true" applyProtection="false" borderId="14" fillId="0" fontId="2" numFmtId="192" xfId="0">
      <alignment horizontal="center" vertical="center"/>
    </xf>
    <xf applyAlignment="true" applyBorder="false" applyFill="false" applyFont="true" applyNumberFormat="true" applyProtection="false" borderId="14" fillId="0" fontId="2" numFmtId="198" xfId="0">
      <alignment horizontal="center" vertical="center"/>
    </xf>
    <xf applyAlignment="true" applyBorder="false" applyFill="false" applyFont="true" applyNumberFormat="true" applyProtection="false" borderId="17" fillId="0" fontId="2" numFmtId="198" xfId="0">
      <alignment horizontal="center" vertical="center"/>
    </xf>
    <xf applyAlignment="true" applyBorder="false" applyFill="false" applyFont="true" applyNumberFormat="true" applyProtection="false" borderId="18" fillId="0" fontId="3" numFmtId="190" xfId="0">
      <alignment horizontal="center" vertical="center"/>
    </xf>
    <xf applyAlignment="true" applyBorder="false" applyFill="false" applyFont="true" applyNumberFormat="true" applyProtection="false" borderId="19" fillId="0" fontId="3" numFmtId="190" xfId="0">
      <alignment horizontal="center" vertical="center"/>
    </xf>
    <xf applyAlignment="true" applyBorder="false" applyFill="false" applyFont="true" applyNumberFormat="true" applyProtection="false" borderId="15" fillId="0" fontId="3" numFmtId="190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true" applyFont="true" applyNumberFormat="true" applyProtection="false" borderId="21" fillId="23" fontId="1" numFmtId="201" xfId="0">
      <alignment horizontal="center" vertical="center"/>
    </xf>
    <xf applyAlignment="true" applyBorder="false" applyFill="true" applyFont="true" applyNumberFormat="true" applyProtection="false" borderId="21" fillId="24" fontId="1" numFmtId="202" xfId="0">
      <alignment horizontal="center" vertical="center"/>
    </xf>
    <xf applyAlignment="true" applyBorder="false" applyFill="true" applyFont="true" applyNumberFormat="false" applyProtection="false" borderId="21" fillId="25" fontId="1" numFmtId="0" xfId="0">
      <alignment horizontal="center" vertical="center"/>
    </xf>
    <xf applyAlignment="true" applyBorder="false" applyFill="true" applyFont="true" applyNumberFormat="true" applyProtection="false" borderId="21" fillId="26" fontId="1" numFmtId="203" xfId="0">
      <alignment horizontal="center" vertical="center"/>
    </xf>
    <xf applyAlignment="true" applyBorder="false" applyFill="true" applyFont="true" applyNumberFormat="true" applyProtection="false" borderId="22" fillId="23" fontId="1" numFmtId="201" xfId="0">
      <alignment horizontal="center" vertical="center"/>
    </xf>
    <xf applyAlignment="true" applyBorder="false" applyFill="true" applyFont="true" applyNumberFormat="true" applyProtection="false" borderId="22" fillId="24" fontId="1" numFmtId="202" xfId="0">
      <alignment horizontal="center" vertical="center"/>
    </xf>
    <xf applyAlignment="true" applyBorder="false" applyFill="true" applyFont="true" applyNumberFormat="true" applyProtection="false" borderId="22" fillId="24" fontId="1" numFmtId="202" xfId="0">
      <alignment horizontal="center" vertical="center"/>
    </xf>
    <xf applyAlignment="true" applyBorder="false" applyFill="true" applyFont="true" applyNumberFormat="true" applyProtection="false" borderId="22" fillId="24" fontId="1" numFmtId="205" xfId="0">
      <alignment horizontal="center" vertical="center"/>
    </xf>
    <xf applyAlignment="true" applyBorder="false" applyFill="true" applyFont="true" applyNumberFormat="true" applyProtection="false" borderId="22" fillId="24" fontId="1" numFmtId="206" xfId="0">
      <alignment horizontal="center" vertical="center"/>
    </xf>
    <xf applyAlignment="true" applyBorder="false" applyFill="true" applyFont="true" applyNumberFormat="true" applyProtection="false" borderId="22" fillId="24" fontId="1" numFmtId="207" xfId="0">
      <alignment horizontal="center" vertical="center"/>
    </xf>
    <xf applyAlignment="true" applyBorder="false" applyFill="true" applyFont="true" applyNumberFormat="true" applyProtection="false" borderId="23" fillId="24" fontId="1" numFmtId="202" xfId="0">
      <alignment horizontal="center" vertical="center"/>
    </xf>
    <xf applyAlignment="true" applyBorder="false" applyFill="true" applyFont="true" applyNumberFormat="true" applyProtection="false" borderId="21" fillId="25" fontId="1" numFmtId="208" xfId="0">
      <alignment horizontal="center" vertical="center"/>
    </xf>
    <xf applyAlignment="true" applyBorder="false" applyFill="true" applyFont="true" applyNumberFormat="true" applyProtection="false" borderId="21" fillId="26" fontId="1" numFmtId="203" xfId="0">
      <alignment horizontal="center" vertical="center"/>
    </xf>
    <xf applyAlignment="true" applyBorder="false" applyFill="false" applyFont="true" applyNumberFormat="true" applyProtection="false" borderId="21" fillId="0" fontId="3" numFmtId="201" xfId="0">
      <alignment horizontal="center" vertical="center"/>
    </xf>
    <xf applyAlignment="true" applyBorder="false" applyFill="false" applyFont="true" applyNumberFormat="true" applyProtection="false" borderId="21" fillId="0" fontId="2" numFmtId="209" xfId="0">
      <alignment horizontal="center" vertical="center"/>
    </xf>
    <xf applyAlignment="true" applyBorder="false" applyFill="false" applyFont="true" applyNumberFormat="true" applyProtection="false" borderId="24" fillId="0" fontId="3" numFmtId="202" xfId="0">
      <alignment horizontal="center" vertical="center"/>
    </xf>
    <xf applyAlignment="true" applyBorder="false" applyFill="false" applyFont="true" applyNumberFormat="true" applyProtection="false" borderId="21" fillId="0" fontId="3" numFmtId="202" xfId="0">
      <alignment horizontal="center" vertical="center"/>
    </xf>
    <xf applyAlignment="true" applyBorder="false" applyFill="false" applyFont="true" applyNumberFormat="true" applyProtection="false" borderId="21" fillId="0" fontId="3" numFmtId="202" xfId="0">
      <alignment horizontal="center" vertical="center"/>
    </xf>
    <xf applyAlignment="true" applyBorder="false" applyFill="false" applyFont="true" applyNumberFormat="true" applyProtection="false" borderId="21" fillId="0" fontId="3" numFmtId="205" xfId="0">
      <alignment horizontal="center" vertical="center"/>
    </xf>
    <xf applyAlignment="true" applyBorder="false" applyFill="false" applyFont="true" applyNumberFormat="true" applyProtection="false" borderId="21" fillId="0" fontId="3" numFmtId="207" xfId="0">
      <alignment horizontal="center" vertical="center"/>
    </xf>
    <xf applyAlignment="true" applyBorder="false" applyFill="false" applyFont="true" applyNumberFormat="true" applyProtection="false" borderId="25" fillId="0" fontId="3" numFmtId="207" xfId="0">
      <alignment horizontal="center" vertical="center"/>
    </xf>
    <xf applyAlignment="true" applyBorder="false" applyFill="false" applyFont="true" applyNumberFormat="true" applyProtection="false" borderId="21" fillId="0" fontId="4" numFmtId="208" xfId="0">
      <alignment horizontal="center" vertical="center"/>
    </xf>
    <xf applyAlignment="true" applyBorder="false" applyFill="false" applyFont="true" applyNumberFormat="true" applyProtection="false" borderId="21" fillId="0" fontId="3" numFmtId="208" xfId="0">
      <alignment horizontal="center" vertical="center"/>
    </xf>
    <xf applyAlignment="true" applyBorder="false" applyFill="false" applyFont="true" applyNumberFormat="true" applyProtection="false" borderId="21" fillId="0" fontId="3" numFmtId="210" xfId="0">
      <alignment horizontal="center" vertical="center"/>
    </xf>
    <xf applyAlignment="true" applyBorder="false" applyFill="false" applyFont="true" applyNumberFormat="true" applyProtection="false" borderId="21" fillId="0" fontId="3" numFmtId="204" xfId="0">
      <alignment horizontal="center" vertical="center"/>
    </xf>
    <xf applyAlignment="true" applyBorder="false" applyFill="true" applyFont="true" applyNumberFormat="true" applyProtection="false" borderId="21" fillId="27" fontId="3" numFmtId="204" xfId="0">
      <alignment horizontal="center" vertical="center"/>
    </xf>
    <xf applyAlignment="true" applyBorder="false" applyFill="false" applyFont="true" applyNumberFormat="false" applyProtection="false" borderId="21" fillId="0" fontId="2" numFmtId="0" xfId="0">
      <alignment horizontal="center" vertical="center"/>
    </xf>
    <xf applyAlignment="true" applyBorder="false" applyFill="false" applyFont="true" applyNumberFormat="false" applyProtection="false" borderId="21" fillId="0" fontId="2" numFmtId="0" xfId="0">
      <alignment horizontal="center" vertical="center"/>
    </xf>
    <xf applyAlignment="true" applyBorder="false" applyFill="false" applyFont="true" applyNumberFormat="true" applyProtection="false" borderId="25" fillId="0" fontId="2" numFmtId="209" xfId="0">
      <alignment horizontal="center" vertical="center"/>
    </xf>
    <xf applyAlignment="true" applyBorder="false" applyFill="false" applyFont="true" applyNumberFormat="true" applyProtection="false" borderId="26" fillId="0" fontId="3" numFmtId="202" xfId="0">
      <alignment horizontal="center" vertical="center"/>
    </xf>
    <xf applyAlignment="true" applyBorder="false" applyFill="false" applyFont="true" applyNumberFormat="true" applyProtection="false" borderId="27" fillId="0" fontId="3" numFmtId="202" xfId="0">
      <alignment horizontal="center" vertical="center"/>
    </xf>
    <xf applyAlignment="true" applyBorder="false" applyFill="false" applyFont="true" applyNumberFormat="true" applyProtection="false" borderId="22" fillId="0" fontId="3" numFmtId="202" xfId="0">
      <alignment horizontal="center" vertical="center"/>
    </xf>
    <xf applyAlignment="true" applyBorder="false" applyFill="false" applyFont="true" applyNumberFormat="true" applyProtection="false" borderId="24" fillId="0" fontId="3" numFmtId="202" xfId="0">
      <alignment horizontal="center" vertical="center"/>
    </xf>
    <xf applyAlignment="true" applyBorder="false" applyFill="false" applyFont="true" applyNumberFormat="true" applyProtection="false" borderId="24" fillId="0" fontId="3" numFmtId="205" xfId="0">
      <alignment horizontal="center" vertical="center"/>
    </xf>
    <xf applyAlignment="true" applyBorder="false" applyFill="true" applyFont="true" applyNumberFormat="true" applyProtection="false" borderId="21" fillId="28" fontId="1" numFmtId="202" xfId="0">
      <alignment horizontal="center" vertical="center"/>
    </xf>
    <xf applyAlignment="true" applyBorder="false" applyFill="true" applyFont="true" applyNumberFormat="true" applyProtection="false" borderId="21" fillId="28" fontId="5" numFmtId="202" xfId="0">
      <alignment horizontal="center" vertical="center"/>
    </xf>
    <xf applyAlignment="true" applyBorder="false" applyFill="true" applyFont="true" applyNumberFormat="true" applyProtection="false" borderId="21" fillId="28" fontId="5" numFmtId="205" xfId="0">
      <alignment horizontal="center" vertical="center"/>
    </xf>
    <xf applyAlignment="true" applyBorder="false" applyFill="true" applyFont="true" applyNumberFormat="true" applyProtection="false" borderId="27" fillId="28" fontId="5" numFmtId="209" xfId="0">
      <alignment horizontal="center" vertical="center"/>
    </xf>
    <xf applyAlignment="true" applyBorder="false" applyFill="true" applyFont="true" applyNumberFormat="true" applyProtection="false" borderId="21" fillId="28" fontId="5" numFmtId="207" xfId="0">
      <alignment horizontal="center" vertical="center"/>
    </xf>
    <xf applyAlignment="true" applyBorder="false" applyFill="true" applyFont="true" applyNumberFormat="true" applyProtection="false" borderId="25" fillId="28" fontId="5" numFmtId="210" xfId="0">
      <alignment horizontal="center" vertical="center"/>
    </xf>
    <xf applyAlignment="true" applyBorder="false" applyFill="true" applyFont="true" applyNumberFormat="true" applyProtection="false" borderId="21" fillId="28" fontId="1" numFmtId="208" xfId="0">
      <alignment horizontal="center" vertical="center"/>
    </xf>
    <xf applyAlignment="true" applyBorder="false" applyFill="true" applyFont="true" applyNumberFormat="true" applyProtection="false" borderId="21" fillId="28" fontId="1" numFmtId="209" xfId="0">
      <alignment horizontal="center" vertical="center"/>
    </xf>
    <xf applyAlignment="true" applyBorder="false" applyFill="false" applyFont="true" applyNumberFormat="true" applyProtection="false" borderId="21" fillId="0" fontId="2" numFmtId="209" xfId="0">
      <alignment horizontal="center" vertical="center"/>
    </xf>
    <xf applyAlignment="true" applyBorder="false" applyFill="false" applyFont="true" applyNumberFormat="true" applyProtection="false" borderId="24" fillId="0" fontId="3" numFmtId="205" xfId="0">
      <alignment horizontal="center" vertical="center"/>
    </xf>
    <xf applyAlignment="true" applyBorder="false" applyFill="true" applyFont="true" applyNumberFormat="true" applyProtection="false" borderId="21" fillId="28" fontId="5" numFmtId="209" xfId="0">
      <alignment horizontal="center" vertical="center"/>
    </xf>
    <xf applyAlignment="true" applyBorder="false" applyFill="true" applyFont="true" applyNumberFormat="true" applyProtection="false" borderId="21" fillId="29" fontId="5" numFmtId="209" xfId="0">
      <alignment horizontal="center" vertical="center"/>
    </xf>
    <xf applyAlignment="true" applyBorder="false" applyFill="true" applyFont="true" applyNumberFormat="true" applyProtection="false" borderId="21" fillId="29" fontId="5" numFmtId="202" xfId="0">
      <alignment horizontal="center" vertical="center"/>
    </xf>
    <xf applyAlignment="true" applyBorder="false" applyFill="true" applyFont="true" applyNumberFormat="true" applyProtection="false" borderId="21" fillId="29" fontId="5" numFmtId="205" xfId="0">
      <alignment horizontal="center" vertical="center"/>
    </xf>
    <xf applyAlignment="true" applyBorder="false" applyFill="true" applyFont="true" applyNumberFormat="true" applyProtection="false" borderId="21" fillId="29" fontId="5" numFmtId="209" xfId="0">
      <alignment horizontal="center" vertical="center"/>
    </xf>
    <xf applyAlignment="true" applyBorder="false" applyFill="true" applyFont="true" applyNumberFormat="true" applyProtection="false" borderId="25" fillId="29" fontId="5" numFmtId="209" xfId="0">
      <alignment horizontal="center" vertical="center"/>
    </xf>
    <xf applyAlignment="true" applyBorder="false" applyFill="true" applyFont="true" applyNumberFormat="true" applyProtection="false" borderId="21" fillId="29" fontId="5" numFmtId="208" xfId="0">
      <alignment horizontal="center" vertical="center"/>
    </xf>
    <xf applyAlignment="true" applyBorder="false" applyFill="true" applyFont="true" applyNumberFormat="true" applyProtection="false" borderId="21" fillId="29" fontId="6" numFmtId="211" xfId="0">
      <alignment horizontal="center" vertical="center"/>
    </xf>
    <xf applyAlignment="true" applyBorder="false" applyFill="true" applyFont="true" applyNumberFormat="true" applyProtection="false" borderId="22" fillId="24" fontId="1" numFmtId="202" xfId="0">
      <alignment horizontal="center" vertical="center"/>
    </xf>
    <xf applyAlignment="true" applyBorder="false" applyFill="false" applyFont="true" applyNumberFormat="true" applyProtection="false" borderId="21" fillId="0" fontId="3" numFmtId="205" xfId="0">
      <alignment horizontal="center" vertical="center"/>
    </xf>
    <xf applyAlignment="true" applyBorder="false" applyFill="true" applyFont="true" applyNumberFormat="true" applyProtection="false" borderId="21" fillId="27" fontId="3" numFmtId="204" xfId="0">
      <alignment horizontal="center" vertical="center"/>
    </xf>
    <xf applyAlignment="true" applyBorder="false" applyFill="false" applyFont="true" applyNumberFormat="true" applyProtection="false" borderId="24" fillId="0" fontId="3" numFmtId="201" xfId="0">
      <alignment horizontal="center" vertical="center"/>
    </xf>
    <xf applyAlignment="true" applyBorder="false" applyFill="true" applyFont="true" applyNumberFormat="true" applyProtection="false" borderId="24" fillId="28" fontId="1" numFmtId="202" xfId="0">
      <alignment horizontal="center" vertical="center"/>
    </xf>
    <xf applyAlignment="true" applyBorder="false" applyFill="true" applyFont="true" applyNumberFormat="true" applyProtection="false" borderId="24" fillId="28" fontId="5" numFmtId="202" xfId="0">
      <alignment horizontal="center" vertical="center"/>
    </xf>
    <xf applyAlignment="true" applyBorder="false" applyFill="true" applyFont="true" applyNumberFormat="true" applyProtection="false" borderId="24" fillId="28" fontId="5" numFmtId="205" xfId="0">
      <alignment horizontal="center" vertical="center"/>
    </xf>
    <xf applyAlignment="true" applyBorder="false" applyFill="true" applyFont="true" applyNumberFormat="true" applyProtection="false" borderId="24" fillId="28" fontId="5" numFmtId="209" xfId="0">
      <alignment horizontal="center" vertical="center"/>
    </xf>
    <xf applyAlignment="true" applyBorder="false" applyFill="true" applyFont="true" applyNumberFormat="true" applyProtection="false" borderId="24" fillId="28" fontId="5" numFmtId="207" xfId="0">
      <alignment horizontal="center" vertical="center"/>
    </xf>
    <xf applyAlignment="true" applyBorder="false" applyFill="true" applyFont="true" applyNumberFormat="true" applyProtection="false" borderId="28" fillId="28" fontId="5" numFmtId="210" xfId="0">
      <alignment horizontal="center" vertical="center"/>
    </xf>
    <xf applyAlignment="true" applyBorder="false" applyFill="true" applyFont="true" applyNumberFormat="true" applyProtection="false" borderId="24" fillId="28" fontId="1" numFmtId="208" xfId="0">
      <alignment horizontal="center" vertical="center"/>
    </xf>
    <xf applyAlignment="true" applyBorder="false" applyFill="true" applyFont="true" applyNumberFormat="true" applyProtection="false" borderId="24" fillId="28" fontId="1" numFmtId="209" xfId="0">
      <alignment horizontal="center" vertical="center"/>
    </xf>
    <xf applyAlignment="true" applyBorder="false" applyFill="false" applyFont="true" applyNumberFormat="true" applyProtection="false" borderId="26" fillId="0" fontId="3" numFmtId="201" xfId="0">
      <alignment horizontal="center" vertical="center"/>
    </xf>
    <xf applyAlignment="true" applyBorder="false" applyFill="true" applyFont="true" applyNumberFormat="true" applyProtection="false" borderId="26" fillId="29" fontId="5" numFmtId="209" xfId="0">
      <alignment horizontal="center" vertical="center"/>
    </xf>
    <xf applyAlignment="true" applyBorder="false" applyFill="true" applyFont="true" applyNumberFormat="true" applyProtection="false" borderId="26" fillId="29" fontId="5" numFmtId="202" xfId="0">
      <alignment horizontal="center" vertical="center"/>
    </xf>
    <xf applyAlignment="true" applyBorder="false" applyFill="true" applyFont="true" applyNumberFormat="true" applyProtection="false" borderId="26" fillId="29" fontId="5" numFmtId="211" xfId="0">
      <alignment horizontal="center" vertical="center"/>
    </xf>
    <xf applyAlignment="true" applyBorder="false" applyFill="true" applyFont="true" applyNumberFormat="true" applyProtection="false" borderId="26" fillId="29" fontId="5" numFmtId="209" xfId="0">
      <alignment horizontal="center" vertical="center"/>
    </xf>
    <xf applyAlignment="true" applyBorder="false" applyFill="true" applyFont="true" applyNumberFormat="true" applyProtection="false" borderId="26" fillId="29" fontId="5" numFmtId="208" xfId="0">
      <alignment horizontal="center" vertical="center"/>
    </xf>
    <xf applyAlignment="true" applyBorder="false" applyFill="true" applyFont="true" applyNumberFormat="true" applyProtection="false" borderId="26" fillId="29" fontId="6" numFmtId="211" xfId="0">
      <alignment horizontal="center" vertical="center"/>
    </xf>
    <xf applyAlignment="true" applyBorder="false" applyFill="true" applyFont="true" applyNumberFormat="true" applyProtection="false" borderId="26" fillId="23" fontId="1" numFmtId="201" xfId="0">
      <alignment horizontal="center" vertical="center"/>
    </xf>
    <xf applyAlignment="true" applyBorder="false" applyFill="true" applyFont="true" applyNumberFormat="true" applyProtection="false" borderId="26" fillId="24" fontId="1" numFmtId="202" xfId="0">
      <alignment horizontal="center" vertical="center"/>
    </xf>
    <xf applyAlignment="true" applyBorder="false" applyFill="true" applyFont="true" applyNumberFormat="false" applyProtection="false" borderId="26" fillId="25" fontId="1" numFmtId="0" xfId="0">
      <alignment horizontal="center" vertical="center"/>
    </xf>
    <xf applyAlignment="true" applyBorder="false" applyFill="true" applyFont="true" applyNumberFormat="true" applyProtection="false" borderId="26" fillId="26" fontId="1" numFmtId="203" xfId="0">
      <alignment horizontal="center" vertical="center"/>
    </xf>
    <xf applyAlignment="true" applyBorder="false" applyFill="true" applyFont="true" applyNumberFormat="true" applyProtection="false" borderId="26" fillId="24" fontId="1" numFmtId="202" xfId="0">
      <alignment horizontal="center" vertical="center"/>
    </xf>
    <xf applyAlignment="true" applyBorder="false" applyFill="true" applyFont="true" applyNumberFormat="true" applyProtection="false" borderId="26" fillId="24" fontId="1" numFmtId="205" xfId="0">
      <alignment horizontal="center" vertical="center"/>
    </xf>
    <xf applyAlignment="true" applyBorder="false" applyFill="true" applyFont="true" applyNumberFormat="true" applyProtection="false" borderId="26" fillId="24" fontId="1" numFmtId="206" xfId="0">
      <alignment horizontal="center" vertical="center"/>
    </xf>
    <xf applyAlignment="true" applyBorder="false" applyFill="true" applyFont="true" applyNumberFormat="true" applyProtection="false" borderId="26" fillId="24" fontId="1" numFmtId="207" xfId="0">
      <alignment horizontal="center" vertical="center"/>
    </xf>
    <xf applyAlignment="true" applyBorder="false" applyFill="true" applyFont="true" applyNumberFormat="true" applyProtection="false" borderId="26" fillId="25" fontId="1" numFmtId="208" xfId="0">
      <alignment horizontal="center" vertical="center"/>
    </xf>
    <xf applyAlignment="true" applyBorder="false" applyFill="true" applyFont="true" applyNumberFormat="true" applyProtection="false" borderId="26" fillId="26" fontId="1" numFmtId="203" xfId="0">
      <alignment horizontal="center" vertical="center"/>
    </xf>
    <xf applyAlignment="true" applyBorder="false" applyFill="false" applyFont="true" applyNumberFormat="true" applyProtection="false" borderId="26" fillId="0" fontId="2" numFmtId="209" xfId="0">
      <alignment horizontal="center" vertical="center"/>
    </xf>
    <xf applyAlignment="true" applyBorder="false" applyFill="false" applyFont="true" applyNumberFormat="true" applyProtection="false" borderId="29" fillId="0" fontId="3" numFmtId="202" xfId="0">
      <alignment horizontal="center" vertical="center"/>
    </xf>
    <xf applyAlignment="true" applyBorder="false" applyFill="false" applyFont="true" applyNumberFormat="true" applyProtection="false" borderId="29" fillId="0" fontId="3" numFmtId="202" xfId="0">
      <alignment horizontal="center" vertical="center"/>
    </xf>
    <xf applyAlignment="true" applyBorder="false" applyFill="false" applyFont="true" applyNumberFormat="true" applyProtection="false" borderId="26" fillId="0" fontId="3" numFmtId="202" xfId="0">
      <alignment horizontal="center" vertical="center"/>
    </xf>
    <xf applyAlignment="true" applyBorder="false" applyFill="false" applyFont="true" applyNumberFormat="true" applyProtection="false" borderId="26" fillId="0" fontId="3" numFmtId="205" xfId="0">
      <alignment horizontal="center" vertical="center"/>
    </xf>
    <xf applyAlignment="true" applyBorder="false" applyFill="false" applyFont="true" applyNumberFormat="true" applyProtection="false" borderId="26" fillId="0" fontId="3" numFmtId="207" xfId="0">
      <alignment horizontal="center" vertical="center"/>
    </xf>
    <xf applyAlignment="true" applyBorder="false" applyFill="false" applyFont="true" applyNumberFormat="true" applyProtection="false" borderId="26" fillId="0" fontId="4" numFmtId="208" xfId="0">
      <alignment horizontal="center" vertical="center"/>
    </xf>
    <xf applyAlignment="true" applyBorder="false" applyFill="false" applyFont="true" applyNumberFormat="true" applyProtection="false" borderId="26" fillId="0" fontId="3" numFmtId="208" xfId="0">
      <alignment horizontal="center" vertical="center"/>
    </xf>
    <xf applyAlignment="true" applyBorder="false" applyFill="false" applyFont="true" applyNumberFormat="true" applyProtection="false" borderId="26" fillId="0" fontId="3" numFmtId="210" xfId="0">
      <alignment horizontal="center" vertical="center"/>
    </xf>
    <xf applyAlignment="true" applyBorder="false" applyFill="false" applyFont="true" applyNumberFormat="true" applyProtection="false" borderId="26" fillId="0" fontId="3" numFmtId="204" xfId="0">
      <alignment horizontal="center" vertical="center"/>
    </xf>
    <xf applyAlignment="true" applyBorder="false" applyFill="true" applyFont="true" applyNumberFormat="true" applyProtection="false" borderId="26" fillId="27" fontId="3" numFmtId="204" xfId="0">
      <alignment horizontal="center" vertical="center"/>
    </xf>
    <xf applyAlignment="true" applyBorder="false" applyFill="false" applyFont="true" applyNumberFormat="false" applyProtection="false" borderId="26" fillId="0" fontId="2" numFmtId="0" xfId="0">
      <alignment horizontal="center" vertical="center"/>
    </xf>
    <xf applyAlignment="true" applyBorder="false" applyFill="false" applyFont="true" applyNumberFormat="false" applyProtection="false" borderId="26" fillId="0" fontId="2" numFmtId="0" xfId="0">
      <alignment horizontal="center" vertical="center"/>
    </xf>
    <xf applyAlignment="true" applyBorder="false" applyFill="false" applyFont="true" applyNumberFormat="true" applyProtection="false" borderId="30" fillId="0" fontId="3" numFmtId="201" xfId="0">
      <alignment horizontal="center" vertical="center"/>
    </xf>
    <xf applyAlignment="true" applyBorder="false" applyFill="false" applyFont="true" applyNumberFormat="true" applyProtection="false" borderId="31" fillId="0" fontId="2" numFmtId="209" xfId="0">
      <alignment horizontal="center" vertical="center"/>
    </xf>
    <xf applyAlignment="true" applyBorder="false" applyFill="false" applyFont="true" applyNumberFormat="true" applyProtection="false" borderId="32" fillId="0" fontId="3" numFmtId="202" xfId="0">
      <alignment horizontal="center" vertical="center"/>
    </xf>
    <xf applyAlignment="true" applyBorder="false" applyFill="false" applyFont="true" applyNumberFormat="true" applyProtection="false" borderId="30" fillId="0" fontId="3" numFmtId="202" xfId="0">
      <alignment horizontal="center" vertical="center"/>
    </xf>
    <xf applyAlignment="true" applyBorder="false" applyFill="false" applyFont="true" applyNumberFormat="true" applyProtection="false" borderId="30" fillId="0" fontId="3" numFmtId="205" xfId="0">
      <alignment horizontal="center" vertical="center"/>
    </xf>
    <xf applyAlignment="true" applyBorder="false" applyFill="false" applyFont="true" applyNumberFormat="true" applyProtection="false" borderId="30" fillId="0" fontId="3" numFmtId="207" xfId="0">
      <alignment horizontal="center" vertical="center"/>
    </xf>
    <xf applyAlignment="true" applyBorder="false" applyFill="false" applyFont="true" applyNumberFormat="true" applyProtection="false" borderId="30" fillId="0" fontId="4" numFmtId="208" xfId="0">
      <alignment horizontal="center" vertical="center"/>
    </xf>
    <xf applyAlignment="true" applyBorder="false" applyFill="false" applyFont="true" applyNumberFormat="true" applyProtection="false" borderId="30" fillId="0" fontId="3" numFmtId="208" xfId="0">
      <alignment horizontal="center" vertical="center"/>
    </xf>
    <xf applyAlignment="true" applyBorder="false" applyFill="false" applyFont="true" applyNumberFormat="true" applyProtection="false" borderId="30" fillId="0" fontId="3" numFmtId="210" xfId="0">
      <alignment horizontal="center" vertical="center"/>
    </xf>
    <xf applyAlignment="true" applyBorder="false" applyFill="false" applyFont="true" applyNumberFormat="true" applyProtection="false" borderId="30" fillId="0" fontId="3" numFmtId="204" xfId="0">
      <alignment horizontal="center" vertical="center"/>
    </xf>
    <xf applyAlignment="true" applyBorder="false" applyFill="true" applyFont="true" applyNumberFormat="true" applyProtection="false" borderId="30" fillId="27" fontId="3" numFmtId="204" xfId="0">
      <alignment horizontal="center" vertical="center"/>
    </xf>
    <xf applyAlignment="true" applyBorder="false" applyFill="false" applyFont="true" applyNumberFormat="false" applyProtection="false" borderId="33" fillId="0" fontId="2" numFmtId="0" xfId="0">
      <alignment horizontal="center" vertical="center"/>
    </xf>
    <xf applyAlignment="true" applyBorder="false" applyFill="false" applyFont="true" applyNumberFormat="false" applyProtection="false" borderId="22" fillId="0" fontId="2" numFmtId="0" xfId="0">
      <alignment horizontal="center" vertical="center"/>
    </xf>
    <xf applyAlignment="true" applyBorder="false" applyFill="false" applyFont="true" applyNumberFormat="false" applyProtection="false" borderId="22" fillId="0" fontId="2" numFmtId="0" xfId="0">
      <alignment horizontal="center" vertical="center"/>
    </xf>
    <xf applyAlignment="true" applyBorder="false" applyFill="false" applyFont="true" applyNumberFormat="true" applyProtection="false" borderId="34" fillId="0" fontId="2" numFmtId="209" xfId="0">
      <alignment horizontal="center" vertical="center"/>
    </xf>
    <xf applyAlignment="true" applyBorder="false" applyFill="false" applyFont="true" applyNumberFormat="true" applyProtection="false" borderId="35" fillId="0" fontId="3" numFmtId="202" xfId="0">
      <alignment horizontal="center" vertical="center"/>
    </xf>
    <xf applyAlignment="true" applyBorder="false" applyFill="false" applyFont="true" applyNumberFormat="false" applyProtection="false" borderId="27" fillId="0" fontId="2" numFmtId="0" xfId="0">
      <alignment horizontal="center" vertical="center"/>
    </xf>
    <xf applyAlignment="true" applyBorder="false" applyFill="false" applyFont="true" applyNumberFormat="true" applyProtection="false" borderId="30" fillId="0" fontId="3" numFmtId="202" xfId="0">
      <alignment horizontal="center" vertical="center"/>
    </xf>
    <xf applyAlignment="true" applyBorder="false" applyFill="true" applyFont="true" applyNumberFormat="true" applyProtection="false" borderId="26" fillId="28" fontId="1" numFmtId="202" xfId="0">
      <alignment horizontal="center" vertical="center"/>
    </xf>
    <xf applyAlignment="true" applyBorder="false" applyFill="true" applyFont="true" applyNumberFormat="true" applyProtection="false" borderId="26" fillId="28" fontId="5" numFmtId="202" xfId="0">
      <alignment horizontal="center" vertical="center"/>
    </xf>
    <xf applyAlignment="true" applyBorder="false" applyFill="true" applyFont="true" applyNumberFormat="true" applyProtection="false" borderId="26" fillId="28" fontId="5" numFmtId="205" xfId="0">
      <alignment horizontal="center" vertical="center"/>
    </xf>
    <xf applyAlignment="true" applyBorder="false" applyFill="true" applyFont="true" applyNumberFormat="true" applyProtection="false" borderId="26" fillId="28" fontId="5" numFmtId="209" xfId="0">
      <alignment horizontal="center" vertical="center"/>
    </xf>
    <xf applyAlignment="true" applyBorder="false" applyFill="true" applyFont="true" applyNumberFormat="true" applyProtection="false" borderId="26" fillId="28" fontId="5" numFmtId="207" xfId="0">
      <alignment horizontal="center" vertical="center"/>
    </xf>
    <xf applyAlignment="true" applyBorder="false" applyFill="true" applyFont="true" applyNumberFormat="true" applyProtection="false" borderId="26" fillId="28" fontId="5" numFmtId="210" xfId="0">
      <alignment horizontal="center" vertical="center"/>
    </xf>
    <xf applyAlignment="true" applyBorder="false" applyFill="true" applyFont="true" applyNumberFormat="true" applyProtection="false" borderId="26" fillId="28" fontId="1" numFmtId="208" xfId="0">
      <alignment horizontal="center" vertical="center"/>
    </xf>
    <xf applyAlignment="true" applyBorder="false" applyFill="true" applyFont="true" applyNumberFormat="true" applyProtection="false" borderId="26" fillId="28" fontId="1" numFmtId="209" xfId="0">
      <alignment horizontal="center" vertical="center"/>
    </xf>
    <xf applyAlignment="true" applyBorder="false" applyFill="true" applyFont="true" applyNumberFormat="true" applyProtection="false" borderId="27" fillId="28" fontId="5" numFmtId="205" xfId="0">
      <alignment horizontal="center" vertical="center"/>
    </xf>
    <xf applyAlignment="true" applyBorder="false" applyFill="false" applyFont="true" applyNumberFormat="true" applyProtection="false" borderId="26" fillId="0" fontId="3" numFmtId="205" xfId="0">
      <alignment horizontal="center" vertical="center"/>
    </xf>
    <xf applyAlignment="true" applyBorder="false" applyFill="true" applyFont="true" applyNumberFormat="true" applyProtection="false" borderId="26" fillId="27" fontId="3" numFmtId="204" xfId="0">
      <alignment horizontal="center" vertical="center"/>
    </xf>
    <xf applyAlignment="true" applyBorder="false" applyFill="true" applyFont="true" applyNumberFormat="true" applyProtection="false" borderId="27" fillId="29" fontId="5" numFmtId="211" xfId="0">
      <alignment horizontal="center" vertical="center"/>
    </xf>
    <xf applyAlignment="true" applyBorder="false" applyFill="true" applyFont="true" applyNumberFormat="true" applyProtection="false" borderId="21" fillId="29" fontId="5" numFmtId="211" xfId="0">
      <alignment horizontal="center" vertical="center"/>
    </xf>
    <xf applyAlignment="true" applyBorder="false" applyFill="false" applyFont="true" applyNumberFormat="true" applyProtection="false" borderId="27" fillId="0" fontId="2" numFmtId="205" xfId="0">
      <alignment horizontal="center" vertical="center"/>
    </xf>
    <xf applyAlignment="true" applyBorder="false" applyFill="false" applyFont="true" applyNumberFormat="true" applyProtection="false" borderId="21" fillId="0" fontId="2" numFmtId="205" xfId="0">
      <alignment horizontal="center" vertical="center"/>
    </xf>
    <xf applyAlignment="true" applyBorder="false" applyFill="false" applyFont="true" applyNumberFormat="true" applyProtection="false" borderId="21" fillId="0" fontId="2" numFmtId="205" xfId="0">
      <alignment horizontal="center" vertical="center"/>
    </xf>
    <xf applyAlignment="true" applyBorder="false" applyFill="false" applyFont="true" applyNumberFormat="true" applyProtection="false" borderId="22" fillId="0" fontId="3" numFmtId="202" xfId="0">
      <alignment horizontal="center" vertical="center"/>
    </xf>
    <xf applyAlignment="true" applyBorder="false" applyFill="true" applyFont="true" applyNumberFormat="true" applyProtection="false" borderId="21" fillId="24" fontId="1" numFmtId="205" xfId="0">
      <alignment horizontal="center" vertical="center"/>
    </xf>
    <xf applyAlignment="true" applyBorder="false" applyFill="true" applyFont="true" applyNumberFormat="true" applyProtection="false" borderId="21" fillId="24" fontId="1" numFmtId="206" xfId="0">
      <alignment horizontal="center" vertical="center"/>
    </xf>
    <xf applyAlignment="true" applyBorder="false" applyFill="true" applyFont="true" applyNumberFormat="true" applyProtection="false" borderId="21" fillId="24" fontId="1" numFmtId="207" xfId="0">
      <alignment horizontal="center" vertical="center"/>
    </xf>
    <xf applyAlignment="true" applyBorder="false" applyFill="false" applyFont="true" applyNumberFormat="true" applyProtection="false" borderId="25" fillId="0" fontId="3" numFmtId="202" xfId="0">
      <alignment horizontal="center" vertical="center"/>
    </xf>
    <xf applyAlignment="true" applyBorder="false" applyFill="false" applyFont="true" applyNumberFormat="true" applyProtection="false" borderId="33" fillId="0" fontId="3" numFmtId="202" xfId="0">
      <alignment horizontal="center" vertical="center"/>
    </xf>
    <xf applyAlignment="true" applyBorder="false" applyFill="false" applyFont="true" applyNumberFormat="true" applyProtection="false" borderId="22" fillId="0" fontId="3" numFmtId="205" xfId="0">
      <alignment horizontal="center" vertical="center"/>
    </xf>
    <xf applyAlignment="true" applyBorder="false" applyFill="false" applyFont="true" applyNumberFormat="true" applyProtection="false" borderId="22" fillId="0" fontId="3" numFmtId="207" xfId="0">
      <alignment horizontal="center" vertical="center"/>
    </xf>
    <xf applyAlignment="true" applyBorder="false" applyFill="false" applyFont="true" applyNumberFormat="true" applyProtection="false" borderId="22" fillId="0" fontId="4" numFmtId="208" xfId="0">
      <alignment horizontal="center" vertical="center"/>
    </xf>
    <xf applyAlignment="true" applyBorder="false" applyFill="false" applyFont="true" applyNumberFormat="true" applyProtection="false" borderId="22" fillId="0" fontId="3" numFmtId="208" xfId="0">
      <alignment horizontal="center" vertical="center"/>
    </xf>
    <xf applyAlignment="true" applyBorder="false" applyFill="false" applyFont="true" applyNumberFormat="true" applyProtection="false" borderId="22" fillId="0" fontId="3" numFmtId="210" xfId="0">
      <alignment horizontal="center" vertical="center"/>
    </xf>
    <xf applyAlignment="true" applyBorder="false" applyFill="false" applyFont="true" applyNumberFormat="true" applyProtection="false" borderId="22" fillId="0" fontId="3" numFmtId="204" xfId="0">
      <alignment horizontal="center" vertical="center"/>
    </xf>
    <xf applyAlignment="true" applyBorder="false" applyFill="true" applyFont="true" applyNumberFormat="true" applyProtection="false" borderId="21" fillId="28" fontId="5" numFmtId="210" xfId="0">
      <alignment horizontal="center" vertical="center"/>
    </xf>
    <xf applyAlignment="true" applyBorder="false" applyFill="true" applyFont="true" applyNumberFormat="true" applyProtection="false" borderId="26" fillId="28" fontId="5" numFmtId="211" xfId="0">
      <alignment horizontal="center" vertical="center"/>
    </xf>
    <xf applyAlignment="true" applyBorder="false" applyFill="false" applyFont="true" applyNumberFormat="true" applyProtection="false" borderId="27" fillId="0" fontId="3" numFmtId="202" xfId="0">
      <alignment horizontal="center" vertical="center"/>
    </xf>
    <xf applyAlignment="true" applyBorder="false" applyFill="false" applyFont="true" applyNumberFormat="true" applyProtection="false" borderId="27" fillId="0" fontId="2" numFmtId="211" xfId="0">
      <alignment horizontal="center" vertical="center"/>
    </xf>
    <xf applyAlignment="true" applyBorder="false" applyFill="false" applyFont="true" applyNumberFormat="true" applyProtection="false" borderId="21" fillId="0" fontId="2" numFmtId="211" xfId="0">
      <alignment horizontal="center" vertical="center"/>
    </xf>
    <xf applyAlignment="true" applyBorder="false" applyFill="false" applyFont="true" applyNumberFormat="true" applyProtection="false" borderId="21" fillId="0" fontId="2" numFmtId="211" xfId="0">
      <alignment horizontal="center" vertical="center"/>
    </xf>
    <xf applyAlignment="true" applyBorder="false" applyFill="false" applyFont="true" applyNumberFormat="false" applyProtection="false" borderId="0" fillId="0" fontId="8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true" applyProtection="false" borderId="0" fillId="0" fontId="2" numFmtId="204" xfId="0">
      <alignment vertical="center"/>
    </xf>
    <xf applyAlignment="true" applyBorder="false" applyFill="true" applyFont="true" applyNumberFormat="false" applyProtection="false" borderId="0" fillId="27" fontId="9" numFmtId="0" xfId="0">
      <alignment horizontal="right" vertical="center" wrapText="true"/>
    </xf>
    <xf applyAlignment="true" applyBorder="false" applyFill="true" applyFont="true" applyNumberFormat="false" applyProtection="false" borderId="0" fillId="27" fontId="10" numFmtId="0" xfId="0">
      <alignment horizontal="center" vertical="center" wrapText="true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true" applyFont="true" applyNumberFormat="false" applyProtection="false" borderId="0" fillId="27" fontId="12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horizontal="center" vertical="center"/>
    </xf>
    <xf applyAlignment="true" applyBorder="false" applyFill="true" applyFont="true" applyNumberFormat="false" applyProtection="false" borderId="0" fillId="27" fontId="12" numFmtId="0" xfId="0">
      <alignment vertical="center" wrapText="true"/>
    </xf>
    <xf applyAlignment="true" applyBorder="false" applyFill="true" applyFont="true" applyNumberFormat="false" applyProtection="false" borderId="0" fillId="27" fontId="13" numFmtId="0" xfId="0">
      <alignment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true" applyProtection="false" borderId="36" fillId="30" fontId="1" numFmtId="212" xfId="0">
      <alignment horizontal="center" vertical="center"/>
    </xf>
    <xf applyAlignment="true" applyBorder="false" applyFill="true" applyFont="true" applyNumberFormat="true" applyProtection="false" borderId="36" fillId="31" fontId="1" numFmtId="213" xfId="0">
      <alignment horizontal="center" vertical="center"/>
    </xf>
    <xf applyAlignment="true" applyBorder="false" applyFill="true" applyFont="true" applyNumberFormat="false" applyProtection="false" borderId="36" fillId="32" fontId="1" numFmtId="0" xfId="0">
      <alignment horizontal="center" vertical="center"/>
    </xf>
    <xf applyAlignment="true" applyBorder="false" applyFill="true" applyFont="true" applyNumberFormat="true" applyProtection="false" borderId="36" fillId="33" fontId="1" numFmtId="214" xfId="0">
      <alignment horizontal="center" vertical="center"/>
    </xf>
    <xf applyAlignment="true" applyBorder="false" applyFill="true" applyFont="true" applyNumberFormat="true" applyProtection="false" borderId="36" fillId="31" fontId="1" numFmtId="213" xfId="0">
      <alignment horizontal="center" vertical="center"/>
    </xf>
    <xf applyAlignment="true" applyBorder="false" applyFill="true" applyFont="true" applyNumberFormat="true" applyProtection="false" borderId="36" fillId="31" fontId="1" numFmtId="215" xfId="0">
      <alignment horizontal="center" vertical="center"/>
    </xf>
    <xf applyAlignment="true" applyBorder="false" applyFill="true" applyFont="true" applyNumberFormat="true" applyProtection="false" borderId="36" fillId="31" fontId="1" numFmtId="216" xfId="0">
      <alignment horizontal="center" vertical="center"/>
    </xf>
    <xf applyAlignment="true" applyBorder="false" applyFill="true" applyFont="true" applyNumberFormat="true" applyProtection="false" borderId="36" fillId="31" fontId="1" numFmtId="217" xfId="0">
      <alignment horizontal="center" vertical="center"/>
    </xf>
    <xf applyAlignment="true" applyBorder="false" applyFill="true" applyFont="true" applyNumberFormat="true" applyProtection="false" borderId="36" fillId="32" fontId="1" numFmtId="218" xfId="0">
      <alignment horizontal="center" vertical="center"/>
    </xf>
    <xf applyAlignment="true" applyBorder="false" applyFill="true" applyFont="true" applyNumberFormat="true" applyProtection="false" borderId="36" fillId="33" fontId="1" numFmtId="214" xfId="0">
      <alignment horizontal="center" vertical="center"/>
    </xf>
    <xf applyAlignment="true" applyBorder="false" applyFill="false" applyFont="true" applyNumberFormat="true" applyProtection="false" borderId="36" fillId="0" fontId="3" numFmtId="212" xfId="0">
      <alignment horizontal="center" vertical="center"/>
    </xf>
    <xf applyAlignment="true" applyBorder="false" applyFill="false" applyFont="true" applyNumberFormat="true" applyProtection="false" borderId="37" fillId="0" fontId="2" numFmtId="219" xfId="0">
      <alignment horizontal="center" vertical="center"/>
    </xf>
    <xf applyAlignment="true" applyBorder="false" applyFill="false" applyFont="true" applyNumberFormat="true" applyProtection="false" borderId="37" fillId="0" fontId="3" numFmtId="213" xfId="0">
      <alignment horizontal="center" vertical="center"/>
    </xf>
    <xf applyAlignment="true" applyBorder="false" applyFill="false" applyFont="true" applyNumberFormat="true" applyProtection="false" borderId="38" fillId="0" fontId="3" numFmtId="213" xfId="0">
      <alignment horizontal="center" vertical="center"/>
    </xf>
    <xf applyAlignment="true" applyBorder="false" applyFill="false" applyFont="true" applyNumberFormat="true" applyProtection="false" borderId="37" fillId="0" fontId="3" numFmtId="213" xfId="0">
      <alignment horizontal="center" vertical="center"/>
    </xf>
    <xf applyAlignment="true" applyBorder="false" applyFill="false" applyFont="true" applyNumberFormat="true" applyProtection="false" borderId="37" fillId="0" fontId="3" numFmtId="215" xfId="0">
      <alignment horizontal="center" vertical="center"/>
    </xf>
    <xf applyAlignment="true" applyBorder="false" applyFill="false" applyFont="true" applyNumberFormat="true" applyProtection="false" borderId="37" fillId="0" fontId="3" numFmtId="217" xfId="0">
      <alignment horizontal="center" vertical="center"/>
    </xf>
    <xf applyAlignment="true" applyBorder="false" applyFill="false" applyFont="true" applyNumberFormat="true" applyProtection="false" borderId="37" fillId="0" fontId="4" numFmtId="218" xfId="0">
      <alignment horizontal="center" vertical="center"/>
    </xf>
    <xf applyAlignment="true" applyBorder="false" applyFill="false" applyFont="true" applyNumberFormat="true" applyProtection="false" borderId="37" fillId="0" fontId="3" numFmtId="218" xfId="0">
      <alignment horizontal="center" vertical="center"/>
    </xf>
    <xf applyAlignment="true" applyBorder="false" applyFill="false" applyFont="true" applyNumberFormat="true" applyProtection="false" borderId="37" fillId="0" fontId="3" numFmtId="220" xfId="0">
      <alignment horizontal="center" vertical="center"/>
    </xf>
    <xf applyAlignment="true" applyBorder="false" applyFill="false" applyFont="true" applyNumberFormat="true" applyProtection="false" borderId="37" fillId="0" fontId="3" numFmtId="221" xfId="0">
      <alignment horizontal="center" vertical="center"/>
    </xf>
    <xf applyAlignment="true" applyBorder="false" applyFill="true" applyFont="true" applyNumberFormat="true" applyProtection="false" borderId="37" fillId="34" fontId="3" numFmtId="221" xfId="0">
      <alignment horizontal="center" vertical="center"/>
    </xf>
    <xf applyAlignment="true" applyBorder="false" applyFill="false" applyFont="true" applyNumberFormat="true" applyProtection="false" borderId="38" fillId="0" fontId="2" numFmtId="222" xfId="0">
      <alignment horizontal="center" vertical="center"/>
    </xf>
    <xf applyAlignment="true" applyBorder="false" applyFill="false" applyFont="true" applyNumberFormat="true" applyProtection="false" borderId="37" fillId="0" fontId="2" numFmtId="222" xfId="0">
      <alignment horizontal="center" vertical="center"/>
    </xf>
    <xf applyAlignment="true" applyBorder="false" applyFill="false" applyFont="true" applyNumberFormat="true" applyProtection="false" borderId="37" fillId="0" fontId="2" numFmtId="222" xfId="0">
      <alignment horizontal="center" vertical="center"/>
    </xf>
    <xf applyAlignment="true" applyBorder="false" applyFill="false" applyFont="true" applyNumberFormat="true" applyProtection="false" borderId="39" fillId="0" fontId="3" numFmtId="213" xfId="0">
      <alignment horizontal="center" vertical="center"/>
    </xf>
    <xf applyAlignment="true" applyBorder="false" applyFill="false" applyFont="true" applyNumberFormat="true" applyProtection="false" borderId="36" fillId="0" fontId="2" numFmtId="219" xfId="0">
      <alignment horizontal="center" vertical="center"/>
    </xf>
    <xf applyAlignment="true" applyBorder="false" applyFill="false" applyFont="true" applyNumberFormat="true" applyProtection="false" borderId="39" fillId="0" fontId="3" numFmtId="213" xfId="0">
      <alignment horizontal="center" vertical="center"/>
    </xf>
    <xf applyAlignment="true" applyBorder="false" applyFill="false" applyFont="true" applyNumberFormat="true" applyProtection="false" borderId="36" fillId="0" fontId="3" numFmtId="213" xfId="0">
      <alignment horizontal="center" vertical="center"/>
    </xf>
    <xf applyAlignment="true" applyBorder="false" applyFill="false" applyFont="true" applyNumberFormat="true" applyProtection="false" borderId="40" fillId="0" fontId="3" numFmtId="213" xfId="0">
      <alignment horizontal="center" vertical="center"/>
    </xf>
    <xf applyAlignment="true" applyBorder="false" applyFill="false" applyFont="true" applyNumberFormat="true" applyProtection="false" borderId="36" fillId="0" fontId="3" numFmtId="213" xfId="0">
      <alignment horizontal="center" vertical="center"/>
    </xf>
    <xf applyAlignment="true" applyBorder="false" applyFill="false" applyFont="true" applyNumberFormat="true" applyProtection="false" borderId="36" fillId="0" fontId="3" numFmtId="215" xfId="0">
      <alignment horizontal="center" vertical="center"/>
    </xf>
    <xf applyAlignment="true" applyBorder="false" applyFill="false" applyFont="true" applyNumberFormat="true" applyProtection="false" borderId="36" fillId="0" fontId="3" numFmtId="217" xfId="0">
      <alignment horizontal="center" vertical="center"/>
    </xf>
    <xf applyAlignment="true" applyBorder="false" applyFill="false" applyFont="true" applyNumberFormat="true" applyProtection="false" borderId="36" fillId="0" fontId="4" numFmtId="218" xfId="0">
      <alignment horizontal="center" vertical="center"/>
    </xf>
    <xf applyAlignment="true" applyBorder="false" applyFill="false" applyFont="true" applyNumberFormat="true" applyProtection="false" borderId="36" fillId="0" fontId="3" numFmtId="218" xfId="0">
      <alignment horizontal="center" vertical="center"/>
    </xf>
    <xf applyAlignment="true" applyBorder="false" applyFill="false" applyFont="true" applyNumberFormat="true" applyProtection="false" borderId="36" fillId="0" fontId="3" numFmtId="220" xfId="0">
      <alignment horizontal="center" vertical="center"/>
    </xf>
    <xf applyAlignment="true" applyBorder="false" applyFill="true" applyFont="true" applyNumberFormat="true" applyProtection="false" borderId="37" fillId="34" fontId="3" numFmtId="221" xfId="0">
      <alignment horizontal="center" vertical="center"/>
    </xf>
    <xf applyAlignment="true" applyBorder="false" applyFill="false" applyFont="true" applyNumberFormat="false" applyProtection="false" borderId="38" fillId="0" fontId="2" numFmtId="0" xfId="0">
      <alignment horizontal="center" vertical="center"/>
    </xf>
    <xf applyAlignment="true" applyBorder="false" applyFill="false" applyFont="true" applyNumberFormat="false" applyProtection="false" borderId="37" fillId="0" fontId="2" numFmtId="0" xfId="0">
      <alignment horizontal="center" vertical="center"/>
    </xf>
    <xf applyAlignment="true" applyBorder="false" applyFill="false" applyFont="true" applyNumberFormat="false" applyProtection="false" borderId="37" fillId="0" fontId="2" numFmtId="0" xfId="0">
      <alignment horizontal="center" vertical="center"/>
    </xf>
    <xf applyAlignment="true" applyBorder="false" applyFill="true" applyFont="true" applyNumberFormat="true" applyProtection="false" borderId="36" fillId="35" fontId="1" numFmtId="213" xfId="0">
      <alignment horizontal="center" vertical="center"/>
    </xf>
    <xf applyAlignment="true" applyBorder="false" applyFill="true" applyFont="true" applyNumberFormat="true" applyProtection="false" borderId="36" fillId="35" fontId="5" numFmtId="213" xfId="0">
      <alignment horizontal="center" vertical="center"/>
    </xf>
    <xf applyAlignment="true" applyBorder="false" applyFill="true" applyFont="true" applyNumberFormat="true" applyProtection="false" borderId="36" fillId="35" fontId="5" numFmtId="222" xfId="0">
      <alignment horizontal="center" vertical="center"/>
    </xf>
    <xf applyAlignment="true" applyBorder="false" applyFill="true" applyFont="true" applyNumberFormat="true" applyProtection="false" borderId="36" fillId="35" fontId="5" numFmtId="219" xfId="0">
      <alignment horizontal="center" vertical="center"/>
    </xf>
    <xf applyAlignment="true" applyBorder="false" applyFill="true" applyFont="true" applyNumberFormat="true" applyProtection="false" borderId="36" fillId="35" fontId="5" numFmtId="217" xfId="0">
      <alignment horizontal="center" vertical="center"/>
    </xf>
    <xf applyAlignment="true" applyBorder="false" applyFill="true" applyFont="true" applyNumberFormat="true" applyProtection="false" borderId="36" fillId="35" fontId="5" numFmtId="220" xfId="0">
      <alignment horizontal="center" vertical="center"/>
    </xf>
    <xf applyAlignment="true" applyBorder="false" applyFill="true" applyFont="true" applyNumberFormat="true" applyProtection="false" borderId="36" fillId="35" fontId="1" numFmtId="218" xfId="0">
      <alignment horizontal="center" vertical="center"/>
    </xf>
    <xf applyAlignment="true" applyBorder="false" applyFill="true" applyFont="true" applyNumberFormat="true" applyProtection="false" borderId="36" fillId="35" fontId="1" numFmtId="219" xfId="0">
      <alignment horizontal="center" vertical="center"/>
    </xf>
    <xf applyAlignment="true" applyBorder="false" applyFill="true" applyFont="true" applyNumberFormat="true" applyProtection="false" borderId="36" fillId="36" fontId="5" numFmtId="219" xfId="0">
      <alignment horizontal="center" vertical="center"/>
    </xf>
    <xf applyAlignment="true" applyBorder="false" applyFill="true" applyFont="true" applyNumberFormat="true" applyProtection="false" borderId="36" fillId="36" fontId="5" numFmtId="213" xfId="0">
      <alignment horizontal="center" vertical="center"/>
    </xf>
    <xf applyAlignment="true" applyBorder="false" applyFill="true" applyFont="true" applyNumberFormat="true" applyProtection="false" borderId="36" fillId="36" fontId="5" numFmtId="222" xfId="0">
      <alignment horizontal="center" vertical="center"/>
    </xf>
    <xf applyAlignment="true" applyBorder="false" applyFill="true" applyFont="true" applyNumberFormat="true" applyProtection="false" borderId="36" fillId="36" fontId="5" numFmtId="219" xfId="0">
      <alignment horizontal="center" vertical="center"/>
    </xf>
    <xf applyAlignment="true" applyBorder="false" applyFill="true" applyFont="true" applyNumberFormat="true" applyProtection="false" borderId="36" fillId="36" fontId="5" numFmtId="218" xfId="0">
      <alignment horizontal="center" vertical="center"/>
    </xf>
    <xf applyAlignment="true" applyBorder="false" applyFill="true" applyFont="true" applyNumberFormat="true" applyProtection="false" borderId="36" fillId="36" fontId="6" numFmtId="222" xfId="0">
      <alignment horizontal="center" vertical="center"/>
    </xf>
    <xf applyAlignment="true" applyBorder="false" applyFill="false" applyFont="true" applyNumberFormat="true" applyProtection="false" borderId="37" fillId="0" fontId="2" numFmtId="213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vertical="center"/>
    </xf>
    <xf applyAlignment="true" applyBorder="false" applyFill="false" applyFont="true" applyNumberFormat="true" applyProtection="false" borderId="37" fillId="0" fontId="3" numFmtId="215" xfId="0">
      <alignment horizontal="center" vertical="center"/>
    </xf>
    <xf applyAlignment="true" applyBorder="false" applyFill="true" applyFont="true" applyNumberFormat="true" applyProtection="false" borderId="37" fillId="30" fontId="1" numFmtId="212" xfId="0">
      <alignment horizontal="center" vertical="center"/>
    </xf>
    <xf applyAlignment="true" applyBorder="false" applyFill="true" applyFont="true" applyNumberFormat="true" applyProtection="false" borderId="37" fillId="31" fontId="1" numFmtId="213" xfId="0">
      <alignment horizontal="center" vertical="center"/>
    </xf>
    <xf applyAlignment="true" applyBorder="false" applyFill="true" applyFont="true" applyNumberFormat="true" applyProtection="false" borderId="37" fillId="32" fontId="1" numFmtId="218" xfId="0">
      <alignment horizontal="center" vertical="center"/>
    </xf>
    <xf applyAlignment="true" applyBorder="false" applyFill="true" applyFont="true" applyNumberFormat="true" applyProtection="false" borderId="37" fillId="33" fontId="1" numFmtId="214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true" applyProtection="false" borderId="37" fillId="31" fontId="1" numFmtId="215" xfId="0">
      <alignment horizontal="center" vertical="center"/>
    </xf>
    <xf applyAlignment="true" applyBorder="false" applyFill="true" applyFont="true" applyNumberFormat="true" applyProtection="false" borderId="37" fillId="31" fontId="1" numFmtId="216" xfId="0">
      <alignment horizontal="center" vertical="center"/>
    </xf>
    <xf applyAlignment="true" applyBorder="false" applyFill="true" applyFont="true" applyNumberFormat="true" applyProtection="false" borderId="37" fillId="31" fontId="1" numFmtId="217" xfId="0">
      <alignment horizontal="center" vertical="center"/>
    </xf>
    <xf applyAlignment="true" applyBorder="false" applyFill="true" applyFont="true" applyNumberFormat="true" applyProtection="false" borderId="37" fillId="32" fontId="1" numFmtId="221" xfId="0">
      <alignment horizontal="center" vertical="center"/>
    </xf>
    <xf applyAlignment="true" applyBorder="false" applyFill="false" applyFont="true" applyNumberFormat="false" applyProtection="false" borderId="38" fillId="0" fontId="2" numFmtId="0" xfId="0">
      <alignment horizontal="center" vertical="center"/>
    </xf>
    <xf applyAlignment="true" applyBorder="false" applyFill="false" applyFont="true" applyNumberFormat="true" applyProtection="false" borderId="37" fillId="0" fontId="2" numFmtId="219" xfId="0">
      <alignment horizontal="center" vertical="center"/>
    </xf>
    <xf applyAlignment="true" applyBorder="false" applyFill="false" applyFont="true" applyNumberFormat="true" applyProtection="false" borderId="38" fillId="0" fontId="3" numFmtId="213" xfId="0">
      <alignment horizontal="center" vertical="center"/>
    </xf>
    <xf applyAlignment="true" applyBorder="false" applyFill="false" applyFont="true" applyNumberFormat="true" applyProtection="false" borderId="37" fillId="0" fontId="3" numFmtId="221" xfId="0">
      <alignment horizontal="center" vertical="center"/>
    </xf>
    <xf applyAlignment="true" applyBorder="false" applyFill="false" applyFont="true" applyNumberFormat="true" applyProtection="false" borderId="37" fillId="0" fontId="2" numFmtId="213" xfId="0">
      <alignment horizontal="center" vertical="center"/>
    </xf>
    <xf applyAlignment="true" applyBorder="false" applyFill="true" applyFont="true" applyNumberFormat="true" applyProtection="false" borderId="37" fillId="35" fontId="1" numFmtId="213" xfId="0">
      <alignment horizontal="center" vertical="center"/>
    </xf>
    <xf applyAlignment="true" applyBorder="false" applyFill="true" applyFont="true" applyNumberFormat="true" applyProtection="false" borderId="37" fillId="35" fontId="5" numFmtId="213" xfId="0">
      <alignment horizontal="center" vertical="center"/>
    </xf>
    <xf applyAlignment="true" applyBorder="false" applyFill="true" applyFont="true" applyNumberFormat="true" applyProtection="false" borderId="37" fillId="35" fontId="5" numFmtId="222" xfId="0">
      <alignment horizontal="center" vertical="center"/>
    </xf>
    <xf applyAlignment="true" applyBorder="false" applyFill="true" applyFont="true" applyNumberFormat="true" applyProtection="false" borderId="37" fillId="35" fontId="5" numFmtId="219" xfId="0">
      <alignment horizontal="center" vertical="center"/>
    </xf>
    <xf applyAlignment="true" applyBorder="false" applyFill="true" applyFont="true" applyNumberFormat="true" applyProtection="false" borderId="37" fillId="35" fontId="5" numFmtId="217" xfId="0">
      <alignment horizontal="center" vertical="center"/>
    </xf>
    <xf applyAlignment="true" applyBorder="false" applyFill="true" applyFont="true" applyNumberFormat="true" applyProtection="false" borderId="37" fillId="35" fontId="5" numFmtId="220" xfId="0">
      <alignment horizontal="center" vertical="center"/>
    </xf>
    <xf applyAlignment="true" applyBorder="false" applyFill="true" applyFont="true" applyNumberFormat="true" applyProtection="false" borderId="37" fillId="35" fontId="1" numFmtId="218" xfId="0">
      <alignment horizontal="center" vertical="center"/>
    </xf>
    <xf applyAlignment="true" applyBorder="false" applyFill="true" applyFont="true" applyNumberFormat="true" applyProtection="false" borderId="37" fillId="35" fontId="1" numFmtId="219" xfId="0">
      <alignment horizontal="center" vertical="center"/>
    </xf>
    <xf applyAlignment="true" applyBorder="false" applyFill="false" applyFont="true" applyNumberFormat="true" applyProtection="false" borderId="38" fillId="0" fontId="2" numFmtId="222" xfId="0">
      <alignment horizontal="center" vertical="center"/>
    </xf>
    <xf applyAlignment="true" applyBorder="false" applyFill="true" applyFont="true" applyNumberFormat="true" applyProtection="false" borderId="37" fillId="30" fontId="1" numFmtId="223" xfId="0">
      <alignment horizontal="center" vertical="center"/>
    </xf>
    <xf applyAlignment="true" applyBorder="false" applyFill="false" applyFont="true" applyNumberFormat="true" applyProtection="false" borderId="40" fillId="0" fontId="3" numFmtId="213" xfId="0">
      <alignment horizontal="center" vertical="center"/>
    </xf>
    <xf applyAlignment="true" applyBorder="false" applyFill="false" applyFont="true" applyNumberFormat="true" applyProtection="false" borderId="36" fillId="0" fontId="3" numFmtId="213" xfId="0">
      <alignment horizontal="center" vertical="center"/>
    </xf>
    <xf applyAlignment="true" applyBorder="false" applyFill="false" applyFont="true" applyNumberFormat="true" applyProtection="false" borderId="36" fillId="0" fontId="3" numFmtId="215" xfId="0">
      <alignment horizontal="center" vertical="center"/>
    </xf>
    <xf applyAlignment="true" applyBorder="false" applyFill="false" applyFont="true" applyNumberFormat="false" applyProtection="false" borderId="38" fillId="0" fontId="2" numFmtId="0" xfId="0">
      <alignment horizontal="center" vertical="center"/>
    </xf>
    <xf applyAlignment="true" applyBorder="false" applyFill="false" applyFont="true" applyNumberFormat="false" applyProtection="false" borderId="37" fillId="0" fontId="2" numFmtId="0" xfId="0">
      <alignment horizontal="center" vertical="center"/>
    </xf>
    <xf applyAlignment="true" applyBorder="false" applyFill="false" applyFont="true" applyNumberFormat="false" applyProtection="false" borderId="37" fillId="0" fontId="2" numFmtId="0" xfId="0">
      <alignment horizontal="center"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34" fontId="9" numFmtId="0" xfId="0">
      <alignment horizontal="right" vertical="center" wrapText="true"/>
    </xf>
    <xf applyAlignment="true" applyBorder="false" applyFill="true" applyFont="true" applyNumberFormat="false" applyProtection="false" borderId="0" fillId="34" fontId="9" numFmtId="0" xfId="0">
      <alignment horizontal="right" vertical="center" wrapText="true"/>
    </xf>
    <xf applyAlignment="true" applyBorder="false" applyFill="true" applyFont="true" applyNumberFormat="false" applyProtection="false" borderId="0" fillId="34" fontId="10" numFmtId="0" xfId="0">
      <alignment horizontal="center" vertical="center" wrapText="true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true" applyFont="true" applyNumberFormat="false" applyProtection="false" borderId="0" fillId="37" fontId="14" numFmtId="0" xfId="0">
      <alignment vertical="center" wrapText="true"/>
    </xf>
    <xf applyAlignment="true" applyBorder="false" applyFill="false" applyFont="true" applyNumberFormat="true" applyProtection="false" borderId="0" fillId="0" fontId="2" numFmtId="221" xfId="0">
      <alignment vertical="center"/>
    </xf>
    <xf applyAlignment="true" applyBorder="false" applyFill="true" applyFont="true" applyNumberFormat="true" applyProtection="false" borderId="0" fillId="37" fontId="14" numFmtId="221" xfId="0">
      <alignment vertical="center" wrapText="true"/>
    </xf>
    <xf applyAlignment="true" applyBorder="false" applyFill="true" applyFont="true" applyNumberFormat="false" applyProtection="false" borderId="41" fillId="34" fontId="9" numFmtId="0" xfId="0">
      <alignment horizontal="right" vertical="center" wrapText="true"/>
    </xf>
    <xf applyAlignment="true" applyBorder="false" applyFill="true" applyFont="true" applyNumberFormat="false" applyProtection="false" borderId="41" fillId="34" fontId="9" numFmtId="0" xfId="0">
      <alignment horizontal="right" vertical="center" wrapText="true"/>
    </xf>
    <xf applyAlignment="true" applyBorder="false" applyFill="false" applyFont="true" applyNumberFormat="false" applyProtection="false" borderId="0" fillId="0" fontId="11" numFmtId="0" xfId="0">
      <alignment vertical="center"/>
    </xf>
    <xf applyAlignment="true" applyBorder="false" applyFill="true" applyFont="true" applyNumberFormat="true" applyProtection="false" borderId="0" fillId="37" fontId="14" numFmtId="221" xfId="0">
      <alignment vertical="center" wrapText="true"/>
    </xf>
    <xf applyAlignment="true" applyBorder="false" applyFill="true" applyFont="true" applyNumberFormat="false" applyProtection="false" borderId="41" fillId="34" fontId="9" numFmtId="0" xfId="0">
      <alignment horizontal="right" vertical="center" wrapText="true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true" applyFont="true" applyNumberFormat="false" applyProtection="false" borderId="0" fillId="38" fontId="15" numFmtId="0" xfId="0">
      <alignment horizontal="center" vertical="center"/>
    </xf>
    <xf applyAlignment="true" applyBorder="false" applyFill="true" applyFont="true" applyNumberFormat="false" applyProtection="false" borderId="0" fillId="38" fontId="15" numFmtId="0" xfId="0">
      <alignment horizontal="center" vertical="center"/>
    </xf>
    <xf applyAlignment="true" applyBorder="false" applyFill="true" applyFont="true" applyNumberFormat="false" applyProtection="false" borderId="0" fillId="39" fontId="16" numFmtId="0" xfId="0">
      <alignment horizontal="center" vertical="center"/>
    </xf>
    <xf applyAlignment="true" applyBorder="false" applyFill="false" applyFont="true" applyNumberFormat="true" applyProtection="false" borderId="0" fillId="0" fontId="7" numFmtId="224" xfId="0">
      <alignment horizontal="center" vertical="center"/>
    </xf>
    <xf applyAlignment="true" applyBorder="false" applyFill="false" applyFont="true" applyNumberFormat="false" applyProtection="false" borderId="0" fillId="0" fontId="7" numFmtId="0" xfId="0">
      <alignment horizontal="center" vertical="center"/>
    </xf>
    <xf applyAlignment="true" applyBorder="false" applyFill="true" applyFont="true" applyNumberFormat="false" applyProtection="false" borderId="0" fillId="40" fontId="17" numFmtId="0" xfId="0">
      <alignment horizontal="center" vertical="center" wrapText="true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22" min="22" style="0" width="11.211267605633802"/>
    <col collapsed="false" customWidth="true" hidden="false" max="3" min="3" style="0" width="11.211267605633802"/>
    <col collapsed="false" customWidth="true" hidden="false" max="7" min="7" style="0" width="11.211267605633802"/>
    <col collapsed="false" customWidth="true" hidden="false" max="11" min="11" style="0" width="11.211267605633802"/>
    <col collapsed="false" customWidth="true" hidden="false" max="15" min="15" style="0" width="11.211267605633802"/>
    <col collapsed="false" customWidth="true" hidden="false" max="18" min="18" style="0" width="11.211267605633802"/>
    <col collapsed="false" customWidth="true" hidden="false" max="21" min="21" style="0" width="11.211267605633802"/>
    <col collapsed="false" customWidth="true" hidden="false" max="2" min="2" style="0" width="11.211267605633802"/>
    <col collapsed="false" customWidth="true" hidden="false" max="6" min="6" style="0" width="11.211267605633802"/>
    <col collapsed="false" customWidth="true" hidden="false" max="10" min="10" style="0" width="11.211267605633802"/>
    <col collapsed="false" customWidth="true" hidden="false" max="14" min="14" style="0" width="11.211267605633802"/>
    <col collapsed="false" customWidth="true" hidden="false" max="17" min="17" style="0" width="11.211267605633802"/>
    <col collapsed="false" customWidth="true" hidden="false" max="1" min="1" style="0" width="11.211267605633802"/>
    <col collapsed="false" customWidth="true" hidden="false" max="5" min="5" style="0" width="11.211267605633802"/>
    <col collapsed="false" customWidth="true" hidden="false" max="9" min="9" style="0" width="11.211267605633802"/>
    <col collapsed="false" customWidth="true" hidden="false" max="13" min="13" style="0" width="11.211267605633802"/>
    <col collapsed="false" customWidth="true" hidden="false" max="20" min="20" style="0" width="11.211267605633802"/>
    <col collapsed="false" customWidth="true" hidden="false" max="23" min="23" style="0" width="11.211267605633802"/>
    <col collapsed="false" customWidth="true" hidden="false" max="4" min="4" style="0" width="11.211267605633802"/>
    <col collapsed="false" customWidth="true" hidden="false" max="8" min="8" style="0" width="11.211267605633802"/>
    <col collapsed="false" customWidth="true" hidden="false" max="12" min="12" style="0" width="11.211267605633802"/>
    <col collapsed="false" customWidth="true" hidden="false" max="16" min="16" style="0" width="11.211267605633802"/>
    <col collapsed="false" customWidth="true" hidden="false" max="19" min="19" style="0" width="11.211267605633802"/>
  </cols>
  <sheetData>
    <row r="1">
      <c r="A1" s="1" t="s">
        <v>1</v>
      </c>
      <c r="B1" s="1"/>
      <c r="C1" s="1"/>
      <c r="D1" s="2" t="s">
        <v>2</v>
      </c>
      <c r="E1" s="2"/>
      <c r="F1" s="2"/>
      <c r="G1" s="2"/>
      <c r="H1" s="2"/>
      <c r="I1" s="2"/>
      <c r="J1" s="2"/>
      <c r="K1" s="2"/>
      <c r="L1" s="3" t="s">
        <v>3</v>
      </c>
      <c r="M1" s="3"/>
      <c r="N1" s="3"/>
      <c r="O1" s="3"/>
      <c r="P1" s="3"/>
      <c r="Q1" s="4" t="s">
        <v>4</v>
      </c>
      <c r="R1" s="4"/>
      <c r="S1" s="4"/>
      <c r="T1" s="4"/>
    </row>
    <row r="2">
      <c r="A2" s="5" t="s">
        <v>5</v>
      </c>
      <c r="B2" s="5" t="s">
        <v>6</v>
      </c>
      <c r="C2" s="5" t="s">
        <v>7</v>
      </c>
      <c r="D2" s="6" t="s">
        <v>8</v>
      </c>
      <c r="E2" s="6" t="s">
        <v>9</v>
      </c>
      <c r="F2" s="6" t="s">
        <v>10</v>
      </c>
      <c r="G2" s="7" t="s">
        <v>11</v>
      </c>
      <c r="H2" s="6" t="s">
        <v>12</v>
      </c>
      <c r="I2" s="8" t="s">
        <v>13</v>
      </c>
      <c r="J2" s="9" t="s">
        <v>14</v>
      </c>
      <c r="K2" s="10" t="s">
        <v>15</v>
      </c>
      <c r="L2" s="11" t="s">
        <v>16</v>
      </c>
      <c r="M2" s="11" t="s">
        <v>17</v>
      </c>
      <c r="N2" s="11" t="s">
        <v>18</v>
      </c>
      <c r="O2" s="3" t="s">
        <v>19</v>
      </c>
      <c r="P2" s="3" t="s">
        <v>20</v>
      </c>
      <c r="Q2" s="12" t="s">
        <v>21</v>
      </c>
      <c r="R2" s="12" t="s">
        <v>22</v>
      </c>
      <c r="S2" s="12" t="s">
        <v>23</v>
      </c>
      <c r="T2" s="12" t="s">
        <v>24</v>
      </c>
    </row>
    <row r="3">
      <c r="A3" s="13" t="s">
        <v>25</v>
      </c>
      <c r="B3" s="14" t="s">
        <v>26</v>
      </c>
      <c r="C3" s="15" t="s">
        <v>27</v>
      </c>
      <c r="D3" s="16">
        <f t="shared" ref="D3:D5" si="79">E3+F3</f>
      </c>
      <c r="E3" s="15">
        <v>4.38</v>
      </c>
      <c r="F3" s="15">
        <v>0.12</v>
      </c>
      <c r="G3" s="17">
        <v>0</v>
      </c>
      <c r="H3" s="15">
        <v>0</v>
      </c>
      <c r="I3" s="18">
        <f t="shared" ref="I3:I10" si="78">H3/D3</f>
      </c>
      <c r="J3" s="18">
        <f t="shared" ref="J3:J10" si="77">D3/G3</f>
      </c>
      <c r="K3" s="19">
        <f t="shared" ref="K3:K10" si="66">H3/G3</f>
      </c>
      <c r="L3" s="20">
        <f t="shared" ref="L3:L10" si="27">R3/Q3</f>
      </c>
      <c r="M3" s="21">
        <f t="shared" ref="M3:M10" si="11">G3/S3</f>
      </c>
      <c r="N3" s="22">
        <f t="shared" ref="N3:N10" si="0">(T3*1000)/D3</f>
      </c>
      <c r="O3" s="23" t="s">
        <v>28</v>
      </c>
      <c r="P3" s="24" t="s">
        <v>29</v>
      </c>
      <c r="Q3" s="25">
        <v>161</v>
      </c>
      <c r="R3" s="25">
        <v>68</v>
      </c>
      <c r="S3" s="26">
        <v>0</v>
      </c>
      <c r="T3" s="26">
        <v>0</v>
      </c>
    </row>
    <row r="4">
      <c r="A4" s="27"/>
      <c r="B4" s="14" t="s">
        <v>26</v>
      </c>
      <c r="C4" s="15" t="s">
        <v>30</v>
      </c>
      <c r="D4" s="16">
        <f t="shared" si="79"/>
      </c>
      <c r="E4" s="15">
        <v>30.54</v>
      </c>
      <c r="F4" s="15">
        <v>1.71</v>
      </c>
      <c r="G4" s="17">
        <v>2</v>
      </c>
      <c r="H4" s="16">
        <v>473.28</v>
      </c>
      <c r="I4" s="18">
        <f t="shared" si="78"/>
      </c>
      <c r="J4" s="18">
        <f t="shared" si="77"/>
      </c>
      <c r="K4" s="19">
        <f t="shared" si="66"/>
      </c>
      <c r="L4" s="20">
        <f t="shared" si="27"/>
      </c>
      <c r="M4" s="21">
        <f t="shared" si="11"/>
      </c>
      <c r="N4" s="22">
        <f t="shared" si="0"/>
      </c>
      <c r="O4" s="23" t="s">
        <v>28</v>
      </c>
      <c r="P4" s="28" t="s">
        <v>29</v>
      </c>
      <c r="Q4" s="25">
        <v>480</v>
      </c>
      <c r="R4" s="25">
        <v>163</v>
      </c>
      <c r="S4" s="26">
        <v>2</v>
      </c>
      <c r="T4" s="26">
        <v>4</v>
      </c>
    </row>
    <row r="5">
      <c r="A5" s="27"/>
      <c r="B5" s="14" t="s">
        <v>26</v>
      </c>
      <c r="C5" s="15" t="s">
        <v>31</v>
      </c>
      <c r="D5" s="16">
        <f t="shared" si="79"/>
      </c>
      <c r="E5" s="15">
        <v>49.75</v>
      </c>
      <c r="F5" s="15">
        <v>5.71</v>
      </c>
      <c r="G5" s="29">
        <v>0</v>
      </c>
      <c r="H5" s="30">
        <v>0</v>
      </c>
      <c r="I5" s="18">
        <f t="shared" si="78"/>
      </c>
      <c r="J5" s="18">
        <f t="shared" si="77"/>
      </c>
      <c r="K5" s="19">
        <f t="shared" si="66"/>
      </c>
      <c r="L5" s="20">
        <f t="shared" si="27"/>
      </c>
      <c r="M5" s="21">
        <f t="shared" si="11"/>
      </c>
      <c r="N5" s="22">
        <f t="shared" si="0"/>
      </c>
      <c r="O5" s="23" t="s">
        <v>28</v>
      </c>
      <c r="P5" s="28" t="s">
        <v>29</v>
      </c>
      <c r="Q5" s="25">
        <v>843</v>
      </c>
      <c r="R5" s="25">
        <v>252</v>
      </c>
      <c r="S5" s="26">
        <v>0</v>
      </c>
      <c r="T5" s="26">
        <v>2</v>
      </c>
    </row>
    <row r="6">
      <c r="A6" s="27"/>
      <c r="B6" s="31" t="s">
        <v>32</v>
      </c>
      <c r="C6" s="31"/>
      <c r="D6" s="32">
        <f>SUM(D3:D5)</f>
      </c>
      <c r="E6" s="32">
        <f>SUM(E3:E5)</f>
      </c>
      <c r="F6" s="33">
        <f>SUM(F3:F5)</f>
      </c>
      <c r="G6" s="34">
        <f>SUM(G3:G5)</f>
      </c>
      <c r="H6" s="32">
        <f>SUM(H3:H5)</f>
      </c>
      <c r="I6" s="35">
        <f t="shared" si="78"/>
      </c>
      <c r="J6" s="36">
        <f t="shared" si="77"/>
      </c>
      <c r="K6" s="37">
        <f t="shared" si="66"/>
      </c>
      <c r="L6" s="38">
        <f t="shared" si="27"/>
      </c>
      <c r="M6" s="38">
        <f t="shared" si="11"/>
      </c>
      <c r="N6" s="39">
        <f t="shared" si="0"/>
      </c>
      <c r="O6" s="39"/>
      <c r="P6" s="39"/>
      <c r="Q6" s="40">
        <f>SUM(Q3:Q5)</f>
      </c>
      <c r="R6" s="40">
        <f>SUM(R3:R5)</f>
      </c>
      <c r="S6" s="40">
        <f>SUM(S3:S5)</f>
      </c>
      <c r="T6" s="40">
        <f>SUM(T3:T5)</f>
      </c>
    </row>
    <row r="7">
      <c r="A7" s="27"/>
      <c r="B7" s="41" t="s">
        <v>33</v>
      </c>
      <c r="C7" s="15" t="s">
        <v>34</v>
      </c>
      <c r="D7" s="16">
        <f t="shared" ref="D7:D8" si="80">E7+F7</f>
      </c>
      <c r="E7" s="15">
        <v>48.88</v>
      </c>
      <c r="F7" s="15">
        <v>6.15</v>
      </c>
      <c r="G7" s="42">
        <v>0</v>
      </c>
      <c r="H7" s="43">
        <v>0</v>
      </c>
      <c r="I7" s="18">
        <f t="shared" si="78"/>
      </c>
      <c r="J7" s="18">
        <f t="shared" si="77"/>
      </c>
      <c r="K7" s="19">
        <f t="shared" si="66"/>
      </c>
      <c r="L7" s="20">
        <f t="shared" si="27"/>
      </c>
      <c r="M7" s="21">
        <f t="shared" si="11"/>
      </c>
      <c r="N7" s="22">
        <f t="shared" si="0"/>
      </c>
      <c r="O7" s="44" t="s">
        <v>28</v>
      </c>
      <c r="P7" s="28" t="s">
        <v>29</v>
      </c>
      <c r="Q7" s="12">
        <v>971</v>
      </c>
      <c r="R7" s="12">
        <v>326</v>
      </c>
      <c r="S7" s="45">
        <v>0</v>
      </c>
      <c r="T7" s="45">
        <v>3</v>
      </c>
    </row>
    <row r="8">
      <c r="A8" s="27"/>
      <c r="B8" s="41" t="s">
        <v>33</v>
      </c>
      <c r="C8" s="15" t="s">
        <v>35</v>
      </c>
      <c r="D8" s="16">
        <f t="shared" si="80"/>
      </c>
      <c r="E8" s="15">
        <f>12.16  +85.42</f>
      </c>
      <c r="F8" s="15">
        <f>16.08  +3.99</f>
      </c>
      <c r="G8" s="17">
        <v>0</v>
      </c>
      <c r="H8" s="15">
        <v>0</v>
      </c>
      <c r="I8" s="18">
        <f t="shared" si="78"/>
      </c>
      <c r="J8" s="18">
        <f t="shared" si="77"/>
      </c>
      <c r="K8" s="19">
        <f t="shared" si="66"/>
      </c>
      <c r="L8" s="20">
        <f t="shared" si="27"/>
      </c>
      <c r="M8" s="21">
        <f t="shared" si="11"/>
      </c>
      <c r="N8" s="22">
        <f t="shared" si="0"/>
      </c>
      <c r="O8" s="44" t="s">
        <v>28</v>
      </c>
      <c r="P8" s="28" t="s">
        <v>29</v>
      </c>
      <c r="Q8" s="46">
        <v>1464</v>
      </c>
      <c r="R8" s="46">
        <v>446</v>
      </c>
      <c r="S8" s="47">
        <v>0</v>
      </c>
      <c r="T8" s="47">
        <v>2</v>
      </c>
    </row>
    <row r="9">
      <c r="A9" s="27"/>
      <c r="B9" s="31" t="s">
        <v>32</v>
      </c>
      <c r="C9" s="31"/>
      <c r="D9" s="32">
        <f>SUM(D7:D8)</f>
      </c>
      <c r="E9" s="32">
        <f>SUM(E7:E8)</f>
      </c>
      <c r="F9" s="32">
        <f>SUM(F7:F8)</f>
      </c>
      <c r="G9" s="34">
        <f>SUM(G7:G8)</f>
      </c>
      <c r="H9" s="32">
        <f>SUM(H7:H8)</f>
      </c>
      <c r="I9" s="48">
        <f t="shared" si="78"/>
      </c>
      <c r="J9" s="36">
        <f t="shared" si="77"/>
      </c>
      <c r="K9" s="37">
        <f t="shared" si="66"/>
      </c>
      <c r="L9" s="38">
        <f t="shared" si="27"/>
      </c>
      <c r="M9" s="38">
        <f t="shared" si="11"/>
      </c>
      <c r="N9" s="39">
        <f t="shared" si="0"/>
      </c>
      <c r="O9" s="39"/>
      <c r="P9" s="39"/>
      <c r="Q9" s="40">
        <f>SUM(Q7:Q8)</f>
      </c>
      <c r="R9" s="40">
        <f>SUM(R7:R8)</f>
      </c>
      <c r="S9" s="40">
        <f>SUM(S7:S8)</f>
      </c>
      <c r="T9" s="40">
        <f>SUM(T7:T8)</f>
      </c>
    </row>
    <row r="10">
      <c r="A10" s="27"/>
      <c r="B10" s="49" t="s">
        <v>36</v>
      </c>
      <c r="C10" s="49"/>
      <c r="D10" s="50">
        <f>D6+D9</f>
      </c>
      <c r="E10" s="50">
        <f>E6+E9</f>
      </c>
      <c r="F10" s="50">
        <f>F6+F9</f>
      </c>
      <c r="G10" s="50">
        <f>G6+G9</f>
      </c>
      <c r="H10" s="50">
        <f>H6+H9</f>
      </c>
      <c r="I10" s="51">
        <f t="shared" si="78"/>
      </c>
      <c r="J10" s="51">
        <f t="shared" si="77"/>
      </c>
      <c r="K10" s="52">
        <f t="shared" si="66"/>
      </c>
      <c r="L10" s="53">
        <f t="shared" si="27"/>
      </c>
      <c r="M10" s="54">
        <f t="shared" si="11"/>
      </c>
      <c r="N10" s="55">
        <f t="shared" si="0"/>
      </c>
      <c r="O10" s="56"/>
      <c r="P10" s="56"/>
      <c r="Q10" s="57">
        <f>Q6+Q9</f>
      </c>
      <c r="R10" s="57">
        <f>R6+R9</f>
      </c>
      <c r="S10" s="57">
        <f>S6+S9</f>
      </c>
      <c r="T10" s="57">
        <f>T6+T9</f>
      </c>
      <c r="U10" s="58"/>
      <c r="V10" s="58"/>
      <c r="W10" s="59"/>
    </row>
    <row r="11">
      <c r="A11" s="1" t="s">
        <v>1</v>
      </c>
      <c r="B11" s="1"/>
      <c r="C11" s="1"/>
      <c r="D11" s="2" t="s">
        <v>2</v>
      </c>
      <c r="E11" s="2"/>
      <c r="F11" s="2"/>
      <c r="G11" s="2"/>
      <c r="H11" s="2"/>
      <c r="I11" s="2"/>
      <c r="J11" s="2"/>
      <c r="K11" s="2"/>
      <c r="L11" s="60"/>
      <c r="M11" s="61" t="s">
        <v>3</v>
      </c>
      <c r="N11" s="61"/>
      <c r="O11" s="61"/>
      <c r="P11" s="61"/>
      <c r="Q11" s="61"/>
      <c r="R11" s="62" t="s">
        <v>37</v>
      </c>
      <c r="S11" s="62"/>
      <c r="T11" s="62"/>
      <c r="U11" s="62"/>
      <c r="V11" s="62"/>
      <c r="W11" s="63"/>
    </row>
    <row r="12">
      <c r="A12" s="5" t="s">
        <v>5</v>
      </c>
      <c r="B12" s="5" t="s">
        <v>6</v>
      </c>
      <c r="C12" s="5" t="s">
        <v>7</v>
      </c>
      <c r="D12" s="6" t="s">
        <v>8</v>
      </c>
      <c r="E12" s="6" t="s">
        <v>9</v>
      </c>
      <c r="F12" s="6" t="s">
        <v>10</v>
      </c>
      <c r="G12" s="64" t="s">
        <v>38</v>
      </c>
      <c r="H12" s="7" t="s">
        <v>11</v>
      </c>
      <c r="I12" s="6" t="s">
        <v>12</v>
      </c>
      <c r="J12" s="8" t="s">
        <v>13</v>
      </c>
      <c r="K12" s="9" t="s">
        <v>14</v>
      </c>
      <c r="L12" s="10" t="s">
        <v>15</v>
      </c>
      <c r="M12" s="65" t="s">
        <v>16</v>
      </c>
      <c r="N12" s="65" t="s">
        <v>17</v>
      </c>
      <c r="O12" s="65" t="s">
        <v>18</v>
      </c>
      <c r="P12" s="61" t="s">
        <v>19</v>
      </c>
      <c r="Q12" s="61" t="s">
        <v>20</v>
      </c>
      <c r="R12" s="62" t="s">
        <v>21</v>
      </c>
      <c r="S12" s="62" t="s">
        <v>22</v>
      </c>
      <c r="T12" s="62" t="s">
        <v>39</v>
      </c>
      <c r="U12" s="62" t="s">
        <v>23</v>
      </c>
      <c r="V12" s="62" t="s">
        <v>24</v>
      </c>
      <c r="W12" s="63"/>
    </row>
    <row r="13">
      <c r="A13" s="13" t="s">
        <v>40</v>
      </c>
      <c r="B13" s="41" t="s">
        <v>33</v>
      </c>
      <c r="C13" s="15" t="s">
        <v>41</v>
      </c>
      <c r="D13" s="16">
        <f t="shared" ref="D13:D15" si="38">SUM(E13:G13)</f>
      </c>
      <c r="E13" s="15">
        <v>86.02</v>
      </c>
      <c r="F13" s="15">
        <v>53.05</v>
      </c>
      <c r="G13" s="15">
        <v>18.94</v>
      </c>
      <c r="H13" s="17">
        <v>0</v>
      </c>
      <c r="I13" s="15">
        <v>0</v>
      </c>
      <c r="J13" s="18">
        <f t="shared" ref="J13:J21" si="17">I13/D13</f>
      </c>
      <c r="K13" s="18">
        <f t="shared" ref="K13:K21" si="1">D13/H13</f>
      </c>
      <c r="L13" s="19">
        <f t="shared" ref="L13:L21" si="67">I13/H13</f>
      </c>
      <c r="M13" s="66">
        <f t="shared" ref="M13:M21" si="28">S13/R13</f>
      </c>
      <c r="N13" s="67">
        <f t="shared" ref="N13:N21" si="12">H13/T13</f>
      </c>
      <c r="O13" s="68">
        <f t="shared" ref="O13:O15" si="91">(V13*1000)/D13</f>
      </c>
      <c r="P13" s="69" t="s">
        <v>28</v>
      </c>
      <c r="Q13" s="70" t="s">
        <v>42</v>
      </c>
      <c r="R13" s="71">
        <v>1262</v>
      </c>
      <c r="S13" s="71">
        <v>374</v>
      </c>
      <c r="T13" s="72">
        <v>0</v>
      </c>
      <c r="U13" s="72">
        <v>1</v>
      </c>
      <c r="V13" s="72">
        <v>4</v>
      </c>
      <c r="W13" s="73"/>
    </row>
    <row r="14">
      <c r="A14" s="13"/>
      <c r="B14" s="41" t="s">
        <v>33</v>
      </c>
      <c r="C14" s="15" t="s">
        <v>43</v>
      </c>
      <c r="D14" s="16">
        <f t="shared" si="38"/>
      </c>
      <c r="E14" s="15">
        <v>112.97</v>
      </c>
      <c r="F14" s="15">
        <v>94.68</v>
      </c>
      <c r="G14" s="15">
        <v>221</v>
      </c>
      <c r="H14" s="17">
        <v>0</v>
      </c>
      <c r="I14" s="15">
        <v>0</v>
      </c>
      <c r="J14" s="18">
        <f t="shared" si="17"/>
      </c>
      <c r="K14" s="18">
        <f t="shared" si="1"/>
      </c>
      <c r="L14" s="19">
        <f t="shared" si="67"/>
      </c>
      <c r="M14" s="66">
        <f t="shared" si="28"/>
      </c>
      <c r="N14" s="67">
        <f t="shared" si="12"/>
      </c>
      <c r="O14" s="68">
        <f t="shared" si="91"/>
      </c>
      <c r="P14" s="69" t="s">
        <v>28</v>
      </c>
      <c r="Q14" s="70" t="s">
        <v>42</v>
      </c>
      <c r="R14" s="71">
        <v>2744</v>
      </c>
      <c r="S14" s="71">
        <v>714</v>
      </c>
      <c r="T14" s="72">
        <v>0</v>
      </c>
      <c r="U14" s="72">
        <v>1</v>
      </c>
      <c r="V14" s="72">
        <v>7</v>
      </c>
      <c r="W14" s="73"/>
    </row>
    <row r="15">
      <c r="A15" s="13"/>
      <c r="B15" s="41" t="s">
        <v>33</v>
      </c>
      <c r="C15" s="15" t="s">
        <v>44</v>
      </c>
      <c r="D15" s="16">
        <f t="shared" si="38"/>
      </c>
      <c r="E15" s="15">
        <v>142.79</v>
      </c>
      <c r="F15" s="15">
        <v>274.24</v>
      </c>
      <c r="G15" s="30">
        <v>163.36</v>
      </c>
      <c r="H15" s="29">
        <v>4</v>
      </c>
      <c r="I15" s="30">
        <v>4084.56</v>
      </c>
      <c r="J15" s="18">
        <f t="shared" si="17"/>
      </c>
      <c r="K15" s="18">
        <f t="shared" si="1"/>
      </c>
      <c r="L15" s="19">
        <f t="shared" si="67"/>
      </c>
      <c r="M15" s="66">
        <f t="shared" si="28"/>
      </c>
      <c r="N15" s="67">
        <f t="shared" si="12"/>
      </c>
      <c r="O15" s="68">
        <f t="shared" si="91"/>
      </c>
      <c r="P15" s="69" t="s">
        <v>28</v>
      </c>
      <c r="Q15" s="70" t="s">
        <v>42</v>
      </c>
      <c r="R15" s="71">
        <v>3091</v>
      </c>
      <c r="S15" s="71">
        <v>628</v>
      </c>
      <c r="T15" s="72">
        <v>3</v>
      </c>
      <c r="U15" s="72">
        <v>4</v>
      </c>
      <c r="V15" s="72">
        <v>16</v>
      </c>
      <c r="W15" s="73"/>
    </row>
    <row r="16">
      <c r="A16" s="13"/>
      <c r="B16" s="31" t="s">
        <v>32</v>
      </c>
      <c r="C16" s="31"/>
      <c r="D16" s="32">
        <f>SUM(D13:D15)</f>
      </c>
      <c r="E16" s="32">
        <f>SUM(E13:E15)</f>
      </c>
      <c r="F16" s="33">
        <f>SUM(F13:F15)</f>
      </c>
      <c r="G16" s="32">
        <f>SUM(G13:G15)</f>
      </c>
      <c r="H16" s="34">
        <f>SUM(H13:H15)</f>
      </c>
      <c r="I16" s="32">
        <f>SUM(I13:I15)</f>
      </c>
      <c r="J16" s="35">
        <f t="shared" si="17"/>
      </c>
      <c r="K16" s="36">
        <f t="shared" si="1"/>
      </c>
      <c r="L16" s="37">
        <f t="shared" si="67"/>
      </c>
      <c r="M16" s="74">
        <f t="shared" si="28"/>
      </c>
      <c r="N16" s="74">
        <f t="shared" si="12"/>
      </c>
      <c r="O16" s="75">
        <f>(U16*1000)/D16</f>
      </c>
      <c r="P16" s="75"/>
      <c r="Q16" s="75"/>
      <c r="R16" s="76">
        <f>SUM(R13:R15)</f>
      </c>
      <c r="S16" s="76">
        <f>SUM(S13:S15)</f>
      </c>
      <c r="T16" s="76">
        <f>SUM(T13:T15)</f>
      </c>
      <c r="U16" s="76">
        <f>SUM(U13:U15)</f>
      </c>
      <c r="V16" s="76">
        <f>SUM(V13:V15)</f>
      </c>
      <c r="W16" s="77"/>
    </row>
    <row r="17">
      <c r="A17" s="13"/>
      <c r="B17" s="14" t="s">
        <v>26</v>
      </c>
      <c r="C17" s="15" t="s">
        <v>45</v>
      </c>
      <c r="D17" s="16">
        <f t="shared" ref="D17:D19" si="39">SUM(E17:G17)</f>
      </c>
      <c r="E17" s="15">
        <v>169.49</v>
      </c>
      <c r="F17" s="15">
        <v>791.74</v>
      </c>
      <c r="G17" s="43">
        <v>160.46</v>
      </c>
      <c r="H17" s="42">
        <v>1</v>
      </c>
      <c r="I17" s="43">
        <v>236.63999999999987</v>
      </c>
      <c r="J17" s="18">
        <f t="shared" si="17"/>
      </c>
      <c r="K17" s="18">
        <f t="shared" si="1"/>
      </c>
      <c r="L17" s="19">
        <f t="shared" si="67"/>
      </c>
      <c r="M17" s="66">
        <f t="shared" si="28"/>
      </c>
      <c r="N17" s="67">
        <f t="shared" si="12"/>
      </c>
      <c r="O17" s="68">
        <f t="shared" ref="O17:O19" si="92">(V17*1000)/D17</f>
      </c>
      <c r="P17" s="78" t="s">
        <v>28</v>
      </c>
      <c r="Q17" s="70" t="s">
        <v>42</v>
      </c>
      <c r="R17" s="79">
        <v>5560</v>
      </c>
      <c r="S17" s="79">
        <v>639</v>
      </c>
      <c r="T17" s="80">
        <v>2</v>
      </c>
      <c r="U17" s="80">
        <v>2</v>
      </c>
      <c r="V17" s="80">
        <v>18</v>
      </c>
      <c r="W17" s="81"/>
    </row>
    <row customHeight="true" ht="16.666666666666668" r="18">
      <c r="A18" s="13"/>
      <c r="B18" s="14" t="s">
        <v>26</v>
      </c>
      <c r="C18" s="15" t="s">
        <v>46</v>
      </c>
      <c r="D18" s="16">
        <f t="shared" si="39"/>
      </c>
      <c r="E18" s="15">
        <v>263.22</v>
      </c>
      <c r="F18" s="15">
        <v>647.23</v>
      </c>
      <c r="G18" s="15">
        <v>159.12</v>
      </c>
      <c r="H18" s="17">
        <v>1</v>
      </c>
      <c r="I18" s="15">
        <v>215.69999999999982</v>
      </c>
      <c r="J18" s="18">
        <f t="shared" si="17"/>
      </c>
      <c r="K18" s="18">
        <f t="shared" si="1"/>
      </c>
      <c r="L18" s="19">
        <f t="shared" si="67"/>
      </c>
      <c r="M18" s="66">
        <f t="shared" si="28"/>
      </c>
      <c r="N18" s="67">
        <f t="shared" si="12"/>
      </c>
      <c r="O18" s="68">
        <f t="shared" si="92"/>
      </c>
      <c r="P18" s="78" t="s">
        <v>28</v>
      </c>
      <c r="Q18" s="70" t="s">
        <v>42</v>
      </c>
      <c r="R18" s="79">
        <v>5039</v>
      </c>
      <c r="S18" s="82">
        <v>567</v>
      </c>
      <c r="T18" s="83">
        <v>1</v>
      </c>
      <c r="U18" s="83">
        <v>4</v>
      </c>
      <c r="V18" s="83">
        <v>18</v>
      </c>
      <c r="W18" s="84"/>
    </row>
    <row r="19">
      <c r="A19" s="13"/>
      <c r="B19" s="14" t="s">
        <v>26</v>
      </c>
      <c r="C19" s="15" t="s">
        <v>47</v>
      </c>
      <c r="D19" s="16">
        <f t="shared" si="39"/>
      </c>
      <c r="E19" s="15">
        <f>0.16+373.23</f>
      </c>
      <c r="F19" s="15">
        <v>430.82</v>
      </c>
      <c r="G19" s="15">
        <v>83.78</v>
      </c>
      <c r="H19" s="17">
        <v>1</v>
      </c>
      <c r="I19" s="15">
        <v>710.6400000000003</v>
      </c>
      <c r="J19" s="18">
        <f t="shared" si="17"/>
      </c>
      <c r="K19" s="18">
        <f t="shared" si="1"/>
      </c>
      <c r="L19" s="19">
        <f t="shared" si="67"/>
      </c>
      <c r="M19" s="66">
        <f t="shared" si="28"/>
      </c>
      <c r="N19" s="67">
        <f t="shared" si="12"/>
      </c>
      <c r="O19" s="68">
        <f t="shared" si="92"/>
      </c>
      <c r="P19" s="78" t="s">
        <v>28</v>
      </c>
      <c r="Q19" s="70" t="s">
        <v>42</v>
      </c>
      <c r="R19" s="82">
        <v>3922</v>
      </c>
      <c r="S19" s="82">
        <v>338</v>
      </c>
      <c r="T19" s="83">
        <v>2</v>
      </c>
      <c r="U19" s="83">
        <v>3</v>
      </c>
      <c r="V19" s="83">
        <v>20</v>
      </c>
      <c r="W19" s="84"/>
    </row>
    <row r="20">
      <c r="A20" s="13"/>
      <c r="B20" s="31" t="s">
        <v>32</v>
      </c>
      <c r="C20" s="31"/>
      <c r="D20" s="32">
        <f>SUM(D17:D19)</f>
      </c>
      <c r="E20" s="32">
        <f>SUM(E17:E19)</f>
      </c>
      <c r="F20" s="32">
        <f>SUM(F17:F19)</f>
      </c>
      <c r="G20" s="32">
        <f>SUM(G17:G19)</f>
      </c>
      <c r="H20" s="34">
        <f>SUM(H17:H19)</f>
      </c>
      <c r="I20" s="32">
        <f>SUM(I17:I19)</f>
      </c>
      <c r="J20" s="48">
        <f t="shared" si="17"/>
      </c>
      <c r="K20" s="36">
        <f t="shared" si="1"/>
      </c>
      <c r="L20" s="37">
        <f t="shared" si="67"/>
      </c>
      <c r="M20" s="74">
        <f t="shared" si="28"/>
      </c>
      <c r="N20" s="74">
        <f t="shared" si="12"/>
      </c>
      <c r="O20" s="75">
        <f t="shared" ref="O20:O21" si="81">(U20*1000)/D20</f>
      </c>
      <c r="P20" s="75"/>
      <c r="Q20" s="75"/>
      <c r="R20" s="76">
        <f>SUM(R17:R19)</f>
      </c>
      <c r="S20" s="76">
        <f>SUM(S17:S19)</f>
      </c>
      <c r="T20" s="76">
        <f>SUM(T17:T19)</f>
      </c>
      <c r="U20" s="76">
        <f>SUM(U17:U19)</f>
      </c>
      <c r="V20" s="76">
        <f>SUM(V17:V19)</f>
      </c>
      <c r="W20" s="77"/>
    </row>
    <row r="21">
      <c r="A21" s="13"/>
      <c r="B21" s="49" t="s">
        <v>36</v>
      </c>
      <c r="C21" s="49"/>
      <c r="D21" s="50">
        <f>D16+D20</f>
      </c>
      <c r="E21" s="50">
        <f>E16+E20</f>
      </c>
      <c r="F21" s="50">
        <f>F16+F20</f>
      </c>
      <c r="G21" s="50">
        <f>G16+G20</f>
      </c>
      <c r="H21" s="85">
        <f>H16+H20</f>
      </c>
      <c r="I21" s="50">
        <f>I16+I20</f>
      </c>
      <c r="J21" s="51">
        <f t="shared" si="17"/>
      </c>
      <c r="K21" s="51">
        <f t="shared" si="1"/>
      </c>
      <c r="L21" s="52">
        <f t="shared" si="67"/>
      </c>
      <c r="M21" s="86">
        <f t="shared" si="28"/>
      </c>
      <c r="N21" s="86">
        <f t="shared" si="12"/>
      </c>
      <c r="O21" s="87">
        <f t="shared" si="81"/>
      </c>
      <c r="P21" s="88"/>
      <c r="Q21" s="88"/>
      <c r="R21" s="85">
        <f>R16+R20</f>
      </c>
      <c r="S21" s="85">
        <f>S16+S20</f>
      </c>
      <c r="T21" s="85">
        <f>T16+T20</f>
      </c>
      <c r="U21" s="85">
        <f>U16+U20</f>
      </c>
      <c r="V21" s="85">
        <f>V16+V20</f>
      </c>
      <c r="W21" s="89"/>
    </row>
    <row r="22">
      <c r="A22" s="1" t="s">
        <v>1</v>
      </c>
      <c r="B22" s="1"/>
      <c r="C22" s="1"/>
      <c r="D22" s="2" t="s">
        <v>2</v>
      </c>
      <c r="E22" s="2"/>
      <c r="F22" s="2"/>
      <c r="G22" s="2"/>
      <c r="H22" s="2"/>
      <c r="I22" s="2"/>
      <c r="J22" s="2"/>
      <c r="K22" s="2"/>
      <c r="L22" s="2"/>
      <c r="M22" s="61" t="s">
        <v>3</v>
      </c>
      <c r="N22" s="61"/>
      <c r="O22" s="61"/>
      <c r="P22" s="61"/>
      <c r="Q22" s="61"/>
      <c r="R22" s="62" t="s">
        <v>37</v>
      </c>
      <c r="S22" s="62"/>
      <c r="T22" s="62"/>
      <c r="U22" s="62"/>
      <c r="V22" s="62"/>
      <c r="W22" s="63"/>
    </row>
    <row r="23">
      <c r="A23" s="5" t="s">
        <v>5</v>
      </c>
      <c r="B23" s="5" t="s">
        <v>6</v>
      </c>
      <c r="C23" s="5" t="s">
        <v>7</v>
      </c>
      <c r="D23" s="6" t="s">
        <v>8</v>
      </c>
      <c r="E23" s="6" t="s">
        <v>9</v>
      </c>
      <c r="F23" s="6" t="s">
        <v>10</v>
      </c>
      <c r="G23" s="64" t="s">
        <v>38</v>
      </c>
      <c r="H23" s="7" t="s">
        <v>11</v>
      </c>
      <c r="I23" s="6" t="s">
        <v>12</v>
      </c>
      <c r="J23" s="8" t="s">
        <v>13</v>
      </c>
      <c r="K23" s="9" t="s">
        <v>14</v>
      </c>
      <c r="L23" s="10" t="s">
        <v>15</v>
      </c>
      <c r="M23" s="65" t="s">
        <v>16</v>
      </c>
      <c r="N23" s="65" t="s">
        <v>17</v>
      </c>
      <c r="O23" s="65" t="s">
        <v>18</v>
      </c>
      <c r="P23" s="61" t="s">
        <v>19</v>
      </c>
      <c r="Q23" s="61" t="s">
        <v>20</v>
      </c>
      <c r="R23" s="62" t="s">
        <v>21</v>
      </c>
      <c r="S23" s="62" t="s">
        <v>22</v>
      </c>
      <c r="T23" s="62" t="s">
        <v>39</v>
      </c>
      <c r="U23" s="62" t="s">
        <v>23</v>
      </c>
      <c r="V23" s="62" t="s">
        <v>24</v>
      </c>
      <c r="W23" s="63"/>
    </row>
    <row r="24">
      <c r="A24" s="13" t="s">
        <v>48</v>
      </c>
      <c r="B24" s="41" t="s">
        <v>33</v>
      </c>
      <c r="C24" s="15" t="s">
        <v>41</v>
      </c>
      <c r="D24" s="16">
        <f t="shared" ref="D24:D27" si="40">SUM(E24:G24)</f>
      </c>
      <c r="E24" s="15">
        <v>82.73</v>
      </c>
      <c r="F24" s="15">
        <v>913.2</v>
      </c>
      <c r="G24" s="15">
        <v>641.26</v>
      </c>
      <c r="H24" s="17">
        <v>3</v>
      </c>
      <c r="I24" s="15">
        <v>1183.92</v>
      </c>
      <c r="J24" s="18">
        <f t="shared" ref="J24:J32" si="18">I24/D24</f>
      </c>
      <c r="K24" s="18">
        <f t="shared" ref="K24:K32" si="2">D24/H24</f>
      </c>
      <c r="L24" s="19">
        <f t="shared" ref="L24:L32" si="68">I24/H24</f>
      </c>
      <c r="M24" s="66">
        <f t="shared" ref="M24:M32" si="29">S24/R24</f>
      </c>
      <c r="N24" s="67">
        <f t="shared" ref="N24:N32" si="13">H24/T24</f>
      </c>
      <c r="O24" s="68">
        <f t="shared" ref="O24:O27" si="93">(V24*1000)/D24</f>
      </c>
      <c r="P24" s="69" t="s">
        <v>28</v>
      </c>
      <c r="Q24" s="70" t="s">
        <v>42</v>
      </c>
      <c r="R24" s="71">
        <v>9062</v>
      </c>
      <c r="S24" s="71">
        <v>655</v>
      </c>
      <c r="T24" s="72">
        <v>2</v>
      </c>
      <c r="U24" s="72">
        <v>5</v>
      </c>
      <c r="V24" s="72">
        <v>24</v>
      </c>
      <c r="W24" s="73"/>
    </row>
    <row r="25">
      <c r="A25" s="13"/>
      <c r="B25" s="41" t="s">
        <v>33</v>
      </c>
      <c r="C25" s="15" t="s">
        <v>43</v>
      </c>
      <c r="D25" s="16">
        <f t="shared" si="40"/>
      </c>
      <c r="E25" s="15">
        <v>178.26</v>
      </c>
      <c r="F25" s="15">
        <v>1574.82</v>
      </c>
      <c r="G25" s="15">
        <v>738.09</v>
      </c>
      <c r="H25" s="17">
        <v>4</v>
      </c>
      <c r="I25" s="15">
        <v>3226.5599999999995</v>
      </c>
      <c r="J25" s="18">
        <f t="shared" si="18"/>
      </c>
      <c r="K25" s="18">
        <f t="shared" si="2"/>
      </c>
      <c r="L25" s="19">
        <f t="shared" si="68"/>
      </c>
      <c r="M25" s="66">
        <f t="shared" si="29"/>
      </c>
      <c r="N25" s="67">
        <f t="shared" si="13"/>
      </c>
      <c r="O25" s="68">
        <f t="shared" si="93"/>
      </c>
      <c r="P25" s="69" t="s">
        <v>28</v>
      </c>
      <c r="Q25" s="70" t="s">
        <v>42</v>
      </c>
      <c r="R25" s="71">
        <v>12938</v>
      </c>
      <c r="S25" s="71">
        <v>889</v>
      </c>
      <c r="T25" s="72">
        <v>6</v>
      </c>
      <c r="U25" s="72">
        <v>10</v>
      </c>
      <c r="V25" s="72">
        <v>29</v>
      </c>
      <c r="W25" s="73"/>
    </row>
    <row customHeight="true" ht="16.666666666666668" r="26">
      <c r="A26" s="13"/>
      <c r="B26" s="41" t="s">
        <v>33</v>
      </c>
      <c r="C26" s="15" t="s">
        <v>44</v>
      </c>
      <c r="D26" s="16">
        <f t="shared" si="40"/>
      </c>
      <c r="E26" s="15">
        <v>122.77</v>
      </c>
      <c r="F26" s="15">
        <v>1359.13</v>
      </c>
      <c r="G26" s="30">
        <v>216.68</v>
      </c>
      <c r="H26" s="29">
        <v>2</v>
      </c>
      <c r="I26" s="30">
        <v>1416.4800000000005</v>
      </c>
      <c r="J26" s="18">
        <f t="shared" si="18"/>
      </c>
      <c r="K26" s="18">
        <f t="shared" si="2"/>
      </c>
      <c r="L26" s="19">
        <f t="shared" si="68"/>
      </c>
      <c r="M26" s="66">
        <f t="shared" si="29"/>
      </c>
      <c r="N26" s="67">
        <f t="shared" si="13"/>
      </c>
      <c r="O26" s="68">
        <f t="shared" si="93"/>
      </c>
      <c r="P26" s="69" t="s">
        <v>28</v>
      </c>
      <c r="Q26" s="70" t="s">
        <v>42</v>
      </c>
      <c r="R26" s="71">
        <v>7487</v>
      </c>
      <c r="S26" s="71">
        <v>628</v>
      </c>
      <c r="T26" s="72">
        <v>5</v>
      </c>
      <c r="U26" s="72">
        <v>7</v>
      </c>
      <c r="V26" s="72">
        <v>19</v>
      </c>
      <c r="W26" s="73"/>
    </row>
    <row r="27">
      <c r="A27" s="13"/>
      <c r="B27" s="41" t="s">
        <v>33</v>
      </c>
      <c r="C27" s="15" t="s">
        <v>45</v>
      </c>
      <c r="D27" s="16">
        <f t="shared" si="40"/>
      </c>
      <c r="E27" s="15">
        <v>175.05</v>
      </c>
      <c r="F27" s="15">
        <v>596.04</v>
      </c>
      <c r="G27" s="30">
        <v>244</v>
      </c>
      <c r="H27" s="29">
        <v>4</v>
      </c>
      <c r="I27" s="30">
        <v>1873.62</v>
      </c>
      <c r="J27" s="18">
        <f t="shared" si="18"/>
      </c>
      <c r="K27" s="18">
        <f t="shared" si="2"/>
      </c>
      <c r="L27" s="19">
        <f t="shared" si="68"/>
      </c>
      <c r="M27" s="66">
        <f t="shared" si="29"/>
      </c>
      <c r="N27" s="67">
        <f t="shared" si="13"/>
      </c>
      <c r="O27" s="68">
        <f t="shared" si="93"/>
      </c>
      <c r="P27" s="69" t="s">
        <v>28</v>
      </c>
      <c r="Q27" s="70" t="s">
        <v>42</v>
      </c>
      <c r="R27" s="71">
        <v>5359</v>
      </c>
      <c r="S27" s="71">
        <v>526</v>
      </c>
      <c r="T27" s="72">
        <v>4</v>
      </c>
      <c r="U27" s="72">
        <v>6</v>
      </c>
      <c r="V27" s="72">
        <v>15</v>
      </c>
      <c r="W27" s="73"/>
    </row>
    <row r="28">
      <c r="A28" s="13"/>
      <c r="B28" s="31" t="s">
        <v>32</v>
      </c>
      <c r="C28" s="31"/>
      <c r="D28" s="32">
        <f>SUM(D24:D27)</f>
      </c>
      <c r="E28" s="32">
        <f>SUM(E24:E27)</f>
      </c>
      <c r="F28" s="33">
        <f>SUM(F24:F27)</f>
      </c>
      <c r="G28" s="32">
        <f>SUM(G24:G27)</f>
      </c>
      <c r="H28" s="34">
        <f>SUM(H24:H27)</f>
      </c>
      <c r="I28" s="32">
        <f>SUM(I24:I27)</f>
      </c>
      <c r="J28" s="35">
        <f t="shared" si="18"/>
      </c>
      <c r="K28" s="36">
        <f t="shared" si="2"/>
      </c>
      <c r="L28" s="37">
        <f t="shared" si="68"/>
      </c>
      <c r="M28" s="74">
        <f t="shared" si="29"/>
      </c>
      <c r="N28" s="74">
        <f t="shared" si="13"/>
      </c>
      <c r="O28" s="75">
        <f>(U28*1000)/D28</f>
      </c>
      <c r="P28" s="75"/>
      <c r="Q28" s="75"/>
      <c r="R28" s="76">
        <f>SUM(R24:R27)</f>
      </c>
      <c r="S28" s="76">
        <f>SUM(S24:S27)</f>
      </c>
      <c r="T28" s="76">
        <f>SUM(T24:T27)</f>
      </c>
      <c r="U28" s="76">
        <f>SUM(U24:U27)</f>
      </c>
      <c r="V28" s="76">
        <f>SUM(V24:V27)</f>
      </c>
      <c r="W28" s="77"/>
    </row>
    <row r="29">
      <c r="A29" s="13"/>
      <c r="B29" s="14" t="s">
        <v>26</v>
      </c>
      <c r="C29" s="15" t="s">
        <v>46</v>
      </c>
      <c r="D29" s="16">
        <f t="shared" ref="D29:D30" si="41">SUM(E29:G29)</f>
      </c>
      <c r="E29" s="15">
        <v>650.88</v>
      </c>
      <c r="F29" s="15">
        <v>949.08</v>
      </c>
      <c r="G29" s="43">
        <v>217.24</v>
      </c>
      <c r="H29" s="42">
        <v>1</v>
      </c>
      <c r="I29" s="43">
        <v>710.6399999999994</v>
      </c>
      <c r="J29" s="18">
        <f t="shared" si="18"/>
      </c>
      <c r="K29" s="18">
        <f t="shared" si="2"/>
      </c>
      <c r="L29" s="19">
        <f t="shared" si="68"/>
      </c>
      <c r="M29" s="66">
        <f t="shared" si="29"/>
      </c>
      <c r="N29" s="67">
        <f t="shared" si="13"/>
      </c>
      <c r="O29" s="68">
        <f t="shared" ref="O29:O30" si="94">(V29*1000)/D29</f>
      </c>
      <c r="P29" s="78" t="s">
        <v>28</v>
      </c>
      <c r="Q29" s="70" t="s">
        <v>42</v>
      </c>
      <c r="R29" s="79">
        <v>9887</v>
      </c>
      <c r="S29" s="79">
        <v>678</v>
      </c>
      <c r="T29" s="80">
        <v>1</v>
      </c>
      <c r="U29" s="80">
        <v>4</v>
      </c>
      <c r="V29" s="80">
        <v>23</v>
      </c>
      <c r="W29" s="81"/>
    </row>
    <row r="30">
      <c r="A30" s="13"/>
      <c r="B30" s="14" t="s">
        <v>26</v>
      </c>
      <c r="C30" s="15" t="s">
        <v>47</v>
      </c>
      <c r="D30" s="16">
        <f t="shared" si="41"/>
      </c>
      <c r="E30" s="15">
        <v>259.51</v>
      </c>
      <c r="F30" s="15">
        <v>502.33</v>
      </c>
      <c r="G30" s="15">
        <v>133.49</v>
      </c>
      <c r="H30" s="17">
        <v>3</v>
      </c>
      <c r="I30" s="15">
        <v>1632.1800000000003</v>
      </c>
      <c r="J30" s="18">
        <f t="shared" si="18"/>
      </c>
      <c r="K30" s="18">
        <f t="shared" si="2"/>
      </c>
      <c r="L30" s="19">
        <f t="shared" si="68"/>
      </c>
      <c r="M30" s="66">
        <f t="shared" si="29"/>
      </c>
      <c r="N30" s="67">
        <f t="shared" si="13"/>
      </c>
      <c r="O30" s="68">
        <f t="shared" si="94"/>
      </c>
      <c r="P30" s="78" t="s">
        <v>28</v>
      </c>
      <c r="Q30" s="70" t="s">
        <v>42</v>
      </c>
      <c r="R30" s="82">
        <v>5652</v>
      </c>
      <c r="S30" s="82">
        <v>396</v>
      </c>
      <c r="T30" s="83">
        <v>3</v>
      </c>
      <c r="U30" s="83">
        <v>4</v>
      </c>
      <c r="V30" s="83">
        <v>9</v>
      </c>
      <c r="W30" s="84"/>
    </row>
    <row r="31">
      <c r="A31" s="13"/>
      <c r="B31" s="31" t="s">
        <v>32</v>
      </c>
      <c r="C31" s="31"/>
      <c r="D31" s="32">
        <f>SUM(D29:D30)</f>
      </c>
      <c r="E31" s="32">
        <f>SUM(E29:E30)</f>
      </c>
      <c r="F31" s="32">
        <f>SUM(F29:F30)</f>
      </c>
      <c r="G31" s="32">
        <f>SUM(G29:G30)</f>
      </c>
      <c r="H31" s="34">
        <f>SUM(H29:H30)</f>
      </c>
      <c r="I31" s="32">
        <f>SUM(I29:I30)</f>
      </c>
      <c r="J31" s="48">
        <f t="shared" si="18"/>
      </c>
      <c r="K31" s="36">
        <f t="shared" si="2"/>
      </c>
      <c r="L31" s="37">
        <f t="shared" si="68"/>
      </c>
      <c r="M31" s="74">
        <f t="shared" si="29"/>
      </c>
      <c r="N31" s="74">
        <f t="shared" si="13"/>
      </c>
      <c r="O31" s="75">
        <f t="shared" ref="O31:O32" si="82">(U31*1000)/D31</f>
      </c>
      <c r="P31" s="75"/>
      <c r="Q31" s="75"/>
      <c r="R31" s="76">
        <f>SUM(R29:R30)</f>
      </c>
      <c r="S31" s="76">
        <f>SUM(S29:S30)</f>
      </c>
      <c r="T31" s="76">
        <f>SUM(T29:T30)</f>
      </c>
      <c r="U31" s="76">
        <f>SUM(U29:U30)</f>
      </c>
      <c r="V31" s="76">
        <f>SUM(V29:V30)</f>
      </c>
      <c r="W31" s="77"/>
    </row>
    <row r="32">
      <c r="A32" s="13"/>
      <c r="B32" s="49" t="s">
        <v>36</v>
      </c>
      <c r="C32" s="49"/>
      <c r="D32" s="50">
        <f>D28+D31</f>
      </c>
      <c r="E32" s="50">
        <f>E28+E31</f>
      </c>
      <c r="F32" s="50">
        <f>F28+F31</f>
      </c>
      <c r="G32" s="50">
        <f>G28+G31</f>
      </c>
      <c r="H32" s="85">
        <f>H28+H31</f>
      </c>
      <c r="I32" s="50">
        <f>I28+I31</f>
      </c>
      <c r="J32" s="51">
        <f t="shared" si="18"/>
      </c>
      <c r="K32" s="51">
        <f t="shared" si="2"/>
      </c>
      <c r="L32" s="52">
        <f t="shared" si="68"/>
      </c>
      <c r="M32" s="86">
        <f t="shared" si="29"/>
      </c>
      <c r="N32" s="86">
        <f t="shared" si="13"/>
      </c>
      <c r="O32" s="87">
        <f t="shared" si="82"/>
      </c>
      <c r="P32" s="88"/>
      <c r="Q32" s="88"/>
      <c r="R32" s="85">
        <f>R28+R31</f>
      </c>
      <c r="S32" s="85">
        <f>S28+S31</f>
      </c>
      <c r="T32" s="85">
        <f>T28+T31</f>
      </c>
      <c r="U32" s="85">
        <f>U28+U31</f>
      </c>
      <c r="V32" s="85">
        <f>V28+V31</f>
      </c>
      <c r="W32" s="90"/>
    </row>
    <row r="33">
      <c r="A33" s="1" t="s">
        <v>1</v>
      </c>
      <c r="B33" s="1"/>
      <c r="C33" s="1"/>
      <c r="D33" s="2" t="s">
        <v>2</v>
      </c>
      <c r="E33" s="2"/>
      <c r="F33" s="2"/>
      <c r="G33" s="2"/>
      <c r="H33" s="2"/>
      <c r="I33" s="2"/>
      <c r="J33" s="2"/>
      <c r="K33" s="2"/>
      <c r="L33" s="2"/>
      <c r="M33" s="61" t="s">
        <v>3</v>
      </c>
      <c r="N33" s="61"/>
      <c r="O33" s="61"/>
      <c r="P33" s="61"/>
      <c r="Q33" s="61"/>
      <c r="R33" s="62" t="s">
        <v>37</v>
      </c>
      <c r="S33" s="62"/>
      <c r="T33" s="62"/>
      <c r="U33" s="62"/>
      <c r="V33" s="62"/>
      <c r="W33" s="63"/>
    </row>
    <row r="34">
      <c r="A34" s="5" t="s">
        <v>5</v>
      </c>
      <c r="B34" s="5" t="s">
        <v>6</v>
      </c>
      <c r="C34" s="5" t="s">
        <v>7</v>
      </c>
      <c r="D34" s="6" t="s">
        <v>8</v>
      </c>
      <c r="E34" s="6" t="s">
        <v>9</v>
      </c>
      <c r="F34" s="6" t="s">
        <v>10</v>
      </c>
      <c r="G34" s="64" t="s">
        <v>38</v>
      </c>
      <c r="H34" s="7" t="s">
        <v>11</v>
      </c>
      <c r="I34" s="6" t="s">
        <v>12</v>
      </c>
      <c r="J34" s="8" t="s">
        <v>13</v>
      </c>
      <c r="K34" s="9" t="s">
        <v>14</v>
      </c>
      <c r="L34" s="10" t="s">
        <v>15</v>
      </c>
      <c r="M34" s="65" t="s">
        <v>16</v>
      </c>
      <c r="N34" s="65" t="s">
        <v>17</v>
      </c>
      <c r="O34" s="65" t="s">
        <v>18</v>
      </c>
      <c r="P34" s="61" t="s">
        <v>19</v>
      </c>
      <c r="Q34" s="61" t="s">
        <v>20</v>
      </c>
      <c r="R34" s="62" t="s">
        <v>21</v>
      </c>
      <c r="S34" s="62" t="s">
        <v>22</v>
      </c>
      <c r="T34" s="62" t="s">
        <v>39</v>
      </c>
      <c r="U34" s="62" t="s">
        <v>23</v>
      </c>
      <c r="V34" s="62" t="s">
        <v>24</v>
      </c>
      <c r="W34" s="63"/>
    </row>
    <row r="35">
      <c r="A35" s="13" t="s">
        <v>49</v>
      </c>
      <c r="B35" s="41" t="s">
        <v>33</v>
      </c>
      <c r="C35" s="15" t="s">
        <v>41</v>
      </c>
      <c r="D35" s="16">
        <f t="shared" ref="D35:D38" si="42">SUM(E35:G35)</f>
      </c>
      <c r="E35" s="15">
        <v>878.16</v>
      </c>
      <c r="F35" s="15">
        <v>1734.17</v>
      </c>
      <c r="G35" s="15">
        <v>31.96</v>
      </c>
      <c r="H35" s="17">
        <v>1</v>
      </c>
      <c r="I35" s="15">
        <v>215.7</v>
      </c>
      <c r="J35" s="18">
        <f t="shared" ref="J35:J43" si="19">I35/D35</f>
      </c>
      <c r="K35" s="18">
        <f t="shared" ref="K35:K43" si="3">D35/H35</f>
      </c>
      <c r="L35" s="19">
        <f t="shared" ref="L35:L43" si="69">I35/H35</f>
      </c>
      <c r="M35" s="66">
        <f t="shared" ref="M35:M43" si="30">S35/R35</f>
      </c>
      <c r="N35" s="67">
        <f t="shared" ref="N35:N43" si="14">H35/T35</f>
      </c>
      <c r="O35" s="68">
        <f t="shared" ref="O35:O38" si="95">(V35*1000)/D35</f>
      </c>
      <c r="P35" s="69" t="s">
        <v>28</v>
      </c>
      <c r="Q35" s="70" t="s">
        <v>42</v>
      </c>
      <c r="R35" s="71">
        <v>13978</v>
      </c>
      <c r="S35" s="71">
        <v>1208</v>
      </c>
      <c r="T35" s="72">
        <v>2</v>
      </c>
      <c r="U35" s="72">
        <v>3</v>
      </c>
      <c r="V35" s="72">
        <v>27</v>
      </c>
      <c r="W35" s="73"/>
    </row>
    <row r="36">
      <c r="A36" s="13"/>
      <c r="B36" s="41" t="s">
        <v>33</v>
      </c>
      <c r="C36" s="15" t="s">
        <v>43</v>
      </c>
      <c r="D36" s="16">
        <f t="shared" si="42"/>
      </c>
      <c r="E36" s="15">
        <v>1112.99</v>
      </c>
      <c r="F36" s="15">
        <v>2634.16</v>
      </c>
      <c r="G36" s="15">
        <v>3.33</v>
      </c>
      <c r="H36" s="17">
        <v>4</v>
      </c>
      <c r="I36" s="15">
        <v>925.6199999999999</v>
      </c>
      <c r="J36" s="18">
        <f t="shared" si="19"/>
      </c>
      <c r="K36" s="18">
        <f t="shared" si="3"/>
      </c>
      <c r="L36" s="19">
        <f t="shared" si="69"/>
      </c>
      <c r="M36" s="66">
        <f t="shared" si="30"/>
      </c>
      <c r="N36" s="67">
        <f t="shared" si="14"/>
      </c>
      <c r="O36" s="68">
        <f t="shared" si="95"/>
      </c>
      <c r="P36" s="69" t="s">
        <v>28</v>
      </c>
      <c r="Q36" s="70" t="s">
        <v>42</v>
      </c>
      <c r="R36" s="71">
        <v>19164</v>
      </c>
      <c r="S36" s="71">
        <v>1678</v>
      </c>
      <c r="T36" s="72">
        <v>5</v>
      </c>
      <c r="U36" s="72">
        <v>8</v>
      </c>
      <c r="V36" s="72">
        <v>36</v>
      </c>
      <c r="W36" s="73"/>
    </row>
    <row r="37">
      <c r="A37" s="13"/>
      <c r="B37" s="41" t="s">
        <v>33</v>
      </c>
      <c r="C37" s="15" t="s">
        <v>44</v>
      </c>
      <c r="D37" s="16">
        <f t="shared" si="42"/>
      </c>
      <c r="E37" s="15">
        <v>714.51</v>
      </c>
      <c r="F37" s="15">
        <v>948.94</v>
      </c>
      <c r="G37" s="30">
        <v>0</v>
      </c>
      <c r="H37" s="29">
        <v>4</v>
      </c>
      <c r="I37" s="30">
        <v>3983.08</v>
      </c>
      <c r="J37" s="18">
        <f t="shared" si="19"/>
      </c>
      <c r="K37" s="18">
        <f t="shared" si="3"/>
      </c>
      <c r="L37" s="19">
        <f t="shared" si="69"/>
      </c>
      <c r="M37" s="66">
        <f t="shared" si="30"/>
      </c>
      <c r="N37" s="67">
        <f t="shared" si="14"/>
      </c>
      <c r="O37" s="68">
        <f t="shared" si="95"/>
      </c>
      <c r="P37" s="69" t="s">
        <v>28</v>
      </c>
      <c r="Q37" s="70" t="s">
        <v>42</v>
      </c>
      <c r="R37" s="71">
        <v>8463</v>
      </c>
      <c r="S37" s="71">
        <v>784</v>
      </c>
      <c r="T37" s="72">
        <v>8</v>
      </c>
      <c r="U37" s="72">
        <v>7</v>
      </c>
      <c r="V37" s="72">
        <v>23</v>
      </c>
      <c r="W37" s="73"/>
    </row>
    <row r="38">
      <c r="A38" s="13"/>
      <c r="B38" s="41" t="s">
        <v>33</v>
      </c>
      <c r="C38" s="15" t="s">
        <v>45</v>
      </c>
      <c r="D38" s="16">
        <f t="shared" si="42"/>
      </c>
      <c r="E38" s="15">
        <v>939.28</v>
      </c>
      <c r="F38" s="15">
        <v>1278.83</v>
      </c>
      <c r="G38" s="30">
        <v>0</v>
      </c>
      <c r="H38" s="29">
        <v>0</v>
      </c>
      <c r="I38" s="30">
        <v>0</v>
      </c>
      <c r="J38" s="18">
        <f t="shared" si="19"/>
      </c>
      <c r="K38" s="18">
        <f t="shared" si="3"/>
      </c>
      <c r="L38" s="19">
        <f t="shared" si="69"/>
      </c>
      <c r="M38" s="66">
        <f t="shared" si="30"/>
      </c>
      <c r="N38" s="67">
        <f t="shared" si="14"/>
      </c>
      <c r="O38" s="68">
        <f t="shared" si="95"/>
      </c>
      <c r="P38" s="69" t="s">
        <v>28</v>
      </c>
      <c r="Q38" s="70" t="s">
        <v>42</v>
      </c>
      <c r="R38" s="71">
        <v>10817</v>
      </c>
      <c r="S38" s="71">
        <v>815</v>
      </c>
      <c r="T38" s="72">
        <v>2</v>
      </c>
      <c r="U38" s="72">
        <v>4</v>
      </c>
      <c r="V38" s="72">
        <v>25</v>
      </c>
      <c r="W38" s="73"/>
    </row>
    <row r="39">
      <c r="A39" s="13"/>
      <c r="B39" s="31" t="s">
        <v>32</v>
      </c>
      <c r="C39" s="31"/>
      <c r="D39" s="32">
        <f>SUM(D35:D38)</f>
      </c>
      <c r="E39" s="32">
        <f>SUM(E35:E38)</f>
      </c>
      <c r="F39" s="33">
        <f>SUM(F35:F38)</f>
      </c>
      <c r="G39" s="32">
        <f>SUM(G35:G38)</f>
      </c>
      <c r="H39" s="34">
        <f>SUM(H35:H38)</f>
      </c>
      <c r="I39" s="32">
        <f>SUM(I35:I38)</f>
      </c>
      <c r="J39" s="35">
        <f t="shared" si="19"/>
      </c>
      <c r="K39" s="36">
        <f t="shared" si="3"/>
      </c>
      <c r="L39" s="37">
        <f t="shared" si="69"/>
      </c>
      <c r="M39" s="74">
        <f t="shared" si="30"/>
      </c>
      <c r="N39" s="74">
        <f t="shared" si="14"/>
      </c>
      <c r="O39" s="75">
        <f>(U39*1000)/D39</f>
      </c>
      <c r="P39" s="75"/>
      <c r="Q39" s="75"/>
      <c r="R39" s="76">
        <f>SUM(R35:R38)</f>
      </c>
      <c r="S39" s="76">
        <f>SUM(S35:S38)</f>
      </c>
      <c r="T39" s="76">
        <f>SUM(T35:T38)</f>
      </c>
      <c r="U39" s="76">
        <f>SUM(U35:U38)</f>
      </c>
      <c r="V39" s="76">
        <f>SUM(V35:V38)</f>
      </c>
      <c r="W39" s="91"/>
    </row>
    <row r="40">
      <c r="A40" s="13"/>
      <c r="B40" s="14" t="s">
        <v>50</v>
      </c>
      <c r="C40" s="15" t="s">
        <v>46</v>
      </c>
      <c r="D40" s="16">
        <f t="shared" ref="D40:D41" si="43">SUM(E40:G40)</f>
      </c>
      <c r="E40" s="15">
        <v>374.39</v>
      </c>
      <c r="F40" s="15">
        <v>660.39</v>
      </c>
      <c r="G40" s="30">
        <v>0</v>
      </c>
      <c r="H40" s="29">
        <v>0</v>
      </c>
      <c r="I40" s="30">
        <v>0</v>
      </c>
      <c r="J40" s="18">
        <f t="shared" si="19"/>
      </c>
      <c r="K40" s="18">
        <f t="shared" si="3"/>
      </c>
      <c r="L40" s="19">
        <f t="shared" si="69"/>
      </c>
      <c r="M40" s="66">
        <f t="shared" si="30"/>
      </c>
      <c r="N40" s="67">
        <f t="shared" si="14"/>
      </c>
      <c r="O40" s="68">
        <f t="shared" ref="O40:O41" si="96">(V40*1000)/D40</f>
      </c>
      <c r="P40" s="78" t="s">
        <v>28</v>
      </c>
      <c r="Q40" s="70" t="s">
        <v>42</v>
      </c>
      <c r="R40" s="79">
        <v>5932</v>
      </c>
      <c r="S40" s="79">
        <v>537</v>
      </c>
      <c r="T40" s="80">
        <v>2</v>
      </c>
      <c r="U40" s="80">
        <v>9</v>
      </c>
      <c r="V40" s="80">
        <v>9</v>
      </c>
      <c r="W40" s="81"/>
    </row>
    <row r="41">
      <c r="A41" s="13"/>
      <c r="B41" s="14" t="s">
        <v>50</v>
      </c>
      <c r="C41" s="15" t="s">
        <v>47</v>
      </c>
      <c r="D41" s="16">
        <f t="shared" si="43"/>
      </c>
      <c r="E41" s="15">
        <v>298.81</v>
      </c>
      <c r="F41" s="15">
        <v>427.34</v>
      </c>
      <c r="G41" s="30">
        <v>0</v>
      </c>
      <c r="H41" s="17">
        <v>5</v>
      </c>
      <c r="I41" s="15">
        <v>2087.8200000000006</v>
      </c>
      <c r="J41" s="18">
        <f t="shared" si="19"/>
      </c>
      <c r="K41" s="18">
        <f t="shared" si="3"/>
      </c>
      <c r="L41" s="19">
        <f t="shared" si="69"/>
      </c>
      <c r="M41" s="66">
        <f t="shared" si="30"/>
      </c>
      <c r="N41" s="67">
        <f t="shared" si="14"/>
      </c>
      <c r="O41" s="68">
        <f t="shared" si="96"/>
      </c>
      <c r="P41" s="78" t="s">
        <v>28</v>
      </c>
      <c r="Q41" s="70" t="s">
        <v>42</v>
      </c>
      <c r="R41" s="82">
        <v>3069</v>
      </c>
      <c r="S41" s="82">
        <v>327</v>
      </c>
      <c r="T41" s="83">
        <v>2</v>
      </c>
      <c r="U41" s="83">
        <v>7</v>
      </c>
      <c r="V41" s="83">
        <v>5</v>
      </c>
      <c r="W41" s="84"/>
    </row>
    <row r="42">
      <c r="A42" s="13"/>
      <c r="B42" s="31" t="s">
        <v>32</v>
      </c>
      <c r="C42" s="31"/>
      <c r="D42" s="32">
        <f>SUM(D40:D41)</f>
      </c>
      <c r="E42" s="32">
        <f>SUM(E40:E41)</f>
      </c>
      <c r="F42" s="32">
        <f>SUM(F40:F41)</f>
      </c>
      <c r="G42" s="32">
        <f>SUM(G40:G41)</f>
      </c>
      <c r="H42" s="34">
        <f>SUM(H40:H41)</f>
      </c>
      <c r="I42" s="32">
        <f>SUM(I40:I41)</f>
      </c>
      <c r="J42" s="48">
        <f t="shared" si="19"/>
      </c>
      <c r="K42" s="36">
        <f t="shared" si="3"/>
      </c>
      <c r="L42" s="37">
        <f t="shared" si="69"/>
      </c>
      <c r="M42" s="74">
        <f t="shared" si="30"/>
      </c>
      <c r="N42" s="74">
        <f t="shared" si="14"/>
      </c>
      <c r="O42" s="75">
        <f t="shared" ref="O42:O43" si="83">(U42*1000)/D42</f>
      </c>
      <c r="P42" s="75"/>
      <c r="Q42" s="75"/>
      <c r="R42" s="76">
        <f>SUM(R40:R41)</f>
      </c>
      <c r="S42" s="76">
        <f>SUM(S40:S41)</f>
      </c>
      <c r="T42" s="76">
        <f>SUM(T40:T41)</f>
      </c>
      <c r="U42" s="76">
        <f>SUM(U40:U41)</f>
      </c>
      <c r="V42" s="76">
        <f>SUM(V40:V41)</f>
      </c>
      <c r="W42" s="91"/>
    </row>
    <row r="43">
      <c r="A43" s="13"/>
      <c r="B43" s="49" t="s">
        <v>36</v>
      </c>
      <c r="C43" s="49"/>
      <c r="D43" s="50">
        <f>D39+D42</f>
      </c>
      <c r="E43" s="50">
        <f>E39+E42</f>
      </c>
      <c r="F43" s="50">
        <f>F39+F42</f>
      </c>
      <c r="G43" s="50">
        <f>G39+G42</f>
      </c>
      <c r="H43" s="85">
        <f>H39+H42</f>
      </c>
      <c r="I43" s="50">
        <f>I39+I42</f>
      </c>
      <c r="J43" s="51">
        <f t="shared" si="19"/>
      </c>
      <c r="K43" s="51">
        <f t="shared" si="3"/>
      </c>
      <c r="L43" s="52">
        <f t="shared" si="69"/>
      </c>
      <c r="M43" s="86">
        <f t="shared" si="30"/>
      </c>
      <c r="N43" s="86">
        <f t="shared" si="14"/>
      </c>
      <c r="O43" s="87">
        <f t="shared" si="83"/>
      </c>
      <c r="P43" s="88"/>
      <c r="Q43" s="88"/>
      <c r="R43" s="85">
        <f>R39+R42</f>
      </c>
      <c r="S43" s="85">
        <f>S39+S42</f>
      </c>
      <c r="T43" s="85">
        <f>T39+T42</f>
      </c>
      <c r="U43" s="85">
        <f>U39+U42</f>
      </c>
      <c r="V43" s="85">
        <f>V39+V42</f>
      </c>
      <c r="W43" s="90"/>
    </row>
    <row r="44">
      <c r="A44" s="1" t="s">
        <v>1</v>
      </c>
      <c r="B44" s="1"/>
      <c r="C44" s="1"/>
      <c r="D44" s="2" t="s">
        <v>2</v>
      </c>
      <c r="E44" s="2"/>
      <c r="F44" s="2"/>
      <c r="G44" s="2"/>
      <c r="H44" s="2"/>
      <c r="I44" s="2"/>
      <c r="J44" s="2"/>
      <c r="K44" s="2"/>
      <c r="L44" s="2"/>
      <c r="M44" s="3" t="s">
        <v>3</v>
      </c>
      <c r="N44" s="3"/>
      <c r="O44" s="3"/>
      <c r="P44" s="3"/>
      <c r="Q44" s="3"/>
      <c r="R44" s="92" t="s">
        <v>37</v>
      </c>
      <c r="S44" s="92"/>
      <c r="T44" s="92"/>
      <c r="U44" s="92"/>
      <c r="V44" s="92"/>
      <c r="W44" s="93"/>
    </row>
    <row r="45">
      <c r="A45" s="5" t="s">
        <v>5</v>
      </c>
      <c r="B45" s="5" t="s">
        <v>6</v>
      </c>
      <c r="C45" s="5" t="s">
        <v>7</v>
      </c>
      <c r="D45" s="6" t="s">
        <v>8</v>
      </c>
      <c r="E45" s="94" t="s">
        <v>9</v>
      </c>
      <c r="F45" s="6" t="s">
        <v>10</v>
      </c>
      <c r="G45" s="6" t="s">
        <v>38</v>
      </c>
      <c r="H45" s="7" t="s">
        <v>11</v>
      </c>
      <c r="I45" s="6" t="s">
        <v>12</v>
      </c>
      <c r="J45" s="8" t="s">
        <v>13</v>
      </c>
      <c r="K45" s="9" t="s">
        <v>14</v>
      </c>
      <c r="L45" s="10" t="s">
        <v>15</v>
      </c>
      <c r="M45" s="11" t="s">
        <v>16</v>
      </c>
      <c r="N45" s="11" t="s">
        <v>17</v>
      </c>
      <c r="O45" s="11" t="s">
        <v>18</v>
      </c>
      <c r="P45" s="3" t="s">
        <v>19</v>
      </c>
      <c r="Q45" s="3" t="s">
        <v>20</v>
      </c>
      <c r="R45" s="92" t="s">
        <v>21</v>
      </c>
      <c r="S45" s="92" t="s">
        <v>22</v>
      </c>
      <c r="T45" s="92" t="s">
        <v>39</v>
      </c>
      <c r="U45" s="92" t="s">
        <v>23</v>
      </c>
      <c r="V45" s="92" t="s">
        <v>24</v>
      </c>
      <c r="W45" s="93"/>
    </row>
    <row r="46">
      <c r="A46" s="13" t="s">
        <v>51</v>
      </c>
      <c r="B46" s="41" t="s">
        <v>33</v>
      </c>
      <c r="C46" s="16" t="s">
        <v>43</v>
      </c>
      <c r="D46" s="16">
        <f t="shared" ref="D46:D48" si="44">SUM(E46:G46)</f>
      </c>
      <c r="E46" s="95">
        <v>656</v>
      </c>
      <c r="F46" s="16">
        <v>938.65</v>
      </c>
      <c r="G46" s="15">
        <v>0</v>
      </c>
      <c r="H46" s="17">
        <v>0</v>
      </c>
      <c r="I46" s="15">
        <v>0</v>
      </c>
      <c r="J46" s="18">
        <f t="shared" ref="J46:J54" si="20">I46/D46</f>
      </c>
      <c r="K46" s="18">
        <f t="shared" ref="K46:K54" si="4">D46/H46</f>
      </c>
      <c r="L46" s="19">
        <f t="shared" ref="L46:L54" si="70">I46/H46</f>
      </c>
      <c r="M46" s="20">
        <f t="shared" ref="M46:M54" si="31">S46/R46</f>
      </c>
      <c r="N46" s="21">
        <f t="shared" ref="N46:N54" si="15">H46/T46</f>
      </c>
      <c r="O46" s="68">
        <f t="shared" ref="O46:O48" si="97">(V46*1000)/D46</f>
      </c>
      <c r="P46" s="44" t="s">
        <v>28</v>
      </c>
      <c r="Q46" s="28" t="s">
        <v>42</v>
      </c>
      <c r="R46" s="25">
        <v>6616</v>
      </c>
      <c r="S46" s="25">
        <v>721</v>
      </c>
      <c r="T46" s="25">
        <v>0</v>
      </c>
      <c r="U46" s="26">
        <v>0</v>
      </c>
      <c r="V46" s="26">
        <v>21</v>
      </c>
      <c r="W46" s="96"/>
    </row>
    <row r="47">
      <c r="A47" s="27"/>
      <c r="B47" s="41" t="s">
        <v>33</v>
      </c>
      <c r="C47" s="16" t="s">
        <v>44</v>
      </c>
      <c r="D47" s="16">
        <f t="shared" si="44"/>
      </c>
      <c r="E47" s="95">
        <v>382.06</v>
      </c>
      <c r="F47" s="16">
        <v>809.86</v>
      </c>
      <c r="G47" s="15">
        <v>0</v>
      </c>
      <c r="H47" s="17">
        <v>1</v>
      </c>
      <c r="I47" s="16">
        <v>215.7</v>
      </c>
      <c r="J47" s="18">
        <f t="shared" si="20"/>
      </c>
      <c r="K47" s="18">
        <f t="shared" si="4"/>
      </c>
      <c r="L47" s="19">
        <f t="shared" si="70"/>
      </c>
      <c r="M47" s="20">
        <f t="shared" si="31"/>
      </c>
      <c r="N47" s="21">
        <f t="shared" si="15"/>
      </c>
      <c r="O47" s="68">
        <f t="shared" si="97"/>
      </c>
      <c r="P47" s="44" t="s">
        <v>28</v>
      </c>
      <c r="Q47" s="28" t="s">
        <v>42</v>
      </c>
      <c r="R47" s="25">
        <v>5353</v>
      </c>
      <c r="S47" s="25">
        <v>689</v>
      </c>
      <c r="T47" s="25">
        <v>1</v>
      </c>
      <c r="U47" s="25">
        <v>3</v>
      </c>
      <c r="V47" s="25">
        <v>19</v>
      </c>
      <c r="W47" s="97"/>
    </row>
    <row r="48">
      <c r="A48" s="27"/>
      <c r="B48" s="41" t="s">
        <v>33</v>
      </c>
      <c r="C48" s="16" t="s">
        <v>45</v>
      </c>
      <c r="D48" s="16">
        <f t="shared" si="44"/>
      </c>
      <c r="E48" s="16">
        <v>770.46</v>
      </c>
      <c r="F48" s="16">
        <v>1010.13</v>
      </c>
      <c r="G48" s="30">
        <v>0</v>
      </c>
      <c r="H48" s="98">
        <v>6</v>
      </c>
      <c r="I48" s="99">
        <v>2329.26</v>
      </c>
      <c r="J48" s="18">
        <f t="shared" si="20"/>
      </c>
      <c r="K48" s="18">
        <f t="shared" si="4"/>
      </c>
      <c r="L48" s="19">
        <f t="shared" si="70"/>
      </c>
      <c r="M48" s="20">
        <f t="shared" si="31"/>
      </c>
      <c r="N48" s="21">
        <f t="shared" si="15"/>
      </c>
      <c r="O48" s="68">
        <f t="shared" si="97"/>
      </c>
      <c r="P48" s="44" t="s">
        <v>28</v>
      </c>
      <c r="Q48" s="28" t="s">
        <v>42</v>
      </c>
      <c r="R48" s="25">
        <v>6181</v>
      </c>
      <c r="S48" s="25">
        <v>610</v>
      </c>
      <c r="T48" s="25">
        <v>6</v>
      </c>
      <c r="U48" s="25">
        <v>13</v>
      </c>
      <c r="V48" s="25">
        <v>18</v>
      </c>
      <c r="W48" s="97"/>
    </row>
    <row r="49">
      <c r="A49" s="27"/>
      <c r="B49" s="31" t="s">
        <v>32</v>
      </c>
      <c r="C49" s="31"/>
      <c r="D49" s="32">
        <f>SUM(D46:D48)</f>
      </c>
      <c r="E49" s="32">
        <f>SUM(E46:E48)</f>
      </c>
      <c r="F49" s="33">
        <f>SUM(F46:F48)</f>
      </c>
      <c r="G49" s="32">
        <f>SUM(G46:G48)</f>
      </c>
      <c r="H49" s="34">
        <f>SUM(H46:H48)</f>
      </c>
      <c r="I49" s="32">
        <f>SUM(I46:I48)</f>
      </c>
      <c r="J49" s="35">
        <f t="shared" si="20"/>
      </c>
      <c r="K49" s="36">
        <f t="shared" si="4"/>
      </c>
      <c r="L49" s="37">
        <f t="shared" si="70"/>
      </c>
      <c r="M49" s="38">
        <f t="shared" si="31"/>
      </c>
      <c r="N49" s="38">
        <f t="shared" si="15"/>
      </c>
      <c r="O49" s="39">
        <f>(U49*1000)/D49</f>
      </c>
      <c r="P49" s="39"/>
      <c r="Q49" s="39"/>
      <c r="R49" s="40">
        <f>SUM(R46:R48)</f>
      </c>
      <c r="S49" s="40">
        <f>SUM(S46:S48)</f>
      </c>
      <c r="T49" s="40">
        <f>SUM(T46:T48)</f>
      </c>
      <c r="U49" s="40">
        <f>SUM(U46:U48)</f>
      </c>
      <c r="V49" s="40">
        <f>SUM(V46:V48)</f>
      </c>
      <c r="W49" s="91"/>
    </row>
    <row r="50">
      <c r="A50" s="27"/>
      <c r="B50" s="14" t="s">
        <v>26</v>
      </c>
      <c r="C50" s="16" t="s">
        <v>46</v>
      </c>
      <c r="D50" s="16">
        <f t="shared" ref="D50:D52" si="45">SUM(E50:G50)</f>
      </c>
      <c r="E50" s="16">
        <v>2265.1</v>
      </c>
      <c r="F50" s="16">
        <v>2064.35</v>
      </c>
      <c r="G50" s="30">
        <v>0</v>
      </c>
      <c r="H50" s="98">
        <v>9</v>
      </c>
      <c r="I50" s="99">
        <v>3980.88</v>
      </c>
      <c r="J50" s="18">
        <f t="shared" si="20"/>
      </c>
      <c r="K50" s="18">
        <f t="shared" si="4"/>
      </c>
      <c r="L50" s="19">
        <f t="shared" si="70"/>
      </c>
      <c r="M50" s="20">
        <f t="shared" si="31"/>
      </c>
      <c r="N50" s="21">
        <f t="shared" si="15"/>
      </c>
      <c r="O50" s="68">
        <f t="shared" ref="O50:O52" si="98">(V50*1000)/D50</f>
      </c>
      <c r="P50" s="44" t="s">
        <v>28</v>
      </c>
      <c r="Q50" s="28" t="s">
        <v>42</v>
      </c>
      <c r="R50" s="12">
        <v>16882</v>
      </c>
      <c r="S50" s="12">
        <v>1459</v>
      </c>
      <c r="T50" s="12">
        <v>8</v>
      </c>
      <c r="U50" s="12">
        <v>17</v>
      </c>
      <c r="V50" s="12">
        <v>53</v>
      </c>
      <c r="W50" s="100"/>
    </row>
    <row customHeight="true" ht="16.666666666666668" r="51">
      <c r="A51" s="27"/>
      <c r="B51" s="14" t="s">
        <v>26</v>
      </c>
      <c r="C51" s="16" t="s">
        <v>47</v>
      </c>
      <c r="D51" s="16">
        <f t="shared" si="45"/>
      </c>
      <c r="E51" s="16">
        <v>4687.86</v>
      </c>
      <c r="F51" s="16">
        <v>1366.76</v>
      </c>
      <c r="G51" s="30">
        <v>0</v>
      </c>
      <c r="H51" s="101">
        <v>4</v>
      </c>
      <c r="I51" s="16">
        <v>1420.5599999999995</v>
      </c>
      <c r="J51" s="18">
        <f t="shared" si="20"/>
      </c>
      <c r="K51" s="18">
        <f t="shared" si="4"/>
      </c>
      <c r="L51" s="19">
        <f t="shared" si="70"/>
      </c>
      <c r="M51" s="20">
        <f t="shared" si="31"/>
      </c>
      <c r="N51" s="21">
        <f t="shared" si="15"/>
      </c>
      <c r="O51" s="68">
        <f t="shared" si="98"/>
      </c>
      <c r="P51" s="44" t="s">
        <v>28</v>
      </c>
      <c r="Q51" s="28" t="s">
        <v>42</v>
      </c>
      <c r="R51" s="46">
        <v>68352</v>
      </c>
      <c r="S51" s="46">
        <v>5991</v>
      </c>
      <c r="T51" s="46">
        <v>21</v>
      </c>
      <c r="U51" s="47">
        <v>6</v>
      </c>
      <c r="V51" s="47">
        <v>52</v>
      </c>
      <c r="W51" s="102"/>
    </row>
    <row r="52">
      <c r="A52" s="27"/>
      <c r="B52" s="14" t="s">
        <v>26</v>
      </c>
      <c r="C52" s="15" t="s">
        <v>52</v>
      </c>
      <c r="D52" s="16">
        <f t="shared" si="45"/>
      </c>
      <c r="E52" s="16">
        <v>1395.02</v>
      </c>
      <c r="F52" s="16">
        <v>722.24</v>
      </c>
      <c r="G52" s="30">
        <v>0</v>
      </c>
      <c r="H52" s="101">
        <v>9</v>
      </c>
      <c r="I52" s="16">
        <v>3172.2000000000007</v>
      </c>
      <c r="J52" s="18">
        <f t="shared" si="20"/>
      </c>
      <c r="K52" s="18">
        <f t="shared" si="4"/>
      </c>
      <c r="L52" s="19">
        <f t="shared" si="70"/>
      </c>
      <c r="M52" s="20">
        <f t="shared" si="31"/>
      </c>
      <c r="N52" s="21">
        <f t="shared" si="15"/>
      </c>
      <c r="O52" s="68">
        <f t="shared" si="98"/>
      </c>
      <c r="P52" s="44" t="s">
        <v>28</v>
      </c>
      <c r="Q52" s="28" t="s">
        <v>42</v>
      </c>
      <c r="R52" s="46">
        <v>29958</v>
      </c>
      <c r="S52" s="46">
        <v>2253</v>
      </c>
      <c r="T52" s="46">
        <v>5</v>
      </c>
      <c r="U52" s="47">
        <v>10</v>
      </c>
      <c r="V52" s="47">
        <v>26</v>
      </c>
      <c r="W52" s="102"/>
    </row>
    <row r="53">
      <c r="A53" s="27"/>
      <c r="B53" s="31" t="s">
        <v>32</v>
      </c>
      <c r="C53" s="31"/>
      <c r="D53" s="32">
        <f>SUM(D50:D52)</f>
      </c>
      <c r="E53" s="32">
        <f>SUM(E50:E52)</f>
      </c>
      <c r="F53" s="32">
        <f>SUM(F50:F52)</f>
      </c>
      <c r="G53" s="32">
        <f>SUM(G50:G52)</f>
      </c>
      <c r="H53" s="34">
        <f>SUM(H50:H52)</f>
      </c>
      <c r="I53" s="32">
        <f>SUM(I50:I52)</f>
      </c>
      <c r="J53" s="48">
        <f t="shared" si="20"/>
      </c>
      <c r="K53" s="36">
        <f t="shared" si="4"/>
      </c>
      <c r="L53" s="37">
        <f t="shared" si="70"/>
      </c>
      <c r="M53" s="38">
        <f t="shared" si="31"/>
      </c>
      <c r="N53" s="38">
        <f t="shared" si="15"/>
      </c>
      <c r="O53" s="39">
        <f t="shared" ref="O53:O54" si="84">(U53*1000)/D53</f>
      </c>
      <c r="P53" s="39"/>
      <c r="Q53" s="39"/>
      <c r="R53" s="40">
        <f>SUM(R50:R52)</f>
      </c>
      <c r="S53" s="40">
        <f>SUM(S50:S52)</f>
      </c>
      <c r="T53" s="40">
        <f>SUM(T50:T52)</f>
      </c>
      <c r="U53" s="40">
        <f>SUM(U50:U52)</f>
      </c>
      <c r="V53" s="40">
        <f>SUM(V50:V52)</f>
      </c>
      <c r="W53" s="91"/>
    </row>
    <row r="54">
      <c r="A54" s="27"/>
      <c r="B54" s="49" t="s">
        <v>36</v>
      </c>
      <c r="C54" s="49"/>
      <c r="D54" s="50">
        <f>D49+D53</f>
      </c>
      <c r="E54" s="50">
        <f>E49+E53</f>
      </c>
      <c r="F54" s="50">
        <f>F49+F53</f>
      </c>
      <c r="G54" s="50">
        <f>G49+G53</f>
      </c>
      <c r="H54" s="103">
        <f>H49+H53</f>
      </c>
      <c r="I54" s="50">
        <f>I49+I53</f>
      </c>
      <c r="J54" s="51">
        <f t="shared" si="20"/>
      </c>
      <c r="K54" s="51">
        <f t="shared" si="4"/>
      </c>
      <c r="L54" s="52">
        <f t="shared" si="70"/>
      </c>
      <c r="M54" s="53">
        <f t="shared" si="31"/>
      </c>
      <c r="N54" s="53">
        <f t="shared" si="15"/>
      </c>
      <c r="O54" s="51">
        <f t="shared" si="84"/>
      </c>
      <c r="P54" s="104"/>
      <c r="Q54" s="104"/>
      <c r="R54" s="103">
        <f>R49+R53</f>
      </c>
      <c r="S54" s="103">
        <f>S49+S53</f>
      </c>
      <c r="T54" s="103">
        <f>T49+T53</f>
      </c>
      <c r="U54" s="103">
        <f>U49+U53</f>
      </c>
      <c r="V54" s="103">
        <f>V49+V53</f>
      </c>
      <c r="W54" s="105"/>
    </row>
    <row r="55">
      <c r="A55" s="1" t="s">
        <v>1</v>
      </c>
      <c r="B55" s="1"/>
      <c r="C55" s="1"/>
      <c r="D55" s="2" t="s">
        <v>2</v>
      </c>
      <c r="E55" s="2"/>
      <c r="F55" s="2"/>
      <c r="G55" s="2"/>
      <c r="H55" s="2"/>
      <c r="I55" s="2"/>
      <c r="J55" s="2"/>
      <c r="K55" s="2"/>
      <c r="L55" s="2"/>
      <c r="M55" s="3" t="s">
        <v>3</v>
      </c>
      <c r="N55" s="3"/>
      <c r="O55" s="3"/>
      <c r="P55" s="3"/>
      <c r="Q55" s="3"/>
      <c r="R55" s="92" t="s">
        <v>37</v>
      </c>
      <c r="S55" s="92"/>
      <c r="T55" s="92"/>
      <c r="U55" s="92"/>
      <c r="V55" s="92"/>
      <c r="W55" s="93"/>
    </row>
    <row r="56">
      <c r="A56" s="5" t="s">
        <v>5</v>
      </c>
      <c r="B56" s="5" t="s">
        <v>6</v>
      </c>
      <c r="C56" s="5" t="s">
        <v>7</v>
      </c>
      <c r="D56" s="6" t="s">
        <v>8</v>
      </c>
      <c r="E56" s="94" t="s">
        <v>9</v>
      </c>
      <c r="F56" s="6" t="s">
        <v>10</v>
      </c>
      <c r="G56" s="6" t="s">
        <v>38</v>
      </c>
      <c r="H56" s="7" t="s">
        <v>11</v>
      </c>
      <c r="I56" s="6" t="s">
        <v>12</v>
      </c>
      <c r="J56" s="8" t="s">
        <v>13</v>
      </c>
      <c r="K56" s="9" t="s">
        <v>14</v>
      </c>
      <c r="L56" s="10" t="s">
        <v>15</v>
      </c>
      <c r="M56" s="11" t="s">
        <v>16</v>
      </c>
      <c r="N56" s="11" t="s">
        <v>17</v>
      </c>
      <c r="O56" s="11" t="s">
        <v>18</v>
      </c>
      <c r="P56" s="3" t="s">
        <v>19</v>
      </c>
      <c r="Q56" s="3" t="s">
        <v>20</v>
      </c>
      <c r="R56" s="92" t="s">
        <v>21</v>
      </c>
      <c r="S56" s="92" t="s">
        <v>22</v>
      </c>
      <c r="T56" s="92" t="s">
        <v>39</v>
      </c>
      <c r="U56" s="92" t="s">
        <v>23</v>
      </c>
      <c r="V56" s="92" t="s">
        <v>24</v>
      </c>
      <c r="W56" s="93"/>
    </row>
    <row r="57">
      <c r="A57" s="13" t="s">
        <v>53</v>
      </c>
      <c r="B57" s="14" t="s">
        <v>26</v>
      </c>
      <c r="C57" s="16" t="s">
        <v>43</v>
      </c>
      <c r="D57" s="16">
        <f t="shared" ref="D57:D60" si="46">SUM(E57:G57)</f>
      </c>
      <c r="E57" s="15">
        <v>1585.96</v>
      </c>
      <c r="F57" s="15">
        <v>1567.6</v>
      </c>
      <c r="G57" s="15">
        <v>0</v>
      </c>
      <c r="H57" s="17">
        <v>0</v>
      </c>
      <c r="I57" s="15">
        <v>0</v>
      </c>
      <c r="J57" s="18">
        <f t="shared" ref="J57:J65" si="21">I57/D57</f>
      </c>
      <c r="K57" s="18">
        <f t="shared" ref="K57:K65" si="5">D57/H57</f>
      </c>
      <c r="L57" s="19">
        <f t="shared" ref="L57:L65" si="71">I57/H57</f>
      </c>
      <c r="M57" s="20">
        <f t="shared" ref="M57:M65" si="32">S57/R57</f>
      </c>
      <c r="N57" s="21">
        <f t="shared" ref="N57:N65" si="16">H57/T57</f>
      </c>
      <c r="O57" s="68">
        <f t="shared" ref="O57:O60" si="99">(V57*1000)/D57</f>
      </c>
      <c r="P57" s="44" t="s">
        <v>28</v>
      </c>
      <c r="Q57" s="24" t="s">
        <v>54</v>
      </c>
      <c r="R57" s="25">
        <v>15625</v>
      </c>
      <c r="S57" s="25">
        <v>1387</v>
      </c>
      <c r="T57" s="26">
        <v>1</v>
      </c>
      <c r="U57" s="26">
        <v>3</v>
      </c>
      <c r="V57" s="26">
        <v>20</v>
      </c>
      <c r="W57" s="96"/>
    </row>
    <row r="58">
      <c r="A58" s="13"/>
      <c r="B58" s="14" t="s">
        <v>26</v>
      </c>
      <c r="C58" s="16" t="s">
        <v>44</v>
      </c>
      <c r="D58" s="16">
        <f t="shared" si="46"/>
      </c>
      <c r="E58" s="15">
        <v>654.19</v>
      </c>
      <c r="F58" s="15">
        <v>884.25</v>
      </c>
      <c r="G58" s="15">
        <v>0</v>
      </c>
      <c r="H58" s="17">
        <v>5</v>
      </c>
      <c r="I58" s="15">
        <v>4113.52</v>
      </c>
      <c r="J58" s="18">
        <f t="shared" si="21"/>
      </c>
      <c r="K58" s="18">
        <f t="shared" si="5"/>
      </c>
      <c r="L58" s="19">
        <f t="shared" si="71"/>
      </c>
      <c r="M58" s="20">
        <f t="shared" si="32"/>
      </c>
      <c r="N58" s="21">
        <f t="shared" si="16"/>
      </c>
      <c r="O58" s="68">
        <f t="shared" si="99"/>
      </c>
      <c r="P58" s="44" t="s">
        <v>28</v>
      </c>
      <c r="Q58" s="24" t="s">
        <v>54</v>
      </c>
      <c r="R58" s="25">
        <v>6586</v>
      </c>
      <c r="S58" s="25">
        <v>547</v>
      </c>
      <c r="T58" s="26">
        <v>5</v>
      </c>
      <c r="U58" s="26">
        <v>6</v>
      </c>
      <c r="V58" s="26">
        <v>22</v>
      </c>
      <c r="W58" s="96"/>
    </row>
    <row r="59">
      <c r="A59" s="13"/>
      <c r="B59" s="14" t="s">
        <v>26</v>
      </c>
      <c r="C59" s="16" t="s">
        <v>45</v>
      </c>
      <c r="D59" s="16">
        <f t="shared" si="46"/>
      </c>
      <c r="E59" s="15">
        <v>649.07</v>
      </c>
      <c r="F59" s="15">
        <v>742.16</v>
      </c>
      <c r="G59" s="30">
        <v>0</v>
      </c>
      <c r="H59" s="29">
        <v>0</v>
      </c>
      <c r="I59" s="30">
        <v>0</v>
      </c>
      <c r="J59" s="18">
        <f t="shared" si="21"/>
      </c>
      <c r="K59" s="18">
        <f t="shared" si="5"/>
      </c>
      <c r="L59" s="19">
        <f t="shared" si="71"/>
      </c>
      <c r="M59" s="20">
        <f t="shared" si="32"/>
      </c>
      <c r="N59" s="21">
        <f t="shared" si="16"/>
      </c>
      <c r="O59" s="68">
        <f t="shared" si="99"/>
      </c>
      <c r="P59" s="44" t="s">
        <v>28</v>
      </c>
      <c r="Q59" s="24" t="s">
        <v>54</v>
      </c>
      <c r="R59" s="25">
        <v>6415</v>
      </c>
      <c r="S59" s="25">
        <v>472</v>
      </c>
      <c r="T59" s="26">
        <v>1</v>
      </c>
      <c r="U59" s="26">
        <v>1</v>
      </c>
      <c r="V59" s="26">
        <v>17</v>
      </c>
      <c r="W59" s="96"/>
    </row>
    <row customHeight="true" ht="16.666666666666668" r="60">
      <c r="A60" s="13"/>
      <c r="B60" s="14" t="s">
        <v>26</v>
      </c>
      <c r="C60" s="16" t="s">
        <v>46</v>
      </c>
      <c r="D60" s="16">
        <f t="shared" si="46"/>
      </c>
      <c r="E60" s="15">
        <v>1417.25</v>
      </c>
      <c r="F60" s="15">
        <v>788.24</v>
      </c>
      <c r="G60" s="30">
        <v>0</v>
      </c>
      <c r="H60" s="98">
        <v>3</v>
      </c>
      <c r="I60" s="99">
        <v>3705.08</v>
      </c>
      <c r="J60" s="18">
        <f t="shared" si="21"/>
      </c>
      <c r="K60" s="18">
        <f t="shared" si="5"/>
      </c>
      <c r="L60" s="19">
        <f t="shared" si="71"/>
      </c>
      <c r="M60" s="20">
        <f t="shared" si="32"/>
      </c>
      <c r="N60" s="21">
        <f t="shared" si="16"/>
      </c>
      <c r="O60" s="68">
        <f t="shared" si="99"/>
      </c>
      <c r="P60" s="44" t="s">
        <v>28</v>
      </c>
      <c r="Q60" s="24" t="s">
        <v>54</v>
      </c>
      <c r="R60" s="12">
        <v>9876</v>
      </c>
      <c r="S60" s="12">
        <v>690</v>
      </c>
      <c r="T60" s="45">
        <v>3</v>
      </c>
      <c r="U60" s="45">
        <v>4</v>
      </c>
      <c r="V60" s="45">
        <v>22</v>
      </c>
      <c r="W60" s="106"/>
    </row>
    <row r="61">
      <c r="A61" s="13"/>
      <c r="B61" s="31" t="s">
        <v>32</v>
      </c>
      <c r="C61" s="31"/>
      <c r="D61" s="32">
        <f>SUM(D57:D60)</f>
      </c>
      <c r="E61" s="32">
        <f>SUM(E57:E60)</f>
      </c>
      <c r="F61" s="32">
        <f>SUM(F57:F60)</f>
      </c>
      <c r="G61" s="32">
        <f>SUM(G57:G60)</f>
      </c>
      <c r="H61" s="32">
        <f>SUM(H57:H60)</f>
      </c>
      <c r="I61" s="32">
        <f>SUM(I57:I60)</f>
      </c>
      <c r="J61" s="35">
        <f t="shared" si="21"/>
      </c>
      <c r="K61" s="36">
        <f t="shared" si="5"/>
      </c>
      <c r="L61" s="37">
        <f t="shared" si="71"/>
      </c>
      <c r="M61" s="38">
        <f t="shared" si="32"/>
      </c>
      <c r="N61" s="38">
        <f t="shared" si="16"/>
      </c>
      <c r="O61" s="39">
        <f>(U61*1000)/D61</f>
      </c>
      <c r="P61" s="39"/>
      <c r="Q61" s="39"/>
      <c r="R61" s="40">
        <f>SUM(R57:R60)</f>
      </c>
      <c r="S61" s="40">
        <f>SUM(S57:S60)</f>
      </c>
      <c r="T61" s="40">
        <f>SUM(T57:T60)</f>
      </c>
      <c r="U61" s="40">
        <f>SUM(U57:U60)</f>
      </c>
      <c r="V61" s="40">
        <f>SUM(V57:V60)</f>
      </c>
      <c r="W61" s="91"/>
    </row>
    <row r="62">
      <c r="A62" s="13"/>
      <c r="B62" s="14" t="s">
        <v>50</v>
      </c>
      <c r="C62" s="16" t="s">
        <v>47</v>
      </c>
      <c r="D62" s="16">
        <f t="shared" ref="D62:D63" si="47">SUM(E62:G62)</f>
      </c>
      <c r="E62" s="15">
        <v>1441.11</v>
      </c>
      <c r="F62" s="15">
        <v>1017.11</v>
      </c>
      <c r="G62" s="30">
        <v>0</v>
      </c>
      <c r="H62" s="17">
        <v>0</v>
      </c>
      <c r="I62" s="15">
        <v>0</v>
      </c>
      <c r="J62" s="18">
        <f t="shared" si="21"/>
      </c>
      <c r="K62" s="18">
        <f t="shared" si="5"/>
      </c>
      <c r="L62" s="19">
        <f t="shared" si="71"/>
      </c>
      <c r="M62" s="20">
        <f t="shared" si="32"/>
      </c>
      <c r="N62" s="21">
        <f t="shared" si="16"/>
      </c>
      <c r="O62" s="68">
        <f t="shared" ref="O62:O63" si="100">(V62*1000)/D62</f>
      </c>
      <c r="P62" s="44" t="s">
        <v>28</v>
      </c>
      <c r="Q62" s="24" t="s">
        <v>54</v>
      </c>
      <c r="R62" s="46">
        <v>11683</v>
      </c>
      <c r="S62" s="46">
        <v>814</v>
      </c>
      <c r="T62" s="47">
        <v>2</v>
      </c>
      <c r="U62" s="47">
        <v>4</v>
      </c>
      <c r="V62" s="47">
        <v>24</v>
      </c>
      <c r="W62" s="102"/>
    </row>
    <row r="63">
      <c r="A63" s="13"/>
      <c r="B63" s="14" t="s">
        <v>50</v>
      </c>
      <c r="C63" s="15" t="s">
        <v>52</v>
      </c>
      <c r="D63" s="16">
        <f t="shared" si="47"/>
      </c>
      <c r="E63" s="15">
        <v>487.71</v>
      </c>
      <c r="F63" s="15">
        <v>729.53</v>
      </c>
      <c r="G63" s="30">
        <v>0</v>
      </c>
      <c r="H63" s="101">
        <v>3</v>
      </c>
      <c r="I63" s="16">
        <v>1183.92</v>
      </c>
      <c r="J63" s="18">
        <f t="shared" si="21"/>
      </c>
      <c r="K63" s="18">
        <f t="shared" si="5"/>
      </c>
      <c r="L63" s="19">
        <f t="shared" si="71"/>
      </c>
      <c r="M63" s="20">
        <f t="shared" si="32"/>
      </c>
      <c r="N63" s="21">
        <f t="shared" si="16"/>
      </c>
      <c r="O63" s="68">
        <f t="shared" si="100"/>
      </c>
      <c r="P63" s="44" t="s">
        <v>28</v>
      </c>
      <c r="Q63" s="24" t="s">
        <v>54</v>
      </c>
      <c r="R63" s="46">
        <v>6547</v>
      </c>
      <c r="S63" s="46">
        <v>440</v>
      </c>
      <c r="T63" s="47">
        <v>3</v>
      </c>
      <c r="U63" s="47">
        <v>4</v>
      </c>
      <c r="V63" s="47">
        <v>17</v>
      </c>
      <c r="W63" s="102"/>
    </row>
    <row r="64">
      <c r="A64" s="13"/>
      <c r="B64" s="31" t="s">
        <v>32</v>
      </c>
      <c r="C64" s="31"/>
      <c r="D64" s="32">
        <f>SUM(D62:D63)</f>
      </c>
      <c r="E64" s="32">
        <f>SUM(E62:E63)</f>
      </c>
      <c r="F64" s="32">
        <f>SUM(F62:F63)</f>
      </c>
      <c r="G64" s="32">
        <f>SUM(G62:G63)</f>
      </c>
      <c r="H64" s="34">
        <f>SUM(H62:H63)</f>
      </c>
      <c r="I64" s="32">
        <f>SUM(I62:I63)</f>
      </c>
      <c r="J64" s="48">
        <f t="shared" si="21"/>
      </c>
      <c r="K64" s="36">
        <f t="shared" si="5"/>
      </c>
      <c r="L64" s="37">
        <f t="shared" si="71"/>
      </c>
      <c r="M64" s="38">
        <f t="shared" si="32"/>
      </c>
      <c r="N64" s="38">
        <f t="shared" si="16"/>
      </c>
      <c r="O64" s="39">
        <f t="shared" ref="O64:O65" si="85">(U64*1000)/D64</f>
      </c>
      <c r="P64" s="39"/>
      <c r="Q64" s="39"/>
      <c r="R64" s="40">
        <f>SUM(R62:R63)</f>
      </c>
      <c r="S64" s="40">
        <f>SUM(S62:S63)</f>
      </c>
      <c r="T64" s="40">
        <f>SUM(T62:T63)</f>
      </c>
      <c r="U64" s="40">
        <f>SUM(U62:U63)</f>
      </c>
      <c r="V64" s="40">
        <f>SUM(V62:V63)</f>
      </c>
      <c r="W64" s="91"/>
    </row>
    <row r="65">
      <c r="A65" s="13"/>
      <c r="B65" s="49" t="s">
        <v>36</v>
      </c>
      <c r="C65" s="49"/>
      <c r="D65" s="50">
        <f>D61+D64</f>
      </c>
      <c r="E65" s="50">
        <f>E61+E64</f>
      </c>
      <c r="F65" s="50">
        <f>F61+F64</f>
      </c>
      <c r="G65" s="50">
        <f>G61+G64</f>
      </c>
      <c r="H65" s="103">
        <f>H61+H64</f>
      </c>
      <c r="I65" s="50">
        <f>I61+I64</f>
      </c>
      <c r="J65" s="51">
        <f t="shared" si="21"/>
      </c>
      <c r="K65" s="51">
        <f t="shared" si="5"/>
      </c>
      <c r="L65" s="52">
        <f t="shared" si="71"/>
      </c>
      <c r="M65" s="53">
        <f t="shared" si="32"/>
      </c>
      <c r="N65" s="53">
        <f t="shared" si="16"/>
      </c>
      <c r="O65" s="51">
        <f t="shared" si="85"/>
      </c>
      <c r="P65" s="104"/>
      <c r="Q65" s="104"/>
      <c r="R65" s="103">
        <f>R61+R64</f>
      </c>
      <c r="S65" s="103">
        <f>S61+S64</f>
      </c>
      <c r="T65" s="103">
        <f>T61+T64</f>
      </c>
      <c r="U65" s="103">
        <f>U61+U64</f>
      </c>
      <c r="V65" s="103">
        <f>V61+V64</f>
      </c>
      <c r="W65" s="105"/>
    </row>
    <row r="66">
      <c r="A66" s="1" t="s">
        <v>1</v>
      </c>
      <c r="B66" s="1"/>
      <c r="C66" s="1"/>
      <c r="D66" s="2" t="s">
        <v>2</v>
      </c>
      <c r="E66" s="2"/>
      <c r="F66" s="2"/>
      <c r="G66" s="2"/>
      <c r="H66" s="2"/>
      <c r="I66" s="2"/>
      <c r="J66" s="2"/>
      <c r="K66" s="2"/>
      <c r="L66" s="2"/>
      <c r="M66" s="3" t="s">
        <v>3</v>
      </c>
      <c r="N66" s="3"/>
      <c r="O66" s="3"/>
      <c r="P66" s="3"/>
      <c r="Q66" s="3"/>
      <c r="R66" s="92" t="s">
        <v>37</v>
      </c>
      <c r="S66" s="92"/>
      <c r="T66" s="92"/>
      <c r="U66" s="92"/>
      <c r="V66" s="92"/>
      <c r="W66" s="93"/>
    </row>
    <row r="67">
      <c r="A67" s="5" t="s">
        <v>5</v>
      </c>
      <c r="B67" s="5" t="s">
        <v>6</v>
      </c>
      <c r="C67" s="5" t="s">
        <v>7</v>
      </c>
      <c r="D67" s="6" t="s">
        <v>8</v>
      </c>
      <c r="E67" s="94" t="s">
        <v>9</v>
      </c>
      <c r="F67" s="6" t="s">
        <v>10</v>
      </c>
      <c r="G67" s="6" t="s">
        <v>38</v>
      </c>
      <c r="H67" s="7" t="s">
        <v>11</v>
      </c>
      <c r="I67" s="6" t="s">
        <v>12</v>
      </c>
      <c r="J67" s="8" t="s">
        <v>13</v>
      </c>
      <c r="K67" s="9" t="s">
        <v>14</v>
      </c>
      <c r="L67" s="10" t="s">
        <v>15</v>
      </c>
      <c r="M67" s="11" t="s">
        <v>16</v>
      </c>
      <c r="N67" s="11" t="s">
        <v>17</v>
      </c>
      <c r="O67" s="11" t="s">
        <v>18</v>
      </c>
      <c r="P67" s="3" t="s">
        <v>19</v>
      </c>
      <c r="Q67" s="3" t="s">
        <v>20</v>
      </c>
      <c r="R67" s="92" t="s">
        <v>21</v>
      </c>
      <c r="S67" s="92" t="s">
        <v>22</v>
      </c>
      <c r="T67" s="92" t="s">
        <v>39</v>
      </c>
      <c r="U67" s="107" t="s">
        <v>55</v>
      </c>
      <c r="V67" s="92" t="s">
        <v>24</v>
      </c>
      <c r="W67" s="93"/>
    </row>
    <row r="68">
      <c r="A68" s="13" t="s">
        <v>56</v>
      </c>
      <c r="B68" s="14" t="s">
        <v>57</v>
      </c>
      <c r="C68" s="16" t="s">
        <v>43</v>
      </c>
      <c r="D68" s="16">
        <f t="shared" ref="D68:D71" si="48">SUM(E68:G68)</f>
      </c>
      <c r="E68" s="15">
        <v>0</v>
      </c>
      <c r="F68" s="15">
        <v>1010.6</v>
      </c>
      <c r="G68" s="15">
        <v>832.46</v>
      </c>
      <c r="H68" s="17">
        <v>1</v>
      </c>
      <c r="I68" s="15">
        <v>710.64</v>
      </c>
      <c r="J68" s="18">
        <f t="shared" ref="J68:J76" si="22">I68/D68</f>
      </c>
      <c r="K68" s="18">
        <f t="shared" ref="K68:K76" si="6">D68/H68</f>
      </c>
      <c r="L68" s="19">
        <f t="shared" ref="L68:L76" si="72">I68/H68</f>
      </c>
      <c r="M68" s="20">
        <f t="shared" ref="M68:M76" si="33">S68/R68</f>
      </c>
      <c r="N68" s="21">
        <f t="shared" ref="N68:N71" si="57">H68/(T68+H68)</f>
      </c>
      <c r="O68" s="68">
        <f t="shared" ref="O68:O71" si="101">(V68*1000)/D68</f>
      </c>
      <c r="P68" s="44" t="s">
        <v>28</v>
      </c>
      <c r="Q68" s="28" t="s">
        <v>42</v>
      </c>
      <c r="R68" s="25">
        <v>9188</v>
      </c>
      <c r="S68" s="25">
        <v>858</v>
      </c>
      <c r="T68" s="26">
        <v>1</v>
      </c>
      <c r="U68" s="26">
        <v>0</v>
      </c>
      <c r="V68" s="26">
        <v>30</v>
      </c>
      <c r="W68" s="96"/>
    </row>
    <row r="69">
      <c r="A69" s="13"/>
      <c r="B69" s="14" t="s">
        <v>57</v>
      </c>
      <c r="C69" s="16" t="s">
        <v>44</v>
      </c>
      <c r="D69" s="16">
        <f t="shared" si="48"/>
      </c>
      <c r="E69" s="15">
        <v>0</v>
      </c>
      <c r="F69" s="15">
        <v>1004.24</v>
      </c>
      <c r="G69" s="15">
        <v>911.87</v>
      </c>
      <c r="H69" s="17">
        <v>2</v>
      </c>
      <c r="I69" s="15">
        <v>1805.2800000000002</v>
      </c>
      <c r="J69" s="18">
        <f t="shared" si="22"/>
      </c>
      <c r="K69" s="18">
        <f t="shared" si="6"/>
      </c>
      <c r="L69" s="19">
        <f t="shared" si="72"/>
      </c>
      <c r="M69" s="20">
        <f t="shared" si="33"/>
      </c>
      <c r="N69" s="21">
        <f t="shared" si="57"/>
      </c>
      <c r="O69" s="68">
        <f t="shared" si="101"/>
      </c>
      <c r="P69" s="44" t="s">
        <v>28</v>
      </c>
      <c r="Q69" s="28" t="s">
        <v>42</v>
      </c>
      <c r="R69" s="25">
        <v>10323</v>
      </c>
      <c r="S69" s="25">
        <v>1101</v>
      </c>
      <c r="T69" s="26">
        <v>1</v>
      </c>
      <c r="U69" s="26">
        <v>0</v>
      </c>
      <c r="V69" s="26">
        <v>25</v>
      </c>
      <c r="W69" s="96"/>
    </row>
    <row r="70">
      <c r="A70" s="13"/>
      <c r="B70" s="14" t="s">
        <v>57</v>
      </c>
      <c r="C70" s="16" t="s">
        <v>45</v>
      </c>
      <c r="D70" s="16">
        <f t="shared" si="48"/>
      </c>
      <c r="E70" s="15">
        <v>0</v>
      </c>
      <c r="F70" s="15">
        <v>428.43</v>
      </c>
      <c r="G70" s="30">
        <v>761.13</v>
      </c>
      <c r="H70" s="29">
        <v>0</v>
      </c>
      <c r="I70" s="30">
        <v>0</v>
      </c>
      <c r="J70" s="18">
        <f t="shared" si="22"/>
      </c>
      <c r="K70" s="18">
        <f t="shared" si="6"/>
      </c>
      <c r="L70" s="19">
        <f t="shared" si="72"/>
      </c>
      <c r="M70" s="20">
        <f t="shared" si="33"/>
      </c>
      <c r="N70" s="21">
        <f t="shared" si="57"/>
      </c>
      <c r="O70" s="68">
        <f t="shared" si="101"/>
      </c>
      <c r="P70" s="44" t="s">
        <v>28</v>
      </c>
      <c r="Q70" s="28" t="s">
        <v>42</v>
      </c>
      <c r="R70" s="25">
        <v>6238</v>
      </c>
      <c r="S70" s="25">
        <v>786</v>
      </c>
      <c r="T70" s="26">
        <v>3</v>
      </c>
      <c r="U70" s="26">
        <v>1</v>
      </c>
      <c r="V70" s="26">
        <v>29</v>
      </c>
      <c r="W70" s="96"/>
    </row>
    <row r="71">
      <c r="A71" s="13"/>
      <c r="B71" s="14" t="s">
        <v>57</v>
      </c>
      <c r="C71" s="16" t="s">
        <v>46</v>
      </c>
      <c r="D71" s="16">
        <f t="shared" si="48"/>
      </c>
      <c r="E71" s="15">
        <v>0</v>
      </c>
      <c r="F71" s="15">
        <v>1165.98</v>
      </c>
      <c r="G71" s="30">
        <v>319.54</v>
      </c>
      <c r="H71" s="98">
        <v>4</v>
      </c>
      <c r="I71" s="99">
        <v>4493.72</v>
      </c>
      <c r="J71" s="18">
        <f t="shared" si="22"/>
      </c>
      <c r="K71" s="18">
        <f t="shared" si="6"/>
      </c>
      <c r="L71" s="19">
        <f t="shared" si="72"/>
      </c>
      <c r="M71" s="20">
        <f t="shared" si="33"/>
      </c>
      <c r="N71" s="21">
        <f t="shared" si="57"/>
      </c>
      <c r="O71" s="68">
        <f t="shared" si="101"/>
      </c>
      <c r="P71" s="44" t="s">
        <v>28</v>
      </c>
      <c r="Q71" s="28" t="s">
        <v>42</v>
      </c>
      <c r="R71" s="25">
        <v>7538</v>
      </c>
      <c r="S71" s="25">
        <v>647</v>
      </c>
      <c r="T71" s="26">
        <v>3</v>
      </c>
      <c r="U71" s="26">
        <v>0</v>
      </c>
      <c r="V71" s="26">
        <v>20</v>
      </c>
      <c r="W71" s="96"/>
    </row>
    <row r="72">
      <c r="A72" s="13"/>
      <c r="B72" s="31" t="s">
        <v>32</v>
      </c>
      <c r="C72" s="31"/>
      <c r="D72" s="32">
        <f>SUM(D68:D71)</f>
      </c>
      <c r="E72" s="32">
        <f>SUM(E68:E71)</f>
      </c>
      <c r="F72" s="32">
        <f>SUM(F68:F71)</f>
      </c>
      <c r="G72" s="32">
        <f>SUM(G68:G71)</f>
      </c>
      <c r="H72" s="34">
        <f>SUM(H68:H71)</f>
      </c>
      <c r="I72" s="32">
        <f>SUM(I68:I71)</f>
      </c>
      <c r="J72" s="35">
        <f t="shared" si="22"/>
      </c>
      <c r="K72" s="36">
        <f t="shared" si="6"/>
      </c>
      <c r="L72" s="37">
        <f t="shared" si="72"/>
      </c>
      <c r="M72" s="38">
        <f t="shared" si="33"/>
      </c>
      <c r="N72" s="38">
        <f>H72/T72</f>
      </c>
      <c r="O72" s="39">
        <f>(U72*1000)/D72</f>
      </c>
      <c r="P72" s="39"/>
      <c r="Q72" s="39"/>
      <c r="R72" s="40">
        <f>SUM(R68:R71)</f>
      </c>
      <c r="S72" s="40">
        <f>SUM(S68:S71)</f>
      </c>
      <c r="T72" s="40">
        <f>SUM(T68:T71)</f>
      </c>
      <c r="U72" s="40">
        <f>SUM(U68:U71)</f>
      </c>
      <c r="V72" s="40">
        <f>SUM(V68:V71)</f>
      </c>
      <c r="W72" s="91"/>
    </row>
    <row r="73">
      <c r="A73" s="13"/>
      <c r="B73" s="41" t="s">
        <v>33</v>
      </c>
      <c r="C73" s="16" t="s">
        <v>47</v>
      </c>
      <c r="D73" s="16">
        <f t="shared" ref="D73:D74" si="49">SUM(E73:G73)</f>
      </c>
      <c r="E73" s="15">
        <v>0</v>
      </c>
      <c r="F73" s="15">
        <v>1672.82</v>
      </c>
      <c r="G73" s="30">
        <v>298.9</v>
      </c>
      <c r="H73" s="17">
        <v>1</v>
      </c>
      <c r="I73" s="15">
        <v>236.63999999999942</v>
      </c>
      <c r="J73" s="18">
        <f t="shared" si="22"/>
      </c>
      <c r="K73" s="18">
        <f t="shared" si="6"/>
      </c>
      <c r="L73" s="19">
        <f t="shared" si="72"/>
      </c>
      <c r="M73" s="20">
        <f t="shared" si="33"/>
      </c>
      <c r="N73" s="21">
        <f t="shared" ref="N73:N76" si="58">H73/(T73+H73)</f>
      </c>
      <c r="O73" s="68">
        <f t="shared" ref="O73:O74" si="102">(V73*1000)/D73</f>
      </c>
      <c r="P73" s="44" t="s">
        <v>28</v>
      </c>
      <c r="Q73" s="28" t="s">
        <v>42</v>
      </c>
      <c r="R73" s="25">
        <v>7473</v>
      </c>
      <c r="S73" s="25">
        <v>495</v>
      </c>
      <c r="T73" s="26">
        <v>0</v>
      </c>
      <c r="U73" s="26">
        <v>0</v>
      </c>
      <c r="V73" s="26">
        <v>16</v>
      </c>
      <c r="W73" s="96"/>
    </row>
    <row r="74">
      <c r="A74" s="13"/>
      <c r="B74" s="41" t="s">
        <v>33</v>
      </c>
      <c r="C74" s="15" t="s">
        <v>52</v>
      </c>
      <c r="D74" s="16">
        <f t="shared" si="49"/>
      </c>
      <c r="E74" s="15">
        <v>0</v>
      </c>
      <c r="F74" s="15">
        <v>616.64</v>
      </c>
      <c r="G74" s="30">
        <v>112.03</v>
      </c>
      <c r="H74" s="101">
        <v>2</v>
      </c>
      <c r="I74" s="16">
        <v>882.4400000000005</v>
      </c>
      <c r="J74" s="18">
        <f t="shared" si="22"/>
      </c>
      <c r="K74" s="18">
        <f t="shared" si="6"/>
      </c>
      <c r="L74" s="19">
        <f t="shared" si="72"/>
      </c>
      <c r="M74" s="20">
        <f t="shared" si="33"/>
      </c>
      <c r="N74" s="21">
        <f t="shared" si="58"/>
      </c>
      <c r="O74" s="68">
        <f t="shared" si="102"/>
      </c>
      <c r="P74" s="44" t="s">
        <v>28</v>
      </c>
      <c r="Q74" s="28" t="s">
        <v>42</v>
      </c>
      <c r="R74" s="25">
        <v>4457</v>
      </c>
      <c r="S74" s="25">
        <v>340</v>
      </c>
      <c r="T74" s="26">
        <v>1</v>
      </c>
      <c r="U74" s="26">
        <v>0</v>
      </c>
      <c r="V74" s="26">
        <v>18</v>
      </c>
      <c r="W74" s="96"/>
    </row>
    <row r="75">
      <c r="A75" s="13"/>
      <c r="B75" s="31" t="s">
        <v>32</v>
      </c>
      <c r="C75" s="31"/>
      <c r="D75" s="32">
        <f>SUM(D73:D74)</f>
      </c>
      <c r="E75" s="32">
        <f>SUM(E73:E74)</f>
      </c>
      <c r="F75" s="32">
        <f>SUM(F73:F74)</f>
      </c>
      <c r="G75" s="32">
        <f>SUM(G73:G74)</f>
      </c>
      <c r="H75" s="34">
        <f>SUM(H73:H74)</f>
      </c>
      <c r="I75" s="32">
        <f>SUM(I73:I74)</f>
      </c>
      <c r="J75" s="48">
        <f t="shared" si="22"/>
      </c>
      <c r="K75" s="36">
        <f t="shared" si="6"/>
      </c>
      <c r="L75" s="37">
        <f t="shared" si="72"/>
      </c>
      <c r="M75" s="38">
        <f t="shared" si="33"/>
      </c>
      <c r="N75" s="38">
        <f t="shared" si="58"/>
      </c>
      <c r="O75" s="39">
        <f t="shared" ref="O75:O76" si="86">(U75*1000)/D75</f>
      </c>
      <c r="P75" s="39"/>
      <c r="Q75" s="39"/>
      <c r="R75" s="40">
        <f>SUM(R73:R74)</f>
      </c>
      <c r="S75" s="40">
        <f>SUM(S73:S74)</f>
      </c>
      <c r="T75" s="40">
        <f>SUM(T73:T74)</f>
      </c>
      <c r="U75" s="40">
        <f>SUM(U73:U74)</f>
      </c>
      <c r="V75" s="40">
        <f>SUM(V73:V74)</f>
      </c>
      <c r="W75" s="91"/>
    </row>
    <row r="76">
      <c r="A76" s="13"/>
      <c r="B76" s="49" t="s">
        <v>36</v>
      </c>
      <c r="C76" s="49"/>
      <c r="D76" s="50">
        <f>D72+D75</f>
      </c>
      <c r="E76" s="50">
        <f>E72+E75</f>
      </c>
      <c r="F76" s="50">
        <f>F72+F75</f>
      </c>
      <c r="G76" s="50">
        <f>G72+G75</f>
      </c>
      <c r="H76" s="103">
        <f>H72+H75</f>
      </c>
      <c r="I76" s="50">
        <f>I72+I75</f>
      </c>
      <c r="J76" s="51">
        <f t="shared" si="22"/>
      </c>
      <c r="K76" s="51">
        <f t="shared" si="6"/>
      </c>
      <c r="L76" s="52">
        <f t="shared" si="72"/>
      </c>
      <c r="M76" s="53">
        <f t="shared" si="33"/>
      </c>
      <c r="N76" s="53">
        <f t="shared" si="58"/>
      </c>
      <c r="O76" s="51">
        <f t="shared" si="86"/>
      </c>
      <c r="P76" s="104"/>
      <c r="Q76" s="104"/>
      <c r="R76" s="103">
        <f>R72+R75</f>
      </c>
      <c r="S76" s="103">
        <f>S72+S75</f>
      </c>
      <c r="T76" s="103">
        <f>T72+T75</f>
      </c>
      <c r="U76" s="103">
        <f>U72+U75</f>
      </c>
      <c r="V76" s="103">
        <f>V72+V75</f>
      </c>
      <c r="W76" s="105"/>
    </row>
    <row r="77">
      <c r="A77" s="1" t="s">
        <v>1</v>
      </c>
      <c r="B77" s="1"/>
      <c r="C77" s="1"/>
      <c r="D77" s="2" t="s">
        <v>2</v>
      </c>
      <c r="E77" s="2"/>
      <c r="F77" s="2"/>
      <c r="G77" s="2"/>
      <c r="H77" s="2"/>
      <c r="I77" s="2"/>
      <c r="J77" s="2"/>
      <c r="K77" s="2"/>
      <c r="L77" s="2"/>
      <c r="M77" s="3" t="s">
        <v>3</v>
      </c>
      <c r="N77" s="3"/>
      <c r="O77" s="3"/>
      <c r="P77" s="3"/>
      <c r="Q77" s="3"/>
      <c r="R77" s="92" t="s">
        <v>37</v>
      </c>
      <c r="S77" s="92"/>
      <c r="T77" s="92"/>
      <c r="U77" s="92"/>
      <c r="V77" s="92"/>
      <c r="W77" s="93"/>
    </row>
    <row r="78">
      <c r="A78" s="5" t="s">
        <v>5</v>
      </c>
      <c r="B78" s="5" t="s">
        <v>6</v>
      </c>
      <c r="C78" s="5" t="s">
        <v>7</v>
      </c>
      <c r="D78" s="6" t="s">
        <v>8</v>
      </c>
      <c r="E78" s="94" t="s">
        <v>9</v>
      </c>
      <c r="F78" s="6" t="s">
        <v>10</v>
      </c>
      <c r="G78" s="6" t="s">
        <v>38</v>
      </c>
      <c r="H78" s="7" t="s">
        <v>11</v>
      </c>
      <c r="I78" s="6" t="s">
        <v>12</v>
      </c>
      <c r="J78" s="8" t="s">
        <v>13</v>
      </c>
      <c r="K78" s="9" t="s">
        <v>14</v>
      </c>
      <c r="L78" s="10" t="s">
        <v>15</v>
      </c>
      <c r="M78" s="11" t="s">
        <v>16</v>
      </c>
      <c r="N78" s="11" t="s">
        <v>17</v>
      </c>
      <c r="O78" s="11" t="s">
        <v>18</v>
      </c>
      <c r="P78" s="3" t="s">
        <v>19</v>
      </c>
      <c r="Q78" s="3" t="s">
        <v>20</v>
      </c>
      <c r="R78" s="92" t="s">
        <v>21</v>
      </c>
      <c r="S78" s="92" t="s">
        <v>22</v>
      </c>
      <c r="T78" s="92" t="s">
        <v>39</v>
      </c>
      <c r="U78" s="107" t="s">
        <v>55</v>
      </c>
      <c r="V78" s="92" t="s">
        <v>24</v>
      </c>
      <c r="W78" s="93"/>
    </row>
    <row r="79">
      <c r="A79" s="13" t="s">
        <v>58</v>
      </c>
      <c r="B79" s="14" t="s">
        <v>57</v>
      </c>
      <c r="C79" s="16" t="s">
        <v>43</v>
      </c>
      <c r="D79" s="16">
        <f t="shared" ref="D79:D82" si="50">SUM(E79:G79)</f>
      </c>
      <c r="E79" s="15">
        <v>0</v>
      </c>
      <c r="F79" s="15">
        <v>3578.07</v>
      </c>
      <c r="G79" s="15">
        <v>583.2</v>
      </c>
      <c r="H79" s="17">
        <v>6</v>
      </c>
      <c r="I79" s="15">
        <v>4008.62</v>
      </c>
      <c r="J79" s="18">
        <f t="shared" ref="J79:J87" si="23">I79/D79</f>
      </c>
      <c r="K79" s="18">
        <f t="shared" ref="K79:K87" si="7">D79/H79</f>
      </c>
      <c r="L79" s="19">
        <f t="shared" ref="L79:L87" si="73">I79/H79</f>
      </c>
      <c r="M79" s="20">
        <f t="shared" ref="M79:M87" si="34">S79/R79</f>
      </c>
      <c r="N79" s="21">
        <f t="shared" ref="N79:N82" si="59">H79/(T79+H79)</f>
      </c>
      <c r="O79" s="68">
        <f t="shared" ref="O79:O82" si="103">(V79*1000)/D79</f>
      </c>
      <c r="P79" s="44" t="s">
        <v>28</v>
      </c>
      <c r="Q79" s="28" t="s">
        <v>42</v>
      </c>
      <c r="R79" s="25">
        <v>16711</v>
      </c>
      <c r="S79" s="25">
        <v>871</v>
      </c>
      <c r="T79" s="26">
        <v>5</v>
      </c>
      <c r="U79" s="26">
        <v>4</v>
      </c>
      <c r="V79" s="26">
        <v>31</v>
      </c>
      <c r="W79" s="96"/>
    </row>
    <row r="80">
      <c r="A80" s="13"/>
      <c r="B80" s="14" t="s">
        <v>57</v>
      </c>
      <c r="C80" s="16" t="s">
        <v>44</v>
      </c>
      <c r="D80" s="16">
        <f t="shared" si="50"/>
      </c>
      <c r="E80" s="15">
        <v>0</v>
      </c>
      <c r="F80" s="15">
        <v>5723.39</v>
      </c>
      <c r="G80" s="15">
        <v>1109.16</v>
      </c>
      <c r="H80" s="17">
        <v>10</v>
      </c>
      <c r="I80" s="15">
        <v>4828.96</v>
      </c>
      <c r="J80" s="18">
        <f t="shared" si="23"/>
      </c>
      <c r="K80" s="18">
        <f t="shared" si="7"/>
      </c>
      <c r="L80" s="19">
        <f t="shared" si="73"/>
      </c>
      <c r="M80" s="20">
        <f t="shared" si="34"/>
      </c>
      <c r="N80" s="21">
        <f t="shared" si="59"/>
      </c>
      <c r="O80" s="68">
        <f t="shared" si="103"/>
      </c>
      <c r="P80" s="44" t="s">
        <v>28</v>
      </c>
      <c r="Q80" s="28" t="s">
        <v>42</v>
      </c>
      <c r="R80" s="25">
        <v>45347</v>
      </c>
      <c r="S80" s="25">
        <v>1603</v>
      </c>
      <c r="T80" s="26">
        <v>5</v>
      </c>
      <c r="U80" s="26">
        <v>0</v>
      </c>
      <c r="V80" s="26">
        <v>67</v>
      </c>
      <c r="W80" s="96"/>
    </row>
    <row r="81">
      <c r="A81" s="13"/>
      <c r="B81" s="14" t="s">
        <v>57</v>
      </c>
      <c r="C81" s="16" t="s">
        <v>45</v>
      </c>
      <c r="D81" s="16">
        <f t="shared" si="50"/>
      </c>
      <c r="E81" s="15">
        <v>0</v>
      </c>
      <c r="F81" s="15">
        <v>2066.65</v>
      </c>
      <c r="G81" s="30">
        <v>757</v>
      </c>
      <c r="H81" s="29">
        <v>7</v>
      </c>
      <c r="I81" s="30">
        <v>4842.6</v>
      </c>
      <c r="J81" s="18">
        <f t="shared" si="23"/>
      </c>
      <c r="K81" s="18">
        <f t="shared" si="7"/>
      </c>
      <c r="L81" s="19">
        <f t="shared" si="73"/>
      </c>
      <c r="M81" s="20">
        <f t="shared" si="34"/>
      </c>
      <c r="N81" s="21">
        <f t="shared" si="59"/>
      </c>
      <c r="O81" s="68">
        <f t="shared" si="103"/>
      </c>
      <c r="P81" s="44" t="s">
        <v>28</v>
      </c>
      <c r="Q81" s="28" t="s">
        <v>42</v>
      </c>
      <c r="R81" s="25">
        <v>10601</v>
      </c>
      <c r="S81" s="25">
        <v>672</v>
      </c>
      <c r="T81" s="26">
        <v>3</v>
      </c>
      <c r="U81" s="26">
        <v>2</v>
      </c>
      <c r="V81" s="26">
        <v>25</v>
      </c>
      <c r="W81" s="96"/>
    </row>
    <row r="82">
      <c r="A82" s="13"/>
      <c r="B82" s="14" t="s">
        <v>57</v>
      </c>
      <c r="C82" s="16" t="s">
        <v>46</v>
      </c>
      <c r="D82" s="16">
        <f t="shared" si="50"/>
      </c>
      <c r="E82" s="15">
        <v>0</v>
      </c>
      <c r="F82" s="15">
        <v>2545.26</v>
      </c>
      <c r="G82" s="30">
        <v>592.76</v>
      </c>
      <c r="H82" s="98">
        <v>2</v>
      </c>
      <c r="I82" s="99">
        <v>452.34000000000015</v>
      </c>
      <c r="J82" s="18">
        <f t="shared" si="23"/>
      </c>
      <c r="K82" s="18">
        <f t="shared" si="7"/>
      </c>
      <c r="L82" s="19">
        <f t="shared" si="73"/>
      </c>
      <c r="M82" s="20">
        <f t="shared" si="34"/>
      </c>
      <c r="N82" s="21">
        <f t="shared" si="59"/>
      </c>
      <c r="O82" s="68">
        <f t="shared" si="103"/>
      </c>
      <c r="P82" s="44" t="s">
        <v>28</v>
      </c>
      <c r="Q82" s="28" t="s">
        <v>42</v>
      </c>
      <c r="R82" s="25">
        <v>13764</v>
      </c>
      <c r="S82" s="25">
        <v>784</v>
      </c>
      <c r="T82" s="26">
        <v>5</v>
      </c>
      <c r="U82" s="26">
        <v>0</v>
      </c>
      <c r="V82" s="26">
        <v>32</v>
      </c>
      <c r="W82" s="96"/>
    </row>
    <row r="83">
      <c r="A83" s="13"/>
      <c r="B83" s="31" t="s">
        <v>32</v>
      </c>
      <c r="C83" s="31"/>
      <c r="D83" s="32">
        <f>SUM(D79:D82)</f>
      </c>
      <c r="E83" s="32">
        <f>SUM(E79:E82)</f>
      </c>
      <c r="F83" s="32">
        <f>SUM(F79:F82)</f>
      </c>
      <c r="G83" s="32">
        <f>SUM(G79:G82)</f>
      </c>
      <c r="H83" s="34">
        <f>SUM(H79:H82)</f>
      </c>
      <c r="I83" s="32">
        <f>SUM(I79:I82)</f>
      </c>
      <c r="J83" s="35">
        <f t="shared" si="23"/>
      </c>
      <c r="K83" s="36">
        <f t="shared" si="7"/>
      </c>
      <c r="L83" s="37">
        <f t="shared" si="73"/>
      </c>
      <c r="M83" s="38">
        <f t="shared" si="34"/>
      </c>
      <c r="N83" s="38">
        <f>H83/T83</f>
      </c>
      <c r="O83" s="39">
        <f>(U83*1000)/D83</f>
      </c>
      <c r="P83" s="39"/>
      <c r="Q83" s="39"/>
      <c r="R83" s="40">
        <f>SUM(R79:R82)</f>
      </c>
      <c r="S83" s="40">
        <f>SUM(S79:S82)</f>
      </c>
      <c r="T83" s="40">
        <f>SUM(T79:T82)</f>
      </c>
      <c r="U83" s="40">
        <f>SUM(U79:U82)</f>
      </c>
      <c r="V83" s="40">
        <f>SUM(V79:V82)</f>
      </c>
      <c r="W83" s="91"/>
    </row>
    <row r="84">
      <c r="A84" s="13"/>
      <c r="B84" s="41" t="s">
        <v>33</v>
      </c>
      <c r="C84" s="16" t="s">
        <v>47</v>
      </c>
      <c r="D84" s="16">
        <f t="shared" ref="D84:D85" si="51">SUM(E84:G84)</f>
      </c>
      <c r="E84" s="15">
        <v>0</v>
      </c>
      <c r="F84" s="15">
        <v>1517.82</v>
      </c>
      <c r="G84" s="30">
        <v>286.73</v>
      </c>
      <c r="H84" s="17">
        <v>2</v>
      </c>
      <c r="I84" s="15">
        <v>1662.4399999999987</v>
      </c>
      <c r="J84" s="18">
        <f t="shared" si="23"/>
      </c>
      <c r="K84" s="18">
        <f t="shared" si="7"/>
      </c>
      <c r="L84" s="19">
        <f t="shared" si="73"/>
      </c>
      <c r="M84" s="20">
        <f t="shared" si="34"/>
      </c>
      <c r="N84" s="21">
        <f t="shared" ref="N84:N87" si="60">H84/(T84+H84)</f>
      </c>
      <c r="O84" s="68">
        <f t="shared" ref="O84:O85" si="104">(V84*1000)/D84</f>
      </c>
      <c r="P84" s="44" t="s">
        <v>28</v>
      </c>
      <c r="Q84" s="28" t="s">
        <v>42</v>
      </c>
      <c r="R84" s="25">
        <v>6416</v>
      </c>
      <c r="S84" s="25">
        <v>421</v>
      </c>
      <c r="T84" s="26">
        <v>2</v>
      </c>
      <c r="U84" s="26">
        <v>2</v>
      </c>
      <c r="V84" s="26">
        <v>23</v>
      </c>
      <c r="W84" s="96"/>
    </row>
    <row r="85">
      <c r="A85" s="13"/>
      <c r="B85" s="41" t="s">
        <v>33</v>
      </c>
      <c r="C85" s="15" t="s">
        <v>52</v>
      </c>
      <c r="D85" s="16">
        <f t="shared" si="51"/>
      </c>
      <c r="E85" s="15">
        <v>0</v>
      </c>
      <c r="F85" s="15">
        <v>520.8</v>
      </c>
      <c r="G85" s="30">
        <v>150.69</v>
      </c>
      <c r="H85" s="101">
        <v>2</v>
      </c>
      <c r="I85" s="16">
        <v>926.3400000000001</v>
      </c>
      <c r="J85" s="18">
        <f t="shared" si="23"/>
      </c>
      <c r="K85" s="18">
        <f t="shared" si="7"/>
      </c>
      <c r="L85" s="19">
        <f t="shared" si="73"/>
      </c>
      <c r="M85" s="20">
        <f t="shared" si="34"/>
      </c>
      <c r="N85" s="21">
        <f t="shared" si="60"/>
      </c>
      <c r="O85" s="68">
        <f t="shared" si="104"/>
      </c>
      <c r="P85" s="44" t="s">
        <v>28</v>
      </c>
      <c r="Q85" s="28" t="s">
        <v>42</v>
      </c>
      <c r="R85" s="25">
        <v>3349</v>
      </c>
      <c r="S85" s="25">
        <v>196</v>
      </c>
      <c r="T85" s="26">
        <v>1</v>
      </c>
      <c r="U85" s="26">
        <v>0</v>
      </c>
      <c r="V85" s="26">
        <v>15</v>
      </c>
      <c r="W85" s="96"/>
    </row>
    <row r="86">
      <c r="A86" s="13"/>
      <c r="B86" s="31" t="s">
        <v>32</v>
      </c>
      <c r="C86" s="31"/>
      <c r="D86" s="32">
        <f>SUM(D84:D85)</f>
      </c>
      <c r="E86" s="32">
        <f>SUM(E84:E85)</f>
      </c>
      <c r="F86" s="32">
        <f>SUM(F84:F85)</f>
      </c>
      <c r="G86" s="32">
        <f>SUM(G84:G85)</f>
      </c>
      <c r="H86" s="34">
        <f>SUM(H84:H85)</f>
      </c>
      <c r="I86" s="32">
        <f>SUM(I84:I85)</f>
      </c>
      <c r="J86" s="48">
        <f t="shared" si="23"/>
      </c>
      <c r="K86" s="36">
        <f t="shared" si="7"/>
      </c>
      <c r="L86" s="37">
        <f t="shared" si="73"/>
      </c>
      <c r="M86" s="38">
        <f t="shared" si="34"/>
      </c>
      <c r="N86" s="38">
        <f t="shared" si="60"/>
      </c>
      <c r="O86" s="39">
        <f t="shared" ref="O86:O87" si="87">(U86*1000)/D86</f>
      </c>
      <c r="P86" s="39"/>
      <c r="Q86" s="39"/>
      <c r="R86" s="40">
        <f>SUM(R84:R85)</f>
      </c>
      <c r="S86" s="40">
        <f>SUM(S84:S85)</f>
      </c>
      <c r="T86" s="40">
        <f>SUM(T84:T85)</f>
      </c>
      <c r="U86" s="40">
        <f>SUM(U84:U85)</f>
      </c>
      <c r="V86" s="40">
        <f>SUM(V84:V85)</f>
      </c>
      <c r="W86" s="91"/>
    </row>
    <row r="87">
      <c r="A87" s="13"/>
      <c r="B87" s="49" t="s">
        <v>36</v>
      </c>
      <c r="C87" s="49"/>
      <c r="D87" s="50">
        <f>D83+D86</f>
      </c>
      <c r="E87" s="50">
        <f>E83+E86</f>
      </c>
      <c r="F87" s="50">
        <f>F83+F86</f>
      </c>
      <c r="G87" s="50">
        <f>G83+G86</f>
      </c>
      <c r="H87" s="103">
        <f>H83+H86</f>
      </c>
      <c r="I87" s="50">
        <f>I83+I86</f>
      </c>
      <c r="J87" s="51">
        <f t="shared" si="23"/>
      </c>
      <c r="K87" s="51">
        <f t="shared" si="7"/>
      </c>
      <c r="L87" s="52">
        <f t="shared" si="73"/>
      </c>
      <c r="M87" s="53">
        <f t="shared" si="34"/>
      </c>
      <c r="N87" s="53">
        <f t="shared" si="60"/>
      </c>
      <c r="O87" s="51">
        <f t="shared" si="87"/>
      </c>
      <c r="P87" s="104"/>
      <c r="Q87" s="104"/>
      <c r="R87" s="103">
        <f>R83+R86</f>
      </c>
      <c r="S87" s="103">
        <f>S83+S86</f>
      </c>
      <c r="T87" s="103">
        <f>T83+T86</f>
      </c>
      <c r="U87" s="103">
        <f>U83+U86</f>
      </c>
      <c r="V87" s="103">
        <f>V83+V86</f>
      </c>
      <c r="W87" s="105"/>
    </row>
    <row r="88">
      <c r="A88" s="1" t="s">
        <v>1</v>
      </c>
      <c r="B88" s="1"/>
      <c r="C88" s="1"/>
      <c r="D88" s="2" t="s">
        <v>2</v>
      </c>
      <c r="E88" s="2"/>
      <c r="F88" s="2"/>
      <c r="G88" s="2"/>
      <c r="H88" s="2"/>
      <c r="I88" s="2"/>
      <c r="J88" s="2"/>
      <c r="K88" s="2"/>
      <c r="L88" s="2"/>
      <c r="M88" s="3" t="s">
        <v>3</v>
      </c>
      <c r="N88" s="3"/>
      <c r="O88" s="3"/>
      <c r="P88" s="3"/>
      <c r="Q88" s="3"/>
      <c r="R88" s="92" t="s">
        <v>37</v>
      </c>
      <c r="S88" s="92"/>
      <c r="T88" s="92"/>
      <c r="U88" s="92"/>
      <c r="V88" s="92"/>
      <c r="W88" s="93"/>
    </row>
    <row r="89">
      <c r="A89" s="5" t="s">
        <v>5</v>
      </c>
      <c r="B89" s="5" t="s">
        <v>6</v>
      </c>
      <c r="C89" s="5" t="s">
        <v>7</v>
      </c>
      <c r="D89" s="6" t="s">
        <v>8</v>
      </c>
      <c r="E89" s="94" t="s">
        <v>9</v>
      </c>
      <c r="F89" s="6" t="s">
        <v>10</v>
      </c>
      <c r="G89" s="6" t="s">
        <v>38</v>
      </c>
      <c r="H89" s="7" t="s">
        <v>11</v>
      </c>
      <c r="I89" s="6" t="s">
        <v>12</v>
      </c>
      <c r="J89" s="8" t="s">
        <v>13</v>
      </c>
      <c r="K89" s="9" t="s">
        <v>14</v>
      </c>
      <c r="L89" s="10" t="s">
        <v>15</v>
      </c>
      <c r="M89" s="11" t="s">
        <v>16</v>
      </c>
      <c r="N89" s="11" t="s">
        <v>17</v>
      </c>
      <c r="O89" s="11" t="s">
        <v>18</v>
      </c>
      <c r="P89" s="3" t="s">
        <v>19</v>
      </c>
      <c r="Q89" s="3" t="s">
        <v>20</v>
      </c>
      <c r="R89" s="92" t="s">
        <v>21</v>
      </c>
      <c r="S89" s="92" t="s">
        <v>22</v>
      </c>
      <c r="T89" s="92" t="s">
        <v>39</v>
      </c>
      <c r="U89" s="107" t="s">
        <v>55</v>
      </c>
      <c r="V89" s="92" t="s">
        <v>24</v>
      </c>
      <c r="W89" s="93"/>
    </row>
    <row r="90">
      <c r="A90" s="13" t="s">
        <v>59</v>
      </c>
      <c r="B90" s="14" t="s">
        <v>57</v>
      </c>
      <c r="C90" s="16" t="s">
        <v>43</v>
      </c>
      <c r="D90" s="16">
        <f t="shared" ref="D90:D93" si="52">SUM(E90:G90)</f>
      </c>
      <c r="E90" s="15">
        <v>0</v>
      </c>
      <c r="F90" s="15">
        <v>1167.08</v>
      </c>
      <c r="G90" s="15">
        <v>350.07</v>
      </c>
      <c r="H90" s="17">
        <v>1</v>
      </c>
      <c r="I90" s="15">
        <v>1179.84</v>
      </c>
      <c r="J90" s="18">
        <f t="shared" ref="J90:J98" si="24">I90/D90</f>
      </c>
      <c r="K90" s="18">
        <f t="shared" ref="K90:K98" si="8">D90/H90</f>
      </c>
      <c r="L90" s="19">
        <f t="shared" ref="L90:L98" si="74">I90/H90</f>
      </c>
      <c r="M90" s="20">
        <f t="shared" ref="M90:M98" si="35">S90/R90</f>
      </c>
      <c r="N90" s="21">
        <f t="shared" ref="N90:N93" si="61">H90/(T90+H90)</f>
      </c>
      <c r="O90" s="68">
        <f t="shared" ref="O90:O93" si="105">(V90*1000)/D90</f>
      </c>
      <c r="P90" s="44" t="s">
        <v>28</v>
      </c>
      <c r="Q90" s="28" t="s">
        <v>42</v>
      </c>
      <c r="R90" s="25">
        <v>7455</v>
      </c>
      <c r="S90" s="25">
        <v>390</v>
      </c>
      <c r="T90" s="26">
        <v>1</v>
      </c>
      <c r="U90" s="26">
        <v>0</v>
      </c>
      <c r="V90" s="26">
        <v>15</v>
      </c>
      <c r="W90" s="96"/>
    </row>
    <row r="91">
      <c r="A91" s="13"/>
      <c r="B91" s="14" t="s">
        <v>57</v>
      </c>
      <c r="C91" s="16" t="s">
        <v>44</v>
      </c>
      <c r="D91" s="16">
        <f t="shared" si="52"/>
      </c>
      <c r="E91" s="15">
        <v>0</v>
      </c>
      <c r="F91" s="15">
        <v>703.87</v>
      </c>
      <c r="G91" s="15">
        <v>261.61</v>
      </c>
      <c r="H91" s="17">
        <v>1</v>
      </c>
      <c r="I91" s="15">
        <v>1568.64</v>
      </c>
      <c r="J91" s="18">
        <f t="shared" si="24"/>
      </c>
      <c r="K91" s="18">
        <f t="shared" si="8"/>
      </c>
      <c r="L91" s="19">
        <f t="shared" si="74"/>
      </c>
      <c r="M91" s="20">
        <f t="shared" si="35"/>
      </c>
      <c r="N91" s="21">
        <f t="shared" si="61"/>
      </c>
      <c r="O91" s="68">
        <f t="shared" si="105"/>
      </c>
      <c r="P91" s="44" t="s">
        <v>28</v>
      </c>
      <c r="Q91" s="28" t="s">
        <v>42</v>
      </c>
      <c r="R91" s="25">
        <v>3901</v>
      </c>
      <c r="S91" s="25">
        <v>405</v>
      </c>
      <c r="T91" s="26">
        <v>1</v>
      </c>
      <c r="U91" s="26">
        <v>0</v>
      </c>
      <c r="V91" s="26">
        <v>15</v>
      </c>
      <c r="W91" s="96"/>
    </row>
    <row r="92">
      <c r="A92" s="13"/>
      <c r="B92" s="14" t="s">
        <v>57</v>
      </c>
      <c r="C92" s="16" t="s">
        <v>45</v>
      </c>
      <c r="D92" s="16">
        <f t="shared" si="52"/>
      </c>
      <c r="E92" s="15">
        <v>0</v>
      </c>
      <c r="F92" s="15">
        <v>1113.53</v>
      </c>
      <c r="G92" s="30">
        <v>222.72</v>
      </c>
      <c r="H92" s="29">
        <v>5</v>
      </c>
      <c r="I92" s="30">
        <v>2045.4199999999996</v>
      </c>
      <c r="J92" s="18">
        <f t="shared" si="24"/>
      </c>
      <c r="K92" s="18">
        <f t="shared" si="8"/>
      </c>
      <c r="L92" s="19">
        <f t="shared" si="74"/>
      </c>
      <c r="M92" s="20">
        <f t="shared" si="35"/>
      </c>
      <c r="N92" s="21">
        <f t="shared" si="61"/>
      </c>
      <c r="O92" s="68">
        <f t="shared" si="105"/>
      </c>
      <c r="P92" s="44" t="s">
        <v>28</v>
      </c>
      <c r="Q92" s="28" t="s">
        <v>42</v>
      </c>
      <c r="R92" s="25">
        <v>5703</v>
      </c>
      <c r="S92" s="25">
        <v>473</v>
      </c>
      <c r="T92" s="26">
        <v>2</v>
      </c>
      <c r="U92" s="26">
        <v>0</v>
      </c>
      <c r="V92" s="26">
        <v>15</v>
      </c>
      <c r="W92" s="96"/>
    </row>
    <row r="93">
      <c r="A93" s="13"/>
      <c r="B93" s="14" t="s">
        <v>57</v>
      </c>
      <c r="C93" s="16" t="s">
        <v>46</v>
      </c>
      <c r="D93" s="16">
        <f t="shared" si="52"/>
      </c>
      <c r="E93" s="15">
        <v>0</v>
      </c>
      <c r="F93" s="15">
        <v>1053.88</v>
      </c>
      <c r="G93" s="30">
        <v>297.7</v>
      </c>
      <c r="H93" s="98">
        <v>5</v>
      </c>
      <c r="I93" s="99">
        <v>4022.3999999999996</v>
      </c>
      <c r="J93" s="18">
        <f t="shared" si="24"/>
      </c>
      <c r="K93" s="18">
        <f t="shared" si="8"/>
      </c>
      <c r="L93" s="19">
        <f t="shared" si="74"/>
      </c>
      <c r="M93" s="20">
        <f t="shared" si="35"/>
      </c>
      <c r="N93" s="21">
        <f t="shared" si="61"/>
      </c>
      <c r="O93" s="68">
        <f t="shared" si="105"/>
      </c>
      <c r="P93" s="44" t="s">
        <v>28</v>
      </c>
      <c r="Q93" s="28" t="s">
        <v>42</v>
      </c>
      <c r="R93" s="25">
        <v>5241</v>
      </c>
      <c r="S93" s="25">
        <v>333</v>
      </c>
      <c r="T93" s="26">
        <v>4</v>
      </c>
      <c r="U93" s="26">
        <v>0</v>
      </c>
      <c r="V93" s="26">
        <v>14</v>
      </c>
      <c r="W93" s="96"/>
    </row>
    <row r="94">
      <c r="A94" s="13"/>
      <c r="B94" s="31" t="s">
        <v>32</v>
      </c>
      <c r="C94" s="31"/>
      <c r="D94" s="32">
        <f>SUM(D90:D93)</f>
      </c>
      <c r="E94" s="32">
        <f>SUM(E90:E93)</f>
      </c>
      <c r="F94" s="32">
        <f>SUM(F90:F93)</f>
      </c>
      <c r="G94" s="32">
        <f>SUM(G90:G93)</f>
      </c>
      <c r="H94" s="34">
        <f>SUM(H90:H93)</f>
      </c>
      <c r="I94" s="32">
        <f>SUM(I90:I93)</f>
      </c>
      <c r="J94" s="35">
        <f t="shared" si="24"/>
      </c>
      <c r="K94" s="36">
        <f t="shared" si="8"/>
      </c>
      <c r="L94" s="37">
        <f t="shared" si="74"/>
      </c>
      <c r="M94" s="38">
        <f t="shared" si="35"/>
      </c>
      <c r="N94" s="38">
        <f>H94/T94</f>
      </c>
      <c r="O94" s="39">
        <f>(U94*1000)/D94</f>
      </c>
      <c r="P94" s="39"/>
      <c r="Q94" s="39"/>
      <c r="R94" s="40">
        <f>SUM(R90:R93)</f>
      </c>
      <c r="S94" s="40">
        <f>SUM(S90:S93)</f>
      </c>
      <c r="T94" s="40">
        <f>SUM(T90:T93)</f>
      </c>
      <c r="U94" s="40">
        <f>SUM(U90:U93)</f>
      </c>
      <c r="V94" s="40">
        <f>SUM(V90:V93)</f>
      </c>
      <c r="W94" s="91"/>
    </row>
    <row r="95">
      <c r="A95" s="13"/>
      <c r="B95" s="41" t="s">
        <v>33</v>
      </c>
      <c r="C95" s="16" t="s">
        <v>47</v>
      </c>
      <c r="D95" s="16">
        <f t="shared" ref="D95:D96" si="53">SUM(E95:G95)</f>
      </c>
      <c r="E95" s="15">
        <v>0</v>
      </c>
      <c r="F95" s="15">
        <v>837.86</v>
      </c>
      <c r="G95" s="30">
        <v>358.48</v>
      </c>
      <c r="H95" s="17">
        <v>1</v>
      </c>
      <c r="I95" s="15">
        <v>1568.6400000000012</v>
      </c>
      <c r="J95" s="18">
        <f t="shared" si="24"/>
      </c>
      <c r="K95" s="18">
        <f t="shared" si="8"/>
      </c>
      <c r="L95" s="19">
        <f t="shared" si="74"/>
      </c>
      <c r="M95" s="20">
        <f t="shared" si="35"/>
      </c>
      <c r="N95" s="21">
        <f t="shared" ref="N95:N98" si="62">H95/(T95+H95)</f>
      </c>
      <c r="O95" s="68">
        <f t="shared" ref="O95:O96" si="106">(V95*1000)/D95</f>
      </c>
      <c r="P95" s="44" t="s">
        <v>28</v>
      </c>
      <c r="Q95" s="28" t="s">
        <v>42</v>
      </c>
      <c r="R95" s="25">
        <v>5504</v>
      </c>
      <c r="S95" s="25">
        <v>433</v>
      </c>
      <c r="T95" s="26">
        <v>2</v>
      </c>
      <c r="U95" s="26">
        <v>2</v>
      </c>
      <c r="V95" s="26">
        <v>11</v>
      </c>
      <c r="W95" s="96"/>
    </row>
    <row r="96">
      <c r="A96" s="13"/>
      <c r="B96" s="41" t="s">
        <v>33</v>
      </c>
      <c r="C96" s="15" t="s">
        <v>52</v>
      </c>
      <c r="D96" s="16">
        <f t="shared" si="53"/>
      </c>
      <c r="E96" s="15">
        <v>0</v>
      </c>
      <c r="F96" s="15">
        <v>311.69</v>
      </c>
      <c r="G96" s="30">
        <v>146.13</v>
      </c>
      <c r="H96" s="17">
        <v>0</v>
      </c>
      <c r="I96" s="15">
        <v>0</v>
      </c>
      <c r="J96" s="18">
        <f t="shared" si="24"/>
      </c>
      <c r="K96" s="18">
        <f t="shared" si="8"/>
      </c>
      <c r="L96" s="19">
        <f t="shared" si="74"/>
      </c>
      <c r="M96" s="20">
        <f t="shared" si="35"/>
      </c>
      <c r="N96" s="21">
        <f t="shared" si="62"/>
      </c>
      <c r="O96" s="68">
        <f t="shared" si="106"/>
      </c>
      <c r="P96" s="44" t="s">
        <v>28</v>
      </c>
      <c r="Q96" s="28" t="s">
        <v>42</v>
      </c>
      <c r="R96" s="25">
        <v>2447</v>
      </c>
      <c r="S96" s="25">
        <v>231</v>
      </c>
      <c r="T96" s="26">
        <v>2</v>
      </c>
      <c r="U96" s="26">
        <v>0</v>
      </c>
      <c r="V96" s="26">
        <v>13</v>
      </c>
      <c r="W96" s="96"/>
    </row>
    <row r="97">
      <c r="A97" s="13"/>
      <c r="B97" s="31" t="s">
        <v>32</v>
      </c>
      <c r="C97" s="31"/>
      <c r="D97" s="32">
        <f>SUM(D95:D96)</f>
      </c>
      <c r="E97" s="32">
        <f>SUM(E95:E96)</f>
      </c>
      <c r="F97" s="32">
        <f>SUM(F95:F96)</f>
      </c>
      <c r="G97" s="32">
        <f>SUM(G95:G96)</f>
      </c>
      <c r="H97" s="34">
        <f>SUM(H95:H96)</f>
      </c>
      <c r="I97" s="32">
        <f>SUM(I95:I96)</f>
      </c>
      <c r="J97" s="48">
        <f t="shared" si="24"/>
      </c>
      <c r="K97" s="36">
        <f t="shared" si="8"/>
      </c>
      <c r="L97" s="37">
        <f t="shared" si="74"/>
      </c>
      <c r="M97" s="38">
        <f t="shared" si="35"/>
      </c>
      <c r="N97" s="38">
        <f t="shared" si="62"/>
      </c>
      <c r="O97" s="39">
        <f t="shared" ref="O97:O98" si="88">(U97*1000)/D97</f>
      </c>
      <c r="P97" s="39"/>
      <c r="Q97" s="39"/>
      <c r="R97" s="40">
        <f>SUM(R95:R96)</f>
      </c>
      <c r="S97" s="40">
        <f>SUM(S95:S96)</f>
      </c>
      <c r="T97" s="40">
        <f>SUM(T95:T96)</f>
      </c>
      <c r="U97" s="40">
        <f>SUM(U95:U96)</f>
      </c>
      <c r="V97" s="40">
        <f>SUM(V95:V96)</f>
      </c>
      <c r="W97" s="91"/>
    </row>
    <row r="98">
      <c r="A98" s="13"/>
      <c r="B98" s="49" t="s">
        <v>36</v>
      </c>
      <c r="C98" s="49"/>
      <c r="D98" s="50">
        <f>D94+D97</f>
      </c>
      <c r="E98" s="50">
        <f>E94+E97</f>
      </c>
      <c r="F98" s="50">
        <f>F94+F97</f>
      </c>
      <c r="G98" s="50">
        <f>G94+G97</f>
      </c>
      <c r="H98" s="103">
        <f>H94+H97</f>
      </c>
      <c r="I98" s="50">
        <f>I94+I97</f>
      </c>
      <c r="J98" s="51">
        <f t="shared" si="24"/>
      </c>
      <c r="K98" s="51">
        <f t="shared" si="8"/>
      </c>
      <c r="L98" s="52">
        <f t="shared" si="74"/>
      </c>
      <c r="M98" s="53">
        <f t="shared" si="35"/>
      </c>
      <c r="N98" s="53">
        <f t="shared" si="62"/>
      </c>
      <c r="O98" s="51">
        <f t="shared" si="88"/>
      </c>
      <c r="P98" s="104"/>
      <c r="Q98" s="104"/>
      <c r="R98" s="103">
        <f>R94+R97</f>
      </c>
      <c r="S98" s="103">
        <f>S94+S97</f>
      </c>
      <c r="T98" s="103">
        <f>T94+T97</f>
      </c>
      <c r="U98" s="103">
        <f>U94+U97</f>
      </c>
      <c r="V98" s="103">
        <f>V94+V97</f>
      </c>
      <c r="W98" s="105"/>
    </row>
    <row r="99">
      <c r="A99" s="1" t="s">
        <v>1</v>
      </c>
      <c r="B99" s="1"/>
      <c r="C99" s="1"/>
      <c r="D99" s="2" t="s">
        <v>2</v>
      </c>
      <c r="E99" s="2"/>
      <c r="F99" s="2"/>
      <c r="G99" s="2"/>
      <c r="H99" s="2"/>
      <c r="I99" s="2"/>
      <c r="J99" s="2"/>
      <c r="K99" s="2"/>
      <c r="L99" s="2"/>
      <c r="M99" s="3" t="s">
        <v>3</v>
      </c>
      <c r="N99" s="3"/>
      <c r="O99" s="3"/>
      <c r="P99" s="3"/>
      <c r="Q99" s="3"/>
      <c r="R99" s="92" t="s">
        <v>37</v>
      </c>
      <c r="S99" s="92"/>
      <c r="T99" s="92"/>
      <c r="U99" s="92"/>
      <c r="V99" s="92"/>
      <c r="W99" s="93"/>
    </row>
    <row r="100">
      <c r="A100" s="5" t="s">
        <v>5</v>
      </c>
      <c r="B100" s="5" t="s">
        <v>6</v>
      </c>
      <c r="C100" s="5" t="s">
        <v>7</v>
      </c>
      <c r="D100" s="6" t="s">
        <v>8</v>
      </c>
      <c r="E100" s="94" t="s">
        <v>9</v>
      </c>
      <c r="F100" s="6" t="s">
        <v>10</v>
      </c>
      <c r="G100" s="6" t="s">
        <v>38</v>
      </c>
      <c r="H100" s="7" t="s">
        <v>11</v>
      </c>
      <c r="I100" s="6" t="s">
        <v>12</v>
      </c>
      <c r="J100" s="8" t="s">
        <v>13</v>
      </c>
      <c r="K100" s="9" t="s">
        <v>14</v>
      </c>
      <c r="L100" s="10" t="s">
        <v>15</v>
      </c>
      <c r="M100" s="11" t="s">
        <v>16</v>
      </c>
      <c r="N100" s="11" t="s">
        <v>17</v>
      </c>
      <c r="O100" s="11" t="s">
        <v>18</v>
      </c>
      <c r="P100" s="3" t="s">
        <v>19</v>
      </c>
      <c r="Q100" s="3" t="s">
        <v>20</v>
      </c>
      <c r="R100" s="92" t="s">
        <v>21</v>
      </c>
      <c r="S100" s="92" t="s">
        <v>22</v>
      </c>
      <c r="T100" s="92" t="s">
        <v>39</v>
      </c>
      <c r="U100" s="107" t="s">
        <v>55</v>
      </c>
      <c r="V100" s="92" t="s">
        <v>24</v>
      </c>
      <c r="W100" s="93"/>
    </row>
    <row r="101">
      <c r="A101" s="13" t="s">
        <v>60</v>
      </c>
      <c r="B101" s="14" t="s">
        <v>57</v>
      </c>
      <c r="C101" s="16" t="s">
        <v>43</v>
      </c>
      <c r="D101" s="16">
        <f t="shared" ref="D101:D104" si="54">SUM(E101:G101)</f>
      </c>
      <c r="E101" s="15">
        <v>0</v>
      </c>
      <c r="F101" s="15">
        <v>1902.42</v>
      </c>
      <c r="G101" s="15">
        <v>449.05</v>
      </c>
      <c r="H101" s="17">
        <v>4</v>
      </c>
      <c r="I101" s="15">
        <v>911.28</v>
      </c>
      <c r="J101" s="18">
        <f t="shared" ref="J101:J109" si="25">I101/D101</f>
      </c>
      <c r="K101" s="18">
        <f t="shared" ref="K101:K109" si="9">D101/H101</f>
      </c>
      <c r="L101" s="19">
        <f t="shared" ref="L101:L109" si="75">I101/H101</f>
      </c>
      <c r="M101" s="20">
        <f t="shared" ref="M101:M109" si="36">S101/R101</f>
      </c>
      <c r="N101" s="21">
        <f t="shared" ref="N101:N104" si="63">H101/(T101+H101)</f>
      </c>
      <c r="O101" s="68">
        <f t="shared" ref="O101:O104" si="107">(V101*1000)/D101</f>
      </c>
      <c r="P101" s="44" t="s">
        <v>28</v>
      </c>
      <c r="Q101" s="28" t="s">
        <v>42</v>
      </c>
      <c r="R101" s="25">
        <v>9545</v>
      </c>
      <c r="S101" s="25">
        <v>668</v>
      </c>
      <c r="T101" s="26">
        <v>1</v>
      </c>
      <c r="U101" s="26">
        <v>1</v>
      </c>
      <c r="V101" s="26">
        <v>29</v>
      </c>
      <c r="W101" s="96"/>
    </row>
    <row r="102">
      <c r="A102" s="13"/>
      <c r="B102" s="14" t="s">
        <v>57</v>
      </c>
      <c r="C102" s="16" t="s">
        <v>44</v>
      </c>
      <c r="D102" s="16">
        <f t="shared" si="54"/>
      </c>
      <c r="E102" s="15">
        <v>0</v>
      </c>
      <c r="F102" s="15">
        <v>2107.35</v>
      </c>
      <c r="G102" s="15">
        <v>373.75</v>
      </c>
      <c r="H102" s="17">
        <v>5</v>
      </c>
      <c r="I102" s="15">
        <v>6511.2</v>
      </c>
      <c r="J102" s="18">
        <f t="shared" si="25"/>
      </c>
      <c r="K102" s="18">
        <f t="shared" si="9"/>
      </c>
      <c r="L102" s="19">
        <f t="shared" si="75"/>
      </c>
      <c r="M102" s="20">
        <f t="shared" si="36"/>
      </c>
      <c r="N102" s="21">
        <f t="shared" si="63"/>
      </c>
      <c r="O102" s="68">
        <f t="shared" si="107"/>
      </c>
      <c r="P102" s="44" t="s">
        <v>28</v>
      </c>
      <c r="Q102" s="28" t="s">
        <v>42</v>
      </c>
      <c r="R102" s="25">
        <v>8618</v>
      </c>
      <c r="S102" s="25">
        <v>556</v>
      </c>
      <c r="T102" s="26">
        <v>4</v>
      </c>
      <c r="U102" s="26">
        <v>4</v>
      </c>
      <c r="V102" s="26">
        <v>28</v>
      </c>
      <c r="W102" s="96"/>
    </row>
    <row r="103">
      <c r="A103" s="13"/>
      <c r="B103" s="14" t="s">
        <v>57</v>
      </c>
      <c r="C103" s="16" t="s">
        <v>45</v>
      </c>
      <c r="D103" s="16">
        <f t="shared" si="54"/>
      </c>
      <c r="E103" s="15">
        <v>0</v>
      </c>
      <c r="F103" s="15">
        <v>2651.55</v>
      </c>
      <c r="G103" s="30">
        <v>574.53</v>
      </c>
      <c r="H103" s="29">
        <v>7</v>
      </c>
      <c r="I103" s="30">
        <v>4708.700000000001</v>
      </c>
      <c r="J103" s="18">
        <f t="shared" si="25"/>
      </c>
      <c r="K103" s="18">
        <f t="shared" si="9"/>
      </c>
      <c r="L103" s="19">
        <f t="shared" si="75"/>
      </c>
      <c r="M103" s="20">
        <f t="shared" si="36"/>
      </c>
      <c r="N103" s="21">
        <f t="shared" si="63"/>
      </c>
      <c r="O103" s="68">
        <f t="shared" si="107"/>
      </c>
      <c r="P103" s="44" t="s">
        <v>28</v>
      </c>
      <c r="Q103" s="28" t="s">
        <v>42</v>
      </c>
      <c r="R103" s="25">
        <v>13499</v>
      </c>
      <c r="S103" s="25">
        <v>559</v>
      </c>
      <c r="T103" s="26">
        <v>0</v>
      </c>
      <c r="U103" s="26">
        <v>0</v>
      </c>
      <c r="V103" s="26">
        <v>19</v>
      </c>
      <c r="W103" s="96"/>
    </row>
    <row r="104">
      <c r="A104" s="13"/>
      <c r="B104" s="14" t="s">
        <v>57</v>
      </c>
      <c r="C104" s="16" t="s">
        <v>46</v>
      </c>
      <c r="D104" s="16">
        <f t="shared" si="54"/>
      </c>
      <c r="E104" s="15">
        <v>0</v>
      </c>
      <c r="F104" s="15">
        <v>1516.53</v>
      </c>
      <c r="G104" s="30">
        <v>651.65</v>
      </c>
      <c r="H104" s="98">
        <v>3</v>
      </c>
      <c r="I104" s="99">
        <v>1080.5</v>
      </c>
      <c r="J104" s="18">
        <f t="shared" si="25"/>
      </c>
      <c r="K104" s="18">
        <f t="shared" si="9"/>
      </c>
      <c r="L104" s="19">
        <f t="shared" si="75"/>
      </c>
      <c r="M104" s="20">
        <f t="shared" si="36"/>
      </c>
      <c r="N104" s="21">
        <f t="shared" si="63"/>
      </c>
      <c r="O104" s="68">
        <f t="shared" si="107"/>
      </c>
      <c r="P104" s="44" t="s">
        <v>28</v>
      </c>
      <c r="Q104" s="28" t="s">
        <v>42</v>
      </c>
      <c r="R104" s="25">
        <v>9765</v>
      </c>
      <c r="S104" s="25">
        <v>546</v>
      </c>
      <c r="T104" s="26">
        <v>1</v>
      </c>
      <c r="U104" s="26">
        <v>0</v>
      </c>
      <c r="V104" s="26">
        <v>20</v>
      </c>
      <c r="W104" s="96"/>
    </row>
    <row r="105">
      <c r="A105" s="13"/>
      <c r="B105" s="31" t="s">
        <v>32</v>
      </c>
      <c r="C105" s="31"/>
      <c r="D105" s="32">
        <f>SUM(D101:D104)</f>
      </c>
      <c r="E105" s="32">
        <f>SUM(E101:E104)</f>
      </c>
      <c r="F105" s="32">
        <f>SUM(F101:F104)</f>
      </c>
      <c r="G105" s="32">
        <f>SUM(G101:G104)</f>
      </c>
      <c r="H105" s="34">
        <f>SUM(H101:H104)</f>
      </c>
      <c r="I105" s="32">
        <f>SUM(I101:I104)</f>
      </c>
      <c r="J105" s="35">
        <f t="shared" si="25"/>
      </c>
      <c r="K105" s="36">
        <f t="shared" si="9"/>
      </c>
      <c r="L105" s="37">
        <f t="shared" si="75"/>
      </c>
      <c r="M105" s="38">
        <f t="shared" si="36"/>
      </c>
      <c r="N105" s="38">
        <f>H105/T105</f>
      </c>
      <c r="O105" s="39">
        <f>(U105*1000)/D105</f>
      </c>
      <c r="P105" s="39"/>
      <c r="Q105" s="39"/>
      <c r="R105" s="40">
        <f>SUM(R101:R104)</f>
      </c>
      <c r="S105" s="40">
        <f>SUM(S101:S104)</f>
      </c>
      <c r="T105" s="40">
        <f>SUM(T101:T104)</f>
      </c>
      <c r="U105" s="40">
        <f>SUM(U101:U104)</f>
      </c>
      <c r="V105" s="40">
        <f>SUM(V101:V104)</f>
      </c>
      <c r="W105" s="91"/>
    </row>
    <row r="106">
      <c r="A106" s="13"/>
      <c r="B106" s="41" t="s">
        <v>33</v>
      </c>
      <c r="C106" s="16" t="s">
        <v>47</v>
      </c>
      <c r="D106" s="16">
        <f t="shared" ref="D106:D107" si="55">SUM(E106:G106)</f>
      </c>
      <c r="E106" s="15">
        <v>0</v>
      </c>
      <c r="F106" s="15">
        <v>916.88</v>
      </c>
      <c r="G106" s="30">
        <v>532.74</v>
      </c>
      <c r="H106" s="17">
        <v>1</v>
      </c>
      <c r="I106" s="15">
        <v>1073.1000000000004</v>
      </c>
      <c r="J106" s="18">
        <f t="shared" si="25"/>
      </c>
      <c r="K106" s="18">
        <f t="shared" si="9"/>
      </c>
      <c r="L106" s="19">
        <f t="shared" si="75"/>
      </c>
      <c r="M106" s="20">
        <f t="shared" si="36"/>
      </c>
      <c r="N106" s="21">
        <f t="shared" ref="N106:N109" si="64">H106/(T106+H106)</f>
      </c>
      <c r="O106" s="68">
        <f t="shared" ref="O106:O107" si="108">(V106*1000)/D106</f>
      </c>
      <c r="P106" s="44" t="s">
        <v>28</v>
      </c>
      <c r="Q106" s="28" t="s">
        <v>42</v>
      </c>
      <c r="R106" s="25">
        <v>4424</v>
      </c>
      <c r="S106" s="25">
        <v>263</v>
      </c>
      <c r="T106" s="26">
        <v>1</v>
      </c>
      <c r="U106" s="26">
        <v>1</v>
      </c>
      <c r="V106" s="26">
        <v>14</v>
      </c>
      <c r="W106" s="96"/>
    </row>
    <row r="107">
      <c r="A107" s="13"/>
      <c r="B107" s="41" t="s">
        <v>33</v>
      </c>
      <c r="C107" s="15" t="s">
        <v>52</v>
      </c>
      <c r="D107" s="16">
        <f t="shared" si="55"/>
      </c>
      <c r="E107" s="15">
        <v>0</v>
      </c>
      <c r="F107" s="15">
        <f>14.92+666.27</f>
      </c>
      <c r="G107" s="30">
        <f>62.89+616.97</f>
      </c>
      <c r="H107" s="17">
        <v>0</v>
      </c>
      <c r="I107" s="15">
        <v>0</v>
      </c>
      <c r="J107" s="18">
        <f t="shared" si="25"/>
      </c>
      <c r="K107" s="18">
        <f t="shared" si="9"/>
      </c>
      <c r="L107" s="19">
        <f t="shared" si="75"/>
      </c>
      <c r="M107" s="20">
        <f t="shared" si="36"/>
      </c>
      <c r="N107" s="21">
        <f t="shared" si="64"/>
      </c>
      <c r="O107" s="68">
        <f t="shared" si="108"/>
      </c>
      <c r="P107" s="44" t="s">
        <v>28</v>
      </c>
      <c r="Q107" s="28" t="s">
        <v>42</v>
      </c>
      <c r="R107" s="25">
        <v>5889</v>
      </c>
      <c r="S107" s="25">
        <v>396</v>
      </c>
      <c r="T107" s="26">
        <v>2</v>
      </c>
      <c r="U107" s="26">
        <v>0</v>
      </c>
      <c r="V107" s="26">
        <v>15</v>
      </c>
      <c r="W107" s="96"/>
    </row>
    <row r="108">
      <c r="A108" s="13"/>
      <c r="B108" s="31" t="s">
        <v>32</v>
      </c>
      <c r="C108" s="31"/>
      <c r="D108" s="32">
        <f>SUM(D106:D107)</f>
      </c>
      <c r="E108" s="32">
        <f>SUM(E106:E107)</f>
      </c>
      <c r="F108" s="32">
        <f>SUM(F106:F107)</f>
      </c>
      <c r="G108" s="32">
        <f>SUM(G106:G107)</f>
      </c>
      <c r="H108" s="34">
        <f>SUM(H106:H107)</f>
      </c>
      <c r="I108" s="32">
        <f>SUM(I106:I107)</f>
      </c>
      <c r="J108" s="48">
        <f t="shared" si="25"/>
      </c>
      <c r="K108" s="36">
        <f t="shared" si="9"/>
      </c>
      <c r="L108" s="37">
        <f t="shared" si="75"/>
      </c>
      <c r="M108" s="38">
        <f t="shared" si="36"/>
      </c>
      <c r="N108" s="38">
        <f t="shared" si="64"/>
      </c>
      <c r="O108" s="39">
        <f t="shared" ref="O108:O109" si="89">(U108*1000)/D108</f>
      </c>
      <c r="P108" s="39"/>
      <c r="Q108" s="39"/>
      <c r="R108" s="40">
        <f>SUM(R106:R107)</f>
      </c>
      <c r="S108" s="40">
        <f>SUM(S106:S107)</f>
      </c>
      <c r="T108" s="40">
        <f>SUM(T106:T107)</f>
      </c>
      <c r="U108" s="40">
        <f>SUM(U106:U107)</f>
      </c>
      <c r="V108" s="40">
        <f>SUM(V106:V107)</f>
      </c>
      <c r="W108" s="91"/>
    </row>
    <row r="109">
      <c r="A109" s="13"/>
      <c r="B109" s="49" t="s">
        <v>36</v>
      </c>
      <c r="C109" s="49"/>
      <c r="D109" s="50">
        <f>D105+D108</f>
      </c>
      <c r="E109" s="50">
        <f>E105+E108</f>
      </c>
      <c r="F109" s="50">
        <f>F105+F108</f>
      </c>
      <c r="G109" s="50">
        <f>G105+G108</f>
      </c>
      <c r="H109" s="103">
        <f>H105+H108</f>
      </c>
      <c r="I109" s="50">
        <f>I105+I108</f>
      </c>
      <c r="J109" s="51">
        <f t="shared" si="25"/>
      </c>
      <c r="K109" s="51">
        <f t="shared" si="9"/>
      </c>
      <c r="L109" s="52">
        <f t="shared" si="75"/>
      </c>
      <c r="M109" s="53">
        <f t="shared" si="36"/>
      </c>
      <c r="N109" s="53">
        <f t="shared" si="64"/>
      </c>
      <c r="O109" s="51">
        <f t="shared" si="89"/>
      </c>
      <c r="P109" s="104"/>
      <c r="Q109" s="104"/>
      <c r="R109" s="103">
        <f>R105+R108</f>
      </c>
      <c r="S109" s="103">
        <f>S105+S108</f>
      </c>
      <c r="T109" s="103">
        <f>T105+T108</f>
      </c>
      <c r="U109" s="103">
        <f>U105+U108</f>
      </c>
      <c r="V109" s="103">
        <f>V105+V108</f>
      </c>
      <c r="W109" s="105"/>
    </row>
    <row r="110">
      <c r="A110" s="1" t="s">
        <v>1</v>
      </c>
      <c r="B110" s="1"/>
      <c r="C110" s="1"/>
      <c r="D110" s="2" t="s">
        <v>2</v>
      </c>
      <c r="E110" s="2"/>
      <c r="F110" s="2"/>
      <c r="G110" s="2"/>
      <c r="H110" s="2"/>
      <c r="I110" s="2"/>
      <c r="J110" s="2"/>
      <c r="K110" s="2"/>
      <c r="L110" s="2"/>
      <c r="M110" s="3" t="s">
        <v>3</v>
      </c>
      <c r="N110" s="3"/>
      <c r="O110" s="3"/>
      <c r="P110" s="3"/>
      <c r="Q110" s="3"/>
      <c r="R110" s="92" t="s">
        <v>37</v>
      </c>
      <c r="S110" s="92"/>
      <c r="T110" s="92"/>
      <c r="U110" s="92"/>
      <c r="V110" s="92"/>
      <c r="W110" s="93"/>
    </row>
    <row r="111">
      <c r="A111" s="5" t="s">
        <v>5</v>
      </c>
      <c r="B111" s="5" t="s">
        <v>6</v>
      </c>
      <c r="C111" s="5" t="s">
        <v>7</v>
      </c>
      <c r="D111" s="6" t="s">
        <v>8</v>
      </c>
      <c r="E111" s="94" t="s">
        <v>9</v>
      </c>
      <c r="F111" s="6" t="s">
        <v>10</v>
      </c>
      <c r="G111" s="6" t="s">
        <v>38</v>
      </c>
      <c r="H111" s="7" t="s">
        <v>11</v>
      </c>
      <c r="I111" s="6" t="s">
        <v>12</v>
      </c>
      <c r="J111" s="8" t="s">
        <v>13</v>
      </c>
      <c r="K111" s="9" t="s">
        <v>14</v>
      </c>
      <c r="L111" s="10" t="s">
        <v>15</v>
      </c>
      <c r="M111" s="11" t="s">
        <v>16</v>
      </c>
      <c r="N111" s="11" t="s">
        <v>17</v>
      </c>
      <c r="O111" s="11" t="s">
        <v>18</v>
      </c>
      <c r="P111" s="3" t="s">
        <v>19</v>
      </c>
      <c r="Q111" s="3" t="s">
        <v>20</v>
      </c>
      <c r="R111" s="92" t="s">
        <v>21</v>
      </c>
      <c r="S111" s="92" t="s">
        <v>22</v>
      </c>
      <c r="T111" s="92" t="s">
        <v>39</v>
      </c>
      <c r="U111" s="107" t="s">
        <v>55</v>
      </c>
      <c r="V111" s="92" t="s">
        <v>24</v>
      </c>
      <c r="W111" s="93"/>
    </row>
    <row r="112">
      <c r="A112" s="13" t="s">
        <v>61</v>
      </c>
      <c r="B112" s="14" t="s">
        <v>57</v>
      </c>
      <c r="C112" s="16" t="s">
        <v>43</v>
      </c>
      <c r="D112" s="16">
        <f t="shared" ref="D112:D117" si="56">SUM(E112:G112)</f>
      </c>
      <c r="E112" s="15">
        <v>0</v>
      </c>
      <c r="F112" s="15">
        <v>2224.32</v>
      </c>
      <c r="G112" s="15">
        <v>781.96</v>
      </c>
      <c r="H112" s="17">
        <v>5</v>
      </c>
      <c r="I112" s="15">
        <v>2882.48</v>
      </c>
      <c r="J112" s="18">
        <f t="shared" ref="J112:J119" si="26">I112/D112</f>
      </c>
      <c r="K112" s="18">
        <f t="shared" ref="K112:K119" si="10">D112/H112</f>
      </c>
      <c r="L112" s="19">
        <f t="shared" ref="L112:L119" si="76">I112/H112</f>
      </c>
      <c r="M112" s="20">
        <f t="shared" ref="M112:M119" si="37">S112/R112</f>
      </c>
      <c r="N112" s="21">
        <f t="shared" ref="N112:N117" si="65">H112/(T112+H112)</f>
      </c>
      <c r="O112" s="68">
        <f t="shared" ref="O112:O117" si="109">(V112*1000)/D112</f>
      </c>
      <c r="P112" s="44" t="s">
        <v>28</v>
      </c>
      <c r="Q112" s="28" t="s">
        <v>42</v>
      </c>
      <c r="R112" s="25">
        <v>12285</v>
      </c>
      <c r="S112" s="25">
        <v>621</v>
      </c>
      <c r="T112" s="26">
        <v>3</v>
      </c>
      <c r="U112" s="26">
        <v>0</v>
      </c>
      <c r="V112" s="26">
        <v>26</v>
      </c>
      <c r="W112" s="96"/>
    </row>
    <row r="113">
      <c r="A113" s="13"/>
      <c r="B113" s="14" t="s">
        <v>57</v>
      </c>
      <c r="C113" s="16" t="s">
        <v>44</v>
      </c>
      <c r="D113" s="16">
        <f t="shared" si="56"/>
      </c>
      <c r="E113" s="15">
        <v>0</v>
      </c>
      <c r="F113" s="15">
        <v>5105.58</v>
      </c>
      <c r="G113" s="15">
        <v>784.25</v>
      </c>
      <c r="H113" s="17">
        <v>10</v>
      </c>
      <c r="I113" s="15">
        <v>8093.120000000001</v>
      </c>
      <c r="J113" s="18">
        <f t="shared" si="26"/>
      </c>
      <c r="K113" s="18">
        <f t="shared" si="10"/>
      </c>
      <c r="L113" s="19">
        <f t="shared" si="76"/>
      </c>
      <c r="M113" s="20">
        <f t="shared" si="37"/>
      </c>
      <c r="N113" s="21">
        <f t="shared" si="65"/>
      </c>
      <c r="O113" s="68">
        <f t="shared" si="109"/>
      </c>
      <c r="P113" s="44" t="s">
        <v>28</v>
      </c>
      <c r="Q113" s="28" t="s">
        <v>42</v>
      </c>
      <c r="R113" s="25">
        <v>25301</v>
      </c>
      <c r="S113" s="25">
        <v>816</v>
      </c>
      <c r="T113" s="26">
        <v>3</v>
      </c>
      <c r="U113" s="26">
        <v>3</v>
      </c>
      <c r="V113" s="26">
        <v>49</v>
      </c>
      <c r="W113" s="96"/>
    </row>
    <row r="114">
      <c r="A114" s="13"/>
      <c r="B114" s="14" t="s">
        <v>57</v>
      </c>
      <c r="C114" s="16" t="s">
        <v>45</v>
      </c>
      <c r="D114" s="16">
        <f t="shared" si="56"/>
      </c>
      <c r="E114" s="15">
        <v>0</v>
      </c>
      <c r="F114" s="15">
        <v>4240.56</v>
      </c>
      <c r="G114" s="30">
        <v>1572.1</v>
      </c>
      <c r="H114" s="29">
        <v>10</v>
      </c>
      <c r="I114" s="30">
        <v>6041.999999999998</v>
      </c>
      <c r="J114" s="18">
        <f t="shared" si="26"/>
      </c>
      <c r="K114" s="18">
        <f t="shared" si="10"/>
      </c>
      <c r="L114" s="19">
        <f t="shared" si="76"/>
      </c>
      <c r="M114" s="20">
        <f t="shared" si="37"/>
      </c>
      <c r="N114" s="21">
        <f t="shared" si="65"/>
      </c>
      <c r="O114" s="68">
        <f t="shared" si="109"/>
      </c>
      <c r="P114" s="44" t="s">
        <v>28</v>
      </c>
      <c r="Q114" s="28" t="s">
        <v>42</v>
      </c>
      <c r="R114" s="25">
        <v>41033</v>
      </c>
      <c r="S114" s="25">
        <v>1066</v>
      </c>
      <c r="T114" s="26">
        <v>7</v>
      </c>
      <c r="U114" s="26">
        <v>1</v>
      </c>
      <c r="V114" s="26">
        <v>46</v>
      </c>
      <c r="W114" s="96"/>
    </row>
    <row customHeight="true" ht="16.666666666666668" r="115">
      <c r="A115" s="13"/>
      <c r="B115" s="14" t="s">
        <v>57</v>
      </c>
      <c r="C115" s="16" t="s">
        <v>46</v>
      </c>
      <c r="D115" s="16">
        <f t="shared" si="56"/>
      </c>
      <c r="E115" s="15">
        <v>0</v>
      </c>
      <c r="F115" s="15">
        <v>2324.28</v>
      </c>
      <c r="G115" s="30">
        <v>983.79</v>
      </c>
      <c r="H115" s="98">
        <v>1</v>
      </c>
      <c r="I115" s="99">
        <v>236.64000000000306</v>
      </c>
      <c r="J115" s="18">
        <f t="shared" si="26"/>
      </c>
      <c r="K115" s="18">
        <f t="shared" si="10"/>
      </c>
      <c r="L115" s="19">
        <f t="shared" si="76"/>
      </c>
      <c r="M115" s="20">
        <f t="shared" si="37"/>
      </c>
      <c r="N115" s="21">
        <f t="shared" si="65"/>
      </c>
      <c r="O115" s="68">
        <f t="shared" si="109"/>
      </c>
      <c r="P115" s="44" t="s">
        <v>28</v>
      </c>
      <c r="Q115" s="28" t="s">
        <v>42</v>
      </c>
      <c r="R115" s="25">
        <v>21655</v>
      </c>
      <c r="S115" s="25">
        <v>737</v>
      </c>
      <c r="T115" s="26">
        <v>1</v>
      </c>
      <c r="U115" s="26">
        <v>0</v>
      </c>
      <c r="V115" s="26">
        <v>29</v>
      </c>
      <c r="W115" s="96"/>
    </row>
    <row customHeight="true" ht="16.666666666666668" r="116">
      <c r="A116" s="13"/>
      <c r="B116" s="14" t="s">
        <v>57</v>
      </c>
      <c r="C116" s="16" t="s">
        <v>47</v>
      </c>
      <c r="D116" s="16">
        <f t="shared" si="56"/>
      </c>
      <c r="E116" s="15">
        <v>0</v>
      </c>
      <c r="F116" s="15">
        <v>962.27</v>
      </c>
      <c r="G116" s="30">
        <v>690.6</v>
      </c>
      <c r="H116" s="98">
        <v>3</v>
      </c>
      <c r="I116" s="99">
        <v>3070.3199999999997</v>
      </c>
      <c r="J116" s="18">
        <f t="shared" si="26"/>
      </c>
      <c r="K116" s="18">
        <f t="shared" si="10"/>
      </c>
      <c r="L116" s="19">
        <f t="shared" si="76"/>
      </c>
      <c r="M116" s="20">
        <f t="shared" si="37"/>
      </c>
      <c r="N116" s="21">
        <f t="shared" si="65"/>
      </c>
      <c r="O116" s="68">
        <f t="shared" si="109"/>
      </c>
      <c r="P116" s="44" t="s">
        <v>28</v>
      </c>
      <c r="Q116" s="28" t="s">
        <v>42</v>
      </c>
      <c r="R116" s="25">
        <v>9215</v>
      </c>
      <c r="S116" s="25">
        <v>455</v>
      </c>
      <c r="T116" s="26">
        <v>1</v>
      </c>
      <c r="U116" s="26">
        <v>0</v>
      </c>
      <c r="V116" s="26">
        <v>37</v>
      </c>
      <c r="W116" s="96"/>
    </row>
    <row r="117">
      <c r="A117" s="13"/>
      <c r="B117" s="14" t="s">
        <v>57</v>
      </c>
      <c r="C117" s="15" t="s">
        <v>52</v>
      </c>
      <c r="D117" s="16">
        <f t="shared" si="56"/>
      </c>
      <c r="E117" s="15">
        <v>0</v>
      </c>
      <c r="F117" s="15">
        <f>4.9+595.63</f>
      </c>
      <c r="G117" s="30">
        <f>52.83+677.45</f>
      </c>
      <c r="H117" s="98">
        <v>3</v>
      </c>
      <c r="I117" s="99">
        <v>673.9399999999987</v>
      </c>
      <c r="J117" s="18">
        <f t="shared" si="26"/>
      </c>
      <c r="K117" s="18">
        <f t="shared" si="10"/>
      </c>
      <c r="L117" s="19">
        <f t="shared" si="76"/>
      </c>
      <c r="M117" s="20">
        <f t="shared" si="37"/>
      </c>
      <c r="N117" s="21">
        <f t="shared" si="65"/>
      </c>
      <c r="O117" s="68">
        <f t="shared" si="109"/>
      </c>
      <c r="P117" s="44" t="s">
        <v>28</v>
      </c>
      <c r="Q117" s="28" t="s">
        <v>42</v>
      </c>
      <c r="R117" s="25">
        <v>7559</v>
      </c>
      <c r="S117" s="25">
        <v>441</v>
      </c>
      <c r="T117" s="26">
        <v>1</v>
      </c>
      <c r="U117" s="26">
        <v>1</v>
      </c>
      <c r="V117" s="26">
        <v>18</v>
      </c>
      <c r="W117" s="96"/>
    </row>
    <row r="118">
      <c r="A118" s="13"/>
      <c r="B118" s="31" t="s">
        <v>32</v>
      </c>
      <c r="C118" s="31"/>
      <c r="D118" s="32">
        <f>SUM(D112:D117)</f>
      </c>
      <c r="E118" s="32">
        <f>SUM(E112:E117)</f>
      </c>
      <c r="F118" s="32">
        <f>SUM(F112:F117)</f>
      </c>
      <c r="G118" s="32">
        <f>SUM(G112:G117)</f>
      </c>
      <c r="H118" s="34">
        <f>SUM(H112:H117)</f>
      </c>
      <c r="I118" s="32">
        <f>SUM(I112:I117)</f>
      </c>
      <c r="J118" s="35">
        <f t="shared" si="26"/>
      </c>
      <c r="K118" s="36">
        <f t="shared" si="10"/>
      </c>
      <c r="L118" s="37">
        <f t="shared" si="76"/>
      </c>
      <c r="M118" s="38">
        <f t="shared" si="37"/>
      </c>
      <c r="N118" s="38">
        <f>H118/T118</f>
      </c>
      <c r="O118" s="39">
        <f t="shared" ref="O118:O119" si="90">(U118*1000)/D118</f>
      </c>
      <c r="P118" s="39"/>
      <c r="Q118" s="39"/>
      <c r="R118" s="40">
        <f>SUM(R112:R117)</f>
      </c>
      <c r="S118" s="40">
        <f>SUM(S112:S117)</f>
      </c>
      <c r="T118" s="40">
        <f>SUM(T112:T117)</f>
      </c>
      <c r="U118" s="40">
        <f>SUM(U112:U117)</f>
      </c>
      <c r="V118" s="40">
        <f>SUM(V112:V117)</f>
      </c>
      <c r="W118" s="91"/>
    </row>
    <row r="119">
      <c r="A119" s="13"/>
      <c r="B119" s="49" t="s">
        <v>36</v>
      </c>
      <c r="C119" s="49"/>
      <c r="D119" s="50">
        <f>D118</f>
      </c>
      <c r="E119" s="50">
        <f>E118</f>
      </c>
      <c r="F119" s="50">
        <f>F118</f>
      </c>
      <c r="G119" s="50">
        <f>G118</f>
      </c>
      <c r="H119" s="108">
        <f>H118</f>
      </c>
      <c r="I119" s="50">
        <f>I118</f>
      </c>
      <c r="J119" s="51">
        <f t="shared" si="26"/>
      </c>
      <c r="K119" s="51">
        <f t="shared" si="10"/>
      </c>
      <c r="L119" s="52">
        <f t="shared" si="76"/>
      </c>
      <c r="M119" s="53">
        <f t="shared" si="37"/>
      </c>
      <c r="N119" s="53">
        <f>H119/(T119+H119)</f>
      </c>
      <c r="O119" s="51">
        <f t="shared" si="90"/>
      </c>
      <c r="P119" s="104"/>
      <c r="Q119" s="104"/>
      <c r="R119" s="108">
        <f>R118</f>
      </c>
      <c r="S119" s="108">
        <f>S118</f>
      </c>
      <c r="T119" s="108">
        <f>T118</f>
      </c>
      <c r="U119" s="108">
        <f>U118</f>
      </c>
      <c r="V119" s="108">
        <f>V118</f>
      </c>
      <c r="W119" s="109"/>
    </row>
    <row r="120">
      <c r="A120" s="110"/>
      <c r="B120" s="111"/>
      <c r="C120" s="110"/>
      <c r="D120" s="110"/>
      <c r="E120" s="110"/>
      <c r="F120" s="110"/>
      <c r="G120" s="112"/>
      <c r="H120" s="110">
        <f>H121-H119</f>
      </c>
      <c r="I120" s="110">
        <f>I121-I119</f>
      </c>
      <c r="J120" s="113"/>
      <c r="K120" s="113"/>
      <c r="L120" s="110"/>
      <c r="M120" s="110"/>
      <c r="N120" s="110"/>
      <c r="O120" s="110"/>
      <c r="P120" s="110"/>
      <c r="Q120" s="110"/>
      <c r="R120" s="110">
        <f>R121-R119</f>
      </c>
      <c r="S120" s="110">
        <f>S121-S119</f>
      </c>
      <c r="T120" s="110">
        <f>T121-T119-1</f>
      </c>
      <c r="U120" s="110"/>
      <c r="V120" s="110">
        <f>V121-V119</f>
      </c>
      <c r="W120" s="114"/>
    </row>
    <row r="121">
      <c r="A121" s="110"/>
      <c r="B121" s="110"/>
      <c r="C121" s="110"/>
      <c r="D121" s="110"/>
      <c r="E121" s="111"/>
      <c r="F121" s="115"/>
      <c r="G121" s="112"/>
      <c r="H121" s="116">
        <v>32</v>
      </c>
      <c r="I121" s="116">
        <v>20998.5</v>
      </c>
      <c r="J121" s="113"/>
      <c r="K121" s="110"/>
      <c r="L121" s="112"/>
      <c r="M121" s="110"/>
      <c r="N121" s="110"/>
      <c r="O121" s="110"/>
      <c r="P121" s="110"/>
      <c r="Q121" s="110"/>
      <c r="R121">
        <v>117048</v>
      </c>
      <c r="S121">
        <v>4136</v>
      </c>
      <c r="T121" s="116"/>
      <c r="U121" s="116"/>
      <c r="V121" s="116">
        <v>205</v>
      </c>
      <c r="W121" s="117"/>
    </row>
    <row r="122">
      <c r="A122" s="110"/>
      <c r="B122" s="110"/>
      <c r="C122" s="110"/>
      <c r="D122" s="118" t="s">
        <v>62</v>
      </c>
      <c r="E122" s="119" t="s">
        <v>63</v>
      </c>
      <c r="F122" s="110"/>
      <c r="G122" s="112"/>
      <c r="H122" s="112"/>
      <c r="I122" s="110"/>
      <c r="J122" s="110"/>
      <c r="K122" s="110"/>
      <c r="L122" s="110"/>
      <c r="M122" s="110"/>
      <c r="N122" s="110"/>
      <c r="O122" s="110"/>
      <c r="P122" s="110"/>
      <c r="Q122" s="110"/>
      <c r="T122" s="110"/>
      <c r="U122" s="110"/>
      <c r="V122" s="110"/>
      <c r="W122" s="114"/>
    </row>
    <row r="123">
      <c r="A123" s="110"/>
      <c r="B123" s="110"/>
      <c r="C123" s="110"/>
      <c r="D123" s="118" t="s">
        <v>64</v>
      </c>
      <c r="E123" s="119" t="s">
        <v>65</v>
      </c>
      <c r="F123" s="110"/>
      <c r="G123" s="110"/>
      <c r="H123" s="110"/>
      <c r="I123" s="110"/>
      <c r="J123" s="110"/>
      <c r="K123" s="110"/>
      <c r="L123" s="110"/>
      <c r="M123" s="110"/>
      <c r="N123" s="110"/>
      <c r="O123" s="110"/>
      <c r="P123" s="110"/>
      <c r="Q123" s="110"/>
      <c r="T123" s="110"/>
      <c r="U123" s="110"/>
      <c r="V123" s="110"/>
      <c r="W123" s="114"/>
    </row>
    <row r="124">
      <c r="A124" s="110"/>
      <c r="B124" s="110"/>
      <c r="C124" s="110"/>
      <c r="D124" s="118" t="s">
        <v>66</v>
      </c>
      <c r="E124" s="120" t="s">
        <v>67</v>
      </c>
      <c r="F124" s="110"/>
      <c r="G124" s="110"/>
      <c r="H124" s="110"/>
      <c r="I124" s="110"/>
      <c r="J124" s="110"/>
      <c r="K124" s="110"/>
      <c r="L124" s="110"/>
      <c r="M124" s="110"/>
      <c r="N124" s="110"/>
      <c r="O124" s="110"/>
      <c r="P124" s="110"/>
      <c r="Q124" s="110"/>
      <c r="R124" s="110"/>
      <c r="S124" s="110"/>
      <c r="T124" s="110"/>
      <c r="U124" s="110"/>
      <c r="V124" s="110"/>
      <c r="W124" s="114"/>
    </row>
    <row r="125">
      <c r="A125" s="110"/>
      <c r="B125" s="110"/>
      <c r="C125" s="110"/>
      <c r="D125" s="110"/>
      <c r="E125" s="110"/>
      <c r="F125" s="110"/>
      <c r="G125" s="110"/>
      <c r="H125" s="110"/>
      <c r="I125" s="110"/>
      <c r="J125" s="110"/>
      <c r="K125" s="110"/>
      <c r="L125" s="110"/>
      <c r="M125" s="110"/>
      <c r="N125" s="110"/>
      <c r="O125" s="110"/>
      <c r="P125" s="110"/>
      <c r="Q125" s="110"/>
      <c r="R125" s="110"/>
      <c r="S125" s="110"/>
      <c r="T125" s="110"/>
      <c r="U125" s="110"/>
      <c r="V125" s="110"/>
      <c r="W125" s="114"/>
    </row>
    <row r="126">
      <c r="A126" s="110"/>
      <c r="B126" s="110"/>
      <c r="C126" s="110"/>
      <c r="D126" s="110"/>
      <c r="E126" s="110"/>
      <c r="F126" s="110"/>
      <c r="G126" s="110"/>
      <c r="H126" s="110"/>
      <c r="I126" s="110"/>
      <c r="J126" s="110"/>
      <c r="K126" s="110"/>
      <c r="L126" s="110"/>
      <c r="M126" s="110"/>
      <c r="N126" s="110"/>
      <c r="O126" s="110"/>
      <c r="P126" s="110"/>
      <c r="Q126" s="110"/>
      <c r="R126" s="110"/>
      <c r="S126" s="110"/>
      <c r="T126" s="110"/>
      <c r="U126" s="110"/>
      <c r="V126" s="110"/>
      <c r="W126" s="114"/>
    </row>
    <row r="127">
      <c r="A127" s="110"/>
      <c r="B127" s="110"/>
      <c r="C127" s="110"/>
      <c r="D127" s="110"/>
      <c r="E127" s="110"/>
      <c r="F127" s="110"/>
      <c r="G127" s="110"/>
      <c r="H127" s="110"/>
      <c r="I127" s="110"/>
      <c r="J127" s="110"/>
      <c r="K127" s="110"/>
      <c r="L127" s="110"/>
      <c r="M127" s="110"/>
      <c r="N127" s="110"/>
      <c r="O127" s="110"/>
      <c r="P127" s="110"/>
      <c r="Q127" s="110"/>
      <c r="R127" s="110"/>
      <c r="S127" s="110"/>
      <c r="T127" s="110"/>
      <c r="U127" s="110"/>
      <c r="V127" s="110"/>
      <c r="W127" s="114"/>
    </row>
    <row r="128">
      <c r="A128" s="110"/>
      <c r="B128" s="110"/>
      <c r="C128" s="110"/>
      <c r="D128" s="110"/>
      <c r="E128" s="110"/>
      <c r="F128" s="110"/>
      <c r="G128" s="110"/>
      <c r="H128" s="110"/>
      <c r="I128" s="110"/>
      <c r="J128" s="110"/>
      <c r="K128" s="110"/>
      <c r="L128" s="110"/>
      <c r="M128" s="110"/>
      <c r="N128" s="110"/>
      <c r="O128" s="110"/>
      <c r="P128" s="110"/>
      <c r="Q128" s="110"/>
      <c r="R128" s="110"/>
      <c r="S128" s="110"/>
      <c r="T128" s="110"/>
      <c r="U128" s="110"/>
      <c r="V128" s="110"/>
      <c r="W128" s="114"/>
    </row>
    <row r="129">
      <c r="A129" s="110"/>
      <c r="B129" s="110"/>
      <c r="C129" s="110"/>
      <c r="D129" s="110"/>
      <c r="E129" s="110"/>
      <c r="F129" s="110"/>
      <c r="G129" s="110"/>
      <c r="H129" s="110"/>
      <c r="I129" s="110"/>
      <c r="J129" s="110"/>
      <c r="K129" s="110"/>
      <c r="L129" s="110"/>
      <c r="M129" s="110"/>
      <c r="N129" s="110"/>
      <c r="O129" s="110"/>
      <c r="P129" s="110"/>
      <c r="Q129" s="110"/>
      <c r="R129" s="110"/>
      <c r="S129" s="110"/>
      <c r="T129" s="110"/>
      <c r="U129" s="110"/>
      <c r="V129" s="110"/>
      <c r="W129" s="114"/>
    </row>
    <row r="130">
      <c r="A130" s="110"/>
      <c r="B130" s="110"/>
      <c r="C130" s="110"/>
      <c r="D130" s="110"/>
      <c r="E130" s="110"/>
      <c r="F130" s="110"/>
      <c r="G130" s="110"/>
      <c r="H130" s="110"/>
      <c r="I130" s="110"/>
      <c r="J130" s="110"/>
      <c r="K130" s="110"/>
      <c r="L130" s="110"/>
      <c r="M130" s="110"/>
      <c r="N130" s="110"/>
      <c r="O130" s="110"/>
      <c r="P130" s="110"/>
      <c r="Q130" s="110"/>
      <c r="R130" s="110"/>
      <c r="S130" s="110"/>
      <c r="T130" s="110"/>
      <c r="U130" s="110"/>
      <c r="V130" s="110"/>
      <c r="W130" s="114"/>
    </row>
    <row r="131">
      <c r="A131" s="110"/>
      <c r="B131" s="110"/>
      <c r="C131" s="110"/>
      <c r="D131" s="110"/>
      <c r="E131" s="110"/>
      <c r="F131" s="110"/>
      <c r="G131" s="110"/>
      <c r="H131" s="110"/>
      <c r="I131" s="110"/>
      <c r="J131" s="110"/>
      <c r="K131" s="110"/>
      <c r="L131" s="110"/>
      <c r="M131" s="110"/>
      <c r="N131" s="110"/>
      <c r="O131" s="110"/>
      <c r="P131" s="110"/>
      <c r="Q131" s="110"/>
      <c r="R131" s="110"/>
      <c r="S131" s="110"/>
      <c r="T131" s="110"/>
      <c r="U131" s="110"/>
      <c r="V131" s="110"/>
      <c r="W131" s="114"/>
    </row>
    <row r="132">
      <c r="A132" s="110"/>
      <c r="B132" s="110"/>
      <c r="C132" s="110"/>
      <c r="D132" s="110"/>
      <c r="E132" s="110"/>
      <c r="F132" s="110"/>
      <c r="G132" s="110"/>
      <c r="H132" s="110"/>
      <c r="I132" s="110"/>
      <c r="J132" s="110"/>
      <c r="K132" s="110"/>
      <c r="L132" s="110"/>
      <c r="M132" s="110"/>
      <c r="N132" s="110"/>
      <c r="O132" s="110"/>
      <c r="P132" s="110"/>
      <c r="Q132" s="110"/>
      <c r="R132" s="110"/>
      <c r="S132" s="110"/>
      <c r="T132" s="110"/>
      <c r="U132" s="110"/>
      <c r="V132" s="110"/>
      <c r="W132" s="114"/>
    </row>
    <row r="133">
      <c r="A133" s="110"/>
      <c r="B133" s="110"/>
      <c r="C133" s="110"/>
      <c r="D133" s="110"/>
      <c r="E133" s="110"/>
      <c r="F133" s="110"/>
      <c r="G133" s="110"/>
      <c r="H133" s="110"/>
      <c r="I133" s="110"/>
      <c r="J133" s="110"/>
      <c r="K133" s="110"/>
      <c r="L133" s="110"/>
      <c r="M133" s="110"/>
      <c r="N133" s="110"/>
      <c r="O133" s="110"/>
      <c r="P133" s="110"/>
      <c r="Q133" s="110"/>
      <c r="R133" s="110"/>
      <c r="S133" s="110"/>
      <c r="T133" s="110"/>
      <c r="U133" s="110"/>
      <c r="V133" s="110"/>
      <c r="W133" s="114"/>
    </row>
    <row r="134">
      <c r="A134" s="110"/>
      <c r="B134" s="110"/>
      <c r="C134" s="110"/>
      <c r="D134" s="110"/>
      <c r="E134" s="110"/>
      <c r="F134" s="110"/>
      <c r="G134" s="110"/>
      <c r="H134" s="110"/>
      <c r="I134" s="110"/>
      <c r="J134" s="110"/>
      <c r="K134" s="110"/>
      <c r="L134" s="110"/>
      <c r="M134" s="110"/>
      <c r="N134" s="110"/>
      <c r="O134" s="110"/>
      <c r="P134" s="110"/>
      <c r="Q134" s="110"/>
      <c r="R134" s="110"/>
      <c r="S134" s="110"/>
      <c r="T134" s="110"/>
      <c r="U134" s="110"/>
      <c r="V134" s="110"/>
      <c r="W134" s="114"/>
    </row>
  </sheetData>
  <mergeCells>
    <mergeCell ref="A110:C110"/>
    <mergeCell ref="D110:L110"/>
    <mergeCell ref="M110:Q110"/>
    <mergeCell ref="R110:V110"/>
    <mergeCell ref="B109:C109"/>
    <mergeCell ref="B108:C108"/>
    <mergeCell ref="B105:C105"/>
    <mergeCell ref="A101:A109"/>
    <mergeCell ref="A99:C99"/>
    <mergeCell ref="D99:L99"/>
    <mergeCell ref="M99:Q99"/>
    <mergeCell ref="R99:V99"/>
    <mergeCell ref="B98:C98"/>
    <mergeCell ref="B97:C97"/>
    <mergeCell ref="B94:C94"/>
    <mergeCell ref="A90:A98"/>
    <mergeCell ref="A88:C88"/>
    <mergeCell ref="D88:L88"/>
    <mergeCell ref="M88:Q88"/>
    <mergeCell ref="R88:V88"/>
    <mergeCell ref="B87:C87"/>
    <mergeCell ref="B86:C86"/>
    <mergeCell ref="B83:C83"/>
    <mergeCell ref="A79:A87"/>
    <mergeCell ref="A77:C77"/>
    <mergeCell ref="D77:L77"/>
    <mergeCell ref="M77:Q77"/>
    <mergeCell ref="R77:V77"/>
    <mergeCell ref="B76:C76"/>
    <mergeCell ref="B75:C75"/>
    <mergeCell ref="B72:C72"/>
    <mergeCell ref="A68:A76"/>
    <mergeCell ref="A66:C66"/>
    <mergeCell ref="D66:L66"/>
    <mergeCell ref="M66:Q66"/>
    <mergeCell ref="R66:V66"/>
    <mergeCell ref="A46:A54"/>
    <mergeCell ref="B53:C53"/>
    <mergeCell ref="B54:C54"/>
    <mergeCell ref="B32:C32"/>
    <mergeCell ref="B31:C31"/>
    <mergeCell ref="A24:A32"/>
    <mergeCell ref="B28:C28"/>
    <mergeCell ref="R22:V22"/>
    <mergeCell ref="M22:Q22"/>
    <mergeCell ref="D22:L22"/>
    <mergeCell ref="A22:C22"/>
    <mergeCell ref="R11:V11"/>
    <mergeCell ref="Q1:T1"/>
    <mergeCell ref="L1:P1"/>
    <mergeCell ref="D1:K1"/>
    <mergeCell ref="M11:Q11"/>
    <mergeCell ref="D11:L11"/>
    <mergeCell ref="B10:C10"/>
    <mergeCell ref="B9:C9"/>
    <mergeCell ref="B6:C6"/>
    <mergeCell ref="A3:A10"/>
    <mergeCell ref="A1:C1"/>
    <mergeCell ref="B16:C16"/>
    <mergeCell ref="A11:C11"/>
    <mergeCell ref="A13:A21"/>
    <mergeCell ref="B20:C20"/>
    <mergeCell ref="B21:C21"/>
    <mergeCell ref="R33:V33"/>
    <mergeCell ref="M33:Q33"/>
    <mergeCell ref="D33:L33"/>
    <mergeCell ref="A33:C33"/>
    <mergeCell ref="A35:A43"/>
    <mergeCell ref="B39:C39"/>
    <mergeCell ref="B42:C42"/>
    <mergeCell ref="B43:C43"/>
    <mergeCell ref="A44:C44"/>
    <mergeCell ref="D44:L44"/>
    <mergeCell ref="M44:Q44"/>
    <mergeCell ref="R44:V44"/>
    <mergeCell ref="B49:C49"/>
    <mergeCell ref="A55:C55"/>
    <mergeCell ref="D55:L55"/>
    <mergeCell ref="M55:Q55"/>
    <mergeCell ref="R55:V55"/>
    <mergeCell ref="B65:C65"/>
    <mergeCell ref="B64:C64"/>
    <mergeCell ref="B61:C61"/>
    <mergeCell ref="A57:A65"/>
    <mergeCell ref="A112:A119"/>
    <mergeCell ref="B118:C118"/>
    <mergeCell ref="B119:C119"/>
  </mergeCells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121" t="s">
        <v>68</v>
      </c>
      <c r="B1" s="121"/>
      <c r="C1" s="121"/>
      <c r="D1" s="122" t="s">
        <v>69</v>
      </c>
      <c r="E1" s="122"/>
      <c r="F1" s="122"/>
      <c r="G1" s="122"/>
      <c r="H1" s="122"/>
      <c r="I1" s="122"/>
      <c r="J1" s="122"/>
      <c r="K1" s="122"/>
      <c r="L1" s="122"/>
      <c r="M1" s="123" t="s">
        <v>70</v>
      </c>
      <c r="N1" s="123"/>
      <c r="O1" s="123"/>
      <c r="P1" s="123"/>
      <c r="Q1" s="123"/>
      <c r="R1" s="124" t="s">
        <v>71</v>
      </c>
      <c r="S1" s="124"/>
      <c r="T1" s="124"/>
      <c r="U1" s="124"/>
      <c r="V1" s="124"/>
      <c r="W1" s="124"/>
    </row>
    <row r="2">
      <c r="A2" s="125" t="s">
        <v>72</v>
      </c>
      <c r="B2" s="125" t="s">
        <v>73</v>
      </c>
      <c r="C2" s="125" t="s">
        <v>74</v>
      </c>
      <c r="D2" s="126" t="s">
        <v>75</v>
      </c>
      <c r="E2" s="127" t="s">
        <v>76</v>
      </c>
      <c r="F2" s="126" t="s">
        <v>77</v>
      </c>
      <c r="G2" s="126" t="s">
        <v>78</v>
      </c>
      <c r="H2" s="128" t="s">
        <v>79</v>
      </c>
      <c r="I2" s="126" t="s">
        <v>80</v>
      </c>
      <c r="J2" s="129" t="s">
        <v>81</v>
      </c>
      <c r="K2" s="130" t="s">
        <v>82</v>
      </c>
      <c r="L2" s="131" t="s">
        <v>83</v>
      </c>
      <c r="M2" s="132" t="s">
        <v>84</v>
      </c>
      <c r="N2" s="132" t="s">
        <v>85</v>
      </c>
      <c r="O2" s="132" t="s">
        <v>86</v>
      </c>
      <c r="P2" s="123" t="s">
        <v>87</v>
      </c>
      <c r="Q2" s="123" t="s">
        <v>88</v>
      </c>
      <c r="R2" s="124" t="s">
        <v>89</v>
      </c>
      <c r="S2" s="124" t="s">
        <v>90</v>
      </c>
      <c r="T2" s="124" t="s">
        <v>91</v>
      </c>
      <c r="U2" s="133" t="s">
        <v>92</v>
      </c>
      <c r="V2" s="124" t="s">
        <v>93</v>
      </c>
      <c r="W2" s="124"/>
    </row>
    <row r="3">
      <c r="A3" s="134" t="s">
        <v>94</v>
      </c>
      <c r="B3" s="135" t="s">
        <v>95</v>
      </c>
      <c r="C3" s="136" t="s">
        <v>96</v>
      </c>
      <c r="D3" s="136">
        <f>SUM(E3:G3)</f>
      </c>
      <c r="E3" s="137">
        <v>221.23</v>
      </c>
      <c r="F3" s="137">
        <v>1710.96</v>
      </c>
      <c r="G3" s="137">
        <v>0</v>
      </c>
      <c r="H3" s="138">
        <v>3</v>
      </c>
      <c r="I3" s="139">
        <v>2041.92</v>
      </c>
      <c r="J3" s="140">
        <f t="shared" ref="J3:J5" si="1">I3/D3</f>
      </c>
      <c r="K3" s="140">
        <f t="shared" ref="K3:K5" si="4">D3/H3</f>
      </c>
      <c r="L3" s="141">
        <f t="shared" ref="L3:L5" si="2">I3/H3</f>
      </c>
      <c r="M3" s="142">
        <f t="shared" ref="M3:M5" si="3">S3/R3</f>
      </c>
      <c r="N3" s="143">
        <f>H3/(T3+H3)</f>
      </c>
      <c r="O3" s="144">
        <f>(V3*1000)/D3</f>
      </c>
      <c r="P3" s="145" t="s">
        <v>97</v>
      </c>
      <c r="Q3" s="146" t="s">
        <v>98</v>
      </c>
      <c r="R3" s="147">
        <v>5692</v>
      </c>
      <c r="S3" s="147">
        <v>381</v>
      </c>
      <c r="T3" s="148">
        <v>2</v>
      </c>
      <c r="U3" s="148">
        <v>2</v>
      </c>
      <c r="V3" s="148">
        <v>0</v>
      </c>
      <c r="W3" s="148"/>
    </row>
    <row r="4">
      <c r="A4" s="134"/>
      <c r="B4" s="149" t="s">
        <v>99</v>
      </c>
      <c r="C4" s="149"/>
      <c r="D4" s="150">
        <f>SUM(D3)</f>
      </c>
      <c r="E4" s="150">
        <f>SUM(E3)</f>
      </c>
      <c r="F4" s="150">
        <f>SUM(F3)</f>
      </c>
      <c r="G4" s="150">
        <f>SUM(G3)</f>
      </c>
      <c r="H4" s="151">
        <f>SUM(H3)</f>
      </c>
      <c r="I4" s="150">
        <f>SUM(I3)</f>
      </c>
      <c r="J4" s="152">
        <f t="shared" si="1"/>
      </c>
      <c r="K4" s="153">
        <f t="shared" si="4"/>
      </c>
      <c r="L4" s="154">
        <f t="shared" si="2"/>
      </c>
      <c r="M4" s="155">
        <f t="shared" si="3"/>
      </c>
      <c r="N4" s="155">
        <f>H4/T4</f>
      </c>
      <c r="O4" s="156">
        <f t="shared" ref="O4:O5" si="0">(U4*1000)/D4</f>
      </c>
      <c r="P4" s="156"/>
      <c r="Q4" s="156"/>
      <c r="R4" s="157">
        <f>SUM(R3)</f>
      </c>
      <c r="S4" s="157">
        <f>SUM(S3)</f>
      </c>
      <c r="T4" s="157">
        <f>SUM(T3)</f>
      </c>
      <c r="U4" s="157">
        <f>SUM(U3)</f>
      </c>
      <c r="V4" s="157">
        <f>SUM(V3)</f>
      </c>
      <c r="W4" s="157"/>
    </row>
    <row r="5">
      <c r="A5" s="134"/>
      <c r="B5" s="158" t="s">
        <v>100</v>
      </c>
      <c r="C5" s="158"/>
      <c r="D5" s="159">
        <f>D4</f>
      </c>
      <c r="E5" s="159">
        <f>E4</f>
      </c>
      <c r="F5" s="159">
        <f>F4</f>
      </c>
      <c r="G5" s="159">
        <f>G4</f>
      </c>
      <c r="H5" s="160">
        <f>H4</f>
      </c>
      <c r="I5" s="159">
        <f>I4</f>
      </c>
      <c r="J5" s="161">
        <f t="shared" si="1"/>
      </c>
      <c r="K5" s="161">
        <f t="shared" si="4"/>
      </c>
      <c r="L5" s="162">
        <f t="shared" si="2"/>
      </c>
      <c r="M5" s="163">
        <f t="shared" si="3"/>
      </c>
      <c r="N5" s="163">
        <f>H5/(T5+H5)</f>
      </c>
      <c r="O5" s="161">
        <f t="shared" si="0"/>
      </c>
      <c r="P5" s="164"/>
      <c r="Q5" s="164"/>
      <c r="R5" s="160">
        <f>R4</f>
      </c>
      <c r="S5" s="160">
        <f>S4</f>
      </c>
      <c r="T5" s="160">
        <f>T4</f>
      </c>
      <c r="U5" s="160">
        <f>U4</f>
      </c>
      <c r="V5" s="160">
        <f>V4</f>
      </c>
      <c r="W5" s="160"/>
    </row>
  </sheetData>
  <mergeCells>
    <mergeCell ref="A3:A5"/>
    <mergeCell ref="B4:C4"/>
    <mergeCell ref="B5:C5"/>
    <mergeCell ref="A1:C1"/>
    <mergeCell ref="D1:L1"/>
    <mergeCell ref="M1:Q1"/>
    <mergeCell ref="R1:V1"/>
  </mergeCells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>
      <pane state="frozen" topLeftCell="A3" ySplit="2"/>
    </sheetView>
  </sheetViews>
  <sheetFormatPr defaultRowHeight="16"/>
  <cols>
    <col collapsed="false" customWidth="true" hidden="false" max="2" min="2" style="0" width="11.211267605633802"/>
    <col collapsed="false" customWidth="true" hidden="false" max="3" min="3" style="0" width="11.211267605633802"/>
  </cols>
  <sheetData>
    <row r="1">
      <c r="A1" s="165" t="s">
        <v>101</v>
      </c>
      <c r="B1" s="165"/>
      <c r="C1" s="165"/>
      <c r="D1" s="166" t="s">
        <v>102</v>
      </c>
      <c r="E1" s="166"/>
      <c r="F1" s="166"/>
      <c r="G1" s="166"/>
      <c r="H1" s="166"/>
      <c r="I1" s="166"/>
      <c r="J1" s="166"/>
      <c r="K1" s="166"/>
      <c r="L1" s="166"/>
      <c r="M1" s="167" t="s">
        <v>103</v>
      </c>
      <c r="N1" s="167"/>
      <c r="O1" s="167"/>
      <c r="P1" s="167"/>
      <c r="Q1" s="167"/>
      <c r="R1" s="168" t="s">
        <v>104</v>
      </c>
      <c r="S1" s="168"/>
      <c r="T1" s="168"/>
      <c r="U1" s="168"/>
      <c r="V1" s="168"/>
      <c r="W1" s="168"/>
    </row>
    <row r="2">
      <c r="A2" s="169" t="s">
        <v>105</v>
      </c>
      <c r="B2" s="169" t="s">
        <v>106</v>
      </c>
      <c r="C2" s="169" t="s">
        <v>107</v>
      </c>
      <c r="D2" s="170" t="s">
        <v>108</v>
      </c>
      <c r="E2" s="171" t="s">
        <v>109</v>
      </c>
      <c r="F2" s="170" t="s">
        <v>110</v>
      </c>
      <c r="G2" s="170" t="s">
        <v>111</v>
      </c>
      <c r="H2" s="172" t="s">
        <v>112</v>
      </c>
      <c r="I2" s="170" t="s">
        <v>113</v>
      </c>
      <c r="J2" s="173" t="s">
        <v>114</v>
      </c>
      <c r="K2" s="174" t="s">
        <v>115</v>
      </c>
      <c r="L2" s="175" t="s">
        <v>116</v>
      </c>
      <c r="M2" s="176" t="s">
        <v>117</v>
      </c>
      <c r="N2" s="176" t="s">
        <v>118</v>
      </c>
      <c r="O2" s="176" t="s">
        <v>119</v>
      </c>
      <c r="P2" s="167" t="s">
        <v>120</v>
      </c>
      <c r="Q2" s="167" t="s">
        <v>121</v>
      </c>
      <c r="R2" s="168" t="s">
        <v>122</v>
      </c>
      <c r="S2" s="168" t="s">
        <v>123</v>
      </c>
      <c r="T2" s="168" t="s">
        <v>124</v>
      </c>
      <c r="U2" s="177" t="s">
        <v>125</v>
      </c>
      <c r="V2" s="168" t="s">
        <v>126</v>
      </c>
      <c r="W2" s="168"/>
    </row>
    <row r="3">
      <c r="A3" s="178">
        <v>46241</v>
      </c>
      <c r="B3" s="179" t="s">
        <v>127</v>
      </c>
      <c r="C3" s="180" t="s">
        <v>128</v>
      </c>
      <c r="D3" s="181">
        <f>SUM(E3:G3)</f>
      </c>
      <c r="E3" s="180">
        <v>0</v>
      </c>
      <c r="F3" s="180">
        <v>0</v>
      </c>
      <c r="G3" s="180">
        <v>30.46</v>
      </c>
      <c r="H3" s="182">
        <v>2</v>
      </c>
      <c r="I3" s="180">
        <v>1805.28</v>
      </c>
      <c r="J3" s="183">
        <f t="shared" ref="J3:J164" si="69">I3/D3</f>
      </c>
      <c r="K3" s="183">
        <f t="shared" ref="K3:K164" si="35">D3/H3</f>
      </c>
      <c r="L3" s="184">
        <f t="shared" ref="L3:L164" si="34">I3/H3</f>
      </c>
      <c r="M3" s="185">
        <f t="shared" ref="M3:M164" si="33">S3/R3</f>
      </c>
      <c r="N3" s="186">
        <f>H3/(T3+H3)</f>
      </c>
      <c r="O3" s="187">
        <f>(V3*1000)/D3</f>
      </c>
      <c r="P3" s="188" t="s">
        <v>129</v>
      </c>
      <c r="Q3" s="189" t="s">
        <v>130</v>
      </c>
      <c r="R3" s="190">
        <v>271</v>
      </c>
      <c r="S3" s="190">
        <v>56</v>
      </c>
      <c r="T3" s="191">
        <v>0</v>
      </c>
      <c r="U3" s="191">
        <v>0</v>
      </c>
      <c r="V3" s="191">
        <v>0</v>
      </c>
      <c r="W3" s="191"/>
    </row>
    <row r="4">
      <c r="A4" s="178"/>
      <c r="B4" s="192" t="s">
        <v>131</v>
      </c>
      <c r="C4" s="192"/>
      <c r="D4" s="193">
        <f>SUM(D3)</f>
      </c>
      <c r="E4" s="193">
        <f>SUM(E3)</f>
      </c>
      <c r="F4" s="193">
        <f>SUM(F3)</f>
      </c>
      <c r="G4" s="193">
        <f>SUM(G3)</f>
      </c>
      <c r="H4" s="194">
        <f>SUM(H3)</f>
      </c>
      <c r="I4" s="193">
        <f>SUM(I3)</f>
      </c>
      <c r="J4" s="195">
        <f t="shared" si="69"/>
      </c>
      <c r="K4" s="196">
        <f t="shared" si="35"/>
      </c>
      <c r="L4" s="197">
        <f t="shared" si="34"/>
      </c>
      <c r="M4" s="198">
        <f t="shared" si="33"/>
      </c>
      <c r="N4" s="198">
        <f>H4/T4</f>
      </c>
      <c r="O4" s="199">
        <f t="shared" ref="O4:O5" si="89">(U4*1000)/D4</f>
      </c>
      <c r="P4" s="199"/>
      <c r="Q4" s="199"/>
      <c r="R4" s="200">
        <f>SUM(R3)</f>
      </c>
      <c r="S4" s="200">
        <f>SUM(S3)</f>
      </c>
      <c r="T4" s="200">
        <f>SUM(T3)</f>
      </c>
      <c r="U4" s="200">
        <f>SUM(U3)</f>
      </c>
      <c r="V4" s="200">
        <f>SUM(V3)</f>
      </c>
      <c r="W4" s="200"/>
    </row>
    <row r="5">
      <c r="A5" s="178"/>
      <c r="B5" s="201" t="s">
        <v>132</v>
      </c>
      <c r="C5" s="201"/>
      <c r="D5" s="202">
        <f>D4</f>
      </c>
      <c r="E5" s="202">
        <f>E4</f>
      </c>
      <c r="F5" s="202">
        <f>F4</f>
      </c>
      <c r="G5" s="202">
        <f>G4</f>
      </c>
      <c r="H5" s="203">
        <f>H4</f>
      </c>
      <c r="I5" s="202">
        <f>I4</f>
      </c>
      <c r="J5" s="204">
        <f t="shared" si="69"/>
      </c>
      <c r="K5" s="204">
        <f t="shared" si="35"/>
      </c>
      <c r="L5" s="205">
        <f t="shared" si="34"/>
      </c>
      <c r="M5" s="206">
        <f t="shared" si="33"/>
      </c>
      <c r="N5" s="206">
        <f t="shared" ref="N5:N8" si="70">H5/(T5+H5)</f>
      </c>
      <c r="O5" s="204">
        <f t="shared" si="89"/>
      </c>
      <c r="P5" s="207"/>
      <c r="Q5" s="207"/>
      <c r="R5" s="203">
        <f>R4</f>
      </c>
      <c r="S5" s="203">
        <f>S4</f>
      </c>
      <c r="T5" s="203">
        <f>T4</f>
      </c>
      <c r="U5" s="203">
        <f>U4</f>
      </c>
      <c r="V5" s="203">
        <f>V4</f>
      </c>
      <c r="W5" s="203"/>
    </row>
    <row r="6">
      <c r="A6" s="178">
        <v>46248</v>
      </c>
      <c r="B6" s="179" t="s">
        <v>133</v>
      </c>
      <c r="C6" s="181" t="s">
        <v>134</v>
      </c>
      <c r="D6" s="181">
        <f t="shared" ref="D6:D8" si="0">SUM(E6:G6)</f>
      </c>
      <c r="E6" s="180">
        <v>0</v>
      </c>
      <c r="F6" s="180">
        <v>72.39</v>
      </c>
      <c r="G6" s="180">
        <v>0</v>
      </c>
      <c r="H6" s="182">
        <v>0</v>
      </c>
      <c r="I6" s="180">
        <v>0</v>
      </c>
      <c r="J6" s="183">
        <f t="shared" si="69"/>
      </c>
      <c r="K6" s="183">
        <f t="shared" si="35"/>
      </c>
      <c r="L6" s="184">
        <f t="shared" si="34"/>
      </c>
      <c r="M6" s="185">
        <f t="shared" si="33"/>
      </c>
      <c r="N6" s="186">
        <f t="shared" si="70"/>
      </c>
      <c r="O6" s="187">
        <f t="shared" ref="O6:O8" si="36">(V6*1000)/D6</f>
      </c>
      <c r="P6" s="188" t="s">
        <v>129</v>
      </c>
      <c r="Q6" s="189" t="s">
        <v>135</v>
      </c>
      <c r="R6" s="190">
        <v>468</v>
      </c>
      <c r="S6" s="190">
        <v>92</v>
      </c>
      <c r="T6" s="191">
        <v>0</v>
      </c>
      <c r="U6" s="191">
        <v>0</v>
      </c>
      <c r="V6" s="191">
        <v>2</v>
      </c>
      <c r="W6" s="191"/>
    </row>
    <row r="7">
      <c r="A7" s="178"/>
      <c r="B7" s="179" t="s">
        <v>133</v>
      </c>
      <c r="C7" s="181" t="s">
        <v>128</v>
      </c>
      <c r="D7" s="181">
        <f t="shared" si="0"/>
      </c>
      <c r="E7" s="180">
        <v>0</v>
      </c>
      <c r="F7" s="180">
        <v>131.91</v>
      </c>
      <c r="G7" s="180">
        <v>0</v>
      </c>
      <c r="H7" s="182">
        <v>0</v>
      </c>
      <c r="I7" s="180">
        <v>0</v>
      </c>
      <c r="J7" s="183">
        <f t="shared" si="69"/>
      </c>
      <c r="K7" s="183">
        <f t="shared" si="35"/>
      </c>
      <c r="L7" s="184">
        <f t="shared" si="34"/>
      </c>
      <c r="M7" s="185">
        <f t="shared" si="33"/>
      </c>
      <c r="N7" s="186">
        <f t="shared" si="70"/>
      </c>
      <c r="O7" s="187">
        <f t="shared" si="36"/>
      </c>
      <c r="P7" s="188" t="s">
        <v>129</v>
      </c>
      <c r="Q7" s="189" t="s">
        <v>135</v>
      </c>
      <c r="R7" s="190">
        <v>1031</v>
      </c>
      <c r="S7" s="190">
        <v>228</v>
      </c>
      <c r="T7" s="191">
        <v>0</v>
      </c>
      <c r="U7" s="191">
        <v>0</v>
      </c>
      <c r="V7" s="191">
        <v>0</v>
      </c>
      <c r="W7" s="191"/>
    </row>
    <row r="8">
      <c r="A8" s="178"/>
      <c r="B8" s="179" t="s">
        <v>133</v>
      </c>
      <c r="C8" s="181" t="s">
        <v>136</v>
      </c>
      <c r="D8" s="181">
        <f t="shared" si="0"/>
      </c>
      <c r="E8" s="180">
        <v>0</v>
      </c>
      <c r="F8" s="208">
        <v>193.68</v>
      </c>
      <c r="G8" s="208">
        <v>0</v>
      </c>
      <c r="H8" s="209">
        <v>0</v>
      </c>
      <c r="I8" s="208">
        <v>0</v>
      </c>
      <c r="J8" s="183">
        <f t="shared" si="69"/>
      </c>
      <c r="K8" s="183">
        <f t="shared" si="35"/>
      </c>
      <c r="L8" s="184">
        <f t="shared" si="34"/>
      </c>
      <c r="M8" s="185">
        <f t="shared" si="33"/>
      </c>
      <c r="N8" s="186">
        <f t="shared" si="70"/>
      </c>
      <c r="O8" s="187">
        <f t="shared" si="36"/>
      </c>
      <c r="P8" s="188" t="s">
        <v>129</v>
      </c>
      <c r="Q8" s="189" t="s">
        <v>135</v>
      </c>
      <c r="R8" s="190">
        <v>1402</v>
      </c>
      <c r="S8" s="190">
        <v>267</v>
      </c>
      <c r="T8" s="191">
        <v>0</v>
      </c>
      <c r="U8" s="191">
        <v>0</v>
      </c>
      <c r="V8" s="191">
        <v>3</v>
      </c>
      <c r="W8" s="191"/>
    </row>
    <row r="9">
      <c r="A9" s="178"/>
      <c r="B9" s="192" t="s">
        <v>131</v>
      </c>
      <c r="C9" s="192"/>
      <c r="D9" s="193">
        <f>SUM(D6:D8)</f>
      </c>
      <c r="E9" s="193">
        <f>SUM(E6:E8)</f>
      </c>
      <c r="F9" s="193">
        <f>SUM(F6:F8)</f>
      </c>
      <c r="G9" s="193">
        <f>SUM(G6:G8)</f>
      </c>
      <c r="H9" s="194">
        <f>SUM(H6:H8)</f>
      </c>
      <c r="I9" s="193">
        <f>SUM(I6:I8)</f>
      </c>
      <c r="J9" s="195">
        <f t="shared" si="69"/>
      </c>
      <c r="K9" s="196">
        <f t="shared" si="35"/>
      </c>
      <c r="L9" s="197">
        <f t="shared" si="34"/>
      </c>
      <c r="M9" s="198">
        <f t="shared" si="33"/>
      </c>
      <c r="N9" s="198">
        <f>H9/T9</f>
      </c>
      <c r="O9" s="199">
        <f>(U9*1000)/D9</f>
      </c>
      <c r="P9" s="199"/>
      <c r="Q9" s="199"/>
      <c r="R9" s="200">
        <f>SUM(R6:R8)</f>
      </c>
      <c r="S9" s="200">
        <f>SUM(S6:S8)</f>
      </c>
      <c r="T9" s="200">
        <f>SUM(T6:T8)</f>
      </c>
      <c r="U9" s="200">
        <f>SUM(U6:U8)</f>
      </c>
      <c r="V9" s="200">
        <f>SUM(V6:V8)</f>
      </c>
      <c r="W9" s="200"/>
    </row>
    <row r="10">
      <c r="A10" s="178"/>
      <c r="B10" s="210" t="s">
        <v>137</v>
      </c>
      <c r="C10" s="181" t="s">
        <v>138</v>
      </c>
      <c r="D10" s="181">
        <f t="shared" ref="D10:D11" si="1">SUM(E10:G10)</f>
      </c>
      <c r="E10" s="180">
        <v>0</v>
      </c>
      <c r="F10" s="180">
        <v>244.96</v>
      </c>
      <c r="G10" s="208">
        <v>0</v>
      </c>
      <c r="H10" s="182">
        <v>1</v>
      </c>
      <c r="I10" s="180">
        <v>710.64</v>
      </c>
      <c r="J10" s="183">
        <f t="shared" si="69"/>
      </c>
      <c r="K10" s="183">
        <f t="shared" si="35"/>
      </c>
      <c r="L10" s="184">
        <f t="shared" si="34"/>
      </c>
      <c r="M10" s="185">
        <f t="shared" si="33"/>
      </c>
      <c r="N10" s="186">
        <f t="shared" ref="N10:N17" si="71">H10/(T10+H10)</f>
      </c>
      <c r="O10" s="187">
        <f t="shared" ref="O10:O11" si="37">(V10*1000)/D10</f>
      </c>
      <c r="P10" s="188" t="s">
        <v>129</v>
      </c>
      <c r="Q10" s="189" t="s">
        <v>135</v>
      </c>
      <c r="R10" s="190">
        <v>1961</v>
      </c>
      <c r="S10" s="190">
        <v>280</v>
      </c>
      <c r="T10" s="191">
        <v>0</v>
      </c>
      <c r="U10" s="191">
        <v>0</v>
      </c>
      <c r="V10" s="191">
        <v>5</v>
      </c>
      <c r="W10" s="191"/>
    </row>
    <row r="11">
      <c r="A11" s="178"/>
      <c r="B11" s="210" t="s">
        <v>137</v>
      </c>
      <c r="C11" s="180" t="s">
        <v>139</v>
      </c>
      <c r="D11" s="181">
        <f t="shared" si="1"/>
      </c>
      <c r="E11" s="180">
        <v>0</v>
      </c>
      <c r="F11" s="180">
        <v>224.8</v>
      </c>
      <c r="G11" s="208">
        <v>0</v>
      </c>
      <c r="H11" s="182">
        <v>0</v>
      </c>
      <c r="I11" s="180">
        <v>0</v>
      </c>
      <c r="J11" s="183">
        <f t="shared" si="69"/>
      </c>
      <c r="K11" s="183">
        <f t="shared" si="35"/>
      </c>
      <c r="L11" s="184">
        <f t="shared" si="34"/>
      </c>
      <c r="M11" s="185">
        <f t="shared" si="33"/>
      </c>
      <c r="N11" s="186">
        <f t="shared" si="71"/>
      </c>
      <c r="O11" s="187">
        <f t="shared" si="37"/>
      </c>
      <c r="P11" s="188" t="s">
        <v>129</v>
      </c>
      <c r="Q11" s="189" t="s">
        <v>135</v>
      </c>
      <c r="R11" s="190">
        <v>1697</v>
      </c>
      <c r="S11" s="190">
        <v>166</v>
      </c>
      <c r="T11" s="191">
        <v>0</v>
      </c>
      <c r="U11" s="191">
        <v>0</v>
      </c>
      <c r="V11" s="191">
        <v>5</v>
      </c>
      <c r="W11" s="191"/>
    </row>
    <row r="12">
      <c r="A12" s="178"/>
      <c r="B12" s="192" t="s">
        <v>131</v>
      </c>
      <c r="C12" s="192"/>
      <c r="D12" s="193">
        <f>SUM(D10:D11)</f>
      </c>
      <c r="E12" s="193">
        <f>SUM(E10:E11)</f>
      </c>
      <c r="F12" s="193">
        <f>SUM(F10:F11)</f>
      </c>
      <c r="G12" s="193">
        <f>SUM(G10:G11)</f>
      </c>
      <c r="H12" s="194">
        <f>SUM(H10:H11)</f>
      </c>
      <c r="I12" s="193">
        <f>SUM(I10:I11)</f>
      </c>
      <c r="J12" s="211">
        <f t="shared" si="69"/>
      </c>
      <c r="K12" s="196">
        <f t="shared" si="35"/>
      </c>
      <c r="L12" s="197">
        <f t="shared" si="34"/>
      </c>
      <c r="M12" s="198">
        <f t="shared" si="33"/>
      </c>
      <c r="N12" s="198">
        <f t="shared" si="71"/>
      </c>
      <c r="O12" s="199">
        <f t="shared" ref="O12:O13" si="90">(U12*1000)/D12</f>
      </c>
      <c r="P12" s="199"/>
      <c r="Q12" s="199"/>
      <c r="R12" s="200">
        <f>SUM(R10:R11)</f>
      </c>
      <c r="S12" s="200">
        <f>SUM(S10:S11)</f>
      </c>
      <c r="T12" s="200">
        <f>SUM(T10:T11)</f>
      </c>
      <c r="U12" s="200">
        <f>SUM(U10:U11)</f>
      </c>
      <c r="V12" s="200">
        <f>SUM(V10:V11)</f>
      </c>
      <c r="W12" s="200"/>
    </row>
    <row r="13">
      <c r="A13" s="178"/>
      <c r="B13" s="201" t="s">
        <v>132</v>
      </c>
      <c r="C13" s="201"/>
      <c r="D13" s="202">
        <f>D9+D12</f>
      </c>
      <c r="E13" s="202">
        <f>E9+E12</f>
      </c>
      <c r="F13" s="202">
        <f>F9+F12</f>
      </c>
      <c r="G13" s="202">
        <f>G9+G12</f>
      </c>
      <c r="H13" s="212">
        <f>H9+H12</f>
      </c>
      <c r="I13" s="202">
        <f>I9+I12</f>
      </c>
      <c r="J13" s="204">
        <f t="shared" si="69"/>
      </c>
      <c r="K13" s="204">
        <f t="shared" si="35"/>
      </c>
      <c r="L13" s="205">
        <f t="shared" si="34"/>
      </c>
      <c r="M13" s="206">
        <f t="shared" si="33"/>
      </c>
      <c r="N13" s="206">
        <f t="shared" si="71"/>
      </c>
      <c r="O13" s="204">
        <f t="shared" si="90"/>
      </c>
      <c r="P13" s="207"/>
      <c r="Q13" s="207"/>
      <c r="R13" s="212">
        <f>R9+R12</f>
      </c>
      <c r="S13" s="212">
        <f>S9+S12</f>
      </c>
      <c r="T13" s="212">
        <f>T9+T12</f>
      </c>
      <c r="U13" s="212">
        <f>U9+U12</f>
      </c>
      <c r="V13" s="212">
        <f>V9+V12</f>
      </c>
      <c r="W13" s="212"/>
    </row>
    <row r="14">
      <c r="A14" s="178">
        <v>46249</v>
      </c>
      <c r="B14" s="210" t="s">
        <v>137</v>
      </c>
      <c r="C14" s="181" t="s">
        <v>134</v>
      </c>
      <c r="D14" s="181">
        <f t="shared" ref="D14:D17" si="2">SUM(E14:G14)</f>
      </c>
      <c r="E14" s="180">
        <v>240.65</v>
      </c>
      <c r="F14" s="180">
        <v>375.59</v>
      </c>
      <c r="G14" s="180">
        <v>0</v>
      </c>
      <c r="H14" s="182">
        <v>1</v>
      </c>
      <c r="I14" s="180">
        <v>710.64</v>
      </c>
      <c r="J14" s="183">
        <f t="shared" si="69"/>
      </c>
      <c r="K14" s="183">
        <f t="shared" si="35"/>
      </c>
      <c r="L14" s="184">
        <f t="shared" si="34"/>
      </c>
      <c r="M14" s="185">
        <f t="shared" si="33"/>
      </c>
      <c r="N14" s="186">
        <f t="shared" si="71"/>
      </c>
      <c r="O14" s="187">
        <f t="shared" ref="O14:O17" si="38">(V14*1000)/D14</f>
      </c>
      <c r="P14" s="188" t="s">
        <v>129</v>
      </c>
      <c r="Q14" s="189" t="s">
        <v>135</v>
      </c>
      <c r="R14" s="190">
        <v>2496</v>
      </c>
      <c r="S14" s="190">
        <v>184</v>
      </c>
      <c r="T14" s="191">
        <v>2</v>
      </c>
      <c r="U14" s="191">
        <v>1</v>
      </c>
      <c r="V14" s="191">
        <v>5</v>
      </c>
      <c r="W14" s="191"/>
    </row>
    <row r="15">
      <c r="A15" s="178"/>
      <c r="B15" s="210" t="s">
        <v>137</v>
      </c>
      <c r="C15" s="181" t="s">
        <v>128</v>
      </c>
      <c r="D15" s="181">
        <f t="shared" si="2"/>
      </c>
      <c r="E15" s="180">
        <v>297.15</v>
      </c>
      <c r="F15" s="180">
        <v>1646.59</v>
      </c>
      <c r="G15" s="180">
        <v>0</v>
      </c>
      <c r="H15" s="182">
        <v>3</v>
      </c>
      <c r="I15" s="180">
        <v>2985.1200000000003</v>
      </c>
      <c r="J15" s="183">
        <f t="shared" si="69"/>
      </c>
      <c r="K15" s="183">
        <f t="shared" si="35"/>
      </c>
      <c r="L15" s="184">
        <f t="shared" si="34"/>
      </c>
      <c r="M15" s="185">
        <f t="shared" si="33"/>
      </c>
      <c r="N15" s="186">
        <f t="shared" si="71"/>
      </c>
      <c r="O15" s="187">
        <f t="shared" si="38"/>
      </c>
      <c r="P15" s="188" t="s">
        <v>129</v>
      </c>
      <c r="Q15" s="189" t="s">
        <v>135</v>
      </c>
      <c r="R15" s="190">
        <v>6219</v>
      </c>
      <c r="S15" s="190">
        <v>278</v>
      </c>
      <c r="T15" s="191">
        <v>4</v>
      </c>
      <c r="U15" s="191">
        <v>1</v>
      </c>
      <c r="V15" s="191">
        <v>25</v>
      </c>
      <c r="W15" s="191"/>
    </row>
    <row r="16">
      <c r="A16" s="178"/>
      <c r="B16" s="210" t="s">
        <v>137</v>
      </c>
      <c r="C16" s="181" t="s">
        <v>136</v>
      </c>
      <c r="D16" s="181">
        <f t="shared" si="2"/>
      </c>
      <c r="E16" s="180">
        <v>286.11</v>
      </c>
      <c r="F16" s="208">
        <v>4470.31</v>
      </c>
      <c r="G16" s="208">
        <v>0</v>
      </c>
      <c r="H16" s="209">
        <v>8</v>
      </c>
      <c r="I16" s="208">
        <v>1838.8400000000001</v>
      </c>
      <c r="J16" s="183">
        <f t="shared" si="69"/>
      </c>
      <c r="K16" s="183">
        <f t="shared" si="35"/>
      </c>
      <c r="L16" s="184">
        <f t="shared" si="34"/>
      </c>
      <c r="M16" s="185">
        <f t="shared" si="33"/>
      </c>
      <c r="N16" s="186">
        <f t="shared" si="71"/>
      </c>
      <c r="O16" s="187">
        <f t="shared" si="38"/>
      </c>
      <c r="P16" s="188" t="s">
        <v>129</v>
      </c>
      <c r="Q16" s="189" t="s">
        <v>135</v>
      </c>
      <c r="R16" s="190">
        <v>30157</v>
      </c>
      <c r="S16" s="190">
        <v>739</v>
      </c>
      <c r="T16" s="191">
        <v>8</v>
      </c>
      <c r="U16" s="191">
        <v>0</v>
      </c>
      <c r="V16" s="191">
        <v>33</v>
      </c>
      <c r="W16" s="191"/>
    </row>
    <row customHeight="true" ht="16.666666666666668" r="17">
      <c r="A17" s="178"/>
      <c r="B17" s="210" t="s">
        <v>137</v>
      </c>
      <c r="C17" s="181" t="s">
        <v>138</v>
      </c>
      <c r="D17" s="181">
        <f t="shared" si="2"/>
      </c>
      <c r="E17" s="180">
        <v>918.85</v>
      </c>
      <c r="F17" s="208">
        <v>4762.96</v>
      </c>
      <c r="G17" s="208">
        <v>0</v>
      </c>
      <c r="H17" s="209">
        <v>7</v>
      </c>
      <c r="I17" s="208">
        <v>4457.1</v>
      </c>
      <c r="J17" s="183">
        <f t="shared" si="69"/>
      </c>
      <c r="K17" s="183">
        <f t="shared" si="35"/>
      </c>
      <c r="L17" s="184">
        <f t="shared" si="34"/>
      </c>
      <c r="M17" s="185">
        <f t="shared" si="33"/>
      </c>
      <c r="N17" s="186">
        <f t="shared" si="71"/>
      </c>
      <c r="O17" s="187">
        <f t="shared" si="38"/>
      </c>
      <c r="P17" s="188" t="s">
        <v>129</v>
      </c>
      <c r="Q17" s="189" t="s">
        <v>135</v>
      </c>
      <c r="R17" s="190">
        <v>66536</v>
      </c>
      <c r="S17" s="190">
        <v>1287</v>
      </c>
      <c r="T17" s="191">
        <v>8</v>
      </c>
      <c r="U17" s="191">
        <v>1</v>
      </c>
      <c r="V17" s="191">
        <v>22</v>
      </c>
      <c r="W17" s="191"/>
    </row>
    <row r="18">
      <c r="A18" s="178"/>
      <c r="B18" s="192" t="s">
        <v>131</v>
      </c>
      <c r="C18" s="192"/>
      <c r="D18" s="193">
        <f>SUM(D14:D17)</f>
      </c>
      <c r="E18" s="193">
        <f>SUM(E14:E17)</f>
      </c>
      <c r="F18" s="193">
        <f>SUM(F14:F17)</f>
      </c>
      <c r="G18" s="193">
        <f>SUM(G14:G17)</f>
      </c>
      <c r="H18" s="194">
        <f>SUM(H14:H17)</f>
      </c>
      <c r="I18" s="193">
        <f>SUM(I14:I17)</f>
      </c>
      <c r="J18" s="195">
        <f t="shared" si="69"/>
      </c>
      <c r="K18" s="196">
        <f t="shared" si="35"/>
      </c>
      <c r="L18" s="197">
        <f t="shared" si="34"/>
      </c>
      <c r="M18" s="198">
        <f t="shared" si="33"/>
      </c>
      <c r="N18" s="198">
        <f>H18/T18</f>
      </c>
      <c r="O18" s="199">
        <f>(U18*1000)/D18</f>
      </c>
      <c r="P18" s="199"/>
      <c r="Q18" s="199"/>
      <c r="R18" s="200">
        <f>SUM(R14:R17)</f>
      </c>
      <c r="S18" s="200">
        <f>SUM(S14:S17)</f>
      </c>
      <c r="T18" s="200">
        <f>SUM(T14:T17)</f>
      </c>
      <c r="U18" s="200">
        <f>SUM(U14:U17)</f>
      </c>
      <c r="V18" s="200">
        <f>SUM(V14:V17)</f>
      </c>
      <c r="W18" s="200"/>
    </row>
    <row r="19">
      <c r="A19" s="178"/>
      <c r="B19" s="179" t="s">
        <v>133</v>
      </c>
      <c r="C19" s="180" t="s">
        <v>140</v>
      </c>
      <c r="D19" s="181">
        <f t="shared" ref="D19:D21" si="3">SUM(E19:G19)</f>
      </c>
      <c r="E19" s="180">
        <v>194.82</v>
      </c>
      <c r="F19" s="180">
        <v>9248.26</v>
      </c>
      <c r="G19" s="208">
        <v>0</v>
      </c>
      <c r="H19" s="182">
        <v>5</v>
      </c>
      <c r="I19" s="180">
        <v>2600.3999999999996</v>
      </c>
      <c r="J19" s="183">
        <f t="shared" si="69"/>
      </c>
      <c r="K19" s="183">
        <f t="shared" si="35"/>
      </c>
      <c r="L19" s="184">
        <f t="shared" si="34"/>
      </c>
      <c r="M19" s="185">
        <f t="shared" si="33"/>
      </c>
      <c r="N19" s="186">
        <f t="shared" ref="N19:N26" si="72">H19/(T19+H19)</f>
      </c>
      <c r="O19" s="187">
        <f t="shared" ref="O19:O21" si="39">(V19*1000)/D19</f>
      </c>
      <c r="P19" s="188" t="s">
        <v>129</v>
      </c>
      <c r="Q19" s="189" t="s">
        <v>135</v>
      </c>
      <c r="R19" s="190">
        <v>109297</v>
      </c>
      <c r="S19" s="190">
        <v>1747</v>
      </c>
      <c r="T19" s="191">
        <v>7</v>
      </c>
      <c r="U19" s="191">
        <v>0</v>
      </c>
      <c r="V19" s="191">
        <v>25</v>
      </c>
      <c r="W19" s="191"/>
    </row>
    <row r="20">
      <c r="A20" s="178"/>
      <c r="B20" s="179" t="s">
        <v>133</v>
      </c>
      <c r="C20" s="180" t="s">
        <v>141</v>
      </c>
      <c r="D20" s="181">
        <f t="shared" si="3"/>
      </c>
      <c r="E20" s="180">
        <v>1263.91</v>
      </c>
      <c r="F20" s="180">
        <v>3527.29</v>
      </c>
      <c r="G20" s="208">
        <v>0</v>
      </c>
      <c r="H20" s="182">
        <v>9</v>
      </c>
      <c r="I20" s="180">
        <v>4004.819999999998</v>
      </c>
      <c r="J20" s="183">
        <f t="shared" si="69"/>
      </c>
      <c r="K20" s="183">
        <f t="shared" si="35"/>
      </c>
      <c r="L20" s="184">
        <f t="shared" si="34"/>
      </c>
      <c r="M20" s="185">
        <f t="shared" si="33"/>
      </c>
      <c r="N20" s="186">
        <f t="shared" si="72"/>
      </c>
      <c r="O20" s="187">
        <f t="shared" si="39"/>
      </c>
      <c r="P20" s="188" t="s">
        <v>129</v>
      </c>
      <c r="Q20" s="189" t="s">
        <v>135</v>
      </c>
      <c r="R20" s="190">
        <v>49844</v>
      </c>
      <c r="S20" s="190">
        <v>1175</v>
      </c>
      <c r="T20" s="191">
        <v>7</v>
      </c>
      <c r="U20" s="191">
        <v>1</v>
      </c>
      <c r="V20" s="191">
        <v>29</v>
      </c>
      <c r="W20" s="191"/>
    </row>
    <row customHeight="true" ht="16.666666666666668" r="21">
      <c r="A21" s="178"/>
      <c r="B21" s="179" t="s">
        <v>133</v>
      </c>
      <c r="C21" s="180" t="s">
        <v>142</v>
      </c>
      <c r="D21" s="181">
        <f t="shared" si="3"/>
      </c>
      <c r="E21" s="180">
        <v>1503.6</v>
      </c>
      <c r="F21" s="180">
        <v>2159.69</v>
      </c>
      <c r="G21" s="208">
        <v>0</v>
      </c>
      <c r="H21" s="182">
        <v>6</v>
      </c>
      <c r="I21" s="180">
        <v>4041.3600000000006</v>
      </c>
      <c r="J21" s="183">
        <f t="shared" si="69"/>
      </c>
      <c r="K21" s="183">
        <f t="shared" si="35"/>
      </c>
      <c r="L21" s="184">
        <f t="shared" si="34"/>
      </c>
      <c r="M21" s="185">
        <f t="shared" si="33"/>
      </c>
      <c r="N21" s="186">
        <f t="shared" si="72"/>
      </c>
      <c r="O21" s="187">
        <f t="shared" si="39"/>
      </c>
      <c r="P21" s="188" t="s">
        <v>129</v>
      </c>
      <c r="Q21" s="189" t="s">
        <v>135</v>
      </c>
      <c r="R21" s="190">
        <v>38069</v>
      </c>
      <c r="S21" s="190">
        <v>1236</v>
      </c>
      <c r="T21" s="191">
        <v>6</v>
      </c>
      <c r="U21" s="191">
        <v>2</v>
      </c>
      <c r="V21" s="191">
        <v>32</v>
      </c>
      <c r="W21" s="191"/>
    </row>
    <row r="22">
      <c r="A22" s="178"/>
      <c r="B22" s="192" t="s">
        <v>131</v>
      </c>
      <c r="C22" s="192"/>
      <c r="D22" s="193">
        <f>SUM(D19:D21)</f>
      </c>
      <c r="E22" s="193">
        <f>SUM(E19:E21)</f>
      </c>
      <c r="F22" s="193">
        <f>SUM(F19:F21)</f>
      </c>
      <c r="G22" s="193">
        <f>SUM(G19:G21)</f>
      </c>
      <c r="H22" s="194">
        <f>SUM(H19:H21)</f>
      </c>
      <c r="I22" s="193">
        <f>SUM(I19:I21)</f>
      </c>
      <c r="J22" s="211">
        <f t="shared" si="69"/>
      </c>
      <c r="K22" s="196">
        <f t="shared" si="35"/>
      </c>
      <c r="L22" s="197">
        <f t="shared" si="34"/>
      </c>
      <c r="M22" s="198">
        <f t="shared" si="33"/>
      </c>
      <c r="N22" s="198">
        <f t="shared" si="72"/>
      </c>
      <c r="O22" s="199">
        <f t="shared" ref="O22:O23" si="91">(U22*1000)/D22</f>
      </c>
      <c r="P22" s="199"/>
      <c r="Q22" s="199"/>
      <c r="R22" s="200">
        <f>SUM(R19:R21)</f>
      </c>
      <c r="S22" s="200">
        <f>SUM(S19:S21)</f>
      </c>
      <c r="T22" s="200">
        <f>SUM(T19:T21)</f>
      </c>
      <c r="U22" s="200">
        <f>SUM(U19:U21)</f>
      </c>
      <c r="V22" s="200">
        <f>SUM(V19:V21)</f>
      </c>
      <c r="W22" s="200"/>
    </row>
    <row r="23">
      <c r="A23" s="178"/>
      <c r="B23" s="201" t="s">
        <v>132</v>
      </c>
      <c r="C23" s="201"/>
      <c r="D23" s="202">
        <f>D18+D22</f>
      </c>
      <c r="E23" s="202">
        <f>E18+E22</f>
      </c>
      <c r="F23" s="202">
        <f>F18+F22</f>
      </c>
      <c r="G23" s="202">
        <f>G18+G22</f>
      </c>
      <c r="H23" s="212">
        <f>H18+H22</f>
      </c>
      <c r="I23" s="202">
        <f>I18+I22</f>
      </c>
      <c r="J23" s="204">
        <f t="shared" si="69"/>
      </c>
      <c r="K23" s="204">
        <f t="shared" si="35"/>
      </c>
      <c r="L23" s="205">
        <f t="shared" si="34"/>
      </c>
      <c r="M23" s="206">
        <f t="shared" si="33"/>
      </c>
      <c r="N23" s="206">
        <f t="shared" si="72"/>
      </c>
      <c r="O23" s="204">
        <f t="shared" si="91"/>
      </c>
      <c r="P23" s="207"/>
      <c r="Q23" s="207"/>
      <c r="R23" s="212">
        <f>R18+R22</f>
      </c>
      <c r="S23" s="212">
        <f>S18+S22</f>
      </c>
      <c r="T23" s="212">
        <f>T18+T22</f>
      </c>
      <c r="U23" s="212">
        <f>U18+U22</f>
      </c>
      <c r="V23" s="212">
        <f>V18+V22</f>
      </c>
      <c r="W23" s="212"/>
    </row>
    <row r="24">
      <c r="A24" s="178">
        <v>46250</v>
      </c>
      <c r="B24" s="210" t="s">
        <v>137</v>
      </c>
      <c r="C24" s="181" t="s">
        <v>134</v>
      </c>
      <c r="D24" s="181">
        <f t="shared" ref="D24:D26" si="4">SUM(E24:G24)</f>
      </c>
      <c r="E24" s="180">
        <v>350.01</v>
      </c>
      <c r="F24" s="180">
        <v>4955.41</v>
      </c>
      <c r="G24" s="180">
        <v>0</v>
      </c>
      <c r="H24" s="182">
        <v>7</v>
      </c>
      <c r="I24" s="180">
        <v>5268.48</v>
      </c>
      <c r="J24" s="183">
        <f t="shared" si="69"/>
      </c>
      <c r="K24" s="183">
        <f t="shared" si="35"/>
      </c>
      <c r="L24" s="184">
        <f t="shared" si="34"/>
      </c>
      <c r="M24" s="185">
        <f t="shared" si="33"/>
      </c>
      <c r="N24" s="186">
        <f t="shared" si="72"/>
      </c>
      <c r="O24" s="187">
        <f t="shared" ref="O24:O26" si="40">(V24*1000)/D24</f>
      </c>
      <c r="P24" s="188" t="s">
        <v>129</v>
      </c>
      <c r="Q24" s="189" t="s">
        <v>135</v>
      </c>
      <c r="R24" s="190">
        <v>58679</v>
      </c>
      <c r="S24" s="190">
        <v>1055</v>
      </c>
      <c r="T24" s="191">
        <v>7</v>
      </c>
      <c r="U24" s="191">
        <v>0</v>
      </c>
      <c r="V24" s="191">
        <v>21</v>
      </c>
      <c r="W24" s="191"/>
    </row>
    <row r="25">
      <c r="A25" s="178"/>
      <c r="B25" s="210" t="s">
        <v>137</v>
      </c>
      <c r="C25" s="181" t="s">
        <v>128</v>
      </c>
      <c r="D25" s="181">
        <f t="shared" si="4"/>
      </c>
      <c r="E25" s="180">
        <v>723.7</v>
      </c>
      <c r="F25" s="180">
        <v>3497.67</v>
      </c>
      <c r="G25" s="180">
        <v>0</v>
      </c>
      <c r="H25" s="182">
        <v>1</v>
      </c>
      <c r="I25" s="180">
        <v>1568.6399999999999</v>
      </c>
      <c r="J25" s="183">
        <f t="shared" si="69"/>
      </c>
      <c r="K25" s="183">
        <f t="shared" si="35"/>
      </c>
      <c r="L25" s="184">
        <f t="shared" si="34"/>
      </c>
      <c r="M25" s="185">
        <f t="shared" si="33"/>
      </c>
      <c r="N25" s="186">
        <f t="shared" si="72"/>
      </c>
      <c r="O25" s="187">
        <f t="shared" si="40"/>
      </c>
      <c r="P25" s="188" t="s">
        <v>129</v>
      </c>
      <c r="Q25" s="189" t="s">
        <v>135</v>
      </c>
      <c r="R25" s="190">
        <v>37548</v>
      </c>
      <c r="S25" s="190">
        <v>846</v>
      </c>
      <c r="T25" s="191">
        <v>4</v>
      </c>
      <c r="U25" s="191">
        <v>0</v>
      </c>
      <c r="V25" s="191">
        <v>19</v>
      </c>
      <c r="W25" s="191"/>
    </row>
    <row r="26">
      <c r="A26" s="178"/>
      <c r="B26" s="210" t="s">
        <v>137</v>
      </c>
      <c r="C26" s="181" t="s">
        <v>136</v>
      </c>
      <c r="D26" s="181">
        <f t="shared" si="4"/>
      </c>
      <c r="E26" s="180">
        <v>649.74</v>
      </c>
      <c r="F26" s="208">
        <v>2681.79</v>
      </c>
      <c r="G26" s="208">
        <v>0</v>
      </c>
      <c r="H26" s="209">
        <v>9</v>
      </c>
      <c r="I26" s="208">
        <v>4754.6</v>
      </c>
      <c r="J26" s="183">
        <f t="shared" si="69"/>
      </c>
      <c r="K26" s="183">
        <f t="shared" si="35"/>
      </c>
      <c r="L26" s="184">
        <f t="shared" si="34"/>
      </c>
      <c r="M26" s="185">
        <f t="shared" si="33"/>
      </c>
      <c r="N26" s="186">
        <f t="shared" si="72"/>
      </c>
      <c r="O26" s="187">
        <f t="shared" si="40"/>
      </c>
      <c r="P26" s="188" t="s">
        <v>129</v>
      </c>
      <c r="Q26" s="189" t="s">
        <v>135</v>
      </c>
      <c r="R26" s="190">
        <v>34872</v>
      </c>
      <c r="S26" s="190">
        <v>753</v>
      </c>
      <c r="T26" s="191">
        <v>7</v>
      </c>
      <c r="U26" s="191">
        <v>0</v>
      </c>
      <c r="V26" s="191">
        <v>16</v>
      </c>
      <c r="W26" s="191"/>
    </row>
    <row r="27">
      <c r="A27" s="178"/>
      <c r="B27" s="192" t="s">
        <v>131</v>
      </c>
      <c r="C27" s="192"/>
      <c r="D27" s="193">
        <f>SUM(D24:D26)</f>
      </c>
      <c r="E27" s="193">
        <f>SUM(E24:E26)</f>
      </c>
      <c r="F27" s="193">
        <f>SUM(F24:F26)</f>
      </c>
      <c r="G27" s="193">
        <f>SUM(G24:G26)</f>
      </c>
      <c r="H27" s="194">
        <f>SUM(H24:H26)</f>
      </c>
      <c r="I27" s="193">
        <f>SUM(I24:I26)</f>
      </c>
      <c r="J27" s="195">
        <f t="shared" si="69"/>
      </c>
      <c r="K27" s="196">
        <f t="shared" si="35"/>
      </c>
      <c r="L27" s="197">
        <f t="shared" si="34"/>
      </c>
      <c r="M27" s="198">
        <f t="shared" si="33"/>
      </c>
      <c r="N27" s="198">
        <f>H27/T27</f>
      </c>
      <c r="O27" s="199">
        <f>(U27*1000)/D27</f>
      </c>
      <c r="P27" s="199"/>
      <c r="Q27" s="199"/>
      <c r="R27" s="200">
        <f>SUM(R24:R26)</f>
      </c>
      <c r="S27" s="200">
        <f>SUM(S24:S26)</f>
      </c>
      <c r="T27" s="200">
        <f>SUM(T24:T26)</f>
      </c>
      <c r="U27" s="200">
        <f>SUM(U24:U26)</f>
      </c>
      <c r="V27" s="200">
        <f>SUM(V24:V26)</f>
      </c>
      <c r="W27" s="200"/>
    </row>
    <row r="28">
      <c r="A28" s="178"/>
      <c r="B28" s="179" t="s">
        <v>133</v>
      </c>
      <c r="C28" s="180" t="s">
        <v>138</v>
      </c>
      <c r="D28" s="181">
        <f t="shared" ref="D28:D30" si="5">SUM(E28:G28)</f>
      </c>
      <c r="E28" s="180">
        <v>671.57</v>
      </c>
      <c r="F28" s="180">
        <v>2483.32</v>
      </c>
      <c r="G28" s="208">
        <v>0</v>
      </c>
      <c r="H28" s="182">
        <v>2</v>
      </c>
      <c r="I28" s="180">
        <v>926.3399999999988</v>
      </c>
      <c r="J28" s="183">
        <f t="shared" si="69"/>
      </c>
      <c r="K28" s="183">
        <f t="shared" si="35"/>
      </c>
      <c r="L28" s="184">
        <f t="shared" si="34"/>
      </c>
      <c r="M28" s="185">
        <f t="shared" si="33"/>
      </c>
      <c r="N28" s="186">
        <f t="shared" ref="N28:N35" si="73">H28/(T28+H28)</f>
      </c>
      <c r="O28" s="187">
        <f t="shared" ref="O28:O30" si="41">(V28*1000)/D28</f>
      </c>
      <c r="P28" s="188" t="s">
        <v>129</v>
      </c>
      <c r="Q28" s="189" t="s">
        <v>135</v>
      </c>
      <c r="R28" s="190">
        <v>32027</v>
      </c>
      <c r="S28" s="190">
        <v>754</v>
      </c>
      <c r="T28" s="191">
        <v>3</v>
      </c>
      <c r="U28" s="191">
        <v>1</v>
      </c>
      <c r="V28" s="191">
        <v>16</v>
      </c>
      <c r="W28" s="191"/>
    </row>
    <row r="29">
      <c r="A29" s="178"/>
      <c r="B29" s="179" t="s">
        <v>133</v>
      </c>
      <c r="C29" s="180" t="s">
        <v>140</v>
      </c>
      <c r="D29" s="181">
        <f t="shared" si="5"/>
      </c>
      <c r="E29" s="180">
        <v>988.84</v>
      </c>
      <c r="F29" s="180">
        <v>2518.05</v>
      </c>
      <c r="G29" s="208">
        <v>0</v>
      </c>
      <c r="H29" s="182">
        <v>2</v>
      </c>
      <c r="I29" s="180">
        <v>473.28000000000293</v>
      </c>
      <c r="J29" s="183">
        <f t="shared" si="69"/>
      </c>
      <c r="K29" s="183">
        <f t="shared" si="35"/>
      </c>
      <c r="L29" s="184">
        <f t="shared" si="34"/>
      </c>
      <c r="M29" s="185">
        <f t="shared" si="33"/>
      </c>
      <c r="N29" s="186">
        <f t="shared" si="73"/>
      </c>
      <c r="O29" s="187">
        <f t="shared" si="41"/>
      </c>
      <c r="P29" s="188" t="s">
        <v>129</v>
      </c>
      <c r="Q29" s="189" t="s">
        <v>135</v>
      </c>
      <c r="R29" s="190">
        <v>33472</v>
      </c>
      <c r="S29" s="190">
        <v>789</v>
      </c>
      <c r="T29" s="191">
        <v>2</v>
      </c>
      <c r="U29" s="191">
        <v>1</v>
      </c>
      <c r="V29" s="191">
        <v>16</v>
      </c>
      <c r="W29" s="191"/>
    </row>
    <row r="30">
      <c r="A30" s="178"/>
      <c r="B30" s="179" t="s">
        <v>133</v>
      </c>
      <c r="C30" s="180" t="s">
        <v>143</v>
      </c>
      <c r="D30" s="181">
        <f t="shared" si="5"/>
      </c>
      <c r="E30" s="180">
        <v>176.13</v>
      </c>
      <c r="F30" s="180">
        <v>847.4</v>
      </c>
      <c r="G30" s="208">
        <v>0</v>
      </c>
      <c r="H30" s="182">
        <v>2</v>
      </c>
      <c r="I30" s="180">
        <v>1662.4399999999991</v>
      </c>
      <c r="J30" s="183">
        <f t="shared" si="69"/>
      </c>
      <c r="K30" s="183">
        <f t="shared" si="35"/>
      </c>
      <c r="L30" s="184">
        <f t="shared" si="34"/>
      </c>
      <c r="M30" s="185">
        <f t="shared" si="33"/>
      </c>
      <c r="N30" s="186">
        <f t="shared" si="73"/>
      </c>
      <c r="O30" s="187">
        <f t="shared" si="41"/>
      </c>
      <c r="P30" s="188" t="s">
        <v>129</v>
      </c>
      <c r="Q30" s="189" t="s">
        <v>135</v>
      </c>
      <c r="R30" s="190">
        <v>11350</v>
      </c>
      <c r="S30" s="190">
        <v>251</v>
      </c>
      <c r="T30" s="191">
        <v>2</v>
      </c>
      <c r="U30" s="191">
        <v>0</v>
      </c>
      <c r="V30" s="191">
        <v>5</v>
      </c>
      <c r="W30" s="191"/>
    </row>
    <row r="31">
      <c r="A31" s="178"/>
      <c r="B31" s="192" t="s">
        <v>131</v>
      </c>
      <c r="C31" s="192"/>
      <c r="D31" s="193">
        <f>SUM(D28:D30)</f>
      </c>
      <c r="E31" s="193">
        <f>SUM(E28:E30)</f>
      </c>
      <c r="F31" s="193">
        <f>SUM(F28:F30)</f>
      </c>
      <c r="G31" s="193">
        <f>SUM(G28:G30)</f>
      </c>
      <c r="H31" s="194">
        <f>SUM(H28:H30)</f>
      </c>
      <c r="I31" s="193">
        <f>SUM(I28:I30)</f>
      </c>
      <c r="J31" s="211">
        <f t="shared" si="69"/>
      </c>
      <c r="K31" s="196">
        <f t="shared" si="35"/>
      </c>
      <c r="L31" s="197">
        <f t="shared" si="34"/>
      </c>
      <c r="M31" s="198">
        <f t="shared" si="33"/>
      </c>
      <c r="N31" s="198">
        <f t="shared" si="73"/>
      </c>
      <c r="O31" s="199">
        <f t="shared" ref="O31:O32" si="92">(U31*1000)/D31</f>
      </c>
      <c r="P31" s="199"/>
      <c r="Q31" s="199"/>
      <c r="R31" s="200">
        <f>SUM(R28:R30)</f>
      </c>
      <c r="S31" s="200">
        <f>SUM(S28:S30)</f>
      </c>
      <c r="T31" s="200">
        <f>SUM(T28:T30)</f>
      </c>
      <c r="U31" s="200">
        <f>SUM(U28:U30)</f>
      </c>
      <c r="V31" s="200">
        <f>SUM(V28:V30)</f>
      </c>
      <c r="W31" s="200"/>
    </row>
    <row r="32">
      <c r="A32" s="178"/>
      <c r="B32" s="201" t="s">
        <v>132</v>
      </c>
      <c r="C32" s="201"/>
      <c r="D32" s="202">
        <f>D27+D31</f>
      </c>
      <c r="E32" s="202">
        <f>E27+E31</f>
      </c>
      <c r="F32" s="202">
        <f>F27+F31</f>
      </c>
      <c r="G32" s="202">
        <f>G27+G31</f>
      </c>
      <c r="H32" s="212">
        <f>H27+H31</f>
      </c>
      <c r="I32" s="202">
        <f>I27+I31</f>
      </c>
      <c r="J32" s="204">
        <f t="shared" si="69"/>
      </c>
      <c r="K32" s="204">
        <f t="shared" si="35"/>
      </c>
      <c r="L32" s="205">
        <f t="shared" si="34"/>
      </c>
      <c r="M32" s="206">
        <f t="shared" si="33"/>
      </c>
      <c r="N32" s="206">
        <f t="shared" si="73"/>
      </c>
      <c r="O32" s="204">
        <f t="shared" si="92"/>
      </c>
      <c r="P32" s="207"/>
      <c r="Q32" s="207"/>
      <c r="R32" s="212">
        <f>R27+R31</f>
      </c>
      <c r="S32" s="212">
        <f>S27+S31</f>
      </c>
      <c r="T32" s="212">
        <f>T27+T31</f>
      </c>
      <c r="U32" s="212">
        <f>U27+U31</f>
      </c>
      <c r="V32" s="212">
        <f>V27+V31</f>
      </c>
      <c r="W32" s="212"/>
    </row>
    <row r="33">
      <c r="A33" s="178">
        <v>46251</v>
      </c>
      <c r="B33" s="210" t="s">
        <v>137</v>
      </c>
      <c r="C33" s="181" t="s">
        <v>134</v>
      </c>
      <c r="D33" s="181">
        <f t="shared" ref="D33:D35" si="6">SUM(E33:G33)</f>
      </c>
      <c r="E33" s="180">
        <v>313.08</v>
      </c>
      <c r="F33" s="180">
        <v>905.09</v>
      </c>
      <c r="G33" s="180">
        <v>0</v>
      </c>
      <c r="H33" s="182">
        <v>1</v>
      </c>
      <c r="I33" s="180">
        <v>236.64</v>
      </c>
      <c r="J33" s="183">
        <f t="shared" si="69"/>
      </c>
      <c r="K33" s="183">
        <f t="shared" si="35"/>
      </c>
      <c r="L33" s="184">
        <f t="shared" si="34"/>
      </c>
      <c r="M33" s="185">
        <f t="shared" si="33"/>
      </c>
      <c r="N33" s="186">
        <f t="shared" si="73"/>
      </c>
      <c r="O33" s="187">
        <f t="shared" ref="O33:O35" si="42">(V33*1000)/D33</f>
      </c>
      <c r="P33" s="188" t="s">
        <v>129</v>
      </c>
      <c r="Q33" s="189" t="s">
        <v>144</v>
      </c>
      <c r="R33" s="190">
        <v>10914</v>
      </c>
      <c r="S33" s="190">
        <v>298</v>
      </c>
      <c r="T33" s="191">
        <v>1</v>
      </c>
      <c r="U33" s="191">
        <v>0</v>
      </c>
      <c r="V33" s="191">
        <v>11</v>
      </c>
      <c r="W33" s="191"/>
    </row>
    <row r="34">
      <c r="A34" s="178"/>
      <c r="B34" s="210" t="s">
        <v>137</v>
      </c>
      <c r="C34" s="181" t="s">
        <v>128</v>
      </c>
      <c r="D34" s="181">
        <f t="shared" si="6"/>
      </c>
      <c r="E34" s="180">
        <v>270.03</v>
      </c>
      <c r="F34" s="180">
        <v>1152.41</v>
      </c>
      <c r="G34" s="180">
        <v>0</v>
      </c>
      <c r="H34" s="182">
        <v>0</v>
      </c>
      <c r="I34" s="180">
        <v>0</v>
      </c>
      <c r="J34" s="183">
        <f t="shared" si="69"/>
      </c>
      <c r="K34" s="183">
        <f t="shared" si="35"/>
      </c>
      <c r="L34" s="184">
        <f t="shared" si="34"/>
      </c>
      <c r="M34" s="185">
        <f t="shared" si="33"/>
      </c>
      <c r="N34" s="186">
        <f t="shared" si="73"/>
      </c>
      <c r="O34" s="187">
        <f t="shared" si="42"/>
      </c>
      <c r="P34" s="188" t="s">
        <v>129</v>
      </c>
      <c r="Q34" s="189" t="s">
        <v>144</v>
      </c>
      <c r="R34" s="190">
        <v>11404</v>
      </c>
      <c r="S34" s="190">
        <v>377</v>
      </c>
      <c r="T34" s="191">
        <v>1</v>
      </c>
      <c r="U34" s="191">
        <v>0</v>
      </c>
      <c r="V34" s="191">
        <v>17</v>
      </c>
      <c r="W34" s="191"/>
    </row>
    <row r="35">
      <c r="A35" s="178"/>
      <c r="B35" s="210" t="s">
        <v>137</v>
      </c>
      <c r="C35" s="181" t="s">
        <v>136</v>
      </c>
      <c r="D35" s="181">
        <f t="shared" si="6"/>
      </c>
      <c r="E35" s="180">
        <v>318.31</v>
      </c>
      <c r="F35" s="208">
        <v>1088.83</v>
      </c>
      <c r="G35" s="208">
        <v>0</v>
      </c>
      <c r="H35" s="209">
        <v>0</v>
      </c>
      <c r="I35" s="208">
        <v>0</v>
      </c>
      <c r="J35" s="183">
        <f t="shared" si="69"/>
      </c>
      <c r="K35" s="183">
        <f t="shared" si="35"/>
      </c>
      <c r="L35" s="184">
        <f t="shared" si="34"/>
      </c>
      <c r="M35" s="185">
        <f t="shared" si="33"/>
      </c>
      <c r="N35" s="186">
        <f t="shared" si="73"/>
      </c>
      <c r="O35" s="187">
        <f t="shared" si="42"/>
      </c>
      <c r="P35" s="188" t="s">
        <v>129</v>
      </c>
      <c r="Q35" s="189" t="s">
        <v>135</v>
      </c>
      <c r="R35" s="190">
        <v>9960</v>
      </c>
      <c r="S35" s="190">
        <v>320</v>
      </c>
      <c r="T35" s="191">
        <v>0</v>
      </c>
      <c r="U35" s="191">
        <v>0</v>
      </c>
      <c r="V35" s="191">
        <v>8</v>
      </c>
      <c r="W35" s="191"/>
    </row>
    <row r="36">
      <c r="A36" s="178"/>
      <c r="B36" s="192" t="s">
        <v>131</v>
      </c>
      <c r="C36" s="192"/>
      <c r="D36" s="193">
        <f>SUM(D33:D35)</f>
      </c>
      <c r="E36" s="193">
        <f>SUM(E33:E35)</f>
      </c>
      <c r="F36" s="193">
        <f>SUM(F33:F35)</f>
      </c>
      <c r="G36" s="193">
        <f>SUM(G33:G35)</f>
      </c>
      <c r="H36" s="194">
        <f>SUM(H33:H35)</f>
      </c>
      <c r="I36" s="193">
        <f>SUM(I33:I35)</f>
      </c>
      <c r="J36" s="195">
        <f t="shared" si="69"/>
      </c>
      <c r="K36" s="196">
        <f t="shared" si="35"/>
      </c>
      <c r="L36" s="197">
        <f t="shared" si="34"/>
      </c>
      <c r="M36" s="198">
        <f t="shared" si="33"/>
      </c>
      <c r="N36" s="198">
        <f>H36/T36</f>
      </c>
      <c r="O36" s="199">
        <f>(U36*1000)/D36</f>
      </c>
      <c r="P36" s="199"/>
      <c r="Q36" s="199"/>
      <c r="R36" s="200">
        <f>SUM(R33:R35)</f>
      </c>
      <c r="S36" s="200">
        <f>SUM(S33:S35)</f>
      </c>
      <c r="T36" s="200">
        <f>SUM(T33:T35)</f>
      </c>
      <c r="U36" s="200">
        <f>SUM(U33:U35)</f>
      </c>
      <c r="V36" s="200">
        <f>SUM(V33:V35)</f>
      </c>
      <c r="W36" s="200"/>
    </row>
    <row r="37">
      <c r="A37" s="178"/>
      <c r="B37" s="179" t="s">
        <v>133</v>
      </c>
      <c r="C37" s="180" t="s">
        <v>138</v>
      </c>
      <c r="D37" s="181">
        <f t="shared" ref="D37:D39" si="7">SUM(E37:G37)</f>
      </c>
      <c r="E37" s="180">
        <v>934.47</v>
      </c>
      <c r="F37" s="180">
        <v>2089.54</v>
      </c>
      <c r="G37" s="208">
        <v>0</v>
      </c>
      <c r="H37" s="182">
        <v>9</v>
      </c>
      <c r="I37" s="180">
        <v>4342.139999999999</v>
      </c>
      <c r="J37" s="183">
        <f t="shared" si="69"/>
      </c>
      <c r="K37" s="183">
        <f t="shared" si="35"/>
      </c>
      <c r="L37" s="184">
        <f t="shared" si="34"/>
      </c>
      <c r="M37" s="185">
        <f t="shared" si="33"/>
      </c>
      <c r="N37" s="186">
        <f t="shared" ref="N37:N45" si="74">H37/(T37+H37)</f>
      </c>
      <c r="O37" s="187">
        <f t="shared" ref="O37:O39" si="43">(V37*1000)/D37</f>
      </c>
      <c r="P37" s="188" t="s">
        <v>129</v>
      </c>
      <c r="Q37" s="189" t="s">
        <v>135</v>
      </c>
      <c r="R37" s="190">
        <v>20357</v>
      </c>
      <c r="S37" s="190">
        <v>608</v>
      </c>
      <c r="T37" s="191">
        <v>9</v>
      </c>
      <c r="U37" s="191">
        <v>0</v>
      </c>
      <c r="V37" s="191">
        <v>19</v>
      </c>
      <c r="W37" s="191"/>
    </row>
    <row r="38">
      <c r="A38" s="178"/>
      <c r="B38" s="179" t="s">
        <v>133</v>
      </c>
      <c r="C38" s="180" t="s">
        <v>140</v>
      </c>
      <c r="D38" s="181">
        <f t="shared" si="7"/>
      </c>
      <c r="E38" s="180">
        <v>949.45</v>
      </c>
      <c r="F38" s="180">
        <v>2714.88</v>
      </c>
      <c r="G38" s="208">
        <v>0</v>
      </c>
      <c r="H38" s="182">
        <v>7</v>
      </c>
      <c r="I38" s="180">
        <v>5615.260000000001</v>
      </c>
      <c r="J38" s="183">
        <f t="shared" si="69"/>
      </c>
      <c r="K38" s="183">
        <f t="shared" si="35"/>
      </c>
      <c r="L38" s="184">
        <f t="shared" si="34"/>
      </c>
      <c r="M38" s="185">
        <f t="shared" si="33"/>
      </c>
      <c r="N38" s="186">
        <f t="shared" si="74"/>
      </c>
      <c r="O38" s="187">
        <f t="shared" si="43"/>
      </c>
      <c r="P38" s="188" t="s">
        <v>129</v>
      </c>
      <c r="Q38" s="189" t="s">
        <v>135</v>
      </c>
      <c r="R38" s="190">
        <v>30370</v>
      </c>
      <c r="S38" s="190">
        <v>732</v>
      </c>
      <c r="T38" s="191">
        <v>6</v>
      </c>
      <c r="U38" s="191">
        <v>0</v>
      </c>
      <c r="V38" s="191">
        <v>15</v>
      </c>
      <c r="W38" s="191"/>
    </row>
    <row r="39">
      <c r="A39" s="178"/>
      <c r="B39" s="179" t="s">
        <v>133</v>
      </c>
      <c r="C39" s="180" t="s">
        <v>141</v>
      </c>
      <c r="D39" s="181">
        <f t="shared" si="7"/>
      </c>
      <c r="E39" s="180">
        <v>511.84</v>
      </c>
      <c r="F39" s="180">
        <v>2228.94</v>
      </c>
      <c r="G39" s="208">
        <v>0</v>
      </c>
      <c r="H39" s="182">
        <v>7</v>
      </c>
      <c r="I39" s="180">
        <v>2505.0199999999986</v>
      </c>
      <c r="J39" s="183">
        <f t="shared" si="69"/>
      </c>
      <c r="K39" s="183">
        <f t="shared" si="35"/>
      </c>
      <c r="L39" s="184">
        <f t="shared" si="34"/>
      </c>
      <c r="M39" s="185">
        <f t="shared" si="33"/>
      </c>
      <c r="N39" s="186">
        <f t="shared" si="74"/>
      </c>
      <c r="O39" s="187">
        <f t="shared" si="43"/>
      </c>
      <c r="P39" s="188" t="s">
        <v>129</v>
      </c>
      <c r="Q39" s="189" t="s">
        <v>135</v>
      </c>
      <c r="R39" s="190">
        <v>27152</v>
      </c>
      <c r="S39" s="190">
        <v>520</v>
      </c>
      <c r="T39" s="191">
        <v>6</v>
      </c>
      <c r="U39" s="191">
        <v>1</v>
      </c>
      <c r="V39" s="191">
        <v>13</v>
      </c>
      <c r="W39" s="191"/>
    </row>
    <row r="40">
      <c r="A40" s="178"/>
      <c r="B40" s="192" t="s">
        <v>131</v>
      </c>
      <c r="C40" s="192"/>
      <c r="D40" s="193">
        <f>SUM(D37:D39)</f>
      </c>
      <c r="E40" s="193">
        <f>SUM(E37:E39)</f>
      </c>
      <c r="F40" s="193">
        <f>SUM(F37:F39)</f>
      </c>
      <c r="G40" s="193">
        <f>SUM(G37:G39)</f>
      </c>
      <c r="H40" s="194">
        <f>SUM(H37:H39)</f>
      </c>
      <c r="I40" s="193">
        <f>SUM(I37:I39)</f>
      </c>
      <c r="J40" s="211">
        <f t="shared" si="69"/>
      </c>
      <c r="K40" s="196">
        <f t="shared" si="35"/>
      </c>
      <c r="L40" s="197">
        <f t="shared" si="34"/>
      </c>
      <c r="M40" s="198">
        <f t="shared" si="33"/>
      </c>
      <c r="N40" s="198">
        <f t="shared" si="74"/>
      </c>
      <c r="O40" s="199">
        <f t="shared" ref="O40:O41" si="93">(U40*1000)/D40</f>
      </c>
      <c r="P40" s="199"/>
      <c r="Q40" s="199"/>
      <c r="R40" s="200">
        <f>SUM(R37:R39)</f>
      </c>
      <c r="S40" s="200">
        <f>SUM(S37:S39)</f>
      </c>
      <c r="T40" s="200">
        <f>SUM(T37:T39)</f>
      </c>
      <c r="U40" s="200">
        <f>SUM(U37:U39)</f>
      </c>
      <c r="V40" s="200">
        <f>SUM(V37:V39)</f>
      </c>
      <c r="W40" s="200"/>
    </row>
    <row r="41">
      <c r="A41" s="178"/>
      <c r="B41" s="201" t="s">
        <v>132</v>
      </c>
      <c r="C41" s="201"/>
      <c r="D41" s="202">
        <f>D36+D40</f>
      </c>
      <c r="E41" s="202">
        <f>E36+E40</f>
      </c>
      <c r="F41" s="202">
        <f>F36+F40</f>
      </c>
      <c r="G41" s="202">
        <f>G36+G40</f>
      </c>
      <c r="H41" s="212">
        <f>H36+H40</f>
      </c>
      <c r="I41" s="202">
        <f>I36+I40</f>
      </c>
      <c r="J41" s="204">
        <f t="shared" si="69"/>
      </c>
      <c r="K41" s="204">
        <f t="shared" si="35"/>
      </c>
      <c r="L41" s="205">
        <f t="shared" si="34"/>
      </c>
      <c r="M41" s="206">
        <f t="shared" si="33"/>
      </c>
      <c r="N41" s="206">
        <f t="shared" si="74"/>
      </c>
      <c r="O41" s="204">
        <f t="shared" si="93"/>
      </c>
      <c r="P41" s="207"/>
      <c r="Q41" s="207"/>
      <c r="R41" s="212">
        <f>R36+R40</f>
      </c>
      <c r="S41" s="212">
        <f>S36+S40</f>
      </c>
      <c r="T41" s="212">
        <f>T36+T40</f>
      </c>
      <c r="U41" s="212">
        <f>U36+U40</f>
      </c>
      <c r="V41" s="212">
        <f>V36+V40</f>
      </c>
      <c r="W41" s="212"/>
    </row>
    <row r="42">
      <c r="A42" s="178">
        <v>46252</v>
      </c>
      <c r="B42" s="210" t="s">
        <v>137</v>
      </c>
      <c r="C42" s="181" t="s">
        <v>134</v>
      </c>
      <c r="D42" s="181">
        <f t="shared" ref="D42:D45" si="8">SUM(E42:G42)</f>
      </c>
      <c r="E42" s="180">
        <v>460.8</v>
      </c>
      <c r="F42" s="180">
        <v>1811.45</v>
      </c>
      <c r="G42" s="180">
        <v>0</v>
      </c>
      <c r="H42" s="182">
        <v>2</v>
      </c>
      <c r="I42" s="180">
        <v>1416.48</v>
      </c>
      <c r="J42" s="183">
        <f t="shared" si="69"/>
      </c>
      <c r="K42" s="183">
        <f t="shared" si="35"/>
      </c>
      <c r="L42" s="184">
        <f t="shared" si="34"/>
      </c>
      <c r="M42" s="185">
        <f t="shared" si="33"/>
      </c>
      <c r="N42" s="186">
        <f t="shared" si="74"/>
      </c>
      <c r="O42" s="187">
        <f t="shared" ref="O42:O45" si="44">(V42*1000)/D42</f>
      </c>
      <c r="P42" s="188" t="s">
        <v>129</v>
      </c>
      <c r="Q42" s="189" t="s">
        <v>135</v>
      </c>
      <c r="R42" s="190">
        <v>19767</v>
      </c>
      <c r="S42" s="190">
        <v>421</v>
      </c>
      <c r="T42" s="191">
        <v>4</v>
      </c>
      <c r="U42" s="191">
        <v>0</v>
      </c>
      <c r="V42" s="191">
        <v>8</v>
      </c>
      <c r="W42" s="191"/>
    </row>
    <row r="43">
      <c r="A43" s="178"/>
      <c r="B43" s="210" t="s">
        <v>137</v>
      </c>
      <c r="C43" s="181" t="s">
        <v>128</v>
      </c>
      <c r="D43" s="181">
        <f t="shared" si="8"/>
      </c>
      <c r="E43" s="180">
        <v>421.72</v>
      </c>
      <c r="F43" s="180">
        <v>1470.47</v>
      </c>
      <c r="G43" s="180">
        <v>0</v>
      </c>
      <c r="H43" s="182">
        <v>4</v>
      </c>
      <c r="I43" s="180">
        <v>2093.84</v>
      </c>
      <c r="J43" s="183">
        <f t="shared" si="69"/>
      </c>
      <c r="K43" s="183">
        <f t="shared" si="35"/>
      </c>
      <c r="L43" s="184">
        <f t="shared" si="34"/>
      </c>
      <c r="M43" s="185">
        <f t="shared" si="33"/>
      </c>
      <c r="N43" s="186">
        <f t="shared" si="74"/>
      </c>
      <c r="O43" s="187">
        <f t="shared" si="44"/>
      </c>
      <c r="P43" s="188" t="s">
        <v>129</v>
      </c>
      <c r="Q43" s="189" t="s">
        <v>135</v>
      </c>
      <c r="R43" s="190">
        <v>17141</v>
      </c>
      <c r="S43" s="190">
        <v>381</v>
      </c>
      <c r="T43" s="191">
        <v>5</v>
      </c>
      <c r="U43" s="191">
        <v>0</v>
      </c>
      <c r="V43" s="191">
        <v>9</v>
      </c>
      <c r="W43" s="191"/>
    </row>
    <row r="44">
      <c r="A44" s="178"/>
      <c r="B44" s="210" t="s">
        <v>137</v>
      </c>
      <c r="C44" s="181" t="s">
        <v>136</v>
      </c>
      <c r="D44" s="181">
        <f t="shared" si="8"/>
      </c>
      <c r="E44" s="180">
        <v>565.26</v>
      </c>
      <c r="F44" s="208">
        <v>1523.53</v>
      </c>
      <c r="G44" s="208">
        <v>0</v>
      </c>
      <c r="H44" s="209">
        <v>0</v>
      </c>
      <c r="I44" s="208">
        <v>0</v>
      </c>
      <c r="J44" s="183">
        <f t="shared" si="69"/>
      </c>
      <c r="K44" s="183">
        <f t="shared" si="35"/>
      </c>
      <c r="L44" s="184">
        <f t="shared" si="34"/>
      </c>
      <c r="M44" s="185">
        <f t="shared" si="33"/>
      </c>
      <c r="N44" s="186">
        <f t="shared" si="74"/>
      </c>
      <c r="O44" s="187">
        <f t="shared" si="44"/>
      </c>
      <c r="P44" s="188" t="s">
        <v>129</v>
      </c>
      <c r="Q44" s="189" t="s">
        <v>135</v>
      </c>
      <c r="R44" s="190">
        <v>13779</v>
      </c>
      <c r="S44" s="190">
        <v>358</v>
      </c>
      <c r="T44" s="191">
        <v>2</v>
      </c>
      <c r="U44" s="191">
        <v>0</v>
      </c>
      <c r="V44" s="191">
        <v>10</v>
      </c>
      <c r="W44" s="191"/>
    </row>
    <row customHeight="true" ht="16.666666666666668" r="45">
      <c r="A45" s="178"/>
      <c r="B45" s="179" t="s">
        <v>137</v>
      </c>
      <c r="C45" s="180" t="s">
        <v>138</v>
      </c>
      <c r="D45" s="181">
        <f t="shared" si="8"/>
      </c>
      <c r="E45" s="180">
        <v>795.09</v>
      </c>
      <c r="F45" s="180">
        <v>1790.85</v>
      </c>
      <c r="G45" s="208">
        <v>0</v>
      </c>
      <c r="H45" s="182">
        <v>1</v>
      </c>
      <c r="I45" s="180">
        <v>710.6399999999999</v>
      </c>
      <c r="J45" s="183">
        <f t="shared" si="69"/>
      </c>
      <c r="K45" s="183">
        <f t="shared" si="35"/>
      </c>
      <c r="L45" s="184">
        <f t="shared" si="34"/>
      </c>
      <c r="M45" s="185">
        <f t="shared" si="33"/>
      </c>
      <c r="N45" s="186">
        <f t="shared" si="74"/>
      </c>
      <c r="O45" s="187">
        <f t="shared" si="44"/>
      </c>
      <c r="P45" s="188" t="s">
        <v>129</v>
      </c>
      <c r="Q45" s="189" t="s">
        <v>135</v>
      </c>
      <c r="R45" s="190">
        <v>15912</v>
      </c>
      <c r="S45" s="190">
        <v>482</v>
      </c>
      <c r="T45" s="191">
        <v>1</v>
      </c>
      <c r="U45" s="191">
        <v>1</v>
      </c>
      <c r="V45" s="191">
        <v>15</v>
      </c>
      <c r="W45" s="191"/>
    </row>
    <row r="46">
      <c r="A46" s="178"/>
      <c r="B46" s="192" t="s">
        <v>131</v>
      </c>
      <c r="C46" s="192"/>
      <c r="D46" s="193">
        <f>SUM(D42:D45)</f>
      </c>
      <c r="E46" s="193">
        <f>SUM(E42:E45)</f>
      </c>
      <c r="F46" s="193">
        <f>SUM(F42:F45)</f>
      </c>
      <c r="G46" s="193">
        <f>SUM(G42:G45)</f>
      </c>
      <c r="H46" s="194">
        <f>SUM(H42:H45)</f>
      </c>
      <c r="I46" s="193">
        <f>SUM(I42:I45)</f>
      </c>
      <c r="J46" s="195">
        <f t="shared" si="69"/>
      </c>
      <c r="K46" s="196">
        <f t="shared" si="35"/>
      </c>
      <c r="L46" s="197">
        <f t="shared" si="34"/>
      </c>
      <c r="M46" s="198">
        <f t="shared" si="33"/>
      </c>
      <c r="N46" s="198">
        <f>H46/T46</f>
      </c>
      <c r="O46" s="199">
        <f>(U46*1000)/D46</f>
      </c>
      <c r="P46" s="199"/>
      <c r="Q46" s="199"/>
      <c r="R46" s="194">
        <f>SUM(R42:R45)</f>
      </c>
      <c r="S46" s="194">
        <f>SUM(S42:S45)</f>
      </c>
      <c r="T46" s="194">
        <f>SUM(T42:T45)</f>
      </c>
      <c r="U46" s="194">
        <f>SUM(U42:U45)</f>
      </c>
      <c r="V46" s="194">
        <f>SUM(V42:V45)</f>
      </c>
      <c r="W46" s="200"/>
    </row>
    <row r="47">
      <c r="A47" s="178"/>
      <c r="B47" s="179" t="s">
        <v>127</v>
      </c>
      <c r="C47" s="180" t="s">
        <v>140</v>
      </c>
      <c r="D47" s="181">
        <f>SUM(E47:G47)</f>
      </c>
      <c r="E47" s="180">
        <v>968.97</v>
      </c>
      <c r="F47" s="180">
        <v>1406.2</v>
      </c>
      <c r="G47" s="208">
        <v>0</v>
      </c>
      <c r="H47" s="182">
        <v>0</v>
      </c>
      <c r="I47" s="180">
        <v>0</v>
      </c>
      <c r="J47" s="183">
        <f t="shared" si="69"/>
      </c>
      <c r="K47" s="183">
        <f t="shared" si="35"/>
      </c>
      <c r="L47" s="184">
        <f t="shared" si="34"/>
      </c>
      <c r="M47" s="185">
        <f t="shared" si="33"/>
      </c>
      <c r="N47" s="186">
        <f t="shared" ref="N47:N52" si="75">H47/(T47+H47)</f>
      </c>
      <c r="O47" s="187">
        <f>(V47*1000)/D47</f>
      </c>
      <c r="P47" s="188" t="s">
        <v>129</v>
      </c>
      <c r="Q47" s="189" t="s">
        <v>135</v>
      </c>
      <c r="R47" s="190">
        <v>16430</v>
      </c>
      <c r="S47" s="190">
        <v>483</v>
      </c>
      <c r="T47" s="191">
        <v>3</v>
      </c>
      <c r="U47" s="191">
        <v>2</v>
      </c>
      <c r="V47" s="191">
        <v>21</v>
      </c>
      <c r="W47" s="191"/>
    </row>
    <row r="48">
      <c r="A48" s="178"/>
      <c r="B48" s="192" t="s">
        <v>131</v>
      </c>
      <c r="C48" s="192"/>
      <c r="D48" s="193">
        <f>SUM(D47)</f>
      </c>
      <c r="E48" s="193">
        <f>SUM(E47)</f>
      </c>
      <c r="F48" s="193">
        <f>SUM(F47)</f>
      </c>
      <c r="G48" s="193">
        <f>SUM(G47)</f>
      </c>
      <c r="H48" s="194">
        <f>SUM(H47)</f>
      </c>
      <c r="I48" s="193">
        <f>SUM(I47)</f>
      </c>
      <c r="J48" s="211">
        <f t="shared" si="69"/>
      </c>
      <c r="K48" s="196">
        <f t="shared" si="35"/>
      </c>
      <c r="L48" s="197">
        <f t="shared" si="34"/>
      </c>
      <c r="M48" s="198">
        <f t="shared" si="33"/>
      </c>
      <c r="N48" s="198">
        <f t="shared" si="75"/>
      </c>
      <c r="O48" s="199">
        <f t="shared" ref="O48:O49" si="94">(U48*1000)/D48</f>
      </c>
      <c r="P48" s="199"/>
      <c r="Q48" s="199"/>
      <c r="R48" s="200">
        <f>SUM(R47)</f>
      </c>
      <c r="S48" s="200">
        <f>SUM(S47)</f>
      </c>
      <c r="T48" s="200">
        <f>SUM(T47)</f>
      </c>
      <c r="U48" s="200">
        <f>SUM(U47)</f>
      </c>
      <c r="V48" s="200">
        <f>SUM(V47)</f>
      </c>
      <c r="W48" s="200"/>
    </row>
    <row r="49">
      <c r="A49" s="178"/>
      <c r="B49" s="201" t="s">
        <v>132</v>
      </c>
      <c r="C49" s="201"/>
      <c r="D49" s="202">
        <f>D46+D48</f>
      </c>
      <c r="E49" s="202">
        <f>E46+E48</f>
      </c>
      <c r="F49" s="202">
        <f>F46+F48</f>
      </c>
      <c r="G49" s="202">
        <f>G46+G48</f>
      </c>
      <c r="H49" s="212">
        <f>H46+H48</f>
      </c>
      <c r="I49" s="202">
        <f>I46+I48</f>
      </c>
      <c r="J49" s="204">
        <f t="shared" si="69"/>
      </c>
      <c r="K49" s="204">
        <f t="shared" si="35"/>
      </c>
      <c r="L49" s="205">
        <f t="shared" si="34"/>
      </c>
      <c r="M49" s="206">
        <f t="shared" si="33"/>
      </c>
      <c r="N49" s="206">
        <f t="shared" si="75"/>
      </c>
      <c r="O49" s="204">
        <f t="shared" si="94"/>
      </c>
      <c r="P49" s="207"/>
      <c r="Q49" s="207"/>
      <c r="R49" s="212">
        <f>R46+R48</f>
      </c>
      <c r="S49" s="212">
        <f>S46+S48</f>
      </c>
      <c r="T49" s="212">
        <f>T46+T48</f>
      </c>
      <c r="U49" s="212">
        <f>U46+U48</f>
      </c>
      <c r="V49" s="212">
        <f>V46+V48</f>
      </c>
      <c r="W49" s="212"/>
    </row>
    <row r="50">
      <c r="A50" s="178">
        <v>46253</v>
      </c>
      <c r="B50" s="179" t="s">
        <v>133</v>
      </c>
      <c r="C50" s="181" t="s">
        <v>134</v>
      </c>
      <c r="D50" s="181">
        <f t="shared" ref="D50:D52" si="9">SUM(E50:G50)</f>
      </c>
      <c r="E50" s="180">
        <v>267.15</v>
      </c>
      <c r="F50" s="180">
        <v>621.15</v>
      </c>
      <c r="G50" s="180">
        <v>0</v>
      </c>
      <c r="H50" s="182">
        <v>1</v>
      </c>
      <c r="I50" s="180">
        <v>1568.64</v>
      </c>
      <c r="J50" s="183">
        <f t="shared" si="69"/>
      </c>
      <c r="K50" s="183">
        <f t="shared" si="35"/>
      </c>
      <c r="L50" s="184">
        <f t="shared" si="34"/>
      </c>
      <c r="M50" s="185">
        <f t="shared" si="33"/>
      </c>
      <c r="N50" s="186">
        <f t="shared" si="75"/>
      </c>
      <c r="O50" s="187">
        <f t="shared" ref="O50:O52" si="45">(V50*1000)/D50</f>
      </c>
      <c r="P50" s="188" t="s">
        <v>129</v>
      </c>
      <c r="Q50" s="189" t="s">
        <v>135</v>
      </c>
      <c r="R50" s="190">
        <v>5812</v>
      </c>
      <c r="S50" s="190">
        <v>167</v>
      </c>
      <c r="T50" s="191">
        <v>2</v>
      </c>
      <c r="U50" s="191">
        <v>0</v>
      </c>
      <c r="V50" s="191">
        <v>8</v>
      </c>
      <c r="W50" s="191"/>
    </row>
    <row r="51">
      <c r="A51" s="178"/>
      <c r="B51" s="179" t="s">
        <v>133</v>
      </c>
      <c r="C51" s="181" t="s">
        <v>128</v>
      </c>
      <c r="D51" s="181">
        <f t="shared" si="9"/>
      </c>
      <c r="E51" s="180">
        <v>298.49</v>
      </c>
      <c r="F51" s="180">
        <v>882.23</v>
      </c>
      <c r="G51" s="180">
        <v>0</v>
      </c>
      <c r="H51" s="182">
        <v>8</v>
      </c>
      <c r="I51" s="180">
        <v>6751.339999999999</v>
      </c>
      <c r="J51" s="183">
        <f t="shared" si="69"/>
      </c>
      <c r="K51" s="183">
        <f t="shared" si="35"/>
      </c>
      <c r="L51" s="184">
        <f t="shared" si="34"/>
      </c>
      <c r="M51" s="185">
        <f t="shared" si="33"/>
      </c>
      <c r="N51" s="186">
        <f t="shared" si="75"/>
      </c>
      <c r="O51" s="187">
        <f t="shared" si="45"/>
      </c>
      <c r="P51" s="188" t="s">
        <v>129</v>
      </c>
      <c r="Q51" s="189" t="s">
        <v>135</v>
      </c>
      <c r="R51" s="190">
        <v>6245</v>
      </c>
      <c r="S51" s="190">
        <v>175</v>
      </c>
      <c r="T51" s="191">
        <v>6</v>
      </c>
      <c r="U51" s="191">
        <v>0</v>
      </c>
      <c r="V51" s="191">
        <v>11</v>
      </c>
      <c r="W51" s="191"/>
    </row>
    <row r="52">
      <c r="A52" s="178"/>
      <c r="B52" s="179" t="s">
        <v>133</v>
      </c>
      <c r="C52" s="181" t="s">
        <v>136</v>
      </c>
      <c r="D52" s="181">
        <f t="shared" si="9"/>
      </c>
      <c r="E52" s="180">
        <v>396.43</v>
      </c>
      <c r="F52" s="208">
        <v>1611.13</v>
      </c>
      <c r="G52" s="208">
        <v>0</v>
      </c>
      <c r="H52" s="209">
        <v>5</v>
      </c>
      <c r="I52" s="208">
        <v>3739.880000000001</v>
      </c>
      <c r="J52" s="183">
        <f t="shared" si="69"/>
      </c>
      <c r="K52" s="183">
        <f t="shared" si="35"/>
      </c>
      <c r="L52" s="184">
        <f t="shared" si="34"/>
      </c>
      <c r="M52" s="185">
        <f t="shared" si="33"/>
      </c>
      <c r="N52" s="186">
        <f t="shared" si="75"/>
      </c>
      <c r="O52" s="187">
        <f t="shared" si="45"/>
      </c>
      <c r="P52" s="188" t="s">
        <v>129</v>
      </c>
      <c r="Q52" s="189" t="s">
        <v>135</v>
      </c>
      <c r="R52" s="190">
        <v>11333</v>
      </c>
      <c r="S52" s="190">
        <v>283</v>
      </c>
      <c r="T52" s="191">
        <v>2</v>
      </c>
      <c r="U52" s="191">
        <v>0</v>
      </c>
      <c r="V52" s="191">
        <v>8</v>
      </c>
      <c r="W52" s="191"/>
    </row>
    <row r="53">
      <c r="A53" s="178"/>
      <c r="B53" s="192" t="s">
        <v>131</v>
      </c>
      <c r="C53" s="192"/>
      <c r="D53" s="193">
        <f>SUM(D50:D52)</f>
      </c>
      <c r="E53" s="193">
        <f>SUM(E50:E52)</f>
      </c>
      <c r="F53" s="193">
        <f>SUM(F50:F52)</f>
      </c>
      <c r="G53" s="193">
        <f>SUM(G50:G52)</f>
      </c>
      <c r="H53" s="194">
        <f>SUM(H50:H52)</f>
      </c>
      <c r="I53" s="193">
        <f>SUM(I50:I52)</f>
      </c>
      <c r="J53" s="195">
        <f t="shared" si="69"/>
      </c>
      <c r="K53" s="196">
        <f t="shared" si="35"/>
      </c>
      <c r="L53" s="197">
        <f t="shared" si="34"/>
      </c>
      <c r="M53" s="198">
        <f t="shared" si="33"/>
      </c>
      <c r="N53" s="198">
        <f>H53/T53</f>
      </c>
      <c r="O53" s="199">
        <f>(U53*1000)/D53</f>
      </c>
      <c r="P53" s="199"/>
      <c r="Q53" s="199"/>
      <c r="R53" s="194">
        <f>SUM(R50:R52)</f>
      </c>
      <c r="S53" s="194">
        <f>SUM(S50:S52)</f>
      </c>
      <c r="T53" s="194">
        <f>SUM(T50:T52)</f>
      </c>
      <c r="U53" s="194">
        <f>SUM(U50:U52)</f>
      </c>
      <c r="V53" s="194">
        <f>SUM(V50:V52)</f>
      </c>
      <c r="W53" s="200"/>
    </row>
    <row r="54">
      <c r="A54" s="178"/>
      <c r="B54" s="210" t="s">
        <v>137</v>
      </c>
      <c r="C54" s="180" t="s">
        <v>138</v>
      </c>
      <c r="D54" s="181">
        <f t="shared" ref="D54:D56" si="10">SUM(E54:G54)</f>
      </c>
      <c r="E54" s="180">
        <v>453.55</v>
      </c>
      <c r="F54" s="180">
        <v>3082.26</v>
      </c>
      <c r="G54" s="208">
        <v>0</v>
      </c>
      <c r="H54" s="182">
        <v>5</v>
      </c>
      <c r="I54" s="180">
        <v>2989.199999999999</v>
      </c>
      <c r="J54" s="183">
        <f t="shared" si="69"/>
      </c>
      <c r="K54" s="183">
        <f t="shared" si="35"/>
      </c>
      <c r="L54" s="184">
        <f t="shared" si="34"/>
      </c>
      <c r="M54" s="185">
        <f t="shared" si="33"/>
      </c>
      <c r="N54" s="186">
        <f t="shared" ref="N54:N61" si="76">H54/(T54+H54)</f>
      </c>
      <c r="O54" s="187">
        <f t="shared" ref="O54:O56" si="46">(V54*1000)/D54</f>
      </c>
      <c r="P54" s="188" t="s">
        <v>129</v>
      </c>
      <c r="Q54" s="189" t="s">
        <v>135</v>
      </c>
      <c r="R54" s="190">
        <v>22745</v>
      </c>
      <c r="S54" s="190">
        <v>456</v>
      </c>
      <c r="T54" s="191">
        <v>5</v>
      </c>
      <c r="U54" s="191">
        <v>1</v>
      </c>
      <c r="V54" s="191">
        <v>19</v>
      </c>
      <c r="W54" s="191"/>
    </row>
    <row customHeight="true" ht="16.666666666666668" r="55">
      <c r="A55" s="178"/>
      <c r="B55" s="210" t="s">
        <v>137</v>
      </c>
      <c r="C55" s="180" t="s">
        <v>140</v>
      </c>
      <c r="D55" s="181">
        <f t="shared" si="10"/>
      </c>
      <c r="E55" s="180">
        <v>402.09</v>
      </c>
      <c r="F55" s="180">
        <v>3853.23</v>
      </c>
      <c r="G55" s="208">
        <v>0</v>
      </c>
      <c r="H55" s="182">
        <v>7</v>
      </c>
      <c r="I55" s="180">
        <v>2599.680000000002</v>
      </c>
      <c r="J55" s="183">
        <f t="shared" si="69"/>
      </c>
      <c r="K55" s="183">
        <f t="shared" si="35"/>
      </c>
      <c r="L55" s="184">
        <f t="shared" si="34"/>
      </c>
      <c r="M55" s="185">
        <f t="shared" si="33"/>
      </c>
      <c r="N55" s="186">
        <f t="shared" si="76"/>
      </c>
      <c r="O55" s="187">
        <f t="shared" si="46"/>
      </c>
      <c r="P55" s="188" t="s">
        <v>129</v>
      </c>
      <c r="Q55" s="189" t="s">
        <v>135</v>
      </c>
      <c r="R55" s="190">
        <v>51053</v>
      </c>
      <c r="S55" s="190">
        <v>826</v>
      </c>
      <c r="T55" s="191">
        <v>9</v>
      </c>
      <c r="U55" s="191">
        <v>0</v>
      </c>
      <c r="V55" s="191">
        <v>10</v>
      </c>
      <c r="W55" s="191"/>
    </row>
    <row customHeight="true" ht="16.666666666666668" r="56">
      <c r="A56" s="178"/>
      <c r="B56" s="210" t="s">
        <v>137</v>
      </c>
      <c r="C56" s="180" t="s">
        <v>141</v>
      </c>
      <c r="D56" s="181">
        <f t="shared" si="10"/>
      </c>
      <c r="E56" s="180">
        <v>450.63</v>
      </c>
      <c r="F56" s="180">
        <v>12</v>
      </c>
      <c r="G56" s="208">
        <v>0</v>
      </c>
      <c r="H56" s="182">
        <v>1</v>
      </c>
      <c r="I56" s="180">
        <v>236.63999999999942</v>
      </c>
      <c r="J56" s="183">
        <f t="shared" si="69"/>
      </c>
      <c r="K56" s="183">
        <f t="shared" si="35"/>
      </c>
      <c r="L56" s="184">
        <f t="shared" si="34"/>
      </c>
      <c r="M56" s="185">
        <f t="shared" si="33"/>
      </c>
      <c r="N56" s="186">
        <f t="shared" si="76"/>
      </c>
      <c r="O56" s="187">
        <f t="shared" si="46"/>
      </c>
      <c r="P56" s="188" t="s">
        <v>129</v>
      </c>
      <c r="Q56" s="189" t="s">
        <v>135</v>
      </c>
      <c r="R56" s="190">
        <v>3107</v>
      </c>
      <c r="S56" s="190">
        <v>145</v>
      </c>
      <c r="T56" s="191">
        <v>1</v>
      </c>
      <c r="U56" s="191">
        <v>0</v>
      </c>
      <c r="V56" s="191">
        <v>5</v>
      </c>
      <c r="W56" s="191"/>
    </row>
    <row r="57">
      <c r="A57" s="178"/>
      <c r="B57" s="192" t="s">
        <v>131</v>
      </c>
      <c r="C57" s="192"/>
      <c r="D57" s="193">
        <f>SUM(D54:D56)</f>
      </c>
      <c r="E57" s="193">
        <f>SUM(E54:E56)</f>
      </c>
      <c r="F57" s="193">
        <f>SUM(F54:F56)</f>
      </c>
      <c r="G57" s="193">
        <f>SUM(G54)</f>
      </c>
      <c r="H57" s="194">
        <f>SUM(H54:H56)</f>
      </c>
      <c r="I57" s="213">
        <f>SUM(I54:I56)</f>
      </c>
      <c r="J57" s="211">
        <f t="shared" si="69"/>
      </c>
      <c r="K57" s="196">
        <f t="shared" si="35"/>
      </c>
      <c r="L57" s="197">
        <f t="shared" si="34"/>
      </c>
      <c r="M57" s="198">
        <f t="shared" si="33"/>
      </c>
      <c r="N57" s="198">
        <f t="shared" si="76"/>
      </c>
      <c r="O57" s="199">
        <f t="shared" ref="O57:O58" si="95">(U57*1000)/D57</f>
      </c>
      <c r="P57" s="199"/>
      <c r="Q57" s="199"/>
      <c r="R57" s="194">
        <f>SUM(R54:R56)</f>
      </c>
      <c r="S57" s="194">
        <f>SUM(S54:S56)</f>
      </c>
      <c r="T57" s="194">
        <f>SUM(T54:T56)</f>
      </c>
      <c r="U57" s="194">
        <f>SUM(U54:U56)</f>
      </c>
      <c r="V57" s="194">
        <f>SUM(V54:V56)</f>
      </c>
      <c r="W57" s="200"/>
    </row>
    <row r="58">
      <c r="A58" s="178"/>
      <c r="B58" s="201" t="s">
        <v>132</v>
      </c>
      <c r="C58" s="201"/>
      <c r="D58" s="202">
        <f>D53+D57</f>
      </c>
      <c r="E58" s="202">
        <f>E53+E57</f>
      </c>
      <c r="F58" s="202">
        <f>F53+F57</f>
      </c>
      <c r="G58" s="202">
        <f>G53+G57</f>
      </c>
      <c r="H58" s="212">
        <f>H53+H57</f>
      </c>
      <c r="I58" s="202">
        <f>I53+I57</f>
      </c>
      <c r="J58" s="204">
        <f t="shared" si="69"/>
      </c>
      <c r="K58" s="204">
        <f t="shared" si="35"/>
      </c>
      <c r="L58" s="205">
        <f t="shared" si="34"/>
      </c>
      <c r="M58" s="206">
        <f t="shared" si="33"/>
      </c>
      <c r="N58" s="206">
        <f t="shared" si="76"/>
      </c>
      <c r="O58" s="204">
        <f t="shared" si="95"/>
      </c>
      <c r="P58" s="207"/>
      <c r="Q58" s="207"/>
      <c r="R58" s="212">
        <f>R53+R57</f>
      </c>
      <c r="S58" s="212">
        <f>S53+S57</f>
      </c>
      <c r="T58" s="212">
        <f>T53+T57</f>
      </c>
      <c r="U58" s="212">
        <f>U53+U57</f>
      </c>
      <c r="V58" s="212">
        <f>V53+V57</f>
      </c>
      <c r="W58" s="212"/>
    </row>
    <row r="59">
      <c r="A59" s="178">
        <v>46254</v>
      </c>
      <c r="B59" s="179" t="s">
        <v>133</v>
      </c>
      <c r="C59" s="181" t="s">
        <v>134</v>
      </c>
      <c r="D59" s="181">
        <f t="shared" ref="D59:D61" si="11">SUM(E59:G59)</f>
      </c>
      <c r="E59" s="180">
        <v>342.36</v>
      </c>
      <c r="F59" s="180">
        <v>2290.55</v>
      </c>
      <c r="G59" s="180">
        <v>0</v>
      </c>
      <c r="H59" s="182">
        <v>3</v>
      </c>
      <c r="I59" s="180">
        <v>2451.08</v>
      </c>
      <c r="J59" s="183">
        <f t="shared" si="69"/>
      </c>
      <c r="K59" s="183">
        <f t="shared" si="35"/>
      </c>
      <c r="L59" s="184">
        <f t="shared" si="34"/>
      </c>
      <c r="M59" s="185">
        <f t="shared" si="33"/>
      </c>
      <c r="N59" s="186">
        <f t="shared" si="76"/>
      </c>
      <c r="O59" s="187">
        <f t="shared" ref="O59:O61" si="47">(V59*1000)/D59</f>
      </c>
      <c r="P59" s="188" t="s">
        <v>129</v>
      </c>
      <c r="Q59" s="189" t="s">
        <v>135</v>
      </c>
      <c r="R59" s="190">
        <v>18479</v>
      </c>
      <c r="S59" s="190">
        <v>373</v>
      </c>
      <c r="T59" s="191">
        <v>4</v>
      </c>
      <c r="U59" s="191">
        <v>0</v>
      </c>
      <c r="V59" s="191">
        <v>17</v>
      </c>
      <c r="W59" s="191"/>
    </row>
    <row r="60">
      <c r="A60" s="178"/>
      <c r="B60" s="179" t="s">
        <v>133</v>
      </c>
      <c r="C60" s="181" t="s">
        <v>128</v>
      </c>
      <c r="D60" s="181">
        <f t="shared" si="11"/>
      </c>
      <c r="E60" s="180">
        <v>664.43</v>
      </c>
      <c r="F60" s="180">
        <v>2136.96</v>
      </c>
      <c r="G60" s="180">
        <v>0</v>
      </c>
      <c r="H60" s="182">
        <v>10</v>
      </c>
      <c r="I60" s="180">
        <v>6246.74</v>
      </c>
      <c r="J60" s="183">
        <f t="shared" si="69"/>
      </c>
      <c r="K60" s="183">
        <f t="shared" si="35"/>
      </c>
      <c r="L60" s="184">
        <f t="shared" si="34"/>
      </c>
      <c r="M60" s="185">
        <f t="shared" si="33"/>
      </c>
      <c r="N60" s="186">
        <f t="shared" si="76"/>
      </c>
      <c r="O60" s="187">
        <f t="shared" si="47"/>
      </c>
      <c r="P60" s="188" t="s">
        <v>129</v>
      </c>
      <c r="Q60" s="189" t="s">
        <v>135</v>
      </c>
      <c r="R60" s="190">
        <v>26165</v>
      </c>
      <c r="S60" s="190">
        <v>586</v>
      </c>
      <c r="T60" s="191">
        <v>8</v>
      </c>
      <c r="U60" s="191">
        <v>1</v>
      </c>
      <c r="V60" s="191">
        <v>20</v>
      </c>
      <c r="W60" s="191"/>
    </row>
    <row r="61">
      <c r="A61" s="178"/>
      <c r="B61" s="179" t="s">
        <v>133</v>
      </c>
      <c r="C61" s="181" t="s">
        <v>136</v>
      </c>
      <c r="D61" s="181">
        <f t="shared" si="11"/>
      </c>
      <c r="E61" s="180">
        <v>1391.53</v>
      </c>
      <c r="F61" s="208">
        <v>1774.34</v>
      </c>
      <c r="G61" s="208">
        <v>0</v>
      </c>
      <c r="H61" s="209">
        <v>2</v>
      </c>
      <c r="I61" s="208">
        <v>1805.2800000000007</v>
      </c>
      <c r="J61" s="183">
        <f t="shared" si="69"/>
      </c>
      <c r="K61" s="183">
        <f t="shared" si="35"/>
      </c>
      <c r="L61" s="184">
        <f t="shared" si="34"/>
      </c>
      <c r="M61" s="185">
        <f t="shared" si="33"/>
      </c>
      <c r="N61" s="186">
        <f t="shared" si="76"/>
      </c>
      <c r="O61" s="187">
        <f t="shared" si="47"/>
      </c>
      <c r="P61" s="188" t="s">
        <v>129</v>
      </c>
      <c r="Q61" s="189" t="s">
        <v>135</v>
      </c>
      <c r="R61" s="190">
        <v>23865</v>
      </c>
      <c r="S61" s="190">
        <v>786</v>
      </c>
      <c r="T61" s="191">
        <v>3</v>
      </c>
      <c r="U61" s="191">
        <v>1</v>
      </c>
      <c r="V61" s="191">
        <v>17</v>
      </c>
      <c r="W61" s="191"/>
    </row>
    <row r="62">
      <c r="A62" s="178"/>
      <c r="B62" s="192" t="s">
        <v>131</v>
      </c>
      <c r="C62" s="192"/>
      <c r="D62" s="193">
        <f>SUM(D59:D61)</f>
      </c>
      <c r="E62" s="193">
        <f>SUM(E59:E61)</f>
      </c>
      <c r="F62" s="193">
        <f>SUM(F59:F61)</f>
      </c>
      <c r="G62" s="193">
        <f>SUM(G59:G61)</f>
      </c>
      <c r="H62" s="194">
        <f>SUM(H59:H61)</f>
      </c>
      <c r="I62" s="193">
        <f>SUM(I59:I61)</f>
      </c>
      <c r="J62" s="195">
        <f t="shared" si="69"/>
      </c>
      <c r="K62" s="196">
        <f t="shared" si="35"/>
      </c>
      <c r="L62" s="197">
        <f t="shared" si="34"/>
      </c>
      <c r="M62" s="198">
        <f t="shared" si="33"/>
      </c>
      <c r="N62" s="198">
        <f>H62/T62</f>
      </c>
      <c r="O62" s="199">
        <f>(U62*1000)/D62</f>
      </c>
      <c r="P62" s="199"/>
      <c r="Q62" s="199"/>
      <c r="R62" s="194">
        <f>SUM(R59:R61)</f>
      </c>
      <c r="S62" s="194">
        <f>SUM(S59:S61)</f>
      </c>
      <c r="T62" s="194">
        <f>SUM(T59:T61)</f>
      </c>
      <c r="U62" s="194">
        <f>SUM(U59:U61)</f>
      </c>
      <c r="V62" s="194">
        <f>SUM(V59:V61)</f>
      </c>
      <c r="W62" s="200"/>
    </row>
    <row r="63">
      <c r="A63" s="178"/>
      <c r="B63" s="210" t="s">
        <v>137</v>
      </c>
      <c r="C63" s="180" t="s">
        <v>138</v>
      </c>
      <c r="D63" s="181">
        <f t="shared" ref="D63:D65" si="12">SUM(E63:G63)</f>
      </c>
      <c r="E63" s="180">
        <v>660.55</v>
      </c>
      <c r="F63" s="180">
        <v>2581.28</v>
      </c>
      <c r="G63" s="208">
        <v>0</v>
      </c>
      <c r="H63" s="182">
        <v>8</v>
      </c>
      <c r="I63" s="180">
        <v>7695.120000000001</v>
      </c>
      <c r="J63" s="183">
        <f t="shared" si="69"/>
      </c>
      <c r="K63" s="183">
        <f t="shared" si="35"/>
      </c>
      <c r="L63" s="184">
        <f t="shared" si="34"/>
      </c>
      <c r="M63" s="185">
        <f t="shared" si="33"/>
      </c>
      <c r="N63" s="186">
        <f t="shared" ref="N63:N70" si="77">H63/(T63+H63)</f>
      </c>
      <c r="O63" s="187">
        <f t="shared" ref="O63:O65" si="48">(V63*1000)/D63</f>
      </c>
      <c r="P63" s="188" t="s">
        <v>129</v>
      </c>
      <c r="Q63" s="189" t="s">
        <v>135</v>
      </c>
      <c r="R63" s="190">
        <v>16267</v>
      </c>
      <c r="S63" s="190">
        <v>510</v>
      </c>
      <c r="T63" s="191">
        <v>5</v>
      </c>
      <c r="U63" s="191">
        <v>0</v>
      </c>
      <c r="V63" s="191">
        <v>15</v>
      </c>
      <c r="W63" s="191"/>
    </row>
    <row r="64">
      <c r="A64" s="178"/>
      <c r="B64" s="210" t="s">
        <v>137</v>
      </c>
      <c r="C64" s="180" t="s">
        <v>140</v>
      </c>
      <c r="D64" s="181">
        <f t="shared" si="12"/>
      </c>
      <c r="E64" s="180">
        <v>680.05</v>
      </c>
      <c r="F64" s="180">
        <v>2764.06</v>
      </c>
      <c r="G64" s="208">
        <v>0</v>
      </c>
      <c r="H64" s="182">
        <v>2</v>
      </c>
      <c r="I64" s="180">
        <v>1611.239999999998</v>
      </c>
      <c r="J64" s="183">
        <f t="shared" si="69"/>
      </c>
      <c r="K64" s="183">
        <f t="shared" si="35"/>
      </c>
      <c r="L64" s="184">
        <f t="shared" si="34"/>
      </c>
      <c r="M64" s="185">
        <f t="shared" si="33"/>
      </c>
      <c r="N64" s="186">
        <f t="shared" si="77"/>
      </c>
      <c r="O64" s="187">
        <f t="shared" si="48"/>
      </c>
      <c r="P64" s="188" t="s">
        <v>129</v>
      </c>
      <c r="Q64" s="189" t="s">
        <v>135</v>
      </c>
      <c r="R64" s="190">
        <v>16322</v>
      </c>
      <c r="S64" s="190">
        <v>466</v>
      </c>
      <c r="T64" s="191">
        <v>5</v>
      </c>
      <c r="U64" s="191">
        <v>0</v>
      </c>
      <c r="V64" s="191">
        <v>19</v>
      </c>
      <c r="W64" s="191"/>
    </row>
    <row r="65">
      <c r="A65" s="178"/>
      <c r="B65" s="210" t="s">
        <v>137</v>
      </c>
      <c r="C65" s="180" t="s">
        <v>141</v>
      </c>
      <c r="D65" s="181">
        <f t="shared" si="12"/>
      </c>
      <c r="E65" s="180">
        <v>577.57</v>
      </c>
      <c r="F65" s="180">
        <v>2096.9</v>
      </c>
      <c r="G65" s="208">
        <v>0</v>
      </c>
      <c r="H65" s="182">
        <v>6</v>
      </c>
      <c r="I65" s="180">
        <v>3056.760000000002</v>
      </c>
      <c r="J65" s="183">
        <f t="shared" si="69"/>
      </c>
      <c r="K65" s="183">
        <f t="shared" si="35"/>
      </c>
      <c r="L65" s="184">
        <f t="shared" si="34"/>
      </c>
      <c r="M65" s="185">
        <f t="shared" si="33"/>
      </c>
      <c r="N65" s="186">
        <f t="shared" si="77"/>
      </c>
      <c r="O65" s="187">
        <f t="shared" si="48"/>
      </c>
      <c r="P65" s="188" t="s">
        <v>129</v>
      </c>
      <c r="Q65" s="189" t="s">
        <v>135</v>
      </c>
      <c r="R65" s="190">
        <v>15015</v>
      </c>
      <c r="S65" s="190">
        <v>443</v>
      </c>
      <c r="T65" s="191">
        <v>3</v>
      </c>
      <c r="U65" s="191">
        <v>0</v>
      </c>
      <c r="V65" s="191">
        <v>5</v>
      </c>
      <c r="W65" s="191"/>
    </row>
    <row r="66">
      <c r="A66" s="178"/>
      <c r="B66" s="192" t="s">
        <v>131</v>
      </c>
      <c r="C66" s="192"/>
      <c r="D66" s="193">
        <f>SUM(D63:D65)</f>
      </c>
      <c r="E66" s="193">
        <f>SUM(E63:E65)</f>
      </c>
      <c r="F66" s="193">
        <f>SUM(F63:F65)</f>
      </c>
      <c r="G66" s="193">
        <f>SUM(G63)</f>
      </c>
      <c r="H66" s="194">
        <f>SUM(H63:H65)</f>
      </c>
      <c r="I66" s="213">
        <f>SUM(I63:I65)</f>
      </c>
      <c r="J66" s="211">
        <f t="shared" si="69"/>
      </c>
      <c r="K66" s="196">
        <f t="shared" si="35"/>
      </c>
      <c r="L66" s="197">
        <f t="shared" si="34"/>
      </c>
      <c r="M66" s="198">
        <f t="shared" si="33"/>
      </c>
      <c r="N66" s="198">
        <f t="shared" si="77"/>
      </c>
      <c r="O66" s="199">
        <f t="shared" ref="O66:O67" si="96">(U66*1000)/D66</f>
      </c>
      <c r="P66" s="199"/>
      <c r="Q66" s="199"/>
      <c r="R66" s="194">
        <f>SUM(R63:R65)</f>
      </c>
      <c r="S66" s="194">
        <f>SUM(S63:S65)</f>
      </c>
      <c r="T66" s="194">
        <f>SUM(T63:T65)</f>
      </c>
      <c r="U66" s="194">
        <f>SUM(U63:U65)</f>
      </c>
      <c r="V66" s="194">
        <f>SUM(V63:V65)</f>
      </c>
      <c r="W66" s="200"/>
    </row>
    <row r="67">
      <c r="A67" s="178"/>
      <c r="B67" s="201" t="s">
        <v>132</v>
      </c>
      <c r="C67" s="201"/>
      <c r="D67" s="202">
        <f>D62+D66</f>
      </c>
      <c r="E67" s="202">
        <f>E62+E66</f>
      </c>
      <c r="F67" s="202">
        <f>F62+F66</f>
      </c>
      <c r="G67" s="202">
        <f>G62+G66</f>
      </c>
      <c r="H67" s="212">
        <f>H62+H66</f>
      </c>
      <c r="I67" s="202">
        <f>I62+I66</f>
      </c>
      <c r="J67" s="204">
        <f t="shared" si="69"/>
      </c>
      <c r="K67" s="204">
        <f t="shared" si="35"/>
      </c>
      <c r="L67" s="205">
        <f t="shared" si="34"/>
      </c>
      <c r="M67" s="206">
        <f t="shared" si="33"/>
      </c>
      <c r="N67" s="206">
        <f t="shared" si="77"/>
      </c>
      <c r="O67" s="204">
        <f t="shared" si="96"/>
      </c>
      <c r="P67" s="207"/>
      <c r="Q67" s="207"/>
      <c r="R67" s="212">
        <f>R62+R66</f>
      </c>
      <c r="S67" s="212">
        <f>S62+S66</f>
      </c>
      <c r="T67" s="212">
        <f>T62+T66</f>
      </c>
      <c r="U67" s="212">
        <f>U62+U66</f>
      </c>
      <c r="V67" s="212">
        <f>V62+V66</f>
      </c>
      <c r="W67" s="212"/>
    </row>
    <row r="68">
      <c r="A68" s="178">
        <v>46255</v>
      </c>
      <c r="B68" s="179" t="s">
        <v>133</v>
      </c>
      <c r="C68" s="181" t="s">
        <v>134</v>
      </c>
      <c r="D68" s="181">
        <f t="shared" ref="D68:D70" si="13">SUM(E68:G68)</f>
      </c>
      <c r="E68" s="180">
        <v>921.53</v>
      </c>
      <c r="F68" s="180">
        <v>3239.98</v>
      </c>
      <c r="G68" s="180">
        <v>0</v>
      </c>
      <c r="H68" s="182">
        <v>10</v>
      </c>
      <c r="I68" s="180">
        <v>3746.52</v>
      </c>
      <c r="J68" s="183">
        <f t="shared" si="69"/>
      </c>
      <c r="K68" s="183">
        <f t="shared" si="35"/>
      </c>
      <c r="L68" s="184">
        <f t="shared" si="34"/>
      </c>
      <c r="M68" s="185">
        <f t="shared" si="33"/>
      </c>
      <c r="N68" s="186">
        <f t="shared" si="77"/>
      </c>
      <c r="O68" s="187">
        <f t="shared" ref="O68:O70" si="49">(V68*1000)/D68</f>
      </c>
      <c r="P68" s="188" t="s">
        <v>129</v>
      </c>
      <c r="Q68" s="189" t="s">
        <v>135</v>
      </c>
      <c r="R68" s="190">
        <v>28185</v>
      </c>
      <c r="S68" s="190">
        <v>778</v>
      </c>
      <c r="T68" s="191">
        <v>19</v>
      </c>
      <c r="U68" s="191">
        <v>2</v>
      </c>
      <c r="V68" s="191">
        <v>33</v>
      </c>
      <c r="W68" s="191"/>
    </row>
    <row r="69">
      <c r="A69" s="178"/>
      <c r="B69" s="179" t="s">
        <v>133</v>
      </c>
      <c r="C69" s="181" t="s">
        <v>128</v>
      </c>
      <c r="D69" s="181">
        <f t="shared" si="13"/>
      </c>
      <c r="E69" s="180">
        <v>124.42</v>
      </c>
      <c r="F69" s="180">
        <v>2668.52</v>
      </c>
      <c r="G69" s="180">
        <v>0</v>
      </c>
      <c r="H69" s="182">
        <v>8</v>
      </c>
      <c r="I69" s="180">
        <v>3766.68</v>
      </c>
      <c r="J69" s="183">
        <f t="shared" si="69"/>
      </c>
      <c r="K69" s="183">
        <f t="shared" si="35"/>
      </c>
      <c r="L69" s="184">
        <f t="shared" si="34"/>
      </c>
      <c r="M69" s="185">
        <f t="shared" si="33"/>
      </c>
      <c r="N69" s="186">
        <f t="shared" si="77"/>
      </c>
      <c r="O69" s="187">
        <f t="shared" si="49"/>
      </c>
      <c r="P69" s="188" t="s">
        <v>129</v>
      </c>
      <c r="Q69" s="189" t="s">
        <v>135</v>
      </c>
      <c r="R69" s="190">
        <v>26315</v>
      </c>
      <c r="S69" s="190">
        <v>473</v>
      </c>
      <c r="T69" s="191">
        <v>7</v>
      </c>
      <c r="U69" s="191">
        <v>0</v>
      </c>
      <c r="V69" s="191">
        <v>16</v>
      </c>
      <c r="W69" s="191"/>
    </row>
    <row r="70">
      <c r="A70" s="178"/>
      <c r="B70" s="179" t="s">
        <v>133</v>
      </c>
      <c r="C70" s="181" t="s">
        <v>136</v>
      </c>
      <c r="D70" s="181">
        <f t="shared" si="13"/>
      </c>
      <c r="E70" s="180">
        <v>609.05</v>
      </c>
      <c r="F70" s="208">
        <v>1902.33</v>
      </c>
      <c r="G70" s="208">
        <v>0</v>
      </c>
      <c r="H70" s="209">
        <v>4</v>
      </c>
      <c r="I70" s="208">
        <v>3226.5600000000004</v>
      </c>
      <c r="J70" s="183">
        <f t="shared" si="69"/>
      </c>
      <c r="K70" s="183">
        <f t="shared" si="35"/>
      </c>
      <c r="L70" s="184">
        <f t="shared" si="34"/>
      </c>
      <c r="M70" s="185">
        <f t="shared" si="33"/>
      </c>
      <c r="N70" s="186">
        <f t="shared" si="77"/>
      </c>
      <c r="O70" s="187">
        <f t="shared" si="49"/>
      </c>
      <c r="P70" s="188" t="s">
        <v>129</v>
      </c>
      <c r="Q70" s="189" t="s">
        <v>135</v>
      </c>
      <c r="R70" s="190">
        <v>14218</v>
      </c>
      <c r="S70" s="190">
        <v>401</v>
      </c>
      <c r="T70" s="191">
        <v>3</v>
      </c>
      <c r="U70" s="191">
        <v>0</v>
      </c>
      <c r="V70" s="191">
        <v>21</v>
      </c>
      <c r="W70" s="191"/>
    </row>
    <row r="71">
      <c r="A71" s="178"/>
      <c r="B71" s="192" t="s">
        <v>131</v>
      </c>
      <c r="C71" s="192"/>
      <c r="D71" s="193">
        <f>SUM(D68:D70)</f>
      </c>
      <c r="E71" s="193">
        <f>SUM(E68:E70)</f>
      </c>
      <c r="F71" s="193">
        <f>SUM(F68:F70)</f>
      </c>
      <c r="G71" s="193">
        <f>SUM(G68:G70)</f>
      </c>
      <c r="H71" s="194">
        <f>SUM(H68:H70)</f>
      </c>
      <c r="I71" s="193">
        <f>SUM(I68:I70)</f>
      </c>
      <c r="J71" s="195">
        <f t="shared" si="69"/>
      </c>
      <c r="K71" s="196">
        <f t="shared" si="35"/>
      </c>
      <c r="L71" s="197">
        <f t="shared" si="34"/>
      </c>
      <c r="M71" s="198">
        <f t="shared" si="33"/>
      </c>
      <c r="N71" s="198">
        <f>H71/T71</f>
      </c>
      <c r="O71" s="199">
        <f>(U71*1000)/D71</f>
      </c>
      <c r="P71" s="199"/>
      <c r="Q71" s="199"/>
      <c r="R71" s="194">
        <f>SUM(R68:R70)</f>
      </c>
      <c r="S71" s="194">
        <f>SUM(S68:S70)</f>
      </c>
      <c r="T71" s="194">
        <f>SUM(T68:T70)</f>
      </c>
      <c r="U71" s="194">
        <f>SUM(U68:U70)</f>
      </c>
      <c r="V71" s="194">
        <f>SUM(V68:V70)</f>
      </c>
      <c r="W71" s="200"/>
    </row>
    <row r="72">
      <c r="A72" s="178"/>
      <c r="B72" s="210" t="s">
        <v>127</v>
      </c>
      <c r="C72" s="180" t="s">
        <v>138</v>
      </c>
      <c r="D72" s="181">
        <f t="shared" ref="D72:D74" si="14">SUM(E72:G72)</f>
      </c>
      <c r="E72" s="180">
        <v>293.99</v>
      </c>
      <c r="F72" s="180">
        <v>2189.17</v>
      </c>
      <c r="G72" s="208">
        <v>0</v>
      </c>
      <c r="H72" s="182">
        <v>2</v>
      </c>
      <c r="I72" s="180">
        <v>1805.2800000000007</v>
      </c>
      <c r="J72" s="183">
        <f t="shared" si="69"/>
      </c>
      <c r="K72" s="183">
        <f t="shared" si="35"/>
      </c>
      <c r="L72" s="184">
        <f t="shared" si="34"/>
      </c>
      <c r="M72" s="185">
        <f t="shared" si="33"/>
      </c>
      <c r="N72" s="186">
        <f t="shared" ref="N72:N79" si="78">H72/(T72+H72)</f>
      </c>
      <c r="O72" s="187">
        <f t="shared" ref="O72:O74" si="50">(V72*1000)/D72</f>
      </c>
      <c r="P72" s="188" t="s">
        <v>129</v>
      </c>
      <c r="Q72" s="189" t="s">
        <v>135</v>
      </c>
      <c r="R72" s="190">
        <v>18219</v>
      </c>
      <c r="S72" s="190">
        <v>407</v>
      </c>
      <c r="T72" s="191">
        <v>1</v>
      </c>
      <c r="U72" s="191">
        <v>0</v>
      </c>
      <c r="V72" s="191">
        <v>22</v>
      </c>
      <c r="W72" s="191"/>
    </row>
    <row r="73">
      <c r="A73" s="178"/>
      <c r="B73" s="210" t="s">
        <v>127</v>
      </c>
      <c r="C73" s="180" t="s">
        <v>140</v>
      </c>
      <c r="D73" s="181">
        <f t="shared" si="14"/>
      </c>
      <c r="E73" s="180">
        <v>738.57</v>
      </c>
      <c r="F73" s="180">
        <v>840.05</v>
      </c>
      <c r="G73" s="208">
        <v>0</v>
      </c>
      <c r="H73" s="182">
        <v>2</v>
      </c>
      <c r="I73" s="180">
        <v>2498.8999999999996</v>
      </c>
      <c r="J73" s="183">
        <f t="shared" si="69"/>
      </c>
      <c r="K73" s="183">
        <f t="shared" si="35"/>
      </c>
      <c r="L73" s="184">
        <f t="shared" si="34"/>
      </c>
      <c r="M73" s="185">
        <f t="shared" si="33"/>
      </c>
      <c r="N73" s="186">
        <f t="shared" si="78"/>
      </c>
      <c r="O73" s="187">
        <f t="shared" si="50"/>
      </c>
      <c r="P73" s="188" t="s">
        <v>129</v>
      </c>
      <c r="Q73" s="189" t="s">
        <v>135</v>
      </c>
      <c r="R73" s="190">
        <v>9818</v>
      </c>
      <c r="S73" s="190">
        <v>360</v>
      </c>
      <c r="T73" s="191">
        <v>4</v>
      </c>
      <c r="U73" s="191">
        <v>1</v>
      </c>
      <c r="V73" s="191">
        <v>13</v>
      </c>
      <c r="W73" s="191"/>
    </row>
    <row r="74">
      <c r="A74" s="178"/>
      <c r="B74" s="210" t="s">
        <v>127</v>
      </c>
      <c r="C74" s="180" t="s">
        <v>141</v>
      </c>
      <c r="D74" s="181">
        <f t="shared" si="14"/>
      </c>
      <c r="E74" s="180">
        <v>378.43</v>
      </c>
      <c r="F74" s="180">
        <v>18.88</v>
      </c>
      <c r="G74" s="208">
        <v>0</v>
      </c>
      <c r="H74" s="182">
        <v>1</v>
      </c>
      <c r="I74" s="180">
        <v>215.6999999999989</v>
      </c>
      <c r="J74" s="183">
        <f t="shared" si="69"/>
      </c>
      <c r="K74" s="183">
        <f t="shared" si="35"/>
      </c>
      <c r="L74" s="184">
        <f t="shared" si="34"/>
      </c>
      <c r="M74" s="185">
        <f t="shared" si="33"/>
      </c>
      <c r="N74" s="186">
        <f t="shared" si="78"/>
      </c>
      <c r="O74" s="187">
        <f t="shared" si="50"/>
      </c>
      <c r="P74" s="188" t="s">
        <v>129</v>
      </c>
      <c r="Q74" s="189" t="s">
        <v>135</v>
      </c>
      <c r="R74" s="190">
        <v>2701</v>
      </c>
      <c r="S74" s="190">
        <v>144</v>
      </c>
      <c r="T74" s="191">
        <v>1</v>
      </c>
      <c r="U74" s="191">
        <v>0</v>
      </c>
      <c r="V74" s="191">
        <v>8</v>
      </c>
      <c r="W74" s="191"/>
    </row>
    <row r="75">
      <c r="A75" s="178"/>
      <c r="B75" s="192" t="s">
        <v>131</v>
      </c>
      <c r="C75" s="192"/>
      <c r="D75" s="193">
        <f>SUM(D72:D74)</f>
      </c>
      <c r="E75" s="193">
        <f>SUM(E72:E74)</f>
      </c>
      <c r="F75" s="193">
        <f>SUM(F72:F74)</f>
      </c>
      <c r="G75" s="193">
        <f>SUM(G72)</f>
      </c>
      <c r="H75" s="194">
        <f>SUM(H72:H74)</f>
      </c>
      <c r="I75" s="193">
        <f>SUM(I72:I74)</f>
      </c>
      <c r="J75" s="211">
        <f t="shared" si="69"/>
      </c>
      <c r="K75" s="196">
        <f t="shared" si="35"/>
      </c>
      <c r="L75" s="197">
        <f t="shared" si="34"/>
      </c>
      <c r="M75" s="198">
        <f t="shared" si="33"/>
      </c>
      <c r="N75" s="198">
        <f t="shared" si="78"/>
      </c>
      <c r="O75" s="199">
        <f t="shared" ref="O75:O76" si="97">(U75*1000)/D75</f>
      </c>
      <c r="P75" s="199"/>
      <c r="Q75" s="199"/>
      <c r="R75" s="194">
        <f>SUM(R72:R74)</f>
      </c>
      <c r="S75" s="194">
        <f>SUM(S72:S74)</f>
      </c>
      <c r="T75" s="194">
        <f>SUM(T72:T74)</f>
      </c>
      <c r="U75" s="194">
        <f>SUM(U72:U74)</f>
      </c>
      <c r="V75" s="194">
        <f>SUM(V72:V74)</f>
      </c>
      <c r="W75" s="200"/>
    </row>
    <row r="76">
      <c r="A76" s="178"/>
      <c r="B76" s="201" t="s">
        <v>132</v>
      </c>
      <c r="C76" s="201"/>
      <c r="D76" s="202">
        <f>D71+D75</f>
      </c>
      <c r="E76" s="202">
        <f>E71+E75</f>
      </c>
      <c r="F76" s="202">
        <f>F71+F75</f>
      </c>
      <c r="G76" s="202">
        <f>G71+G75</f>
      </c>
      <c r="H76" s="212">
        <f>H71+H75</f>
      </c>
      <c r="I76" s="202">
        <f>I71+I75</f>
      </c>
      <c r="J76" s="204">
        <f t="shared" si="69"/>
      </c>
      <c r="K76" s="204">
        <f t="shared" si="35"/>
      </c>
      <c r="L76" s="205">
        <f t="shared" si="34"/>
      </c>
      <c r="M76" s="206">
        <f t="shared" si="33"/>
      </c>
      <c r="N76" s="206">
        <f t="shared" si="78"/>
      </c>
      <c r="O76" s="204">
        <f t="shared" si="97"/>
      </c>
      <c r="P76" s="207"/>
      <c r="Q76" s="207"/>
      <c r="R76" s="212">
        <f>R71+R75</f>
      </c>
      <c r="S76" s="212">
        <f>S71+S75</f>
      </c>
      <c r="T76" s="212">
        <f>T71+T75</f>
      </c>
      <c r="U76" s="212">
        <f>U71+U75</f>
      </c>
      <c r="V76" s="212">
        <f>V71+V75</f>
      </c>
      <c r="W76" s="212"/>
    </row>
    <row customHeight="true" ht="16.071428571428573" r="77">
      <c r="A77" s="178">
        <v>46256</v>
      </c>
      <c r="B77" s="214" t="s">
        <v>133</v>
      </c>
      <c r="C77" s="181" t="s">
        <v>134</v>
      </c>
      <c r="D77" s="181">
        <f t="shared" ref="D77:D79" si="15">SUM(E77:G77)</f>
      </c>
      <c r="E77" s="181">
        <v>100.88</v>
      </c>
      <c r="F77" s="181">
        <v>1854.41</v>
      </c>
      <c r="G77" s="180">
        <v>0</v>
      </c>
      <c r="H77" s="215">
        <v>5</v>
      </c>
      <c r="I77" s="181">
        <v>2066.36</v>
      </c>
      <c r="J77" s="183">
        <f t="shared" si="69"/>
      </c>
      <c r="K77" s="183">
        <f t="shared" si="35"/>
      </c>
      <c r="L77" s="184">
        <f t="shared" si="34"/>
      </c>
      <c r="M77" s="185">
        <f t="shared" si="33"/>
      </c>
      <c r="N77" s="186">
        <f t="shared" si="78"/>
      </c>
      <c r="O77" s="216">
        <f t="shared" ref="O77:O79" si="51">(V77*1000)/D77</f>
      </c>
      <c r="P77" s="217" t="s">
        <v>129</v>
      </c>
      <c r="Q77" s="218" t="s">
        <v>145</v>
      </c>
      <c r="R77" s="190">
        <v>7114</v>
      </c>
      <c r="S77" s="190">
        <v>311</v>
      </c>
      <c r="T77" s="191">
        <v>8</v>
      </c>
      <c r="U77" s="191">
        <v>0</v>
      </c>
      <c r="V77" s="191">
        <v>20</v>
      </c>
      <c r="W77" s="190"/>
    </row>
    <row customHeight="true" ht="16.071428571428573" r="78">
      <c r="A78" s="219"/>
      <c r="B78" s="214" t="s">
        <v>133</v>
      </c>
      <c r="C78" s="181" t="s">
        <v>128</v>
      </c>
      <c r="D78" s="181">
        <f t="shared" si="15"/>
      </c>
      <c r="E78" s="181">
        <v>70.34</v>
      </c>
      <c r="F78" s="181">
        <v>1303.69</v>
      </c>
      <c r="G78" s="180">
        <v>0</v>
      </c>
      <c r="H78" s="215">
        <v>6</v>
      </c>
      <c r="I78" s="181">
        <v>5373.959999999999</v>
      </c>
      <c r="J78" s="183">
        <f t="shared" si="69"/>
      </c>
      <c r="K78" s="183">
        <f t="shared" si="35"/>
      </c>
      <c r="L78" s="184">
        <f t="shared" si="34"/>
      </c>
      <c r="M78" s="185">
        <f t="shared" si="33"/>
      </c>
      <c r="N78" s="186">
        <f t="shared" si="78"/>
      </c>
      <c r="O78" s="216">
        <f t="shared" si="51"/>
      </c>
      <c r="P78" s="217" t="s">
        <v>129</v>
      </c>
      <c r="Q78" s="218" t="s">
        <v>145</v>
      </c>
      <c r="R78" s="190">
        <v>6238</v>
      </c>
      <c r="S78" s="190">
        <v>228</v>
      </c>
      <c r="T78" s="190">
        <v>5</v>
      </c>
      <c r="U78" s="191">
        <v>3</v>
      </c>
      <c r="V78" s="191">
        <v>16</v>
      </c>
      <c r="W78" s="190"/>
    </row>
    <row customHeight="true" ht="16.071428571428573" r="79">
      <c r="A79" s="219"/>
      <c r="B79" s="214" t="s">
        <v>133</v>
      </c>
      <c r="C79" s="181" t="s">
        <v>136</v>
      </c>
      <c r="D79" s="181">
        <f t="shared" si="15"/>
      </c>
      <c r="E79" s="181">
        <v>48.47</v>
      </c>
      <c r="F79" s="220">
        <v>1915.48</v>
      </c>
      <c r="G79" s="208">
        <v>0</v>
      </c>
      <c r="H79" s="221">
        <v>6</v>
      </c>
      <c r="I79" s="220">
        <v>4985.16</v>
      </c>
      <c r="J79" s="183">
        <f t="shared" si="69"/>
      </c>
      <c r="K79" s="183">
        <f t="shared" si="35"/>
      </c>
      <c r="L79" s="184">
        <f t="shared" si="34"/>
      </c>
      <c r="M79" s="185">
        <f t="shared" si="33"/>
      </c>
      <c r="N79" s="186">
        <f t="shared" si="78"/>
      </c>
      <c r="O79" s="216">
        <f t="shared" si="51"/>
      </c>
      <c r="P79" s="217" t="s">
        <v>129</v>
      </c>
      <c r="Q79" s="218" t="s">
        <v>145</v>
      </c>
      <c r="R79" s="190">
        <v>8789</v>
      </c>
      <c r="S79" s="190">
        <v>257</v>
      </c>
      <c r="T79" s="190">
        <v>8</v>
      </c>
      <c r="U79" s="191">
        <v>0</v>
      </c>
      <c r="V79" s="191">
        <v>10</v>
      </c>
      <c r="W79" s="190"/>
    </row>
    <row customHeight="true" ht="16.071428571428573" r="80">
      <c r="A80" s="219"/>
      <c r="B80" s="192" t="s">
        <v>131</v>
      </c>
      <c r="C80" s="192"/>
      <c r="D80" s="193">
        <f>SUM(D77:D79)</f>
      </c>
      <c r="E80" s="193">
        <f>SUM(E77:E79)</f>
      </c>
      <c r="F80" s="193">
        <f>SUM(F77:F79)</f>
      </c>
      <c r="G80" s="193">
        <f>SUM(G77:G79)</f>
      </c>
      <c r="H80" s="194">
        <f>SUM(H77:H79)</f>
      </c>
      <c r="I80" s="193">
        <f>SUM(I77:I79)</f>
      </c>
      <c r="J80" s="195">
        <f t="shared" si="69"/>
      </c>
      <c r="K80" s="196">
        <f t="shared" si="35"/>
      </c>
      <c r="L80" s="197">
        <f t="shared" si="34"/>
      </c>
      <c r="M80" s="198">
        <f t="shared" si="33"/>
      </c>
      <c r="N80" s="198">
        <f>H80/T80</f>
      </c>
      <c r="O80" s="199">
        <f>(U80*1000)/D80</f>
      </c>
      <c r="P80" s="199"/>
      <c r="Q80" s="199"/>
      <c r="R80" s="194">
        <f>SUM(R77:R79)</f>
      </c>
      <c r="S80" s="194">
        <f>SUM(S77:S79)</f>
      </c>
      <c r="T80" s="194">
        <f>SUM(T77:T79)</f>
      </c>
      <c r="U80" s="194">
        <f>SUM(U77:U79)</f>
      </c>
      <c r="V80" s="194">
        <f>SUM(V77:V79)</f>
      </c>
      <c r="W80" s="200"/>
    </row>
    <row customHeight="true" ht="16.071428571428573" r="81">
      <c r="A81" s="219"/>
      <c r="B81" s="210" t="s">
        <v>137</v>
      </c>
      <c r="C81" s="181" t="s">
        <v>138</v>
      </c>
      <c r="D81" s="181">
        <f t="shared" ref="D81:D83" si="16">SUM(E81:G81)</f>
      </c>
      <c r="E81" s="181">
        <v>23.79</v>
      </c>
      <c r="F81" s="181">
        <v>1447.55</v>
      </c>
      <c r="G81" s="208">
        <v>0</v>
      </c>
      <c r="H81" s="215">
        <v>4</v>
      </c>
      <c r="I81" s="181">
        <v>2257.620000000001</v>
      </c>
      <c r="J81" s="183">
        <f t="shared" si="69"/>
      </c>
      <c r="K81" s="183">
        <f t="shared" si="35"/>
      </c>
      <c r="L81" s="184">
        <f t="shared" si="34"/>
      </c>
      <c r="M81" s="185">
        <f t="shared" si="33"/>
      </c>
      <c r="N81" s="186">
        <f t="shared" ref="N81:N89" si="79">H81/(T81+H81)</f>
      </c>
      <c r="O81" s="216">
        <f t="shared" ref="O81:O83" si="52">(V81*1000)/D81</f>
      </c>
      <c r="P81" s="217" t="s">
        <v>129</v>
      </c>
      <c r="Q81" s="222" t="s">
        <v>145</v>
      </c>
      <c r="R81" s="190">
        <v>6537</v>
      </c>
      <c r="S81" s="190">
        <v>178</v>
      </c>
      <c r="T81" s="190">
        <v>5</v>
      </c>
      <c r="U81" s="191">
        <v>0</v>
      </c>
      <c r="V81" s="191">
        <v>14</v>
      </c>
      <c r="W81" s="190"/>
    </row>
    <row customHeight="true" ht="16.071428571428573" r="82">
      <c r="A82" s="219"/>
      <c r="B82" s="210" t="s">
        <v>137</v>
      </c>
      <c r="C82" s="181" t="s">
        <v>140</v>
      </c>
      <c r="D82" s="181">
        <f t="shared" si="16"/>
      </c>
      <c r="E82" s="181">
        <v>269</v>
      </c>
      <c r="F82" s="181">
        <v>3753.98</v>
      </c>
      <c r="G82" s="208">
        <v>0</v>
      </c>
      <c r="H82" s="215">
        <v>1</v>
      </c>
      <c r="I82" s="181">
        <v>236.63999999999942</v>
      </c>
      <c r="J82" s="183">
        <f t="shared" si="69"/>
      </c>
      <c r="K82" s="183">
        <f t="shared" si="35"/>
      </c>
      <c r="L82" s="184">
        <f t="shared" si="34"/>
      </c>
      <c r="M82" s="185">
        <f t="shared" si="33"/>
      </c>
      <c r="N82" s="186">
        <f t="shared" si="79"/>
      </c>
      <c r="O82" s="216">
        <f t="shared" si="52"/>
      </c>
      <c r="P82" s="217" t="s">
        <v>129</v>
      </c>
      <c r="Q82" s="222" t="s">
        <v>145</v>
      </c>
      <c r="R82" s="190">
        <v>28466</v>
      </c>
      <c r="S82" s="190">
        <v>582</v>
      </c>
      <c r="T82" s="190">
        <v>1</v>
      </c>
      <c r="U82" s="191">
        <v>0</v>
      </c>
      <c r="V82" s="191">
        <v>16</v>
      </c>
      <c r="W82" s="190"/>
    </row>
    <row customHeight="true" ht="16.071428571428573" r="83">
      <c r="A83" s="219"/>
      <c r="B83" s="210" t="s">
        <v>137</v>
      </c>
      <c r="C83" s="181" t="s">
        <v>141</v>
      </c>
      <c r="D83" s="181">
        <f t="shared" si="16"/>
      </c>
      <c r="E83" s="181">
        <v>11.79</v>
      </c>
      <c r="F83" s="181">
        <v>217.5</v>
      </c>
      <c r="G83" s="208">
        <v>0</v>
      </c>
      <c r="H83" s="215">
        <v>6</v>
      </c>
      <c r="I83" s="181">
        <v>3140.0599999999995</v>
      </c>
      <c r="J83" s="183">
        <f t="shared" si="69"/>
      </c>
      <c r="K83" s="183">
        <f t="shared" si="35"/>
      </c>
      <c r="L83" s="184">
        <f t="shared" si="34"/>
      </c>
      <c r="M83" s="185">
        <f t="shared" si="33"/>
      </c>
      <c r="N83" s="186">
        <f t="shared" si="79"/>
      </c>
      <c r="O83" s="216">
        <f t="shared" si="52"/>
      </c>
      <c r="P83" s="217" t="s">
        <v>129</v>
      </c>
      <c r="Q83" s="222" t="s">
        <v>145</v>
      </c>
      <c r="R83" s="190">
        <v>3636</v>
      </c>
      <c r="S83" s="190">
        <v>97</v>
      </c>
      <c r="T83" s="190">
        <v>5</v>
      </c>
      <c r="U83" s="191">
        <v>0</v>
      </c>
      <c r="V83" s="191">
        <v>12</v>
      </c>
      <c r="W83" s="190"/>
    </row>
    <row customHeight="true" ht="16.071428571428573" r="84">
      <c r="A84" s="219"/>
      <c r="B84" s="192" t="s">
        <v>131</v>
      </c>
      <c r="C84" s="192"/>
      <c r="D84" s="193">
        <f>SUM(D81:D83)</f>
      </c>
      <c r="E84" s="193">
        <f>SUM(E81:E83)</f>
      </c>
      <c r="F84" s="193">
        <f>SUM(F81:F83)</f>
      </c>
      <c r="G84" s="193">
        <f>SUM(G81)</f>
      </c>
      <c r="H84" s="194">
        <f>SUM(H81:H83)</f>
      </c>
      <c r="I84" s="193">
        <f>SUM(I81:I83)</f>
      </c>
      <c r="J84" s="211">
        <f t="shared" si="69"/>
      </c>
      <c r="K84" s="196">
        <f t="shared" si="35"/>
      </c>
      <c r="L84" s="197">
        <f t="shared" si="34"/>
      </c>
      <c r="M84" s="198">
        <f t="shared" si="33"/>
      </c>
      <c r="N84" s="198">
        <f t="shared" si="79"/>
      </c>
      <c r="O84" s="199">
        <f t="shared" ref="O84:O85" si="98">(U84*1000)/D84</f>
      </c>
      <c r="P84" s="199"/>
      <c r="Q84" s="199"/>
      <c r="R84" s="194">
        <f>SUM(R81:R83)</f>
      </c>
      <c r="S84" s="194">
        <f>SUM(S81:S83)</f>
      </c>
      <c r="T84" s="194">
        <f>SUM(T81:T83)</f>
      </c>
      <c r="U84" s="194">
        <f>SUM(U81:U83)</f>
      </c>
      <c r="V84" s="194">
        <f>SUM(V81:V83)</f>
      </c>
      <c r="W84" s="200"/>
    </row>
    <row customHeight="true" ht="16.071428571428573" r="85">
      <c r="A85" s="219"/>
      <c r="B85" s="201" t="s">
        <v>132</v>
      </c>
      <c r="C85" s="201"/>
      <c r="D85" s="202">
        <f>D80+D84</f>
      </c>
      <c r="E85" s="202">
        <f>E80+E84</f>
      </c>
      <c r="F85" s="202">
        <f>F80+F84</f>
      </c>
      <c r="G85" s="202">
        <f>G80+G84</f>
      </c>
      <c r="H85" s="212">
        <f>H80+H84</f>
      </c>
      <c r="I85" s="202">
        <f>I80+I84</f>
      </c>
      <c r="J85" s="204">
        <f t="shared" si="69"/>
      </c>
      <c r="K85" s="204">
        <f t="shared" si="35"/>
      </c>
      <c r="L85" s="205">
        <f t="shared" si="34"/>
      </c>
      <c r="M85" s="206">
        <f t="shared" si="33"/>
      </c>
      <c r="N85" s="206">
        <f t="shared" si="79"/>
      </c>
      <c r="O85" s="204">
        <f t="shared" si="98"/>
      </c>
      <c r="P85" s="207"/>
      <c r="Q85" s="207"/>
      <c r="R85" s="212">
        <f>R80+R84</f>
      </c>
      <c r="S85" s="212">
        <f>S80+S84</f>
      </c>
      <c r="T85" s="212">
        <f>T80+T84</f>
      </c>
      <c r="U85" s="212">
        <f>U80+U84</f>
      </c>
      <c r="V85" s="212">
        <f>V80+V84</f>
      </c>
      <c r="W85" s="212"/>
    </row>
    <row customHeight="true" ht="16.071428571428573" r="86">
      <c r="A86" s="178">
        <v>46257</v>
      </c>
      <c r="B86" s="223" t="s">
        <v>133</v>
      </c>
      <c r="C86" s="220" t="s">
        <v>134</v>
      </c>
      <c r="D86" s="181">
        <f t="shared" ref="D86:D89" si="17">SUM(E86:G86)</f>
      </c>
      <c r="E86" s="181">
        <v>159.24</v>
      </c>
      <c r="F86" s="181">
        <v>2101.48</v>
      </c>
      <c r="G86" s="180">
        <v>0</v>
      </c>
      <c r="H86" s="215">
        <v>11</v>
      </c>
      <c r="I86" s="181">
        <v>9054.24</v>
      </c>
      <c r="J86" s="183">
        <f t="shared" si="69"/>
      </c>
      <c r="K86" s="183">
        <f t="shared" si="35"/>
      </c>
      <c r="L86" s="184">
        <f t="shared" si="34"/>
      </c>
      <c r="M86" s="185">
        <f t="shared" si="33"/>
      </c>
      <c r="N86" s="186">
        <f t="shared" si="79"/>
      </c>
      <c r="O86" s="216">
        <f t="shared" ref="O86:O89" si="53">(V86*1000)/D86</f>
      </c>
      <c r="P86" s="217" t="s">
        <v>129</v>
      </c>
      <c r="Q86" s="218" t="s">
        <v>145</v>
      </c>
      <c r="R86" s="190">
        <v>18746</v>
      </c>
      <c r="S86" s="190">
        <v>393</v>
      </c>
      <c r="T86" s="190">
        <v>9</v>
      </c>
      <c r="U86" s="191">
        <v>0</v>
      </c>
      <c r="V86" s="191">
        <v>20</v>
      </c>
      <c r="W86" s="190"/>
    </row>
    <row customHeight="true" ht="16.071428571428573" r="87">
      <c r="A87" s="219"/>
      <c r="B87" s="224" t="s">
        <v>133</v>
      </c>
      <c r="C87" s="225" t="s">
        <v>128</v>
      </c>
      <c r="D87" s="226">
        <f t="shared" si="17"/>
      </c>
      <c r="E87" s="181">
        <v>256.54</v>
      </c>
      <c r="F87" s="181">
        <v>1435.71</v>
      </c>
      <c r="G87" s="180">
        <v>0</v>
      </c>
      <c r="H87" s="215">
        <v>4</v>
      </c>
      <c r="I87" s="181">
        <v>2278.5599999999995</v>
      </c>
      <c r="J87" s="183">
        <f t="shared" si="69"/>
      </c>
      <c r="K87" s="183">
        <f t="shared" si="35"/>
      </c>
      <c r="L87" s="184">
        <f t="shared" si="34"/>
      </c>
      <c r="M87" s="185">
        <f t="shared" si="33"/>
      </c>
      <c r="N87" s="186">
        <f t="shared" si="79"/>
      </c>
      <c r="O87" s="216">
        <f t="shared" si="53"/>
      </c>
      <c r="P87" s="217" t="s">
        <v>129</v>
      </c>
      <c r="Q87" s="218" t="s">
        <v>145</v>
      </c>
      <c r="R87" s="190">
        <v>15922</v>
      </c>
      <c r="S87" s="190">
        <v>365</v>
      </c>
      <c r="T87" s="190">
        <v>7</v>
      </c>
      <c r="U87" s="191">
        <v>0</v>
      </c>
      <c r="V87" s="191">
        <v>14</v>
      </c>
      <c r="W87" s="190"/>
    </row>
    <row customHeight="true" ht="16.071428571428573" r="88">
      <c r="A88" s="219"/>
      <c r="B88" s="223" t="s">
        <v>133</v>
      </c>
      <c r="C88" s="227" t="s">
        <v>136</v>
      </c>
      <c r="D88" s="181">
        <f t="shared" si="17"/>
      </c>
      <c r="E88" s="181">
        <v>102.31</v>
      </c>
      <c r="F88" s="220">
        <v>3625.06</v>
      </c>
      <c r="G88" s="208">
        <v>0</v>
      </c>
      <c r="H88" s="221">
        <v>0</v>
      </c>
      <c r="I88" s="220">
        <v>0</v>
      </c>
      <c r="J88" s="183">
        <f t="shared" si="69"/>
      </c>
      <c r="K88" s="183">
        <f t="shared" si="35"/>
      </c>
      <c r="L88" s="184">
        <f t="shared" si="34"/>
      </c>
      <c r="M88" s="185">
        <f t="shared" si="33"/>
      </c>
      <c r="N88" s="186">
        <f t="shared" si="79"/>
      </c>
      <c r="O88" s="216">
        <f t="shared" si="53"/>
      </c>
      <c r="P88" s="217" t="s">
        <v>129</v>
      </c>
      <c r="Q88" s="218" t="s">
        <v>145</v>
      </c>
      <c r="R88" s="190">
        <v>35552</v>
      </c>
      <c r="S88" s="190">
        <v>649</v>
      </c>
      <c r="T88" s="190">
        <v>2</v>
      </c>
      <c r="U88" s="191">
        <v>0</v>
      </c>
      <c r="V88" s="191">
        <v>21</v>
      </c>
      <c r="W88" s="190"/>
    </row>
    <row customHeight="true" ht="16.071428571428573" r="89">
      <c r="A89" s="219"/>
      <c r="B89" s="223" t="s">
        <v>133</v>
      </c>
      <c r="C89" s="180" t="s">
        <v>138</v>
      </c>
      <c r="D89" s="181">
        <f t="shared" si="17"/>
      </c>
      <c r="E89" s="181">
        <v>362.06</v>
      </c>
      <c r="F89" s="220">
        <v>2297.61</v>
      </c>
      <c r="G89" s="208">
        <v>0</v>
      </c>
      <c r="H89" s="221">
        <v>14</v>
      </c>
      <c r="I89" s="220">
        <v>7543.619999999999</v>
      </c>
      <c r="J89" s="183">
        <f t="shared" si="69"/>
      </c>
      <c r="K89" s="183">
        <f t="shared" si="35"/>
      </c>
      <c r="L89" s="184">
        <f t="shared" si="34"/>
      </c>
      <c r="M89" s="185">
        <f t="shared" si="33"/>
      </c>
      <c r="N89" s="186">
        <f t="shared" si="79"/>
      </c>
      <c r="O89" s="216">
        <f t="shared" si="53"/>
      </c>
      <c r="P89" s="217" t="s">
        <v>129</v>
      </c>
      <c r="Q89" s="218" t="s">
        <v>145</v>
      </c>
      <c r="R89" s="190">
        <v>22665</v>
      </c>
      <c r="S89" s="190">
        <v>558</v>
      </c>
      <c r="T89" s="190">
        <v>11</v>
      </c>
      <c r="U89" s="191">
        <v>2</v>
      </c>
      <c r="V89" s="191">
        <v>34</v>
      </c>
      <c r="W89" s="190"/>
    </row>
    <row customHeight="true" ht="16.071428571428573" r="90">
      <c r="A90" s="219"/>
      <c r="B90" s="192" t="s">
        <v>131</v>
      </c>
      <c r="C90" s="192"/>
      <c r="D90" s="193">
        <f>SUM(D86:D89)</f>
      </c>
      <c r="E90" s="193">
        <f>SUM(E86:E89)</f>
      </c>
      <c r="F90" s="193">
        <f>SUM(F86:F89)</f>
      </c>
      <c r="G90" s="193">
        <f>SUM(G86:G89)</f>
      </c>
      <c r="H90" s="194">
        <f>SUM(H86:H89)</f>
      </c>
      <c r="I90" s="193">
        <f>SUM(I86:I89)</f>
      </c>
      <c r="J90" s="195">
        <f t="shared" si="69"/>
      </c>
      <c r="K90" s="196">
        <f t="shared" si="35"/>
      </c>
      <c r="L90" s="197">
        <f t="shared" si="34"/>
      </c>
      <c r="M90" s="198">
        <f t="shared" si="33"/>
      </c>
      <c r="N90" s="198">
        <f>H90/T90</f>
      </c>
      <c r="O90" s="199">
        <f>(U90*1000)/D90</f>
      </c>
      <c r="P90" s="199"/>
      <c r="Q90" s="199"/>
      <c r="R90" s="194">
        <f>SUM(R86:R89)</f>
      </c>
      <c r="S90" s="194">
        <f>SUM(S86:S89)</f>
      </c>
      <c r="T90" s="194">
        <f>SUM(T86:T89)</f>
      </c>
      <c r="U90" s="194">
        <f>SUM(U86:U89)</f>
      </c>
      <c r="V90" s="194">
        <f>SUM(V86:V89)</f>
      </c>
      <c r="W90" s="200"/>
    </row>
    <row customHeight="true" ht="16.071428571428573" r="91">
      <c r="A91" s="219"/>
      <c r="B91" s="214" t="s">
        <v>127</v>
      </c>
      <c r="C91" s="181" t="s">
        <v>140</v>
      </c>
      <c r="D91" s="181">
        <f t="shared" ref="D91:D92" si="18">SUM(E91:G91)</f>
      </c>
      <c r="E91" s="181">
        <v>349.11</v>
      </c>
      <c r="F91" s="181">
        <v>1938.41</v>
      </c>
      <c r="G91" s="208">
        <v>0</v>
      </c>
      <c r="H91" s="215">
        <v>5</v>
      </c>
      <c r="I91" s="181">
        <v>4321.200000000001</v>
      </c>
      <c r="J91" s="183">
        <f t="shared" si="69"/>
      </c>
      <c r="K91" s="183">
        <f t="shared" si="35"/>
      </c>
      <c r="L91" s="184">
        <f t="shared" si="34"/>
      </c>
      <c r="M91" s="185">
        <f t="shared" si="33"/>
      </c>
      <c r="N91" s="186">
        <f t="shared" ref="N91:N98" si="80">H91/(T91+H91)</f>
      </c>
      <c r="O91" s="216">
        <f t="shared" ref="O91:O92" si="54">(V91*1000)/D91</f>
      </c>
      <c r="P91" s="217" t="s">
        <v>129</v>
      </c>
      <c r="Q91" s="222" t="s">
        <v>145</v>
      </c>
      <c r="R91" s="190">
        <v>14342</v>
      </c>
      <c r="S91" s="190">
        <v>441</v>
      </c>
      <c r="T91" s="190">
        <v>7</v>
      </c>
      <c r="U91" s="191">
        <v>2</v>
      </c>
      <c r="V91" s="191">
        <v>18</v>
      </c>
      <c r="W91" s="190"/>
    </row>
    <row customHeight="true" ht="16.071428571428573" r="92">
      <c r="A92" s="219"/>
      <c r="B92" s="214" t="s">
        <v>127</v>
      </c>
      <c r="C92" s="181" t="s">
        <v>141</v>
      </c>
      <c r="D92" s="181">
        <f t="shared" si="18"/>
      </c>
      <c r="E92" s="181">
        <v>95.11</v>
      </c>
      <c r="F92" s="181">
        <v>113.34</v>
      </c>
      <c r="G92" s="208">
        <v>0</v>
      </c>
      <c r="H92" s="215">
        <v>0</v>
      </c>
      <c r="I92" s="181">
        <v>0</v>
      </c>
      <c r="J92" s="183">
        <f t="shared" si="69"/>
      </c>
      <c r="K92" s="183">
        <f t="shared" si="35"/>
      </c>
      <c r="L92" s="184">
        <f t="shared" si="34"/>
      </c>
      <c r="M92" s="185">
        <f t="shared" si="33"/>
      </c>
      <c r="N92" s="186">
        <f t="shared" si="80"/>
      </c>
      <c r="O92" s="216">
        <f t="shared" si="54"/>
      </c>
      <c r="P92" s="217" t="s">
        <v>129</v>
      </c>
      <c r="Q92" s="222" t="s">
        <v>145</v>
      </c>
      <c r="R92" s="190">
        <v>1724</v>
      </c>
      <c r="S92" s="190">
        <v>64</v>
      </c>
      <c r="T92" s="190">
        <v>1</v>
      </c>
      <c r="U92" s="191">
        <v>1</v>
      </c>
      <c r="V92" s="191">
        <v>2</v>
      </c>
      <c r="W92" s="190"/>
    </row>
    <row customHeight="true" ht="16.071428571428573" r="93">
      <c r="A93" s="219"/>
      <c r="B93" s="192" t="s">
        <v>131</v>
      </c>
      <c r="C93" s="192"/>
      <c r="D93" s="193">
        <f>SUM(D91:D92)</f>
      </c>
      <c r="E93" s="193">
        <f>SUM(E91:E92)</f>
      </c>
      <c r="F93" s="193">
        <f>SUM(F91:F92)</f>
      </c>
      <c r="G93" s="193">
        <f>SUM(G91:G92)</f>
      </c>
      <c r="H93" s="194">
        <f>SUM(H91:H92)</f>
      </c>
      <c r="I93" s="193">
        <f>SUM(I91:I92)</f>
      </c>
      <c r="J93" s="211">
        <f t="shared" si="69"/>
      </c>
      <c r="K93" s="196">
        <f t="shared" si="35"/>
      </c>
      <c r="L93" s="197">
        <f t="shared" si="34"/>
      </c>
      <c r="M93" s="198">
        <f t="shared" si="33"/>
      </c>
      <c r="N93" s="198">
        <f t="shared" si="80"/>
      </c>
      <c r="O93" s="199">
        <f t="shared" ref="O93:O94" si="99">(U93*1000)/D93</f>
      </c>
      <c r="P93" s="199"/>
      <c r="Q93" s="199"/>
      <c r="R93" s="194">
        <f>SUM(R91:R92)</f>
      </c>
      <c r="S93" s="194">
        <f>SUM(S91:S92)</f>
      </c>
      <c r="T93" s="194">
        <f>SUM(T91:T92)</f>
      </c>
      <c r="U93" s="194">
        <f>SUM(U91:U92)</f>
      </c>
      <c r="V93" s="194">
        <f>SUM(V91:V92)</f>
      </c>
      <c r="W93" s="200"/>
    </row>
    <row customHeight="true" ht="16.071428571428573" r="94">
      <c r="A94" s="219"/>
      <c r="B94" s="201" t="s">
        <v>132</v>
      </c>
      <c r="C94" s="201"/>
      <c r="D94" s="202">
        <f>D90+D93</f>
      </c>
      <c r="E94" s="202">
        <f>E90+E93</f>
      </c>
      <c r="F94" s="202">
        <f>F90+F93</f>
      </c>
      <c r="G94" s="202">
        <f>G90+G93</f>
      </c>
      <c r="H94" s="212">
        <f>H90+H93</f>
      </c>
      <c r="I94" s="202">
        <f>I90+I93</f>
      </c>
      <c r="J94" s="204">
        <f t="shared" si="69"/>
      </c>
      <c r="K94" s="204">
        <f t="shared" si="35"/>
      </c>
      <c r="L94" s="205">
        <f t="shared" si="34"/>
      </c>
      <c r="M94" s="206">
        <f t="shared" si="33"/>
      </c>
      <c r="N94" s="206">
        <f t="shared" si="80"/>
      </c>
      <c r="O94" s="204">
        <f t="shared" si="99"/>
      </c>
      <c r="P94" s="207"/>
      <c r="Q94" s="207"/>
      <c r="R94" s="212">
        <f>R90+R93</f>
      </c>
      <c r="S94" s="212">
        <f>S90+S93</f>
      </c>
      <c r="T94" s="212">
        <f>T90+T93</f>
      </c>
      <c r="U94" s="212">
        <f>U90+U93</f>
      </c>
      <c r="V94" s="212">
        <f>V90+V93</f>
      </c>
      <c r="W94" s="212"/>
    </row>
    <row r="95">
      <c r="A95" s="178">
        <v>46258</v>
      </c>
      <c r="B95" s="223" t="s">
        <v>133</v>
      </c>
      <c r="C95" s="220" t="s">
        <v>134</v>
      </c>
      <c r="D95" s="181">
        <f t="shared" ref="D95:D98" si="19">SUM(E95:G95)</f>
      </c>
      <c r="E95" s="180">
        <v>137.93</v>
      </c>
      <c r="F95" s="180">
        <v>1553.82</v>
      </c>
      <c r="G95" s="180">
        <v>0</v>
      </c>
      <c r="H95" s="182">
        <v>1</v>
      </c>
      <c r="I95" s="180">
        <v>1179.84</v>
      </c>
      <c r="J95" s="183">
        <f t="shared" si="69"/>
      </c>
      <c r="K95" s="183">
        <f t="shared" si="35"/>
      </c>
      <c r="L95" s="184">
        <f t="shared" si="34"/>
      </c>
      <c r="M95" s="185">
        <f t="shared" si="33"/>
      </c>
      <c r="N95" s="186">
        <f t="shared" si="80"/>
      </c>
      <c r="O95" s="216">
        <f t="shared" ref="O95:O98" si="55">(V95*1000)/D95</f>
      </c>
      <c r="P95" s="217" t="s">
        <v>129</v>
      </c>
      <c r="Q95" s="189" t="s">
        <v>135</v>
      </c>
      <c r="R95" s="190">
        <v>7856</v>
      </c>
      <c r="S95" s="190">
        <v>219</v>
      </c>
      <c r="T95" s="190">
        <v>4</v>
      </c>
      <c r="U95" s="191">
        <v>0</v>
      </c>
      <c r="V95" s="191">
        <v>16</v>
      </c>
      <c r="W95" s="190"/>
    </row>
    <row r="96">
      <c r="A96" s="178"/>
      <c r="B96" s="224" t="s">
        <v>133</v>
      </c>
      <c r="C96" s="225" t="s">
        <v>128</v>
      </c>
      <c r="D96" s="226">
        <f t="shared" si="19"/>
      </c>
      <c r="E96" s="180">
        <v>64.47</v>
      </c>
      <c r="F96" s="180">
        <v>1118.95</v>
      </c>
      <c r="G96" s="180">
        <v>0</v>
      </c>
      <c r="H96" s="215">
        <v>1</v>
      </c>
      <c r="I96" s="181">
        <v>1073.1000000000001</v>
      </c>
      <c r="J96" s="183">
        <f t="shared" si="69"/>
      </c>
      <c r="K96" s="183">
        <f t="shared" si="35"/>
      </c>
      <c r="L96" s="184">
        <f t="shared" si="34"/>
      </c>
      <c r="M96" s="185">
        <f t="shared" si="33"/>
      </c>
      <c r="N96" s="186">
        <f t="shared" si="80"/>
      </c>
      <c r="O96" s="216">
        <f t="shared" si="55"/>
      </c>
      <c r="P96" s="217" t="s">
        <v>129</v>
      </c>
      <c r="Q96" s="189" t="s">
        <v>135</v>
      </c>
      <c r="R96" s="190">
        <v>7859</v>
      </c>
      <c r="S96" s="190">
        <v>189</v>
      </c>
      <c r="T96" s="190">
        <v>1</v>
      </c>
      <c r="U96" s="191">
        <v>0</v>
      </c>
      <c r="V96" s="191">
        <v>14</v>
      </c>
      <c r="W96" s="190"/>
    </row>
    <row r="97">
      <c r="A97" s="178"/>
      <c r="B97" s="223" t="s">
        <v>133</v>
      </c>
      <c r="C97" s="227" t="s">
        <v>136</v>
      </c>
      <c r="D97" s="181">
        <f t="shared" si="19"/>
      </c>
      <c r="E97" s="180">
        <v>107.3</v>
      </c>
      <c r="F97" s="208">
        <v>763.04</v>
      </c>
      <c r="G97" s="208">
        <v>0</v>
      </c>
      <c r="H97" s="221">
        <v>1</v>
      </c>
      <c r="I97" s="220">
        <v>236.63999999999987</v>
      </c>
      <c r="J97" s="183">
        <f t="shared" si="69"/>
      </c>
      <c r="K97" s="183">
        <f t="shared" si="35"/>
      </c>
      <c r="L97" s="184">
        <f t="shared" si="34"/>
      </c>
      <c r="M97" s="185">
        <f t="shared" si="33"/>
      </c>
      <c r="N97" s="186">
        <f t="shared" si="80"/>
      </c>
      <c r="O97" s="216">
        <f t="shared" si="55"/>
      </c>
      <c r="P97" s="217" t="s">
        <v>129</v>
      </c>
      <c r="Q97" s="189" t="s">
        <v>135</v>
      </c>
      <c r="R97" s="190">
        <v>5106</v>
      </c>
      <c r="S97" s="190">
        <v>151</v>
      </c>
      <c r="T97" s="190">
        <v>2</v>
      </c>
      <c r="U97" s="191">
        <v>1</v>
      </c>
      <c r="V97" s="191">
        <v>6</v>
      </c>
      <c r="W97" s="190"/>
    </row>
    <row customHeight="true" ht="16.666666666666668" r="98">
      <c r="A98" s="178"/>
      <c r="B98" s="223" t="s">
        <v>133</v>
      </c>
      <c r="C98" s="180" t="s">
        <v>138</v>
      </c>
      <c r="D98" s="181">
        <f t="shared" si="19"/>
      </c>
      <c r="E98" s="180">
        <v>253.48</v>
      </c>
      <c r="F98" s="208">
        <v>1133.13</v>
      </c>
      <c r="G98" s="208">
        <v>0</v>
      </c>
      <c r="H98" s="221">
        <v>2</v>
      </c>
      <c r="I98" s="220">
        <v>473.2800000000002</v>
      </c>
      <c r="J98" s="183">
        <f t="shared" si="69"/>
      </c>
      <c r="K98" s="183">
        <f t="shared" si="35"/>
      </c>
      <c r="L98" s="184">
        <f t="shared" si="34"/>
      </c>
      <c r="M98" s="185">
        <f t="shared" si="33"/>
      </c>
      <c r="N98" s="186">
        <f t="shared" si="80"/>
      </c>
      <c r="O98" s="216">
        <f t="shared" si="55"/>
      </c>
      <c r="P98" s="217" t="s">
        <v>129</v>
      </c>
      <c r="Q98" s="189" t="s">
        <v>135</v>
      </c>
      <c r="R98" s="190">
        <v>5294</v>
      </c>
      <c r="S98" s="190">
        <v>174</v>
      </c>
      <c r="T98" s="190">
        <v>2</v>
      </c>
      <c r="U98" s="191">
        <v>0</v>
      </c>
      <c r="V98" s="191">
        <v>10</v>
      </c>
      <c r="W98" s="190"/>
    </row>
    <row r="99">
      <c r="A99" s="178"/>
      <c r="B99" s="192" t="s">
        <v>131</v>
      </c>
      <c r="C99" s="192"/>
      <c r="D99" s="193">
        <f>SUM(D95:D98)</f>
      </c>
      <c r="E99" s="193">
        <f>SUM(E95:E98)</f>
      </c>
      <c r="F99" s="193">
        <f>SUM(F95:F98)</f>
      </c>
      <c r="G99" s="193">
        <f>SUM(G95:G98)</f>
      </c>
      <c r="H99" s="194">
        <f>SUM(H95:H98)</f>
      </c>
      <c r="I99" s="193">
        <f>SUM(I95:I98)</f>
      </c>
      <c r="J99" s="195">
        <f t="shared" si="69"/>
      </c>
      <c r="K99" s="196">
        <f t="shared" si="35"/>
      </c>
      <c r="L99" s="197">
        <f t="shared" si="34"/>
      </c>
      <c r="M99" s="198">
        <f t="shared" si="33"/>
      </c>
      <c r="N99" s="198">
        <f>H99/T99</f>
      </c>
      <c r="O99" s="199">
        <f>(U99*1000)/D99</f>
      </c>
      <c r="P99" s="199"/>
      <c r="Q99" s="199"/>
      <c r="R99" s="194">
        <f>SUM(R95:R98)</f>
      </c>
      <c r="S99" s="194">
        <f>SUM(S95:S98)</f>
      </c>
      <c r="T99" s="194">
        <f>SUM(T95:T98)</f>
      </c>
      <c r="U99" s="194">
        <f>SUM(U95:U98)</f>
      </c>
      <c r="V99" s="194">
        <f>SUM(V95:V98)</f>
      </c>
      <c r="W99" s="200"/>
    </row>
    <row r="100">
      <c r="A100" s="178"/>
      <c r="B100" s="214" t="s">
        <v>127</v>
      </c>
      <c r="C100" s="181" t="s">
        <v>140</v>
      </c>
      <c r="D100" s="181">
        <f t="shared" ref="D100:D101" si="20">SUM(E100:G100)</f>
      </c>
      <c r="E100" s="180">
        <v>186.65</v>
      </c>
      <c r="F100" s="180">
        <v>1410.52</v>
      </c>
      <c r="G100" s="208">
        <v>0</v>
      </c>
      <c r="H100" s="215">
        <v>5</v>
      </c>
      <c r="I100" s="181">
        <v>4321.200000000001</v>
      </c>
      <c r="J100" s="183">
        <f t="shared" si="69"/>
      </c>
      <c r="K100" s="183">
        <f t="shared" si="35"/>
      </c>
      <c r="L100" s="184">
        <f t="shared" si="34"/>
      </c>
      <c r="M100" s="185">
        <f t="shared" si="33"/>
      </c>
      <c r="N100" s="186">
        <f t="shared" ref="N100:N107" si="81">H100/(T100+H100)</f>
      </c>
      <c r="O100" s="216">
        <f t="shared" ref="O100:O101" si="56">(V100*1000)/D100</f>
      </c>
      <c r="P100" s="217" t="s">
        <v>129</v>
      </c>
      <c r="Q100" s="189" t="s">
        <v>135</v>
      </c>
      <c r="R100" s="190">
        <v>8129</v>
      </c>
      <c r="S100" s="190">
        <v>273</v>
      </c>
      <c r="T100" s="190">
        <v>5</v>
      </c>
      <c r="U100" s="191">
        <v>0</v>
      </c>
      <c r="V100" s="191">
        <v>16</v>
      </c>
      <c r="W100" s="190"/>
    </row>
    <row customHeight="true" ht="16.666666666666668" r="101">
      <c r="A101" s="178"/>
      <c r="B101" s="214" t="s">
        <v>127</v>
      </c>
      <c r="C101" s="181" t="s">
        <v>141</v>
      </c>
      <c r="D101" s="181">
        <f t="shared" si="20"/>
      </c>
      <c r="E101" s="180">
        <v>97.48</v>
      </c>
      <c r="F101" s="180">
        <v>646.8</v>
      </c>
      <c r="G101" s="208">
        <v>0</v>
      </c>
      <c r="H101" s="182">
        <v>0</v>
      </c>
      <c r="I101" s="180">
        <v>0</v>
      </c>
      <c r="J101" s="183">
        <f t="shared" si="69"/>
      </c>
      <c r="K101" s="183">
        <f t="shared" si="35"/>
      </c>
      <c r="L101" s="184">
        <f t="shared" si="34"/>
      </c>
      <c r="M101" s="185">
        <f t="shared" si="33"/>
      </c>
      <c r="N101" s="186">
        <f t="shared" si="81"/>
      </c>
      <c r="O101" s="216">
        <f t="shared" si="56"/>
      </c>
      <c r="P101" s="217" t="s">
        <v>129</v>
      </c>
      <c r="Q101" s="189" t="s">
        <v>135</v>
      </c>
      <c r="R101" s="190">
        <v>3226</v>
      </c>
      <c r="S101" s="190">
        <v>101</v>
      </c>
      <c r="T101" s="190">
        <v>1</v>
      </c>
      <c r="U101" s="191">
        <v>1</v>
      </c>
      <c r="V101" s="191">
        <v>3</v>
      </c>
      <c r="W101" s="190"/>
    </row>
    <row r="102">
      <c r="A102" s="178"/>
      <c r="B102" s="192" t="s">
        <v>131</v>
      </c>
      <c r="C102" s="192"/>
      <c r="D102" s="193">
        <f>SUM(D100:D101)</f>
      </c>
      <c r="E102" s="193">
        <f>SUM(E100:E101)</f>
      </c>
      <c r="F102" s="193">
        <f>SUM(F100:F101)</f>
      </c>
      <c r="G102" s="193">
        <f>SUM(G100:G101)</f>
      </c>
      <c r="H102" s="194">
        <f>SUM(H100:H101)</f>
      </c>
      <c r="I102" s="193">
        <f>SUM(I100:I101)</f>
      </c>
      <c r="J102" s="211">
        <f t="shared" si="69"/>
      </c>
      <c r="K102" s="196">
        <f t="shared" si="35"/>
      </c>
      <c r="L102" s="197">
        <f t="shared" si="34"/>
      </c>
      <c r="M102" s="198">
        <f t="shared" si="33"/>
      </c>
      <c r="N102" s="198">
        <f t="shared" si="81"/>
      </c>
      <c r="O102" s="199">
        <f t="shared" ref="O102:O103" si="100">(U102*1000)/D102</f>
      </c>
      <c r="P102" s="199"/>
      <c r="Q102" s="199"/>
      <c r="R102" s="194">
        <f>SUM(R100:R101)</f>
      </c>
      <c r="S102" s="194">
        <f>SUM(S100:S101)</f>
      </c>
      <c r="T102" s="194">
        <f>SUM(T100:T101)</f>
      </c>
      <c r="U102" s="194">
        <f>SUM(U100:U101)</f>
      </c>
      <c r="V102" s="194">
        <f>SUM(V100:V101)</f>
      </c>
      <c r="W102" s="200"/>
    </row>
    <row r="103">
      <c r="A103" s="178"/>
      <c r="B103" s="201" t="s">
        <v>132</v>
      </c>
      <c r="C103" s="201"/>
      <c r="D103" s="202">
        <f>D99+D102</f>
      </c>
      <c r="E103" s="202">
        <f>E99+E102</f>
      </c>
      <c r="F103" s="202">
        <f>F99+F102</f>
      </c>
      <c r="G103" s="202">
        <f>G99+G102</f>
      </c>
      <c r="H103" s="212">
        <f>H99+H102</f>
      </c>
      <c r="I103" s="202">
        <f>I99+I102</f>
      </c>
      <c r="J103" s="204">
        <f t="shared" si="69"/>
      </c>
      <c r="K103" s="204">
        <f t="shared" si="35"/>
      </c>
      <c r="L103" s="205">
        <f t="shared" si="34"/>
      </c>
      <c r="M103" s="206">
        <f t="shared" si="33"/>
      </c>
      <c r="N103" s="206">
        <f t="shared" si="81"/>
      </c>
      <c r="O103" s="204">
        <f t="shared" si="100"/>
      </c>
      <c r="P103" s="207"/>
      <c r="Q103" s="207"/>
      <c r="R103" s="212">
        <f>R99+R102</f>
      </c>
      <c r="S103" s="212">
        <f>S99+S102</f>
      </c>
      <c r="T103" s="212">
        <f>T99+T102</f>
      </c>
      <c r="U103" s="212">
        <f>U99+U102</f>
      </c>
      <c r="V103" s="212">
        <f>V99+V102</f>
      </c>
      <c r="W103" s="212"/>
    </row>
    <row r="104">
      <c r="A104" s="178">
        <v>46259</v>
      </c>
      <c r="B104" s="223" t="s">
        <v>133</v>
      </c>
      <c r="C104" s="220" t="s">
        <v>134</v>
      </c>
      <c r="D104" s="181">
        <f t="shared" ref="D104:D107" si="21">SUM(E104:G104)</f>
      </c>
      <c r="E104" s="180">
        <v>170.07</v>
      </c>
      <c r="F104" s="180">
        <v>1550.76</v>
      </c>
      <c r="G104" s="180">
        <v>0</v>
      </c>
      <c r="H104" s="182">
        <v>3</v>
      </c>
      <c r="I104" s="180">
        <v>3394.28</v>
      </c>
      <c r="J104" s="183">
        <f t="shared" si="69"/>
      </c>
      <c r="K104" s="183">
        <f t="shared" si="35"/>
      </c>
      <c r="L104" s="184">
        <f t="shared" si="34"/>
      </c>
      <c r="M104" s="185">
        <f t="shared" si="33"/>
      </c>
      <c r="N104" s="186">
        <f t="shared" si="81"/>
      </c>
      <c r="O104" s="216">
        <f t="shared" ref="O104:O107" si="57">(V104*1000)/D104</f>
      </c>
      <c r="P104" s="217" t="s">
        <v>129</v>
      </c>
      <c r="Q104" s="189" t="s">
        <v>135</v>
      </c>
      <c r="R104" s="190">
        <v>9901</v>
      </c>
      <c r="S104" s="190">
        <v>325</v>
      </c>
      <c r="T104" s="190">
        <v>7</v>
      </c>
      <c r="U104" s="191">
        <v>0</v>
      </c>
      <c r="V104" s="191">
        <v>18</v>
      </c>
      <c r="W104" s="190"/>
    </row>
    <row r="105">
      <c r="A105" s="178"/>
      <c r="B105" s="224" t="s">
        <v>133</v>
      </c>
      <c r="C105" s="225" t="s">
        <v>128</v>
      </c>
      <c r="D105" s="226">
        <f t="shared" si="21"/>
      </c>
      <c r="E105" s="180">
        <v>142.61</v>
      </c>
      <c r="F105" s="180">
        <v>1113.34</v>
      </c>
      <c r="G105" s="180">
        <v>0</v>
      </c>
      <c r="H105" s="182">
        <v>0</v>
      </c>
      <c r="I105" s="180">
        <v>0</v>
      </c>
      <c r="J105" s="183">
        <f t="shared" si="69"/>
      </c>
      <c r="K105" s="183">
        <f t="shared" si="35"/>
      </c>
      <c r="L105" s="184">
        <f t="shared" si="34"/>
      </c>
      <c r="M105" s="185">
        <f t="shared" si="33"/>
      </c>
      <c r="N105" s="186">
        <f t="shared" si="81"/>
      </c>
      <c r="O105" s="216">
        <f t="shared" si="57"/>
      </c>
      <c r="P105" s="217" t="s">
        <v>129</v>
      </c>
      <c r="Q105" s="189" t="s">
        <v>135</v>
      </c>
      <c r="R105" s="190">
        <v>8024</v>
      </c>
      <c r="S105" s="190">
        <v>269</v>
      </c>
      <c r="T105" s="190">
        <v>0</v>
      </c>
      <c r="U105" s="191">
        <v>0</v>
      </c>
      <c r="V105" s="191">
        <v>11</v>
      </c>
      <c r="W105" s="190"/>
    </row>
    <row r="106">
      <c r="A106" s="178"/>
      <c r="B106" s="223" t="s">
        <v>133</v>
      </c>
      <c r="C106" s="227" t="s">
        <v>136</v>
      </c>
      <c r="D106" s="181">
        <f t="shared" si="21"/>
      </c>
      <c r="E106" s="180">
        <v>157.88</v>
      </c>
      <c r="F106" s="208">
        <v>2357.38</v>
      </c>
      <c r="G106" s="208">
        <v>0</v>
      </c>
      <c r="H106" s="221">
        <v>5</v>
      </c>
      <c r="I106" s="220">
        <v>2494.2599999999998</v>
      </c>
      <c r="J106" s="183">
        <f t="shared" si="69"/>
      </c>
      <c r="K106" s="183">
        <f t="shared" si="35"/>
      </c>
      <c r="L106" s="184">
        <f t="shared" si="34"/>
      </c>
      <c r="M106" s="185">
        <f t="shared" si="33"/>
      </c>
      <c r="N106" s="186">
        <f t="shared" si="81"/>
      </c>
      <c r="O106" s="216">
        <f t="shared" si="57"/>
      </c>
      <c r="P106" s="217" t="s">
        <v>129</v>
      </c>
      <c r="Q106" s="189" t="s">
        <v>135</v>
      </c>
      <c r="R106" s="190">
        <v>16850</v>
      </c>
      <c r="S106" s="190">
        <v>425</v>
      </c>
      <c r="T106" s="190">
        <v>8</v>
      </c>
      <c r="U106" s="191">
        <v>1</v>
      </c>
      <c r="V106" s="191">
        <v>19</v>
      </c>
      <c r="W106" s="190"/>
    </row>
    <row r="107">
      <c r="A107" s="178"/>
      <c r="B107" s="223" t="s">
        <v>133</v>
      </c>
      <c r="C107" s="180" t="s">
        <v>138</v>
      </c>
      <c r="D107" s="181">
        <f t="shared" si="21"/>
      </c>
      <c r="E107" s="180">
        <v>356.99</v>
      </c>
      <c r="F107" s="208">
        <v>3065.46</v>
      </c>
      <c r="G107" s="208">
        <v>0</v>
      </c>
      <c r="H107" s="221">
        <v>19</v>
      </c>
      <c r="I107" s="220">
        <v>19341.32</v>
      </c>
      <c r="J107" s="183">
        <f t="shared" si="69"/>
      </c>
      <c r="K107" s="183">
        <f t="shared" si="35"/>
      </c>
      <c r="L107" s="184">
        <f t="shared" si="34"/>
      </c>
      <c r="M107" s="185">
        <f t="shared" si="33"/>
      </c>
      <c r="N107" s="186">
        <f t="shared" si="81"/>
      </c>
      <c r="O107" s="216">
        <f t="shared" si="57"/>
      </c>
      <c r="P107" s="217" t="s">
        <v>129</v>
      </c>
      <c r="Q107" s="189" t="s">
        <v>135</v>
      </c>
      <c r="R107" s="190">
        <v>25696</v>
      </c>
      <c r="S107" s="190">
        <v>646</v>
      </c>
      <c r="T107" s="190">
        <v>13</v>
      </c>
      <c r="U107" s="191">
        <v>2</v>
      </c>
      <c r="V107" s="191">
        <v>30</v>
      </c>
      <c r="W107" s="190"/>
    </row>
    <row r="108">
      <c r="A108" s="178"/>
      <c r="B108" s="192" t="s">
        <v>131</v>
      </c>
      <c r="C108" s="192"/>
      <c r="D108" s="193">
        <f>SUM(D104:D107)</f>
      </c>
      <c r="E108" s="193">
        <f>SUM(E104:E107)</f>
      </c>
      <c r="F108" s="193">
        <f>SUM(F104:F107)</f>
      </c>
      <c r="G108" s="193">
        <f>SUM(G104:G107)</f>
      </c>
      <c r="H108" s="194">
        <f>SUM(H104:H107)</f>
      </c>
      <c r="I108" s="193">
        <f>SUM(I104:I107)</f>
      </c>
      <c r="J108" s="195">
        <f t="shared" si="69"/>
      </c>
      <c r="K108" s="196">
        <f t="shared" si="35"/>
      </c>
      <c r="L108" s="197">
        <f t="shared" si="34"/>
      </c>
      <c r="M108" s="198">
        <f t="shared" si="33"/>
      </c>
      <c r="N108" s="198">
        <f>H108/T108</f>
      </c>
      <c r="O108" s="199">
        <f>(U108*1000)/D108</f>
      </c>
      <c r="P108" s="199"/>
      <c r="Q108" s="199"/>
      <c r="R108" s="194">
        <f>SUM(R104:R107)</f>
      </c>
      <c r="S108" s="194">
        <f>SUM(S104:S107)</f>
      </c>
      <c r="T108" s="194">
        <f>SUM(T104:T107)</f>
      </c>
      <c r="U108" s="194">
        <f>SUM(U104:U107)</f>
      </c>
      <c r="V108" s="194">
        <f>SUM(V104:V107)</f>
      </c>
      <c r="W108" s="200"/>
    </row>
    <row r="109">
      <c r="A109" s="178"/>
      <c r="B109" s="214" t="s">
        <v>127</v>
      </c>
      <c r="C109" s="181" t="s">
        <v>140</v>
      </c>
      <c r="D109" s="181">
        <f t="shared" ref="D109:D110" si="22">SUM(E109:G109)</f>
      </c>
      <c r="E109" s="180">
        <v>811.68</v>
      </c>
      <c r="F109" s="180">
        <v>3200.53</v>
      </c>
      <c r="G109" s="208">
        <v>0</v>
      </c>
      <c r="H109" s="215">
        <v>23</v>
      </c>
      <c r="I109" s="181">
        <v>18159.18</v>
      </c>
      <c r="J109" s="183">
        <f t="shared" si="69"/>
      </c>
      <c r="K109" s="183">
        <f t="shared" si="35"/>
      </c>
      <c r="L109" s="184">
        <f t="shared" si="34"/>
      </c>
      <c r="M109" s="185">
        <f t="shared" si="33"/>
      </c>
      <c r="N109" s="186">
        <f t="shared" ref="N109:N116" si="82">H109/(T109+H109)</f>
      </c>
      <c r="O109" s="216">
        <f t="shared" ref="O109:O110" si="58">(V109*1000)/D109</f>
      </c>
      <c r="P109" s="217" t="s">
        <v>129</v>
      </c>
      <c r="Q109" s="189" t="s">
        <v>135</v>
      </c>
      <c r="R109" s="190">
        <v>28438</v>
      </c>
      <c r="S109" s="190">
        <v>732</v>
      </c>
      <c r="T109" s="190">
        <v>16</v>
      </c>
      <c r="U109" s="191">
        <v>2</v>
      </c>
      <c r="V109" s="191">
        <v>42</v>
      </c>
      <c r="W109" s="190"/>
    </row>
    <row r="110">
      <c r="A110" s="178"/>
      <c r="B110" s="214" t="s">
        <v>127</v>
      </c>
      <c r="C110" s="181" t="s">
        <v>141</v>
      </c>
      <c r="D110" s="181">
        <f t="shared" si="22"/>
      </c>
      <c r="E110" s="180">
        <v>434.05</v>
      </c>
      <c r="F110" s="180">
        <v>2887.26</v>
      </c>
      <c r="G110" s="208">
        <v>0</v>
      </c>
      <c r="H110" s="182">
        <v>6</v>
      </c>
      <c r="I110" s="180">
        <v>9023.04</v>
      </c>
      <c r="J110" s="183">
        <f t="shared" si="69"/>
      </c>
      <c r="K110" s="183">
        <f t="shared" si="35"/>
      </c>
      <c r="L110" s="184">
        <f t="shared" si="34"/>
      </c>
      <c r="M110" s="185">
        <f t="shared" si="33"/>
      </c>
      <c r="N110" s="186">
        <f t="shared" si="82"/>
      </c>
      <c r="O110" s="216">
        <f t="shared" si="58"/>
      </c>
      <c r="P110" s="217" t="s">
        <v>129</v>
      </c>
      <c r="Q110" s="189" t="s">
        <v>135</v>
      </c>
      <c r="R110" s="190">
        <v>27814</v>
      </c>
      <c r="S110" s="190">
        <v>673</v>
      </c>
      <c r="T110" s="190">
        <v>8</v>
      </c>
      <c r="U110" s="191">
        <v>1</v>
      </c>
      <c r="V110" s="191">
        <v>8</v>
      </c>
      <c r="W110" s="190"/>
    </row>
    <row r="111">
      <c r="A111" s="178"/>
      <c r="B111" s="192" t="s">
        <v>131</v>
      </c>
      <c r="C111" s="192"/>
      <c r="D111" s="193">
        <f>SUM(D109:D110)</f>
      </c>
      <c r="E111" s="193">
        <f>SUM(E109:E110)</f>
      </c>
      <c r="F111" s="193">
        <f>SUM(F109:F110)</f>
      </c>
      <c r="G111" s="193">
        <f>SUM(G109:G110)</f>
      </c>
      <c r="H111" s="194">
        <f>SUM(H109:H110)</f>
      </c>
      <c r="I111" s="193">
        <f>SUM(I109:I110)</f>
      </c>
      <c r="J111" s="211">
        <f t="shared" si="69"/>
      </c>
      <c r="K111" s="196">
        <f t="shared" si="35"/>
      </c>
      <c r="L111" s="197">
        <f t="shared" si="34"/>
      </c>
      <c r="M111" s="198">
        <f t="shared" si="33"/>
      </c>
      <c r="N111" s="198">
        <f t="shared" si="82"/>
      </c>
      <c r="O111" s="199">
        <f t="shared" ref="O111:O112" si="101">(U111*1000)/D111</f>
      </c>
      <c r="P111" s="199"/>
      <c r="Q111" s="199"/>
      <c r="R111" s="194">
        <f>SUM(R109:R110)</f>
      </c>
      <c r="S111" s="194">
        <f>SUM(S109:S110)</f>
      </c>
      <c r="T111" s="194">
        <f>SUM(T109:T110)</f>
      </c>
      <c r="U111" s="194">
        <f>SUM(U109:U110)</f>
      </c>
      <c r="V111" s="194">
        <f>SUM(V109:V110)</f>
      </c>
      <c r="W111" s="200"/>
    </row>
    <row r="112">
      <c r="A112" s="178"/>
      <c r="B112" s="201" t="s">
        <v>132</v>
      </c>
      <c r="C112" s="201"/>
      <c r="D112" s="202">
        <f>D108+D111</f>
      </c>
      <c r="E112" s="202">
        <f>E108+E111</f>
      </c>
      <c r="F112" s="202">
        <f>F108+F111</f>
      </c>
      <c r="G112" s="202">
        <f>G108+G111</f>
      </c>
      <c r="H112" s="212">
        <f>H108+H111</f>
      </c>
      <c r="I112" s="202">
        <f>I108+I111</f>
      </c>
      <c r="J112" s="204">
        <f t="shared" si="69"/>
      </c>
      <c r="K112" s="204">
        <f t="shared" si="35"/>
      </c>
      <c r="L112" s="205">
        <f t="shared" si="34"/>
      </c>
      <c r="M112" s="206">
        <f t="shared" si="33"/>
      </c>
      <c r="N112" s="206">
        <f t="shared" si="82"/>
      </c>
      <c r="O112" s="204">
        <f t="shared" si="101"/>
      </c>
      <c r="P112" s="207"/>
      <c r="Q112" s="207"/>
      <c r="R112" s="212">
        <f>R108+R111</f>
      </c>
      <c r="S112" s="212">
        <f>S108+S111</f>
      </c>
      <c r="T112" s="212">
        <f>T108+T111</f>
      </c>
      <c r="U112" s="212">
        <f>U108+U111</f>
      </c>
      <c r="V112" s="212">
        <f>V108+V111</f>
      </c>
      <c r="W112" s="212"/>
    </row>
    <row r="113">
      <c r="A113" s="178">
        <v>46260</v>
      </c>
      <c r="B113" s="223" t="s">
        <v>133</v>
      </c>
      <c r="C113" s="220" t="s">
        <v>134</v>
      </c>
      <c r="D113" s="181">
        <f t="shared" ref="D113:D116" si="23">SUM(E113:G113)</f>
      </c>
      <c r="E113" s="180">
        <v>405.66</v>
      </c>
      <c r="F113" s="180">
        <v>3448.48</v>
      </c>
      <c r="G113" s="180">
        <v>0</v>
      </c>
      <c r="H113" s="182">
        <v>5</v>
      </c>
      <c r="I113" s="180">
        <v>7168.72</v>
      </c>
      <c r="J113" s="183">
        <f t="shared" si="69"/>
      </c>
      <c r="K113" s="183">
        <f t="shared" si="35"/>
      </c>
      <c r="L113" s="184">
        <f t="shared" si="34"/>
      </c>
      <c r="M113" s="185">
        <f t="shared" si="33"/>
      </c>
      <c r="N113" s="186">
        <f t="shared" si="82"/>
      </c>
      <c r="O113" s="216">
        <f t="shared" ref="O113:O116" si="59">(V113*1000)/D113</f>
      </c>
      <c r="P113" s="217" t="s">
        <v>129</v>
      </c>
      <c r="Q113" s="189" t="s">
        <v>135</v>
      </c>
      <c r="R113" s="190">
        <v>37687</v>
      </c>
      <c r="S113" s="190">
        <v>720</v>
      </c>
      <c r="T113" s="190">
        <v>4</v>
      </c>
      <c r="U113" s="191">
        <v>0</v>
      </c>
      <c r="V113" s="191">
        <v>19</v>
      </c>
      <c r="W113" s="190"/>
    </row>
    <row r="114">
      <c r="A114" s="178"/>
      <c r="B114" s="224" t="s">
        <v>133</v>
      </c>
      <c r="C114" s="225" t="s">
        <v>128</v>
      </c>
      <c r="D114" s="226">
        <f t="shared" si="23"/>
      </c>
      <c r="E114" s="180">
        <v>303.76</v>
      </c>
      <c r="F114" s="180">
        <v>3651.52</v>
      </c>
      <c r="G114" s="180">
        <v>0</v>
      </c>
      <c r="H114" s="182">
        <v>17</v>
      </c>
      <c r="I114" s="180">
        <v>11449.46</v>
      </c>
      <c r="J114" s="183">
        <f t="shared" si="69"/>
      </c>
      <c r="K114" s="183">
        <f t="shared" si="35"/>
      </c>
      <c r="L114" s="184">
        <f t="shared" si="34"/>
      </c>
      <c r="M114" s="185">
        <f t="shared" si="33"/>
      </c>
      <c r="N114" s="186">
        <f t="shared" si="82"/>
      </c>
      <c r="O114" s="216">
        <f t="shared" si="59"/>
      </c>
      <c r="P114" s="217" t="s">
        <v>129</v>
      </c>
      <c r="Q114" s="189" t="s">
        <v>135</v>
      </c>
      <c r="R114" s="190">
        <v>40043</v>
      </c>
      <c r="S114" s="190">
        <v>748</v>
      </c>
      <c r="T114" s="190">
        <v>14</v>
      </c>
      <c r="U114" s="191">
        <v>0</v>
      </c>
      <c r="V114" s="191">
        <v>33</v>
      </c>
      <c r="W114" s="190"/>
    </row>
    <row r="115">
      <c r="A115" s="178"/>
      <c r="B115" s="223" t="s">
        <v>133</v>
      </c>
      <c r="C115" s="227" t="s">
        <v>136</v>
      </c>
      <c r="D115" s="181">
        <f t="shared" si="23"/>
      </c>
      <c r="E115" s="180">
        <v>278.88</v>
      </c>
      <c r="F115" s="208">
        <v>4899.34</v>
      </c>
      <c r="G115" s="208">
        <v>0</v>
      </c>
      <c r="H115" s="221">
        <v>10</v>
      </c>
      <c r="I115" s="220">
        <v>10831.82</v>
      </c>
      <c r="J115" s="183">
        <f t="shared" si="69"/>
      </c>
      <c r="K115" s="183">
        <f t="shared" si="35"/>
      </c>
      <c r="L115" s="184">
        <f t="shared" si="34"/>
      </c>
      <c r="M115" s="185">
        <f t="shared" si="33"/>
      </c>
      <c r="N115" s="186">
        <f t="shared" si="82"/>
      </c>
      <c r="O115" s="216">
        <f t="shared" si="59"/>
      </c>
      <c r="P115" s="217" t="s">
        <v>129</v>
      </c>
      <c r="Q115" s="189" t="s">
        <v>135</v>
      </c>
      <c r="R115" s="190">
        <v>54166</v>
      </c>
      <c r="S115" s="190">
        <v>888</v>
      </c>
      <c r="T115" s="190">
        <v>6</v>
      </c>
      <c r="U115" s="191">
        <v>0</v>
      </c>
      <c r="V115" s="191">
        <v>33</v>
      </c>
      <c r="W115" s="190"/>
    </row>
    <row customHeight="true" ht="16.666666666666668" r="116">
      <c r="A116" s="178"/>
      <c r="B116" s="223" t="s">
        <v>133</v>
      </c>
      <c r="C116" s="180" t="s">
        <v>138</v>
      </c>
      <c r="D116" s="181">
        <f t="shared" si="23"/>
      </c>
      <c r="E116" s="180">
        <v>217.32</v>
      </c>
      <c r="F116" s="208">
        <v>282.76</v>
      </c>
      <c r="G116" s="208">
        <v>0</v>
      </c>
      <c r="H116" s="209">
        <v>0</v>
      </c>
      <c r="I116" s="208">
        <v>0</v>
      </c>
      <c r="J116" s="183">
        <f t="shared" si="69"/>
      </c>
      <c r="K116" s="183">
        <f t="shared" si="35"/>
      </c>
      <c r="L116" s="184">
        <f t="shared" si="34"/>
      </c>
      <c r="M116" s="185">
        <f t="shared" si="33"/>
      </c>
      <c r="N116" s="186">
        <f t="shared" si="82"/>
      </c>
      <c r="O116" s="216">
        <f t="shared" si="59"/>
      </c>
      <c r="P116" s="217" t="s">
        <v>129</v>
      </c>
      <c r="Q116" s="189" t="s">
        <v>135</v>
      </c>
      <c r="R116" s="190">
        <v>4538</v>
      </c>
      <c r="S116" s="190">
        <v>111</v>
      </c>
      <c r="T116" s="190">
        <v>0</v>
      </c>
      <c r="U116" s="191">
        <v>0</v>
      </c>
      <c r="V116" s="191">
        <v>4</v>
      </c>
      <c r="W116" s="190"/>
    </row>
    <row r="117">
      <c r="A117" s="178"/>
      <c r="B117" s="192" t="s">
        <v>131</v>
      </c>
      <c r="C117" s="192"/>
      <c r="D117" s="193">
        <f>SUM(D113:D116)</f>
      </c>
      <c r="E117" s="193">
        <f>SUM(E113:E116)</f>
      </c>
      <c r="F117" s="193">
        <f>SUM(F113:F116)</f>
      </c>
      <c r="G117" s="193">
        <f>SUM(G113:G116)</f>
      </c>
      <c r="H117" s="194">
        <f>SUM(H113:H116)</f>
      </c>
      <c r="I117" s="193">
        <f>SUM(I113:I116)</f>
      </c>
      <c r="J117" s="195">
        <f t="shared" si="69"/>
      </c>
      <c r="K117" s="196">
        <f t="shared" si="35"/>
      </c>
      <c r="L117" s="197">
        <f t="shared" si="34"/>
      </c>
      <c r="M117" s="198">
        <f t="shared" si="33"/>
      </c>
      <c r="N117" s="198">
        <f>H117/T117</f>
      </c>
      <c r="O117" s="199">
        <f>(U117*1000)/D117</f>
      </c>
      <c r="P117" s="199"/>
      <c r="Q117" s="199"/>
      <c r="R117" s="194">
        <f>SUM(R113:R116)</f>
      </c>
      <c r="S117" s="194">
        <f>SUM(S113:S116)</f>
      </c>
      <c r="T117" s="194">
        <f>SUM(T113:T116)</f>
      </c>
      <c r="U117" s="194">
        <f>SUM(U113:U116)</f>
      </c>
      <c r="V117" s="194">
        <f>SUM(V113:V116)</f>
      </c>
      <c r="W117" s="200"/>
    </row>
    <row customHeight="true" ht="18.452380952380953" r="118">
      <c r="A118" s="178"/>
      <c r="B118" s="210" t="s">
        <v>146</v>
      </c>
      <c r="C118" s="181" t="s">
        <v>140</v>
      </c>
      <c r="D118" s="181">
        <f t="shared" ref="D118:D119" si="24">SUM(E118:G118)</f>
      </c>
      <c r="E118" s="180">
        <v>201.23</v>
      </c>
      <c r="F118" s="208">
        <v>2970.4</v>
      </c>
      <c r="G118" s="208">
        <v>0</v>
      </c>
      <c r="H118" s="221">
        <v>7</v>
      </c>
      <c r="I118" s="220">
        <v>6431.9000000000015</v>
      </c>
      <c r="J118" s="183">
        <f t="shared" si="69"/>
      </c>
      <c r="K118" s="183">
        <f t="shared" si="35"/>
      </c>
      <c r="L118" s="184">
        <f t="shared" si="34"/>
      </c>
      <c r="M118" s="185">
        <f t="shared" si="33"/>
      </c>
      <c r="N118" s="186">
        <f t="shared" ref="N118:N125" si="83">H118/(T118+H118)</f>
      </c>
      <c r="O118" s="216">
        <f t="shared" ref="O118:O119" si="60">(V118*1000)/D118</f>
      </c>
      <c r="P118" s="217" t="s">
        <v>129</v>
      </c>
      <c r="Q118" s="189" t="s">
        <v>135</v>
      </c>
      <c r="R118" s="190">
        <v>22454</v>
      </c>
      <c r="S118" s="190">
        <v>530</v>
      </c>
      <c r="T118" s="190">
        <v>8</v>
      </c>
      <c r="U118" s="191">
        <v>0</v>
      </c>
      <c r="V118" s="191">
        <v>27</v>
      </c>
      <c r="W118" s="190"/>
    </row>
    <row r="119">
      <c r="A119" s="178"/>
      <c r="B119" s="210" t="s">
        <v>146</v>
      </c>
      <c r="C119" s="181" t="s">
        <v>141</v>
      </c>
      <c r="D119" s="181">
        <f t="shared" si="24"/>
      </c>
      <c r="E119" s="180">
        <v>92.3</v>
      </c>
      <c r="F119" s="180">
        <v>1611.01</v>
      </c>
      <c r="G119" s="208">
        <v>0</v>
      </c>
      <c r="H119" s="215">
        <v>5</v>
      </c>
      <c r="I119" s="181">
        <v>1126.979999999996</v>
      </c>
      <c r="J119" s="183">
        <f t="shared" si="69"/>
      </c>
      <c r="K119" s="183">
        <f t="shared" si="35"/>
      </c>
      <c r="L119" s="184">
        <f t="shared" si="34"/>
      </c>
      <c r="M119" s="185">
        <f t="shared" si="33"/>
      </c>
      <c r="N119" s="186">
        <f t="shared" si="83"/>
      </c>
      <c r="O119" s="216">
        <f t="shared" si="60"/>
      </c>
      <c r="P119" s="217" t="s">
        <v>129</v>
      </c>
      <c r="Q119" s="189" t="s">
        <v>135</v>
      </c>
      <c r="R119" s="190">
        <v>13960</v>
      </c>
      <c r="S119" s="190">
        <v>300</v>
      </c>
      <c r="T119" s="190">
        <v>3</v>
      </c>
      <c r="U119" s="191">
        <v>0</v>
      </c>
      <c r="V119" s="191">
        <v>9</v>
      </c>
      <c r="W119" s="190"/>
    </row>
    <row r="120">
      <c r="A120" s="178"/>
      <c r="B120" s="192" t="s">
        <v>131</v>
      </c>
      <c r="C120" s="192"/>
      <c r="D120" s="193">
        <f>SUM(D118:D119)</f>
      </c>
      <c r="E120" s="193">
        <f>SUM(E118:E119)</f>
      </c>
      <c r="F120" s="193">
        <f>SUM(F118:F119)</f>
      </c>
      <c r="G120" s="193">
        <f>SUM(G118:G119)</f>
      </c>
      <c r="H120" s="194">
        <f>SUM(H118:H119)</f>
      </c>
      <c r="I120" s="193">
        <f>SUM(I118:I119)</f>
      </c>
      <c r="J120" s="211">
        <f t="shared" si="69"/>
      </c>
      <c r="K120" s="196">
        <f t="shared" si="35"/>
      </c>
      <c r="L120" s="197">
        <f t="shared" si="34"/>
      </c>
      <c r="M120" s="198">
        <f t="shared" si="33"/>
      </c>
      <c r="N120" s="198">
        <f t="shared" si="83"/>
      </c>
      <c r="O120" s="199">
        <f t="shared" ref="O120:O121" si="102">(U120*1000)/D120</f>
      </c>
      <c r="P120" s="199"/>
      <c r="Q120" s="199"/>
      <c r="R120" s="194">
        <f>SUM(R118:R119)</f>
      </c>
      <c r="S120" s="194">
        <f>SUM(S118:S119)</f>
      </c>
      <c r="T120" s="194">
        <f>SUM(T118:T119)</f>
      </c>
      <c r="U120" s="194">
        <f>SUM(U118:U119)</f>
      </c>
      <c r="V120" s="194">
        <f>SUM(V118:V119)</f>
      </c>
      <c r="W120" s="200"/>
    </row>
    <row r="121">
      <c r="A121" s="178"/>
      <c r="B121" s="201" t="s">
        <v>132</v>
      </c>
      <c r="C121" s="201"/>
      <c r="D121" s="202">
        <f>D117+D120</f>
      </c>
      <c r="E121" s="202">
        <f>E117+E120</f>
      </c>
      <c r="F121" s="202">
        <f>F117+F120</f>
      </c>
      <c r="G121" s="202">
        <f>G117+G120</f>
      </c>
      <c r="H121" s="212">
        <f>H117+H120</f>
      </c>
      <c r="I121" s="202">
        <f>I117+I120</f>
      </c>
      <c r="J121" s="204">
        <f t="shared" si="69"/>
      </c>
      <c r="K121" s="204">
        <f t="shared" si="35"/>
      </c>
      <c r="L121" s="205">
        <f t="shared" si="34"/>
      </c>
      <c r="M121" s="206">
        <f t="shared" si="33"/>
      </c>
      <c r="N121" s="206">
        <f t="shared" si="83"/>
      </c>
      <c r="O121" s="204">
        <f t="shared" si="102"/>
      </c>
      <c r="P121" s="207"/>
      <c r="Q121" s="207"/>
      <c r="R121" s="212">
        <f>R117+R120</f>
      </c>
      <c r="S121" s="212">
        <f>S117+S120</f>
      </c>
      <c r="T121" s="212">
        <f>T117+T120</f>
      </c>
      <c r="U121" s="212">
        <f>U117+U120</f>
      </c>
      <c r="V121" s="212">
        <f>V117+V120</f>
      </c>
      <c r="W121" s="212"/>
    </row>
    <row r="122">
      <c r="A122" s="178">
        <v>46261</v>
      </c>
      <c r="B122" s="223" t="s">
        <v>133</v>
      </c>
      <c r="C122" s="220" t="s">
        <v>134</v>
      </c>
      <c r="D122" s="181">
        <f t="shared" ref="D122:D125" si="25">SUM(E122:G122)</f>
      </c>
      <c r="E122" s="180">
        <v>133.19</v>
      </c>
      <c r="F122" s="180">
        <v>2857.52</v>
      </c>
      <c r="G122" s="180">
        <v>0</v>
      </c>
      <c r="H122" s="182">
        <v>7</v>
      </c>
      <c r="I122" s="180">
        <v>7069.68</v>
      </c>
      <c r="J122" s="183">
        <f t="shared" si="69"/>
      </c>
      <c r="K122" s="183">
        <f t="shared" si="35"/>
      </c>
      <c r="L122" s="184">
        <f t="shared" si="34"/>
      </c>
      <c r="M122" s="185">
        <f t="shared" si="33"/>
      </c>
      <c r="N122" s="186">
        <f t="shared" si="83"/>
      </c>
      <c r="O122" s="216">
        <f t="shared" ref="O122:O125" si="61">(V122*1000)/D122</f>
      </c>
      <c r="P122" s="217" t="s">
        <v>129</v>
      </c>
      <c r="Q122" s="189" t="s">
        <v>135</v>
      </c>
      <c r="R122" s="190">
        <v>20800</v>
      </c>
      <c r="S122" s="190">
        <v>497</v>
      </c>
      <c r="T122" s="190">
        <v>6</v>
      </c>
      <c r="U122" s="191">
        <v>1</v>
      </c>
      <c r="V122" s="191">
        <v>25</v>
      </c>
      <c r="W122" s="190"/>
    </row>
    <row r="123">
      <c r="A123" s="178"/>
      <c r="B123" s="224" t="s">
        <v>133</v>
      </c>
      <c r="C123" s="225" t="s">
        <v>128</v>
      </c>
      <c r="D123" s="226">
        <f t="shared" si="25"/>
      </c>
      <c r="E123" s="180">
        <v>171.55</v>
      </c>
      <c r="F123" s="180">
        <v>2634.41</v>
      </c>
      <c r="G123" s="180">
        <v>0</v>
      </c>
      <c r="H123" s="182">
        <v>9</v>
      </c>
      <c r="I123" s="180">
        <v>7052.82</v>
      </c>
      <c r="J123" s="183">
        <f t="shared" si="69"/>
      </c>
      <c r="K123" s="183">
        <f t="shared" si="35"/>
      </c>
      <c r="L123" s="184">
        <f t="shared" si="34"/>
      </c>
      <c r="M123" s="185">
        <f t="shared" si="33"/>
      </c>
      <c r="N123" s="186">
        <f t="shared" si="83"/>
      </c>
      <c r="O123" s="216">
        <f t="shared" si="61"/>
      </c>
      <c r="P123" s="217" t="s">
        <v>129</v>
      </c>
      <c r="Q123" s="189" t="s">
        <v>135</v>
      </c>
      <c r="R123" s="190">
        <v>19218</v>
      </c>
      <c r="S123" s="190">
        <v>495</v>
      </c>
      <c r="T123" s="190">
        <v>7</v>
      </c>
      <c r="U123" s="191">
        <v>0</v>
      </c>
      <c r="V123" s="191">
        <v>27</v>
      </c>
      <c r="W123" s="190"/>
    </row>
    <row r="124">
      <c r="A124" s="178"/>
      <c r="B124" s="223" t="s">
        <v>133</v>
      </c>
      <c r="C124" s="227" t="s">
        <v>136</v>
      </c>
      <c r="D124" s="181">
        <f t="shared" si="25"/>
      </c>
      <c r="E124" s="180">
        <v>301.42</v>
      </c>
      <c r="F124" s="208">
        <v>2122.63</v>
      </c>
      <c r="G124" s="208">
        <v>0</v>
      </c>
      <c r="H124" s="221">
        <v>7</v>
      </c>
      <c r="I124" s="220">
        <v>5941.759999999998</v>
      </c>
      <c r="J124" s="183">
        <f t="shared" si="69"/>
      </c>
      <c r="K124" s="183">
        <f t="shared" si="35"/>
      </c>
      <c r="L124" s="184">
        <f t="shared" si="34"/>
      </c>
      <c r="M124" s="185">
        <f t="shared" si="33"/>
      </c>
      <c r="N124" s="186">
        <f t="shared" si="83"/>
      </c>
      <c r="O124" s="216">
        <f t="shared" si="61"/>
      </c>
      <c r="P124" s="217" t="s">
        <v>129</v>
      </c>
      <c r="Q124" s="189" t="s">
        <v>135</v>
      </c>
      <c r="R124" s="190">
        <v>17797</v>
      </c>
      <c r="S124" s="190">
        <v>476</v>
      </c>
      <c r="T124" s="190">
        <v>6</v>
      </c>
      <c r="U124" s="191">
        <v>0</v>
      </c>
      <c r="V124" s="191">
        <v>12</v>
      </c>
      <c r="W124" s="190"/>
    </row>
    <row customHeight="true" ht="16.666666666666668" r="125">
      <c r="A125" s="178"/>
      <c r="B125" s="223" t="s">
        <v>133</v>
      </c>
      <c r="C125" s="180" t="s">
        <v>138</v>
      </c>
      <c r="D125" s="181">
        <f t="shared" si="25"/>
      </c>
      <c r="E125" s="180">
        <v>537.54</v>
      </c>
      <c r="F125" s="208">
        <v>2405.57</v>
      </c>
      <c r="G125" s="208">
        <v>0</v>
      </c>
      <c r="H125" s="209">
        <v>11</v>
      </c>
      <c r="I125" s="208">
        <v>10104.320000000003</v>
      </c>
      <c r="J125" s="183">
        <f t="shared" si="69"/>
      </c>
      <c r="K125" s="183">
        <f t="shared" si="35"/>
      </c>
      <c r="L125" s="184">
        <f t="shared" si="34"/>
      </c>
      <c r="M125" s="185">
        <f t="shared" si="33"/>
      </c>
      <c r="N125" s="186">
        <f t="shared" si="83"/>
      </c>
      <c r="O125" s="216">
        <f t="shared" si="61"/>
      </c>
      <c r="P125" s="217" t="s">
        <v>129</v>
      </c>
      <c r="Q125" s="189" t="s">
        <v>135</v>
      </c>
      <c r="R125" s="190">
        <v>16243</v>
      </c>
      <c r="S125" s="190">
        <v>520</v>
      </c>
      <c r="T125" s="190">
        <v>10</v>
      </c>
      <c r="U125" s="191">
        <v>1</v>
      </c>
      <c r="V125" s="191">
        <v>26</v>
      </c>
      <c r="W125" s="190"/>
    </row>
    <row r="126">
      <c r="A126" s="178"/>
      <c r="B126" s="192" t="s">
        <v>131</v>
      </c>
      <c r="C126" s="192"/>
      <c r="D126" s="193">
        <f>SUM(D122:D125)</f>
      </c>
      <c r="E126" s="193">
        <f>SUM(E122:E125)</f>
      </c>
      <c r="F126" s="193">
        <f>SUM(F122:F125)</f>
      </c>
      <c r="G126" s="193">
        <f>SUM(G122:G125)</f>
      </c>
      <c r="H126" s="194">
        <f>SUM(H122:H125)</f>
      </c>
      <c r="I126" s="193">
        <f>SUM(I122:I125)</f>
      </c>
      <c r="J126" s="195">
        <f t="shared" si="69"/>
      </c>
      <c r="K126" s="196">
        <f t="shared" si="35"/>
      </c>
      <c r="L126" s="197">
        <f t="shared" si="34"/>
      </c>
      <c r="M126" s="198">
        <f t="shared" si="33"/>
      </c>
      <c r="N126" s="198">
        <f>H126/T126</f>
      </c>
      <c r="O126" s="199">
        <f>(U126*1000)/D126</f>
      </c>
      <c r="P126" s="199"/>
      <c r="Q126" s="199"/>
      <c r="R126" s="194">
        <f>SUM(R122:R125)</f>
      </c>
      <c r="S126" s="194">
        <f>SUM(S122:S125)</f>
      </c>
      <c r="T126" s="194">
        <f>SUM(T122:T125)</f>
      </c>
      <c r="U126" s="194">
        <f>SUM(U122:U125)</f>
      </c>
      <c r="V126" s="194">
        <f>SUM(V122:V125)</f>
      </c>
      <c r="W126" s="200"/>
    </row>
    <row r="127">
      <c r="A127" s="178"/>
      <c r="B127" s="210" t="s">
        <v>127</v>
      </c>
      <c r="C127" s="181" t="s">
        <v>140</v>
      </c>
      <c r="D127" s="181">
        <f t="shared" ref="D127:D128" si="26">SUM(E127:G127)</f>
      </c>
      <c r="E127" s="180">
        <v>680.42</v>
      </c>
      <c r="F127" s="208">
        <v>2703.78</v>
      </c>
      <c r="G127" s="208">
        <v>0</v>
      </c>
      <c r="H127" s="221">
        <v>4</v>
      </c>
      <c r="I127" s="220">
        <v>907.9799999999996</v>
      </c>
      <c r="J127" s="183">
        <f t="shared" si="69"/>
      </c>
      <c r="K127" s="183">
        <f t="shared" si="35"/>
      </c>
      <c r="L127" s="184">
        <f t="shared" si="34"/>
      </c>
      <c r="M127" s="185">
        <f t="shared" si="33"/>
      </c>
      <c r="N127" s="186">
        <f t="shared" ref="N127:N135" si="84">H127/(T127+H127)</f>
      </c>
      <c r="O127" s="216">
        <f t="shared" ref="O127:O128" si="62">(V127*1000)/D127</f>
      </c>
      <c r="P127" s="217" t="s">
        <v>129</v>
      </c>
      <c r="Q127" s="189" t="s">
        <v>135</v>
      </c>
      <c r="R127" s="190">
        <v>19510</v>
      </c>
      <c r="S127" s="190">
        <v>682</v>
      </c>
      <c r="T127" s="190">
        <v>3</v>
      </c>
      <c r="U127" s="191">
        <v>0</v>
      </c>
      <c r="V127" s="191">
        <v>40</v>
      </c>
      <c r="W127" s="190"/>
    </row>
    <row r="128">
      <c r="A128" s="178"/>
      <c r="B128" s="210" t="s">
        <v>127</v>
      </c>
      <c r="C128" s="181" t="s">
        <v>141</v>
      </c>
      <c r="D128" s="181">
        <f t="shared" si="26"/>
      </c>
      <c r="E128" s="180">
        <v>267.68</v>
      </c>
      <c r="F128" s="180">
        <v>825.99</v>
      </c>
      <c r="G128" s="208">
        <v>0</v>
      </c>
      <c r="H128" s="182">
        <v>4</v>
      </c>
      <c r="I128" s="180">
        <v>3610.56</v>
      </c>
      <c r="J128" s="183">
        <f t="shared" si="69"/>
      </c>
      <c r="K128" s="183">
        <f t="shared" si="35"/>
      </c>
      <c r="L128" s="184">
        <f t="shared" si="34"/>
      </c>
      <c r="M128" s="185">
        <f t="shared" si="33"/>
      </c>
      <c r="N128" s="186">
        <f t="shared" si="84"/>
      </c>
      <c r="O128" s="216">
        <f t="shared" si="62"/>
      </c>
      <c r="P128" s="217" t="s">
        <v>129</v>
      </c>
      <c r="Q128" s="189" t="s">
        <v>135</v>
      </c>
      <c r="R128" s="190">
        <v>7510</v>
      </c>
      <c r="S128" s="190">
        <v>280</v>
      </c>
      <c r="T128" s="190">
        <v>5</v>
      </c>
      <c r="U128" s="191">
        <v>1</v>
      </c>
      <c r="V128" s="191">
        <v>8</v>
      </c>
      <c r="W128" s="190"/>
    </row>
    <row r="129">
      <c r="A129" s="178"/>
      <c r="B129" s="192" t="s">
        <v>131</v>
      </c>
      <c r="C129" s="192"/>
      <c r="D129" s="193">
        <f>SUM(D127:D128)</f>
      </c>
      <c r="E129" s="193">
        <f>SUM(E127:E128)</f>
      </c>
      <c r="F129" s="193">
        <f>SUM(F127:F128)</f>
      </c>
      <c r="G129" s="193">
        <f>SUM(G127:G128)</f>
      </c>
      <c r="H129" s="194">
        <f>SUM(H127:H128)</f>
      </c>
      <c r="I129" s="193">
        <f>SUM(I127:I128)</f>
      </c>
      <c r="J129" s="211">
        <f t="shared" si="69"/>
      </c>
      <c r="K129" s="196">
        <f t="shared" si="35"/>
      </c>
      <c r="L129" s="197">
        <f t="shared" si="34"/>
      </c>
      <c r="M129" s="198">
        <f t="shared" si="33"/>
      </c>
      <c r="N129" s="198">
        <f t="shared" si="84"/>
      </c>
      <c r="O129" s="199">
        <f t="shared" ref="O129:O130" si="103">(U129*1000)/D129</f>
      </c>
      <c r="P129" s="199"/>
      <c r="Q129" s="199"/>
      <c r="R129" s="194">
        <f>SUM(R127:R128)</f>
      </c>
      <c r="S129" s="194">
        <f>SUM(S127:S128)</f>
      </c>
      <c r="T129" s="194">
        <f>SUM(T127:T128)</f>
      </c>
      <c r="U129" s="194">
        <f>SUM(U127:U128)</f>
      </c>
      <c r="V129" s="194">
        <f>SUM(V127:V128)</f>
      </c>
      <c r="W129" s="200"/>
    </row>
    <row r="130">
      <c r="A130" s="178"/>
      <c r="B130" s="201" t="s">
        <v>132</v>
      </c>
      <c r="C130" s="201"/>
      <c r="D130" s="202">
        <f>D126+D129</f>
      </c>
      <c r="E130" s="202">
        <f>E126+E129</f>
      </c>
      <c r="F130" s="202">
        <f>F126+F129</f>
      </c>
      <c r="G130" s="202">
        <f>G126+G129</f>
      </c>
      <c r="H130" s="212">
        <f>H126+H129</f>
      </c>
      <c r="I130" s="202">
        <f>I126+I129</f>
      </c>
      <c r="J130" s="204">
        <f t="shared" si="69"/>
      </c>
      <c r="K130" s="204">
        <f t="shared" si="35"/>
      </c>
      <c r="L130" s="205">
        <f t="shared" si="34"/>
      </c>
      <c r="M130" s="206">
        <f t="shared" si="33"/>
      </c>
      <c r="N130" s="206">
        <f t="shared" si="84"/>
      </c>
      <c r="O130" s="204">
        <f t="shared" si="103"/>
      </c>
      <c r="P130" s="207"/>
      <c r="Q130" s="207"/>
      <c r="R130" s="212">
        <f>R126+R129</f>
      </c>
      <c r="S130" s="212">
        <f>S126+S129</f>
      </c>
      <c r="T130" s="212">
        <f>T126+T129</f>
      </c>
      <c r="U130" s="212">
        <f>U126+U129</f>
      </c>
      <c r="V130" s="212">
        <f>V126+V129</f>
      </c>
      <c r="W130" s="212"/>
    </row>
    <row r="131">
      <c r="A131" s="178">
        <v>46262</v>
      </c>
      <c r="B131" s="223" t="s">
        <v>133</v>
      </c>
      <c r="C131" s="220" t="s">
        <v>134</v>
      </c>
      <c r="D131" s="181">
        <f t="shared" ref="D131:D135" si="27">SUM(E131:G131)</f>
      </c>
      <c r="E131" s="180">
        <v>255.73</v>
      </c>
      <c r="F131" s="180">
        <v>1901.64</v>
      </c>
      <c r="G131" s="180">
        <v>0</v>
      </c>
      <c r="H131" s="182">
        <v>4</v>
      </c>
      <c r="I131" s="180">
        <v>3205.6200000000003</v>
      </c>
      <c r="J131" s="183">
        <f t="shared" si="69"/>
      </c>
      <c r="K131" s="183">
        <f t="shared" si="35"/>
      </c>
      <c r="L131" s="184">
        <f t="shared" si="34"/>
      </c>
      <c r="M131" s="185">
        <f t="shared" si="33"/>
      </c>
      <c r="N131" s="186">
        <f t="shared" si="84"/>
      </c>
      <c r="O131" s="216">
        <f t="shared" ref="O131:O135" si="63">(V131*1000)/D131</f>
      </c>
      <c r="P131" s="217" t="s">
        <v>129</v>
      </c>
      <c r="Q131" s="189" t="s">
        <v>135</v>
      </c>
      <c r="R131" s="190">
        <v>15516</v>
      </c>
      <c r="S131" s="190">
        <v>365</v>
      </c>
      <c r="T131" s="190">
        <v>3</v>
      </c>
      <c r="U131" s="191">
        <v>0</v>
      </c>
      <c r="V131" s="191">
        <v>8</v>
      </c>
      <c r="W131" s="190"/>
    </row>
    <row r="132">
      <c r="A132" s="178"/>
      <c r="B132" s="224" t="s">
        <v>133</v>
      </c>
      <c r="C132" s="225" t="s">
        <v>128</v>
      </c>
      <c r="D132" s="226">
        <f t="shared" si="27"/>
      </c>
      <c r="E132" s="180">
        <v>186.51</v>
      </c>
      <c r="F132" s="180">
        <v>2954.47</v>
      </c>
      <c r="G132" s="180">
        <v>0</v>
      </c>
      <c r="H132" s="182">
        <v>12</v>
      </c>
      <c r="I132" s="180">
        <v>9615.36</v>
      </c>
      <c r="J132" s="183">
        <f t="shared" si="69"/>
      </c>
      <c r="K132" s="183">
        <f t="shared" si="35"/>
      </c>
      <c r="L132" s="184">
        <f t="shared" si="34"/>
      </c>
      <c r="M132" s="185">
        <f t="shared" si="33"/>
      </c>
      <c r="N132" s="186">
        <f t="shared" si="84"/>
      </c>
      <c r="O132" s="216">
        <f t="shared" si="63"/>
      </c>
      <c r="P132" s="217" t="s">
        <v>129</v>
      </c>
      <c r="Q132" s="189" t="s">
        <v>135</v>
      </c>
      <c r="R132" s="190">
        <v>27500</v>
      </c>
      <c r="S132" s="190">
        <v>586</v>
      </c>
      <c r="T132" s="190">
        <v>8</v>
      </c>
      <c r="U132" s="191">
        <v>0</v>
      </c>
      <c r="V132" s="191">
        <v>21</v>
      </c>
      <c r="W132" s="190"/>
    </row>
    <row r="133">
      <c r="A133" s="178"/>
      <c r="B133" s="223" t="s">
        <v>133</v>
      </c>
      <c r="C133" s="227" t="s">
        <v>136</v>
      </c>
      <c r="D133" s="181">
        <f t="shared" si="27"/>
      </c>
      <c r="E133" s="180">
        <v>183.62</v>
      </c>
      <c r="F133" s="208">
        <v>2724.09</v>
      </c>
      <c r="G133" s="208">
        <v>0</v>
      </c>
      <c r="H133" s="221">
        <v>9</v>
      </c>
      <c r="I133" s="220">
        <v>8769.819999999998</v>
      </c>
      <c r="J133" s="183">
        <f t="shared" si="69"/>
      </c>
      <c r="K133" s="183">
        <f t="shared" si="35"/>
      </c>
      <c r="L133" s="184">
        <f t="shared" si="34"/>
      </c>
      <c r="M133" s="185">
        <f t="shared" si="33"/>
      </c>
      <c r="N133" s="186">
        <f t="shared" si="84"/>
      </c>
      <c r="O133" s="216">
        <f t="shared" si="63"/>
      </c>
      <c r="P133" s="217" t="s">
        <v>129</v>
      </c>
      <c r="Q133" s="189" t="s">
        <v>135</v>
      </c>
      <c r="R133" s="190">
        <v>29062</v>
      </c>
      <c r="S133" s="190">
        <v>538</v>
      </c>
      <c r="T133" s="190">
        <v>11</v>
      </c>
      <c r="U133" s="191">
        <v>0</v>
      </c>
      <c r="V133" s="191">
        <v>25</v>
      </c>
      <c r="W133" s="190"/>
    </row>
    <row r="134">
      <c r="A134" s="178"/>
      <c r="B134" s="223" t="s">
        <v>133</v>
      </c>
      <c r="C134" s="180" t="s">
        <v>138</v>
      </c>
      <c r="D134" s="181">
        <f t="shared" si="27"/>
      </c>
      <c r="E134" s="180">
        <v>226.33</v>
      </c>
      <c r="F134" s="208">
        <v>2178.65</v>
      </c>
      <c r="G134" s="208">
        <v>0</v>
      </c>
      <c r="H134" s="209">
        <v>1</v>
      </c>
      <c r="I134" s="208">
        <v>1179.8399999999997</v>
      </c>
      <c r="J134" s="183">
        <f t="shared" si="69"/>
      </c>
      <c r="K134" s="183">
        <f t="shared" si="35"/>
      </c>
      <c r="L134" s="184">
        <f t="shared" si="34"/>
      </c>
      <c r="M134" s="185">
        <f t="shared" si="33"/>
      </c>
      <c r="N134" s="186">
        <f t="shared" si="84"/>
      </c>
      <c r="O134" s="216">
        <f t="shared" si="63"/>
      </c>
      <c r="P134" s="217" t="s">
        <v>129</v>
      </c>
      <c r="Q134" s="189" t="s">
        <v>135</v>
      </c>
      <c r="R134" s="190">
        <v>21366</v>
      </c>
      <c r="S134" s="190">
        <v>501</v>
      </c>
      <c r="T134" s="190">
        <v>0</v>
      </c>
      <c r="U134" s="191">
        <v>1</v>
      </c>
      <c r="V134" s="191">
        <v>18</v>
      </c>
      <c r="W134" s="190"/>
    </row>
    <row customHeight="true" ht="16.666666666666668" r="135">
      <c r="A135" s="178"/>
      <c r="B135" s="223" t="s">
        <v>133</v>
      </c>
      <c r="C135" s="181" t="s">
        <v>140</v>
      </c>
      <c r="D135" s="181">
        <f t="shared" si="27"/>
      </c>
      <c r="E135" s="180">
        <v>234.31</v>
      </c>
      <c r="F135" s="208">
        <v>2625.51</v>
      </c>
      <c r="G135" s="208">
        <v>0</v>
      </c>
      <c r="H135" s="209">
        <v>11</v>
      </c>
      <c r="I135" s="208">
        <v>4392.319999999999</v>
      </c>
      <c r="J135" s="183">
        <f t="shared" si="69"/>
      </c>
      <c r="K135" s="183">
        <f t="shared" si="35"/>
      </c>
      <c r="L135" s="184">
        <f t="shared" si="34"/>
      </c>
      <c r="M135" s="185">
        <f t="shared" si="33"/>
      </c>
      <c r="N135" s="186">
        <f t="shared" si="84"/>
      </c>
      <c r="O135" s="216">
        <f t="shared" si="63"/>
      </c>
      <c r="P135" s="217" t="s">
        <v>129</v>
      </c>
      <c r="Q135" s="189" t="s">
        <v>135</v>
      </c>
      <c r="R135" s="190">
        <v>25173</v>
      </c>
      <c r="S135" s="190">
        <v>604</v>
      </c>
      <c r="T135" s="190">
        <v>11</v>
      </c>
      <c r="U135" s="191">
        <v>0</v>
      </c>
      <c r="V135" s="191">
        <v>25</v>
      </c>
      <c r="W135" s="190"/>
    </row>
    <row r="136">
      <c r="A136" s="178"/>
      <c r="B136" s="192" t="s">
        <v>131</v>
      </c>
      <c r="C136" s="192"/>
      <c r="D136" s="193">
        <f>SUM(D131:D135)</f>
      </c>
      <c r="E136" s="193">
        <f>SUM(E131:E135)</f>
      </c>
      <c r="F136" s="193">
        <f>SUM(F131:F135)</f>
      </c>
      <c r="G136" s="193">
        <f>SUM(G131:G135)</f>
      </c>
      <c r="H136" s="194">
        <f>SUM(H131:H135)</f>
      </c>
      <c r="I136" s="193">
        <f>SUM(I131:I135)</f>
      </c>
      <c r="J136" s="195">
        <f t="shared" si="69"/>
      </c>
      <c r="K136" s="196">
        <f t="shared" si="35"/>
      </c>
      <c r="L136" s="197">
        <f t="shared" si="34"/>
      </c>
      <c r="M136" s="198">
        <f t="shared" si="33"/>
      </c>
      <c r="N136" s="198">
        <f>H136/T136</f>
      </c>
      <c r="O136" s="199">
        <f>(U136*1000)/D136</f>
      </c>
      <c r="P136" s="199"/>
      <c r="Q136" s="199"/>
      <c r="R136" s="194">
        <f>SUM(R131:R135)</f>
      </c>
      <c r="S136" s="194">
        <f>SUM(S131:S135)</f>
      </c>
      <c r="T136" s="194">
        <f>SUM(T131:T135)</f>
      </c>
      <c r="U136" s="194">
        <f>SUM(U131:U135)</f>
      </c>
      <c r="V136" s="194">
        <f>SUM(V131:V135)</f>
      </c>
      <c r="W136" s="200"/>
    </row>
    <row r="137">
      <c r="A137" s="178"/>
      <c r="B137" s="210" t="s">
        <v>127</v>
      </c>
      <c r="C137" s="181" t="s">
        <v>141</v>
      </c>
      <c r="D137" s="181">
        <f>SUM(E137:G137)</f>
      </c>
      <c r="E137" s="180">
        <v>576.33</v>
      </c>
      <c r="F137" s="208">
        <v>2560.8</v>
      </c>
      <c r="G137" s="208">
        <v>0</v>
      </c>
      <c r="H137" s="209">
        <v>5</v>
      </c>
      <c r="I137" s="208">
        <v>2478.560000000001</v>
      </c>
      <c r="J137" s="183">
        <f t="shared" si="69"/>
      </c>
      <c r="K137" s="183">
        <f t="shared" si="35"/>
      </c>
      <c r="L137" s="184">
        <f t="shared" si="34"/>
      </c>
      <c r="M137" s="185">
        <f t="shared" si="33"/>
      </c>
      <c r="N137" s="186">
        <f t="shared" ref="N137:N144" si="85">H137/(T137+H137)</f>
      </c>
      <c r="O137" s="216">
        <f>(V137*1000)/D137</f>
      </c>
      <c r="P137" s="217" t="s">
        <v>129</v>
      </c>
      <c r="Q137" s="189" t="s">
        <v>135</v>
      </c>
      <c r="R137" s="191">
        <v>31833</v>
      </c>
      <c r="S137" s="191">
        <v>771</v>
      </c>
      <c r="T137" s="191">
        <v>4</v>
      </c>
      <c r="U137" s="191">
        <v>0</v>
      </c>
      <c r="V137" s="191">
        <v>25</v>
      </c>
      <c r="W137" s="190"/>
    </row>
    <row r="138">
      <c r="A138" s="178"/>
      <c r="B138" s="192" t="s">
        <v>131</v>
      </c>
      <c r="C138" s="192"/>
      <c r="D138" s="193">
        <f>SUM(D137)</f>
      </c>
      <c r="E138" s="193">
        <f>SUM(E137)</f>
      </c>
      <c r="F138" s="193">
        <f>SUM(F137)</f>
      </c>
      <c r="G138" s="193">
        <f>SUM(G137)</f>
      </c>
      <c r="H138" s="194">
        <f>SUM(H137)</f>
      </c>
      <c r="I138" s="193">
        <f>SUM(I137)</f>
      </c>
      <c r="J138" s="211">
        <f t="shared" si="69"/>
      </c>
      <c r="K138" s="196">
        <f t="shared" si="35"/>
      </c>
      <c r="L138" s="197">
        <f t="shared" si="34"/>
      </c>
      <c r="M138" s="198">
        <f t="shared" si="33"/>
      </c>
      <c r="N138" s="198">
        <f t="shared" si="85"/>
      </c>
      <c r="O138" s="199">
        <f t="shared" ref="O138:O139" si="104">(U138*1000)/D138</f>
      </c>
      <c r="P138" s="199"/>
      <c r="Q138" s="199"/>
      <c r="R138" s="194">
        <f>SUM(R137)</f>
      </c>
      <c r="S138" s="194">
        <f>SUM(S137)</f>
      </c>
      <c r="T138" s="194">
        <f>SUM(T137)</f>
      </c>
      <c r="U138" s="194">
        <f>SUM(U137)</f>
      </c>
      <c r="V138" s="194">
        <f>SUM(V137)</f>
      </c>
      <c r="W138" s="200"/>
    </row>
    <row r="139">
      <c r="A139" s="178"/>
      <c r="B139" s="201" t="s">
        <v>132</v>
      </c>
      <c r="C139" s="201"/>
      <c r="D139" s="202">
        <f>D136+D138</f>
      </c>
      <c r="E139" s="202">
        <f>E136+E138</f>
      </c>
      <c r="F139" s="202">
        <f>F136+F138</f>
      </c>
      <c r="G139" s="202">
        <f>G136+G138</f>
      </c>
      <c r="H139" s="212">
        <f>H136+H138</f>
      </c>
      <c r="I139" s="202">
        <f>I136+I138</f>
      </c>
      <c r="J139" s="204">
        <f t="shared" si="69"/>
      </c>
      <c r="K139" s="204">
        <f t="shared" si="35"/>
      </c>
      <c r="L139" s="205">
        <f t="shared" si="34"/>
      </c>
      <c r="M139" s="206">
        <f t="shared" si="33"/>
      </c>
      <c r="N139" s="206">
        <f t="shared" si="85"/>
      </c>
      <c r="O139" s="204">
        <f t="shared" si="104"/>
      </c>
      <c r="P139" s="207"/>
      <c r="Q139" s="207"/>
      <c r="R139" s="212">
        <f>R136+R138</f>
      </c>
      <c r="S139" s="212">
        <f>S136+S138</f>
      </c>
      <c r="T139" s="212">
        <f>T136+T138</f>
      </c>
      <c r="U139" s="212">
        <f>U136+U138</f>
      </c>
      <c r="V139" s="212">
        <f>V136+V138</f>
      </c>
      <c r="W139" s="212"/>
    </row>
    <row r="140">
      <c r="A140" s="178">
        <v>46263</v>
      </c>
      <c r="B140" s="223" t="s">
        <v>133</v>
      </c>
      <c r="C140" s="220" t="s">
        <v>134</v>
      </c>
      <c r="D140" s="181">
        <f t="shared" ref="D140:D144" si="28">SUM(E140:G140)</f>
      </c>
      <c r="E140" s="180">
        <v>287.06</v>
      </c>
      <c r="F140" s="180">
        <v>1440.16</v>
      </c>
      <c r="G140" s="180">
        <v>0</v>
      </c>
      <c r="H140" s="182">
        <v>3</v>
      </c>
      <c r="I140" s="180">
        <v>2601.1200000000003</v>
      </c>
      <c r="J140" s="183">
        <f t="shared" si="69"/>
      </c>
      <c r="K140" s="183">
        <f t="shared" si="35"/>
      </c>
      <c r="L140" s="184">
        <f t="shared" si="34"/>
      </c>
      <c r="M140" s="185">
        <f t="shared" si="33"/>
      </c>
      <c r="N140" s="186">
        <f t="shared" si="85"/>
      </c>
      <c r="O140" s="216">
        <f t="shared" ref="O140:O144" si="64">(V140*1000)/D140</f>
      </c>
      <c r="P140" s="217" t="s">
        <v>129</v>
      </c>
      <c r="Q140" s="189" t="s">
        <v>147</v>
      </c>
      <c r="R140" s="190">
        <v>13551</v>
      </c>
      <c r="S140" s="190">
        <v>333</v>
      </c>
      <c r="T140" s="190">
        <v>1</v>
      </c>
      <c r="U140" s="191">
        <v>1</v>
      </c>
      <c r="V140" s="191">
        <v>19</v>
      </c>
      <c r="W140" s="190"/>
    </row>
    <row r="141">
      <c r="A141" s="178"/>
      <c r="B141" s="224" t="s">
        <v>133</v>
      </c>
      <c r="C141" s="225" t="s">
        <v>128</v>
      </c>
      <c r="D141" s="226">
        <f t="shared" si="28"/>
      </c>
      <c r="E141" s="180">
        <v>159.23</v>
      </c>
      <c r="F141" s="180">
        <v>724.92</v>
      </c>
      <c r="G141" s="180">
        <v>0</v>
      </c>
      <c r="H141" s="182">
        <v>5</v>
      </c>
      <c r="I141" s="180">
        <v>6985.200000000001</v>
      </c>
      <c r="J141" s="183">
        <f t="shared" si="69"/>
      </c>
      <c r="K141" s="183">
        <f t="shared" si="35"/>
      </c>
      <c r="L141" s="184">
        <f t="shared" si="34"/>
      </c>
      <c r="M141" s="185">
        <f t="shared" si="33"/>
      </c>
      <c r="N141" s="186">
        <f t="shared" si="85"/>
      </c>
      <c r="O141" s="216">
        <f t="shared" si="64"/>
      </c>
      <c r="P141" s="217" t="s">
        <v>129</v>
      </c>
      <c r="Q141" s="189" t="s">
        <v>147</v>
      </c>
      <c r="R141" s="190">
        <v>8678</v>
      </c>
      <c r="S141" s="190">
        <v>311</v>
      </c>
      <c r="T141" s="190">
        <v>2</v>
      </c>
      <c r="U141" s="191">
        <v>0</v>
      </c>
      <c r="V141" s="191">
        <v>12</v>
      </c>
      <c r="W141" s="190"/>
    </row>
    <row r="142">
      <c r="A142" s="178"/>
      <c r="B142" s="223" t="s">
        <v>133</v>
      </c>
      <c r="C142" s="227" t="s">
        <v>136</v>
      </c>
      <c r="D142" s="181">
        <f t="shared" si="28"/>
      </c>
      <c r="E142" s="180">
        <v>439.3</v>
      </c>
      <c r="F142" s="208">
        <v>908.41</v>
      </c>
      <c r="G142" s="208">
        <v>0</v>
      </c>
      <c r="H142" s="221">
        <v>3</v>
      </c>
      <c r="I142" s="220">
        <v>2041.92</v>
      </c>
      <c r="J142" s="183">
        <f t="shared" si="69"/>
      </c>
      <c r="K142" s="183">
        <f t="shared" si="35"/>
      </c>
      <c r="L142" s="184">
        <f t="shared" si="34"/>
      </c>
      <c r="M142" s="185">
        <f t="shared" si="33"/>
      </c>
      <c r="N142" s="186">
        <f t="shared" si="85"/>
      </c>
      <c r="O142" s="216">
        <f t="shared" si="64"/>
      </c>
      <c r="P142" s="217" t="s">
        <v>129</v>
      </c>
      <c r="Q142" s="189" t="s">
        <v>147</v>
      </c>
      <c r="R142" s="190">
        <v>7003</v>
      </c>
      <c r="S142" s="190">
        <v>307</v>
      </c>
      <c r="T142" s="190">
        <v>3</v>
      </c>
      <c r="U142" s="191">
        <v>0</v>
      </c>
      <c r="V142" s="191">
        <v>14</v>
      </c>
      <c r="W142" s="190"/>
    </row>
    <row customHeight="true" ht="16.666666666666668" r="143">
      <c r="A143" s="178"/>
      <c r="B143" s="223" t="s">
        <v>133</v>
      </c>
      <c r="C143" s="180" t="s">
        <v>138</v>
      </c>
      <c r="D143" s="181">
        <f t="shared" si="28"/>
      </c>
      <c r="E143" s="180">
        <v>463.74</v>
      </c>
      <c r="F143" s="208">
        <v>1311.94</v>
      </c>
      <c r="G143" s="208">
        <v>0</v>
      </c>
      <c r="H143" s="221">
        <v>4</v>
      </c>
      <c r="I143" s="220">
        <v>4558.560000000001</v>
      </c>
      <c r="J143" s="183">
        <f t="shared" si="69"/>
      </c>
      <c r="K143" s="183">
        <f t="shared" si="35"/>
      </c>
      <c r="L143" s="184">
        <f t="shared" si="34"/>
      </c>
      <c r="M143" s="185">
        <f t="shared" si="33"/>
      </c>
      <c r="N143" s="186">
        <f t="shared" si="85"/>
      </c>
      <c r="O143" s="216">
        <f t="shared" si="64"/>
      </c>
      <c r="P143" s="217" t="s">
        <v>129</v>
      </c>
      <c r="Q143" s="189" t="s">
        <v>147</v>
      </c>
      <c r="R143" s="190">
        <v>9884</v>
      </c>
      <c r="S143" s="190">
        <v>382</v>
      </c>
      <c r="T143" s="190">
        <v>5</v>
      </c>
      <c r="U143" s="191">
        <v>0</v>
      </c>
      <c r="V143" s="191">
        <v>18</v>
      </c>
      <c r="W143" s="190"/>
    </row>
    <row r="144">
      <c r="A144" s="178"/>
      <c r="B144" s="223" t="s">
        <v>133</v>
      </c>
      <c r="C144" s="180" t="s">
        <v>140</v>
      </c>
      <c r="D144" s="181">
        <f t="shared" si="28"/>
      </c>
      <c r="E144" s="180">
        <f>70.46+511.15</f>
      </c>
      <c r="F144" s="208">
        <f>2097.84+246.48</f>
      </c>
      <c r="G144" s="208">
        <v>0</v>
      </c>
      <c r="H144" s="209">
        <v>11</v>
      </c>
      <c r="I144" s="208">
        <v>5761.399999999998</v>
      </c>
      <c r="J144" s="183">
        <f t="shared" si="69"/>
      </c>
      <c r="K144" s="183">
        <f t="shared" si="35"/>
      </c>
      <c r="L144" s="184">
        <f t="shared" si="34"/>
      </c>
      <c r="M144" s="185">
        <f t="shared" si="33"/>
      </c>
      <c r="N144" s="186">
        <f t="shared" si="85"/>
      </c>
      <c r="O144" s="216">
        <f t="shared" si="64"/>
      </c>
      <c r="P144" s="217" t="s">
        <v>129</v>
      </c>
      <c r="Q144" s="189" t="s">
        <v>147</v>
      </c>
      <c r="R144" s="190">
        <v>16263</v>
      </c>
      <c r="S144" s="190">
        <v>477</v>
      </c>
      <c r="T144" s="190">
        <v>6</v>
      </c>
      <c r="U144" s="191">
        <v>0</v>
      </c>
      <c r="V144" s="191">
        <v>18</v>
      </c>
      <c r="W144" s="190"/>
    </row>
    <row r="145">
      <c r="A145" s="178"/>
      <c r="B145" s="192" t="s">
        <v>131</v>
      </c>
      <c r="C145" s="192"/>
      <c r="D145" s="193">
        <f>SUM(D140:D144)</f>
      </c>
      <c r="E145" s="193">
        <f>SUM(E140:E144)</f>
      </c>
      <c r="F145" s="193">
        <f>SUM(F140:F144)</f>
      </c>
      <c r="G145" s="193">
        <f>SUM(G140:G144)</f>
      </c>
      <c r="H145" s="194">
        <f>SUM(H140:H144)</f>
      </c>
      <c r="I145" s="193">
        <f>SUM(I140:I144)</f>
      </c>
      <c r="J145" s="195">
        <f t="shared" si="69"/>
      </c>
      <c r="K145" s="196">
        <f t="shared" si="35"/>
      </c>
      <c r="L145" s="197">
        <f t="shared" si="34"/>
      </c>
      <c r="M145" s="198">
        <f t="shared" si="33"/>
      </c>
      <c r="N145" s="198">
        <f>H145/T145</f>
      </c>
      <c r="O145" s="199">
        <f t="shared" ref="O145:O146" si="105">(U145*1000)/D145</f>
      </c>
      <c r="P145" s="199"/>
      <c r="Q145" s="199"/>
      <c r="R145" s="194">
        <f>SUM(R140:R144)</f>
      </c>
      <c r="S145" s="194">
        <f>SUM(S140:S144)</f>
      </c>
      <c r="T145" s="194">
        <f>SUM(T140:T144)</f>
      </c>
      <c r="U145" s="194">
        <f>SUM(U140:U144)</f>
      </c>
      <c r="V145" s="194">
        <f>SUM(V140:V144)</f>
      </c>
      <c r="W145" s="200"/>
    </row>
    <row r="146">
      <c r="A146" s="178"/>
      <c r="B146" s="201" t="s">
        <v>132</v>
      </c>
      <c r="C146" s="201"/>
      <c r="D146" s="202">
        <f>D145</f>
      </c>
      <c r="E146" s="202">
        <f>E145</f>
      </c>
      <c r="F146" s="202">
        <f>F145</f>
      </c>
      <c r="G146" s="202">
        <f>G145</f>
      </c>
      <c r="H146" s="202">
        <f>H145</f>
      </c>
      <c r="I146" s="202">
        <f>I145</f>
      </c>
      <c r="J146" s="204">
        <f t="shared" si="69"/>
      </c>
      <c r="K146" s="204">
        <f t="shared" si="35"/>
      </c>
      <c r="L146" s="205">
        <f t="shared" si="34"/>
      </c>
      <c r="M146" s="206">
        <f t="shared" si="33"/>
      </c>
      <c r="N146" s="206">
        <f t="shared" ref="N146:N150" si="86">H146/(T146+H146)</f>
      </c>
      <c r="O146" s="204">
        <f t="shared" si="105"/>
      </c>
      <c r="P146" s="207"/>
      <c r="Q146" s="207"/>
      <c r="R146" s="212">
        <f>R145</f>
      </c>
      <c r="S146" s="212">
        <f>S145</f>
      </c>
      <c r="T146" s="212">
        <f>T145</f>
      </c>
      <c r="U146" s="212">
        <f>U145</f>
      </c>
      <c r="V146" s="212">
        <f>V145</f>
      </c>
      <c r="W146" s="212"/>
    </row>
    <row r="147">
      <c r="A147" s="178">
        <v>46264</v>
      </c>
      <c r="B147" s="223" t="s">
        <v>133</v>
      </c>
      <c r="C147" s="220" t="s">
        <v>134</v>
      </c>
      <c r="D147" s="181">
        <f t="shared" ref="D147:D150" si="29">SUM(E147:G147)</f>
      </c>
      <c r="E147" s="180">
        <v>204.44</v>
      </c>
      <c r="F147" s="180">
        <v>2113.71</v>
      </c>
      <c r="G147" s="180">
        <v>0</v>
      </c>
      <c r="H147" s="182">
        <v>4</v>
      </c>
      <c r="I147" s="180">
        <v>2666.78</v>
      </c>
      <c r="J147" s="183">
        <f t="shared" si="69"/>
      </c>
      <c r="K147" s="183">
        <f t="shared" si="35"/>
      </c>
      <c r="L147" s="184">
        <f t="shared" si="34"/>
      </c>
      <c r="M147" s="185">
        <f t="shared" si="33"/>
      </c>
      <c r="N147" s="186">
        <f t="shared" si="86"/>
      </c>
      <c r="O147" s="216">
        <f t="shared" ref="O147:O150" si="65">(V147*1000)/D147</f>
      </c>
      <c r="P147" s="217" t="s">
        <v>129</v>
      </c>
      <c r="Q147" s="189" t="s">
        <v>147</v>
      </c>
      <c r="R147" s="190">
        <v>22538</v>
      </c>
      <c r="S147" s="190">
        <v>507</v>
      </c>
      <c r="T147" s="190">
        <v>6</v>
      </c>
      <c r="U147" s="191">
        <v>1</v>
      </c>
      <c r="V147" s="191">
        <v>20</v>
      </c>
      <c r="W147" s="190"/>
    </row>
    <row r="148">
      <c r="A148" s="178"/>
      <c r="B148" s="224" t="s">
        <v>133</v>
      </c>
      <c r="C148" s="225" t="s">
        <v>128</v>
      </c>
      <c r="D148" s="226">
        <f t="shared" si="29"/>
      </c>
      <c r="E148" s="180">
        <v>121.45</v>
      </c>
      <c r="F148" s="180">
        <v>2016.63</v>
      </c>
      <c r="G148" s="180">
        <v>0</v>
      </c>
      <c r="H148" s="182">
        <v>2</v>
      </c>
      <c r="I148" s="180">
        <v>2136.44</v>
      </c>
      <c r="J148" s="183">
        <f t="shared" si="69"/>
      </c>
      <c r="K148" s="183">
        <f t="shared" si="35"/>
      </c>
      <c r="L148" s="184">
        <f t="shared" si="34"/>
      </c>
      <c r="M148" s="185">
        <f t="shared" si="33"/>
      </c>
      <c r="N148" s="186">
        <f t="shared" si="86"/>
      </c>
      <c r="O148" s="216">
        <f t="shared" si="65"/>
      </c>
      <c r="P148" s="217" t="s">
        <v>129</v>
      </c>
      <c r="Q148" s="189" t="s">
        <v>147</v>
      </c>
      <c r="R148" s="190">
        <v>23369</v>
      </c>
      <c r="S148" s="190">
        <v>476</v>
      </c>
      <c r="T148" s="190">
        <v>5</v>
      </c>
      <c r="U148" s="191">
        <v>1</v>
      </c>
      <c r="V148" s="191">
        <v>14</v>
      </c>
      <c r="W148" s="190"/>
    </row>
    <row r="149">
      <c r="A149" s="178"/>
      <c r="B149" s="223" t="s">
        <v>133</v>
      </c>
      <c r="C149" s="227" t="s">
        <v>136</v>
      </c>
      <c r="D149" s="181">
        <f t="shared" si="29"/>
      </c>
      <c r="E149" s="180">
        <v>138.7</v>
      </c>
      <c r="F149" s="208">
        <v>2800.52</v>
      </c>
      <c r="G149" s="208">
        <v>0</v>
      </c>
      <c r="H149" s="221">
        <v>9</v>
      </c>
      <c r="I149" s="220">
        <v>3857.239999999999</v>
      </c>
      <c r="J149" s="183">
        <f t="shared" si="69"/>
      </c>
      <c r="K149" s="183">
        <f t="shared" si="35"/>
      </c>
      <c r="L149" s="184">
        <f t="shared" si="34"/>
      </c>
      <c r="M149" s="185">
        <f t="shared" si="33"/>
      </c>
      <c r="N149" s="186">
        <f t="shared" si="86"/>
      </c>
      <c r="O149" s="216">
        <f t="shared" si="65"/>
      </c>
      <c r="P149" s="217" t="s">
        <v>129</v>
      </c>
      <c r="Q149" s="189" t="s">
        <v>147</v>
      </c>
      <c r="R149" s="190">
        <v>31705</v>
      </c>
      <c r="S149" s="190">
        <v>756</v>
      </c>
      <c r="T149" s="190">
        <v>9</v>
      </c>
      <c r="U149" s="191">
        <v>2</v>
      </c>
      <c r="V149" s="191">
        <v>35</v>
      </c>
      <c r="W149" s="190"/>
    </row>
    <row r="150">
      <c r="A150" s="178"/>
      <c r="B150" s="223" t="s">
        <v>133</v>
      </c>
      <c r="C150" s="180" t="s">
        <v>138</v>
      </c>
      <c r="D150" s="181">
        <f t="shared" si="29"/>
      </c>
      <c r="E150" s="180">
        <v>183.6</v>
      </c>
      <c r="F150" s="208">
        <v>2083.94</v>
      </c>
      <c r="G150" s="208">
        <v>0</v>
      </c>
      <c r="H150" s="209">
        <v>5</v>
      </c>
      <c r="I150" s="208">
        <v>3789.5600000000013</v>
      </c>
      <c r="J150" s="183">
        <f t="shared" si="69"/>
      </c>
      <c r="K150" s="183">
        <f t="shared" si="35"/>
      </c>
      <c r="L150" s="184">
        <f t="shared" si="34"/>
      </c>
      <c r="M150" s="185">
        <f t="shared" si="33"/>
      </c>
      <c r="N150" s="186">
        <f t="shared" si="86"/>
      </c>
      <c r="O150" s="216">
        <f t="shared" si="65"/>
      </c>
      <c r="P150" s="217" t="s">
        <v>129</v>
      </c>
      <c r="Q150" s="189" t="s">
        <v>147</v>
      </c>
      <c r="R150" s="190">
        <v>20862</v>
      </c>
      <c r="S150" s="190">
        <v>498</v>
      </c>
      <c r="T150" s="190">
        <v>7</v>
      </c>
      <c r="U150" s="191">
        <v>2</v>
      </c>
      <c r="V150" s="191">
        <v>23</v>
      </c>
      <c r="W150" s="190"/>
    </row>
    <row r="151">
      <c r="A151" s="178"/>
      <c r="B151" s="192" t="s">
        <v>131</v>
      </c>
      <c r="C151" s="192"/>
      <c r="D151" s="193">
        <f>SUM(D147:D150)</f>
      </c>
      <c r="E151" s="193">
        <f>SUM(E147:E150)</f>
      </c>
      <c r="F151" s="193">
        <f>SUM(F147:F150)</f>
      </c>
      <c r="G151" s="193">
        <f>SUM(G147:G150)</f>
      </c>
      <c r="H151" s="194">
        <f>SUM(H147:H150)</f>
      </c>
      <c r="I151" s="193">
        <f>SUM(I147:I150)</f>
      </c>
      <c r="J151" s="195">
        <f t="shared" si="69"/>
      </c>
      <c r="K151" s="196">
        <f t="shared" si="35"/>
      </c>
      <c r="L151" s="197">
        <f t="shared" si="34"/>
      </c>
      <c r="M151" s="198">
        <f t="shared" si="33"/>
      </c>
      <c r="N151" s="198">
        <f>H151/T151</f>
      </c>
      <c r="O151" s="199">
        <f>(U151*1000)/D151</f>
      </c>
      <c r="P151" s="199"/>
      <c r="Q151" s="199"/>
      <c r="R151" s="194">
        <f>SUM(R147:R150)</f>
      </c>
      <c r="S151" s="194">
        <f>SUM(S147:S150)</f>
      </c>
      <c r="T151" s="194">
        <f>SUM(T147:T150)</f>
      </c>
      <c r="U151" s="194">
        <f>SUM(U147:U150)</f>
      </c>
      <c r="V151" s="194">
        <f>SUM(V147:V150)</f>
      </c>
      <c r="W151" s="200"/>
    </row>
    <row r="152">
      <c r="A152" s="178"/>
      <c r="B152" s="210" t="s">
        <v>137</v>
      </c>
      <c r="C152" s="181" t="s">
        <v>140</v>
      </c>
      <c r="D152" s="181">
        <f t="shared" ref="D152:D153" si="30">SUM(E152:G152)</f>
      </c>
      <c r="E152" s="180">
        <v>294.37</v>
      </c>
      <c r="F152" s="208">
        <v>2081.84</v>
      </c>
      <c r="G152" s="208">
        <v>0</v>
      </c>
      <c r="H152" s="221">
        <v>5</v>
      </c>
      <c r="I152" s="220">
        <v>4035.5200000000004</v>
      </c>
      <c r="J152" s="183">
        <f t="shared" si="69"/>
      </c>
      <c r="K152" s="183">
        <f t="shared" si="35"/>
      </c>
      <c r="L152" s="184">
        <f t="shared" si="34"/>
      </c>
      <c r="M152" s="185">
        <f t="shared" si="33"/>
      </c>
      <c r="N152" s="186">
        <f t="shared" ref="N152:N159" si="87">H152/(T152+H152)</f>
      </c>
      <c r="O152" s="216">
        <f t="shared" ref="O152:O153" si="66">(V152*1000)/D152</f>
      </c>
      <c r="P152" s="217" t="s">
        <v>129</v>
      </c>
      <c r="Q152" s="189" t="s">
        <v>147</v>
      </c>
      <c r="R152" s="190">
        <v>23450</v>
      </c>
      <c r="S152" s="190">
        <v>576</v>
      </c>
      <c r="T152" s="190">
        <v>8</v>
      </c>
      <c r="U152" s="191">
        <v>0</v>
      </c>
      <c r="V152" s="191">
        <v>23</v>
      </c>
      <c r="W152" s="190"/>
    </row>
    <row r="153">
      <c r="A153" s="178"/>
      <c r="B153" s="210" t="s">
        <v>137</v>
      </c>
      <c r="C153" s="181" t="s">
        <v>141</v>
      </c>
      <c r="D153" s="181">
        <f t="shared" si="30"/>
      </c>
      <c r="E153" s="180">
        <v>157.77</v>
      </c>
      <c r="F153" s="180">
        <v>607.19</v>
      </c>
      <c r="G153" s="208">
        <v>0</v>
      </c>
      <c r="H153" s="182">
        <v>7</v>
      </c>
      <c r="I153" s="180">
        <v>4975.02</v>
      </c>
      <c r="J153" s="183">
        <f t="shared" si="69"/>
      </c>
      <c r="K153" s="183">
        <f t="shared" si="35"/>
      </c>
      <c r="L153" s="184">
        <f t="shared" si="34"/>
      </c>
      <c r="M153" s="185">
        <f t="shared" si="33"/>
      </c>
      <c r="N153" s="186">
        <f t="shared" si="87"/>
      </c>
      <c r="O153" s="216">
        <f t="shared" si="66"/>
      </c>
      <c r="P153" s="217" t="s">
        <v>129</v>
      </c>
      <c r="Q153" s="189" t="s">
        <v>147</v>
      </c>
      <c r="R153" s="190">
        <v>3821</v>
      </c>
      <c r="S153" s="190">
        <v>140</v>
      </c>
      <c r="T153" s="190">
        <v>2</v>
      </c>
      <c r="U153" s="191">
        <v>4</v>
      </c>
      <c r="V153" s="191">
        <v>6</v>
      </c>
      <c r="W153" s="190"/>
    </row>
    <row r="154">
      <c r="A154" s="178"/>
      <c r="B154" s="192" t="s">
        <v>131</v>
      </c>
      <c r="C154" s="192"/>
      <c r="D154" s="193">
        <f>SUM(D152:D153)</f>
      </c>
      <c r="E154" s="193">
        <f>SUM(E152:E153)</f>
      </c>
      <c r="F154" s="193">
        <f>SUM(F152:F153)</f>
      </c>
      <c r="G154" s="193">
        <f>SUM(G152:G153)</f>
      </c>
      <c r="H154" s="194">
        <f>SUM(H152:H153)</f>
      </c>
      <c r="I154" s="193">
        <f>SUM(I152:I153)</f>
      </c>
      <c r="J154" s="211">
        <f t="shared" si="69"/>
      </c>
      <c r="K154" s="196">
        <f t="shared" si="35"/>
      </c>
      <c r="L154" s="197">
        <f t="shared" si="34"/>
      </c>
      <c r="M154" s="198">
        <f t="shared" si="33"/>
      </c>
      <c r="N154" s="198">
        <f t="shared" si="87"/>
      </c>
      <c r="O154" s="199">
        <f t="shared" ref="O154:O155" si="106">(U154*1000)/D154</f>
      </c>
      <c r="P154" s="199"/>
      <c r="Q154" s="199"/>
      <c r="R154" s="194">
        <f>SUM(R152:R153)</f>
      </c>
      <c r="S154" s="194">
        <f>SUM(S152:S153)</f>
      </c>
      <c r="T154" s="194">
        <f>SUM(T152:T153)</f>
      </c>
      <c r="U154" s="194">
        <f>SUM(U152:U153)</f>
      </c>
      <c r="V154" s="194">
        <f>SUM(V152:V153)</f>
      </c>
      <c r="W154" s="200"/>
    </row>
    <row r="155">
      <c r="A155" s="178"/>
      <c r="B155" s="201" t="s">
        <v>132</v>
      </c>
      <c r="C155" s="201"/>
      <c r="D155" s="202">
        <f>D151+D154</f>
      </c>
      <c r="E155" s="202">
        <f>E151+E154</f>
      </c>
      <c r="F155" s="202">
        <f>F151+F154</f>
      </c>
      <c r="G155" s="202">
        <f>G151+G154</f>
      </c>
      <c r="H155" s="212">
        <f>H151+H154</f>
      </c>
      <c r="I155" s="202">
        <f>I151+I154</f>
      </c>
      <c r="J155" s="204">
        <f t="shared" si="69"/>
      </c>
      <c r="K155" s="204">
        <f t="shared" si="35"/>
      </c>
      <c r="L155" s="205">
        <f t="shared" si="34"/>
      </c>
      <c r="M155" s="206">
        <f t="shared" si="33"/>
      </c>
      <c r="N155" s="206">
        <f t="shared" si="87"/>
      </c>
      <c r="O155" s="204">
        <f t="shared" si="106"/>
      </c>
      <c r="P155" s="207"/>
      <c r="Q155" s="207"/>
      <c r="R155" s="212">
        <f>R151+R154</f>
      </c>
      <c r="S155" s="212">
        <f>S151+S154</f>
      </c>
      <c r="T155" s="212">
        <f>T151+T154</f>
      </c>
      <c r="U155" s="212">
        <f>U151+U154</f>
      </c>
      <c r="V155" s="212">
        <f>V151+V154</f>
      </c>
      <c r="W155" s="212"/>
    </row>
    <row r="156">
      <c r="A156" s="178">
        <v>46265</v>
      </c>
      <c r="B156" s="223" t="s">
        <v>133</v>
      </c>
      <c r="C156" s="220" t="s">
        <v>134</v>
      </c>
      <c r="D156" s="181">
        <f t="shared" ref="D156:D159" si="31">SUM(E156:G156)</f>
      </c>
      <c r="E156" s="180">
        <v>296.14</v>
      </c>
      <c r="F156" s="180">
        <v>2570.29</v>
      </c>
      <c r="G156" s="180">
        <v>0</v>
      </c>
      <c r="H156" s="182">
        <v>3</v>
      </c>
      <c r="I156" s="180">
        <v>1525.44</v>
      </c>
      <c r="J156" s="183">
        <f t="shared" si="69"/>
      </c>
      <c r="K156" s="183">
        <f t="shared" si="35"/>
      </c>
      <c r="L156" s="184">
        <f t="shared" si="34"/>
      </c>
      <c r="M156" s="185">
        <f t="shared" si="33"/>
      </c>
      <c r="N156" s="186">
        <f t="shared" si="87"/>
      </c>
      <c r="O156" s="216">
        <f t="shared" ref="O156:O159" si="67">(V156*1000)/D156</f>
      </c>
      <c r="P156" s="217" t="s">
        <v>129</v>
      </c>
      <c r="Q156" s="189" t="s">
        <v>147</v>
      </c>
      <c r="R156" s="190">
        <v>21095</v>
      </c>
      <c r="S156" s="190">
        <v>553</v>
      </c>
      <c r="T156" s="190">
        <v>5</v>
      </c>
      <c r="U156" s="191">
        <v>0</v>
      </c>
      <c r="V156" s="191">
        <v>29</v>
      </c>
      <c r="W156" s="190"/>
    </row>
    <row r="157">
      <c r="A157" s="178"/>
      <c r="B157" s="224" t="s">
        <v>133</v>
      </c>
      <c r="C157" s="225" t="s">
        <v>128</v>
      </c>
      <c r="D157" s="226">
        <f t="shared" si="31"/>
      </c>
      <c r="E157" s="180">
        <v>132.19</v>
      </c>
      <c r="F157" s="180">
        <v>1417.13</v>
      </c>
      <c r="G157" s="180">
        <v>0</v>
      </c>
      <c r="H157" s="182">
        <v>5</v>
      </c>
      <c r="I157" s="180">
        <v>1639.56</v>
      </c>
      <c r="J157" s="183">
        <f t="shared" si="69"/>
      </c>
      <c r="K157" s="183">
        <f t="shared" si="35"/>
      </c>
      <c r="L157" s="184">
        <f t="shared" si="34"/>
      </c>
      <c r="M157" s="185">
        <f t="shared" si="33"/>
      </c>
      <c r="N157" s="186">
        <f t="shared" si="87"/>
      </c>
      <c r="O157" s="216">
        <f t="shared" si="67"/>
      </c>
      <c r="P157" s="217" t="s">
        <v>129</v>
      </c>
      <c r="Q157" s="189" t="s">
        <v>147</v>
      </c>
      <c r="R157" s="190">
        <v>12991</v>
      </c>
      <c r="S157" s="190">
        <v>346</v>
      </c>
      <c r="T157" s="190">
        <v>3</v>
      </c>
      <c r="U157" s="191">
        <v>0</v>
      </c>
      <c r="V157" s="191">
        <v>17</v>
      </c>
      <c r="W157" s="190"/>
    </row>
    <row r="158">
      <c r="A158" s="178"/>
      <c r="B158" s="223" t="s">
        <v>133</v>
      </c>
      <c r="C158" s="227" t="s">
        <v>136</v>
      </c>
      <c r="D158" s="181">
        <f t="shared" si="31"/>
      </c>
      <c r="E158" s="180">
        <v>201.72</v>
      </c>
      <c r="F158" s="208">
        <v>1715.29</v>
      </c>
      <c r="G158" s="208">
        <v>0</v>
      </c>
      <c r="H158" s="209">
        <v>0</v>
      </c>
      <c r="I158" s="208">
        <v>0</v>
      </c>
      <c r="J158" s="183">
        <f t="shared" si="69"/>
      </c>
      <c r="K158" s="183">
        <f t="shared" si="35"/>
      </c>
      <c r="L158" s="184">
        <f t="shared" si="34"/>
      </c>
      <c r="M158" s="185">
        <f t="shared" si="33"/>
      </c>
      <c r="N158" s="186">
        <f t="shared" si="87"/>
      </c>
      <c r="O158" s="216">
        <f t="shared" si="67"/>
      </c>
      <c r="P158" s="217" t="s">
        <v>129</v>
      </c>
      <c r="Q158" s="189" t="s">
        <v>147</v>
      </c>
      <c r="R158" s="190">
        <v>17569</v>
      </c>
      <c r="S158" s="190">
        <v>364</v>
      </c>
      <c r="T158" s="190">
        <v>1</v>
      </c>
      <c r="U158" s="191">
        <v>0</v>
      </c>
      <c r="V158" s="191">
        <v>8</v>
      </c>
      <c r="W158" s="190"/>
    </row>
    <row r="159">
      <c r="A159" s="178"/>
      <c r="B159" s="223" t="s">
        <v>133</v>
      </c>
      <c r="C159" s="180" t="s">
        <v>138</v>
      </c>
      <c r="D159" s="181">
        <f t="shared" si="31"/>
      </c>
      <c r="E159" s="180">
        <v>172.43</v>
      </c>
      <c r="F159" s="208">
        <v>1610.58</v>
      </c>
      <c r="G159" s="208">
        <v>0</v>
      </c>
      <c r="H159" s="209">
        <v>0</v>
      </c>
      <c r="I159" s="208">
        <v>0</v>
      </c>
      <c r="J159" s="183">
        <f t="shared" si="69"/>
      </c>
      <c r="K159" s="183">
        <f t="shared" si="35"/>
      </c>
      <c r="L159" s="184">
        <f t="shared" si="34"/>
      </c>
      <c r="M159" s="185">
        <f t="shared" si="33"/>
      </c>
      <c r="N159" s="186">
        <f t="shared" si="87"/>
      </c>
      <c r="O159" s="216">
        <f t="shared" si="67"/>
      </c>
      <c r="P159" s="217" t="s">
        <v>129</v>
      </c>
      <c r="Q159" s="189" t="s">
        <v>147</v>
      </c>
      <c r="R159" s="190">
        <v>15491</v>
      </c>
      <c r="S159" s="190">
        <v>385</v>
      </c>
      <c r="T159" s="190">
        <v>0</v>
      </c>
      <c r="U159" s="191">
        <v>0</v>
      </c>
      <c r="V159" s="191">
        <v>12</v>
      </c>
      <c r="W159" s="190"/>
    </row>
    <row r="160">
      <c r="A160" s="178"/>
      <c r="B160" s="192" t="s">
        <v>131</v>
      </c>
      <c r="C160" s="192"/>
      <c r="D160" s="193">
        <f>SUM(D156:D159)</f>
      </c>
      <c r="E160" s="193">
        <f>SUM(E156:E159)</f>
      </c>
      <c r="F160" s="193">
        <f>SUM(F156:F159)</f>
      </c>
      <c r="G160" s="193">
        <f>SUM(G156:G159)</f>
      </c>
      <c r="H160" s="194">
        <f>SUM(H156:H159)</f>
      </c>
      <c r="I160" s="193">
        <f>SUM(I156:I159)</f>
      </c>
      <c r="J160" s="195">
        <f t="shared" si="69"/>
      </c>
      <c r="K160" s="196">
        <f t="shared" si="35"/>
      </c>
      <c r="L160" s="197">
        <f t="shared" si="34"/>
      </c>
      <c r="M160" s="198">
        <f t="shared" si="33"/>
      </c>
      <c r="N160" s="198">
        <f>H160/T160</f>
      </c>
      <c r="O160" s="199">
        <f>(U160*1000)/D160</f>
      </c>
      <c r="P160" s="199"/>
      <c r="Q160" s="199"/>
      <c r="R160" s="194">
        <f>SUM(R156:R159)</f>
      </c>
      <c r="S160" s="194">
        <f>SUM(S156:S159)</f>
      </c>
      <c r="T160" s="194">
        <f>SUM(T156:T159)</f>
      </c>
      <c r="U160" s="194">
        <f>SUM(U156:U159)</f>
      </c>
      <c r="V160" s="194">
        <f>SUM(V156:V159)</f>
      </c>
      <c r="W160" s="200"/>
    </row>
    <row r="161">
      <c r="A161" s="178"/>
      <c r="B161" s="210" t="s">
        <v>137</v>
      </c>
      <c r="C161" s="181" t="s">
        <v>140</v>
      </c>
      <c r="D161" s="181">
        <f t="shared" ref="D161:D162" si="32">SUM(E161:G161)</f>
      </c>
      <c r="E161" s="180">
        <v>214.55</v>
      </c>
      <c r="F161" s="208">
        <v>1661.05</v>
      </c>
      <c r="G161" s="208">
        <v>0</v>
      </c>
      <c r="H161" s="221">
        <v>2</v>
      </c>
      <c r="I161" s="220">
        <v>473.2800000000002</v>
      </c>
      <c r="J161" s="183">
        <f t="shared" si="69"/>
      </c>
      <c r="K161" s="183">
        <f t="shared" si="35"/>
      </c>
      <c r="L161" s="184">
        <f t="shared" si="34"/>
      </c>
      <c r="M161" s="185">
        <f t="shared" si="33"/>
      </c>
      <c r="N161" s="186">
        <f t="shared" ref="N161:N164" si="88">H161/(T161+H161)</f>
      </c>
      <c r="O161" s="216">
        <f t="shared" ref="O161:O162" si="68">(V161*1000)/D161</f>
      </c>
      <c r="P161" s="217" t="s">
        <v>129</v>
      </c>
      <c r="Q161" s="189" t="s">
        <v>147</v>
      </c>
      <c r="R161" s="190">
        <v>16681</v>
      </c>
      <c r="S161" s="190">
        <v>422</v>
      </c>
      <c r="T161" s="190">
        <v>4</v>
      </c>
      <c r="U161" s="191">
        <v>0</v>
      </c>
      <c r="V161" s="191">
        <v>19</v>
      </c>
      <c r="W161" s="190"/>
    </row>
    <row r="162">
      <c r="A162" s="178"/>
      <c r="B162" s="210" t="s">
        <v>137</v>
      </c>
      <c r="C162" s="181" t="s">
        <v>141</v>
      </c>
      <c r="D162" s="181">
        <f t="shared" si="32"/>
      </c>
      <c r="E162" s="180">
        <v>143.82</v>
      </c>
      <c r="F162" s="180">
        <v>1005.26</v>
      </c>
      <c r="G162" s="208">
        <v>0</v>
      </c>
      <c r="H162" s="182">
        <v>3</v>
      </c>
      <c r="I162" s="180">
        <v>1077.1999999999994</v>
      </c>
      <c r="J162" s="183">
        <f t="shared" si="69"/>
      </c>
      <c r="K162" s="183">
        <f t="shared" si="35"/>
      </c>
      <c r="L162" s="184">
        <f t="shared" si="34"/>
      </c>
      <c r="M162" s="185">
        <f t="shared" si="33"/>
      </c>
      <c r="N162" s="186">
        <f t="shared" si="88"/>
      </c>
      <c r="O162" s="216">
        <f t="shared" si="68"/>
      </c>
      <c r="P162" s="217" t="s">
        <v>129</v>
      </c>
      <c r="Q162" s="189" t="s">
        <v>147</v>
      </c>
      <c r="R162" s="190">
        <v>9309</v>
      </c>
      <c r="S162" s="190">
        <v>218</v>
      </c>
      <c r="T162" s="190">
        <v>1</v>
      </c>
      <c r="U162" s="191">
        <v>0</v>
      </c>
      <c r="V162" s="191">
        <v>4</v>
      </c>
      <c r="W162" s="190"/>
    </row>
    <row r="163">
      <c r="A163" s="178"/>
      <c r="B163" s="192" t="s">
        <v>131</v>
      </c>
      <c r="C163" s="192"/>
      <c r="D163" s="193">
        <f>SUM(D161:D162)</f>
      </c>
      <c r="E163" s="193">
        <f>SUM(E161:E162)</f>
      </c>
      <c r="F163" s="193">
        <f>SUM(F161:F162)</f>
      </c>
      <c r="G163" s="193">
        <f>SUM(G161:G162)</f>
      </c>
      <c r="H163" s="194">
        <f>SUM(H161:H162)</f>
      </c>
      <c r="I163" s="193">
        <f>SUM(I161:I162)</f>
      </c>
      <c r="J163" s="211">
        <f t="shared" si="69"/>
      </c>
      <c r="K163" s="196">
        <f t="shared" si="35"/>
      </c>
      <c r="L163" s="197">
        <f t="shared" si="34"/>
      </c>
      <c r="M163" s="198">
        <f t="shared" si="33"/>
      </c>
      <c r="N163" s="198">
        <f t="shared" si="88"/>
      </c>
      <c r="O163" s="199">
        <f t="shared" ref="O163:O164" si="107">(U163*1000)/D163</f>
      </c>
      <c r="P163" s="199"/>
      <c r="Q163" s="199"/>
      <c r="R163" s="194">
        <f>SUM(R161:R162)</f>
      </c>
      <c r="S163" s="194">
        <f>SUM(S161:S162)</f>
      </c>
      <c r="T163" s="194">
        <f>SUM(T161:T162)</f>
      </c>
      <c r="U163" s="194">
        <f>SUM(U161:U162)</f>
      </c>
      <c r="V163" s="194">
        <f>SUM(V161:V162)</f>
      </c>
      <c r="W163" s="200"/>
    </row>
    <row r="164">
      <c r="A164" s="178"/>
      <c r="B164" s="201" t="s">
        <v>132</v>
      </c>
      <c r="C164" s="201"/>
      <c r="D164" s="202">
        <f>D160+D163</f>
      </c>
      <c r="E164" s="202">
        <f>E160+E163</f>
      </c>
      <c r="F164" s="202">
        <f>F160+F163</f>
      </c>
      <c r="G164" s="202">
        <f>G160+G163</f>
      </c>
      <c r="H164" s="212">
        <f>H160+H163</f>
      </c>
      <c r="I164" s="202">
        <f>I160+I163</f>
      </c>
      <c r="J164" s="204">
        <f t="shared" si="69"/>
      </c>
      <c r="K164" s="204">
        <f t="shared" si="35"/>
      </c>
      <c r="L164" s="205">
        <f t="shared" si="34"/>
      </c>
      <c r="M164" s="206">
        <f t="shared" si="33"/>
      </c>
      <c r="N164" s="206">
        <f t="shared" si="88"/>
      </c>
      <c r="O164" s="204">
        <f t="shared" si="107"/>
      </c>
      <c r="P164" s="207"/>
      <c r="Q164" s="207"/>
      <c r="R164" s="212">
        <f>R160+R163</f>
      </c>
      <c r="S164" s="212">
        <f>S160+S163</f>
      </c>
      <c r="T164" s="212">
        <f>T160+T163</f>
      </c>
      <c r="U164" s="212">
        <f>U160+U163</f>
      </c>
      <c r="V164" s="212">
        <f>V160+V163</f>
      </c>
      <c r="W164" s="212"/>
    </row>
    <row r="165">
      <c r="H165">
        <f>H166-H164</f>
      </c>
      <c r="I165">
        <f>I166-I164</f>
      </c>
      <c r="R165">
        <f>R166-R164</f>
      </c>
      <c r="S165">
        <f>S166-S164</f>
      </c>
      <c r="T165">
        <f>T166-T164</f>
      </c>
      <c r="U165">
        <f>U166-U164</f>
      </c>
      <c r="V165">
        <f>V166-V164+54</f>
      </c>
    </row>
    <row r="166">
      <c r="H166" s="228">
        <v>13</v>
      </c>
      <c r="I166">
        <v>4715.48</v>
      </c>
      <c r="R166">
        <v>93136</v>
      </c>
      <c r="S166">
        <v>2288</v>
      </c>
      <c r="T166">
        <v>14</v>
      </c>
      <c r="V166" s="228">
        <v>35</v>
      </c>
    </row>
    <row r="167"/>
    <row r="168"/>
    <row r="169">
      <c r="V169" s="228"/>
    </row>
    <row r="170"/>
    <row r="171"/>
    <row r="172"/>
    <row r="173"/>
    <row r="174">
      <c r="E174" s="228"/>
    </row>
  </sheetData>
  <autoFilter ref="A2:W183"/>
  <mergeCells>
    <mergeCell ref="B155:C155"/>
    <mergeCell ref="B154:C154"/>
    <mergeCell ref="B151:C151"/>
    <mergeCell ref="A147:A155"/>
    <mergeCell ref="B146:C146"/>
    <mergeCell ref="B145:C145"/>
    <mergeCell ref="A140:A146"/>
    <mergeCell ref="B136:C136"/>
    <mergeCell ref="B138:C138"/>
    <mergeCell ref="B139:C139"/>
    <mergeCell ref="A122:A130"/>
    <mergeCell ref="A113:A121"/>
    <mergeCell ref="B120:C120"/>
    <mergeCell ref="B112:C112"/>
    <mergeCell ref="B111:C111"/>
    <mergeCell ref="B108:C108"/>
    <mergeCell ref="A104:A112"/>
    <mergeCell ref="A95:A103"/>
    <mergeCell ref="B85:C85"/>
    <mergeCell ref="B84:C84"/>
    <mergeCell ref="B80:C80"/>
    <mergeCell ref="A77:A85"/>
    <mergeCell ref="B76:C76"/>
    <mergeCell ref="B75:C75"/>
    <mergeCell ref="B71:C71"/>
    <mergeCell ref="A68:A76"/>
    <mergeCell ref="B67:C67"/>
    <mergeCell ref="B66:C66"/>
    <mergeCell ref="B62:C62"/>
    <mergeCell ref="A59:A67"/>
    <mergeCell ref="A50:A58"/>
    <mergeCell ref="B32:C32"/>
    <mergeCell ref="B31:C31"/>
    <mergeCell ref="B27:C27"/>
    <mergeCell ref="A14:A23"/>
    <mergeCell ref="B18:C18"/>
    <mergeCell ref="B23:C23"/>
    <mergeCell ref="B22:C22"/>
    <mergeCell ref="A6:A13"/>
    <mergeCell ref="B5:C5"/>
    <mergeCell ref="B4:C4"/>
    <mergeCell ref="A3:A5"/>
    <mergeCell ref="R1:V1"/>
    <mergeCell ref="M1:Q1"/>
    <mergeCell ref="D1:L1"/>
    <mergeCell ref="A1:C1"/>
    <mergeCell ref="B9:C9"/>
    <mergeCell ref="B13:C13"/>
    <mergeCell ref="B12:C12"/>
    <mergeCell ref="A24:A32"/>
    <mergeCell ref="A33:A41"/>
    <mergeCell ref="B36:C36"/>
    <mergeCell ref="B40:C40"/>
    <mergeCell ref="B41:C41"/>
    <mergeCell ref="B49:C49"/>
    <mergeCell ref="B48:C48"/>
    <mergeCell ref="B46:C46"/>
    <mergeCell ref="A42:A49"/>
    <mergeCell ref="B53:C53"/>
    <mergeCell ref="B57:C57"/>
    <mergeCell ref="B58:C58"/>
    <mergeCell ref="A86:A94"/>
    <mergeCell ref="B90:C90"/>
    <mergeCell ref="B93:C93"/>
    <mergeCell ref="B94:C94"/>
    <mergeCell ref="B103:C103"/>
    <mergeCell ref="B102:C102"/>
    <mergeCell ref="B99:C99"/>
    <mergeCell ref="B117:C117"/>
    <mergeCell ref="B121:C121"/>
    <mergeCell ref="B126:C126"/>
    <mergeCell ref="B130:C130"/>
    <mergeCell ref="B129:C129"/>
    <mergeCell ref="A131:A139"/>
    <mergeCell ref="A156:A164"/>
    <mergeCell ref="B160:C160"/>
    <mergeCell ref="B163:C163"/>
    <mergeCell ref="B164:C164"/>
  </mergeCells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1.211267605633802"/>
    <col collapsed="false" customWidth="true" hidden="false" max="3" min="3" style="0" width="11.211267605633802"/>
    <col collapsed="false" customWidth="true" hidden="false" max="4" min="4" style="0" width="11.211267605633802"/>
  </cols>
  <sheetData>
    <row r="1">
      <c r="A1" s="229" t="s">
        <v>148</v>
      </c>
      <c r="B1" s="229"/>
      <c r="C1" s="229"/>
      <c r="D1" s="230" t="s">
        <v>149</v>
      </c>
      <c r="E1" s="230"/>
      <c r="F1" s="230"/>
      <c r="G1" s="230"/>
      <c r="H1" s="230"/>
      <c r="I1" s="230"/>
      <c r="J1" s="230"/>
      <c r="K1" s="230"/>
      <c r="L1" s="230"/>
      <c r="M1" s="231" t="s">
        <v>150</v>
      </c>
      <c r="N1" s="231"/>
      <c r="O1" s="231"/>
      <c r="P1" s="231"/>
      <c r="Q1" s="231"/>
      <c r="R1" s="232" t="s">
        <v>151</v>
      </c>
      <c r="S1" s="232"/>
      <c r="T1" s="232"/>
      <c r="U1" s="232"/>
      <c r="V1" s="232"/>
    </row>
    <row r="2">
      <c r="A2" s="233" t="s">
        <v>152</v>
      </c>
      <c r="B2" s="233" t="s">
        <v>153</v>
      </c>
      <c r="C2" s="233" t="s">
        <v>154</v>
      </c>
      <c r="D2" s="234" t="s">
        <v>155</v>
      </c>
      <c r="E2" s="235" t="s">
        <v>156</v>
      </c>
      <c r="F2" s="234" t="s">
        <v>157</v>
      </c>
      <c r="G2" s="234" t="s">
        <v>158</v>
      </c>
      <c r="H2" s="236" t="s">
        <v>159</v>
      </c>
      <c r="I2" s="234" t="s">
        <v>160</v>
      </c>
      <c r="J2" s="237" t="s">
        <v>161</v>
      </c>
      <c r="K2" s="238" t="s">
        <v>162</v>
      </c>
      <c r="L2" s="239" t="s">
        <v>163</v>
      </c>
      <c r="M2" s="240" t="s">
        <v>164</v>
      </c>
      <c r="N2" s="240" t="s">
        <v>165</v>
      </c>
      <c r="O2" s="240" t="s">
        <v>166</v>
      </c>
      <c r="P2" s="231" t="s">
        <v>167</v>
      </c>
      <c r="Q2" s="231" t="s">
        <v>168</v>
      </c>
      <c r="R2" s="232" t="s">
        <v>169</v>
      </c>
      <c r="S2" s="232" t="s">
        <v>170</v>
      </c>
      <c r="T2" s="232" t="s">
        <v>171</v>
      </c>
      <c r="U2" s="241" t="s">
        <v>172</v>
      </c>
      <c r="V2" s="232" t="s">
        <v>173</v>
      </c>
    </row>
    <row r="3">
      <c r="A3" s="242">
        <v>46266</v>
      </c>
      <c r="B3" s="243" t="s">
        <v>174</v>
      </c>
      <c r="C3" s="244" t="s">
        <v>175</v>
      </c>
      <c r="D3" s="245">
        <f t="shared" ref="D3:D6" si="142">SUM(E3:G3)</f>
      </c>
      <c r="E3" s="246">
        <v>121.83</v>
      </c>
      <c r="F3" s="246">
        <v>1407.33</v>
      </c>
      <c r="G3" s="246">
        <v>0</v>
      </c>
      <c r="H3" s="247">
        <v>1</v>
      </c>
      <c r="I3" s="246">
        <v>236.64</v>
      </c>
      <c r="J3" s="248">
        <f t="shared" ref="J3:J11" si="198">I3/D3</f>
      </c>
      <c r="K3" s="248">
        <f t="shared" ref="K3:K11" si="82">D3/H3</f>
      </c>
      <c r="L3" s="249">
        <f t="shared" ref="L3:L11" si="112">I3/H3</f>
      </c>
      <c r="M3" s="250">
        <f t="shared" ref="M3:M11" si="0">S3/R3</f>
      </c>
      <c r="N3" s="251">
        <f t="shared" ref="N3:N6" si="30">H3/(T3+H3)</f>
      </c>
      <c r="O3" s="252">
        <f t="shared" ref="O3:O6" si="258">(V3*1000)/D3</f>
      </c>
      <c r="P3" s="253" t="s">
        <v>176</v>
      </c>
      <c r="Q3" s="254" t="s">
        <v>177</v>
      </c>
      <c r="R3" s="255">
        <v>12423</v>
      </c>
      <c r="S3" s="255">
        <v>347</v>
      </c>
      <c r="T3" s="255">
        <v>3</v>
      </c>
      <c r="U3" s="256">
        <v>0</v>
      </c>
      <c r="V3" s="256">
        <v>9</v>
      </c>
    </row>
    <row r="4">
      <c r="A4" s="242"/>
      <c r="B4" s="257" t="s">
        <v>174</v>
      </c>
      <c r="C4" s="258" t="s">
        <v>178</v>
      </c>
      <c r="D4" s="259">
        <f t="shared" si="142"/>
      </c>
      <c r="E4" s="246">
        <v>83.11</v>
      </c>
      <c r="F4" s="246">
        <v>962.96</v>
      </c>
      <c r="G4" s="246">
        <v>0</v>
      </c>
      <c r="H4" s="247">
        <v>1</v>
      </c>
      <c r="I4" s="246">
        <v>710.64</v>
      </c>
      <c r="J4" s="248">
        <f t="shared" si="198"/>
      </c>
      <c r="K4" s="248">
        <f t="shared" si="82"/>
      </c>
      <c r="L4" s="249">
        <f t="shared" si="112"/>
      </c>
      <c r="M4" s="250">
        <f t="shared" si="0"/>
      </c>
      <c r="N4" s="251">
        <f t="shared" si="30"/>
      </c>
      <c r="O4" s="252">
        <f t="shared" si="258"/>
      </c>
      <c r="P4" s="253" t="s">
        <v>176</v>
      </c>
      <c r="Q4" s="254" t="s">
        <v>177</v>
      </c>
      <c r="R4" s="255">
        <v>6835</v>
      </c>
      <c r="S4" s="255">
        <v>243</v>
      </c>
      <c r="T4" s="255">
        <v>1</v>
      </c>
      <c r="U4" s="256">
        <v>0</v>
      </c>
      <c r="V4" s="256">
        <v>7</v>
      </c>
    </row>
    <row r="5">
      <c r="A5" s="242"/>
      <c r="B5" s="243" t="s">
        <v>174</v>
      </c>
      <c r="C5" s="260" t="s">
        <v>179</v>
      </c>
      <c r="D5" s="245">
        <f t="shared" si="142"/>
      </c>
      <c r="E5" s="246">
        <v>76.72</v>
      </c>
      <c r="F5" s="261">
        <v>832.89</v>
      </c>
      <c r="G5" s="261">
        <v>0</v>
      </c>
      <c r="H5" s="262">
        <v>4</v>
      </c>
      <c r="I5" s="261">
        <v>928.9200000000001</v>
      </c>
      <c r="J5" s="248">
        <f t="shared" si="198"/>
      </c>
      <c r="K5" s="248">
        <f t="shared" si="82"/>
      </c>
      <c r="L5" s="249">
        <f t="shared" si="112"/>
      </c>
      <c r="M5" s="250">
        <f t="shared" si="0"/>
      </c>
      <c r="N5" s="251">
        <f t="shared" si="30"/>
      </c>
      <c r="O5" s="252">
        <f t="shared" si="258"/>
      </c>
      <c r="P5" s="253" t="s">
        <v>176</v>
      </c>
      <c r="Q5" s="254" t="s">
        <v>177</v>
      </c>
      <c r="R5" s="255">
        <v>7133</v>
      </c>
      <c r="S5" s="255">
        <v>257</v>
      </c>
      <c r="T5" s="255">
        <v>3</v>
      </c>
      <c r="U5" s="256">
        <v>0</v>
      </c>
      <c r="V5" s="256">
        <v>7</v>
      </c>
    </row>
    <row r="6">
      <c r="A6" s="242"/>
      <c r="B6" s="243" t="s">
        <v>174</v>
      </c>
      <c r="C6" s="246" t="s">
        <v>180</v>
      </c>
      <c r="D6" s="245">
        <f t="shared" si="142"/>
      </c>
      <c r="E6" s="246">
        <v>85.78</v>
      </c>
      <c r="F6" s="261">
        <v>1508.1</v>
      </c>
      <c r="G6" s="261">
        <v>0</v>
      </c>
      <c r="H6" s="262">
        <v>1</v>
      </c>
      <c r="I6" s="261">
        <v>215.70000000000005</v>
      </c>
      <c r="J6" s="248">
        <f t="shared" si="198"/>
      </c>
      <c r="K6" s="248">
        <f t="shared" si="82"/>
      </c>
      <c r="L6" s="249">
        <f t="shared" si="112"/>
      </c>
      <c r="M6" s="250">
        <f t="shared" si="0"/>
      </c>
      <c r="N6" s="251">
        <f t="shared" si="30"/>
      </c>
      <c r="O6" s="252">
        <f t="shared" si="258"/>
      </c>
      <c r="P6" s="253" t="s">
        <v>176</v>
      </c>
      <c r="Q6" s="254" t="s">
        <v>177</v>
      </c>
      <c r="R6" s="255">
        <v>10339</v>
      </c>
      <c r="S6" s="255">
        <v>332</v>
      </c>
      <c r="T6" s="255">
        <v>4</v>
      </c>
      <c r="U6" s="256">
        <v>2</v>
      </c>
      <c r="V6" s="256">
        <v>7</v>
      </c>
    </row>
    <row r="7">
      <c r="A7" s="242"/>
      <c r="B7" s="263" t="s">
        <v>181</v>
      </c>
      <c r="C7" s="263"/>
      <c r="D7" s="264">
        <f>SUM(D3:D6)</f>
      </c>
      <c r="E7" s="264">
        <f>SUM(E3:E6)</f>
      </c>
      <c r="F7" s="264">
        <f>SUM(F3:F6)</f>
      </c>
      <c r="G7" s="264">
        <f>SUM(G3:G6)</f>
      </c>
      <c r="H7" s="265">
        <f>SUM(H3:H6)</f>
      </c>
      <c r="I7" s="264">
        <f>SUM(I3:I6)</f>
      </c>
      <c r="J7" s="266">
        <f t="shared" si="198"/>
      </c>
      <c r="K7" s="267">
        <f t="shared" si="82"/>
      </c>
      <c r="L7" s="268">
        <f t="shared" si="112"/>
      </c>
      <c r="M7" s="269">
        <f t="shared" si="0"/>
      </c>
      <c r="N7" s="269">
        <f>H7/T7</f>
      </c>
      <c r="O7" s="270">
        <f>(U7*1000)/D7</f>
      </c>
      <c r="P7" s="270"/>
      <c r="Q7" s="270"/>
      <c r="R7" s="265">
        <f>SUM(R3:R6)</f>
      </c>
      <c r="S7" s="265">
        <f>SUM(S3:S6)</f>
      </c>
      <c r="T7" s="265">
        <f>SUM(T3:T6)</f>
      </c>
      <c r="U7" s="265">
        <f>SUM(U3:U6)</f>
      </c>
      <c r="V7" s="265">
        <f>SUM(V3:V6)</f>
      </c>
    </row>
    <row r="8">
      <c r="A8" s="242"/>
      <c r="B8" s="271" t="s">
        <v>182</v>
      </c>
      <c r="C8" s="245" t="s">
        <v>183</v>
      </c>
      <c r="D8" s="245">
        <f t="shared" ref="D8:D9" si="143">SUM(E8:G8)</f>
      </c>
      <c r="E8" s="246">
        <v>103.7</v>
      </c>
      <c r="F8" s="261">
        <v>1810.48</v>
      </c>
      <c r="G8" s="261">
        <v>0</v>
      </c>
      <c r="H8" s="272">
        <v>5</v>
      </c>
      <c r="I8" s="244">
        <v>2783.5399999999995</v>
      </c>
      <c r="J8" s="248">
        <f t="shared" si="198"/>
      </c>
      <c r="K8" s="248">
        <f t="shared" si="82"/>
      </c>
      <c r="L8" s="249">
        <f t="shared" si="112"/>
      </c>
      <c r="M8" s="250">
        <f t="shared" si="0"/>
      </c>
      <c r="N8" s="251">
        <f t="shared" ref="N8:N11" si="31">H8/(T8+H8)</f>
      </c>
      <c r="O8" s="252">
        <f t="shared" ref="O8:O9" si="259">(V8*1000)/D8</f>
      </c>
      <c r="P8" s="253" t="s">
        <v>176</v>
      </c>
      <c r="Q8" s="254" t="s">
        <v>177</v>
      </c>
      <c r="R8" s="255">
        <v>14959</v>
      </c>
      <c r="S8" s="255">
        <v>424</v>
      </c>
      <c r="T8" s="255">
        <v>5</v>
      </c>
      <c r="U8" s="256">
        <v>2</v>
      </c>
      <c r="V8" s="256">
        <v>17</v>
      </c>
    </row>
    <row r="9">
      <c r="A9" s="242"/>
      <c r="B9" s="271" t="s">
        <v>182</v>
      </c>
      <c r="C9" s="245" t="s">
        <v>184</v>
      </c>
      <c r="D9" s="245">
        <f t="shared" si="143"/>
      </c>
      <c r="E9" s="246">
        <v>67.47</v>
      </c>
      <c r="F9" s="246">
        <v>1566.26</v>
      </c>
      <c r="G9" s="261">
        <v>0</v>
      </c>
      <c r="H9" s="247">
        <v>11</v>
      </c>
      <c r="I9" s="246">
        <f>8133.12+236.64</f>
      </c>
      <c r="J9" s="248">
        <f t="shared" si="198"/>
      </c>
      <c r="K9" s="248">
        <f t="shared" si="82"/>
      </c>
      <c r="L9" s="249">
        <f t="shared" si="112"/>
      </c>
      <c r="M9" s="250">
        <f t="shared" si="0"/>
      </c>
      <c r="N9" s="251">
        <f t="shared" si="31"/>
      </c>
      <c r="O9" s="252">
        <f t="shared" si="259"/>
      </c>
      <c r="P9" s="253" t="s">
        <v>176</v>
      </c>
      <c r="Q9" s="254" t="s">
        <v>177</v>
      </c>
      <c r="R9" s="255">
        <v>12199</v>
      </c>
      <c r="S9" s="255">
        <v>269</v>
      </c>
      <c r="T9" s="255">
        <v>5</v>
      </c>
      <c r="U9" s="256">
        <v>1</v>
      </c>
      <c r="V9" s="256">
        <v>12</v>
      </c>
    </row>
    <row r="10">
      <c r="A10" s="242"/>
      <c r="B10" s="263" t="s">
        <v>181</v>
      </c>
      <c r="C10" s="263"/>
      <c r="D10" s="264">
        <f>SUM(D8:D9)</f>
      </c>
      <c r="E10" s="264">
        <f>SUM(E8:E9)</f>
      </c>
      <c r="F10" s="264">
        <f>SUM(F8:F9)</f>
      </c>
      <c r="G10" s="264">
        <f>SUM(G8:G9)</f>
      </c>
      <c r="H10" s="265">
        <f>SUM(H8:H9)</f>
      </c>
      <c r="I10" s="264">
        <f>SUM(I8:I9)</f>
      </c>
      <c r="J10" s="273">
        <f t="shared" si="198"/>
      </c>
      <c r="K10" s="267">
        <f t="shared" si="82"/>
      </c>
      <c r="L10" s="268">
        <f t="shared" si="112"/>
      </c>
      <c r="M10" s="269">
        <f t="shared" si="0"/>
      </c>
      <c r="N10" s="269">
        <f t="shared" si="31"/>
      </c>
      <c r="O10" s="270">
        <f t="shared" ref="O10:O11" si="228">(U10*1000)/D10</f>
      </c>
      <c r="P10" s="270"/>
      <c r="Q10" s="270"/>
      <c r="R10" s="265">
        <f>SUM(R8:R9)</f>
      </c>
      <c r="S10" s="265">
        <f>SUM(S8:S9)</f>
      </c>
      <c r="T10" s="265">
        <f>SUM(T8:T9)</f>
      </c>
      <c r="U10" s="265">
        <f>SUM(U8:U9)</f>
      </c>
      <c r="V10" s="265">
        <f>SUM(V8:V9)</f>
      </c>
    </row>
    <row r="11">
      <c r="A11" s="242"/>
      <c r="B11" s="274" t="s">
        <v>185</v>
      </c>
      <c r="C11" s="274"/>
      <c r="D11" s="275">
        <f>D7+D10</f>
      </c>
      <c r="E11" s="275">
        <f>E7+E10</f>
      </c>
      <c r="F11" s="275">
        <f>F7+F10</f>
      </c>
      <c r="G11" s="275">
        <f>G7+G10</f>
      </c>
      <c r="H11" s="276">
        <f>H7+H10</f>
      </c>
      <c r="I11" s="275">
        <f>I7+I10</f>
      </c>
      <c r="J11" s="277">
        <f t="shared" si="198"/>
      </c>
      <c r="K11" s="277">
        <f t="shared" si="82"/>
      </c>
      <c r="L11" s="278">
        <f t="shared" si="112"/>
      </c>
      <c r="M11" s="279">
        <f t="shared" si="0"/>
      </c>
      <c r="N11" s="279">
        <f t="shared" si="31"/>
      </c>
      <c r="O11" s="277">
        <f t="shared" si="228"/>
      </c>
      <c r="P11" s="280"/>
      <c r="Q11" s="280"/>
      <c r="R11" s="276">
        <f>R7+R10</f>
      </c>
      <c r="S11" s="276">
        <f>S7+S10</f>
      </c>
      <c r="T11" s="276">
        <f>T7+T10</f>
      </c>
      <c r="U11" s="276">
        <f>U7+U10</f>
      </c>
      <c r="V11" s="276">
        <f>V7+V10</f>
      </c>
    </row>
    <row r="12">
      <c r="A12" s="229" t="s">
        <v>148</v>
      </c>
      <c r="B12" s="229"/>
      <c r="C12" s="229"/>
      <c r="D12" s="230" t="s">
        <v>149</v>
      </c>
      <c r="E12" s="230"/>
      <c r="F12" s="230"/>
      <c r="G12" s="230"/>
      <c r="H12" s="230"/>
      <c r="I12" s="230"/>
      <c r="J12" s="230"/>
      <c r="K12" s="230"/>
      <c r="L12" s="230"/>
      <c r="M12" s="231" t="s">
        <v>150</v>
      </c>
      <c r="N12" s="231"/>
      <c r="O12" s="231"/>
      <c r="P12" s="231"/>
      <c r="Q12" s="231"/>
      <c r="R12" s="232" t="s">
        <v>151</v>
      </c>
      <c r="S12" s="232"/>
      <c r="T12" s="232"/>
      <c r="U12" s="232"/>
      <c r="V12" s="232"/>
    </row>
    <row r="13">
      <c r="A13" s="233" t="s">
        <v>152</v>
      </c>
      <c r="B13" s="233" t="s">
        <v>153</v>
      </c>
      <c r="C13" s="233" t="s">
        <v>154</v>
      </c>
      <c r="D13" s="234" t="s">
        <v>155</v>
      </c>
      <c r="E13" s="235" t="s">
        <v>156</v>
      </c>
      <c r="F13" s="234" t="s">
        <v>157</v>
      </c>
      <c r="G13" s="234" t="s">
        <v>158</v>
      </c>
      <c r="H13" s="236" t="s">
        <v>159</v>
      </c>
      <c r="I13" s="234" t="s">
        <v>160</v>
      </c>
      <c r="J13" s="237" t="s">
        <v>161</v>
      </c>
      <c r="K13" s="238" t="s">
        <v>162</v>
      </c>
      <c r="L13" s="239" t="s">
        <v>163</v>
      </c>
      <c r="M13" s="240" t="s">
        <v>164</v>
      </c>
      <c r="N13" s="240" t="s">
        <v>165</v>
      </c>
      <c r="O13" s="240" t="s">
        <v>166</v>
      </c>
      <c r="P13" s="231" t="s">
        <v>167</v>
      </c>
      <c r="Q13" s="231" t="s">
        <v>168</v>
      </c>
      <c r="R13" s="232" t="s">
        <v>169</v>
      </c>
      <c r="S13" s="232" t="s">
        <v>170</v>
      </c>
      <c r="T13" s="232" t="s">
        <v>171</v>
      </c>
      <c r="U13" s="241" t="s">
        <v>172</v>
      </c>
      <c r="V13" s="232" t="s">
        <v>173</v>
      </c>
    </row>
    <row r="14">
      <c r="A14" s="242">
        <v>46267</v>
      </c>
      <c r="B14" s="243" t="s">
        <v>174</v>
      </c>
      <c r="C14" s="244" t="s">
        <v>175</v>
      </c>
      <c r="D14" s="245">
        <f t="shared" ref="D14:D17" si="144">SUM(E14:G14)</f>
      </c>
      <c r="E14" s="246">
        <v>135.76</v>
      </c>
      <c r="F14" s="246">
        <v>1764.15</v>
      </c>
      <c r="G14" s="246">
        <v>0</v>
      </c>
      <c r="H14" s="247">
        <v>2</v>
      </c>
      <c r="I14" s="246">
        <v>452.34000000000003</v>
      </c>
      <c r="J14" s="248">
        <f t="shared" ref="J14:J22" si="199">I14/D14</f>
      </c>
      <c r="K14" s="248">
        <f t="shared" ref="K14:K22" si="83">D14/H14</f>
      </c>
      <c r="L14" s="249">
        <f t="shared" ref="L14:L22" si="113">I14/H14</f>
      </c>
      <c r="M14" s="250">
        <f t="shared" ref="M14:M22" si="1">S14/R14</f>
      </c>
      <c r="N14" s="251">
        <f t="shared" ref="N14:N17" si="32">H14/(T14+H14)</f>
      </c>
      <c r="O14" s="252">
        <f t="shared" ref="O14:O17" si="260">(V14*1000)/D14</f>
      </c>
      <c r="P14" s="253" t="s">
        <v>176</v>
      </c>
      <c r="Q14" s="254" t="s">
        <v>186</v>
      </c>
      <c r="R14" s="255">
        <v>14054</v>
      </c>
      <c r="S14" s="255">
        <v>351</v>
      </c>
      <c r="T14" s="255">
        <v>2</v>
      </c>
      <c r="U14" s="256">
        <v>0</v>
      </c>
      <c r="V14" s="256">
        <v>9</v>
      </c>
    </row>
    <row r="15">
      <c r="A15" s="242"/>
      <c r="B15" s="257" t="s">
        <v>174</v>
      </c>
      <c r="C15" s="258" t="s">
        <v>178</v>
      </c>
      <c r="D15" s="259">
        <f t="shared" si="144"/>
      </c>
      <c r="E15" s="246">
        <v>86.6</v>
      </c>
      <c r="F15" s="246">
        <v>2054.17</v>
      </c>
      <c r="G15" s="246">
        <v>0</v>
      </c>
      <c r="H15" s="247">
        <v>2</v>
      </c>
      <c r="I15" s="246">
        <v>1291.6</v>
      </c>
      <c r="J15" s="248">
        <f t="shared" si="199"/>
      </c>
      <c r="K15" s="248">
        <f t="shared" si="83"/>
      </c>
      <c r="L15" s="249">
        <f t="shared" si="113"/>
      </c>
      <c r="M15" s="250">
        <f t="shared" si="1"/>
      </c>
      <c r="N15" s="251">
        <f t="shared" si="32"/>
      </c>
      <c r="O15" s="252">
        <f t="shared" si="260"/>
      </c>
      <c r="P15" s="253" t="s">
        <v>176</v>
      </c>
      <c r="Q15" s="254" t="s">
        <v>186</v>
      </c>
      <c r="R15" s="255">
        <v>20891</v>
      </c>
      <c r="S15" s="255">
        <v>489</v>
      </c>
      <c r="T15" s="255">
        <v>5</v>
      </c>
      <c r="U15" s="256">
        <v>0</v>
      </c>
      <c r="V15" s="256">
        <v>15</v>
      </c>
    </row>
    <row r="16">
      <c r="A16" s="242"/>
      <c r="B16" s="243" t="s">
        <v>174</v>
      </c>
      <c r="C16" s="260" t="s">
        <v>179</v>
      </c>
      <c r="D16" s="245">
        <f t="shared" si="144"/>
      </c>
      <c r="E16" s="246">
        <v>141.97</v>
      </c>
      <c r="F16" s="261">
        <v>1285.16</v>
      </c>
      <c r="G16" s="261">
        <v>0</v>
      </c>
      <c r="H16" s="262">
        <v>10</v>
      </c>
      <c r="I16" s="261">
        <v>7666.719999999999</v>
      </c>
      <c r="J16" s="248">
        <f t="shared" si="199"/>
      </c>
      <c r="K16" s="248">
        <f t="shared" si="83"/>
      </c>
      <c r="L16" s="249">
        <f t="shared" si="113"/>
      </c>
      <c r="M16" s="250">
        <f t="shared" si="1"/>
      </c>
      <c r="N16" s="251">
        <f t="shared" si="32"/>
      </c>
      <c r="O16" s="252">
        <f t="shared" si="260"/>
      </c>
      <c r="P16" s="253" t="s">
        <v>176</v>
      </c>
      <c r="Q16" s="254" t="s">
        <v>186</v>
      </c>
      <c r="R16" s="255">
        <v>10470</v>
      </c>
      <c r="S16" s="255">
        <v>362</v>
      </c>
      <c r="T16" s="255">
        <v>7</v>
      </c>
      <c r="U16" s="256">
        <v>0</v>
      </c>
      <c r="V16" s="256">
        <v>16</v>
      </c>
    </row>
    <row r="17">
      <c r="A17" s="242"/>
      <c r="B17" s="243" t="s">
        <v>174</v>
      </c>
      <c r="C17" s="246" t="s">
        <v>180</v>
      </c>
      <c r="D17" s="245">
        <f t="shared" si="144"/>
      </c>
      <c r="E17" s="246">
        <v>286.15</v>
      </c>
      <c r="F17" s="261">
        <v>3062.16</v>
      </c>
      <c r="G17" s="261">
        <v>0</v>
      </c>
      <c r="H17" s="262">
        <v>11</v>
      </c>
      <c r="I17" s="261">
        <v>3986.460000000001</v>
      </c>
      <c r="J17" s="248">
        <f t="shared" si="199"/>
      </c>
      <c r="K17" s="248">
        <f t="shared" si="83"/>
      </c>
      <c r="L17" s="249">
        <f t="shared" si="113"/>
      </c>
      <c r="M17" s="250">
        <f t="shared" si="1"/>
      </c>
      <c r="N17" s="251">
        <f t="shared" si="32"/>
      </c>
      <c r="O17" s="252">
        <f t="shared" si="260"/>
      </c>
      <c r="P17" s="253" t="s">
        <v>176</v>
      </c>
      <c r="Q17" s="254" t="s">
        <v>186</v>
      </c>
      <c r="R17" s="255">
        <v>29821</v>
      </c>
      <c r="S17" s="255">
        <v>801</v>
      </c>
      <c r="T17" s="255">
        <v>13</v>
      </c>
      <c r="U17" s="256">
        <v>0</v>
      </c>
      <c r="V17" s="256">
        <v>38</v>
      </c>
    </row>
    <row r="18">
      <c r="A18" s="242"/>
      <c r="B18" s="263" t="s">
        <v>181</v>
      </c>
      <c r="C18" s="263"/>
      <c r="D18" s="264">
        <f>SUM(D14:D17)</f>
      </c>
      <c r="E18" s="264">
        <f>SUM(E14:E17)</f>
      </c>
      <c r="F18" s="264">
        <f>SUM(F14:F17)</f>
      </c>
      <c r="G18" s="264">
        <f>SUM(G14:G17)</f>
      </c>
      <c r="H18" s="265">
        <f>SUM(H14:H17)</f>
      </c>
      <c r="I18" s="264">
        <f>SUM(I14:I17)</f>
      </c>
      <c r="J18" s="266">
        <f t="shared" si="199"/>
      </c>
      <c r="K18" s="267">
        <f t="shared" si="83"/>
      </c>
      <c r="L18" s="268">
        <f t="shared" si="113"/>
      </c>
      <c r="M18" s="269">
        <f t="shared" si="1"/>
      </c>
      <c r="N18" s="269">
        <f>H18/T18</f>
      </c>
      <c r="O18" s="270">
        <f>(U18*1000)/D18</f>
      </c>
      <c r="P18" s="270"/>
      <c r="Q18" s="270"/>
      <c r="R18" s="265">
        <f>SUM(R14:R17)</f>
      </c>
      <c r="S18" s="265">
        <f>SUM(S14:S17)</f>
      </c>
      <c r="T18" s="265">
        <f>SUM(T14:T17)</f>
      </c>
      <c r="U18" s="265">
        <f>SUM(U14:U17)</f>
      </c>
      <c r="V18" s="265">
        <f>SUM(V14:V17)</f>
      </c>
    </row>
    <row r="19">
      <c r="A19" s="242"/>
      <c r="B19" s="271" t="s">
        <v>182</v>
      </c>
      <c r="C19" s="245" t="s">
        <v>183</v>
      </c>
      <c r="D19" s="245">
        <f t="shared" ref="D19:D20" si="145">SUM(E19:G19)</f>
      </c>
      <c r="E19" s="246">
        <v>413.48</v>
      </c>
      <c r="F19" s="261">
        <v>1905.85</v>
      </c>
      <c r="G19" s="261">
        <v>0</v>
      </c>
      <c r="H19" s="272">
        <v>2</v>
      </c>
      <c r="I19" s="244">
        <v>861.5</v>
      </c>
      <c r="J19" s="248">
        <f t="shared" si="199"/>
      </c>
      <c r="K19" s="248">
        <f t="shared" si="83"/>
      </c>
      <c r="L19" s="249">
        <f t="shared" si="113"/>
      </c>
      <c r="M19" s="250">
        <f t="shared" si="1"/>
      </c>
      <c r="N19" s="251">
        <f t="shared" ref="N19:N22" si="33">H19/(T19+H19)</f>
      </c>
      <c r="O19" s="252">
        <f t="shared" ref="O19:O20" si="261">(V19*1000)/D19</f>
      </c>
      <c r="P19" s="253" t="s">
        <v>176</v>
      </c>
      <c r="Q19" s="254" t="s">
        <v>186</v>
      </c>
      <c r="R19" s="255">
        <v>18729</v>
      </c>
      <c r="S19" s="255">
        <v>653</v>
      </c>
      <c r="T19" s="255">
        <v>4</v>
      </c>
      <c r="U19" s="256">
        <v>1</v>
      </c>
      <c r="V19" s="256">
        <v>28</v>
      </c>
    </row>
    <row r="20">
      <c r="A20" s="242"/>
      <c r="B20" s="271" t="s">
        <v>182</v>
      </c>
      <c r="C20" s="245" t="s">
        <v>184</v>
      </c>
      <c r="D20" s="245">
        <f t="shared" si="145"/>
      </c>
      <c r="E20" s="246">
        <v>201.94</v>
      </c>
      <c r="F20" s="246">
        <v>603.48</v>
      </c>
      <c r="G20" s="261">
        <v>0</v>
      </c>
      <c r="H20" s="247">
        <v>0</v>
      </c>
      <c r="I20" s="246">
        <v>0</v>
      </c>
      <c r="J20" s="248">
        <f t="shared" si="199"/>
      </c>
      <c r="K20" s="248">
        <f t="shared" si="83"/>
      </c>
      <c r="L20" s="249">
        <f t="shared" si="113"/>
      </c>
      <c r="M20" s="250">
        <f t="shared" si="1"/>
      </c>
      <c r="N20" s="251">
        <f t="shared" si="33"/>
      </c>
      <c r="O20" s="252">
        <f t="shared" si="261"/>
      </c>
      <c r="P20" s="253" t="s">
        <v>176</v>
      </c>
      <c r="Q20" s="254" t="s">
        <v>186</v>
      </c>
      <c r="R20" s="255">
        <v>5526</v>
      </c>
      <c r="S20" s="255">
        <v>241</v>
      </c>
      <c r="T20" s="255">
        <v>2</v>
      </c>
      <c r="U20" s="256">
        <v>0</v>
      </c>
      <c r="V20" s="256">
        <v>8</v>
      </c>
    </row>
    <row r="21">
      <c r="A21" s="242"/>
      <c r="B21" s="263" t="s">
        <v>181</v>
      </c>
      <c r="C21" s="263"/>
      <c r="D21" s="264">
        <f>SUM(D19:D20)</f>
      </c>
      <c r="E21" s="264">
        <f>SUM(E19:E20)</f>
      </c>
      <c r="F21" s="264">
        <f>SUM(F19:F20)</f>
      </c>
      <c r="G21" s="264">
        <f>SUM(G19:G20)</f>
      </c>
      <c r="H21" s="265">
        <f>SUM(H19:H20)</f>
      </c>
      <c r="I21" s="264">
        <f>SUM(I19:I20)</f>
      </c>
      <c r="J21" s="273">
        <f t="shared" si="199"/>
      </c>
      <c r="K21" s="267">
        <f t="shared" si="83"/>
      </c>
      <c r="L21" s="268">
        <f t="shared" si="113"/>
      </c>
      <c r="M21" s="269">
        <f t="shared" si="1"/>
      </c>
      <c r="N21" s="269">
        <f t="shared" si="33"/>
      </c>
      <c r="O21" s="270">
        <f t="shared" ref="O21:O22" si="229">(U21*1000)/D21</f>
      </c>
      <c r="P21" s="270"/>
      <c r="Q21" s="270"/>
      <c r="R21" s="265">
        <f>SUM(R19:R20)</f>
      </c>
      <c r="S21" s="265">
        <f>SUM(S19:S20)</f>
      </c>
      <c r="T21" s="265">
        <f>SUM(T19:T20)</f>
      </c>
      <c r="U21" s="265">
        <f>SUM(U19:U20)</f>
      </c>
      <c r="V21" s="265">
        <f>SUM(V19:V20)</f>
      </c>
    </row>
    <row r="22">
      <c r="A22" s="242"/>
      <c r="B22" s="274" t="s">
        <v>185</v>
      </c>
      <c r="C22" s="274"/>
      <c r="D22" s="275">
        <f>D18+D21</f>
      </c>
      <c r="E22" s="275">
        <f>E18+E21</f>
      </c>
      <c r="F22" s="275">
        <f>F18+F21</f>
      </c>
      <c r="G22" s="275">
        <f>G18+G21</f>
      </c>
      <c r="H22" s="276">
        <f>H18+H21</f>
      </c>
      <c r="I22" s="275">
        <f>I18+I21</f>
      </c>
      <c r="J22" s="277">
        <f t="shared" si="199"/>
      </c>
      <c r="K22" s="277">
        <f t="shared" si="83"/>
      </c>
      <c r="L22" s="278">
        <f t="shared" si="113"/>
      </c>
      <c r="M22" s="279">
        <f t="shared" si="1"/>
      </c>
      <c r="N22" s="279">
        <f t="shared" si="33"/>
      </c>
      <c r="O22" s="277">
        <f t="shared" si="229"/>
      </c>
      <c r="P22" s="280"/>
      <c r="Q22" s="280"/>
      <c r="R22" s="276">
        <f>R18+R21</f>
      </c>
      <c r="S22" s="276">
        <f>S18+S21</f>
      </c>
      <c r="T22" s="276">
        <f>T18+T21</f>
      </c>
      <c r="U22" s="276">
        <f>U18+U21</f>
      </c>
      <c r="V22" s="276">
        <f>V18+V21</f>
      </c>
    </row>
    <row r="23">
      <c r="A23" s="229" t="s">
        <v>148</v>
      </c>
      <c r="B23" s="229"/>
      <c r="C23" s="229"/>
      <c r="D23" s="230" t="s">
        <v>149</v>
      </c>
      <c r="E23" s="230"/>
      <c r="F23" s="230"/>
      <c r="G23" s="230"/>
      <c r="H23" s="230"/>
      <c r="I23" s="230"/>
      <c r="J23" s="230"/>
      <c r="K23" s="230"/>
      <c r="L23" s="230"/>
      <c r="M23" s="231" t="s">
        <v>150</v>
      </c>
      <c r="N23" s="231"/>
      <c r="O23" s="231"/>
      <c r="P23" s="231"/>
      <c r="Q23" s="231"/>
      <c r="R23" s="232" t="s">
        <v>151</v>
      </c>
      <c r="S23" s="232"/>
      <c r="T23" s="232"/>
      <c r="U23" s="232"/>
      <c r="V23" s="232"/>
    </row>
    <row r="24">
      <c r="A24" s="233" t="s">
        <v>152</v>
      </c>
      <c r="B24" s="233" t="s">
        <v>153</v>
      </c>
      <c r="C24" s="233" t="s">
        <v>154</v>
      </c>
      <c r="D24" s="234" t="s">
        <v>155</v>
      </c>
      <c r="E24" s="235" t="s">
        <v>156</v>
      </c>
      <c r="F24" s="234" t="s">
        <v>157</v>
      </c>
      <c r="G24" s="234" t="s">
        <v>158</v>
      </c>
      <c r="H24" s="236" t="s">
        <v>159</v>
      </c>
      <c r="I24" s="234" t="s">
        <v>160</v>
      </c>
      <c r="J24" s="237" t="s">
        <v>161</v>
      </c>
      <c r="K24" s="238" t="s">
        <v>162</v>
      </c>
      <c r="L24" s="239" t="s">
        <v>163</v>
      </c>
      <c r="M24" s="240" t="s">
        <v>164</v>
      </c>
      <c r="N24" s="240" t="s">
        <v>165</v>
      </c>
      <c r="O24" s="240" t="s">
        <v>166</v>
      </c>
      <c r="P24" s="231" t="s">
        <v>167</v>
      </c>
      <c r="Q24" s="231" t="s">
        <v>168</v>
      </c>
      <c r="R24" s="232" t="s">
        <v>169</v>
      </c>
      <c r="S24" s="232" t="s">
        <v>170</v>
      </c>
      <c r="T24" s="232" t="s">
        <v>171</v>
      </c>
      <c r="U24" s="241" t="s">
        <v>172</v>
      </c>
      <c r="V24" s="232" t="s">
        <v>173</v>
      </c>
    </row>
    <row r="25">
      <c r="A25" s="242">
        <v>46268</v>
      </c>
      <c r="B25" s="243" t="s">
        <v>174</v>
      </c>
      <c r="C25" s="244" t="s">
        <v>175</v>
      </c>
      <c r="D25" s="259">
        <f t="shared" ref="D25:D28" si="146">SUM(E25:G25)</f>
      </c>
      <c r="E25" s="246">
        <v>212.77</v>
      </c>
      <c r="F25" s="246">
        <v>1507.35</v>
      </c>
      <c r="G25" s="246">
        <v>0</v>
      </c>
      <c r="H25" s="247">
        <v>8</v>
      </c>
      <c r="I25" s="246">
        <v>8535.480000000001</v>
      </c>
      <c r="J25" s="248">
        <f t="shared" ref="J25:J33" si="200">I25/D25</f>
      </c>
      <c r="K25" s="248">
        <f t="shared" ref="K25:K33" si="84">D25/H25</f>
      </c>
      <c r="L25" s="249">
        <f t="shared" ref="L25:L33" si="114">I25/H25</f>
      </c>
      <c r="M25" s="250">
        <f t="shared" ref="M25:M33" si="2">S25/R25</f>
      </c>
      <c r="N25" s="251">
        <f t="shared" ref="N25:N28" si="34">H25/(T25+H25)</f>
      </c>
      <c r="O25" s="252">
        <f t="shared" ref="O25:O28" si="262">(V25*1000)/D25</f>
      </c>
      <c r="P25" s="253" t="s">
        <v>176</v>
      </c>
      <c r="Q25" s="254" t="s">
        <v>186</v>
      </c>
      <c r="R25" s="255">
        <v>10681</v>
      </c>
      <c r="S25" s="255">
        <v>359</v>
      </c>
      <c r="T25" s="255">
        <v>8</v>
      </c>
      <c r="U25" s="256">
        <v>0</v>
      </c>
      <c r="V25" s="256">
        <v>16</v>
      </c>
    </row>
    <row r="26">
      <c r="A26" s="242"/>
      <c r="B26" s="257" t="s">
        <v>174</v>
      </c>
      <c r="C26" s="258" t="s">
        <v>178</v>
      </c>
      <c r="D26" s="259">
        <f t="shared" si="146"/>
      </c>
      <c r="E26" s="246">
        <v>433.35</v>
      </c>
      <c r="F26" s="246">
        <v>1411.5</v>
      </c>
      <c r="G26" s="246">
        <v>0</v>
      </c>
      <c r="H26" s="247">
        <v>9</v>
      </c>
      <c r="I26" s="246">
        <v>6124.58</v>
      </c>
      <c r="J26" s="248">
        <f t="shared" si="200"/>
      </c>
      <c r="K26" s="248">
        <f t="shared" si="84"/>
      </c>
      <c r="L26" s="249">
        <f t="shared" si="114"/>
      </c>
      <c r="M26" s="250">
        <f t="shared" si="2"/>
      </c>
      <c r="N26" s="251">
        <f t="shared" si="34"/>
      </c>
      <c r="O26" s="252">
        <f t="shared" si="262"/>
      </c>
      <c r="P26" s="253" t="s">
        <v>176</v>
      </c>
      <c r="Q26" s="254" t="s">
        <v>186</v>
      </c>
      <c r="R26" s="255">
        <v>12572</v>
      </c>
      <c r="S26" s="255">
        <v>468</v>
      </c>
      <c r="T26" s="255">
        <v>4</v>
      </c>
      <c r="U26" s="256">
        <v>1</v>
      </c>
      <c r="V26" s="256">
        <v>18</v>
      </c>
    </row>
    <row r="27">
      <c r="A27" s="242"/>
      <c r="B27" s="243" t="s">
        <v>174</v>
      </c>
      <c r="C27" s="260" t="s">
        <v>179</v>
      </c>
      <c r="D27" s="245">
        <f t="shared" si="146"/>
      </c>
      <c r="E27" s="246">
        <v>507.44</v>
      </c>
      <c r="F27" s="261">
        <v>2563.17</v>
      </c>
      <c r="G27" s="261">
        <v>0</v>
      </c>
      <c r="H27" s="262">
        <v>6</v>
      </c>
      <c r="I27" s="261">
        <v>4536.899999999998</v>
      </c>
      <c r="J27" s="248">
        <f t="shared" si="200"/>
      </c>
      <c r="K27" s="248">
        <f t="shared" si="84"/>
      </c>
      <c r="L27" s="249">
        <f t="shared" si="114"/>
      </c>
      <c r="M27" s="250">
        <f t="shared" si="2"/>
      </c>
      <c r="N27" s="251">
        <f t="shared" si="34"/>
      </c>
      <c r="O27" s="252">
        <f t="shared" si="262"/>
      </c>
      <c r="P27" s="253" t="s">
        <v>176</v>
      </c>
      <c r="Q27" s="254" t="s">
        <v>186</v>
      </c>
      <c r="R27" s="255">
        <v>22321</v>
      </c>
      <c r="S27" s="255">
        <v>716</v>
      </c>
      <c r="T27" s="255">
        <v>4</v>
      </c>
      <c r="U27" s="256">
        <v>1</v>
      </c>
      <c r="V27" s="256">
        <v>25</v>
      </c>
    </row>
    <row r="28">
      <c r="A28" s="242"/>
      <c r="B28" s="243" t="s">
        <v>174</v>
      </c>
      <c r="C28" s="246" t="s">
        <v>180</v>
      </c>
      <c r="D28" s="245">
        <f t="shared" si="146"/>
      </c>
      <c r="E28" s="246">
        <v>410.62</v>
      </c>
      <c r="F28" s="261">
        <v>2254.9</v>
      </c>
      <c r="G28" s="261">
        <v>0</v>
      </c>
      <c r="H28" s="262">
        <v>5</v>
      </c>
      <c r="I28" s="261">
        <v>4777.560000000001</v>
      </c>
      <c r="J28" s="248">
        <f t="shared" si="200"/>
      </c>
      <c r="K28" s="248">
        <f t="shared" si="84"/>
      </c>
      <c r="L28" s="249">
        <f t="shared" si="114"/>
      </c>
      <c r="M28" s="250">
        <f t="shared" si="2"/>
      </c>
      <c r="N28" s="251">
        <f t="shared" si="34"/>
      </c>
      <c r="O28" s="252">
        <f t="shared" si="262"/>
      </c>
      <c r="P28" s="253" t="s">
        <v>176</v>
      </c>
      <c r="Q28" s="254" t="s">
        <v>186</v>
      </c>
      <c r="R28" s="255">
        <v>18545</v>
      </c>
      <c r="S28" s="255">
        <v>605</v>
      </c>
      <c r="T28" s="255">
        <v>4</v>
      </c>
      <c r="U28" s="256">
        <v>0</v>
      </c>
      <c r="V28" s="256">
        <v>22</v>
      </c>
    </row>
    <row r="29">
      <c r="A29" s="242"/>
      <c r="B29" s="263" t="s">
        <v>181</v>
      </c>
      <c r="C29" s="263"/>
      <c r="D29" s="264">
        <f>SUM(D25:D28)</f>
      </c>
      <c r="E29" s="264">
        <f>SUM(E25:E28)</f>
      </c>
      <c r="F29" s="264">
        <f>SUM(F25:F28)</f>
      </c>
      <c r="G29" s="264">
        <f>SUM(G25:G28)</f>
      </c>
      <c r="H29" s="265">
        <f>SUM(H25:H28)</f>
      </c>
      <c r="I29" s="264">
        <f>SUM(I25:I28)</f>
      </c>
      <c r="J29" s="266">
        <f t="shared" si="200"/>
      </c>
      <c r="K29" s="267">
        <f t="shared" si="84"/>
      </c>
      <c r="L29" s="268">
        <f t="shared" si="114"/>
      </c>
      <c r="M29" s="269">
        <f t="shared" si="2"/>
      </c>
      <c r="N29" s="269">
        <f>H29/T29</f>
      </c>
      <c r="O29" s="270">
        <f>(U29*1000)/D29</f>
      </c>
      <c r="P29" s="270"/>
      <c r="Q29" s="270"/>
      <c r="R29" s="265">
        <f>SUM(R25:R28)</f>
      </c>
      <c r="S29" s="265">
        <f>SUM(S25:S28)</f>
      </c>
      <c r="T29" s="265">
        <f>SUM(T25:T28)</f>
      </c>
      <c r="U29" s="265">
        <f>SUM(U25:U28)</f>
      </c>
      <c r="V29" s="265">
        <f>SUM(V25:V28)</f>
      </c>
    </row>
    <row r="30">
      <c r="A30" s="242"/>
      <c r="B30" s="271" t="s">
        <v>182</v>
      </c>
      <c r="C30" s="245" t="s">
        <v>183</v>
      </c>
      <c r="D30" s="245">
        <f t="shared" ref="D30:D31" si="147">SUM(E30:G30)</f>
      </c>
      <c r="E30" s="246">
        <v>457.96</v>
      </c>
      <c r="F30" s="261">
        <v>1792.35</v>
      </c>
      <c r="G30" s="261">
        <v>0</v>
      </c>
      <c r="H30" s="262">
        <v>7</v>
      </c>
      <c r="I30" s="244">
        <v>4281.899999999998</v>
      </c>
      <c r="J30" s="248">
        <f t="shared" si="200"/>
      </c>
      <c r="K30" s="248">
        <f t="shared" si="84"/>
      </c>
      <c r="L30" s="249">
        <f t="shared" si="114"/>
      </c>
      <c r="M30" s="250">
        <f t="shared" si="2"/>
      </c>
      <c r="N30" s="251">
        <f t="shared" ref="N30:N33" si="35">H30/(T30+H30)</f>
      </c>
      <c r="O30" s="252">
        <f t="shared" ref="O30:O31" si="263">(V30*1000)/D30</f>
      </c>
      <c r="P30" s="253" t="s">
        <v>176</v>
      </c>
      <c r="Q30" s="254" t="s">
        <v>186</v>
      </c>
      <c r="R30" s="255">
        <v>14587</v>
      </c>
      <c r="S30" s="255">
        <v>477</v>
      </c>
      <c r="T30" s="255">
        <v>8</v>
      </c>
      <c r="U30" s="256">
        <v>0</v>
      </c>
      <c r="V30" s="256">
        <v>20</v>
      </c>
    </row>
    <row r="31">
      <c r="A31" s="242"/>
      <c r="B31" s="271" t="s">
        <v>182</v>
      </c>
      <c r="C31" s="245" t="s">
        <v>184</v>
      </c>
      <c r="D31" s="245">
        <f t="shared" si="147"/>
      </c>
      <c r="E31" s="246">
        <f>491.21+7.93</f>
      </c>
      <c r="F31" s="246">
        <f>954.4</f>
      </c>
      <c r="G31" s="261">
        <v>0</v>
      </c>
      <c r="H31" s="247">
        <v>4</v>
      </c>
      <c r="I31" s="246">
        <v>2236.6800000000003</v>
      </c>
      <c r="J31" s="248">
        <f t="shared" si="200"/>
      </c>
      <c r="K31" s="248">
        <f t="shared" si="84"/>
      </c>
      <c r="L31" s="249">
        <f t="shared" si="114"/>
      </c>
      <c r="M31" s="250">
        <f t="shared" si="2"/>
      </c>
      <c r="N31" s="251">
        <f t="shared" si="35"/>
      </c>
      <c r="O31" s="252">
        <f t="shared" si="263"/>
      </c>
      <c r="P31" s="253" t="s">
        <v>176</v>
      </c>
      <c r="Q31" s="254" t="s">
        <v>186</v>
      </c>
      <c r="R31" s="255">
        <v>9085</v>
      </c>
      <c r="S31" s="255">
        <v>388</v>
      </c>
      <c r="T31" s="255">
        <v>5</v>
      </c>
      <c r="U31" s="256">
        <v>0</v>
      </c>
      <c r="V31" s="256">
        <v>11</v>
      </c>
    </row>
    <row r="32">
      <c r="A32" s="242"/>
      <c r="B32" s="263" t="s">
        <v>181</v>
      </c>
      <c r="C32" s="263"/>
      <c r="D32" s="264">
        <f>SUM(D30:D31)</f>
      </c>
      <c r="E32" s="264">
        <f>SUM(E30:E31)</f>
      </c>
      <c r="F32" s="264">
        <f>SUM(F30:F31)</f>
      </c>
      <c r="G32" s="264">
        <f>SUM(G30:G31)</f>
      </c>
      <c r="H32" s="265">
        <f>SUM(H30:H31)</f>
      </c>
      <c r="I32" s="264">
        <f>SUM(I30:I31)</f>
      </c>
      <c r="J32" s="273">
        <f t="shared" si="200"/>
      </c>
      <c r="K32" s="267">
        <f t="shared" si="84"/>
      </c>
      <c r="L32" s="268">
        <f t="shared" si="114"/>
      </c>
      <c r="M32" s="269">
        <f t="shared" si="2"/>
      </c>
      <c r="N32" s="269">
        <f t="shared" si="35"/>
      </c>
      <c r="O32" s="270">
        <f t="shared" ref="O32:O33" si="230">(U32*1000)/D32</f>
      </c>
      <c r="P32" s="270"/>
      <c r="Q32" s="270"/>
      <c r="R32" s="265">
        <f>SUM(R30:R31)</f>
      </c>
      <c r="S32" s="265">
        <f>SUM(S30:S31)</f>
      </c>
      <c r="T32" s="265">
        <f>SUM(T30:T31)</f>
      </c>
      <c r="U32" s="265">
        <f>SUM(U30:U31)</f>
      </c>
      <c r="V32" s="265">
        <f>SUM(V30:V31)</f>
      </c>
    </row>
    <row r="33">
      <c r="A33" s="242"/>
      <c r="B33" s="274" t="s">
        <v>185</v>
      </c>
      <c r="C33" s="274"/>
      <c r="D33" s="275">
        <f>D29+D32</f>
      </c>
      <c r="E33" s="275">
        <f>E29+E32</f>
      </c>
      <c r="F33" s="275">
        <f>F29+F32</f>
      </c>
      <c r="G33" s="275">
        <f>G29+G32</f>
      </c>
      <c r="H33" s="276">
        <f>H29+H32</f>
      </c>
      <c r="I33" s="275">
        <f>I29+I32</f>
      </c>
      <c r="J33" s="277">
        <f t="shared" si="200"/>
      </c>
      <c r="K33" s="277">
        <f t="shared" si="84"/>
      </c>
      <c r="L33" s="278">
        <f t="shared" si="114"/>
      </c>
      <c r="M33" s="279">
        <f t="shared" si="2"/>
      </c>
      <c r="N33" s="279">
        <f t="shared" si="35"/>
      </c>
      <c r="O33" s="277">
        <f t="shared" si="230"/>
      </c>
      <c r="P33" s="280"/>
      <c r="Q33" s="280"/>
      <c r="R33" s="276">
        <f>R29+R32</f>
      </c>
      <c r="S33" s="276">
        <f>S29+S32</f>
      </c>
      <c r="T33" s="276">
        <f>T29+T32</f>
      </c>
      <c r="U33" s="276">
        <f>U29+U32</f>
      </c>
      <c r="V33" s="276">
        <f>V29+V32</f>
      </c>
    </row>
    <row r="34">
      <c r="A34" s="229" t="s">
        <v>148</v>
      </c>
      <c r="B34" s="229"/>
      <c r="C34" s="229"/>
      <c r="D34" s="230" t="s">
        <v>149</v>
      </c>
      <c r="E34" s="230"/>
      <c r="F34" s="230"/>
      <c r="G34" s="230"/>
      <c r="H34" s="230"/>
      <c r="I34" s="230"/>
      <c r="J34" s="230"/>
      <c r="K34" s="230"/>
      <c r="L34" s="230"/>
      <c r="M34" s="231" t="s">
        <v>150</v>
      </c>
      <c r="N34" s="231"/>
      <c r="O34" s="231"/>
      <c r="P34" s="231"/>
      <c r="Q34" s="231"/>
      <c r="R34" s="232" t="s">
        <v>151</v>
      </c>
      <c r="S34" s="232"/>
      <c r="T34" s="232"/>
      <c r="U34" s="232"/>
      <c r="V34" s="232"/>
    </row>
    <row r="35">
      <c r="A35" s="233" t="s">
        <v>152</v>
      </c>
      <c r="B35" s="233" t="s">
        <v>153</v>
      </c>
      <c r="C35" s="233" t="s">
        <v>154</v>
      </c>
      <c r="D35" s="234" t="s">
        <v>155</v>
      </c>
      <c r="E35" s="235" t="s">
        <v>156</v>
      </c>
      <c r="F35" s="234" t="s">
        <v>157</v>
      </c>
      <c r="G35" s="234" t="s">
        <v>158</v>
      </c>
      <c r="H35" s="236" t="s">
        <v>159</v>
      </c>
      <c r="I35" s="234" t="s">
        <v>160</v>
      </c>
      <c r="J35" s="237" t="s">
        <v>161</v>
      </c>
      <c r="K35" s="238" t="s">
        <v>162</v>
      </c>
      <c r="L35" s="239" t="s">
        <v>163</v>
      </c>
      <c r="M35" s="240" t="s">
        <v>164</v>
      </c>
      <c r="N35" s="240" t="s">
        <v>165</v>
      </c>
      <c r="O35" s="240" t="s">
        <v>166</v>
      </c>
      <c r="P35" s="231" t="s">
        <v>167</v>
      </c>
      <c r="Q35" s="231" t="s">
        <v>168</v>
      </c>
      <c r="R35" s="232" t="s">
        <v>169</v>
      </c>
      <c r="S35" s="232" t="s">
        <v>170</v>
      </c>
      <c r="T35" s="232" t="s">
        <v>171</v>
      </c>
      <c r="U35" s="241" t="s">
        <v>172</v>
      </c>
      <c r="V35" s="232" t="s">
        <v>173</v>
      </c>
    </row>
    <row r="36">
      <c r="A36" s="242">
        <v>46269</v>
      </c>
      <c r="B36" s="243" t="s">
        <v>174</v>
      </c>
      <c r="C36" s="244" t="s">
        <v>175</v>
      </c>
      <c r="D36" s="259">
        <f t="shared" ref="D36:D39" si="148">SUM(E36:G36)</f>
      </c>
      <c r="E36" s="246">
        <v>306.89</v>
      </c>
      <c r="F36" s="246">
        <f>577.88+0.23</f>
      </c>
      <c r="G36" s="246">
        <v>0</v>
      </c>
      <c r="H36" s="247">
        <v>6</v>
      </c>
      <c r="I36" s="246">
        <v>5010.9</v>
      </c>
      <c r="J36" s="248">
        <f t="shared" ref="J36:J44" si="201">I36/D36</f>
      </c>
      <c r="K36" s="248">
        <f t="shared" ref="K36:K44" si="85">D36/H36</f>
      </c>
      <c r="L36" s="249">
        <f t="shared" ref="L36:L44" si="115">I36/H36</f>
      </c>
      <c r="M36" s="250">
        <f t="shared" ref="M36:M44" si="3">S36/R36</f>
      </c>
      <c r="N36" s="251">
        <f t="shared" ref="N36:N39" si="36">H36/(T36+H36)</f>
      </c>
      <c r="O36" s="252">
        <f t="shared" ref="O36:O39" si="264">(V36*1000)/D36</f>
      </c>
      <c r="P36" s="253" t="s">
        <v>176</v>
      </c>
      <c r="Q36" s="254" t="s">
        <v>186</v>
      </c>
      <c r="R36" s="255">
        <v>4912</v>
      </c>
      <c r="S36" s="255">
        <v>312</v>
      </c>
      <c r="T36" s="255">
        <v>5</v>
      </c>
      <c r="U36" s="256">
        <v>0</v>
      </c>
      <c r="V36" s="256">
        <v>23</v>
      </c>
    </row>
    <row r="37">
      <c r="A37" s="242"/>
      <c r="B37" s="257" t="s">
        <v>174</v>
      </c>
      <c r="C37" s="258" t="s">
        <v>178</v>
      </c>
      <c r="D37" s="259">
        <f t="shared" si="148"/>
      </c>
      <c r="E37" s="246">
        <v>477.49</v>
      </c>
      <c r="F37" s="246">
        <v>1333.74</v>
      </c>
      <c r="G37" s="246">
        <v>0</v>
      </c>
      <c r="H37" s="247">
        <v>8</v>
      </c>
      <c r="I37" s="246">
        <v>8620.68</v>
      </c>
      <c r="J37" s="248">
        <f t="shared" si="201"/>
      </c>
      <c r="K37" s="248">
        <f t="shared" si="85"/>
      </c>
      <c r="L37" s="249">
        <f t="shared" si="115"/>
      </c>
      <c r="M37" s="250">
        <f t="shared" si="3"/>
      </c>
      <c r="N37" s="251">
        <f t="shared" si="36"/>
      </c>
      <c r="O37" s="252">
        <f t="shared" si="264"/>
      </c>
      <c r="P37" s="253" t="s">
        <v>176</v>
      </c>
      <c r="Q37" s="254" t="s">
        <v>186</v>
      </c>
      <c r="R37" s="255">
        <v>10335</v>
      </c>
      <c r="S37" s="255">
        <v>529</v>
      </c>
      <c r="T37" s="255">
        <v>4</v>
      </c>
      <c r="U37" s="256">
        <v>1</v>
      </c>
      <c r="V37" s="256">
        <v>25</v>
      </c>
    </row>
    <row r="38">
      <c r="A38" s="242"/>
      <c r="B38" s="243" t="s">
        <v>174</v>
      </c>
      <c r="C38" s="260" t="s">
        <v>179</v>
      </c>
      <c r="D38" s="245">
        <f t="shared" si="148"/>
      </c>
      <c r="E38" s="246">
        <v>331.12</v>
      </c>
      <c r="F38" s="261">
        <v>1435.58</v>
      </c>
      <c r="G38" s="261">
        <v>0</v>
      </c>
      <c r="H38" s="262">
        <v>4</v>
      </c>
      <c r="I38" s="261">
        <v>1420.5599999999995</v>
      </c>
      <c r="J38" s="248">
        <f t="shared" si="201"/>
      </c>
      <c r="K38" s="248">
        <f t="shared" si="85"/>
      </c>
      <c r="L38" s="249">
        <f t="shared" si="115"/>
      </c>
      <c r="M38" s="250">
        <f t="shared" si="3"/>
      </c>
      <c r="N38" s="251">
        <f t="shared" si="36"/>
      </c>
      <c r="O38" s="252">
        <f t="shared" si="264"/>
      </c>
      <c r="P38" s="253" t="s">
        <v>176</v>
      </c>
      <c r="Q38" s="254" t="s">
        <v>186</v>
      </c>
      <c r="R38" s="255">
        <v>9343</v>
      </c>
      <c r="S38" s="255">
        <v>445</v>
      </c>
      <c r="T38" s="255">
        <v>3</v>
      </c>
      <c r="U38" s="256">
        <v>0</v>
      </c>
      <c r="V38" s="256">
        <v>19</v>
      </c>
    </row>
    <row r="39">
      <c r="A39" s="242"/>
      <c r="B39" s="243" t="s">
        <v>174</v>
      </c>
      <c r="C39" s="246" t="s">
        <v>180</v>
      </c>
      <c r="D39" s="245">
        <f t="shared" si="148"/>
      </c>
      <c r="E39" s="246">
        <v>495.35</v>
      </c>
      <c r="F39" s="261">
        <v>1780.21</v>
      </c>
      <c r="G39" s="261">
        <v>0</v>
      </c>
      <c r="H39" s="262">
        <v>10</v>
      </c>
      <c r="I39" s="261">
        <v>8812.8</v>
      </c>
      <c r="J39" s="248">
        <f t="shared" si="201"/>
      </c>
      <c r="K39" s="248">
        <f t="shared" si="85"/>
      </c>
      <c r="L39" s="249">
        <f t="shared" si="115"/>
      </c>
      <c r="M39" s="250">
        <f t="shared" si="3"/>
      </c>
      <c r="N39" s="251">
        <f t="shared" si="36"/>
      </c>
      <c r="O39" s="252">
        <f t="shared" si="264"/>
      </c>
      <c r="P39" s="253" t="s">
        <v>176</v>
      </c>
      <c r="Q39" s="254" t="s">
        <v>186</v>
      </c>
      <c r="R39" s="255">
        <v>11585</v>
      </c>
      <c r="S39" s="255">
        <v>515</v>
      </c>
      <c r="T39" s="255">
        <v>5</v>
      </c>
      <c r="U39" s="256">
        <v>0</v>
      </c>
      <c r="V39" s="256">
        <v>18</v>
      </c>
    </row>
    <row r="40">
      <c r="A40" s="242"/>
      <c r="B40" s="263" t="s">
        <v>181</v>
      </c>
      <c r="C40" s="263"/>
      <c r="D40" s="264">
        <f>SUM(D36:D39)</f>
      </c>
      <c r="E40" s="264">
        <f>SUM(E36:E39)</f>
      </c>
      <c r="F40" s="264">
        <f>SUM(F36:F39)</f>
      </c>
      <c r="G40" s="264">
        <f>SUM(G36:G39)</f>
      </c>
      <c r="H40" s="265">
        <f>SUM(H36:H39)</f>
      </c>
      <c r="I40" s="264">
        <f>SUM(I36:I39)</f>
      </c>
      <c r="J40" s="266">
        <f t="shared" si="201"/>
      </c>
      <c r="K40" s="267">
        <f t="shared" si="85"/>
      </c>
      <c r="L40" s="268">
        <f t="shared" si="115"/>
      </c>
      <c r="M40" s="269">
        <f t="shared" si="3"/>
      </c>
      <c r="N40" s="269">
        <f>H40/T40</f>
      </c>
      <c r="O40" s="270">
        <f>(U40*1000)/D40</f>
      </c>
      <c r="P40" s="270"/>
      <c r="Q40" s="270"/>
      <c r="R40" s="265">
        <f>SUM(R36:R39)</f>
      </c>
      <c r="S40" s="265">
        <f>SUM(S36:S39)</f>
      </c>
      <c r="T40" s="265">
        <f>SUM(T36:T39)</f>
      </c>
      <c r="U40" s="265">
        <f>SUM(U36:U39)</f>
      </c>
      <c r="V40" s="265">
        <f>SUM(V36:V39)</f>
      </c>
    </row>
    <row r="41">
      <c r="A41" s="242"/>
      <c r="B41" s="271" t="s">
        <v>182</v>
      </c>
      <c r="C41" s="245" t="s">
        <v>183</v>
      </c>
      <c r="D41" s="245">
        <f t="shared" ref="D41:D42" si="149">SUM(E41:G41)</f>
      </c>
      <c r="E41" s="246">
        <v>673.66</v>
      </c>
      <c r="F41" s="261">
        <v>3092.51</v>
      </c>
      <c r="G41" s="261">
        <v>0</v>
      </c>
      <c r="H41" s="262">
        <v>7</v>
      </c>
      <c r="I41" s="244">
        <v>5268.48</v>
      </c>
      <c r="J41" s="248">
        <f t="shared" si="201"/>
      </c>
      <c r="K41" s="248">
        <f t="shared" si="85"/>
      </c>
      <c r="L41" s="249">
        <f t="shared" si="115"/>
      </c>
      <c r="M41" s="250">
        <f t="shared" si="3"/>
      </c>
      <c r="N41" s="251">
        <f t="shared" ref="N41:N44" si="37">H41/(T41+H41)</f>
      </c>
      <c r="O41" s="252">
        <f t="shared" ref="O41:O42" si="265">(V41*1000)/D41</f>
      </c>
      <c r="P41" s="253" t="s">
        <v>176</v>
      </c>
      <c r="Q41" s="254" t="s">
        <v>186</v>
      </c>
      <c r="R41" s="255">
        <v>24813</v>
      </c>
      <c r="S41" s="255">
        <v>867</v>
      </c>
      <c r="T41" s="255">
        <v>7</v>
      </c>
      <c r="U41" s="256">
        <v>2</v>
      </c>
      <c r="V41" s="256">
        <v>22</v>
      </c>
    </row>
    <row r="42">
      <c r="A42" s="242"/>
      <c r="B42" s="271" t="s">
        <v>182</v>
      </c>
      <c r="C42" s="245" t="s">
        <v>184</v>
      </c>
      <c r="D42" s="245">
        <f t="shared" si="149"/>
      </c>
      <c r="E42" s="246">
        <f>500.2+25.97</f>
      </c>
      <c r="F42" s="246">
        <v>2334.51</v>
      </c>
      <c r="G42" s="261">
        <v>0</v>
      </c>
      <c r="H42" s="247">
        <v>6</v>
      </c>
      <c r="I42" s="246">
        <f>2105.46+1425.8</f>
      </c>
      <c r="J42" s="248">
        <f t="shared" si="201"/>
      </c>
      <c r="K42" s="248">
        <f t="shared" si="85"/>
      </c>
      <c r="L42" s="249">
        <f t="shared" si="115"/>
      </c>
      <c r="M42" s="250">
        <f t="shared" si="3"/>
      </c>
      <c r="N42" s="251">
        <f t="shared" si="37"/>
      </c>
      <c r="O42" s="252">
        <f t="shared" si="265"/>
      </c>
      <c r="P42" s="253" t="s">
        <v>176</v>
      </c>
      <c r="Q42" s="254" t="s">
        <v>186</v>
      </c>
      <c r="R42" s="255">
        <v>24506</v>
      </c>
      <c r="S42" s="255">
        <v>736</v>
      </c>
      <c r="T42" s="255">
        <v>4</v>
      </c>
      <c r="U42" s="256">
        <v>0</v>
      </c>
      <c r="V42" s="256">
        <v>27</v>
      </c>
    </row>
    <row r="43">
      <c r="A43" s="242"/>
      <c r="B43" s="263" t="s">
        <v>181</v>
      </c>
      <c r="C43" s="263"/>
      <c r="D43" s="264">
        <f>SUM(D41:D42)</f>
      </c>
      <c r="E43" s="264">
        <f>SUM(E41:E42)</f>
      </c>
      <c r="F43" s="264">
        <f>SUM(F41:F42)</f>
      </c>
      <c r="G43" s="264">
        <f>SUM(G41:G42)</f>
      </c>
      <c r="H43" s="265">
        <f>SUM(H41:H42)</f>
      </c>
      <c r="I43" s="264">
        <f>SUM(I41:I42)</f>
      </c>
      <c r="J43" s="273">
        <f t="shared" si="201"/>
      </c>
      <c r="K43" s="267">
        <f t="shared" si="85"/>
      </c>
      <c r="L43" s="268">
        <f t="shared" si="115"/>
      </c>
      <c r="M43" s="269">
        <f t="shared" si="3"/>
      </c>
      <c r="N43" s="269">
        <f t="shared" si="37"/>
      </c>
      <c r="O43" s="270">
        <f t="shared" ref="O43:O44" si="231">(U43*1000)/D43</f>
      </c>
      <c r="P43" s="270"/>
      <c r="Q43" s="270"/>
      <c r="R43" s="265">
        <f>SUM(R41:R42)</f>
      </c>
      <c r="S43" s="265">
        <f>SUM(S41:S42)</f>
      </c>
      <c r="T43" s="265">
        <f>SUM(T41:T42)</f>
      </c>
      <c r="U43" s="265">
        <f>SUM(U41:U42)</f>
      </c>
      <c r="V43" s="265">
        <f>SUM(V41:V42)</f>
      </c>
    </row>
    <row r="44">
      <c r="A44" s="242"/>
      <c r="B44" s="274" t="s">
        <v>185</v>
      </c>
      <c r="C44" s="274"/>
      <c r="D44" s="275">
        <f>D40+D43</f>
      </c>
      <c r="E44" s="275">
        <f>E40+E43</f>
      </c>
      <c r="F44" s="275">
        <f>F40+F43</f>
      </c>
      <c r="G44" s="275">
        <f>G40+G43</f>
      </c>
      <c r="H44" s="276">
        <f>H40+H43</f>
      </c>
      <c r="I44" s="275">
        <f>I40+I43</f>
      </c>
      <c r="J44" s="277">
        <f t="shared" si="201"/>
      </c>
      <c r="K44" s="277">
        <f t="shared" si="85"/>
      </c>
      <c r="L44" s="278">
        <f t="shared" si="115"/>
      </c>
      <c r="M44" s="279">
        <f t="shared" si="3"/>
      </c>
      <c r="N44" s="279">
        <f t="shared" si="37"/>
      </c>
      <c r="O44" s="277">
        <f t="shared" si="231"/>
      </c>
      <c r="P44" s="280"/>
      <c r="Q44" s="280"/>
      <c r="R44" s="276">
        <f>R40+R43</f>
      </c>
      <c r="S44" s="276">
        <f>S40+S43</f>
      </c>
      <c r="T44" s="276">
        <f>T40+T43</f>
      </c>
      <c r="U44" s="276">
        <f>U40+U43</f>
      </c>
      <c r="V44" s="276">
        <f>V40+V43</f>
      </c>
    </row>
    <row r="45">
      <c r="A45" s="229" t="s">
        <v>148</v>
      </c>
      <c r="B45" s="229"/>
      <c r="C45" s="229"/>
      <c r="D45" s="230" t="s">
        <v>149</v>
      </c>
      <c r="E45" s="230"/>
      <c r="F45" s="230"/>
      <c r="G45" s="230"/>
      <c r="H45" s="230"/>
      <c r="I45" s="230"/>
      <c r="J45" s="230"/>
      <c r="K45" s="230"/>
      <c r="L45" s="230"/>
      <c r="M45" s="231" t="s">
        <v>150</v>
      </c>
      <c r="N45" s="231"/>
      <c r="O45" s="231"/>
      <c r="P45" s="231"/>
      <c r="Q45" s="231"/>
      <c r="R45" s="232" t="s">
        <v>151</v>
      </c>
      <c r="S45" s="232"/>
      <c r="T45" s="232"/>
      <c r="U45" s="232"/>
      <c r="V45" s="232"/>
    </row>
    <row r="46">
      <c r="A46" s="233" t="s">
        <v>152</v>
      </c>
      <c r="B46" s="233" t="s">
        <v>153</v>
      </c>
      <c r="C46" s="233" t="s">
        <v>154</v>
      </c>
      <c r="D46" s="234" t="s">
        <v>155</v>
      </c>
      <c r="E46" s="235" t="s">
        <v>156</v>
      </c>
      <c r="F46" s="234" t="s">
        <v>157</v>
      </c>
      <c r="G46" s="234" t="s">
        <v>158</v>
      </c>
      <c r="H46" s="236" t="s">
        <v>159</v>
      </c>
      <c r="I46" s="234" t="s">
        <v>160</v>
      </c>
      <c r="J46" s="237" t="s">
        <v>161</v>
      </c>
      <c r="K46" s="238" t="s">
        <v>162</v>
      </c>
      <c r="L46" s="239" t="s">
        <v>163</v>
      </c>
      <c r="M46" s="240" t="s">
        <v>164</v>
      </c>
      <c r="N46" s="240" t="s">
        <v>165</v>
      </c>
      <c r="O46" s="240" t="s">
        <v>166</v>
      </c>
      <c r="P46" s="231" t="s">
        <v>167</v>
      </c>
      <c r="Q46" s="231" t="s">
        <v>168</v>
      </c>
      <c r="R46" s="232" t="s">
        <v>169</v>
      </c>
      <c r="S46" s="232" t="s">
        <v>170</v>
      </c>
      <c r="T46" s="232" t="s">
        <v>171</v>
      </c>
      <c r="U46" s="241" t="s">
        <v>172</v>
      </c>
      <c r="V46" s="232" t="s">
        <v>173</v>
      </c>
    </row>
    <row r="47">
      <c r="A47" s="242">
        <v>46270</v>
      </c>
      <c r="B47" s="243" t="s">
        <v>174</v>
      </c>
      <c r="C47" s="244" t="s">
        <v>175</v>
      </c>
      <c r="D47" s="259">
        <f t="shared" ref="D47:D50" si="150">SUM(E47:G47)</f>
      </c>
      <c r="E47" s="246">
        <v>106.83</v>
      </c>
      <c r="F47" s="246">
        <v>2666.04</v>
      </c>
      <c r="G47" s="246">
        <v>0</v>
      </c>
      <c r="H47" s="247">
        <v>8</v>
      </c>
      <c r="I47" s="246">
        <v>6298.28</v>
      </c>
      <c r="J47" s="248">
        <f t="shared" ref="J47:J52" si="202">I47/D47</f>
      </c>
      <c r="K47" s="248">
        <f t="shared" ref="K47:K52" si="86">D47/H47</f>
      </c>
      <c r="L47" s="249">
        <f t="shared" ref="L47:L52" si="116">I47/H47</f>
      </c>
      <c r="M47" s="250">
        <f t="shared" ref="M47:M52" si="4">S47/R47</f>
      </c>
      <c r="N47" s="251">
        <f t="shared" ref="N47:N52" si="38">H47/(T47+H47)</f>
      </c>
      <c r="O47" s="252">
        <f t="shared" ref="O47:O50" si="266">(V47*1000)/D47</f>
      </c>
      <c r="P47" s="253" t="s">
        <v>176</v>
      </c>
      <c r="Q47" s="254" t="s">
        <v>186</v>
      </c>
      <c r="R47" s="255">
        <v>16432</v>
      </c>
      <c r="S47" s="255">
        <v>586</v>
      </c>
      <c r="T47" s="255">
        <v>7</v>
      </c>
      <c r="U47" s="256">
        <v>0</v>
      </c>
      <c r="V47" s="256">
        <v>21</v>
      </c>
    </row>
    <row r="48">
      <c r="A48" s="242"/>
      <c r="B48" s="257" t="s">
        <v>174</v>
      </c>
      <c r="C48" s="258" t="s">
        <v>178</v>
      </c>
      <c r="D48" s="259">
        <f t="shared" si="150"/>
      </c>
      <c r="E48" s="246">
        <v>106.3</v>
      </c>
      <c r="F48" s="246">
        <v>2082.55</v>
      </c>
      <c r="G48" s="246">
        <v>0</v>
      </c>
      <c r="H48" s="247">
        <v>2</v>
      </c>
      <c r="I48" s="246">
        <v>1416.4799999999998</v>
      </c>
      <c r="J48" s="248">
        <f t="shared" si="202"/>
      </c>
      <c r="K48" s="248">
        <f t="shared" si="86"/>
      </c>
      <c r="L48" s="249">
        <f t="shared" si="116"/>
      </c>
      <c r="M48" s="250">
        <f t="shared" si="4"/>
      </c>
      <c r="N48" s="251">
        <f t="shared" si="38"/>
      </c>
      <c r="O48" s="252">
        <f t="shared" si="266"/>
      </c>
      <c r="P48" s="253" t="s">
        <v>176</v>
      </c>
      <c r="Q48" s="254" t="s">
        <v>186</v>
      </c>
      <c r="R48" s="255">
        <v>13345</v>
      </c>
      <c r="S48" s="255">
        <v>451</v>
      </c>
      <c r="T48" s="255">
        <v>3</v>
      </c>
      <c r="U48" s="256">
        <v>1</v>
      </c>
      <c r="V48" s="256">
        <v>14</v>
      </c>
    </row>
    <row r="49">
      <c r="A49" s="242"/>
      <c r="B49" s="243" t="s">
        <v>174</v>
      </c>
      <c r="C49" s="260" t="s">
        <v>179</v>
      </c>
      <c r="D49" s="245">
        <f t="shared" si="150"/>
      </c>
      <c r="E49" s="246">
        <v>373.12</v>
      </c>
      <c r="F49" s="261">
        <v>1087.4</v>
      </c>
      <c r="G49" s="261">
        <v>0</v>
      </c>
      <c r="H49" s="262">
        <v>1</v>
      </c>
      <c r="I49" s="261">
        <v>215.70000000000095</v>
      </c>
      <c r="J49" s="248">
        <f t="shared" si="202"/>
      </c>
      <c r="K49" s="248">
        <f t="shared" si="86"/>
      </c>
      <c r="L49" s="249">
        <f t="shared" si="116"/>
      </c>
      <c r="M49" s="250">
        <f t="shared" si="4"/>
      </c>
      <c r="N49" s="251">
        <f t="shared" si="38"/>
      </c>
      <c r="O49" s="252">
        <f t="shared" si="266"/>
      </c>
      <c r="P49" s="253" t="s">
        <v>176</v>
      </c>
      <c r="Q49" s="254" t="s">
        <v>186</v>
      </c>
      <c r="R49" s="255">
        <v>8104</v>
      </c>
      <c r="S49" s="255">
        <v>453</v>
      </c>
      <c r="T49" s="255">
        <v>1</v>
      </c>
      <c r="U49" s="256">
        <v>0</v>
      </c>
      <c r="V49" s="256">
        <v>20</v>
      </c>
    </row>
    <row r="50">
      <c r="A50" s="242"/>
      <c r="B50" s="243" t="s">
        <v>174</v>
      </c>
      <c r="C50" s="246" t="s">
        <v>180</v>
      </c>
      <c r="D50" s="245">
        <f t="shared" si="150"/>
      </c>
      <c r="E50" s="246">
        <v>406.52</v>
      </c>
      <c r="F50" s="261">
        <v>1094.54</v>
      </c>
      <c r="G50" s="261">
        <v>0</v>
      </c>
      <c r="H50" s="262">
        <v>4</v>
      </c>
      <c r="I50" s="261">
        <v>2114.7800000000007</v>
      </c>
      <c r="J50" s="248">
        <f t="shared" si="202"/>
      </c>
      <c r="K50" s="248">
        <f t="shared" si="86"/>
      </c>
      <c r="L50" s="249">
        <f t="shared" si="116"/>
      </c>
      <c r="M50" s="250">
        <f t="shared" si="4"/>
      </c>
      <c r="N50" s="251">
        <f t="shared" si="38"/>
      </c>
      <c r="O50" s="252">
        <f t="shared" si="266"/>
      </c>
      <c r="P50" s="253" t="s">
        <v>176</v>
      </c>
      <c r="Q50" s="254" t="s">
        <v>186</v>
      </c>
      <c r="R50" s="255">
        <v>7951</v>
      </c>
      <c r="S50" s="255">
        <v>345</v>
      </c>
      <c r="T50" s="255">
        <v>2</v>
      </c>
      <c r="U50" s="256">
        <v>0</v>
      </c>
      <c r="V50" s="256">
        <v>8</v>
      </c>
    </row>
    <row r="51">
      <c r="A51" s="242"/>
      <c r="B51" s="263" t="s">
        <v>181</v>
      </c>
      <c r="C51" s="263"/>
      <c r="D51" s="264">
        <f>SUM(D47:D50)</f>
      </c>
      <c r="E51" s="264">
        <f>SUM(E47:E50)</f>
      </c>
      <c r="F51" s="264">
        <f>SUM(F47:F50)</f>
      </c>
      <c r="G51" s="264">
        <f>SUM(G47:G50)</f>
      </c>
      <c r="H51" s="264">
        <f>SUM(H47:H50)</f>
      </c>
      <c r="I51" s="264">
        <f>SUM(I47:I50)</f>
      </c>
      <c r="J51" s="273">
        <f t="shared" si="202"/>
      </c>
      <c r="K51" s="267">
        <f t="shared" si="86"/>
      </c>
      <c r="L51" s="268">
        <f t="shared" si="116"/>
      </c>
      <c r="M51" s="269">
        <f t="shared" si="4"/>
      </c>
      <c r="N51" s="269">
        <f t="shared" si="38"/>
      </c>
      <c r="O51" s="270">
        <f t="shared" ref="O51:O52" si="232">(U51*1000)/D51</f>
      </c>
      <c r="P51" s="270"/>
      <c r="Q51" s="270"/>
      <c r="R51" s="265">
        <f>SUM(R47:R50)</f>
      </c>
      <c r="S51" s="265">
        <f>SUM(S47:S50)</f>
      </c>
      <c r="T51" s="265">
        <f>SUM(T47:T50)</f>
      </c>
      <c r="U51" s="265">
        <f>SUM(U47:U50)</f>
      </c>
      <c r="V51" s="265">
        <f>SUM(V47:V50)</f>
      </c>
    </row>
    <row r="52">
      <c r="A52" s="242"/>
      <c r="B52" s="274" t="s">
        <v>185</v>
      </c>
      <c r="C52" s="274"/>
      <c r="D52" s="275">
        <f>D51</f>
      </c>
      <c r="E52" s="275">
        <f>E51</f>
      </c>
      <c r="F52" s="275">
        <f>F51</f>
      </c>
      <c r="G52" s="275">
        <f>G51</f>
      </c>
      <c r="H52" s="275">
        <f>H51</f>
      </c>
      <c r="I52" s="275">
        <f>I51</f>
      </c>
      <c r="J52" s="277">
        <f t="shared" si="202"/>
      </c>
      <c r="K52" s="277">
        <f t="shared" si="86"/>
      </c>
      <c r="L52" s="278">
        <f t="shared" si="116"/>
      </c>
      <c r="M52" s="279">
        <f t="shared" si="4"/>
      </c>
      <c r="N52" s="279">
        <f t="shared" si="38"/>
      </c>
      <c r="O52" s="277">
        <f t="shared" si="232"/>
      </c>
      <c r="P52" s="280"/>
      <c r="Q52" s="280"/>
      <c r="R52" s="276">
        <f>R51</f>
      </c>
      <c r="S52" s="276">
        <f>S51</f>
      </c>
      <c r="T52" s="276">
        <f>T51</f>
      </c>
      <c r="U52" s="276">
        <f>U51</f>
      </c>
      <c r="V52" s="276">
        <f>V51</f>
      </c>
    </row>
    <row r="53">
      <c r="A53" s="229" t="s">
        <v>148</v>
      </c>
      <c r="B53" s="229"/>
      <c r="C53" s="229"/>
      <c r="D53" s="230" t="s">
        <v>149</v>
      </c>
      <c r="E53" s="230"/>
      <c r="F53" s="230"/>
      <c r="G53" s="230"/>
      <c r="H53" s="230"/>
      <c r="I53" s="230"/>
      <c r="J53" s="230"/>
      <c r="K53" s="230"/>
      <c r="L53" s="230"/>
      <c r="M53" s="231" t="s">
        <v>150</v>
      </c>
      <c r="N53" s="231"/>
      <c r="O53" s="231"/>
      <c r="P53" s="231"/>
      <c r="Q53" s="231"/>
      <c r="R53" s="232" t="s">
        <v>151</v>
      </c>
      <c r="S53" s="232"/>
      <c r="T53" s="232"/>
      <c r="U53" s="232"/>
      <c r="V53" s="232"/>
    </row>
    <row r="54">
      <c r="A54" s="233" t="s">
        <v>152</v>
      </c>
      <c r="B54" s="233" t="s">
        <v>153</v>
      </c>
      <c r="C54" s="233" t="s">
        <v>154</v>
      </c>
      <c r="D54" s="234" t="s">
        <v>155</v>
      </c>
      <c r="E54" s="235" t="s">
        <v>156</v>
      </c>
      <c r="F54" s="234" t="s">
        <v>157</v>
      </c>
      <c r="G54" s="234" t="s">
        <v>158</v>
      </c>
      <c r="H54" s="236" t="s">
        <v>159</v>
      </c>
      <c r="I54" s="234" t="s">
        <v>160</v>
      </c>
      <c r="J54" s="237" t="s">
        <v>161</v>
      </c>
      <c r="K54" s="238" t="s">
        <v>162</v>
      </c>
      <c r="L54" s="239" t="s">
        <v>163</v>
      </c>
      <c r="M54" s="240" t="s">
        <v>164</v>
      </c>
      <c r="N54" s="240" t="s">
        <v>165</v>
      </c>
      <c r="O54" s="240" t="s">
        <v>166</v>
      </c>
      <c r="P54" s="231" t="s">
        <v>167</v>
      </c>
      <c r="Q54" s="231" t="s">
        <v>168</v>
      </c>
      <c r="R54" s="232" t="s">
        <v>169</v>
      </c>
      <c r="S54" s="232" t="s">
        <v>170</v>
      </c>
      <c r="T54" s="232" t="s">
        <v>171</v>
      </c>
      <c r="U54" s="241" t="s">
        <v>172</v>
      </c>
      <c r="V54" s="232" t="s">
        <v>173</v>
      </c>
    </row>
    <row r="55">
      <c r="A55" s="242">
        <v>46271</v>
      </c>
      <c r="B55" s="243" t="s">
        <v>174</v>
      </c>
      <c r="C55" s="244" t="s">
        <v>175</v>
      </c>
      <c r="D55" s="259">
        <f t="shared" ref="D55:D58" si="151">SUM(E55:G55)</f>
      </c>
      <c r="E55" s="246">
        <v>182.59</v>
      </c>
      <c r="F55" s="246">
        <v>2222.89</v>
      </c>
      <c r="G55" s="246">
        <v>0</v>
      </c>
      <c r="H55" s="247">
        <v>4</v>
      </c>
      <c r="I55" s="246">
        <v>4558.56</v>
      </c>
      <c r="J55" s="248">
        <f t="shared" ref="J55:J63" si="203">I55/D55</f>
      </c>
      <c r="K55" s="248">
        <f t="shared" ref="K55:K63" si="87">D55/H55</f>
      </c>
      <c r="L55" s="249">
        <f t="shared" ref="L55:L63" si="117">I55/H55</f>
      </c>
      <c r="M55" s="250">
        <f t="shared" ref="M55:M63" si="5">S55/R55</f>
      </c>
      <c r="N55" s="251">
        <f t="shared" ref="N55:N58" si="39">H55/(T55+H55)</f>
      </c>
      <c r="O55" s="252">
        <f t="shared" ref="O55:O58" si="267">(V55*1000)/D55</f>
      </c>
      <c r="P55" s="253" t="s">
        <v>176</v>
      </c>
      <c r="Q55" s="254" t="s">
        <v>187</v>
      </c>
      <c r="R55" s="255">
        <v>14035</v>
      </c>
      <c r="S55" s="255">
        <v>587</v>
      </c>
      <c r="T55" s="256">
        <v>4</v>
      </c>
      <c r="U55" s="256">
        <v>0</v>
      </c>
      <c r="V55" s="256">
        <v>25</v>
      </c>
    </row>
    <row r="56">
      <c r="A56" s="242"/>
      <c r="B56" s="257" t="s">
        <v>174</v>
      </c>
      <c r="C56" s="258" t="s">
        <v>178</v>
      </c>
      <c r="D56" s="259">
        <f t="shared" si="151"/>
      </c>
      <c r="E56" s="246">
        <v>189.44</v>
      </c>
      <c r="F56" s="246">
        <v>1983.46</v>
      </c>
      <c r="G56" s="246">
        <v>0</v>
      </c>
      <c r="H56" s="247">
        <v>2</v>
      </c>
      <c r="I56" s="246">
        <v>1356.44</v>
      </c>
      <c r="J56" s="248">
        <f t="shared" si="203"/>
      </c>
      <c r="K56" s="248">
        <f t="shared" si="87"/>
      </c>
      <c r="L56" s="249">
        <f t="shared" si="117"/>
      </c>
      <c r="M56" s="250">
        <f t="shared" si="5"/>
      </c>
      <c r="N56" s="251">
        <f t="shared" si="39"/>
      </c>
      <c r="O56" s="252">
        <f t="shared" si="267"/>
      </c>
      <c r="P56" s="253" t="s">
        <v>176</v>
      </c>
      <c r="Q56" s="254" t="s">
        <v>187</v>
      </c>
      <c r="R56" s="255">
        <v>13407</v>
      </c>
      <c r="S56" s="255">
        <v>527</v>
      </c>
      <c r="T56" s="255">
        <v>4</v>
      </c>
      <c r="U56" s="256">
        <v>0</v>
      </c>
      <c r="V56" s="256">
        <v>21</v>
      </c>
    </row>
    <row r="57">
      <c r="A57" s="242"/>
      <c r="B57" s="243" t="s">
        <v>174</v>
      </c>
      <c r="C57" s="260" t="s">
        <v>179</v>
      </c>
      <c r="D57" s="245">
        <f t="shared" si="151"/>
      </c>
      <c r="E57" s="246">
        <v>191.66</v>
      </c>
      <c r="F57" s="261">
        <v>1543.68</v>
      </c>
      <c r="G57" s="261">
        <v>0</v>
      </c>
      <c r="H57" s="262">
        <v>4</v>
      </c>
      <c r="I57" s="261">
        <v>4078.58</v>
      </c>
      <c r="J57" s="248">
        <f t="shared" si="203"/>
      </c>
      <c r="K57" s="248">
        <f t="shared" si="87"/>
      </c>
      <c r="L57" s="249">
        <f t="shared" si="117"/>
      </c>
      <c r="M57" s="250">
        <f t="shared" si="5"/>
      </c>
      <c r="N57" s="251">
        <f t="shared" si="39"/>
      </c>
      <c r="O57" s="252">
        <f t="shared" si="267"/>
      </c>
      <c r="P57" s="253" t="s">
        <v>176</v>
      </c>
      <c r="Q57" s="254" t="s">
        <v>187</v>
      </c>
      <c r="R57" s="255">
        <v>10166</v>
      </c>
      <c r="S57" s="255">
        <v>427</v>
      </c>
      <c r="T57" s="255">
        <v>1</v>
      </c>
      <c r="U57" s="256">
        <v>2</v>
      </c>
      <c r="V57" s="256">
        <v>12</v>
      </c>
    </row>
    <row r="58">
      <c r="A58" s="242"/>
      <c r="B58" s="243" t="s">
        <v>174</v>
      </c>
      <c r="C58" s="246" t="s">
        <v>180</v>
      </c>
      <c r="D58" s="245">
        <f t="shared" si="151"/>
      </c>
      <c r="E58" s="246">
        <v>178.17</v>
      </c>
      <c r="F58" s="261">
        <v>2397.56</v>
      </c>
      <c r="G58" s="261">
        <v>0</v>
      </c>
      <c r="H58" s="262">
        <v>8</v>
      </c>
      <c r="I58" s="261">
        <v>4211.64</v>
      </c>
      <c r="J58" s="248">
        <f t="shared" si="203"/>
      </c>
      <c r="K58" s="248">
        <f t="shared" si="87"/>
      </c>
      <c r="L58" s="249">
        <f t="shared" si="117"/>
      </c>
      <c r="M58" s="250">
        <f t="shared" si="5"/>
      </c>
      <c r="N58" s="251">
        <f t="shared" si="39"/>
      </c>
      <c r="O58" s="252">
        <f t="shared" si="267"/>
      </c>
      <c r="P58" s="253" t="s">
        <v>176</v>
      </c>
      <c r="Q58" s="254" t="s">
        <v>187</v>
      </c>
      <c r="R58" s="255">
        <v>12962</v>
      </c>
      <c r="S58" s="255">
        <v>511</v>
      </c>
      <c r="T58" s="255">
        <v>8</v>
      </c>
      <c r="U58" s="256">
        <v>1</v>
      </c>
      <c r="V58" s="256">
        <v>20</v>
      </c>
    </row>
    <row r="59">
      <c r="A59" s="242"/>
      <c r="B59" s="263" t="s">
        <v>181</v>
      </c>
      <c r="C59" s="263"/>
      <c r="D59" s="264">
        <f>SUM(D55:D58)</f>
      </c>
      <c r="E59" s="264">
        <f>SUM(E55:E58)</f>
      </c>
      <c r="F59" s="264">
        <f>SUM(F55:F58)</f>
      </c>
      <c r="G59" s="264">
        <f>SUM(G55:G58)</f>
      </c>
      <c r="H59" s="265">
        <f>SUM(H55:H58)</f>
      </c>
      <c r="I59" s="264">
        <f>SUM(I55:I58)</f>
      </c>
      <c r="J59" s="266">
        <f t="shared" si="203"/>
      </c>
      <c r="K59" s="267">
        <f t="shared" si="87"/>
      </c>
      <c r="L59" s="268">
        <f t="shared" si="117"/>
      </c>
      <c r="M59" s="269">
        <f t="shared" si="5"/>
      </c>
      <c r="N59" s="269">
        <f>H59/T59</f>
      </c>
      <c r="O59" s="270">
        <f>(U59*1000)/D59</f>
      </c>
      <c r="P59" s="270"/>
      <c r="Q59" s="270"/>
      <c r="R59" s="265">
        <f>SUM(R55:R58)</f>
      </c>
      <c r="S59" s="265">
        <f>SUM(S55:S58)</f>
      </c>
      <c r="T59" s="265">
        <f>SUM(T55:T58)</f>
      </c>
      <c r="U59" s="265">
        <f>SUM(U55:U58)</f>
      </c>
      <c r="V59" s="265">
        <f>SUM(V55:V58)</f>
      </c>
    </row>
    <row r="60">
      <c r="A60" s="242"/>
      <c r="B60" s="271" t="s">
        <v>182</v>
      </c>
      <c r="C60" s="245" t="s">
        <v>183</v>
      </c>
      <c r="D60" s="245">
        <f t="shared" ref="D60:D61" si="152">SUM(E60:G60)</f>
      </c>
      <c r="E60" s="246">
        <v>168.87</v>
      </c>
      <c r="F60" s="261">
        <v>3571.47</v>
      </c>
      <c r="G60" s="261">
        <v>0</v>
      </c>
      <c r="H60" s="262">
        <v>5</v>
      </c>
      <c r="I60" s="261">
        <v>3768.62</v>
      </c>
      <c r="J60" s="248">
        <f t="shared" si="203"/>
      </c>
      <c r="K60" s="248">
        <f t="shared" si="87"/>
      </c>
      <c r="L60" s="249">
        <f t="shared" si="117"/>
      </c>
      <c r="M60" s="250">
        <f t="shared" si="5"/>
      </c>
      <c r="N60" s="251">
        <f t="shared" ref="N60:N63" si="40">H60/(T60+H60)</f>
      </c>
      <c r="O60" s="252">
        <f t="shared" ref="O60:O61" si="268">(V60*1000)/D60</f>
      </c>
      <c r="P60" s="253" t="s">
        <v>176</v>
      </c>
      <c r="Q60" s="254" t="s">
        <v>187</v>
      </c>
      <c r="R60" s="255">
        <v>25639</v>
      </c>
      <c r="S60" s="255">
        <v>768</v>
      </c>
      <c r="T60" s="255">
        <v>8</v>
      </c>
      <c r="U60" s="256">
        <v>1</v>
      </c>
      <c r="V60" s="256">
        <v>18</v>
      </c>
    </row>
    <row customHeight="true" ht="16.071428571428573" r="61">
      <c r="A61" s="242"/>
      <c r="B61" s="271" t="s">
        <v>182</v>
      </c>
      <c r="C61" s="245" t="s">
        <v>184</v>
      </c>
      <c r="D61" s="245">
        <f t="shared" si="152"/>
      </c>
      <c r="E61" s="246">
        <v>80.28</v>
      </c>
      <c r="F61" s="246">
        <v>1659.34</v>
      </c>
      <c r="G61" s="261">
        <v>0</v>
      </c>
      <c r="H61" s="247">
        <v>6</v>
      </c>
      <c r="I61" s="246">
        <v>3695.04</v>
      </c>
      <c r="J61" s="248">
        <f t="shared" si="203"/>
      </c>
      <c r="K61" s="248">
        <f t="shared" si="87"/>
      </c>
      <c r="L61" s="249">
        <f t="shared" si="117"/>
      </c>
      <c r="M61" s="250">
        <f t="shared" si="5"/>
      </c>
      <c r="N61" s="251">
        <f t="shared" si="40"/>
      </c>
      <c r="O61" s="252">
        <f t="shared" si="268"/>
      </c>
      <c r="P61" s="253" t="s">
        <v>176</v>
      </c>
      <c r="Q61" s="254" t="s">
        <v>187</v>
      </c>
      <c r="R61" s="255">
        <v>12687</v>
      </c>
      <c r="S61" s="255">
        <v>398</v>
      </c>
      <c r="T61" s="255">
        <v>5</v>
      </c>
      <c r="U61" s="256">
        <v>1</v>
      </c>
      <c r="V61" s="256">
        <v>20</v>
      </c>
    </row>
    <row customHeight="true" ht="16.071428571428573" r="62">
      <c r="A62" s="242"/>
      <c r="B62" s="263" t="s">
        <v>181</v>
      </c>
      <c r="C62" s="263"/>
      <c r="D62" s="264">
        <f>SUM(D60:D61)</f>
      </c>
      <c r="E62" s="264">
        <f>SUM(E60:E61)</f>
      </c>
      <c r="F62" s="264">
        <f>SUM(F60:F61)</f>
      </c>
      <c r="G62" s="264">
        <f>SUM(G60:G61)</f>
      </c>
      <c r="H62" s="265">
        <f>SUM(H60:H61)</f>
      </c>
      <c r="I62" s="264">
        <f>SUM(I60:I61)</f>
      </c>
      <c r="J62" s="273">
        <f t="shared" si="203"/>
      </c>
      <c r="K62" s="267">
        <f t="shared" si="87"/>
      </c>
      <c r="L62" s="268">
        <f t="shared" si="117"/>
      </c>
      <c r="M62" s="269">
        <f t="shared" si="5"/>
      </c>
      <c r="N62" s="269">
        <f t="shared" si="40"/>
      </c>
      <c r="O62" s="270">
        <f t="shared" ref="O62:O63" si="233">(U62*1000)/D62</f>
      </c>
      <c r="P62" s="270"/>
      <c r="Q62" s="270"/>
      <c r="R62" s="265">
        <f>SUM(R60:R61)</f>
      </c>
      <c r="S62" s="265">
        <f>SUM(S60:S61)</f>
      </c>
      <c r="T62" s="265">
        <f>SUM(T60:T61)</f>
      </c>
      <c r="U62" s="265">
        <f>SUM(U60:U61)</f>
      </c>
      <c r="V62" s="265">
        <f>SUM(V60:V61)</f>
      </c>
    </row>
    <row customHeight="true" ht="16.071428571428573" r="63">
      <c r="A63" s="242"/>
      <c r="B63" s="274" t="s">
        <v>185</v>
      </c>
      <c r="C63" s="274"/>
      <c r="D63" s="275">
        <f>D59+D62</f>
      </c>
      <c r="E63" s="275">
        <f>E59+E62</f>
      </c>
      <c r="F63" s="275">
        <f>F59+F62</f>
      </c>
      <c r="G63" s="275">
        <f>G59+G62</f>
      </c>
      <c r="H63" s="276">
        <f>H59+H62</f>
      </c>
      <c r="I63" s="275">
        <f>I59+I62</f>
      </c>
      <c r="J63" s="277">
        <f t="shared" si="203"/>
      </c>
      <c r="K63" s="277">
        <f t="shared" si="87"/>
      </c>
      <c r="L63" s="278">
        <f t="shared" si="117"/>
      </c>
      <c r="M63" s="279">
        <f t="shared" si="5"/>
      </c>
      <c r="N63" s="279">
        <f t="shared" si="40"/>
      </c>
      <c r="O63" s="277">
        <f t="shared" si="233"/>
      </c>
      <c r="P63" s="280"/>
      <c r="Q63" s="280"/>
      <c r="R63" s="276">
        <f>R59+R62</f>
      </c>
      <c r="S63" s="276">
        <f>S59+S62</f>
      </c>
      <c r="T63" s="276">
        <f>T59+T62</f>
      </c>
      <c r="U63" s="276">
        <f>U59+U62</f>
      </c>
      <c r="V63" s="276">
        <f>V59+V62</f>
      </c>
    </row>
    <row r="64">
      <c r="A64" s="229" t="s">
        <v>148</v>
      </c>
      <c r="B64" s="229"/>
      <c r="C64" s="229"/>
      <c r="D64" s="230" t="s">
        <v>149</v>
      </c>
      <c r="E64" s="230"/>
      <c r="F64" s="230"/>
      <c r="G64" s="230"/>
      <c r="H64" s="230"/>
      <c r="I64" s="230"/>
      <c r="J64" s="230"/>
      <c r="K64" s="230"/>
      <c r="L64" s="230"/>
      <c r="M64" s="231" t="s">
        <v>150</v>
      </c>
      <c r="N64" s="231"/>
      <c r="O64" s="231"/>
      <c r="P64" s="231"/>
      <c r="Q64" s="231"/>
      <c r="R64" s="232" t="s">
        <v>151</v>
      </c>
      <c r="S64" s="232"/>
      <c r="T64" s="232"/>
      <c r="U64" s="232"/>
      <c r="V64" s="232"/>
    </row>
    <row r="65">
      <c r="A65" s="233" t="s">
        <v>152</v>
      </c>
      <c r="B65" s="233" t="s">
        <v>153</v>
      </c>
      <c r="C65" s="233" t="s">
        <v>154</v>
      </c>
      <c r="D65" s="234" t="s">
        <v>155</v>
      </c>
      <c r="E65" s="235" t="s">
        <v>156</v>
      </c>
      <c r="F65" s="234" t="s">
        <v>157</v>
      </c>
      <c r="G65" s="234" t="s">
        <v>158</v>
      </c>
      <c r="H65" s="236" t="s">
        <v>159</v>
      </c>
      <c r="I65" s="234" t="s">
        <v>160</v>
      </c>
      <c r="J65" s="237" t="s">
        <v>161</v>
      </c>
      <c r="K65" s="238" t="s">
        <v>162</v>
      </c>
      <c r="L65" s="239" t="s">
        <v>163</v>
      </c>
      <c r="M65" s="240" t="s">
        <v>164</v>
      </c>
      <c r="N65" s="240" t="s">
        <v>165</v>
      </c>
      <c r="O65" s="240" t="s">
        <v>166</v>
      </c>
      <c r="P65" s="231" t="s">
        <v>167</v>
      </c>
      <c r="Q65" s="231" t="s">
        <v>168</v>
      </c>
      <c r="R65" s="232" t="s">
        <v>169</v>
      </c>
      <c r="S65" s="232" t="s">
        <v>170</v>
      </c>
      <c r="T65" s="232" t="s">
        <v>171</v>
      </c>
      <c r="U65" s="241" t="s">
        <v>172</v>
      </c>
      <c r="V65" s="232" t="s">
        <v>173</v>
      </c>
    </row>
    <row r="66">
      <c r="A66" s="242">
        <v>46272</v>
      </c>
      <c r="B66" s="243" t="s">
        <v>174</v>
      </c>
      <c r="C66" s="244" t="s">
        <v>175</v>
      </c>
      <c r="D66" s="259">
        <f t="shared" ref="D66:D69" si="153">SUM(E66:G66)</f>
      </c>
      <c r="E66" s="246">
        <v>144.19</v>
      </c>
      <c r="F66" s="246">
        <v>1065.97</v>
      </c>
      <c r="G66" s="246">
        <v>0</v>
      </c>
      <c r="H66" s="247">
        <v>1</v>
      </c>
      <c r="I66" s="246">
        <v>236.64</v>
      </c>
      <c r="J66" s="248">
        <f t="shared" ref="J66:J74" si="204">I66/D66</f>
      </c>
      <c r="K66" s="248">
        <f t="shared" ref="K66:K74" si="88">D66/H66</f>
      </c>
      <c r="L66" s="249">
        <f t="shared" ref="L66:L74" si="118">I66/H66</f>
      </c>
      <c r="M66" s="250">
        <f t="shared" ref="M66:M74" si="6">S66/R66</f>
      </c>
      <c r="N66" s="251">
        <f t="shared" ref="N66:N69" si="41">H66/(T66+H66)</f>
      </c>
      <c r="O66" s="252">
        <f t="shared" ref="O66:O69" si="269">(V66*1000)/D66</f>
      </c>
      <c r="P66" s="253" t="s">
        <v>176</v>
      </c>
      <c r="Q66" s="254" t="s">
        <v>186</v>
      </c>
      <c r="R66" s="255">
        <v>7031</v>
      </c>
      <c r="S66" s="255">
        <v>284</v>
      </c>
      <c r="T66" s="256">
        <v>2</v>
      </c>
      <c r="U66" s="256">
        <v>0</v>
      </c>
      <c r="V66" s="256">
        <v>12</v>
      </c>
    </row>
    <row r="67">
      <c r="A67" s="242"/>
      <c r="B67" s="257" t="s">
        <v>174</v>
      </c>
      <c r="C67" s="258" t="s">
        <v>178</v>
      </c>
      <c r="D67" s="259">
        <f t="shared" si="153"/>
      </c>
      <c r="E67" s="246">
        <v>127.43</v>
      </c>
      <c r="F67" s="246">
        <v>1072.89</v>
      </c>
      <c r="G67" s="246">
        <v>0</v>
      </c>
      <c r="H67" s="247">
        <v>4</v>
      </c>
      <c r="I67" s="246">
        <v>3140.78</v>
      </c>
      <c r="J67" s="248">
        <f t="shared" si="204"/>
      </c>
      <c r="K67" s="248">
        <f t="shared" si="88"/>
      </c>
      <c r="L67" s="249">
        <f t="shared" si="118"/>
      </c>
      <c r="M67" s="250">
        <f t="shared" si="6"/>
      </c>
      <c r="N67" s="251">
        <f t="shared" si="41"/>
      </c>
      <c r="O67" s="252">
        <f t="shared" si="269"/>
      </c>
      <c r="P67" s="253" t="s">
        <v>176</v>
      </c>
      <c r="Q67" s="254" t="s">
        <v>186</v>
      </c>
      <c r="R67" s="255">
        <v>6568</v>
      </c>
      <c r="S67" s="255">
        <v>284</v>
      </c>
      <c r="T67" s="255">
        <v>4</v>
      </c>
      <c r="U67" s="256">
        <v>2</v>
      </c>
      <c r="V67" s="256">
        <v>10</v>
      </c>
    </row>
    <row r="68">
      <c r="A68" s="242"/>
      <c r="B68" s="243" t="s">
        <v>174</v>
      </c>
      <c r="C68" s="260" t="s">
        <v>179</v>
      </c>
      <c r="D68" s="245">
        <f t="shared" si="153"/>
      </c>
      <c r="E68" s="246">
        <v>101.71</v>
      </c>
      <c r="F68" s="261">
        <v>1636.45</v>
      </c>
      <c r="G68" s="261">
        <v>0</v>
      </c>
      <c r="H68" s="262">
        <v>4</v>
      </c>
      <c r="I68" s="261">
        <v>2666.7799999999997</v>
      </c>
      <c r="J68" s="248">
        <f t="shared" si="204"/>
      </c>
      <c r="K68" s="248">
        <f t="shared" si="88"/>
      </c>
      <c r="L68" s="249">
        <f t="shared" si="118"/>
      </c>
      <c r="M68" s="250">
        <f t="shared" si="6"/>
      </c>
      <c r="N68" s="251">
        <f t="shared" si="41"/>
      </c>
      <c r="O68" s="252">
        <f t="shared" si="269"/>
      </c>
      <c r="P68" s="253" t="s">
        <v>176</v>
      </c>
      <c r="Q68" s="254" t="s">
        <v>186</v>
      </c>
      <c r="R68" s="255">
        <v>10854</v>
      </c>
      <c r="S68" s="255">
        <v>343</v>
      </c>
      <c r="T68" s="255">
        <v>3</v>
      </c>
      <c r="U68" s="256">
        <v>0</v>
      </c>
      <c r="V68" s="256">
        <v>20</v>
      </c>
    </row>
    <row r="69">
      <c r="A69" s="242"/>
      <c r="B69" s="243" t="s">
        <v>174</v>
      </c>
      <c r="C69" s="246" t="s">
        <v>180</v>
      </c>
      <c r="D69" s="245">
        <f t="shared" si="153"/>
      </c>
      <c r="E69" s="246">
        <v>150.71</v>
      </c>
      <c r="F69" s="261">
        <v>3007.44</v>
      </c>
      <c r="G69" s="261">
        <v>0</v>
      </c>
      <c r="H69" s="262">
        <v>16</v>
      </c>
      <c r="I69" s="261">
        <v>12305.02</v>
      </c>
      <c r="J69" s="248">
        <f t="shared" si="204"/>
      </c>
      <c r="K69" s="248">
        <f t="shared" si="88"/>
      </c>
      <c r="L69" s="249">
        <f t="shared" si="118"/>
      </c>
      <c r="M69" s="250">
        <f t="shared" si="6"/>
      </c>
      <c r="N69" s="251">
        <f t="shared" si="41"/>
      </c>
      <c r="O69" s="252">
        <f t="shared" si="269"/>
      </c>
      <c r="P69" s="253" t="s">
        <v>176</v>
      </c>
      <c r="Q69" s="254" t="s">
        <v>186</v>
      </c>
      <c r="R69" s="255">
        <v>19534</v>
      </c>
      <c r="S69" s="255">
        <v>650</v>
      </c>
      <c r="T69" s="255">
        <v>8</v>
      </c>
      <c r="U69" s="256">
        <v>0</v>
      </c>
      <c r="V69" s="256">
        <v>27</v>
      </c>
    </row>
    <row r="70">
      <c r="A70" s="242"/>
      <c r="B70" s="263" t="s">
        <v>181</v>
      </c>
      <c r="C70" s="263"/>
      <c r="D70" s="264">
        <f>SUM(D66:D69)</f>
      </c>
      <c r="E70" s="264">
        <f>SUM(E66:E69)</f>
      </c>
      <c r="F70" s="264">
        <f>SUM(F66:F69)</f>
      </c>
      <c r="G70" s="264">
        <f>SUM(G66:G69)</f>
      </c>
      <c r="H70" s="265">
        <f>SUM(H66:H69)</f>
      </c>
      <c r="I70" s="264">
        <f>SUM(I66:I69)</f>
      </c>
      <c r="J70" s="266">
        <f t="shared" si="204"/>
      </c>
      <c r="K70" s="267">
        <f t="shared" si="88"/>
      </c>
      <c r="L70" s="268">
        <f t="shared" si="118"/>
      </c>
      <c r="M70" s="269">
        <f t="shared" si="6"/>
      </c>
      <c r="N70" s="269">
        <f>H70/T70</f>
      </c>
      <c r="O70" s="270">
        <f>(U70*1000)/D70</f>
      </c>
      <c r="P70" s="270"/>
      <c r="Q70" s="270"/>
      <c r="R70" s="265">
        <f>SUM(R66:R69)</f>
      </c>
      <c r="S70" s="265">
        <f>SUM(S66:S69)</f>
      </c>
      <c r="T70" s="265">
        <f>SUM(T66:T69)</f>
      </c>
      <c r="U70" s="265">
        <f>SUM(U66:U69)</f>
      </c>
      <c r="V70" s="265">
        <f>SUM(V66:V69)</f>
      </c>
    </row>
    <row r="71">
      <c r="A71" s="242"/>
      <c r="B71" s="271" t="s">
        <v>182</v>
      </c>
      <c r="C71" s="245" t="s">
        <v>183</v>
      </c>
      <c r="D71" s="245">
        <f t="shared" ref="D71:D72" si="154">SUM(E71:G71)</f>
      </c>
      <c r="E71" s="246">
        <v>251.29</v>
      </c>
      <c r="F71" s="261">
        <v>3428.14</v>
      </c>
      <c r="G71" s="261">
        <v>0</v>
      </c>
      <c r="H71" s="262">
        <v>14</v>
      </c>
      <c r="I71" s="261">
        <v>6827.700000000001</v>
      </c>
      <c r="J71" s="248">
        <f t="shared" si="204"/>
      </c>
      <c r="K71" s="248">
        <f t="shared" si="88"/>
      </c>
      <c r="L71" s="249">
        <f t="shared" si="118"/>
      </c>
      <c r="M71" s="250">
        <f t="shared" si="6"/>
      </c>
      <c r="N71" s="251">
        <f t="shared" ref="N71:N74" si="42">H71/(T71+H71)</f>
      </c>
      <c r="O71" s="252">
        <f t="shared" ref="O71:O72" si="270">(V71*1000)/D71</f>
      </c>
      <c r="P71" s="253" t="s">
        <v>176</v>
      </c>
      <c r="Q71" s="254" t="s">
        <v>186</v>
      </c>
      <c r="R71" s="255">
        <v>27778</v>
      </c>
      <c r="S71" s="255">
        <v>795</v>
      </c>
      <c r="T71" s="255">
        <v>15</v>
      </c>
      <c r="U71" s="256">
        <v>1</v>
      </c>
      <c r="V71" s="256">
        <v>32</v>
      </c>
    </row>
    <row r="72">
      <c r="A72" s="242"/>
      <c r="B72" s="271" t="s">
        <v>182</v>
      </c>
      <c r="C72" s="245" t="s">
        <v>184</v>
      </c>
      <c r="D72" s="245">
        <f t="shared" si="154"/>
      </c>
      <c r="E72" s="246">
        <v>100.82</v>
      </c>
      <c r="F72" s="246">
        <v>1981.16</v>
      </c>
      <c r="G72" s="261">
        <v>0</v>
      </c>
      <c r="H72" s="247">
        <v>10</v>
      </c>
      <c r="I72" s="246">
        <v>5265.399999999998</v>
      </c>
      <c r="J72" s="248">
        <f t="shared" si="204"/>
      </c>
      <c r="K72" s="248">
        <f t="shared" si="88"/>
      </c>
      <c r="L72" s="249">
        <f t="shared" si="118"/>
      </c>
      <c r="M72" s="250">
        <f t="shared" si="6"/>
      </c>
      <c r="N72" s="251">
        <f t="shared" si="42"/>
      </c>
      <c r="O72" s="252">
        <f t="shared" si="270"/>
      </c>
      <c r="P72" s="253" t="s">
        <v>176</v>
      </c>
      <c r="Q72" s="254" t="s">
        <v>186</v>
      </c>
      <c r="R72" s="255">
        <v>13545</v>
      </c>
      <c r="S72" s="255">
        <v>375</v>
      </c>
      <c r="T72" s="255">
        <v>6</v>
      </c>
      <c r="U72" s="256">
        <v>0</v>
      </c>
      <c r="V72" s="256">
        <v>21</v>
      </c>
    </row>
    <row r="73">
      <c r="A73" s="242"/>
      <c r="B73" s="263" t="s">
        <v>181</v>
      </c>
      <c r="C73" s="263"/>
      <c r="D73" s="264">
        <f>SUM(D71:D72)</f>
      </c>
      <c r="E73" s="264">
        <f>SUM(E71:E72)</f>
      </c>
      <c r="F73" s="264">
        <f>SUM(F71:F72)</f>
      </c>
      <c r="G73" s="264">
        <f>SUM(G71:G72)</f>
      </c>
      <c r="H73" s="265">
        <f>SUM(H71:H72)</f>
      </c>
      <c r="I73" s="264">
        <f>SUM(I71:I72)</f>
      </c>
      <c r="J73" s="273">
        <f t="shared" si="204"/>
      </c>
      <c r="K73" s="267">
        <f t="shared" si="88"/>
      </c>
      <c r="L73" s="268">
        <f t="shared" si="118"/>
      </c>
      <c r="M73" s="269">
        <f t="shared" si="6"/>
      </c>
      <c r="N73" s="269">
        <f t="shared" si="42"/>
      </c>
      <c r="O73" s="270">
        <f t="shared" ref="O73:O74" si="234">(U73*1000)/D73</f>
      </c>
      <c r="P73" s="270"/>
      <c r="Q73" s="270"/>
      <c r="R73" s="265">
        <f>SUM(R71:R72)</f>
      </c>
      <c r="S73" s="265">
        <f>SUM(S71:S72)</f>
      </c>
      <c r="T73" s="265">
        <f>SUM(T71:T72)</f>
      </c>
      <c r="U73" s="265">
        <f>SUM(U71:U72)</f>
      </c>
      <c r="V73" s="265">
        <f>SUM(V71:V72)</f>
      </c>
    </row>
    <row r="74">
      <c r="A74" s="242"/>
      <c r="B74" s="274" t="s">
        <v>185</v>
      </c>
      <c r="C74" s="274"/>
      <c r="D74" s="275">
        <f>D70+D73</f>
      </c>
      <c r="E74" s="275">
        <f>E70+E73</f>
      </c>
      <c r="F74" s="275">
        <f>F70+F73</f>
      </c>
      <c r="G74" s="275">
        <f>G70+G73</f>
      </c>
      <c r="H74" s="276">
        <f>H70+H73</f>
      </c>
      <c r="I74" s="275">
        <f>I70+I73</f>
      </c>
      <c r="J74" s="277">
        <f t="shared" si="204"/>
      </c>
      <c r="K74" s="277">
        <f t="shared" si="88"/>
      </c>
      <c r="L74" s="278">
        <f t="shared" si="118"/>
      </c>
      <c r="M74" s="279">
        <f t="shared" si="6"/>
      </c>
      <c r="N74" s="279">
        <f t="shared" si="42"/>
      </c>
      <c r="O74" s="277">
        <f t="shared" si="234"/>
      </c>
      <c r="P74" s="280"/>
      <c r="Q74" s="280"/>
      <c r="R74" s="276">
        <f>R70+R73</f>
      </c>
      <c r="S74" s="276">
        <f>S70+S73</f>
      </c>
      <c r="T74" s="276">
        <f>T70+T73</f>
      </c>
      <c r="U74" s="276">
        <f>U70+U73</f>
      </c>
      <c r="V74" s="276">
        <f>V70+V73</f>
      </c>
    </row>
    <row r="75">
      <c r="A75" s="229" t="s">
        <v>148</v>
      </c>
      <c r="B75" s="229"/>
      <c r="C75" s="229"/>
      <c r="D75" s="230" t="s">
        <v>149</v>
      </c>
      <c r="E75" s="230"/>
      <c r="F75" s="230"/>
      <c r="G75" s="230"/>
      <c r="H75" s="230"/>
      <c r="I75" s="230"/>
      <c r="J75" s="230"/>
      <c r="K75" s="230"/>
      <c r="L75" s="230"/>
      <c r="M75" s="231" t="s">
        <v>150</v>
      </c>
      <c r="N75" s="231"/>
      <c r="O75" s="231"/>
      <c r="P75" s="231"/>
      <c r="Q75" s="231"/>
      <c r="R75" s="232" t="s">
        <v>151</v>
      </c>
      <c r="S75" s="232"/>
      <c r="T75" s="232"/>
      <c r="U75" s="232"/>
      <c r="V75" s="232"/>
    </row>
    <row r="76">
      <c r="A76" s="233" t="s">
        <v>152</v>
      </c>
      <c r="B76" s="233" t="s">
        <v>153</v>
      </c>
      <c r="C76" s="233" t="s">
        <v>154</v>
      </c>
      <c r="D76" s="234" t="s">
        <v>155</v>
      </c>
      <c r="E76" s="235" t="s">
        <v>156</v>
      </c>
      <c r="F76" s="234" t="s">
        <v>157</v>
      </c>
      <c r="G76" s="234" t="s">
        <v>158</v>
      </c>
      <c r="H76" s="236" t="s">
        <v>159</v>
      </c>
      <c r="I76" s="234" t="s">
        <v>160</v>
      </c>
      <c r="J76" s="237" t="s">
        <v>161</v>
      </c>
      <c r="K76" s="238" t="s">
        <v>162</v>
      </c>
      <c r="L76" s="239" t="s">
        <v>163</v>
      </c>
      <c r="M76" s="240" t="s">
        <v>164</v>
      </c>
      <c r="N76" s="240" t="s">
        <v>165</v>
      </c>
      <c r="O76" s="240" t="s">
        <v>166</v>
      </c>
      <c r="P76" s="231" t="s">
        <v>167</v>
      </c>
      <c r="Q76" s="231" t="s">
        <v>168</v>
      </c>
      <c r="R76" s="232" t="s">
        <v>169</v>
      </c>
      <c r="S76" s="232" t="s">
        <v>170</v>
      </c>
      <c r="T76" s="232" t="s">
        <v>171</v>
      </c>
      <c r="U76" s="241" t="s">
        <v>172</v>
      </c>
      <c r="V76" s="232" t="s">
        <v>173</v>
      </c>
    </row>
    <row r="77">
      <c r="A77" s="242">
        <v>46273</v>
      </c>
      <c r="B77" s="243" t="s">
        <v>174</v>
      </c>
      <c r="C77" s="261" t="s">
        <v>188</v>
      </c>
      <c r="D77" s="259">
        <f t="shared" ref="D77:D80" si="155">SUM(E77:G77)</f>
      </c>
      <c r="E77" s="246">
        <v>150.47</v>
      </c>
      <c r="F77" s="246">
        <v>2576.47</v>
      </c>
      <c r="G77" s="246">
        <v>0</v>
      </c>
      <c r="H77" s="247">
        <v>4</v>
      </c>
      <c r="I77" s="246">
        <v>1868.82</v>
      </c>
      <c r="J77" s="248">
        <f t="shared" ref="J77:J85" si="205">I77/D77</f>
      </c>
      <c r="K77" s="248">
        <f t="shared" ref="K77:K85" si="89">D77/H77</f>
      </c>
      <c r="L77" s="249">
        <f t="shared" ref="L77:L85" si="119">I77/H77</f>
      </c>
      <c r="M77" s="250">
        <f t="shared" ref="M77:M85" si="7">S77/R77</f>
      </c>
      <c r="N77" s="251">
        <f t="shared" ref="N77:N80" si="43">H77/(T77+H77)</f>
      </c>
      <c r="O77" s="252">
        <f t="shared" ref="O77:O80" si="271">(V77*1000)/D77</f>
      </c>
      <c r="P77" s="253" t="s">
        <v>176</v>
      </c>
      <c r="Q77" s="254" t="s">
        <v>189</v>
      </c>
      <c r="R77" s="255">
        <v>18749</v>
      </c>
      <c r="S77" s="255">
        <v>574</v>
      </c>
      <c r="T77" s="256">
        <v>3</v>
      </c>
      <c r="U77" s="256">
        <v>0</v>
      </c>
      <c r="V77" s="256">
        <v>23</v>
      </c>
    </row>
    <row r="78">
      <c r="A78" s="242"/>
      <c r="B78" s="257" t="s">
        <v>174</v>
      </c>
      <c r="C78" s="258" t="s">
        <v>175</v>
      </c>
      <c r="D78" s="259">
        <f t="shared" si="155"/>
      </c>
      <c r="E78" s="246">
        <v>96.29</v>
      </c>
      <c r="F78" s="246">
        <v>1223.5</v>
      </c>
      <c r="G78" s="246">
        <v>0</v>
      </c>
      <c r="H78" s="247">
        <v>4</v>
      </c>
      <c r="I78" s="246">
        <v>2630.1400000000003</v>
      </c>
      <c r="J78" s="248">
        <f t="shared" si="205"/>
      </c>
      <c r="K78" s="248">
        <f t="shared" si="89"/>
      </c>
      <c r="L78" s="249">
        <f t="shared" si="119"/>
      </c>
      <c r="M78" s="250">
        <f t="shared" si="7"/>
      </c>
      <c r="N78" s="251">
        <f t="shared" si="43"/>
      </c>
      <c r="O78" s="252">
        <f t="shared" si="271"/>
      </c>
      <c r="P78" s="253" t="s">
        <v>176</v>
      </c>
      <c r="Q78" s="254" t="s">
        <v>189</v>
      </c>
      <c r="R78" s="255">
        <v>8302</v>
      </c>
      <c r="S78" s="255">
        <v>380</v>
      </c>
      <c r="T78" s="255">
        <v>3</v>
      </c>
      <c r="U78" s="256">
        <v>0</v>
      </c>
      <c r="V78" s="256">
        <v>15</v>
      </c>
    </row>
    <row r="79">
      <c r="A79" s="242"/>
      <c r="B79" s="243" t="s">
        <v>174</v>
      </c>
      <c r="C79" s="260" t="s">
        <v>178</v>
      </c>
      <c r="D79" s="245">
        <f t="shared" si="155"/>
      </c>
      <c r="E79" s="246">
        <v>133.74</v>
      </c>
      <c r="F79" s="261">
        <v>2221.12</v>
      </c>
      <c r="G79" s="261">
        <v>0</v>
      </c>
      <c r="H79" s="262">
        <v>10</v>
      </c>
      <c r="I79" s="261">
        <v>6757.88</v>
      </c>
      <c r="J79" s="248">
        <f t="shared" si="205"/>
      </c>
      <c r="K79" s="248">
        <f t="shared" si="89"/>
      </c>
      <c r="L79" s="249">
        <f t="shared" si="119"/>
      </c>
      <c r="M79" s="250">
        <f t="shared" si="7"/>
      </c>
      <c r="N79" s="251">
        <f t="shared" si="43"/>
      </c>
      <c r="O79" s="252">
        <f t="shared" si="271"/>
      </c>
      <c r="P79" s="253" t="s">
        <v>176</v>
      </c>
      <c r="Q79" s="254" t="s">
        <v>189</v>
      </c>
      <c r="R79" s="255">
        <v>16603</v>
      </c>
      <c r="S79" s="255">
        <v>656</v>
      </c>
      <c r="T79" s="255">
        <v>9</v>
      </c>
      <c r="U79" s="256">
        <v>1</v>
      </c>
      <c r="V79" s="256">
        <v>30</v>
      </c>
    </row>
    <row r="80">
      <c r="A80" s="242"/>
      <c r="B80" s="243" t="s">
        <v>174</v>
      </c>
      <c r="C80" s="246" t="s">
        <v>179</v>
      </c>
      <c r="D80" s="245">
        <f t="shared" si="155"/>
      </c>
      <c r="E80" s="246">
        <v>169.72</v>
      </c>
      <c r="F80" s="261">
        <v>3522.42</v>
      </c>
      <c r="G80" s="261">
        <v>0</v>
      </c>
      <c r="H80" s="262">
        <v>12</v>
      </c>
      <c r="I80" s="261">
        <v>10208.68</v>
      </c>
      <c r="J80" s="248">
        <f t="shared" si="205"/>
      </c>
      <c r="K80" s="248">
        <f t="shared" si="89"/>
      </c>
      <c r="L80" s="249">
        <f t="shared" si="119"/>
      </c>
      <c r="M80" s="250">
        <f t="shared" si="7"/>
      </c>
      <c r="N80" s="251">
        <f t="shared" si="43"/>
      </c>
      <c r="O80" s="252">
        <f t="shared" si="271"/>
      </c>
      <c r="P80" s="253" t="s">
        <v>176</v>
      </c>
      <c r="Q80" s="254" t="s">
        <v>189</v>
      </c>
      <c r="R80" s="255">
        <v>24102</v>
      </c>
      <c r="S80" s="255">
        <v>842</v>
      </c>
      <c r="T80" s="255">
        <v>7</v>
      </c>
      <c r="U80" s="256">
        <v>6</v>
      </c>
      <c r="V80" s="256">
        <v>45</v>
      </c>
    </row>
    <row r="81">
      <c r="A81" s="242"/>
      <c r="B81" s="263" t="s">
        <v>181</v>
      </c>
      <c r="C81" s="263"/>
      <c r="D81" s="264">
        <f>SUM(D77:D80)</f>
      </c>
      <c r="E81" s="264">
        <f>SUM(E77:E80)</f>
      </c>
      <c r="F81" s="264">
        <f>SUM(F77:F80)</f>
      </c>
      <c r="G81" s="264">
        <f>SUM(G77:G80)</f>
      </c>
      <c r="H81" s="265">
        <f>SUM(H77:H80)</f>
      </c>
      <c r="I81" s="264">
        <f>SUM(I77:I80)</f>
      </c>
      <c r="J81" s="266">
        <f t="shared" si="205"/>
      </c>
      <c r="K81" s="267">
        <f t="shared" si="89"/>
      </c>
      <c r="L81" s="268">
        <f t="shared" si="119"/>
      </c>
      <c r="M81" s="269">
        <f t="shared" si="7"/>
      </c>
      <c r="N81" s="269">
        <f>H81/T81</f>
      </c>
      <c r="O81" s="270">
        <f>(U81*1000)/D81</f>
      </c>
      <c r="P81" s="270"/>
      <c r="Q81" s="270"/>
      <c r="R81" s="265">
        <f>SUM(R77:R80)</f>
      </c>
      <c r="S81" s="265">
        <f>SUM(S77:S80)</f>
      </c>
      <c r="T81" s="265">
        <f>SUM(T77:T80)</f>
      </c>
      <c r="U81" s="265">
        <f>SUM(U77:U80)</f>
      </c>
      <c r="V81" s="265">
        <f>SUM(V77:V80)</f>
      </c>
    </row>
    <row r="82">
      <c r="A82" s="242"/>
      <c r="B82" s="271" t="s">
        <v>190</v>
      </c>
      <c r="C82" s="246" t="s">
        <v>180</v>
      </c>
      <c r="D82" s="245">
        <f t="shared" ref="D82:D83" si="156">SUM(E82:G82)</f>
      </c>
      <c r="E82" s="246">
        <v>425.96</v>
      </c>
      <c r="F82" s="261">
        <v>3673.95</v>
      </c>
      <c r="G82" s="261">
        <v>0</v>
      </c>
      <c r="H82" s="262">
        <v>7</v>
      </c>
      <c r="I82" s="261">
        <v>2015.319999999999</v>
      </c>
      <c r="J82" s="248">
        <f t="shared" si="205"/>
      </c>
      <c r="K82" s="248">
        <f t="shared" si="89"/>
      </c>
      <c r="L82" s="249">
        <f t="shared" si="119"/>
      </c>
      <c r="M82" s="250">
        <f t="shared" si="7"/>
      </c>
      <c r="N82" s="251">
        <f t="shared" ref="N82:N85" si="44">H82/(T82+H82)</f>
      </c>
      <c r="O82" s="252">
        <f t="shared" ref="O82:O83" si="272">(V82*1000)/D82</f>
      </c>
      <c r="P82" s="253" t="s">
        <v>176</v>
      </c>
      <c r="Q82" s="254" t="s">
        <v>189</v>
      </c>
      <c r="R82" s="255">
        <v>25477</v>
      </c>
      <c r="S82" s="255">
        <v>963</v>
      </c>
      <c r="T82" s="255">
        <v>14</v>
      </c>
      <c r="U82" s="256">
        <v>1</v>
      </c>
      <c r="V82" s="256">
        <v>34</v>
      </c>
    </row>
    <row r="83">
      <c r="A83" s="242"/>
      <c r="B83" s="271" t="s">
        <v>190</v>
      </c>
      <c r="C83" s="245" t="s">
        <v>183</v>
      </c>
      <c r="D83" s="245">
        <f t="shared" si="156"/>
      </c>
      <c r="E83" s="246">
        <f>508.58+3.49</f>
      </c>
      <c r="F83" s="246">
        <f>1778.65+7.53</f>
      </c>
      <c r="G83" s="261">
        <v>0</v>
      </c>
      <c r="H83" s="247">
        <v>7</v>
      </c>
      <c r="I83" s="246">
        <v>4405.679999999999</v>
      </c>
      <c r="J83" s="248">
        <f t="shared" si="205"/>
      </c>
      <c r="K83" s="248">
        <f t="shared" si="89"/>
      </c>
      <c r="L83" s="249">
        <f t="shared" si="119"/>
      </c>
      <c r="M83" s="250">
        <f t="shared" si="7"/>
      </c>
      <c r="N83" s="251">
        <f t="shared" si="44"/>
      </c>
      <c r="O83" s="252">
        <f t="shared" si="272"/>
      </c>
      <c r="P83" s="253" t="s">
        <v>176</v>
      </c>
      <c r="Q83" s="254" t="s">
        <v>189</v>
      </c>
      <c r="R83" s="255">
        <f>13580+119</f>
      </c>
      <c r="S83" s="255">
        <f>445+9</f>
      </c>
      <c r="T83" s="255">
        <v>5</v>
      </c>
      <c r="U83" s="256">
        <v>0</v>
      </c>
      <c r="V83" s="256">
        <v>20</v>
      </c>
    </row>
    <row r="84">
      <c r="A84" s="242"/>
      <c r="B84" s="263" t="s">
        <v>181</v>
      </c>
      <c r="C84" s="263"/>
      <c r="D84" s="264">
        <f>SUM(D82:D83)</f>
      </c>
      <c r="E84" s="264">
        <f>SUM(E82:E83)</f>
      </c>
      <c r="F84" s="264">
        <f>SUM(F82:F83)</f>
      </c>
      <c r="G84" s="264">
        <f>SUM(G82:G83)</f>
      </c>
      <c r="H84" s="265">
        <f>SUM(H82:H83)</f>
      </c>
      <c r="I84" s="264">
        <f>SUM(I82:I83)</f>
      </c>
      <c r="J84" s="273">
        <f t="shared" si="205"/>
      </c>
      <c r="K84" s="267">
        <f t="shared" si="89"/>
      </c>
      <c r="L84" s="268">
        <f t="shared" si="119"/>
      </c>
      <c r="M84" s="269">
        <f t="shared" si="7"/>
      </c>
      <c r="N84" s="269">
        <f t="shared" si="44"/>
      </c>
      <c r="O84" s="270">
        <f t="shared" ref="O84:O85" si="235">(U84*1000)/D84</f>
      </c>
      <c r="P84" s="270"/>
      <c r="Q84" s="270"/>
      <c r="R84" s="265">
        <f>SUM(R82:R83)</f>
      </c>
      <c r="S84" s="265">
        <f>SUM(S82:S83)</f>
      </c>
      <c r="T84" s="265">
        <f>SUM(T82:T83)</f>
      </c>
      <c r="U84" s="265">
        <f>SUM(U82:U83)</f>
      </c>
      <c r="V84" s="265">
        <f>SUM(V82:V83)</f>
      </c>
    </row>
    <row r="85">
      <c r="A85" s="242"/>
      <c r="B85" s="274" t="s">
        <v>185</v>
      </c>
      <c r="C85" s="274"/>
      <c r="D85" s="275">
        <f>D81+D84</f>
      </c>
      <c r="E85" s="275">
        <f>E81+E84</f>
      </c>
      <c r="F85" s="275">
        <f>F81+F84</f>
      </c>
      <c r="G85" s="275">
        <f>G81+G84</f>
      </c>
      <c r="H85" s="276">
        <f>H81+H84</f>
      </c>
      <c r="I85" s="275">
        <f>I81+I84</f>
      </c>
      <c r="J85" s="277">
        <f t="shared" si="205"/>
      </c>
      <c r="K85" s="277">
        <f t="shared" si="89"/>
      </c>
      <c r="L85" s="278">
        <f t="shared" si="119"/>
      </c>
      <c r="M85" s="279">
        <f t="shared" si="7"/>
      </c>
      <c r="N85" s="279">
        <f t="shared" si="44"/>
      </c>
      <c r="O85" s="277">
        <f t="shared" si="235"/>
      </c>
      <c r="P85" s="280"/>
      <c r="Q85" s="280"/>
      <c r="R85" s="276">
        <f>R81+R84</f>
      </c>
      <c r="S85" s="276">
        <f>S81+S84</f>
      </c>
      <c r="T85" s="276">
        <f>T81+T84</f>
      </c>
      <c r="U85" s="276">
        <f>U81+U84</f>
      </c>
      <c r="V85" s="276">
        <f>V81+V84</f>
      </c>
    </row>
    <row r="86">
      <c r="A86" s="229" t="s">
        <v>148</v>
      </c>
      <c r="B86" s="229"/>
      <c r="C86" s="229"/>
      <c r="D86" s="230" t="s">
        <v>149</v>
      </c>
      <c r="E86" s="230"/>
      <c r="F86" s="230"/>
      <c r="G86" s="230"/>
      <c r="H86" s="230"/>
      <c r="I86" s="230"/>
      <c r="J86" s="230"/>
      <c r="K86" s="230"/>
      <c r="L86" s="230"/>
      <c r="M86" s="231" t="s">
        <v>150</v>
      </c>
      <c r="N86" s="231"/>
      <c r="O86" s="231"/>
      <c r="P86" s="231"/>
      <c r="Q86" s="231"/>
      <c r="R86" s="232" t="s">
        <v>151</v>
      </c>
      <c r="S86" s="232"/>
      <c r="T86" s="232"/>
      <c r="U86" s="232"/>
      <c r="V86" s="232"/>
    </row>
    <row r="87">
      <c r="A87" s="233" t="s">
        <v>152</v>
      </c>
      <c r="B87" s="233" t="s">
        <v>153</v>
      </c>
      <c r="C87" s="233" t="s">
        <v>154</v>
      </c>
      <c r="D87" s="234" t="s">
        <v>155</v>
      </c>
      <c r="E87" s="235" t="s">
        <v>156</v>
      </c>
      <c r="F87" s="234" t="s">
        <v>157</v>
      </c>
      <c r="G87" s="234" t="s">
        <v>158</v>
      </c>
      <c r="H87" s="236" t="s">
        <v>159</v>
      </c>
      <c r="I87" s="234" t="s">
        <v>160</v>
      </c>
      <c r="J87" s="237" t="s">
        <v>161</v>
      </c>
      <c r="K87" s="238" t="s">
        <v>162</v>
      </c>
      <c r="L87" s="239" t="s">
        <v>163</v>
      </c>
      <c r="M87" s="240" t="s">
        <v>164</v>
      </c>
      <c r="N87" s="240" t="s">
        <v>165</v>
      </c>
      <c r="O87" s="240" t="s">
        <v>166</v>
      </c>
      <c r="P87" s="231" t="s">
        <v>167</v>
      </c>
      <c r="Q87" s="231" t="s">
        <v>168</v>
      </c>
      <c r="R87" s="232" t="s">
        <v>169</v>
      </c>
      <c r="S87" s="232" t="s">
        <v>170</v>
      </c>
      <c r="T87" s="232" t="s">
        <v>171</v>
      </c>
      <c r="U87" s="241" t="s">
        <v>172</v>
      </c>
      <c r="V87" s="232" t="s">
        <v>173</v>
      </c>
    </row>
    <row r="88">
      <c r="A88" s="242">
        <v>46274</v>
      </c>
      <c r="B88" s="243" t="s">
        <v>174</v>
      </c>
      <c r="C88" s="261" t="s">
        <v>188</v>
      </c>
      <c r="D88" s="259">
        <f t="shared" ref="D88:D91" si="157">SUM(E88:G88)</f>
      </c>
      <c r="E88" s="246">
        <v>218.36</v>
      </c>
      <c r="F88" s="246">
        <v>2154.2</v>
      </c>
      <c r="G88" s="246">
        <v>0</v>
      </c>
      <c r="H88" s="247">
        <v>2</v>
      </c>
      <c r="I88" s="246">
        <v>1416.48</v>
      </c>
      <c r="J88" s="248">
        <f t="shared" ref="J88:J96" si="206">I88/D88</f>
      </c>
      <c r="K88" s="248">
        <f t="shared" ref="K88:K96" si="90">D88/H88</f>
      </c>
      <c r="L88" s="249">
        <f t="shared" ref="L88:L96" si="120">I88/H88</f>
      </c>
      <c r="M88" s="250">
        <f t="shared" ref="M88:M96" si="8">S88/R88</f>
      </c>
      <c r="N88" s="251">
        <f t="shared" ref="N88:N91" si="45">H88/(T88+H88)</f>
      </c>
      <c r="O88" s="252">
        <f t="shared" ref="O88:O91" si="273">(V88*1000)/D88</f>
      </c>
      <c r="P88" s="253" t="s">
        <v>176</v>
      </c>
      <c r="Q88" s="254" t="s">
        <v>189</v>
      </c>
      <c r="R88" s="255">
        <v>13932</v>
      </c>
      <c r="S88" s="255">
        <v>545</v>
      </c>
      <c r="T88" s="256">
        <v>2</v>
      </c>
      <c r="U88" s="256">
        <v>0</v>
      </c>
      <c r="V88" s="256">
        <v>24</v>
      </c>
    </row>
    <row r="89">
      <c r="A89" s="242"/>
      <c r="B89" s="257" t="s">
        <v>174</v>
      </c>
      <c r="C89" s="258" t="s">
        <v>175</v>
      </c>
      <c r="D89" s="259">
        <f t="shared" si="157"/>
      </c>
      <c r="E89" s="246">
        <v>127.73</v>
      </c>
      <c r="F89" s="246">
        <v>1323.75</v>
      </c>
      <c r="G89" s="246">
        <v>0</v>
      </c>
      <c r="H89" s="247">
        <v>3</v>
      </c>
      <c r="I89" s="246">
        <v>650.4000000000001</v>
      </c>
      <c r="J89" s="248">
        <f t="shared" si="206"/>
      </c>
      <c r="K89" s="248">
        <f t="shared" si="90"/>
      </c>
      <c r="L89" s="249">
        <f t="shared" si="120"/>
      </c>
      <c r="M89" s="250">
        <f t="shared" si="8"/>
      </c>
      <c r="N89" s="251">
        <f t="shared" si="45"/>
      </c>
      <c r="O89" s="252">
        <f t="shared" si="273"/>
      </c>
      <c r="P89" s="253" t="s">
        <v>176</v>
      </c>
      <c r="Q89" s="254" t="s">
        <v>189</v>
      </c>
      <c r="R89" s="255">
        <v>7299</v>
      </c>
      <c r="S89" s="255">
        <v>341</v>
      </c>
      <c r="T89" s="255">
        <v>2</v>
      </c>
      <c r="U89" s="256">
        <v>0</v>
      </c>
      <c r="V89" s="256">
        <v>14</v>
      </c>
    </row>
    <row r="90">
      <c r="A90" s="242"/>
      <c r="B90" s="243" t="s">
        <v>174</v>
      </c>
      <c r="C90" s="260" t="s">
        <v>178</v>
      </c>
      <c r="D90" s="245">
        <f t="shared" si="157"/>
      </c>
      <c r="E90" s="246">
        <v>145.31</v>
      </c>
      <c r="F90" s="261">
        <v>1255.19</v>
      </c>
      <c r="G90" s="261">
        <v>0</v>
      </c>
      <c r="H90" s="262">
        <v>3</v>
      </c>
      <c r="I90" s="261">
        <v>688.98</v>
      </c>
      <c r="J90" s="248">
        <f t="shared" si="206"/>
      </c>
      <c r="K90" s="248">
        <f t="shared" si="90"/>
      </c>
      <c r="L90" s="249">
        <f t="shared" si="120"/>
      </c>
      <c r="M90" s="250">
        <f t="shared" si="8"/>
      </c>
      <c r="N90" s="251">
        <f t="shared" si="45"/>
      </c>
      <c r="O90" s="252">
        <f t="shared" si="273"/>
      </c>
      <c r="P90" s="253" t="s">
        <v>176</v>
      </c>
      <c r="Q90" s="254" t="s">
        <v>189</v>
      </c>
      <c r="R90" s="255">
        <v>7370</v>
      </c>
      <c r="S90" s="255">
        <v>377</v>
      </c>
      <c r="T90" s="255">
        <v>3</v>
      </c>
      <c r="U90" s="256">
        <v>0</v>
      </c>
      <c r="V90" s="256">
        <v>26</v>
      </c>
    </row>
    <row r="91">
      <c r="A91" s="242"/>
      <c r="B91" s="243" t="s">
        <v>174</v>
      </c>
      <c r="C91" s="246" t="s">
        <v>179</v>
      </c>
      <c r="D91" s="245">
        <f t="shared" si="157"/>
      </c>
      <c r="E91" s="246">
        <v>145.79</v>
      </c>
      <c r="F91" s="261">
        <v>1004.8</v>
      </c>
      <c r="G91" s="261">
        <v>0</v>
      </c>
      <c r="H91" s="262">
        <v>6</v>
      </c>
      <c r="I91" s="261">
        <v>3306.2400000000002</v>
      </c>
      <c r="J91" s="248">
        <f t="shared" si="206"/>
      </c>
      <c r="K91" s="248">
        <f t="shared" si="90"/>
      </c>
      <c r="L91" s="249">
        <f t="shared" si="120"/>
      </c>
      <c r="M91" s="250">
        <f t="shared" si="8"/>
      </c>
      <c r="N91" s="251">
        <f t="shared" si="45"/>
      </c>
      <c r="O91" s="252">
        <f t="shared" si="273"/>
      </c>
      <c r="P91" s="253" t="s">
        <v>176</v>
      </c>
      <c r="Q91" s="254" t="s">
        <v>189</v>
      </c>
      <c r="R91" s="255">
        <v>5538</v>
      </c>
      <c r="S91" s="255">
        <v>295</v>
      </c>
      <c r="T91" s="255">
        <v>1</v>
      </c>
      <c r="U91" s="256">
        <v>0</v>
      </c>
      <c r="V91" s="256">
        <v>14</v>
      </c>
    </row>
    <row r="92">
      <c r="A92" s="242"/>
      <c r="B92" s="263" t="s">
        <v>181</v>
      </c>
      <c r="C92" s="263"/>
      <c r="D92" s="264">
        <f>SUM(D88:D91)</f>
      </c>
      <c r="E92" s="264">
        <f>SUM(E88:E91)</f>
      </c>
      <c r="F92" s="264">
        <f>SUM(F88:F91)</f>
      </c>
      <c r="G92" s="264">
        <f>SUM(G88:G91)</f>
      </c>
      <c r="H92" s="265">
        <f>SUM(H88:H91)</f>
      </c>
      <c r="I92" s="264">
        <f>SUM(I88:I91)</f>
      </c>
      <c r="J92" s="266">
        <f t="shared" si="206"/>
      </c>
      <c r="K92" s="267">
        <f t="shared" si="90"/>
      </c>
      <c r="L92" s="268">
        <f t="shared" si="120"/>
      </c>
      <c r="M92" s="269">
        <f t="shared" si="8"/>
      </c>
      <c r="N92" s="269">
        <f>H92/T92</f>
      </c>
      <c r="O92" s="270">
        <f>(U92*1000)/D92</f>
      </c>
      <c r="P92" s="270"/>
      <c r="Q92" s="270"/>
      <c r="R92" s="265">
        <f>SUM(R88:R91)</f>
      </c>
      <c r="S92" s="265">
        <f>SUM(S88:S91)</f>
      </c>
      <c r="T92" s="265">
        <f>SUM(T88:T91)</f>
      </c>
      <c r="U92" s="265">
        <f>SUM(U88:U91)</f>
      </c>
      <c r="V92" s="265">
        <f>SUM(V88:V91)</f>
      </c>
    </row>
    <row r="93">
      <c r="A93" s="242"/>
      <c r="B93" s="271" t="s">
        <v>190</v>
      </c>
      <c r="C93" s="246" t="s">
        <v>180</v>
      </c>
      <c r="D93" s="245">
        <f t="shared" ref="D93:D94" si="158">SUM(E93:G93)</f>
      </c>
      <c r="E93" s="246">
        <v>322.12</v>
      </c>
      <c r="F93" s="261">
        <v>1025.37</v>
      </c>
      <c r="G93" s="261">
        <v>0</v>
      </c>
      <c r="H93" s="262">
        <v>1</v>
      </c>
      <c r="I93" s="261">
        <v>236.63999999999942</v>
      </c>
      <c r="J93" s="248">
        <f t="shared" si="206"/>
      </c>
      <c r="K93" s="248">
        <f t="shared" si="90"/>
      </c>
      <c r="L93" s="249">
        <f t="shared" si="120"/>
      </c>
      <c r="M93" s="250">
        <f t="shared" si="8"/>
      </c>
      <c r="N93" s="251">
        <f t="shared" ref="N93:N96" si="46">H93/(T93+H93)</f>
      </c>
      <c r="O93" s="252">
        <f t="shared" ref="O93:O94" si="274">(V93*1000)/D93</f>
      </c>
      <c r="P93" s="253" t="s">
        <v>176</v>
      </c>
      <c r="Q93" s="254" t="s">
        <v>189</v>
      </c>
      <c r="R93" s="255">
        <v>6139</v>
      </c>
      <c r="S93" s="255">
        <v>355</v>
      </c>
      <c r="T93" s="255">
        <v>2</v>
      </c>
      <c r="U93" s="256">
        <v>1</v>
      </c>
      <c r="V93" s="256">
        <v>15</v>
      </c>
    </row>
    <row customHeight="true" ht="16.666666666666668" r="94">
      <c r="A94" s="242"/>
      <c r="B94" s="271" t="s">
        <v>190</v>
      </c>
      <c r="C94" s="245" t="s">
        <v>183</v>
      </c>
      <c r="D94" s="245">
        <f t="shared" si="158"/>
      </c>
      <c r="E94" s="246">
        <v>567.16</v>
      </c>
      <c r="F94" s="246">
        <v>776.82</v>
      </c>
      <c r="G94" s="261">
        <v>0</v>
      </c>
      <c r="H94" s="247">
        <v>2</v>
      </c>
      <c r="I94" s="246">
        <v>926.3400000000001</v>
      </c>
      <c r="J94" s="248">
        <f t="shared" si="206"/>
      </c>
      <c r="K94" s="248">
        <f t="shared" si="90"/>
      </c>
      <c r="L94" s="249">
        <f t="shared" si="120"/>
      </c>
      <c r="M94" s="250">
        <f t="shared" si="8"/>
      </c>
      <c r="N94" s="251">
        <f t="shared" si="46"/>
      </c>
      <c r="O94" s="252">
        <f t="shared" si="274"/>
      </c>
      <c r="P94" s="253" t="s">
        <v>176</v>
      </c>
      <c r="Q94" s="254" t="s">
        <v>189</v>
      </c>
      <c r="R94" s="255">
        <v>7712</v>
      </c>
      <c r="S94" s="255">
        <v>443</v>
      </c>
      <c r="T94" s="255">
        <v>4</v>
      </c>
      <c r="U94" s="256">
        <v>0</v>
      </c>
      <c r="V94" s="256">
        <v>19</v>
      </c>
    </row>
    <row r="95">
      <c r="A95" s="242"/>
      <c r="B95" s="263" t="s">
        <v>181</v>
      </c>
      <c r="C95" s="263"/>
      <c r="D95" s="264">
        <f>SUM(D93:D94)</f>
      </c>
      <c r="E95" s="264">
        <f>SUM(E93:E94)</f>
      </c>
      <c r="F95" s="264">
        <f>SUM(F93:F94)</f>
      </c>
      <c r="G95" s="264">
        <f>SUM(G93:G94)</f>
      </c>
      <c r="H95" s="265">
        <f>SUM(H93:H94)</f>
      </c>
      <c r="I95" s="264">
        <f>SUM(I93:I94)</f>
      </c>
      <c r="J95" s="273">
        <f t="shared" si="206"/>
      </c>
      <c r="K95" s="267">
        <f t="shared" si="90"/>
      </c>
      <c r="L95" s="268">
        <f t="shared" si="120"/>
      </c>
      <c r="M95" s="269">
        <f t="shared" si="8"/>
      </c>
      <c r="N95" s="269">
        <f t="shared" si="46"/>
      </c>
      <c r="O95" s="270">
        <f t="shared" ref="O95:O96" si="236">(U95*1000)/D95</f>
      </c>
      <c r="P95" s="270"/>
      <c r="Q95" s="270"/>
      <c r="R95" s="265">
        <f>SUM(R93:R94)</f>
      </c>
      <c r="S95" s="265">
        <f>SUM(S93:S94)</f>
      </c>
      <c r="T95" s="265">
        <f>SUM(T93:T94)</f>
      </c>
      <c r="U95" s="265">
        <f>SUM(U93:U94)</f>
      </c>
      <c r="V95" s="265">
        <f>SUM(V93:V94)</f>
      </c>
    </row>
    <row r="96">
      <c r="A96" s="242"/>
      <c r="B96" s="274" t="s">
        <v>185</v>
      </c>
      <c r="C96" s="274"/>
      <c r="D96" s="275">
        <f>D92+D95</f>
      </c>
      <c r="E96" s="275">
        <f>E92+E95</f>
      </c>
      <c r="F96" s="275">
        <f>F92+F95</f>
      </c>
      <c r="G96" s="275">
        <f>G92+G95</f>
      </c>
      <c r="H96" s="276">
        <f>H92+H95</f>
      </c>
      <c r="I96" s="275">
        <f>I92+I95</f>
      </c>
      <c r="J96" s="277">
        <f t="shared" si="206"/>
      </c>
      <c r="K96" s="277">
        <f t="shared" si="90"/>
      </c>
      <c r="L96" s="278">
        <f t="shared" si="120"/>
      </c>
      <c r="M96" s="279">
        <f t="shared" si="8"/>
      </c>
      <c r="N96" s="279">
        <f t="shared" si="46"/>
      </c>
      <c r="O96" s="277">
        <f t="shared" si="236"/>
      </c>
      <c r="P96" s="280"/>
      <c r="Q96" s="280"/>
      <c r="R96" s="276">
        <f>R92+R95</f>
      </c>
      <c r="S96" s="276">
        <f>S92+S95</f>
      </c>
      <c r="T96" s="276">
        <f>T92+T95</f>
      </c>
      <c r="U96" s="276">
        <f>U92+U95</f>
      </c>
      <c r="V96" s="276">
        <f>V92+V95</f>
      </c>
    </row>
    <row r="97">
      <c r="A97" s="229" t="s">
        <v>148</v>
      </c>
      <c r="B97" s="229"/>
      <c r="C97" s="229"/>
      <c r="D97" s="230" t="s">
        <v>149</v>
      </c>
      <c r="E97" s="230"/>
      <c r="F97" s="230"/>
      <c r="G97" s="230"/>
      <c r="H97" s="230"/>
      <c r="I97" s="230"/>
      <c r="J97" s="230"/>
      <c r="K97" s="230"/>
      <c r="L97" s="230"/>
      <c r="M97" s="231" t="s">
        <v>150</v>
      </c>
      <c r="N97" s="231"/>
      <c r="O97" s="231"/>
      <c r="P97" s="231"/>
      <c r="Q97" s="231"/>
      <c r="R97" s="232" t="s">
        <v>151</v>
      </c>
      <c r="S97" s="232"/>
      <c r="T97" s="232"/>
      <c r="U97" s="232"/>
      <c r="V97" s="232"/>
    </row>
    <row r="98">
      <c r="A98" s="233" t="s">
        <v>152</v>
      </c>
      <c r="B98" s="233" t="s">
        <v>153</v>
      </c>
      <c r="C98" s="233" t="s">
        <v>154</v>
      </c>
      <c r="D98" s="234" t="s">
        <v>155</v>
      </c>
      <c r="E98" s="281" t="s">
        <v>156</v>
      </c>
      <c r="F98" s="234" t="s">
        <v>157</v>
      </c>
      <c r="G98" s="234" t="s">
        <v>158</v>
      </c>
      <c r="H98" s="236" t="s">
        <v>159</v>
      </c>
      <c r="I98" s="234" t="s">
        <v>160</v>
      </c>
      <c r="J98" s="237" t="s">
        <v>161</v>
      </c>
      <c r="K98" s="238" t="s">
        <v>162</v>
      </c>
      <c r="L98" s="239" t="s">
        <v>163</v>
      </c>
      <c r="M98" s="240" t="s">
        <v>164</v>
      </c>
      <c r="N98" s="240" t="s">
        <v>165</v>
      </c>
      <c r="O98" s="240" t="s">
        <v>166</v>
      </c>
      <c r="P98" s="231" t="s">
        <v>167</v>
      </c>
      <c r="Q98" s="231" t="s">
        <v>168</v>
      </c>
      <c r="R98" s="232" t="s">
        <v>169</v>
      </c>
      <c r="S98" s="232" t="s">
        <v>170</v>
      </c>
      <c r="T98" s="232" t="s">
        <v>171</v>
      </c>
      <c r="U98" s="241" t="s">
        <v>172</v>
      </c>
      <c r="V98" s="232" t="s">
        <v>173</v>
      </c>
    </row>
    <row r="99">
      <c r="A99" s="242">
        <v>46275</v>
      </c>
      <c r="B99" s="243" t="s">
        <v>174</v>
      </c>
      <c r="C99" s="261" t="s">
        <v>188</v>
      </c>
      <c r="D99" s="259">
        <f t="shared" ref="D99:D102" si="159">SUM(E99:G99)</f>
      </c>
      <c r="E99" s="246">
        <v>25.95</v>
      </c>
      <c r="F99" s="246">
        <v>333.14</v>
      </c>
      <c r="G99" s="246">
        <v>0</v>
      </c>
      <c r="H99" s="247">
        <v>0</v>
      </c>
      <c r="I99" s="246">
        <v>0</v>
      </c>
      <c r="J99" s="248">
        <f t="shared" ref="J99:J108" si="207">I99/D99</f>
      </c>
      <c r="K99" s="248">
        <f t="shared" ref="K99:K108" si="91">D99/H99</f>
      </c>
      <c r="L99" s="249">
        <f t="shared" ref="L99:L108" si="121">I99/H99</f>
      </c>
      <c r="M99" s="250">
        <f t="shared" ref="M99:M108" si="9">S99/R99</f>
      </c>
      <c r="N99" s="251">
        <f t="shared" ref="N99:N102" si="47">H99/(T99+H99)</f>
      </c>
      <c r="O99" s="252">
        <f t="shared" ref="O99:O102" si="275">(V99*1000)/D99</f>
      </c>
      <c r="P99" s="253" t="s">
        <v>176</v>
      </c>
      <c r="Q99" s="254" t="s">
        <v>186</v>
      </c>
      <c r="R99" s="255">
        <v>2594</v>
      </c>
      <c r="S99" s="255">
        <v>153</v>
      </c>
      <c r="T99" s="256">
        <v>0</v>
      </c>
      <c r="U99" s="256">
        <v>0</v>
      </c>
      <c r="V99" s="256">
        <v>7</v>
      </c>
    </row>
    <row r="100">
      <c r="A100" s="242"/>
      <c r="B100" s="257" t="s">
        <v>174</v>
      </c>
      <c r="C100" s="258" t="s">
        <v>175</v>
      </c>
      <c r="D100" s="259">
        <f t="shared" si="159"/>
      </c>
      <c r="E100" s="246">
        <v>131.23</v>
      </c>
      <c r="F100" s="246">
        <v>1180.09</v>
      </c>
      <c r="G100" s="246">
        <v>0</v>
      </c>
      <c r="H100" s="247">
        <v>3</v>
      </c>
      <c r="I100" s="246">
        <v>2985.12</v>
      </c>
      <c r="J100" s="248">
        <f t="shared" si="207"/>
      </c>
      <c r="K100" s="248">
        <f t="shared" si="91"/>
      </c>
      <c r="L100" s="249">
        <f t="shared" si="121"/>
      </c>
      <c r="M100" s="250">
        <f t="shared" si="9"/>
      </c>
      <c r="N100" s="251">
        <f t="shared" si="47"/>
      </c>
      <c r="O100" s="252">
        <f t="shared" si="275"/>
      </c>
      <c r="P100" s="253" t="s">
        <v>176</v>
      </c>
      <c r="Q100" s="254" t="s">
        <v>186</v>
      </c>
      <c r="R100" s="255">
        <v>7465</v>
      </c>
      <c r="S100" s="255">
        <v>355</v>
      </c>
      <c r="T100" s="255">
        <v>1</v>
      </c>
      <c r="U100" s="256">
        <v>0</v>
      </c>
      <c r="V100" s="256">
        <v>11</v>
      </c>
    </row>
    <row r="101">
      <c r="A101" s="242"/>
      <c r="B101" s="243" t="s">
        <v>174</v>
      </c>
      <c r="C101" s="260" t="s">
        <v>178</v>
      </c>
      <c r="D101" s="245">
        <f t="shared" si="159"/>
      </c>
      <c r="E101" s="246">
        <v>97.93</v>
      </c>
      <c r="F101" s="261">
        <v>927.48</v>
      </c>
      <c r="G101" s="261">
        <v>0</v>
      </c>
      <c r="H101" s="262">
        <v>3</v>
      </c>
      <c r="I101" s="261">
        <v>2578.6800000000003</v>
      </c>
      <c r="J101" s="248">
        <f t="shared" si="207"/>
      </c>
      <c r="K101" s="248">
        <f t="shared" si="91"/>
      </c>
      <c r="L101" s="249">
        <f t="shared" si="121"/>
      </c>
      <c r="M101" s="250">
        <f t="shared" si="9"/>
      </c>
      <c r="N101" s="251">
        <f t="shared" si="47"/>
      </c>
      <c r="O101" s="252">
        <f t="shared" si="275"/>
      </c>
      <c r="P101" s="253" t="s">
        <v>176</v>
      </c>
      <c r="Q101" s="254" t="s">
        <v>186</v>
      </c>
      <c r="R101" s="255">
        <v>5972</v>
      </c>
      <c r="S101" s="255">
        <v>270</v>
      </c>
      <c r="T101" s="255">
        <v>4</v>
      </c>
      <c r="U101" s="256">
        <v>2</v>
      </c>
      <c r="V101" s="256">
        <v>11</v>
      </c>
    </row>
    <row r="102">
      <c r="A102" s="242"/>
      <c r="B102" s="243" t="s">
        <v>174</v>
      </c>
      <c r="C102" s="246" t="s">
        <v>179</v>
      </c>
      <c r="D102" s="245">
        <f t="shared" si="159"/>
      </c>
      <c r="E102" s="246">
        <v>99.75</v>
      </c>
      <c r="F102" s="261">
        <v>899.04</v>
      </c>
      <c r="G102" s="261">
        <v>0</v>
      </c>
      <c r="H102" s="262">
        <v>0</v>
      </c>
      <c r="I102" s="261">
        <v>0</v>
      </c>
      <c r="J102" s="248">
        <f t="shared" si="207"/>
      </c>
      <c r="K102" s="248">
        <f t="shared" si="91"/>
      </c>
      <c r="L102" s="249">
        <f t="shared" si="121"/>
      </c>
      <c r="M102" s="250">
        <f t="shared" si="9"/>
      </c>
      <c r="N102" s="251">
        <f t="shared" si="47"/>
      </c>
      <c r="O102" s="252">
        <f t="shared" si="275"/>
      </c>
      <c r="P102" s="253" t="s">
        <v>176</v>
      </c>
      <c r="Q102" s="254" t="s">
        <v>186</v>
      </c>
      <c r="R102" s="255">
        <v>4417</v>
      </c>
      <c r="S102" s="255">
        <v>257</v>
      </c>
      <c r="T102" s="255">
        <v>0</v>
      </c>
      <c r="U102" s="256">
        <v>0</v>
      </c>
      <c r="V102" s="256">
        <v>13</v>
      </c>
    </row>
    <row r="103">
      <c r="A103" s="242"/>
      <c r="B103" s="263" t="s">
        <v>181</v>
      </c>
      <c r="C103" s="263"/>
      <c r="D103" s="264">
        <f>SUM(D99:D102)</f>
      </c>
      <c r="E103" s="264">
        <f>SUM(E99:E102)</f>
      </c>
      <c r="F103" s="264">
        <f>SUM(F99:F102)</f>
      </c>
      <c r="G103" s="264">
        <f>SUM(G99:G102)</f>
      </c>
      <c r="H103" s="265">
        <f>SUM(H99:H102)</f>
      </c>
      <c r="I103" s="264">
        <f>SUM(I99:I102)</f>
      </c>
      <c r="J103" s="266">
        <f t="shared" si="207"/>
      </c>
      <c r="K103" s="267">
        <f t="shared" si="91"/>
      </c>
      <c r="L103" s="268">
        <f t="shared" si="121"/>
      </c>
      <c r="M103" s="269">
        <f t="shared" si="9"/>
      </c>
      <c r="N103" s="269">
        <f>H103/T103</f>
      </c>
      <c r="O103" s="270">
        <f>(U103*1000)/D103</f>
      </c>
      <c r="P103" s="270"/>
      <c r="Q103" s="270"/>
      <c r="R103" s="265">
        <f>SUM(R99:R102)</f>
      </c>
      <c r="S103" s="265">
        <f>SUM(S99:S102)</f>
      </c>
      <c r="T103" s="265">
        <f>SUM(T99:T102)</f>
      </c>
      <c r="U103" s="265">
        <f>SUM(U99:U102)</f>
      </c>
      <c r="V103" s="265">
        <f>SUM(V99:V102)</f>
      </c>
    </row>
    <row r="104">
      <c r="A104" s="242"/>
      <c r="B104" s="271" t="s">
        <v>182</v>
      </c>
      <c r="C104" s="246" t="s">
        <v>180</v>
      </c>
      <c r="D104" s="245">
        <f t="shared" ref="D104:D106" si="160">SUM(E104:G104)</f>
      </c>
      <c r="E104" s="246">
        <v>347.34</v>
      </c>
      <c r="F104" s="261">
        <v>1393.64</v>
      </c>
      <c r="G104" s="261">
        <v>0</v>
      </c>
      <c r="H104" s="262">
        <v>10</v>
      </c>
      <c r="I104" s="261">
        <v>3648.3399999999992</v>
      </c>
      <c r="J104" s="248">
        <f t="shared" si="207"/>
      </c>
      <c r="K104" s="248">
        <f t="shared" si="91"/>
      </c>
      <c r="L104" s="249">
        <f t="shared" si="121"/>
      </c>
      <c r="M104" s="250">
        <f t="shared" si="9"/>
      </c>
      <c r="N104" s="251">
        <f t="shared" ref="N104:N108" si="48">H104/(T104+H104)</f>
      </c>
      <c r="O104" s="252">
        <f t="shared" ref="O104:O106" si="276">(V104*1000)/D104</f>
      </c>
      <c r="P104" s="253" t="s">
        <v>176</v>
      </c>
      <c r="Q104" s="254" t="s">
        <v>186</v>
      </c>
      <c r="R104" s="255">
        <v>6760</v>
      </c>
      <c r="S104" s="255">
        <v>372</v>
      </c>
      <c r="T104" s="255">
        <v>8</v>
      </c>
      <c r="U104" s="256">
        <v>1</v>
      </c>
      <c r="V104" s="256">
        <v>22</v>
      </c>
    </row>
    <row r="105">
      <c r="A105" s="242"/>
      <c r="B105" s="271" t="s">
        <v>182</v>
      </c>
      <c r="C105" s="245" t="s">
        <v>183</v>
      </c>
      <c r="D105" s="245">
        <f t="shared" si="160"/>
      </c>
      <c r="E105" s="246">
        <v>397.54</v>
      </c>
      <c r="F105" s="246">
        <v>2729.68</v>
      </c>
      <c r="G105" s="261">
        <v>0</v>
      </c>
      <c r="H105" s="247">
        <v>10</v>
      </c>
      <c r="I105" s="246">
        <v>5239.9000000000015</v>
      </c>
      <c r="J105" s="248">
        <f t="shared" si="207"/>
      </c>
      <c r="K105" s="248">
        <f t="shared" si="91"/>
      </c>
      <c r="L105" s="249">
        <f t="shared" si="121"/>
      </c>
      <c r="M105" s="250">
        <f t="shared" si="9"/>
      </c>
      <c r="N105" s="251">
        <f t="shared" si="48"/>
      </c>
      <c r="O105" s="252">
        <f t="shared" si="276"/>
      </c>
      <c r="P105" s="253" t="s">
        <v>176</v>
      </c>
      <c r="Q105" s="254" t="s">
        <v>186</v>
      </c>
      <c r="R105" s="255">
        <v>15725</v>
      </c>
      <c r="S105" s="255">
        <v>656</v>
      </c>
      <c r="T105" s="255">
        <v>10</v>
      </c>
      <c r="U105" s="256">
        <v>1</v>
      </c>
      <c r="V105" s="256">
        <v>27</v>
      </c>
    </row>
    <row customHeight="true" ht="16.666666666666668" r="106">
      <c r="A106" s="242"/>
      <c r="B106" s="271" t="s">
        <v>182</v>
      </c>
      <c r="C106" s="245" t="s">
        <v>183</v>
      </c>
      <c r="D106" s="245">
        <f t="shared" si="160"/>
      </c>
      <c r="E106" s="246">
        <v>291.89</v>
      </c>
      <c r="F106" s="246">
        <v>1954.99</v>
      </c>
      <c r="G106" s="261">
        <v>0</v>
      </c>
      <c r="H106" s="247">
        <v>13</v>
      </c>
      <c r="I106" s="246">
        <v>9007.119999999999</v>
      </c>
      <c r="J106" s="248">
        <f t="shared" si="207"/>
      </c>
      <c r="K106" s="248">
        <f t="shared" si="91"/>
      </c>
      <c r="L106" s="249">
        <f t="shared" si="121"/>
      </c>
      <c r="M106" s="250">
        <f t="shared" si="9"/>
      </c>
      <c r="N106" s="251">
        <f t="shared" si="48"/>
      </c>
      <c r="O106" s="252">
        <f t="shared" si="276"/>
      </c>
      <c r="P106" s="253" t="s">
        <v>176</v>
      </c>
      <c r="Q106" s="254" t="s">
        <v>186</v>
      </c>
      <c r="R106" s="255">
        <v>13027</v>
      </c>
      <c r="S106" s="255">
        <v>488</v>
      </c>
      <c r="T106" s="255">
        <v>7</v>
      </c>
      <c r="U106" s="256">
        <v>0</v>
      </c>
      <c r="V106" s="256">
        <v>24</v>
      </c>
    </row>
    <row r="107">
      <c r="A107" s="242"/>
      <c r="B107" s="263" t="s">
        <v>181</v>
      </c>
      <c r="C107" s="263"/>
      <c r="D107" s="264">
        <f>SUM(D104:D106)</f>
      </c>
      <c r="E107" s="264">
        <f>SUM(E104:E106)</f>
      </c>
      <c r="F107" s="264">
        <f>SUM(F104:F106)</f>
      </c>
      <c r="G107" s="264">
        <f>SUM(G104:G106)</f>
      </c>
      <c r="H107" s="265">
        <f>SUM(H104:H106)</f>
      </c>
      <c r="I107" s="264">
        <f>SUM(I104:I106)</f>
      </c>
      <c r="J107" s="273">
        <f t="shared" si="207"/>
      </c>
      <c r="K107" s="267">
        <f t="shared" si="91"/>
      </c>
      <c r="L107" s="268">
        <f t="shared" si="121"/>
      </c>
      <c r="M107" s="269">
        <f t="shared" si="9"/>
      </c>
      <c r="N107" s="269">
        <f t="shared" si="48"/>
      </c>
      <c r="O107" s="270">
        <f t="shared" ref="O107:O108" si="237">(U107*1000)/D107</f>
      </c>
      <c r="P107" s="270"/>
      <c r="Q107" s="270"/>
      <c r="R107" s="265">
        <f>SUM(R104:R106)</f>
      </c>
      <c r="S107" s="265">
        <f>SUM(S104:S106)</f>
      </c>
      <c r="T107" s="265">
        <f>SUM(T104:T106)</f>
      </c>
      <c r="U107" s="265">
        <f>SUM(U104:U106)</f>
      </c>
      <c r="V107" s="265">
        <f>SUM(V104:V106)</f>
      </c>
    </row>
    <row r="108">
      <c r="A108" s="242"/>
      <c r="B108" s="274" t="s">
        <v>185</v>
      </c>
      <c r="C108" s="274"/>
      <c r="D108" s="275">
        <f>D103+D107</f>
      </c>
      <c r="E108" s="275">
        <f>E103+E107</f>
      </c>
      <c r="F108" s="275">
        <f>F103+F107</f>
      </c>
      <c r="G108" s="275">
        <f>G103+G107</f>
      </c>
      <c r="H108" s="276">
        <f>H103+H107</f>
      </c>
      <c r="I108" s="275">
        <f>I103+I107</f>
      </c>
      <c r="J108" s="277">
        <f t="shared" si="207"/>
      </c>
      <c r="K108" s="277">
        <f t="shared" si="91"/>
      </c>
      <c r="L108" s="278">
        <f t="shared" si="121"/>
      </c>
      <c r="M108" s="279">
        <f t="shared" si="9"/>
      </c>
      <c r="N108" s="279">
        <f t="shared" si="48"/>
      </c>
      <c r="O108" s="277">
        <f t="shared" si="237"/>
      </c>
      <c r="P108" s="280"/>
      <c r="Q108" s="280"/>
      <c r="R108" s="276">
        <f>R103+R107</f>
      </c>
      <c r="S108" s="276">
        <f>S103+S107</f>
      </c>
      <c r="T108" s="276">
        <f>T103+T107</f>
      </c>
      <c r="U108" s="276">
        <f>U103+U107</f>
      </c>
      <c r="V108" s="276">
        <f>V103+V107</f>
      </c>
    </row>
    <row r="109">
      <c r="A109" s="229" t="s">
        <v>148</v>
      </c>
      <c r="B109" s="229"/>
      <c r="C109" s="229"/>
      <c r="D109" s="230" t="s">
        <v>149</v>
      </c>
      <c r="E109" s="230"/>
      <c r="F109" s="230"/>
      <c r="G109" s="230"/>
      <c r="H109" s="230"/>
      <c r="I109" s="230"/>
      <c r="J109" s="230"/>
      <c r="K109" s="230"/>
      <c r="L109" s="230"/>
      <c r="M109" s="231" t="s">
        <v>150</v>
      </c>
      <c r="N109" s="231"/>
      <c r="O109" s="231"/>
      <c r="P109" s="231"/>
      <c r="Q109" s="231"/>
      <c r="R109" s="232" t="s">
        <v>151</v>
      </c>
      <c r="S109" s="232"/>
      <c r="T109" s="232"/>
      <c r="U109" s="232"/>
      <c r="V109" s="232"/>
    </row>
    <row r="110">
      <c r="A110" s="233" t="s">
        <v>152</v>
      </c>
      <c r="B110" s="233" t="s">
        <v>153</v>
      </c>
      <c r="C110" s="233" t="s">
        <v>154</v>
      </c>
      <c r="D110" s="234" t="s">
        <v>155</v>
      </c>
      <c r="E110" s="281" t="s">
        <v>156</v>
      </c>
      <c r="F110" s="234" t="s">
        <v>157</v>
      </c>
      <c r="G110" s="234" t="s">
        <v>158</v>
      </c>
      <c r="H110" s="236" t="s">
        <v>159</v>
      </c>
      <c r="I110" s="234" t="s">
        <v>160</v>
      </c>
      <c r="J110" s="237" t="s">
        <v>161</v>
      </c>
      <c r="K110" s="238" t="s">
        <v>162</v>
      </c>
      <c r="L110" s="239" t="s">
        <v>163</v>
      </c>
      <c r="M110" s="240" t="s">
        <v>164</v>
      </c>
      <c r="N110" s="240" t="s">
        <v>165</v>
      </c>
      <c r="O110" s="240" t="s">
        <v>166</v>
      </c>
      <c r="P110" s="231" t="s">
        <v>167</v>
      </c>
      <c r="Q110" s="231" t="s">
        <v>168</v>
      </c>
      <c r="R110" s="232" t="s">
        <v>169</v>
      </c>
      <c r="S110" s="232" t="s">
        <v>170</v>
      </c>
      <c r="T110" s="232" t="s">
        <v>171</v>
      </c>
      <c r="U110" s="241" t="s">
        <v>172</v>
      </c>
      <c r="V110" s="232" t="s">
        <v>173</v>
      </c>
    </row>
    <row r="111">
      <c r="A111" s="242">
        <v>46276</v>
      </c>
      <c r="B111" s="243" t="s">
        <v>174</v>
      </c>
      <c r="C111" s="261" t="s">
        <v>188</v>
      </c>
      <c r="D111" s="259">
        <f t="shared" ref="D111:D114" si="161">SUM(E111:G111)</f>
      </c>
      <c r="E111" s="246">
        <v>318.37</v>
      </c>
      <c r="F111" s="246">
        <v>1661.85</v>
      </c>
      <c r="G111" s="246">
        <v>0</v>
      </c>
      <c r="H111" s="247">
        <v>3</v>
      </c>
      <c r="I111" s="246">
        <v>1142.04</v>
      </c>
      <c r="J111" s="248">
        <f t="shared" ref="J111:J120" si="208">I111/D111</f>
      </c>
      <c r="K111" s="248">
        <f t="shared" ref="K111:K120" si="92">D111/H111</f>
      </c>
      <c r="L111" s="249">
        <f t="shared" ref="L111:L120" si="122">I111/H111</f>
      </c>
      <c r="M111" s="250">
        <f t="shared" ref="M111:M120" si="10">S111/R111</f>
      </c>
      <c r="N111" s="251">
        <f t="shared" ref="N111:N114" si="49">H111/(T111+H111)</f>
      </c>
      <c r="O111" s="252">
        <f t="shared" ref="O111:O114" si="277">(V111*1000)/D111</f>
      </c>
      <c r="P111" s="253" t="s">
        <v>176</v>
      </c>
      <c r="Q111" s="254" t="s">
        <v>186</v>
      </c>
      <c r="R111" s="255">
        <v>11835</v>
      </c>
      <c r="S111" s="255">
        <v>507</v>
      </c>
      <c r="T111" s="256">
        <v>4</v>
      </c>
      <c r="U111" s="256">
        <v>3</v>
      </c>
      <c r="V111" s="256">
        <v>18</v>
      </c>
    </row>
    <row r="112">
      <c r="A112" s="242"/>
      <c r="B112" s="257" t="s">
        <v>174</v>
      </c>
      <c r="C112" s="258" t="s">
        <v>175</v>
      </c>
      <c r="D112" s="259">
        <f t="shared" si="161"/>
      </c>
      <c r="E112" s="246">
        <v>261.46</v>
      </c>
      <c r="F112" s="246">
        <v>1039.9</v>
      </c>
      <c r="G112" s="246">
        <v>0</v>
      </c>
      <c r="H112" s="247">
        <v>3</v>
      </c>
      <c r="I112" s="246">
        <v>709.9200000000001</v>
      </c>
      <c r="J112" s="248">
        <f t="shared" si="208"/>
      </c>
      <c r="K112" s="248">
        <f t="shared" si="92"/>
      </c>
      <c r="L112" s="249">
        <f t="shared" si="122"/>
      </c>
      <c r="M112" s="250">
        <f t="shared" si="10"/>
      </c>
      <c r="N112" s="251">
        <f t="shared" si="49"/>
      </c>
      <c r="O112" s="252">
        <f t="shared" si="277"/>
      </c>
      <c r="P112" s="253" t="s">
        <v>176</v>
      </c>
      <c r="Q112" s="254" t="s">
        <v>186</v>
      </c>
      <c r="R112" s="255">
        <v>8838</v>
      </c>
      <c r="S112" s="255">
        <v>412</v>
      </c>
      <c r="T112" s="255">
        <v>2</v>
      </c>
      <c r="U112" s="256">
        <v>1</v>
      </c>
      <c r="V112" s="256">
        <v>11</v>
      </c>
    </row>
    <row r="113">
      <c r="A113" s="242"/>
      <c r="B113" s="243" t="s">
        <v>174</v>
      </c>
      <c r="C113" s="260" t="s">
        <v>178</v>
      </c>
      <c r="D113" s="245">
        <f t="shared" si="161"/>
      </c>
      <c r="E113" s="246">
        <v>184.22</v>
      </c>
      <c r="F113" s="261">
        <v>794.31</v>
      </c>
      <c r="G113" s="261">
        <v>0</v>
      </c>
      <c r="H113" s="262">
        <v>3</v>
      </c>
      <c r="I113" s="261">
        <v>3373.92</v>
      </c>
      <c r="J113" s="248">
        <f t="shared" si="208"/>
      </c>
      <c r="K113" s="248">
        <f t="shared" si="92"/>
      </c>
      <c r="L113" s="249">
        <f t="shared" si="122"/>
      </c>
      <c r="M113" s="250">
        <f t="shared" si="10"/>
      </c>
      <c r="N113" s="251">
        <f t="shared" si="49"/>
      </c>
      <c r="O113" s="252">
        <f t="shared" si="277"/>
      </c>
      <c r="P113" s="253" t="s">
        <v>176</v>
      </c>
      <c r="Q113" s="254" t="s">
        <v>186</v>
      </c>
      <c r="R113" s="255">
        <v>6897</v>
      </c>
      <c r="S113" s="255">
        <v>337</v>
      </c>
      <c r="T113" s="255">
        <v>3</v>
      </c>
      <c r="U113" s="256">
        <v>1</v>
      </c>
      <c r="V113" s="256">
        <v>14</v>
      </c>
    </row>
    <row r="114">
      <c r="A114" s="242"/>
      <c r="B114" s="243" t="s">
        <v>174</v>
      </c>
      <c r="C114" s="246" t="s">
        <v>179</v>
      </c>
      <c r="D114" s="245">
        <f t="shared" si="161"/>
      </c>
      <c r="E114" s="246">
        <v>302.1</v>
      </c>
      <c r="F114" s="261">
        <v>2157.67</v>
      </c>
      <c r="G114" s="261">
        <v>0</v>
      </c>
      <c r="H114" s="262">
        <v>12</v>
      </c>
      <c r="I114" s="261">
        <v>7267.22</v>
      </c>
      <c r="J114" s="248">
        <f t="shared" si="208"/>
      </c>
      <c r="K114" s="248">
        <f t="shared" si="92"/>
      </c>
      <c r="L114" s="249">
        <f t="shared" si="122"/>
      </c>
      <c r="M114" s="250">
        <f t="shared" si="10"/>
      </c>
      <c r="N114" s="251">
        <f t="shared" si="49"/>
      </c>
      <c r="O114" s="252">
        <f t="shared" si="277"/>
      </c>
      <c r="P114" s="253" t="s">
        <v>176</v>
      </c>
      <c r="Q114" s="254" t="s">
        <v>186</v>
      </c>
      <c r="R114" s="255">
        <v>16980</v>
      </c>
      <c r="S114" s="255">
        <v>644</v>
      </c>
      <c r="T114" s="255">
        <v>5</v>
      </c>
      <c r="U114" s="256">
        <v>0</v>
      </c>
      <c r="V114" s="256">
        <v>33</v>
      </c>
    </row>
    <row r="115">
      <c r="A115" s="242"/>
      <c r="B115" s="263" t="s">
        <v>181</v>
      </c>
      <c r="C115" s="263"/>
      <c r="D115" s="264">
        <f>SUM(D111:D114)</f>
      </c>
      <c r="E115" s="264">
        <f>SUM(E111:E114)</f>
      </c>
      <c r="F115" s="264">
        <f>SUM(F111:F114)</f>
      </c>
      <c r="G115" s="264">
        <f>SUM(G111:G114)</f>
      </c>
      <c r="H115" s="265">
        <f>SUM(H111:H114)</f>
      </c>
      <c r="I115" s="264">
        <f>SUM(I111:I114)</f>
      </c>
      <c r="J115" s="266">
        <f t="shared" si="208"/>
      </c>
      <c r="K115" s="267">
        <f t="shared" si="92"/>
      </c>
      <c r="L115" s="268">
        <f t="shared" si="122"/>
      </c>
      <c r="M115" s="269">
        <f t="shared" si="10"/>
      </c>
      <c r="N115" s="269">
        <f>H115/T115</f>
      </c>
      <c r="O115" s="270">
        <f>(U115*1000)/D115</f>
      </c>
      <c r="P115" s="270"/>
      <c r="Q115" s="270"/>
      <c r="R115" s="265">
        <f>SUM(R111:R114)</f>
      </c>
      <c r="S115" s="265">
        <f>SUM(S111:S114)</f>
      </c>
      <c r="T115" s="265">
        <f>SUM(T111:T114)</f>
      </c>
      <c r="U115" s="265">
        <f>SUM(U111:U114)</f>
      </c>
      <c r="V115" s="265">
        <f>SUM(V111:V114)</f>
      </c>
    </row>
    <row r="116">
      <c r="A116" s="242"/>
      <c r="B116" s="271" t="s">
        <v>182</v>
      </c>
      <c r="C116" s="246" t="s">
        <v>180</v>
      </c>
      <c r="D116" s="245">
        <f t="shared" ref="D116:D118" si="162">SUM(E116:G116)</f>
      </c>
      <c r="E116" s="246">
        <v>488.71</v>
      </c>
      <c r="F116" s="261">
        <v>2091.61</v>
      </c>
      <c r="G116" s="261">
        <v>0</v>
      </c>
      <c r="H116" s="262">
        <v>6</v>
      </c>
      <c r="I116" s="261">
        <v>4622.1</v>
      </c>
      <c r="J116" s="248">
        <f t="shared" si="208"/>
      </c>
      <c r="K116" s="248">
        <f t="shared" si="92"/>
      </c>
      <c r="L116" s="249">
        <f t="shared" si="122"/>
      </c>
      <c r="M116" s="250">
        <f t="shared" si="10"/>
      </c>
      <c r="N116" s="251">
        <f t="shared" ref="N116:N120" si="50">H116/(T116+H116)</f>
      </c>
      <c r="O116" s="252">
        <f t="shared" ref="O116:O118" si="278">(V116*1000)/D116</f>
      </c>
      <c r="P116" s="253" t="s">
        <v>176</v>
      </c>
      <c r="Q116" s="254" t="s">
        <v>186</v>
      </c>
      <c r="R116" s="255">
        <v>17890</v>
      </c>
      <c r="S116" s="255">
        <v>650</v>
      </c>
      <c r="T116" s="255">
        <v>9</v>
      </c>
      <c r="U116" s="256">
        <v>2</v>
      </c>
      <c r="V116" s="256">
        <v>20</v>
      </c>
    </row>
    <row r="117">
      <c r="A117" s="242"/>
      <c r="B117" s="271" t="s">
        <v>182</v>
      </c>
      <c r="C117" s="245" t="s">
        <v>183</v>
      </c>
      <c r="D117" s="245">
        <f t="shared" si="162"/>
      </c>
      <c r="E117" s="246">
        <v>1047.48</v>
      </c>
      <c r="F117" s="246">
        <v>2774.65</v>
      </c>
      <c r="G117" s="261">
        <v>0</v>
      </c>
      <c r="H117" s="247">
        <v>11</v>
      </c>
      <c r="I117" s="246">
        <v>8800.46</v>
      </c>
      <c r="J117" s="248">
        <f t="shared" si="208"/>
      </c>
      <c r="K117" s="248">
        <f t="shared" si="92"/>
      </c>
      <c r="L117" s="249">
        <f t="shared" si="122"/>
      </c>
      <c r="M117" s="250">
        <f t="shared" si="10"/>
      </c>
      <c r="N117" s="251">
        <f t="shared" si="50"/>
      </c>
      <c r="O117" s="252">
        <f t="shared" si="278"/>
      </c>
      <c r="P117" s="253" t="s">
        <v>176</v>
      </c>
      <c r="Q117" s="254" t="s">
        <v>186</v>
      </c>
      <c r="R117" s="255">
        <v>27921</v>
      </c>
      <c r="S117" s="255">
        <v>984</v>
      </c>
      <c r="T117" s="255">
        <v>12</v>
      </c>
      <c r="U117" s="256">
        <v>1</v>
      </c>
      <c r="V117" s="256">
        <v>37</v>
      </c>
    </row>
    <row r="118">
      <c r="A118" s="242"/>
      <c r="B118" s="271" t="s">
        <v>182</v>
      </c>
      <c r="C118" s="245" t="s">
        <v>183</v>
      </c>
      <c r="D118" s="245">
        <f t="shared" si="162"/>
      </c>
      <c r="E118" s="246">
        <v>584.62</v>
      </c>
      <c r="F118" s="246">
        <v>1800.48</v>
      </c>
      <c r="G118" s="261">
        <v>0</v>
      </c>
      <c r="H118" s="247">
        <v>3</v>
      </c>
      <c r="I118" s="246">
        <v>652.3400000000001</v>
      </c>
      <c r="J118" s="248">
        <f t="shared" si="208"/>
      </c>
      <c r="K118" s="248">
        <f t="shared" si="92"/>
      </c>
      <c r="L118" s="249">
        <f t="shared" si="122"/>
      </c>
      <c r="M118" s="250">
        <f t="shared" si="10"/>
      </c>
      <c r="N118" s="251">
        <f t="shared" si="50"/>
      </c>
      <c r="O118" s="252">
        <f t="shared" si="278"/>
      </c>
      <c r="P118" s="253" t="s">
        <v>176</v>
      </c>
      <c r="Q118" s="254" t="s">
        <v>186</v>
      </c>
      <c r="R118" s="255">
        <v>19442</v>
      </c>
      <c r="S118" s="255">
        <v>705</v>
      </c>
      <c r="T118" s="255">
        <v>4</v>
      </c>
      <c r="U118" s="256">
        <v>0</v>
      </c>
      <c r="V118" s="256">
        <v>13</v>
      </c>
    </row>
    <row r="119">
      <c r="A119" s="242"/>
      <c r="B119" s="263" t="s">
        <v>181</v>
      </c>
      <c r="C119" s="263"/>
      <c r="D119" s="264">
        <f>SUM(D116:D118)</f>
      </c>
      <c r="E119" s="264">
        <f>SUM(E116:E118)</f>
      </c>
      <c r="F119" s="264">
        <f>SUM(F116:F118)</f>
      </c>
      <c r="G119" s="264">
        <f>SUM(G116:G118)</f>
      </c>
      <c r="H119" s="265">
        <f>SUM(H116:H118)</f>
      </c>
      <c r="I119" s="264">
        <f>SUM(I116:I118)</f>
      </c>
      <c r="J119" s="273">
        <f t="shared" si="208"/>
      </c>
      <c r="K119" s="267">
        <f t="shared" si="92"/>
      </c>
      <c r="L119" s="268">
        <f t="shared" si="122"/>
      </c>
      <c r="M119" s="269">
        <f t="shared" si="10"/>
      </c>
      <c r="N119" s="269">
        <f t="shared" si="50"/>
      </c>
      <c r="O119" s="270">
        <f t="shared" ref="O119:O120" si="238">(U119*1000)/D119</f>
      </c>
      <c r="P119" s="270"/>
      <c r="Q119" s="270"/>
      <c r="R119" s="265">
        <f>SUM(R116:R118)</f>
      </c>
      <c r="S119" s="265">
        <f>SUM(S116:S118)</f>
      </c>
      <c r="T119" s="265">
        <f>SUM(T116:T118)</f>
      </c>
      <c r="U119" s="265">
        <f>SUM(U116:U118)</f>
      </c>
      <c r="V119" s="265">
        <f>SUM(V116:V118)</f>
      </c>
    </row>
    <row r="120">
      <c r="A120" s="242"/>
      <c r="B120" s="274" t="s">
        <v>185</v>
      </c>
      <c r="C120" s="274"/>
      <c r="D120" s="275">
        <f>D115+D119</f>
      </c>
      <c r="E120" s="275">
        <f>E115+E119</f>
      </c>
      <c r="F120" s="275">
        <f>F115+F119</f>
      </c>
      <c r="G120" s="275">
        <f>G115+G119</f>
      </c>
      <c r="H120" s="276">
        <f>H115+H119</f>
      </c>
      <c r="I120" s="275">
        <f>I115+I119</f>
      </c>
      <c r="J120" s="277">
        <f t="shared" si="208"/>
      </c>
      <c r="K120" s="277">
        <f t="shared" si="92"/>
      </c>
      <c r="L120" s="278">
        <f t="shared" si="122"/>
      </c>
      <c r="M120" s="279">
        <f t="shared" si="10"/>
      </c>
      <c r="N120" s="279">
        <f t="shared" si="50"/>
      </c>
      <c r="O120" s="277">
        <f t="shared" si="238"/>
      </c>
      <c r="P120" s="280"/>
      <c r="Q120" s="280"/>
      <c r="R120" s="276">
        <f>R115+R119</f>
      </c>
      <c r="S120" s="276">
        <f>S115+S119</f>
      </c>
      <c r="T120" s="276">
        <f>T115+T119</f>
      </c>
      <c r="U120" s="276">
        <f>U115+U119</f>
      </c>
      <c r="V120" s="276">
        <f>V115+V119</f>
      </c>
    </row>
    <row r="121">
      <c r="A121" s="229" t="s">
        <v>148</v>
      </c>
      <c r="B121" s="229"/>
      <c r="C121" s="229"/>
      <c r="D121" s="230" t="s">
        <v>149</v>
      </c>
      <c r="E121" s="230"/>
      <c r="F121" s="230"/>
      <c r="G121" s="230"/>
      <c r="H121" s="230"/>
      <c r="I121" s="230"/>
      <c r="J121" s="230"/>
      <c r="K121" s="230"/>
      <c r="L121" s="230"/>
      <c r="M121" s="231" t="s">
        <v>150</v>
      </c>
      <c r="N121" s="231"/>
      <c r="O121" s="231"/>
      <c r="P121" s="231"/>
      <c r="Q121" s="231"/>
      <c r="R121" s="232" t="s">
        <v>151</v>
      </c>
      <c r="S121" s="232"/>
      <c r="T121" s="232"/>
      <c r="U121" s="232"/>
      <c r="V121" s="232"/>
    </row>
    <row r="122">
      <c r="A122" s="233" t="s">
        <v>152</v>
      </c>
      <c r="B122" s="233" t="s">
        <v>153</v>
      </c>
      <c r="C122" s="233" t="s">
        <v>154</v>
      </c>
      <c r="D122" s="234" t="s">
        <v>155</v>
      </c>
      <c r="E122" s="281" t="s">
        <v>156</v>
      </c>
      <c r="F122" s="234" t="s">
        <v>157</v>
      </c>
      <c r="G122" s="234" t="s">
        <v>158</v>
      </c>
      <c r="H122" s="236" t="s">
        <v>159</v>
      </c>
      <c r="I122" s="234" t="s">
        <v>160</v>
      </c>
      <c r="J122" s="237" t="s">
        <v>161</v>
      </c>
      <c r="K122" s="238" t="s">
        <v>162</v>
      </c>
      <c r="L122" s="239" t="s">
        <v>163</v>
      </c>
      <c r="M122" s="240" t="s">
        <v>164</v>
      </c>
      <c r="N122" s="240" t="s">
        <v>165</v>
      </c>
      <c r="O122" s="240" t="s">
        <v>166</v>
      </c>
      <c r="P122" s="231" t="s">
        <v>167</v>
      </c>
      <c r="Q122" s="231" t="s">
        <v>168</v>
      </c>
      <c r="R122" s="232" t="s">
        <v>169</v>
      </c>
      <c r="S122" s="232" t="s">
        <v>170</v>
      </c>
      <c r="T122" s="232" t="s">
        <v>171</v>
      </c>
      <c r="U122" s="241" t="s">
        <v>172</v>
      </c>
      <c r="V122" s="232" t="s">
        <v>173</v>
      </c>
    </row>
    <row r="123">
      <c r="A123" s="242">
        <v>46277</v>
      </c>
      <c r="B123" s="243" t="s">
        <v>174</v>
      </c>
      <c r="C123" s="261" t="s">
        <v>188</v>
      </c>
      <c r="D123" s="259">
        <f t="shared" ref="D123:D126" si="163">SUM(E123:G123)</f>
      </c>
      <c r="E123" s="246">
        <v>492.57</v>
      </c>
      <c r="F123" s="246">
        <v>1565.37</v>
      </c>
      <c r="G123" s="246">
        <v>0</v>
      </c>
      <c r="H123" s="247">
        <v>3</v>
      </c>
      <c r="I123" s="246">
        <v>2127.12</v>
      </c>
      <c r="J123" s="248">
        <f t="shared" ref="J123:J132" si="209">I123/D123</f>
      </c>
      <c r="K123" s="248">
        <f t="shared" ref="K123:K132" si="93">D123/H123</f>
      </c>
      <c r="L123" s="249">
        <f t="shared" ref="L123:L132" si="123">I123/H123</f>
      </c>
      <c r="M123" s="250">
        <f t="shared" ref="M123:M132" si="11">S123/R123</f>
      </c>
      <c r="N123" s="251">
        <f t="shared" ref="N123:N126" si="51">H123/(T123+H123)</f>
      </c>
      <c r="O123" s="252">
        <f t="shared" ref="O123:O126" si="279">(V123*1000)/D123</f>
      </c>
      <c r="P123" s="253" t="s">
        <v>176</v>
      </c>
      <c r="Q123" s="254" t="s">
        <v>186</v>
      </c>
      <c r="R123" s="255">
        <v>11080</v>
      </c>
      <c r="S123" s="255">
        <v>537</v>
      </c>
      <c r="T123" s="256">
        <v>4</v>
      </c>
      <c r="U123" s="256">
        <v>1</v>
      </c>
      <c r="V123" s="256">
        <v>19</v>
      </c>
    </row>
    <row r="124">
      <c r="A124" s="242"/>
      <c r="B124" s="257" t="s">
        <v>174</v>
      </c>
      <c r="C124" s="258" t="s">
        <v>175</v>
      </c>
      <c r="D124" s="259">
        <f t="shared" si="163"/>
      </c>
      <c r="E124" s="246">
        <v>602.01</v>
      </c>
      <c r="F124" s="246">
        <v>1261.22</v>
      </c>
      <c r="G124" s="246">
        <v>0</v>
      </c>
      <c r="H124" s="247">
        <v>9</v>
      </c>
      <c r="I124" s="246">
        <v>4384.02</v>
      </c>
      <c r="J124" s="248">
        <f t="shared" si="209"/>
      </c>
      <c r="K124" s="248">
        <f t="shared" si="93"/>
      </c>
      <c r="L124" s="249">
        <f t="shared" si="123"/>
      </c>
      <c r="M124" s="250">
        <f t="shared" si="11"/>
      </c>
      <c r="N124" s="251">
        <f t="shared" si="51"/>
      </c>
      <c r="O124" s="252">
        <f t="shared" si="279"/>
      </c>
      <c r="P124" s="253" t="s">
        <v>176</v>
      </c>
      <c r="Q124" s="254" t="s">
        <v>186</v>
      </c>
      <c r="R124" s="255">
        <v>11248</v>
      </c>
      <c r="S124" s="255">
        <v>820</v>
      </c>
      <c r="T124" s="255">
        <v>6</v>
      </c>
      <c r="U124" s="256">
        <v>1</v>
      </c>
      <c r="V124" s="256">
        <v>23</v>
      </c>
    </row>
    <row r="125">
      <c r="A125" s="242"/>
      <c r="B125" s="243" t="s">
        <v>174</v>
      </c>
      <c r="C125" s="260" t="s">
        <v>178</v>
      </c>
      <c r="D125" s="245">
        <f t="shared" si="163"/>
      </c>
      <c r="E125" s="246">
        <v>1105.63</v>
      </c>
      <c r="F125" s="261">
        <v>1968.7</v>
      </c>
      <c r="G125" s="261">
        <v>0</v>
      </c>
      <c r="H125" s="262">
        <v>10</v>
      </c>
      <c r="I125" s="261">
        <v>4805.999999999999</v>
      </c>
      <c r="J125" s="248">
        <f t="shared" si="209"/>
      </c>
      <c r="K125" s="248">
        <f t="shared" si="93"/>
      </c>
      <c r="L125" s="249">
        <f t="shared" si="123"/>
      </c>
      <c r="M125" s="250">
        <f t="shared" si="11"/>
      </c>
      <c r="N125" s="251">
        <f t="shared" si="51"/>
      </c>
      <c r="O125" s="252">
        <f t="shared" si="279"/>
      </c>
      <c r="P125" s="253" t="s">
        <v>176</v>
      </c>
      <c r="Q125" s="254" t="s">
        <v>186</v>
      </c>
      <c r="R125" s="255">
        <v>20644</v>
      </c>
      <c r="S125" s="255">
        <v>1255</v>
      </c>
      <c r="T125" s="255">
        <v>7</v>
      </c>
      <c r="U125" s="256">
        <v>1</v>
      </c>
      <c r="V125" s="256">
        <v>33</v>
      </c>
    </row>
    <row r="126">
      <c r="A126" s="242"/>
      <c r="B126" s="243" t="s">
        <v>174</v>
      </c>
      <c r="C126" s="246" t="s">
        <v>179</v>
      </c>
      <c r="D126" s="245">
        <f t="shared" si="163"/>
      </c>
      <c r="E126" s="246">
        <v>1325.72</v>
      </c>
      <c r="F126" s="261">
        <v>1856.54</v>
      </c>
      <c r="G126" s="261">
        <v>0</v>
      </c>
      <c r="H126" s="262">
        <v>6</v>
      </c>
      <c r="I126" s="261">
        <v>6915.220000000001</v>
      </c>
      <c r="J126" s="248">
        <f t="shared" si="209"/>
      </c>
      <c r="K126" s="248">
        <f t="shared" si="93"/>
      </c>
      <c r="L126" s="249">
        <f t="shared" si="123"/>
      </c>
      <c r="M126" s="250">
        <f t="shared" si="11"/>
      </c>
      <c r="N126" s="251">
        <f t="shared" si="51"/>
      </c>
      <c r="O126" s="252">
        <f t="shared" si="279"/>
      </c>
      <c r="P126" s="253" t="s">
        <v>176</v>
      </c>
      <c r="Q126" s="254" t="s">
        <v>186</v>
      </c>
      <c r="R126" s="255">
        <v>22077</v>
      </c>
      <c r="S126" s="255">
        <v>1426</v>
      </c>
      <c r="T126" s="255">
        <v>5</v>
      </c>
      <c r="U126" s="256">
        <v>0</v>
      </c>
      <c r="V126" s="256">
        <v>36</v>
      </c>
    </row>
    <row r="127">
      <c r="A127" s="242"/>
      <c r="B127" s="263" t="s">
        <v>181</v>
      </c>
      <c r="C127" s="263"/>
      <c r="D127" s="264">
        <f>SUM(D123:D126)</f>
      </c>
      <c r="E127" s="264">
        <f>SUM(E123:E126)</f>
      </c>
      <c r="F127" s="264">
        <f>SUM(F123:F126)</f>
      </c>
      <c r="G127" s="264">
        <f>SUM(G123:G126)</f>
      </c>
      <c r="H127" s="265">
        <f>SUM(H123:H126)</f>
      </c>
      <c r="I127" s="264">
        <f>SUM(I123:I126)</f>
      </c>
      <c r="J127" s="266">
        <f t="shared" si="209"/>
      </c>
      <c r="K127" s="267">
        <f t="shared" si="93"/>
      </c>
      <c r="L127" s="268">
        <f t="shared" si="123"/>
      </c>
      <c r="M127" s="269">
        <f t="shared" si="11"/>
      </c>
      <c r="N127" s="269">
        <f>H127/T127</f>
      </c>
      <c r="O127" s="270">
        <f>(U127*1000)/D127</f>
      </c>
      <c r="P127" s="270"/>
      <c r="Q127" s="270"/>
      <c r="R127" s="265">
        <f>SUM(R123:R126)</f>
      </c>
      <c r="S127" s="265">
        <f>SUM(S123:S126)</f>
      </c>
      <c r="T127" s="265">
        <f>SUM(T123:T126)</f>
      </c>
      <c r="U127" s="265">
        <f>SUM(U123:U126)</f>
      </c>
      <c r="V127" s="265">
        <f>SUM(V123:V126)</f>
      </c>
    </row>
    <row r="128">
      <c r="A128" s="242"/>
      <c r="B128" s="271" t="s">
        <v>182</v>
      </c>
      <c r="C128" s="246" t="s">
        <v>180</v>
      </c>
      <c r="D128" s="245">
        <f t="shared" ref="D128:D130" si="164">SUM(E128:G128)</f>
      </c>
      <c r="E128" s="246">
        <v>1389.87</v>
      </c>
      <c r="F128" s="261">
        <v>3060.36</v>
      </c>
      <c r="G128" s="261">
        <v>0</v>
      </c>
      <c r="H128" s="262">
        <v>8</v>
      </c>
      <c r="I128" s="261">
        <v>4242.18</v>
      </c>
      <c r="J128" s="248">
        <f t="shared" si="209"/>
      </c>
      <c r="K128" s="248">
        <f t="shared" si="93"/>
      </c>
      <c r="L128" s="249">
        <f t="shared" si="123"/>
      </c>
      <c r="M128" s="250">
        <f t="shared" si="11"/>
      </c>
      <c r="N128" s="251">
        <f t="shared" ref="N128:N132" si="52">H128/(T128+H128)</f>
      </c>
      <c r="O128" s="252">
        <f t="shared" ref="O128:O130" si="280">(V128*1000)/D128</f>
      </c>
      <c r="P128" s="253" t="s">
        <v>176</v>
      </c>
      <c r="Q128" s="254" t="s">
        <v>186</v>
      </c>
      <c r="R128" s="255">
        <v>30741</v>
      </c>
      <c r="S128" s="255">
        <v>1840</v>
      </c>
      <c r="T128" s="255">
        <v>8</v>
      </c>
      <c r="U128" s="256">
        <v>0</v>
      </c>
      <c r="V128" s="256">
        <v>44</v>
      </c>
    </row>
    <row r="129">
      <c r="A129" s="242"/>
      <c r="B129" s="271" t="s">
        <v>182</v>
      </c>
      <c r="C129" s="245" t="s">
        <v>183</v>
      </c>
      <c r="D129" s="245">
        <f t="shared" si="164"/>
      </c>
      <c r="E129" s="246">
        <v>1617.8</v>
      </c>
      <c r="F129" s="246">
        <v>4028.92</v>
      </c>
      <c r="G129" s="261">
        <v>0</v>
      </c>
      <c r="H129" s="247">
        <v>13</v>
      </c>
      <c r="I129" s="246">
        <v>10476.64</v>
      </c>
      <c r="J129" s="248">
        <f t="shared" si="209"/>
      </c>
      <c r="K129" s="248">
        <f t="shared" si="93"/>
      </c>
      <c r="L129" s="249">
        <f t="shared" si="123"/>
      </c>
      <c r="M129" s="250">
        <f t="shared" si="11"/>
      </c>
      <c r="N129" s="251">
        <f t="shared" si="52"/>
      </c>
      <c r="O129" s="252">
        <f t="shared" si="280"/>
      </c>
      <c r="P129" s="253" t="s">
        <v>176</v>
      </c>
      <c r="Q129" s="254" t="s">
        <v>186</v>
      </c>
      <c r="R129" s="255">
        <v>39749</v>
      </c>
      <c r="S129" s="255">
        <v>2075</v>
      </c>
      <c r="T129" s="255">
        <v>12</v>
      </c>
      <c r="U129" s="256">
        <v>1</v>
      </c>
      <c r="V129" s="256">
        <v>43</v>
      </c>
    </row>
    <row r="130">
      <c r="A130" s="242"/>
      <c r="B130" s="271" t="s">
        <v>182</v>
      </c>
      <c r="C130" s="245" t="s">
        <v>183</v>
      </c>
      <c r="D130" s="245">
        <f t="shared" si="164"/>
      </c>
      <c r="E130" s="246">
        <v>741.51</v>
      </c>
      <c r="F130" s="246">
        <v>535.83</v>
      </c>
      <c r="G130" s="261">
        <v>0</v>
      </c>
      <c r="H130" s="247">
        <v>3</v>
      </c>
      <c r="I130" s="246">
        <v>3783.0800000000017</v>
      </c>
      <c r="J130" s="248">
        <f t="shared" si="209"/>
      </c>
      <c r="K130" s="248">
        <f t="shared" si="93"/>
      </c>
      <c r="L130" s="249">
        <f t="shared" si="123"/>
      </c>
      <c r="M130" s="250">
        <f t="shared" si="11"/>
      </c>
      <c r="N130" s="251">
        <f t="shared" si="52"/>
      </c>
      <c r="O130" s="252">
        <f t="shared" si="280"/>
      </c>
      <c r="P130" s="253" t="s">
        <v>176</v>
      </c>
      <c r="Q130" s="254" t="s">
        <v>186</v>
      </c>
      <c r="R130" s="255">
        <v>13968</v>
      </c>
      <c r="S130" s="255">
        <v>1007</v>
      </c>
      <c r="T130" s="255">
        <v>2</v>
      </c>
      <c r="U130" s="256">
        <v>0</v>
      </c>
      <c r="V130" s="256">
        <v>18</v>
      </c>
    </row>
    <row r="131">
      <c r="A131" s="242"/>
      <c r="B131" s="263" t="s">
        <v>181</v>
      </c>
      <c r="C131" s="263"/>
      <c r="D131" s="264">
        <f>SUM(D128:D130)</f>
      </c>
      <c r="E131" s="264">
        <f>SUM(E128:E130)</f>
      </c>
      <c r="F131" s="264">
        <f>SUM(F128:F130)</f>
      </c>
      <c r="G131" s="264">
        <f>SUM(G128:G130)</f>
      </c>
      <c r="H131" s="265">
        <f>SUM(H128:H130)</f>
      </c>
      <c r="I131" s="264">
        <f>SUM(I128:I130)</f>
      </c>
      <c r="J131" s="273">
        <f t="shared" si="209"/>
      </c>
      <c r="K131" s="267">
        <f t="shared" si="93"/>
      </c>
      <c r="L131" s="268">
        <f t="shared" si="123"/>
      </c>
      <c r="M131" s="269">
        <f t="shared" si="11"/>
      </c>
      <c r="N131" s="269">
        <f t="shared" si="52"/>
      </c>
      <c r="O131" s="270">
        <f t="shared" ref="O131:O132" si="239">(U131*1000)/D131</f>
      </c>
      <c r="P131" s="270"/>
      <c r="Q131" s="270"/>
      <c r="R131" s="265">
        <f>SUM(R128:R130)</f>
      </c>
      <c r="S131" s="265">
        <f>SUM(S128:S130)</f>
      </c>
      <c r="T131" s="265">
        <f>SUM(T128:T130)</f>
      </c>
      <c r="U131" s="265">
        <f>SUM(U128:U130)</f>
      </c>
      <c r="V131" s="265">
        <f>SUM(V128:V130)</f>
      </c>
    </row>
    <row r="132">
      <c r="A132" s="242"/>
      <c r="B132" s="274" t="s">
        <v>185</v>
      </c>
      <c r="C132" s="274"/>
      <c r="D132" s="275">
        <f>D127+D131</f>
      </c>
      <c r="E132" s="275">
        <f>E127+E131</f>
      </c>
      <c r="F132" s="275">
        <f>F127+F131</f>
      </c>
      <c r="G132" s="275">
        <f>G127+G131</f>
      </c>
      <c r="H132" s="276">
        <f>H127+H131</f>
      </c>
      <c r="I132" s="275">
        <f>I127+I131</f>
      </c>
      <c r="J132" s="277">
        <f t="shared" si="209"/>
      </c>
      <c r="K132" s="277">
        <f t="shared" si="93"/>
      </c>
      <c r="L132" s="278">
        <f t="shared" si="123"/>
      </c>
      <c r="M132" s="279">
        <f t="shared" si="11"/>
      </c>
      <c r="N132" s="279">
        <f t="shared" si="52"/>
      </c>
      <c r="O132" s="277">
        <f t="shared" si="239"/>
      </c>
      <c r="P132" s="280"/>
      <c r="Q132" s="280"/>
      <c r="R132" s="276">
        <f>R127+R131</f>
      </c>
      <c r="S132" s="276">
        <f>S127+S131</f>
      </c>
      <c r="T132" s="276">
        <f>T127+T131</f>
      </c>
      <c r="U132" s="276">
        <f>U127+U131</f>
      </c>
      <c r="V132" s="276">
        <f>V127+V131</f>
      </c>
    </row>
    <row r="133">
      <c r="A133" s="229" t="s">
        <v>148</v>
      </c>
      <c r="B133" s="229"/>
      <c r="C133" s="229"/>
      <c r="D133" s="230" t="s">
        <v>149</v>
      </c>
      <c r="E133" s="230"/>
      <c r="F133" s="230"/>
      <c r="G133" s="230"/>
      <c r="H133" s="230"/>
      <c r="I133" s="230"/>
      <c r="J133" s="230"/>
      <c r="K133" s="230"/>
      <c r="L133" s="230"/>
      <c r="M133" s="231" t="s">
        <v>150</v>
      </c>
      <c r="N133" s="231"/>
      <c r="O133" s="231"/>
      <c r="P133" s="231"/>
      <c r="Q133" s="231"/>
      <c r="R133" s="232" t="s">
        <v>151</v>
      </c>
      <c r="S133" s="232"/>
      <c r="T133" s="232"/>
      <c r="U133" s="232"/>
      <c r="V133" s="232"/>
    </row>
    <row r="134">
      <c r="A134" s="233" t="s">
        <v>152</v>
      </c>
      <c r="B134" s="233" t="s">
        <v>153</v>
      </c>
      <c r="C134" s="233" t="s">
        <v>154</v>
      </c>
      <c r="D134" s="234" t="s">
        <v>155</v>
      </c>
      <c r="E134" s="281" t="s">
        <v>156</v>
      </c>
      <c r="F134" s="234" t="s">
        <v>157</v>
      </c>
      <c r="G134" s="234" t="s">
        <v>158</v>
      </c>
      <c r="H134" s="236" t="s">
        <v>159</v>
      </c>
      <c r="I134" s="234" t="s">
        <v>160</v>
      </c>
      <c r="J134" s="237" t="s">
        <v>161</v>
      </c>
      <c r="K134" s="238" t="s">
        <v>162</v>
      </c>
      <c r="L134" s="239" t="s">
        <v>163</v>
      </c>
      <c r="M134" s="240" t="s">
        <v>164</v>
      </c>
      <c r="N134" s="240" t="s">
        <v>165</v>
      </c>
      <c r="O134" s="240" t="s">
        <v>166</v>
      </c>
      <c r="P134" s="231" t="s">
        <v>167</v>
      </c>
      <c r="Q134" s="231" t="s">
        <v>168</v>
      </c>
      <c r="R134" s="232" t="s">
        <v>169</v>
      </c>
      <c r="S134" s="232" t="s">
        <v>170</v>
      </c>
      <c r="T134" s="232" t="s">
        <v>171</v>
      </c>
      <c r="U134" s="241" t="s">
        <v>172</v>
      </c>
      <c r="V134" s="232" t="s">
        <v>173</v>
      </c>
    </row>
    <row r="135">
      <c r="A135" s="242">
        <v>46278</v>
      </c>
      <c r="B135" s="243" t="s">
        <v>174</v>
      </c>
      <c r="C135" s="261" t="s">
        <v>188</v>
      </c>
      <c r="D135" s="259">
        <f t="shared" ref="D135:D138" si="165">SUM(E135:G135)</f>
      </c>
      <c r="E135" s="246">
        <v>567.82</v>
      </c>
      <c r="F135" s="246">
        <v>2762</v>
      </c>
      <c r="G135" s="246">
        <v>0</v>
      </c>
      <c r="H135" s="247">
        <v>6</v>
      </c>
      <c r="I135" s="246">
        <v>3557</v>
      </c>
      <c r="J135" s="248">
        <f t="shared" ref="J135:J143" si="210">I135/D135</f>
      </c>
      <c r="K135" s="248">
        <f t="shared" ref="K135:K143" si="94">D135/H135</f>
      </c>
      <c r="L135" s="249">
        <f t="shared" ref="L135:L143" si="124">I135/H135</f>
      </c>
      <c r="M135" s="250">
        <f t="shared" ref="M135:M143" si="12">S135/R135</f>
      </c>
      <c r="N135" s="251">
        <f t="shared" ref="N135:N138" si="53">H135/(T135+H135)</f>
      </c>
      <c r="O135" s="252">
        <f t="shared" ref="O135:O138" si="281">(V135*1000)/D135</f>
      </c>
      <c r="P135" s="253" t="s">
        <v>176</v>
      </c>
      <c r="Q135" s="254" t="s">
        <v>186</v>
      </c>
      <c r="R135" s="255">
        <v>21248</v>
      </c>
      <c r="S135" s="255">
        <v>993</v>
      </c>
      <c r="T135" s="256">
        <v>6</v>
      </c>
      <c r="U135" s="256">
        <v>1</v>
      </c>
      <c r="V135" s="256">
        <v>29</v>
      </c>
    </row>
    <row r="136">
      <c r="A136" s="242"/>
      <c r="B136" s="257" t="s">
        <v>174</v>
      </c>
      <c r="C136" s="258" t="s">
        <v>175</v>
      </c>
      <c r="D136" s="259">
        <f t="shared" si="165"/>
      </c>
      <c r="E136" s="246">
        <v>499.65</v>
      </c>
      <c r="F136" s="246">
        <v>2158.34</v>
      </c>
      <c r="G136" s="246">
        <v>0</v>
      </c>
      <c r="H136" s="247">
        <v>8</v>
      </c>
      <c r="I136" s="246">
        <v>4989.24</v>
      </c>
      <c r="J136" s="248">
        <f t="shared" si="210"/>
      </c>
      <c r="K136" s="248">
        <f t="shared" si="94"/>
      </c>
      <c r="L136" s="249">
        <f t="shared" si="124"/>
      </c>
      <c r="M136" s="250">
        <f t="shared" si="12"/>
      </c>
      <c r="N136" s="251">
        <f t="shared" si="53"/>
      </c>
      <c r="O136" s="252">
        <f t="shared" si="281"/>
      </c>
      <c r="P136" s="253" t="s">
        <v>176</v>
      </c>
      <c r="Q136" s="254" t="s">
        <v>186</v>
      </c>
      <c r="R136" s="255">
        <v>16930</v>
      </c>
      <c r="S136" s="255">
        <v>842</v>
      </c>
      <c r="T136" s="255">
        <v>8</v>
      </c>
      <c r="U136" s="256">
        <v>1</v>
      </c>
      <c r="V136" s="256">
        <v>28</v>
      </c>
    </row>
    <row r="137">
      <c r="A137" s="242"/>
      <c r="B137" s="243" t="s">
        <v>174</v>
      </c>
      <c r="C137" s="260" t="s">
        <v>178</v>
      </c>
      <c r="D137" s="245">
        <f t="shared" si="165"/>
      </c>
      <c r="E137" s="246">
        <v>615.37</v>
      </c>
      <c r="F137" s="261">
        <v>2349.77</v>
      </c>
      <c r="G137" s="261">
        <v>0</v>
      </c>
      <c r="H137" s="262">
        <v>10</v>
      </c>
      <c r="I137" s="261">
        <v>6340.880000000001</v>
      </c>
      <c r="J137" s="248">
        <f t="shared" si="210"/>
      </c>
      <c r="K137" s="248">
        <f t="shared" si="94"/>
      </c>
      <c r="L137" s="249">
        <f t="shared" si="124"/>
      </c>
      <c r="M137" s="250">
        <f t="shared" si="12"/>
      </c>
      <c r="N137" s="251">
        <f t="shared" si="53"/>
      </c>
      <c r="O137" s="252">
        <f t="shared" si="281"/>
      </c>
      <c r="P137" s="253" t="s">
        <v>176</v>
      </c>
      <c r="Q137" s="254" t="s">
        <v>186</v>
      </c>
      <c r="R137" s="255">
        <v>18930</v>
      </c>
      <c r="S137" s="255">
        <v>980</v>
      </c>
      <c r="T137" s="255">
        <v>9</v>
      </c>
      <c r="U137" s="256">
        <v>0</v>
      </c>
      <c r="V137" s="256">
        <v>28</v>
      </c>
    </row>
    <row r="138">
      <c r="A138" s="242"/>
      <c r="B138" s="243" t="s">
        <v>174</v>
      </c>
      <c r="C138" s="246" t="s">
        <v>179</v>
      </c>
      <c r="D138" s="245">
        <f t="shared" si="165"/>
      </c>
      <c r="E138" s="246">
        <v>493.65</v>
      </c>
      <c r="F138" s="261">
        <v>2065.63</v>
      </c>
      <c r="G138" s="261">
        <v>0</v>
      </c>
      <c r="H138" s="262">
        <v>11</v>
      </c>
      <c r="I138" s="261">
        <v>9126.819999999998</v>
      </c>
      <c r="J138" s="248">
        <f t="shared" si="210"/>
      </c>
      <c r="K138" s="248">
        <f t="shared" si="94"/>
      </c>
      <c r="L138" s="249">
        <f t="shared" si="124"/>
      </c>
      <c r="M138" s="250">
        <f t="shared" si="12"/>
      </c>
      <c r="N138" s="251">
        <f t="shared" si="53"/>
      </c>
      <c r="O138" s="252">
        <f t="shared" si="281"/>
      </c>
      <c r="P138" s="253" t="s">
        <v>176</v>
      </c>
      <c r="Q138" s="254" t="s">
        <v>186</v>
      </c>
      <c r="R138" s="255">
        <v>16910</v>
      </c>
      <c r="S138" s="255">
        <v>970</v>
      </c>
      <c r="T138" s="255">
        <v>8</v>
      </c>
      <c r="U138" s="256">
        <v>1</v>
      </c>
      <c r="V138" s="256">
        <v>43</v>
      </c>
    </row>
    <row r="139">
      <c r="A139" s="242"/>
      <c r="B139" s="263" t="s">
        <v>181</v>
      </c>
      <c r="C139" s="263"/>
      <c r="D139" s="264">
        <f>SUM(D135:D138)</f>
      </c>
      <c r="E139" s="264">
        <f>SUM(E135:E138)</f>
      </c>
      <c r="F139" s="264">
        <f>SUM(F135:F138)</f>
      </c>
      <c r="G139" s="264">
        <f>SUM(G135:G138)</f>
      </c>
      <c r="H139" s="265">
        <f>SUM(H135:H138)</f>
      </c>
      <c r="I139" s="264">
        <f>SUM(I135:I138)</f>
      </c>
      <c r="J139" s="266">
        <f t="shared" si="210"/>
      </c>
      <c r="K139" s="267">
        <f t="shared" si="94"/>
      </c>
      <c r="L139" s="268">
        <f t="shared" si="124"/>
      </c>
      <c r="M139" s="269">
        <f t="shared" si="12"/>
      </c>
      <c r="N139" s="269">
        <f>H139/T139</f>
      </c>
      <c r="O139" s="270">
        <f>(U139*1000)/D139</f>
      </c>
      <c r="P139" s="270"/>
      <c r="Q139" s="270"/>
      <c r="R139" s="265">
        <f>SUM(R135:R138)</f>
      </c>
      <c r="S139" s="265">
        <f>SUM(S135:S138)</f>
      </c>
      <c r="T139" s="265">
        <f>SUM(T135:T138)</f>
      </c>
      <c r="U139" s="265">
        <f>SUM(U135:U138)</f>
      </c>
      <c r="V139" s="265">
        <f>SUM(V135:V138)</f>
      </c>
    </row>
    <row r="140">
      <c r="A140" s="242"/>
      <c r="B140" s="271" t="s">
        <v>182</v>
      </c>
      <c r="C140" s="246" t="s">
        <v>180</v>
      </c>
      <c r="D140" s="245">
        <f t="shared" ref="D140:D141" si="166">SUM(E140:G140)</f>
      </c>
      <c r="E140" s="246">
        <v>484.01</v>
      </c>
      <c r="F140" s="261">
        <v>3498.65</v>
      </c>
      <c r="G140" s="261">
        <v>0</v>
      </c>
      <c r="H140" s="262">
        <v>1</v>
      </c>
      <c r="I140" s="261">
        <v>645.8000000000029</v>
      </c>
      <c r="J140" s="248">
        <f t="shared" si="210"/>
      </c>
      <c r="K140" s="248">
        <f t="shared" si="94"/>
      </c>
      <c r="L140" s="249">
        <f t="shared" si="124"/>
      </c>
      <c r="M140" s="250">
        <f t="shared" si="12"/>
      </c>
      <c r="N140" s="251">
        <f t="shared" ref="N140:N143" si="54">H140/(T140+H140)</f>
      </c>
      <c r="O140" s="252">
        <f t="shared" ref="O140:O141" si="282">(V140*1000)/D140</f>
      </c>
      <c r="P140" s="253" t="s">
        <v>176</v>
      </c>
      <c r="Q140" s="254" t="s">
        <v>186</v>
      </c>
      <c r="R140" s="255">
        <v>31816</v>
      </c>
      <c r="S140" s="255">
        <v>1117</v>
      </c>
      <c r="T140" s="255">
        <v>5</v>
      </c>
      <c r="U140" s="256">
        <v>1</v>
      </c>
      <c r="V140" s="256">
        <v>32</v>
      </c>
    </row>
    <row r="141">
      <c r="A141" s="242"/>
      <c r="B141" s="271" t="s">
        <v>182</v>
      </c>
      <c r="C141" s="245" t="s">
        <v>183</v>
      </c>
      <c r="D141" s="245">
        <f t="shared" si="166"/>
      </c>
      <c r="E141" s="246">
        <v>290.25</v>
      </c>
      <c r="F141" s="246">
        <f>1260.92+0.44</f>
      </c>
      <c r="G141" s="261">
        <v>0</v>
      </c>
      <c r="H141" s="247">
        <v>2</v>
      </c>
      <c r="I141" s="246">
        <v>947.2799999999988</v>
      </c>
      <c r="J141" s="248">
        <f t="shared" si="210"/>
      </c>
      <c r="K141" s="248">
        <f t="shared" si="94"/>
      </c>
      <c r="L141" s="249">
        <f t="shared" si="124"/>
      </c>
      <c r="M141" s="250">
        <f t="shared" si="12"/>
      </c>
      <c r="N141" s="251">
        <f t="shared" si="54"/>
      </c>
      <c r="O141" s="252">
        <f t="shared" si="282"/>
      </c>
      <c r="P141" s="253" t="s">
        <v>176</v>
      </c>
      <c r="Q141" s="254" t="s">
        <v>186</v>
      </c>
      <c r="R141" s="255">
        <v>11522</v>
      </c>
      <c r="S141" s="255">
        <v>500</v>
      </c>
      <c r="T141" s="255">
        <v>5</v>
      </c>
      <c r="U141" s="256">
        <v>0</v>
      </c>
      <c r="V141" s="256">
        <v>17</v>
      </c>
    </row>
    <row r="142">
      <c r="A142" s="242"/>
      <c r="B142" s="263" t="s">
        <v>181</v>
      </c>
      <c r="C142" s="263"/>
      <c r="D142" s="264">
        <f>SUM(D140:D141)</f>
      </c>
      <c r="E142" s="264">
        <f>SUM(E140:E141)</f>
      </c>
      <c r="F142" s="264">
        <f>SUM(F140:F141)</f>
      </c>
      <c r="G142" s="264">
        <f>SUM(G140:G141)</f>
      </c>
      <c r="H142" s="265">
        <f>SUM(H140:H141)</f>
      </c>
      <c r="I142" s="264">
        <f>SUM(I140:I141)</f>
      </c>
      <c r="J142" s="273">
        <f t="shared" si="210"/>
      </c>
      <c r="K142" s="267">
        <f t="shared" si="94"/>
      </c>
      <c r="L142" s="268">
        <f t="shared" si="124"/>
      </c>
      <c r="M142" s="269">
        <f t="shared" si="12"/>
      </c>
      <c r="N142" s="269">
        <f t="shared" si="54"/>
      </c>
      <c r="O142" s="270">
        <f t="shared" ref="O142:O143" si="240">(U142*1000)/D142</f>
      </c>
      <c r="P142" s="270"/>
      <c r="Q142" s="270"/>
      <c r="R142" s="265">
        <f>SUM(R140:R141)</f>
      </c>
      <c r="S142" s="265">
        <f>SUM(S140:S141)</f>
      </c>
      <c r="T142" s="265">
        <f>SUM(T140:T141)</f>
      </c>
      <c r="U142" s="265">
        <f>SUM(U140:U141)</f>
      </c>
      <c r="V142" s="265">
        <f>SUM(V140:V141)</f>
      </c>
    </row>
    <row r="143">
      <c r="A143" s="242"/>
      <c r="B143" s="274" t="s">
        <v>185</v>
      </c>
      <c r="C143" s="274"/>
      <c r="D143" s="275">
        <f>D139+D142</f>
      </c>
      <c r="E143" s="275">
        <f>E139+E142</f>
      </c>
      <c r="F143" s="275">
        <f>F139+F142</f>
      </c>
      <c r="G143" s="275">
        <f>G139+G142</f>
      </c>
      <c r="H143" s="276">
        <f>H139+H142</f>
      </c>
      <c r="I143" s="275">
        <f>I139+I142</f>
      </c>
      <c r="J143" s="277">
        <f t="shared" si="210"/>
      </c>
      <c r="K143" s="277">
        <f t="shared" si="94"/>
      </c>
      <c r="L143" s="278">
        <f t="shared" si="124"/>
      </c>
      <c r="M143" s="279">
        <f t="shared" si="12"/>
      </c>
      <c r="N143" s="279">
        <f t="shared" si="54"/>
      </c>
      <c r="O143" s="277">
        <f t="shared" si="240"/>
      </c>
      <c r="P143" s="280"/>
      <c r="Q143" s="280"/>
      <c r="R143" s="276">
        <f>R139+R142</f>
      </c>
      <c r="S143" s="276">
        <f>S139+S142</f>
      </c>
      <c r="T143" s="276">
        <f>T139+T142</f>
      </c>
      <c r="U143" s="276">
        <f>U139+U142</f>
      </c>
      <c r="V143" s="276">
        <f>V139+V142</f>
      </c>
    </row>
    <row r="144">
      <c r="A144" s="229" t="s">
        <v>148</v>
      </c>
      <c r="B144" s="229"/>
      <c r="C144" s="229"/>
      <c r="D144" s="230" t="s">
        <v>149</v>
      </c>
      <c r="E144" s="230"/>
      <c r="F144" s="230"/>
      <c r="G144" s="230"/>
      <c r="H144" s="230"/>
      <c r="I144" s="230"/>
      <c r="J144" s="230"/>
      <c r="K144" s="230"/>
      <c r="L144" s="230"/>
      <c r="M144" s="231" t="s">
        <v>150</v>
      </c>
      <c r="N144" s="231"/>
      <c r="O144" s="231"/>
      <c r="P144" s="231"/>
      <c r="Q144" s="231"/>
      <c r="R144" s="232" t="s">
        <v>151</v>
      </c>
      <c r="S144" s="232"/>
      <c r="T144" s="232"/>
      <c r="U144" s="232"/>
      <c r="V144" s="232"/>
    </row>
    <row r="145">
      <c r="A145" s="233" t="s">
        <v>152</v>
      </c>
      <c r="B145" s="233" t="s">
        <v>153</v>
      </c>
      <c r="C145" s="233" t="s">
        <v>154</v>
      </c>
      <c r="D145" s="234" t="s">
        <v>155</v>
      </c>
      <c r="E145" s="281" t="s">
        <v>156</v>
      </c>
      <c r="F145" s="234" t="s">
        <v>157</v>
      </c>
      <c r="G145" s="234" t="s">
        <v>158</v>
      </c>
      <c r="H145" s="236" t="s">
        <v>159</v>
      </c>
      <c r="I145" s="234" t="s">
        <v>160</v>
      </c>
      <c r="J145" s="237" t="s">
        <v>161</v>
      </c>
      <c r="K145" s="238" t="s">
        <v>162</v>
      </c>
      <c r="L145" s="239" t="s">
        <v>163</v>
      </c>
      <c r="M145" s="240" t="s">
        <v>164</v>
      </c>
      <c r="N145" s="240" t="s">
        <v>165</v>
      </c>
      <c r="O145" s="240" t="s">
        <v>166</v>
      </c>
      <c r="P145" s="231" t="s">
        <v>167</v>
      </c>
      <c r="Q145" s="231" t="s">
        <v>168</v>
      </c>
      <c r="R145" s="232" t="s">
        <v>169</v>
      </c>
      <c r="S145" s="232" t="s">
        <v>170</v>
      </c>
      <c r="T145" s="232" t="s">
        <v>171</v>
      </c>
      <c r="U145" s="241" t="s">
        <v>172</v>
      </c>
      <c r="V145" s="232" t="s">
        <v>173</v>
      </c>
    </row>
    <row r="146">
      <c r="A146" s="242">
        <v>46279</v>
      </c>
      <c r="B146" s="243" t="s">
        <v>174</v>
      </c>
      <c r="C146" s="261" t="s">
        <v>188</v>
      </c>
      <c r="D146" s="259">
        <f t="shared" ref="D146:D149" si="167">SUM(E146:G146)</f>
      </c>
      <c r="E146" s="246">
        <v>445.45</v>
      </c>
      <c r="F146" s="246">
        <v>1627.75</v>
      </c>
      <c r="G146" s="246">
        <v>0</v>
      </c>
      <c r="H146" s="247">
        <v>2</v>
      </c>
      <c r="I146" s="246">
        <v>1805.28</v>
      </c>
      <c r="J146" s="248">
        <f t="shared" ref="J146:J155" si="211">I146/D146</f>
      </c>
      <c r="K146" s="248">
        <f t="shared" ref="K146:K155" si="95">D146/H146</f>
      </c>
      <c r="L146" s="249">
        <f t="shared" ref="L146:L155" si="125">I146/H146</f>
      </c>
      <c r="M146" s="250">
        <f t="shared" ref="M146:M155" si="13">S146/R146</f>
      </c>
      <c r="N146" s="251">
        <f t="shared" ref="N146:N149" si="55">H146/(T146+H146)</f>
      </c>
      <c r="O146" s="252">
        <f t="shared" ref="O146:O149" si="283">(V146*1000)/D146</f>
      </c>
      <c r="P146" s="253" t="s">
        <v>176</v>
      </c>
      <c r="Q146" s="254" t="s">
        <v>186</v>
      </c>
      <c r="R146" s="255">
        <v>12753</v>
      </c>
      <c r="S146" s="255">
        <v>710</v>
      </c>
      <c r="T146" s="256">
        <v>3</v>
      </c>
      <c r="U146" s="256">
        <v>1</v>
      </c>
      <c r="V146" s="256">
        <v>24</v>
      </c>
    </row>
    <row r="147">
      <c r="A147" s="242"/>
      <c r="B147" s="257" t="s">
        <v>174</v>
      </c>
      <c r="C147" s="258" t="s">
        <v>175</v>
      </c>
      <c r="D147" s="259">
        <f t="shared" si="167"/>
      </c>
      <c r="E147" s="246">
        <v>319.25</v>
      </c>
      <c r="F147" s="246">
        <v>960.31</v>
      </c>
      <c r="G147" s="246">
        <v>0</v>
      </c>
      <c r="H147" s="247">
        <v>8</v>
      </c>
      <c r="I147" s="246">
        <v>3719.4800000000005</v>
      </c>
      <c r="J147" s="248">
        <f t="shared" si="211"/>
      </c>
      <c r="K147" s="248">
        <f t="shared" si="95"/>
      </c>
      <c r="L147" s="249">
        <f t="shared" si="125"/>
      </c>
      <c r="M147" s="250">
        <f t="shared" si="13"/>
      </c>
      <c r="N147" s="251">
        <f t="shared" si="55"/>
      </c>
      <c r="O147" s="252">
        <f t="shared" si="283"/>
      </c>
      <c r="P147" s="253" t="s">
        <v>176</v>
      </c>
      <c r="Q147" s="254" t="s">
        <v>186</v>
      </c>
      <c r="R147" s="255">
        <v>9229</v>
      </c>
      <c r="S147" s="255">
        <v>552</v>
      </c>
      <c r="T147" s="255">
        <v>7</v>
      </c>
      <c r="U147" s="256">
        <v>0</v>
      </c>
      <c r="V147" s="256">
        <v>17</v>
      </c>
    </row>
    <row r="148">
      <c r="A148" s="242"/>
      <c r="B148" s="243" t="s">
        <v>174</v>
      </c>
      <c r="C148" s="260" t="s">
        <v>178</v>
      </c>
      <c r="D148" s="245">
        <f t="shared" si="167"/>
      </c>
      <c r="E148" s="246">
        <v>396.51</v>
      </c>
      <c r="F148" s="261">
        <v>1813.99</v>
      </c>
      <c r="G148" s="261">
        <v>0</v>
      </c>
      <c r="H148" s="262">
        <v>8</v>
      </c>
      <c r="I148" s="261">
        <v>5935.74</v>
      </c>
      <c r="J148" s="248">
        <f t="shared" si="211"/>
      </c>
      <c r="K148" s="248">
        <f t="shared" si="95"/>
      </c>
      <c r="L148" s="249">
        <f t="shared" si="125"/>
      </c>
      <c r="M148" s="250">
        <f t="shared" si="13"/>
      </c>
      <c r="N148" s="251">
        <f t="shared" si="55"/>
      </c>
      <c r="O148" s="252">
        <f t="shared" si="283"/>
      </c>
      <c r="P148" s="253" t="s">
        <v>176</v>
      </c>
      <c r="Q148" s="254" t="s">
        <v>186</v>
      </c>
      <c r="R148" s="255">
        <v>14732</v>
      </c>
      <c r="S148" s="255">
        <v>793</v>
      </c>
      <c r="T148" s="255">
        <v>8</v>
      </c>
      <c r="U148" s="256">
        <v>1</v>
      </c>
      <c r="V148" s="256">
        <v>26</v>
      </c>
    </row>
    <row r="149">
      <c r="A149" s="242"/>
      <c r="B149" s="243" t="s">
        <v>174</v>
      </c>
      <c r="C149" s="246" t="s">
        <v>179</v>
      </c>
      <c r="D149" s="245">
        <f t="shared" si="167"/>
      </c>
      <c r="E149" s="246">
        <v>913.45</v>
      </c>
      <c r="F149" s="261">
        <v>4768.17</v>
      </c>
      <c r="G149" s="261">
        <v>0</v>
      </c>
      <c r="H149" s="262">
        <v>26</v>
      </c>
      <c r="I149" s="261">
        <v>21147.52</v>
      </c>
      <c r="J149" s="248">
        <f t="shared" si="211"/>
      </c>
      <c r="K149" s="248">
        <f t="shared" si="95"/>
      </c>
      <c r="L149" s="249">
        <f t="shared" si="125"/>
      </c>
      <c r="M149" s="250">
        <f t="shared" si="13"/>
      </c>
      <c r="N149" s="251">
        <f t="shared" si="55"/>
      </c>
      <c r="O149" s="252">
        <f t="shared" si="283"/>
      </c>
      <c r="P149" s="253" t="s">
        <v>176</v>
      </c>
      <c r="Q149" s="254" t="s">
        <v>186</v>
      </c>
      <c r="R149" s="255">
        <v>37763</v>
      </c>
      <c r="S149" s="255">
        <v>1528</v>
      </c>
      <c r="T149" s="255">
        <v>20</v>
      </c>
      <c r="U149" s="256">
        <v>1</v>
      </c>
      <c r="V149" s="256">
        <v>50</v>
      </c>
    </row>
    <row r="150">
      <c r="A150" s="242"/>
      <c r="B150" s="263" t="s">
        <v>181</v>
      </c>
      <c r="C150" s="263"/>
      <c r="D150" s="264">
        <f>SUM(D146:D149)</f>
      </c>
      <c r="E150" s="264">
        <f>SUM(E146:E149)</f>
      </c>
      <c r="F150" s="264">
        <f>SUM(F146:F149)</f>
      </c>
      <c r="G150" s="264">
        <f>SUM(G146:G149)</f>
      </c>
      <c r="H150" s="265">
        <f>SUM(H146:H149)</f>
      </c>
      <c r="I150" s="264">
        <f>SUM(I146:I149)</f>
      </c>
      <c r="J150" s="266">
        <f t="shared" si="211"/>
      </c>
      <c r="K150" s="267">
        <f t="shared" si="95"/>
      </c>
      <c r="L150" s="268">
        <f t="shared" si="125"/>
      </c>
      <c r="M150" s="269">
        <f t="shared" si="13"/>
      </c>
      <c r="N150" s="269">
        <f>H150/T150</f>
      </c>
      <c r="O150" s="270">
        <f>(U150*1000)/D150</f>
      </c>
      <c r="P150" s="270"/>
      <c r="Q150" s="270"/>
      <c r="R150" s="265">
        <f>SUM(R146:R149)</f>
      </c>
      <c r="S150" s="265">
        <f>SUM(S146:S149)</f>
      </c>
      <c r="T150" s="265">
        <f>SUM(T146:T149)</f>
      </c>
      <c r="U150" s="265">
        <f>SUM(U146:U149)</f>
      </c>
      <c r="V150" s="265">
        <f>SUM(V146:V149)</f>
      </c>
    </row>
    <row r="151">
      <c r="A151" s="242"/>
      <c r="B151" s="271" t="s">
        <v>190</v>
      </c>
      <c r="C151" s="246" t="s">
        <v>180</v>
      </c>
      <c r="D151" s="245">
        <f t="shared" ref="D151:D153" si="168">SUM(E151:G151)</f>
      </c>
      <c r="E151" s="246">
        <v>1002.04</v>
      </c>
      <c r="F151" s="261">
        <v>1946.31</v>
      </c>
      <c r="G151" s="261">
        <v>0</v>
      </c>
      <c r="H151" s="262">
        <v>3</v>
      </c>
      <c r="I151" s="261">
        <v>688.9799999999996</v>
      </c>
      <c r="J151" s="248">
        <f t="shared" si="211"/>
      </c>
      <c r="K151" s="248">
        <f t="shared" si="95"/>
      </c>
      <c r="L151" s="249">
        <f t="shared" si="125"/>
      </c>
      <c r="M151" s="250">
        <f t="shared" si="13"/>
      </c>
      <c r="N151" s="251">
        <f t="shared" ref="N151:N155" si="56">H151/(T151+H151)</f>
      </c>
      <c r="O151" s="252">
        <f t="shared" ref="O151:O153" si="284">(V151*1000)/D151</f>
      </c>
      <c r="P151" s="253" t="s">
        <v>176</v>
      </c>
      <c r="Q151" s="254" t="s">
        <v>186</v>
      </c>
      <c r="R151" s="255">
        <v>27712</v>
      </c>
      <c r="S151" s="255">
        <v>1055</v>
      </c>
      <c r="T151" s="255">
        <v>8</v>
      </c>
      <c r="U151" s="256">
        <v>1</v>
      </c>
      <c r="V151" s="256">
        <v>24</v>
      </c>
    </row>
    <row r="152">
      <c r="A152" s="242"/>
      <c r="B152" s="271" t="s">
        <v>190</v>
      </c>
      <c r="C152" s="245" t="s">
        <v>183</v>
      </c>
      <c r="D152" s="245">
        <f t="shared" si="168"/>
      </c>
      <c r="E152" s="246">
        <v>827.87</v>
      </c>
      <c r="F152" s="246">
        <v>2377.06</v>
      </c>
      <c r="G152" s="261">
        <v>0</v>
      </c>
      <c r="H152" s="247">
        <v>10</v>
      </c>
      <c r="I152" s="246">
        <v>9749.080000000002</v>
      </c>
      <c r="J152" s="248">
        <f t="shared" si="211"/>
      </c>
      <c r="K152" s="248">
        <f t="shared" si="95"/>
      </c>
      <c r="L152" s="249">
        <f t="shared" si="125"/>
      </c>
      <c r="M152" s="250">
        <f t="shared" si="13"/>
      </c>
      <c r="N152" s="251">
        <f t="shared" si="56"/>
      </c>
      <c r="O152" s="252">
        <f t="shared" si="284"/>
      </c>
      <c r="P152" s="253" t="s">
        <v>176</v>
      </c>
      <c r="Q152" s="254" t="s">
        <v>186</v>
      </c>
      <c r="R152" s="255">
        <v>27592</v>
      </c>
      <c r="S152" s="255">
        <v>1055</v>
      </c>
      <c r="T152" s="255">
        <v>9</v>
      </c>
      <c r="U152" s="256">
        <v>0</v>
      </c>
      <c r="V152" s="256">
        <v>22</v>
      </c>
    </row>
    <row customHeight="true" ht="16.666666666666668" r="153">
      <c r="A153" s="242"/>
      <c r="B153" s="271" t="s">
        <v>190</v>
      </c>
      <c r="C153" s="246" t="s">
        <v>184</v>
      </c>
      <c r="D153" s="245">
        <f t="shared" si="168"/>
      </c>
      <c r="E153" s="246">
        <v>387.3</v>
      </c>
      <c r="F153" s="246">
        <v>2304.8</v>
      </c>
      <c r="G153" s="261">
        <v>0</v>
      </c>
      <c r="H153" s="282">
        <v>1</v>
      </c>
      <c r="I153" s="245">
        <v>236.63999999999942</v>
      </c>
      <c r="J153" s="248">
        <f t="shared" si="211"/>
      </c>
      <c r="K153" s="248">
        <f t="shared" si="95"/>
      </c>
      <c r="L153" s="249">
        <f t="shared" si="125"/>
      </c>
      <c r="M153" s="250">
        <f t="shared" si="13"/>
      </c>
      <c r="N153" s="251">
        <f t="shared" si="56"/>
      </c>
      <c r="O153" s="252">
        <f t="shared" si="284"/>
      </c>
      <c r="P153" s="253" t="s">
        <v>176</v>
      </c>
      <c r="Q153" s="283" t="s">
        <v>186</v>
      </c>
      <c r="R153" s="255">
        <v>21004</v>
      </c>
      <c r="S153" s="255">
        <v>751</v>
      </c>
      <c r="T153" s="255">
        <v>4</v>
      </c>
      <c r="U153" s="256">
        <v>0</v>
      </c>
      <c r="V153" s="256">
        <v>11</v>
      </c>
    </row>
    <row r="154">
      <c r="A154" s="242"/>
      <c r="B154" s="263" t="s">
        <v>181</v>
      </c>
      <c r="C154" s="263"/>
      <c r="D154" s="264">
        <f>SUM(D151:D153)</f>
      </c>
      <c r="E154" s="264">
        <f>SUM(E151:E153)</f>
      </c>
      <c r="F154" s="264">
        <f>SUM(F151:F153)</f>
      </c>
      <c r="G154" s="264">
        <f>SUM(G151:G153)</f>
      </c>
      <c r="H154" s="265">
        <f>SUM(H151:H153)</f>
      </c>
      <c r="I154" s="264">
        <f>SUM(I151:I153)</f>
      </c>
      <c r="J154" s="273">
        <f t="shared" si="211"/>
      </c>
      <c r="K154" s="267">
        <f t="shared" si="95"/>
      </c>
      <c r="L154" s="268">
        <f t="shared" si="125"/>
      </c>
      <c r="M154" s="269">
        <f t="shared" si="13"/>
      </c>
      <c r="N154" s="269">
        <f t="shared" si="56"/>
      </c>
      <c r="O154" s="270">
        <f t="shared" ref="O154:O155" si="241">(U154*1000)/D154</f>
      </c>
      <c r="P154" s="270"/>
      <c r="Q154" s="270"/>
      <c r="R154" s="265">
        <f>SUM(R151:R153)</f>
      </c>
      <c r="S154" s="265">
        <f>SUM(S151:S153)</f>
      </c>
      <c r="T154" s="265">
        <f>SUM(T151:T153)</f>
      </c>
      <c r="U154" s="265">
        <f>SUM(U151:U153)</f>
      </c>
      <c r="V154" s="265">
        <f>SUM(V151:V153)</f>
      </c>
    </row>
    <row r="155">
      <c r="A155" s="242"/>
      <c r="B155" s="274" t="s">
        <v>185</v>
      </c>
      <c r="C155" s="274"/>
      <c r="D155" s="275">
        <f>D150+D154</f>
      </c>
      <c r="E155" s="275">
        <f>E150+E154</f>
      </c>
      <c r="F155" s="275">
        <f>F150+F154</f>
      </c>
      <c r="G155" s="275">
        <f>G150+G154</f>
      </c>
      <c r="H155" s="276">
        <f>H150+H154</f>
      </c>
      <c r="I155" s="275">
        <f>I150+I154</f>
      </c>
      <c r="J155" s="277">
        <f t="shared" si="211"/>
      </c>
      <c r="K155" s="277">
        <f t="shared" si="95"/>
      </c>
      <c r="L155" s="278">
        <f t="shared" si="125"/>
      </c>
      <c r="M155" s="279">
        <f t="shared" si="13"/>
      </c>
      <c r="N155" s="279">
        <f t="shared" si="56"/>
      </c>
      <c r="O155" s="277">
        <f t="shared" si="241"/>
      </c>
      <c r="P155" s="280"/>
      <c r="Q155" s="280"/>
      <c r="R155" s="276">
        <f>R150+R154</f>
      </c>
      <c r="S155" s="276">
        <f>S150+S154</f>
      </c>
      <c r="T155" s="276">
        <f>T150+T154</f>
      </c>
      <c r="U155" s="276">
        <f>U150+U154</f>
      </c>
      <c r="V155" s="276">
        <f>V150+V154</f>
      </c>
    </row>
    <row r="156">
      <c r="A156" s="229" t="s">
        <v>148</v>
      </c>
      <c r="B156" s="229"/>
      <c r="C156" s="229"/>
      <c r="D156" s="230" t="s">
        <v>149</v>
      </c>
      <c r="E156" s="230"/>
      <c r="F156" s="230"/>
      <c r="G156" s="230"/>
      <c r="H156" s="230"/>
      <c r="I156" s="230"/>
      <c r="J156" s="230"/>
      <c r="K156" s="230"/>
      <c r="L156" s="230"/>
      <c r="M156" s="231" t="s">
        <v>150</v>
      </c>
      <c r="N156" s="231"/>
      <c r="O156" s="231"/>
      <c r="P156" s="231"/>
      <c r="Q156" s="231"/>
      <c r="R156" s="232" t="s">
        <v>151</v>
      </c>
      <c r="S156" s="232"/>
      <c r="T156" s="232"/>
      <c r="U156" s="232"/>
      <c r="V156" s="232"/>
    </row>
    <row r="157">
      <c r="A157" s="233" t="s">
        <v>152</v>
      </c>
      <c r="B157" s="233" t="s">
        <v>153</v>
      </c>
      <c r="C157" s="233" t="s">
        <v>154</v>
      </c>
      <c r="D157" s="234" t="s">
        <v>155</v>
      </c>
      <c r="E157" s="281" t="s">
        <v>156</v>
      </c>
      <c r="F157" s="234" t="s">
        <v>157</v>
      </c>
      <c r="G157" s="234" t="s">
        <v>158</v>
      </c>
      <c r="H157" s="236" t="s">
        <v>159</v>
      </c>
      <c r="I157" s="234" t="s">
        <v>160</v>
      </c>
      <c r="J157" s="237" t="s">
        <v>161</v>
      </c>
      <c r="K157" s="238" t="s">
        <v>162</v>
      </c>
      <c r="L157" s="239" t="s">
        <v>163</v>
      </c>
      <c r="M157" s="240" t="s">
        <v>164</v>
      </c>
      <c r="N157" s="240" t="s">
        <v>165</v>
      </c>
      <c r="O157" s="240" t="s">
        <v>166</v>
      </c>
      <c r="P157" s="231" t="s">
        <v>167</v>
      </c>
      <c r="Q157" s="231" t="s">
        <v>168</v>
      </c>
      <c r="R157" s="232" t="s">
        <v>169</v>
      </c>
      <c r="S157" s="232" t="s">
        <v>170</v>
      </c>
      <c r="T157" s="232" t="s">
        <v>171</v>
      </c>
      <c r="U157" s="241" t="s">
        <v>172</v>
      </c>
      <c r="V157" s="232" t="s">
        <v>173</v>
      </c>
    </row>
    <row r="158">
      <c r="A158" s="242">
        <v>46280</v>
      </c>
      <c r="B158" s="271" t="s">
        <v>182</v>
      </c>
      <c r="C158" s="261" t="s">
        <v>188</v>
      </c>
      <c r="D158" s="259">
        <f t="shared" ref="D158:D161" si="169">SUM(E158:G158)</f>
      </c>
      <c r="E158" s="246">
        <v>548.45</v>
      </c>
      <c r="F158" s="246">
        <v>2011</v>
      </c>
      <c r="G158" s="246">
        <v>0</v>
      </c>
      <c r="H158" s="247">
        <v>4</v>
      </c>
      <c r="I158" s="246">
        <v>1868.82</v>
      </c>
      <c r="J158" s="248">
        <f t="shared" ref="J158:J167" si="212">I158/D158</f>
      </c>
      <c r="K158" s="248">
        <f t="shared" ref="K158:K167" si="96">D158/H158</f>
      </c>
      <c r="L158" s="249">
        <f t="shared" ref="L158:L167" si="126">I158/H158</f>
      </c>
      <c r="M158" s="250">
        <f t="shared" ref="M158:M167" si="14">S158/R158</f>
      </c>
      <c r="N158" s="251">
        <f t="shared" ref="N158:N161" si="57">H158/(T158+H158)</f>
      </c>
      <c r="O158" s="252">
        <f t="shared" ref="O158:O161" si="285">(V158*1000)/D158</f>
      </c>
      <c r="P158" s="253" t="s">
        <v>176</v>
      </c>
      <c r="Q158" s="254" t="s">
        <v>186</v>
      </c>
      <c r="R158" s="255">
        <v>14812</v>
      </c>
      <c r="S158" s="255">
        <v>761</v>
      </c>
      <c r="T158" s="256">
        <v>6</v>
      </c>
      <c r="U158" s="256">
        <v>0</v>
      </c>
      <c r="V158" s="256">
        <v>30</v>
      </c>
    </row>
    <row r="159">
      <c r="A159" s="242"/>
      <c r="B159" s="271" t="s">
        <v>182</v>
      </c>
      <c r="C159" s="258" t="s">
        <v>175</v>
      </c>
      <c r="D159" s="259">
        <f t="shared" si="169"/>
      </c>
      <c r="E159" s="246">
        <v>366.91</v>
      </c>
      <c r="F159" s="246">
        <v>1546.37</v>
      </c>
      <c r="G159" s="246">
        <v>0</v>
      </c>
      <c r="H159" s="247">
        <v>4</v>
      </c>
      <c r="I159" s="246">
        <v>2278.5600000000004</v>
      </c>
      <c r="J159" s="248">
        <f t="shared" si="212"/>
      </c>
      <c r="K159" s="248">
        <f t="shared" si="96"/>
      </c>
      <c r="L159" s="249">
        <f t="shared" si="126"/>
      </c>
      <c r="M159" s="250">
        <f t="shared" si="14"/>
      </c>
      <c r="N159" s="251">
        <f t="shared" si="57"/>
      </c>
      <c r="O159" s="252">
        <f t="shared" si="285"/>
      </c>
      <c r="P159" s="253" t="s">
        <v>176</v>
      </c>
      <c r="Q159" s="254" t="s">
        <v>186</v>
      </c>
      <c r="R159" s="255">
        <v>17048</v>
      </c>
      <c r="S159" s="255">
        <v>625</v>
      </c>
      <c r="T159" s="255">
        <v>3</v>
      </c>
      <c r="U159" s="256">
        <v>0</v>
      </c>
      <c r="V159" s="256">
        <v>21</v>
      </c>
    </row>
    <row r="160">
      <c r="A160" s="242"/>
      <c r="B160" s="271" t="s">
        <v>182</v>
      </c>
      <c r="C160" s="260" t="s">
        <v>178</v>
      </c>
      <c r="D160" s="245">
        <f t="shared" si="169"/>
      </c>
      <c r="E160" s="246">
        <v>374.76</v>
      </c>
      <c r="F160" s="261">
        <v>1542.85</v>
      </c>
      <c r="G160" s="261">
        <v>0</v>
      </c>
      <c r="H160" s="262">
        <v>5</v>
      </c>
      <c r="I160" s="261">
        <v>3418.7200000000003</v>
      </c>
      <c r="J160" s="248">
        <f t="shared" si="212"/>
      </c>
      <c r="K160" s="248">
        <f t="shared" si="96"/>
      </c>
      <c r="L160" s="249">
        <f t="shared" si="126"/>
      </c>
      <c r="M160" s="250">
        <f t="shared" si="14"/>
      </c>
      <c r="N160" s="251">
        <f t="shared" si="57"/>
      </c>
      <c r="O160" s="252">
        <f t="shared" si="285"/>
      </c>
      <c r="P160" s="253" t="s">
        <v>176</v>
      </c>
      <c r="Q160" s="254" t="s">
        <v>186</v>
      </c>
      <c r="R160" s="255">
        <v>14372</v>
      </c>
      <c r="S160" s="255">
        <v>501</v>
      </c>
      <c r="T160" s="255">
        <v>4</v>
      </c>
      <c r="U160" s="256">
        <v>0</v>
      </c>
      <c r="V160" s="256">
        <v>15</v>
      </c>
    </row>
    <row r="161">
      <c r="A161" s="242"/>
      <c r="B161" s="271" t="s">
        <v>182</v>
      </c>
      <c r="C161" s="246" t="s">
        <v>179</v>
      </c>
      <c r="D161" s="245">
        <f t="shared" si="169"/>
      </c>
      <c r="E161" s="246">
        <v>306.52</v>
      </c>
      <c r="F161" s="261">
        <v>1435.98</v>
      </c>
      <c r="G161" s="261">
        <v>0</v>
      </c>
      <c r="H161" s="262">
        <v>2</v>
      </c>
      <c r="I161" s="261">
        <v>1416.4799999999996</v>
      </c>
      <c r="J161" s="248">
        <f t="shared" si="212"/>
      </c>
      <c r="K161" s="248">
        <f t="shared" si="96"/>
      </c>
      <c r="L161" s="249">
        <f t="shared" si="126"/>
      </c>
      <c r="M161" s="250">
        <f t="shared" si="14"/>
      </c>
      <c r="N161" s="251">
        <f t="shared" si="57"/>
      </c>
      <c r="O161" s="252">
        <f t="shared" si="285"/>
      </c>
      <c r="P161" s="253" t="s">
        <v>176</v>
      </c>
      <c r="Q161" s="254" t="s">
        <v>186</v>
      </c>
      <c r="R161" s="255">
        <v>14452</v>
      </c>
      <c r="S161" s="255">
        <v>524</v>
      </c>
      <c r="T161" s="255">
        <v>2</v>
      </c>
      <c r="U161" s="256">
        <v>1</v>
      </c>
      <c r="V161" s="256">
        <v>14</v>
      </c>
    </row>
    <row r="162">
      <c r="A162" s="242"/>
      <c r="B162" s="263" t="s">
        <v>181</v>
      </c>
      <c r="C162" s="263"/>
      <c r="D162" s="264">
        <f>SUM(D158:D161)</f>
      </c>
      <c r="E162" s="264">
        <f>SUM(E158:E161)</f>
      </c>
      <c r="F162" s="264">
        <f>SUM(F158:F161)</f>
      </c>
      <c r="G162" s="264">
        <f>SUM(G158:G161)</f>
      </c>
      <c r="H162" s="265">
        <f>SUM(H158:H161)</f>
      </c>
      <c r="I162" s="264">
        <f>SUM(I158:I161)</f>
      </c>
      <c r="J162" s="266">
        <f t="shared" si="212"/>
      </c>
      <c r="K162" s="267">
        <f t="shared" si="96"/>
      </c>
      <c r="L162" s="268">
        <f t="shared" si="126"/>
      </c>
      <c r="M162" s="269">
        <f t="shared" si="14"/>
      </c>
      <c r="N162" s="269">
        <f>H162/T162</f>
      </c>
      <c r="O162" s="270">
        <f>(U162*1000)/D162</f>
      </c>
      <c r="P162" s="270"/>
      <c r="Q162" s="270"/>
      <c r="R162" s="265">
        <f>SUM(R158:R161)</f>
      </c>
      <c r="S162" s="265">
        <f>SUM(S158:S161)</f>
      </c>
      <c r="T162" s="265">
        <f>SUM(T158:T161)</f>
      </c>
      <c r="U162" s="265">
        <f>SUM(U158:U161)</f>
      </c>
      <c r="V162" s="265">
        <f>SUM(V158:V161)</f>
      </c>
    </row>
    <row r="163">
      <c r="A163" s="242"/>
      <c r="B163" s="271" t="s">
        <v>174</v>
      </c>
      <c r="C163" s="246" t="s">
        <v>180</v>
      </c>
      <c r="D163" s="245">
        <f t="shared" ref="D163:D165" si="170">SUM(E163:G163)</f>
      </c>
      <c r="E163" s="246">
        <v>181.68</v>
      </c>
      <c r="F163" s="261">
        <v>701.79</v>
      </c>
      <c r="G163" s="261">
        <v>0</v>
      </c>
      <c r="H163" s="262">
        <v>1</v>
      </c>
      <c r="I163" s="261">
        <v>236.63999999999942</v>
      </c>
      <c r="J163" s="248">
        <f t="shared" si="212"/>
      </c>
      <c r="K163" s="248">
        <f t="shared" si="96"/>
      </c>
      <c r="L163" s="249">
        <f t="shared" si="126"/>
      </c>
      <c r="M163" s="250">
        <f t="shared" si="14"/>
      </c>
      <c r="N163" s="251">
        <f t="shared" ref="N163:N167" si="58">H163/(T163+H163)</f>
      </c>
      <c r="O163" s="252">
        <f t="shared" ref="O163:O165" si="286">(V163*1000)/D163</f>
      </c>
      <c r="P163" s="253" t="s">
        <v>176</v>
      </c>
      <c r="Q163" s="254" t="s">
        <v>186</v>
      </c>
      <c r="R163" s="255">
        <v>7684</v>
      </c>
      <c r="S163" s="255">
        <v>276</v>
      </c>
      <c r="T163" s="255">
        <v>1</v>
      </c>
      <c r="U163" s="256">
        <v>0</v>
      </c>
      <c r="V163" s="256">
        <v>11</v>
      </c>
    </row>
    <row r="164">
      <c r="A164" s="242"/>
      <c r="B164" s="271" t="s">
        <v>174</v>
      </c>
      <c r="C164" s="245" t="s">
        <v>183</v>
      </c>
      <c r="D164" s="245">
        <f t="shared" si="170"/>
      </c>
      <c r="E164" s="246">
        <v>211.95</v>
      </c>
      <c r="F164" s="246">
        <v>913.68</v>
      </c>
      <c r="G164" s="261">
        <v>0</v>
      </c>
      <c r="H164" s="247">
        <v>2</v>
      </c>
      <c r="I164" s="246">
        <v>1421.2800000000007</v>
      </c>
      <c r="J164" s="248">
        <f t="shared" si="212"/>
      </c>
      <c r="K164" s="248">
        <f t="shared" si="96"/>
      </c>
      <c r="L164" s="249">
        <f t="shared" si="126"/>
      </c>
      <c r="M164" s="250">
        <f t="shared" si="14"/>
      </c>
      <c r="N164" s="251">
        <f t="shared" si="58"/>
      </c>
      <c r="O164" s="252">
        <f t="shared" si="286"/>
      </c>
      <c r="P164" s="253" t="s">
        <v>176</v>
      </c>
      <c r="Q164" s="254" t="s">
        <v>186</v>
      </c>
      <c r="R164" s="255">
        <v>7406</v>
      </c>
      <c r="S164" s="255">
        <v>344</v>
      </c>
      <c r="T164" s="255">
        <v>2</v>
      </c>
      <c r="U164" s="256">
        <v>0</v>
      </c>
      <c r="V164" s="256">
        <v>15</v>
      </c>
    </row>
    <row r="165">
      <c r="A165" s="242"/>
      <c r="B165" s="271" t="s">
        <v>174</v>
      </c>
      <c r="C165" s="246" t="s">
        <v>191</v>
      </c>
      <c r="D165" s="245">
        <f t="shared" si="170"/>
      </c>
      <c r="E165" s="246">
        <v>57.03</v>
      </c>
      <c r="F165" s="246">
        <v>218.77</v>
      </c>
      <c r="G165" s="261">
        <v>0</v>
      </c>
      <c r="H165" s="282">
        <v>1</v>
      </c>
      <c r="I165" s="245">
        <v>236.63999999999942</v>
      </c>
      <c r="J165" s="248">
        <f t="shared" si="212"/>
      </c>
      <c r="K165" s="248">
        <f t="shared" si="96"/>
      </c>
      <c r="L165" s="249">
        <f t="shared" si="126"/>
      </c>
      <c r="M165" s="250">
        <f t="shared" si="14"/>
      </c>
      <c r="N165" s="251">
        <f t="shared" si="58"/>
      </c>
      <c r="O165" s="252">
        <f t="shared" si="286"/>
      </c>
      <c r="P165" s="253" t="s">
        <v>176</v>
      </c>
      <c r="Q165" s="283" t="s">
        <v>186</v>
      </c>
      <c r="R165" s="255">
        <v>2175</v>
      </c>
      <c r="S165" s="255">
        <v>112</v>
      </c>
      <c r="T165" s="255">
        <v>0</v>
      </c>
      <c r="U165" s="256">
        <v>0</v>
      </c>
      <c r="V165" s="256">
        <v>5</v>
      </c>
    </row>
    <row r="166">
      <c r="A166" s="242"/>
      <c r="B166" s="263" t="s">
        <v>181</v>
      </c>
      <c r="C166" s="263"/>
      <c r="D166" s="264">
        <f>SUM(D163:D165)</f>
      </c>
      <c r="E166" s="264">
        <f>SUM(E163:E165)</f>
      </c>
      <c r="F166" s="264">
        <f>SUM(F163:F165)</f>
      </c>
      <c r="G166" s="264">
        <f>SUM(G163:G165)</f>
      </c>
      <c r="H166" s="265">
        <f>SUM(H163:H165)</f>
      </c>
      <c r="I166" s="264">
        <f>SUM(I163:I165)</f>
      </c>
      <c r="J166" s="273">
        <f t="shared" si="212"/>
      </c>
      <c r="K166" s="267">
        <f t="shared" si="96"/>
      </c>
      <c r="L166" s="268">
        <f t="shared" si="126"/>
      </c>
      <c r="M166" s="269">
        <f t="shared" si="14"/>
      </c>
      <c r="N166" s="269">
        <f t="shared" si="58"/>
      </c>
      <c r="O166" s="270">
        <f t="shared" ref="O166:O167" si="242">(U166*1000)/D166</f>
      </c>
      <c r="P166" s="270"/>
      <c r="Q166" s="270"/>
      <c r="R166" s="265">
        <f>SUM(R163:R165)</f>
      </c>
      <c r="S166" s="265">
        <f>SUM(S163:S165)</f>
      </c>
      <c r="T166" s="265">
        <f>SUM(T163:T165)</f>
      </c>
      <c r="U166" s="265">
        <f>SUM(U163:U165)</f>
      </c>
      <c r="V166" s="265">
        <f>SUM(V163:V165)</f>
      </c>
    </row>
    <row r="167">
      <c r="A167" s="242"/>
      <c r="B167" s="274" t="s">
        <v>185</v>
      </c>
      <c r="C167" s="274"/>
      <c r="D167" s="275">
        <f>D162+D166</f>
      </c>
      <c r="E167" s="275">
        <f>E162+E166</f>
      </c>
      <c r="F167" s="275">
        <f>F162+F166</f>
      </c>
      <c r="G167" s="275">
        <f>G162+G166</f>
      </c>
      <c r="H167" s="276">
        <f>H162+H166</f>
      </c>
      <c r="I167" s="275">
        <f>I162+I166</f>
      </c>
      <c r="J167" s="277">
        <f t="shared" si="212"/>
      </c>
      <c r="K167" s="277">
        <f t="shared" si="96"/>
      </c>
      <c r="L167" s="278">
        <f t="shared" si="126"/>
      </c>
      <c r="M167" s="279">
        <f t="shared" si="14"/>
      </c>
      <c r="N167" s="279">
        <f t="shared" si="58"/>
      </c>
      <c r="O167" s="277">
        <f t="shared" si="242"/>
      </c>
      <c r="P167" s="280"/>
      <c r="Q167" s="280"/>
      <c r="R167" s="276">
        <f>R162+R166</f>
      </c>
      <c r="S167" s="276">
        <f>S162+S166</f>
      </c>
      <c r="T167" s="276">
        <f>T162+T166</f>
      </c>
      <c r="U167" s="276">
        <f>U162+U166</f>
      </c>
      <c r="V167" s="276">
        <f>V162+V166</f>
      </c>
    </row>
    <row r="168">
      <c r="A168" s="229" t="s">
        <v>148</v>
      </c>
      <c r="B168" s="229"/>
      <c r="C168" s="229"/>
      <c r="D168" s="230" t="s">
        <v>149</v>
      </c>
      <c r="E168" s="230"/>
      <c r="F168" s="230"/>
      <c r="G168" s="230"/>
      <c r="H168" s="230"/>
      <c r="I168" s="230"/>
      <c r="J168" s="230"/>
      <c r="K168" s="230"/>
      <c r="L168" s="230"/>
      <c r="M168" s="231" t="s">
        <v>150</v>
      </c>
      <c r="N168" s="231"/>
      <c r="O168" s="231"/>
      <c r="P168" s="231"/>
      <c r="Q168" s="231"/>
      <c r="R168" s="232" t="s">
        <v>151</v>
      </c>
      <c r="S168" s="232"/>
      <c r="T168" s="232"/>
      <c r="U168" s="232"/>
      <c r="V168" s="232"/>
    </row>
    <row r="169">
      <c r="A169" s="233" t="s">
        <v>152</v>
      </c>
      <c r="B169" s="233" t="s">
        <v>153</v>
      </c>
      <c r="C169" s="233" t="s">
        <v>154</v>
      </c>
      <c r="D169" s="234" t="s">
        <v>155</v>
      </c>
      <c r="E169" s="281" t="s">
        <v>156</v>
      </c>
      <c r="F169" s="234" t="s">
        <v>157</v>
      </c>
      <c r="G169" s="234" t="s">
        <v>158</v>
      </c>
      <c r="H169" s="236" t="s">
        <v>159</v>
      </c>
      <c r="I169" s="234" t="s">
        <v>160</v>
      </c>
      <c r="J169" s="237" t="s">
        <v>161</v>
      </c>
      <c r="K169" s="238" t="s">
        <v>162</v>
      </c>
      <c r="L169" s="239" t="s">
        <v>163</v>
      </c>
      <c r="M169" s="240" t="s">
        <v>164</v>
      </c>
      <c r="N169" s="240" t="s">
        <v>165</v>
      </c>
      <c r="O169" s="240" t="s">
        <v>166</v>
      </c>
      <c r="P169" s="231" t="s">
        <v>167</v>
      </c>
      <c r="Q169" s="231" t="s">
        <v>168</v>
      </c>
      <c r="R169" s="232" t="s">
        <v>169</v>
      </c>
      <c r="S169" s="232" t="s">
        <v>170</v>
      </c>
      <c r="T169" s="232" t="s">
        <v>171</v>
      </c>
      <c r="U169" s="241" t="s">
        <v>172</v>
      </c>
      <c r="V169" s="232" t="s">
        <v>173</v>
      </c>
    </row>
    <row r="170">
      <c r="A170" s="242">
        <v>46281</v>
      </c>
      <c r="B170" s="271" t="s">
        <v>174</v>
      </c>
      <c r="C170" s="261" t="s">
        <v>188</v>
      </c>
      <c r="D170" s="259">
        <f t="shared" ref="D170:D173" si="171">SUM(E170:G170)</f>
      </c>
      <c r="E170" s="246">
        <v>228.44</v>
      </c>
      <c r="F170" s="246">
        <v>1238.74</v>
      </c>
      <c r="G170" s="246">
        <v>0</v>
      </c>
      <c r="H170" s="247">
        <v>4</v>
      </c>
      <c r="I170" s="246">
        <v>3695.76</v>
      </c>
      <c r="J170" s="248">
        <f t="shared" ref="J170:J180" si="213">I170/D170</f>
      </c>
      <c r="K170" s="248">
        <f t="shared" ref="K170:K180" si="97">D170/H170</f>
      </c>
      <c r="L170" s="249">
        <f t="shared" ref="L170:L180" si="127">I170/H170</f>
      </c>
      <c r="M170" s="250">
        <f t="shared" ref="M170:M180" si="15">S170/R170</f>
      </c>
      <c r="N170" s="251">
        <f t="shared" ref="N170:N173" si="59">H170/(T170+H170)</f>
      </c>
      <c r="O170" s="252">
        <f t="shared" ref="O170:O173" si="287">(V170*1000)/D170</f>
      </c>
      <c r="P170" s="253" t="s">
        <v>176</v>
      </c>
      <c r="Q170" s="254" t="s">
        <v>186</v>
      </c>
      <c r="R170" s="255">
        <v>6665</v>
      </c>
      <c r="S170" s="255">
        <v>418</v>
      </c>
      <c r="T170" s="256">
        <v>5</v>
      </c>
      <c r="U170" s="256">
        <v>1</v>
      </c>
      <c r="V170" s="256">
        <v>20</v>
      </c>
    </row>
    <row r="171">
      <c r="A171" s="242"/>
      <c r="B171" s="271" t="s">
        <v>174</v>
      </c>
      <c r="C171" s="258" t="s">
        <v>175</v>
      </c>
      <c r="D171" s="259">
        <f t="shared" si="171"/>
      </c>
      <c r="E171" s="246">
        <v>428.48</v>
      </c>
      <c r="F171" s="246">
        <v>1641.51</v>
      </c>
      <c r="G171" s="246">
        <v>0</v>
      </c>
      <c r="H171" s="247">
        <v>7</v>
      </c>
      <c r="I171" s="246">
        <v>7069.68</v>
      </c>
      <c r="J171" s="248">
        <f t="shared" si="213"/>
      </c>
      <c r="K171" s="248">
        <f t="shared" si="97"/>
      </c>
      <c r="L171" s="249">
        <f t="shared" si="127"/>
      </c>
      <c r="M171" s="250">
        <f t="shared" si="15"/>
      </c>
      <c r="N171" s="251">
        <f t="shared" si="59"/>
      </c>
      <c r="O171" s="252">
        <f t="shared" si="287"/>
      </c>
      <c r="P171" s="253" t="s">
        <v>176</v>
      </c>
      <c r="Q171" s="254" t="s">
        <v>186</v>
      </c>
      <c r="R171" s="255">
        <v>12503</v>
      </c>
      <c r="S171" s="255">
        <v>684</v>
      </c>
      <c r="T171" s="255">
        <v>6</v>
      </c>
      <c r="U171" s="256">
        <v>0</v>
      </c>
      <c r="V171" s="256">
        <v>21</v>
      </c>
    </row>
    <row r="172">
      <c r="A172" s="242"/>
      <c r="B172" s="271" t="s">
        <v>174</v>
      </c>
      <c r="C172" s="260" t="s">
        <v>178</v>
      </c>
      <c r="D172" s="245">
        <f t="shared" si="171"/>
      </c>
      <c r="E172" s="246">
        <v>413.39</v>
      </c>
      <c r="F172" s="261">
        <v>1811.8</v>
      </c>
      <c r="G172" s="261">
        <v>0</v>
      </c>
      <c r="H172" s="262">
        <v>3</v>
      </c>
      <c r="I172" s="261">
        <v>3373.92</v>
      </c>
      <c r="J172" s="248">
        <f t="shared" si="213"/>
      </c>
      <c r="K172" s="248">
        <f t="shared" si="97"/>
      </c>
      <c r="L172" s="249">
        <f t="shared" si="127"/>
      </c>
      <c r="M172" s="250">
        <f t="shared" si="15"/>
      </c>
      <c r="N172" s="251">
        <f t="shared" si="59"/>
      </c>
      <c r="O172" s="252">
        <f t="shared" si="287"/>
      </c>
      <c r="P172" s="253" t="s">
        <v>176</v>
      </c>
      <c r="Q172" s="254" t="s">
        <v>186</v>
      </c>
      <c r="R172" s="255">
        <v>13454</v>
      </c>
      <c r="S172" s="255">
        <v>669</v>
      </c>
      <c r="T172" s="255">
        <v>3</v>
      </c>
      <c r="U172" s="256">
        <v>1</v>
      </c>
      <c r="V172" s="256">
        <v>20</v>
      </c>
    </row>
    <row r="173">
      <c r="A173" s="242"/>
      <c r="B173" s="271" t="s">
        <v>174</v>
      </c>
      <c r="C173" s="246" t="s">
        <v>179</v>
      </c>
      <c r="D173" s="245">
        <f t="shared" si="171"/>
      </c>
      <c r="E173" s="246">
        <v>487.73</v>
      </c>
      <c r="F173" s="261">
        <v>1364.24</v>
      </c>
      <c r="G173" s="261">
        <v>0</v>
      </c>
      <c r="H173" s="262">
        <v>4</v>
      </c>
      <c r="I173" s="261">
        <v>4084.5599999999977</v>
      </c>
      <c r="J173" s="248">
        <f t="shared" si="213"/>
      </c>
      <c r="K173" s="248">
        <f t="shared" si="97"/>
      </c>
      <c r="L173" s="249">
        <f t="shared" si="127"/>
      </c>
      <c r="M173" s="250">
        <f t="shared" si="15"/>
      </c>
      <c r="N173" s="251">
        <f t="shared" si="59"/>
      </c>
      <c r="O173" s="252">
        <f t="shared" si="287"/>
      </c>
      <c r="P173" s="253" t="s">
        <v>176</v>
      </c>
      <c r="Q173" s="254" t="s">
        <v>186</v>
      </c>
      <c r="R173" s="255">
        <v>10490</v>
      </c>
      <c r="S173" s="255">
        <v>608</v>
      </c>
      <c r="T173" s="255">
        <v>2</v>
      </c>
      <c r="U173" s="256">
        <v>0</v>
      </c>
      <c r="V173" s="256">
        <v>10</v>
      </c>
    </row>
    <row r="174">
      <c r="A174" s="242"/>
      <c r="B174" s="263" t="s">
        <v>181</v>
      </c>
      <c r="C174" s="263"/>
      <c r="D174" s="264">
        <f>SUM(D170:D173)</f>
      </c>
      <c r="E174" s="264">
        <f>SUM(E170:E173)</f>
      </c>
      <c r="F174" s="264">
        <f>SUM(F170:F173)</f>
      </c>
      <c r="G174" s="264">
        <f>SUM(G170:G173)</f>
      </c>
      <c r="H174" s="265">
        <f>SUM(H170:H173)</f>
      </c>
      <c r="I174" s="264">
        <f>SUM(I170:I173)</f>
      </c>
      <c r="J174" s="266">
        <f t="shared" si="213"/>
      </c>
      <c r="K174" s="267">
        <f t="shared" si="97"/>
      </c>
      <c r="L174" s="268">
        <f t="shared" si="127"/>
      </c>
      <c r="M174" s="269">
        <f t="shared" si="15"/>
      </c>
      <c r="N174" s="269">
        <f>H174/T174</f>
      </c>
      <c r="O174" s="270">
        <f>(U174*1000)/D174</f>
      </c>
      <c r="P174" s="270"/>
      <c r="Q174" s="270"/>
      <c r="R174" s="265">
        <f>SUM(R170:R173)</f>
      </c>
      <c r="S174" s="265">
        <f>SUM(S170:S173)</f>
      </c>
      <c r="T174" s="265">
        <f>SUM(T170:T173)</f>
      </c>
      <c r="U174" s="265">
        <f>SUM(U170:U173)</f>
      </c>
      <c r="V174" s="265">
        <f>SUM(V170:V173)</f>
      </c>
    </row>
    <row r="175">
      <c r="A175" s="242"/>
      <c r="B175" s="271" t="s">
        <v>192</v>
      </c>
      <c r="C175" s="246" t="s">
        <v>180</v>
      </c>
      <c r="D175" s="245">
        <f t="shared" ref="D175:D178" si="172">SUM(E175:G175)</f>
      </c>
      <c r="E175" s="246">
        <v>640.93</v>
      </c>
      <c r="F175" s="261">
        <v>1042.04</v>
      </c>
      <c r="G175" s="261">
        <v>0</v>
      </c>
      <c r="H175" s="262">
        <v>5</v>
      </c>
      <c r="I175" s="261">
        <v>3826.260000000002</v>
      </c>
      <c r="J175" s="248">
        <f t="shared" si="213"/>
      </c>
      <c r="K175" s="248">
        <f t="shared" si="97"/>
      </c>
      <c r="L175" s="249">
        <f t="shared" si="127"/>
      </c>
      <c r="M175" s="250">
        <f t="shared" si="15"/>
      </c>
      <c r="N175" s="251">
        <f t="shared" ref="N175:N180" si="60">H175/(T175+H175)</f>
      </c>
      <c r="O175" s="252">
        <f t="shared" ref="O175:O178" si="288">(V175*1000)/D175</f>
      </c>
      <c r="P175" s="253" t="s">
        <v>176</v>
      </c>
      <c r="Q175" s="254" t="s">
        <v>186</v>
      </c>
      <c r="R175" s="255">
        <v>9264</v>
      </c>
      <c r="S175" s="255">
        <v>559</v>
      </c>
      <c r="T175" s="255">
        <v>7</v>
      </c>
      <c r="U175" s="256">
        <v>0</v>
      </c>
      <c r="V175" s="256">
        <v>16</v>
      </c>
    </row>
    <row r="176">
      <c r="A176" s="242"/>
      <c r="B176" s="271" t="s">
        <v>192</v>
      </c>
      <c r="C176" s="245" t="s">
        <v>183</v>
      </c>
      <c r="D176" s="245">
        <f t="shared" si="172"/>
      </c>
      <c r="E176" s="246">
        <v>716.27</v>
      </c>
      <c r="F176" s="246">
        <v>1743.02</v>
      </c>
      <c r="G176" s="261">
        <v>0</v>
      </c>
      <c r="H176" s="247">
        <v>12</v>
      </c>
      <c r="I176" s="246">
        <v>4672.860000000001</v>
      </c>
      <c r="J176" s="248">
        <f t="shared" si="213"/>
      </c>
      <c r="K176" s="248">
        <f t="shared" si="97"/>
      </c>
      <c r="L176" s="249">
        <f t="shared" si="127"/>
      </c>
      <c r="M176" s="250">
        <f t="shared" si="15"/>
      </c>
      <c r="N176" s="251">
        <f t="shared" si="60"/>
      </c>
      <c r="O176" s="252">
        <f t="shared" si="288"/>
      </c>
      <c r="P176" s="253" t="s">
        <v>176</v>
      </c>
      <c r="Q176" s="254" t="s">
        <v>186</v>
      </c>
      <c r="R176" s="255">
        <v>12024</v>
      </c>
      <c r="S176" s="255">
        <v>667</v>
      </c>
      <c r="T176" s="255">
        <v>13</v>
      </c>
      <c r="U176" s="256">
        <v>1</v>
      </c>
      <c r="V176" s="256">
        <v>38</v>
      </c>
    </row>
    <row r="177">
      <c r="A177" s="242"/>
      <c r="B177" s="271" t="s">
        <v>192</v>
      </c>
      <c r="C177" s="246" t="s">
        <v>184</v>
      </c>
      <c r="D177" s="245">
        <f t="shared" si="172"/>
      </c>
      <c r="E177" s="246">
        <v>611.97</v>
      </c>
      <c r="F177" s="246">
        <v>2019.28</v>
      </c>
      <c r="G177" s="261">
        <v>0</v>
      </c>
      <c r="H177" s="282">
        <v>8</v>
      </c>
      <c r="I177" s="245">
        <v>3186.540000000001</v>
      </c>
      <c r="J177" s="248">
        <f t="shared" si="213"/>
      </c>
      <c r="K177" s="248">
        <f t="shared" si="97"/>
      </c>
      <c r="L177" s="249">
        <f t="shared" si="127"/>
      </c>
      <c r="M177" s="250">
        <f t="shared" si="15"/>
      </c>
      <c r="N177" s="251">
        <f t="shared" si="60"/>
      </c>
      <c r="O177" s="252">
        <f t="shared" si="288"/>
      </c>
      <c r="P177" s="253" t="s">
        <v>176</v>
      </c>
      <c r="Q177" s="283" t="s">
        <v>186</v>
      </c>
      <c r="R177" s="255">
        <v>16506</v>
      </c>
      <c r="S177" s="255">
        <v>753</v>
      </c>
      <c r="T177" s="255">
        <v>6</v>
      </c>
      <c r="U177" s="256">
        <v>0</v>
      </c>
      <c r="V177" s="256">
        <v>21</v>
      </c>
    </row>
    <row customHeight="true" ht="16.666666666666668" r="178">
      <c r="A178" s="242"/>
      <c r="B178" s="271" t="s">
        <v>192</v>
      </c>
      <c r="C178" s="246" t="s">
        <v>193</v>
      </c>
      <c r="D178" s="245">
        <f t="shared" si="172"/>
      </c>
      <c r="E178" s="246">
        <v>266.02</v>
      </c>
      <c r="F178" s="246">
        <v>710.43</v>
      </c>
      <c r="G178" s="261">
        <v>0</v>
      </c>
      <c r="H178" s="282">
        <v>3</v>
      </c>
      <c r="I178" s="245">
        <v>1162.9799999999996</v>
      </c>
      <c r="J178" s="248">
        <f t="shared" si="213"/>
      </c>
      <c r="K178" s="248">
        <f t="shared" si="97"/>
      </c>
      <c r="L178" s="249">
        <f t="shared" si="127"/>
      </c>
      <c r="M178" s="250">
        <f t="shared" si="15"/>
      </c>
      <c r="N178" s="251">
        <f t="shared" si="60"/>
      </c>
      <c r="O178" s="252">
        <f t="shared" si="288"/>
      </c>
      <c r="P178" s="253" t="s">
        <v>176</v>
      </c>
      <c r="Q178" s="283" t="s">
        <v>186</v>
      </c>
      <c r="R178" s="255">
        <v>7700</v>
      </c>
      <c r="S178" s="255">
        <v>364</v>
      </c>
      <c r="T178" s="255">
        <v>3</v>
      </c>
      <c r="U178" s="256">
        <v>0</v>
      </c>
      <c r="V178" s="256">
        <v>11</v>
      </c>
    </row>
    <row r="179">
      <c r="A179" s="242"/>
      <c r="B179" s="263" t="s">
        <v>181</v>
      </c>
      <c r="C179" s="263"/>
      <c r="D179" s="264">
        <f>SUM(D175:D178)</f>
      </c>
      <c r="E179" s="264">
        <f>SUM(E175:E178)</f>
      </c>
      <c r="F179" s="264">
        <f>SUM(F175:F178)</f>
      </c>
      <c r="G179" s="264">
        <f>SUM(G175:G178)</f>
      </c>
      <c r="H179" s="265">
        <f>SUM(H175:H178)</f>
      </c>
      <c r="I179" s="264">
        <f>SUM(I175:I178)</f>
      </c>
      <c r="J179" s="273">
        <f t="shared" si="213"/>
      </c>
      <c r="K179" s="267">
        <f t="shared" si="97"/>
      </c>
      <c r="L179" s="268">
        <f t="shared" si="127"/>
      </c>
      <c r="M179" s="269">
        <f t="shared" si="15"/>
      </c>
      <c r="N179" s="269">
        <f t="shared" si="60"/>
      </c>
      <c r="O179" s="270">
        <f t="shared" ref="O179:O180" si="243">(U179*1000)/D179</f>
      </c>
      <c r="P179" s="270"/>
      <c r="Q179" s="270"/>
      <c r="R179" s="265">
        <f>SUM(R175:R178)</f>
      </c>
      <c r="S179" s="265">
        <f>SUM(S175:S178)</f>
      </c>
      <c r="T179" s="265">
        <f>SUM(T175:T178)</f>
      </c>
      <c r="U179" s="265">
        <f>SUM(U175:U178)</f>
      </c>
      <c r="V179" s="265">
        <f>SUM(V175:V178)</f>
      </c>
    </row>
    <row r="180">
      <c r="A180" s="242"/>
      <c r="B180" s="274" t="s">
        <v>185</v>
      </c>
      <c r="C180" s="274"/>
      <c r="D180" s="275">
        <f>D174+D179</f>
      </c>
      <c r="E180" s="275">
        <f>E174+E179</f>
      </c>
      <c r="F180" s="275">
        <f>F174+F179</f>
      </c>
      <c r="G180" s="275">
        <f>G174+G179</f>
      </c>
      <c r="H180" s="276">
        <f>H174+H179</f>
      </c>
      <c r="I180" s="275">
        <f>I174+I179</f>
      </c>
      <c r="J180" s="277">
        <f t="shared" si="213"/>
      </c>
      <c r="K180" s="277">
        <f t="shared" si="97"/>
      </c>
      <c r="L180" s="278">
        <f t="shared" si="127"/>
      </c>
      <c r="M180" s="279">
        <f t="shared" si="15"/>
      </c>
      <c r="N180" s="279">
        <f t="shared" si="60"/>
      </c>
      <c r="O180" s="277">
        <f t="shared" si="243"/>
      </c>
      <c r="P180" s="280"/>
      <c r="Q180" s="280"/>
      <c r="R180" s="276">
        <f>R174+R179</f>
      </c>
      <c r="S180" s="276">
        <f>S174+S179</f>
      </c>
      <c r="T180" s="276">
        <f>T174+T179</f>
      </c>
      <c r="U180" s="276">
        <f>U174+U179</f>
      </c>
      <c r="V180" s="276">
        <f>V174+V179</f>
      </c>
    </row>
    <row r="181">
      <c r="A181" s="229" t="s">
        <v>148</v>
      </c>
      <c r="B181" s="229"/>
      <c r="C181" s="229"/>
      <c r="D181" s="230" t="s">
        <v>149</v>
      </c>
      <c r="E181" s="230"/>
      <c r="F181" s="230"/>
      <c r="G181" s="230"/>
      <c r="H181" s="230"/>
      <c r="I181" s="230"/>
      <c r="J181" s="230"/>
      <c r="K181" s="230"/>
      <c r="L181" s="230"/>
      <c r="M181" s="231" t="s">
        <v>150</v>
      </c>
      <c r="N181" s="231"/>
      <c r="O181" s="231"/>
      <c r="P181" s="231"/>
      <c r="Q181" s="231"/>
      <c r="R181" s="232" t="s">
        <v>151</v>
      </c>
      <c r="S181" s="232"/>
      <c r="T181" s="232"/>
      <c r="U181" s="232"/>
      <c r="V181" s="232"/>
    </row>
    <row r="182">
      <c r="A182" s="233" t="s">
        <v>152</v>
      </c>
      <c r="B182" s="233" t="s">
        <v>153</v>
      </c>
      <c r="C182" s="233" t="s">
        <v>154</v>
      </c>
      <c r="D182" s="234" t="s">
        <v>155</v>
      </c>
      <c r="E182" s="281" t="s">
        <v>156</v>
      </c>
      <c r="F182" s="234" t="s">
        <v>157</v>
      </c>
      <c r="G182" s="234" t="s">
        <v>158</v>
      </c>
      <c r="H182" s="236" t="s">
        <v>159</v>
      </c>
      <c r="I182" s="234" t="s">
        <v>160</v>
      </c>
      <c r="J182" s="237" t="s">
        <v>161</v>
      </c>
      <c r="K182" s="238" t="s">
        <v>162</v>
      </c>
      <c r="L182" s="239" t="s">
        <v>163</v>
      </c>
      <c r="M182" s="240" t="s">
        <v>164</v>
      </c>
      <c r="N182" s="240" t="s">
        <v>165</v>
      </c>
      <c r="O182" s="240" t="s">
        <v>166</v>
      </c>
      <c r="P182" s="231" t="s">
        <v>167</v>
      </c>
      <c r="Q182" s="231" t="s">
        <v>168</v>
      </c>
      <c r="R182" s="232" t="s">
        <v>169</v>
      </c>
      <c r="S182" s="232" t="s">
        <v>170</v>
      </c>
      <c r="T182" s="232" t="s">
        <v>171</v>
      </c>
      <c r="U182" s="241" t="s">
        <v>172</v>
      </c>
      <c r="V182" s="232" t="s">
        <v>173</v>
      </c>
    </row>
    <row r="183">
      <c r="A183" s="242">
        <v>46282</v>
      </c>
      <c r="B183" s="271" t="s">
        <v>192</v>
      </c>
      <c r="C183" s="261" t="s">
        <v>188</v>
      </c>
      <c r="D183" s="259">
        <f t="shared" ref="D183:D186" si="173">SUM(E183:G183)</f>
      </c>
      <c r="E183" s="246">
        <v>299.61</v>
      </c>
      <c r="F183" s="246">
        <v>1728.43</v>
      </c>
      <c r="G183" s="246">
        <v>0</v>
      </c>
      <c r="H183" s="247">
        <v>5</v>
      </c>
      <c r="I183" s="246">
        <v>1144.62</v>
      </c>
      <c r="J183" s="248">
        <f t="shared" ref="J183:J192" si="214">I183/D183</f>
      </c>
      <c r="K183" s="248">
        <f t="shared" ref="K183:K192" si="98">D183/H183</f>
      </c>
      <c r="L183" s="249">
        <f t="shared" ref="L183:L192" si="128">I183/H183</f>
      </c>
      <c r="M183" s="250">
        <f t="shared" ref="M183:M192" si="16">S183/R183</f>
      </c>
      <c r="N183" s="251">
        <f t="shared" ref="N183:N186" si="61">H183/(T183+H183)</f>
      </c>
      <c r="O183" s="252">
        <f t="shared" ref="O183:O186" si="289">(V183*1000)/D183</f>
      </c>
      <c r="P183" s="253" t="s">
        <v>176</v>
      </c>
      <c r="Q183" s="254" t="s">
        <v>186</v>
      </c>
      <c r="R183" s="255">
        <v>8981</v>
      </c>
      <c r="S183" s="255">
        <v>325</v>
      </c>
      <c r="T183" s="256">
        <v>4</v>
      </c>
      <c r="U183" s="256">
        <v>0</v>
      </c>
      <c r="V183" s="256">
        <v>19</v>
      </c>
    </row>
    <row r="184">
      <c r="A184" s="242"/>
      <c r="B184" s="271" t="s">
        <v>192</v>
      </c>
      <c r="C184" s="258" t="s">
        <v>175</v>
      </c>
      <c r="D184" s="259">
        <f t="shared" si="173"/>
      </c>
      <c r="E184" s="246">
        <v>300.29</v>
      </c>
      <c r="F184" s="246">
        <v>1090.18</v>
      </c>
      <c r="G184" s="246">
        <v>0</v>
      </c>
      <c r="H184" s="247">
        <v>3</v>
      </c>
      <c r="I184" s="246">
        <v>2020.98</v>
      </c>
      <c r="J184" s="248">
        <f t="shared" si="214"/>
      </c>
      <c r="K184" s="248">
        <f t="shared" si="98"/>
      </c>
      <c r="L184" s="249">
        <f t="shared" si="128"/>
      </c>
      <c r="M184" s="250">
        <f t="shared" si="16"/>
      </c>
      <c r="N184" s="251">
        <f t="shared" si="61"/>
      </c>
      <c r="O184" s="252">
        <f t="shared" si="289"/>
      </c>
      <c r="P184" s="253" t="s">
        <v>176</v>
      </c>
      <c r="Q184" s="254" t="s">
        <v>186</v>
      </c>
      <c r="R184" s="255">
        <v>8024</v>
      </c>
      <c r="S184" s="255">
        <v>331</v>
      </c>
      <c r="T184" s="255">
        <v>3</v>
      </c>
      <c r="U184" s="256">
        <v>0</v>
      </c>
      <c r="V184" s="256">
        <v>21</v>
      </c>
    </row>
    <row r="185">
      <c r="A185" s="242"/>
      <c r="B185" s="271" t="s">
        <v>192</v>
      </c>
      <c r="C185" s="260" t="s">
        <v>178</v>
      </c>
      <c r="D185" s="245">
        <f t="shared" si="173"/>
      </c>
      <c r="E185" s="246">
        <v>381.01</v>
      </c>
      <c r="F185" s="261">
        <v>1463.42</v>
      </c>
      <c r="G185" s="261">
        <v>0</v>
      </c>
      <c r="H185" s="262">
        <v>7</v>
      </c>
      <c r="I185" s="261">
        <v>4410.48</v>
      </c>
      <c r="J185" s="248">
        <f t="shared" si="214"/>
      </c>
      <c r="K185" s="248">
        <f t="shared" si="98"/>
      </c>
      <c r="L185" s="249">
        <f t="shared" si="128"/>
      </c>
      <c r="M185" s="250">
        <f t="shared" si="16"/>
      </c>
      <c r="N185" s="251">
        <f t="shared" si="61"/>
      </c>
      <c r="O185" s="252">
        <f t="shared" si="289"/>
      </c>
      <c r="P185" s="253" t="s">
        <v>176</v>
      </c>
      <c r="Q185" s="254" t="s">
        <v>186</v>
      </c>
      <c r="R185" s="255">
        <v>13664</v>
      </c>
      <c r="S185" s="255">
        <v>428</v>
      </c>
      <c r="T185" s="255">
        <v>4</v>
      </c>
      <c r="U185" s="256">
        <v>0</v>
      </c>
      <c r="V185" s="256">
        <v>18</v>
      </c>
    </row>
    <row r="186">
      <c r="A186" s="242"/>
      <c r="B186" s="271" t="s">
        <v>192</v>
      </c>
      <c r="C186" s="246" t="s">
        <v>179</v>
      </c>
      <c r="D186" s="245">
        <f t="shared" si="173"/>
      </c>
      <c r="E186" s="246">
        <v>433</v>
      </c>
      <c r="F186" s="261">
        <v>1558.59</v>
      </c>
      <c r="G186" s="261">
        <v>0</v>
      </c>
      <c r="H186" s="262">
        <v>13</v>
      </c>
      <c r="I186" s="261">
        <v>10708.500000000002</v>
      </c>
      <c r="J186" s="248">
        <f t="shared" si="214"/>
      </c>
      <c r="K186" s="248">
        <f t="shared" si="98"/>
      </c>
      <c r="L186" s="249">
        <f t="shared" si="128"/>
      </c>
      <c r="M186" s="250">
        <f t="shared" si="16"/>
      </c>
      <c r="N186" s="251">
        <f t="shared" si="61"/>
      </c>
      <c r="O186" s="252">
        <f t="shared" si="289"/>
      </c>
      <c r="P186" s="253" t="s">
        <v>176</v>
      </c>
      <c r="Q186" s="254" t="s">
        <v>186</v>
      </c>
      <c r="R186" s="255">
        <v>15125</v>
      </c>
      <c r="S186" s="255">
        <v>459</v>
      </c>
      <c r="T186" s="255">
        <v>7</v>
      </c>
      <c r="U186" s="256">
        <v>0</v>
      </c>
      <c r="V186" s="256">
        <v>22</v>
      </c>
    </row>
    <row r="187">
      <c r="A187" s="242"/>
      <c r="B187" s="263" t="s">
        <v>181</v>
      </c>
      <c r="C187" s="263"/>
      <c r="D187" s="264">
        <f>SUM(D183:D186)</f>
      </c>
      <c r="E187" s="264">
        <f>SUM(E183:E186)</f>
      </c>
      <c r="F187" s="264">
        <f>SUM(F183:F186)</f>
      </c>
      <c r="G187" s="264">
        <f>SUM(G183:G186)</f>
      </c>
      <c r="H187" s="265">
        <f>SUM(H183:H186)</f>
      </c>
      <c r="I187" s="264">
        <f>SUM(I183:I186)</f>
      </c>
      <c r="J187" s="266">
        <f t="shared" si="214"/>
      </c>
      <c r="K187" s="267">
        <f t="shared" si="98"/>
      </c>
      <c r="L187" s="268">
        <f t="shared" si="128"/>
      </c>
      <c r="M187" s="269">
        <f t="shared" si="16"/>
      </c>
      <c r="N187" s="269">
        <f>H187/T187</f>
      </c>
      <c r="O187" s="270">
        <f>(U187*1000)/D187</f>
      </c>
      <c r="P187" s="270"/>
      <c r="Q187" s="270"/>
      <c r="R187" s="265">
        <f>SUM(R183:R186)</f>
      </c>
      <c r="S187" s="265">
        <f>SUM(S183:S186)</f>
      </c>
      <c r="T187" s="265">
        <f>SUM(T183:T186)</f>
      </c>
      <c r="U187" s="265">
        <f>SUM(U183:U186)</f>
      </c>
      <c r="V187" s="265">
        <f>SUM(V183:V186)</f>
      </c>
    </row>
    <row r="188">
      <c r="A188" s="242"/>
      <c r="B188" s="271" t="s">
        <v>182</v>
      </c>
      <c r="C188" s="246" t="s">
        <v>180</v>
      </c>
      <c r="D188" s="245">
        <f t="shared" ref="D188:D190" si="174">SUM(E188:G188)</f>
      </c>
      <c r="E188" s="246">
        <v>864.14</v>
      </c>
      <c r="F188" s="261">
        <v>2220.8</v>
      </c>
      <c r="G188" s="261">
        <v>0</v>
      </c>
      <c r="H188" s="262">
        <v>3</v>
      </c>
      <c r="I188" s="261">
        <v>1183.9199999999983</v>
      </c>
      <c r="J188" s="248">
        <f t="shared" si="214"/>
      </c>
      <c r="K188" s="248">
        <f t="shared" si="98"/>
      </c>
      <c r="L188" s="249">
        <f t="shared" si="128"/>
      </c>
      <c r="M188" s="250">
        <f t="shared" si="16"/>
      </c>
      <c r="N188" s="251">
        <f t="shared" ref="N188:N192" si="62">H188/(T188+H188)</f>
      </c>
      <c r="O188" s="252">
        <f t="shared" ref="O188:O190" si="290">(V188*1000)/D188</f>
      </c>
      <c r="P188" s="253" t="s">
        <v>176</v>
      </c>
      <c r="Q188" s="254" t="s">
        <v>186</v>
      </c>
      <c r="R188" s="255">
        <v>19506</v>
      </c>
      <c r="S188" s="255">
        <v>567</v>
      </c>
      <c r="T188" s="255">
        <v>6</v>
      </c>
      <c r="U188" s="256">
        <v>0</v>
      </c>
      <c r="V188" s="256">
        <v>26</v>
      </c>
    </row>
    <row r="189">
      <c r="A189" s="242"/>
      <c r="B189" s="271" t="s">
        <v>182</v>
      </c>
      <c r="C189" s="245" t="s">
        <v>183</v>
      </c>
      <c r="D189" s="245">
        <f t="shared" si="174"/>
      </c>
      <c r="E189" s="246">
        <v>738.01</v>
      </c>
      <c r="F189" s="246">
        <v>1632.52</v>
      </c>
      <c r="G189" s="261">
        <v>0</v>
      </c>
      <c r="H189" s="247">
        <v>8</v>
      </c>
      <c r="I189" s="246">
        <v>5098.68</v>
      </c>
      <c r="J189" s="248">
        <f t="shared" si="214"/>
      </c>
      <c r="K189" s="248">
        <f t="shared" si="98"/>
      </c>
      <c r="L189" s="249">
        <f t="shared" si="128"/>
      </c>
      <c r="M189" s="250">
        <f t="shared" si="16"/>
      </c>
      <c r="N189" s="251">
        <f t="shared" si="62"/>
      </c>
      <c r="O189" s="252">
        <f t="shared" si="290"/>
      </c>
      <c r="P189" s="253" t="s">
        <v>176</v>
      </c>
      <c r="Q189" s="254" t="s">
        <v>186</v>
      </c>
      <c r="R189" s="255">
        <v>14033</v>
      </c>
      <c r="S189" s="255">
        <v>504</v>
      </c>
      <c r="T189" s="255">
        <v>6</v>
      </c>
      <c r="U189" s="256">
        <v>0</v>
      </c>
      <c r="V189" s="256">
        <v>23</v>
      </c>
    </row>
    <row r="190">
      <c r="A190" s="242"/>
      <c r="B190" s="271" t="s">
        <v>182</v>
      </c>
      <c r="C190" s="246" t="s">
        <v>184</v>
      </c>
      <c r="D190" s="245">
        <f t="shared" si="174"/>
      </c>
      <c r="E190" s="246">
        <f>875.93+29.84</f>
      </c>
      <c r="F190" s="246">
        <f>876.59+16.71</f>
      </c>
      <c r="G190" s="261">
        <v>0</v>
      </c>
      <c r="H190" s="247">
        <v>8</v>
      </c>
      <c r="I190" s="245">
        <f>5631.54+710.639999999999</f>
      </c>
      <c r="J190" s="248">
        <f t="shared" si="214"/>
      </c>
      <c r="K190" s="248">
        <f t="shared" si="98"/>
      </c>
      <c r="L190" s="249">
        <f t="shared" si="128"/>
      </c>
      <c r="M190" s="250">
        <f t="shared" si="16"/>
      </c>
      <c r="N190" s="251">
        <f t="shared" si="62"/>
      </c>
      <c r="O190" s="252">
        <f t="shared" si="290"/>
      </c>
      <c r="P190" s="253" t="s">
        <v>176</v>
      </c>
      <c r="Q190" s="283" t="s">
        <v>186</v>
      </c>
      <c r="R190" s="255">
        <v>9284</v>
      </c>
      <c r="S190" s="255">
        <v>428</v>
      </c>
      <c r="T190" s="255">
        <v>7</v>
      </c>
      <c r="U190" s="256">
        <v>0</v>
      </c>
      <c r="V190" s="256">
        <v>20</v>
      </c>
    </row>
    <row r="191">
      <c r="A191" s="242"/>
      <c r="B191" s="263" t="s">
        <v>181</v>
      </c>
      <c r="C191" s="263"/>
      <c r="D191" s="264">
        <f>SUM(D188:D190)</f>
      </c>
      <c r="E191" s="264">
        <f>SUM(E188:E190)</f>
      </c>
      <c r="F191" s="264">
        <f>SUM(F188:F190)</f>
      </c>
      <c r="G191" s="264">
        <f>SUM(G188:G190)</f>
      </c>
      <c r="H191" s="265">
        <f>SUM(H188:H190)</f>
      </c>
      <c r="I191" s="264">
        <f>SUM(I188:I190)</f>
      </c>
      <c r="J191" s="273">
        <f t="shared" si="214"/>
      </c>
      <c r="K191" s="267">
        <f t="shared" si="98"/>
      </c>
      <c r="L191" s="268">
        <f t="shared" si="128"/>
      </c>
      <c r="M191" s="269">
        <f t="shared" si="16"/>
      </c>
      <c r="N191" s="269">
        <f t="shared" si="62"/>
      </c>
      <c r="O191" s="270">
        <f t="shared" ref="O191:O192" si="244">(U191*1000)/D191</f>
      </c>
      <c r="P191" s="270"/>
      <c r="Q191" s="270"/>
      <c r="R191" s="265">
        <f>SUM(R188:R190)</f>
      </c>
      <c r="S191" s="265">
        <f>SUM(S188:S190)</f>
      </c>
      <c r="T191" s="265">
        <f>SUM(T188:T190)</f>
      </c>
      <c r="U191" s="265">
        <f>SUM(U188:U190)</f>
      </c>
      <c r="V191" s="265">
        <f>SUM(V188:V190)</f>
      </c>
    </row>
    <row r="192">
      <c r="A192" s="242"/>
      <c r="B192" s="274" t="s">
        <v>185</v>
      </c>
      <c r="C192" s="274"/>
      <c r="D192" s="275">
        <f>D187+D191</f>
      </c>
      <c r="E192" s="275">
        <f>E187+E191</f>
      </c>
      <c r="F192" s="275">
        <f>F187+F191</f>
      </c>
      <c r="G192" s="275">
        <f>G187+G191</f>
      </c>
      <c r="H192" s="276">
        <f>H187+H191</f>
      </c>
      <c r="I192" s="275">
        <f>I187+I191</f>
      </c>
      <c r="J192" s="277">
        <f t="shared" si="214"/>
      </c>
      <c r="K192" s="277">
        <f t="shared" si="98"/>
      </c>
      <c r="L192" s="278">
        <f t="shared" si="128"/>
      </c>
      <c r="M192" s="279">
        <f t="shared" si="16"/>
      </c>
      <c r="N192" s="279">
        <f t="shared" si="62"/>
      </c>
      <c r="O192" s="277">
        <f t="shared" si="244"/>
      </c>
      <c r="P192" s="280"/>
      <c r="Q192" s="280"/>
      <c r="R192" s="276">
        <f>R187+R191</f>
      </c>
      <c r="S192" s="276">
        <f>S187+S191</f>
      </c>
      <c r="T192" s="276">
        <f>T187+T191</f>
      </c>
      <c r="U192" s="276">
        <f>U187+U191</f>
      </c>
      <c r="V192" s="276">
        <f>V187+V191</f>
      </c>
    </row>
    <row r="193">
      <c r="A193" s="229" t="s">
        <v>148</v>
      </c>
      <c r="B193" s="229"/>
      <c r="C193" s="229"/>
      <c r="D193" s="230" t="s">
        <v>149</v>
      </c>
      <c r="E193" s="230"/>
      <c r="F193" s="230"/>
      <c r="G193" s="230"/>
      <c r="H193" s="230"/>
      <c r="I193" s="230"/>
      <c r="J193" s="230"/>
      <c r="K193" s="230"/>
      <c r="L193" s="230"/>
      <c r="M193" s="231" t="s">
        <v>150</v>
      </c>
      <c r="N193" s="231"/>
      <c r="O193" s="231"/>
      <c r="P193" s="231"/>
      <c r="Q193" s="231"/>
      <c r="R193" s="232" t="s">
        <v>151</v>
      </c>
      <c r="S193" s="232"/>
      <c r="T193" s="232"/>
      <c r="U193" s="232"/>
      <c r="V193" s="232"/>
    </row>
    <row r="194">
      <c r="A194" s="233" t="s">
        <v>152</v>
      </c>
      <c r="B194" s="233" t="s">
        <v>153</v>
      </c>
      <c r="C194" s="233" t="s">
        <v>154</v>
      </c>
      <c r="D194" s="234" t="s">
        <v>155</v>
      </c>
      <c r="E194" s="281" t="s">
        <v>156</v>
      </c>
      <c r="F194" s="234" t="s">
        <v>157</v>
      </c>
      <c r="G194" s="234" t="s">
        <v>158</v>
      </c>
      <c r="H194" s="236" t="s">
        <v>159</v>
      </c>
      <c r="I194" s="234" t="s">
        <v>160</v>
      </c>
      <c r="J194" s="237" t="s">
        <v>161</v>
      </c>
      <c r="K194" s="238" t="s">
        <v>162</v>
      </c>
      <c r="L194" s="239" t="s">
        <v>163</v>
      </c>
      <c r="M194" s="240" t="s">
        <v>164</v>
      </c>
      <c r="N194" s="240" t="s">
        <v>165</v>
      </c>
      <c r="O194" s="240" t="s">
        <v>166</v>
      </c>
      <c r="P194" s="231" t="s">
        <v>167</v>
      </c>
      <c r="Q194" s="231" t="s">
        <v>168</v>
      </c>
      <c r="R194" s="232" t="s">
        <v>169</v>
      </c>
      <c r="S194" s="232" t="s">
        <v>170</v>
      </c>
      <c r="T194" s="232" t="s">
        <v>171</v>
      </c>
      <c r="U194" s="241" t="s">
        <v>172</v>
      </c>
      <c r="V194" s="232" t="s">
        <v>173</v>
      </c>
    </row>
    <row r="195">
      <c r="A195" s="242">
        <v>46283</v>
      </c>
      <c r="B195" s="271" t="s">
        <v>192</v>
      </c>
      <c r="C195" s="261" t="s">
        <v>188</v>
      </c>
      <c r="D195" s="259">
        <f t="shared" ref="D195:D198" si="175">SUM(E195:G195)</f>
      </c>
      <c r="E195" s="246">
        <v>347.6</v>
      </c>
      <c r="F195" s="246">
        <v>916.1</v>
      </c>
      <c r="G195" s="246">
        <v>0</v>
      </c>
      <c r="H195" s="247">
        <v>0</v>
      </c>
      <c r="I195" s="246">
        <v>0</v>
      </c>
      <c r="J195" s="248">
        <f t="shared" ref="J195:J200" si="215">I195/D195</f>
      </c>
      <c r="K195" s="248">
        <f t="shared" ref="K195:K200" si="99">D195/H195</f>
      </c>
      <c r="L195" s="249">
        <f t="shared" ref="L195:L200" si="129">I195/H195</f>
      </c>
      <c r="M195" s="250">
        <f t="shared" ref="M195:M200" si="17">S195/R195</f>
      </c>
      <c r="N195" s="251">
        <f t="shared" ref="N195:N198" si="63">H195/(T195+H195)</f>
      </c>
      <c r="O195" s="252">
        <f t="shared" ref="O195:O198" si="291">(V195*1000)/D195</f>
      </c>
      <c r="P195" s="253" t="s">
        <v>176</v>
      </c>
      <c r="Q195" s="254" t="s">
        <v>186</v>
      </c>
      <c r="R195" s="255">
        <v>5261</v>
      </c>
      <c r="S195" s="255">
        <v>214</v>
      </c>
      <c r="T195" s="256">
        <v>1</v>
      </c>
      <c r="U195" s="256">
        <v>0</v>
      </c>
      <c r="V195" s="256">
        <v>21</v>
      </c>
    </row>
    <row r="196">
      <c r="A196" s="242"/>
      <c r="B196" s="271" t="s">
        <v>192</v>
      </c>
      <c r="C196" s="246" t="s">
        <v>175</v>
      </c>
      <c r="D196" s="259">
        <f t="shared" si="175"/>
      </c>
      <c r="E196" s="246">
        <v>186.47</v>
      </c>
      <c r="F196" s="246">
        <v>577.08</v>
      </c>
      <c r="G196" s="246">
        <v>0</v>
      </c>
      <c r="H196" s="247">
        <v>1</v>
      </c>
      <c r="I196" s="246">
        <v>1568.6400000000003</v>
      </c>
      <c r="J196" s="248">
        <f t="shared" si="215"/>
      </c>
      <c r="K196" s="248">
        <f t="shared" si="99"/>
      </c>
      <c r="L196" s="249">
        <f t="shared" si="129"/>
      </c>
      <c r="M196" s="250">
        <f t="shared" si="17"/>
      </c>
      <c r="N196" s="251">
        <f t="shared" si="63"/>
      </c>
      <c r="O196" s="252">
        <f t="shared" si="291"/>
      </c>
      <c r="P196" s="253" t="s">
        <v>176</v>
      </c>
      <c r="Q196" s="254" t="s">
        <v>186</v>
      </c>
      <c r="R196" s="255">
        <v>4922</v>
      </c>
      <c r="S196" s="255">
        <v>176</v>
      </c>
      <c r="T196" s="255">
        <v>1</v>
      </c>
      <c r="U196" s="256">
        <v>0</v>
      </c>
      <c r="V196" s="256">
        <v>9</v>
      </c>
    </row>
    <row r="197">
      <c r="A197" s="242"/>
      <c r="B197" s="271" t="s">
        <v>192</v>
      </c>
      <c r="C197" s="260" t="s">
        <v>178</v>
      </c>
      <c r="D197" s="245">
        <f t="shared" si="175"/>
      </c>
      <c r="E197" s="246">
        <v>141.49</v>
      </c>
      <c r="F197" s="261">
        <v>735.35</v>
      </c>
      <c r="G197" s="261">
        <v>0</v>
      </c>
      <c r="H197" s="262">
        <v>0</v>
      </c>
      <c r="I197" s="261">
        <v>0</v>
      </c>
      <c r="J197" s="248">
        <f t="shared" si="215"/>
      </c>
      <c r="K197" s="248">
        <f t="shared" si="99"/>
      </c>
      <c r="L197" s="249">
        <f t="shared" si="129"/>
      </c>
      <c r="M197" s="250">
        <f t="shared" si="17"/>
      </c>
      <c r="N197" s="251">
        <f t="shared" si="63"/>
      </c>
      <c r="O197" s="252">
        <f t="shared" si="291"/>
      </c>
      <c r="P197" s="253" t="s">
        <v>176</v>
      </c>
      <c r="Q197" s="254" t="s">
        <v>186</v>
      </c>
      <c r="R197" s="255">
        <v>4657</v>
      </c>
      <c r="S197" s="255">
        <v>186</v>
      </c>
      <c r="T197" s="255">
        <v>3</v>
      </c>
      <c r="U197" s="256">
        <v>1</v>
      </c>
      <c r="V197" s="256">
        <v>9</v>
      </c>
    </row>
    <row r="198">
      <c r="A198" s="242"/>
      <c r="B198" s="271" t="s">
        <v>192</v>
      </c>
      <c r="C198" s="246" t="s">
        <v>179</v>
      </c>
      <c r="D198" s="245">
        <f t="shared" si="175"/>
      </c>
      <c r="E198" s="246">
        <f>14.83+330.37</f>
      </c>
      <c r="F198" s="261">
        <f>1021.2+11.69</f>
      </c>
      <c r="G198" s="261">
        <v>0</v>
      </c>
      <c r="H198" s="262">
        <v>4</v>
      </c>
      <c r="I198" s="261">
        <v>2752.5599999999995</v>
      </c>
      <c r="J198" s="248">
        <f t="shared" si="215"/>
      </c>
      <c r="K198" s="248">
        <f t="shared" si="99"/>
      </c>
      <c r="L198" s="249">
        <f t="shared" si="129"/>
      </c>
      <c r="M198" s="250">
        <f t="shared" si="17"/>
      </c>
      <c r="N198" s="251">
        <f t="shared" si="63"/>
      </c>
      <c r="O198" s="252">
        <f t="shared" si="291"/>
      </c>
      <c r="P198" s="253" t="s">
        <v>176</v>
      </c>
      <c r="Q198" s="254" t="s">
        <v>186</v>
      </c>
      <c r="R198" s="255">
        <v>8356</v>
      </c>
      <c r="S198" s="255">
        <v>306</v>
      </c>
      <c r="T198" s="255">
        <v>6</v>
      </c>
      <c r="U198" s="256">
        <v>0</v>
      </c>
      <c r="V198" s="256">
        <v>11</v>
      </c>
    </row>
    <row r="199">
      <c r="A199" s="242"/>
      <c r="B199" s="263" t="s">
        <v>181</v>
      </c>
      <c r="C199" s="263"/>
      <c r="D199" s="264">
        <f>SUM(D195:D198)</f>
      </c>
      <c r="E199" s="264">
        <f>SUM(E195:E198)</f>
      </c>
      <c r="F199" s="264">
        <f>SUM(F195:F198)</f>
      </c>
      <c r="G199" s="264">
        <f>SUM(G195:G198)</f>
      </c>
      <c r="H199" s="265">
        <f>SUM(H195:H198)</f>
      </c>
      <c r="I199" s="264">
        <f>SUM(I195:I198)</f>
      </c>
      <c r="J199" s="266">
        <f t="shared" si="215"/>
      </c>
      <c r="K199" s="267">
        <f t="shared" si="99"/>
      </c>
      <c r="L199" s="268">
        <f t="shared" si="129"/>
      </c>
      <c r="M199" s="269">
        <f t="shared" si="17"/>
      </c>
      <c r="N199" s="269">
        <f>H199/T199</f>
      </c>
      <c r="O199" s="270">
        <f t="shared" ref="O199:O200" si="245">(U199*1000)/D199</f>
      </c>
      <c r="P199" s="270"/>
      <c r="Q199" s="270"/>
      <c r="R199" s="265">
        <f>SUM(R195:R198)</f>
      </c>
      <c r="S199" s="265">
        <f>SUM(S195:S198)</f>
      </c>
      <c r="T199" s="265">
        <f>SUM(T195:T198)</f>
      </c>
      <c r="U199" s="265">
        <f>SUM(U195:U198)</f>
      </c>
      <c r="V199" s="265">
        <f>SUM(V195:V198)</f>
      </c>
    </row>
    <row r="200">
      <c r="A200" s="242"/>
      <c r="B200" s="274" t="s">
        <v>185</v>
      </c>
      <c r="C200" s="274"/>
      <c r="D200" s="275">
        <f>D199</f>
      </c>
      <c r="E200" s="275">
        <f>E199</f>
      </c>
      <c r="F200" s="275">
        <f>F199</f>
      </c>
      <c r="G200" s="275">
        <f>G199</f>
      </c>
      <c r="H200" s="275">
        <f>H199</f>
      </c>
      <c r="I200" s="275">
        <f>I199</f>
      </c>
      <c r="J200" s="277">
        <f t="shared" si="215"/>
      </c>
      <c r="K200" s="277">
        <f t="shared" si="99"/>
      </c>
      <c r="L200" s="278">
        <f t="shared" si="129"/>
      </c>
      <c r="M200" s="279">
        <f t="shared" si="17"/>
      </c>
      <c r="N200" s="279">
        <f>H200/(T200+H200)</f>
      </c>
      <c r="O200" s="277">
        <f t="shared" si="245"/>
      </c>
      <c r="P200" s="280"/>
      <c r="Q200" s="280"/>
      <c r="R200" s="276">
        <f>R199</f>
      </c>
      <c r="S200" s="276">
        <f>S199</f>
      </c>
      <c r="T200" s="276">
        <f>T199</f>
      </c>
      <c r="U200" s="276">
        <f>U199</f>
      </c>
      <c r="V200" s="276">
        <f>V199</f>
      </c>
    </row>
    <row r="201">
      <c r="A201" s="229" t="s">
        <v>148</v>
      </c>
      <c r="B201" s="229"/>
      <c r="C201" s="229"/>
      <c r="D201" s="230" t="s">
        <v>149</v>
      </c>
      <c r="E201" s="230"/>
      <c r="F201" s="230"/>
      <c r="G201" s="230"/>
      <c r="H201" s="230"/>
      <c r="I201" s="230"/>
      <c r="J201" s="230"/>
      <c r="K201" s="230"/>
      <c r="L201" s="230"/>
      <c r="M201" s="231" t="s">
        <v>150</v>
      </c>
      <c r="N201" s="231"/>
      <c r="O201" s="231"/>
      <c r="P201" s="231"/>
      <c r="Q201" s="231"/>
      <c r="R201" s="232" t="s">
        <v>151</v>
      </c>
      <c r="S201" s="232"/>
      <c r="T201" s="232"/>
      <c r="U201" s="232"/>
      <c r="V201" s="232"/>
    </row>
    <row r="202">
      <c r="A202" s="233" t="s">
        <v>152</v>
      </c>
      <c r="B202" s="233" t="s">
        <v>153</v>
      </c>
      <c r="C202" s="233" t="s">
        <v>154</v>
      </c>
      <c r="D202" s="234" t="s">
        <v>155</v>
      </c>
      <c r="E202" s="281" t="s">
        <v>156</v>
      </c>
      <c r="F202" s="234" t="s">
        <v>157</v>
      </c>
      <c r="G202" s="234" t="s">
        <v>158</v>
      </c>
      <c r="H202" s="236" t="s">
        <v>159</v>
      </c>
      <c r="I202" s="234" t="s">
        <v>160</v>
      </c>
      <c r="J202" s="237" t="s">
        <v>161</v>
      </c>
      <c r="K202" s="238" t="s">
        <v>162</v>
      </c>
      <c r="L202" s="239" t="s">
        <v>163</v>
      </c>
      <c r="M202" s="240" t="s">
        <v>164</v>
      </c>
      <c r="N202" s="240" t="s">
        <v>165</v>
      </c>
      <c r="O202" s="240" t="s">
        <v>166</v>
      </c>
      <c r="P202" s="231" t="s">
        <v>167</v>
      </c>
      <c r="Q202" s="231" t="s">
        <v>168</v>
      </c>
      <c r="R202" s="232" t="s">
        <v>169</v>
      </c>
      <c r="S202" s="232" t="s">
        <v>170</v>
      </c>
      <c r="T202" s="232" t="s">
        <v>171</v>
      </c>
      <c r="U202" s="241" t="s">
        <v>172</v>
      </c>
      <c r="V202" s="232" t="s">
        <v>173</v>
      </c>
    </row>
    <row r="203">
      <c r="A203" s="242">
        <v>46284</v>
      </c>
      <c r="B203" s="271" t="s">
        <v>174</v>
      </c>
      <c r="C203" s="261" t="s">
        <v>188</v>
      </c>
      <c r="D203" s="259">
        <f t="shared" ref="D203:D206" si="176">SUM(E203:G203)</f>
      </c>
      <c r="E203" s="246">
        <v>271.39</v>
      </c>
      <c r="F203" s="246">
        <v>1114.82</v>
      </c>
      <c r="G203" s="246">
        <v>0</v>
      </c>
      <c r="H203" s="247">
        <v>3</v>
      </c>
      <c r="I203" s="246">
        <v>1984.34</v>
      </c>
      <c r="J203" s="248">
        <f t="shared" ref="J203:J212" si="216">I203/D203</f>
      </c>
      <c r="K203" s="248">
        <f t="shared" ref="K203:K212" si="100">D203/H203</f>
      </c>
      <c r="L203" s="249">
        <f t="shared" ref="L203:L212" si="130">I203/H203</f>
      </c>
      <c r="M203" s="250">
        <f t="shared" ref="M203:M212" si="18">S203/R203</f>
      </c>
      <c r="N203" s="251">
        <f t="shared" ref="N203:N206" si="64">H203/(T203+H203)</f>
      </c>
      <c r="O203" s="252">
        <f t="shared" ref="O203:O206" si="292">(V203*1000)/D203</f>
      </c>
      <c r="P203" s="253" t="s">
        <v>176</v>
      </c>
      <c r="Q203" s="254" t="s">
        <v>186</v>
      </c>
      <c r="R203" s="255">
        <v>7096</v>
      </c>
      <c r="S203" s="255">
        <v>243</v>
      </c>
      <c r="T203" s="256">
        <v>2</v>
      </c>
      <c r="U203" s="256">
        <v>0</v>
      </c>
      <c r="V203" s="256">
        <v>11</v>
      </c>
    </row>
    <row r="204">
      <c r="A204" s="242"/>
      <c r="B204" s="271" t="s">
        <v>174</v>
      </c>
      <c r="C204" s="246" t="s">
        <v>175</v>
      </c>
      <c r="D204" s="259">
        <f t="shared" si="176"/>
      </c>
      <c r="E204" s="246">
        <v>159.3</v>
      </c>
      <c r="F204" s="246">
        <v>861.55</v>
      </c>
      <c r="G204" s="246">
        <v>0</v>
      </c>
      <c r="H204" s="247">
        <v>2</v>
      </c>
      <c r="I204" s="246">
        <v>2851.5999999999995</v>
      </c>
      <c r="J204" s="248">
        <f t="shared" si="216"/>
      </c>
      <c r="K204" s="248">
        <f t="shared" si="100"/>
      </c>
      <c r="L204" s="249">
        <f t="shared" si="130"/>
      </c>
      <c r="M204" s="250">
        <f t="shared" si="18"/>
      </c>
      <c r="N204" s="251">
        <f t="shared" si="64"/>
      </c>
      <c r="O204" s="252">
        <f t="shared" si="292"/>
      </c>
      <c r="P204" s="253" t="s">
        <v>176</v>
      </c>
      <c r="Q204" s="254" t="s">
        <v>186</v>
      </c>
      <c r="R204" s="255">
        <v>7105</v>
      </c>
      <c r="S204" s="255">
        <v>212</v>
      </c>
      <c r="T204" s="255">
        <v>2</v>
      </c>
      <c r="U204" s="256">
        <v>0</v>
      </c>
      <c r="V204" s="256">
        <v>11</v>
      </c>
    </row>
    <row r="205">
      <c r="A205" s="242"/>
      <c r="B205" s="271" t="s">
        <v>174</v>
      </c>
      <c r="C205" s="260" t="s">
        <v>178</v>
      </c>
      <c r="D205" s="245">
        <f t="shared" si="176"/>
      </c>
      <c r="E205" s="246">
        <v>148.78</v>
      </c>
      <c r="F205" s="261">
        <v>912.26</v>
      </c>
      <c r="G205" s="261">
        <v>0</v>
      </c>
      <c r="H205" s="262">
        <v>3</v>
      </c>
      <c r="I205" s="261">
        <v>3231.080000000001</v>
      </c>
      <c r="J205" s="248">
        <f t="shared" si="216"/>
      </c>
      <c r="K205" s="248">
        <f t="shared" si="100"/>
      </c>
      <c r="L205" s="249">
        <f t="shared" si="130"/>
      </c>
      <c r="M205" s="250">
        <f t="shared" si="18"/>
      </c>
      <c r="N205" s="251">
        <f t="shared" si="64"/>
      </c>
      <c r="O205" s="252">
        <f t="shared" si="292"/>
      </c>
      <c r="P205" s="253" t="s">
        <v>176</v>
      </c>
      <c r="Q205" s="254" t="s">
        <v>186</v>
      </c>
      <c r="R205" s="255">
        <v>7626</v>
      </c>
      <c r="S205" s="255">
        <v>224</v>
      </c>
      <c r="T205" s="255">
        <v>2</v>
      </c>
      <c r="U205" s="256">
        <v>0</v>
      </c>
      <c r="V205" s="256">
        <v>6</v>
      </c>
    </row>
    <row r="206">
      <c r="A206" s="242"/>
      <c r="B206" s="271" t="s">
        <v>174</v>
      </c>
      <c r="C206" s="246" t="s">
        <v>179</v>
      </c>
      <c r="D206" s="245">
        <f t="shared" si="176"/>
      </c>
      <c r="E206" s="246">
        <v>278.64</v>
      </c>
      <c r="F206" s="261">
        <v>1114.12</v>
      </c>
      <c r="G206" s="261">
        <v>0</v>
      </c>
      <c r="H206" s="262">
        <v>4</v>
      </c>
      <c r="I206" s="261">
        <v>4066.92</v>
      </c>
      <c r="J206" s="248">
        <f t="shared" si="216"/>
      </c>
      <c r="K206" s="248">
        <f t="shared" si="100"/>
      </c>
      <c r="L206" s="249">
        <f t="shared" si="130"/>
      </c>
      <c r="M206" s="250">
        <f t="shared" si="18"/>
      </c>
      <c r="N206" s="251">
        <f t="shared" si="64"/>
      </c>
      <c r="O206" s="252">
        <f t="shared" si="292"/>
      </c>
      <c r="P206" s="253" t="s">
        <v>176</v>
      </c>
      <c r="Q206" s="254" t="s">
        <v>186</v>
      </c>
      <c r="R206" s="255">
        <v>9238</v>
      </c>
      <c r="S206" s="255">
        <v>319</v>
      </c>
      <c r="T206" s="255">
        <v>2</v>
      </c>
      <c r="U206" s="256">
        <v>2</v>
      </c>
      <c r="V206" s="256">
        <v>15</v>
      </c>
    </row>
    <row r="207">
      <c r="A207" s="242"/>
      <c r="B207" s="263" t="s">
        <v>181</v>
      </c>
      <c r="C207" s="263"/>
      <c r="D207" s="264">
        <f>SUM(D203:D206)</f>
      </c>
      <c r="E207" s="264">
        <f>SUM(E203:E206)</f>
      </c>
      <c r="F207" s="264">
        <f>SUM(F203:F206)</f>
      </c>
      <c r="G207" s="264">
        <f>SUM(G203:G206)</f>
      </c>
      <c r="H207" s="265">
        <f>SUM(H203:H206)</f>
      </c>
      <c r="I207" s="264">
        <f>SUM(I203:I206)</f>
      </c>
      <c r="J207" s="266">
        <f t="shared" si="216"/>
      </c>
      <c r="K207" s="267">
        <f t="shared" si="100"/>
      </c>
      <c r="L207" s="268">
        <f t="shared" si="130"/>
      </c>
      <c r="M207" s="269">
        <f t="shared" si="18"/>
      </c>
      <c r="N207" s="269">
        <f>H207/T207</f>
      </c>
      <c r="O207" s="270">
        <f>(U207*1000)/D207</f>
      </c>
      <c r="P207" s="270"/>
      <c r="Q207" s="270"/>
      <c r="R207" s="265">
        <f>SUM(R203:R206)</f>
      </c>
      <c r="S207" s="265">
        <f>SUM(S203:S206)</f>
      </c>
      <c r="T207" s="265">
        <f>SUM(T203:T206)</f>
      </c>
      <c r="U207" s="265">
        <f>SUM(U203:U206)</f>
      </c>
      <c r="V207" s="265">
        <f>SUM(V203:V206)</f>
      </c>
    </row>
    <row customHeight="true" ht="18.452380952380953" r="208">
      <c r="A208" s="242"/>
      <c r="B208" s="271" t="s">
        <v>192</v>
      </c>
      <c r="C208" s="246" t="s">
        <v>180</v>
      </c>
      <c r="D208" s="245">
        <f t="shared" ref="D208:D210" si="177">SUM(E208:G208)</f>
      </c>
      <c r="E208" s="246">
        <v>363.25</v>
      </c>
      <c r="F208" s="246">
        <v>1626.04</v>
      </c>
      <c r="G208" s="261">
        <v>0</v>
      </c>
      <c r="H208" s="247">
        <v>6</v>
      </c>
      <c r="I208" s="246">
        <v>3204.8999999999996</v>
      </c>
      <c r="J208" s="248">
        <f t="shared" si="216"/>
      </c>
      <c r="K208" s="248">
        <f t="shared" si="100"/>
      </c>
      <c r="L208" s="249">
        <f t="shared" si="130"/>
      </c>
      <c r="M208" s="250">
        <f t="shared" si="18"/>
      </c>
      <c r="N208" s="251">
        <f t="shared" ref="N208:N212" si="65">H208/(T208+H208)</f>
      </c>
      <c r="O208" s="252">
        <f t="shared" ref="O208:O210" si="293">(V208*1000)/D208</f>
      </c>
      <c r="P208" s="253" t="s">
        <v>176</v>
      </c>
      <c r="Q208" s="254" t="s">
        <v>186</v>
      </c>
      <c r="R208" s="255">
        <v>14213</v>
      </c>
      <c r="S208" s="255">
        <v>437</v>
      </c>
      <c r="T208" s="255">
        <v>6</v>
      </c>
      <c r="U208" s="256">
        <v>0</v>
      </c>
      <c r="V208" s="256">
        <v>17</v>
      </c>
    </row>
    <row customHeight="true" ht="18.452380952380953" r="209">
      <c r="A209" s="242"/>
      <c r="B209" s="271" t="s">
        <v>192</v>
      </c>
      <c r="C209" s="245" t="s">
        <v>183</v>
      </c>
      <c r="D209" s="245">
        <f t="shared" si="177"/>
      </c>
      <c r="E209" s="246">
        <v>370.94</v>
      </c>
      <c r="F209" s="246">
        <v>1586.24</v>
      </c>
      <c r="G209" s="261">
        <v>0</v>
      </c>
      <c r="H209" s="282">
        <v>2</v>
      </c>
      <c r="I209" s="245">
        <v>473.28000000000065</v>
      </c>
      <c r="J209" s="248">
        <f t="shared" si="216"/>
      </c>
      <c r="K209" s="248">
        <f t="shared" si="100"/>
      </c>
      <c r="L209" s="249">
        <f t="shared" si="130"/>
      </c>
      <c r="M209" s="250">
        <f t="shared" si="18"/>
      </c>
      <c r="N209" s="251">
        <f t="shared" si="65"/>
      </c>
      <c r="O209" s="252">
        <f t="shared" si="293"/>
      </c>
      <c r="P209" s="253" t="s">
        <v>176</v>
      </c>
      <c r="Q209" s="283" t="s">
        <v>186</v>
      </c>
      <c r="R209" s="255">
        <v>14506</v>
      </c>
      <c r="S209" s="255">
        <v>424</v>
      </c>
      <c r="T209" s="255">
        <v>3</v>
      </c>
      <c r="U209" s="256">
        <v>0</v>
      </c>
      <c r="V209" s="256">
        <v>18</v>
      </c>
    </row>
    <row customHeight="true" ht="18.452380952380953" r="210">
      <c r="A210" s="242"/>
      <c r="B210" s="271" t="s">
        <v>192</v>
      </c>
      <c r="C210" s="246" t="s">
        <v>184</v>
      </c>
      <c r="D210" s="245">
        <f t="shared" si="177"/>
      </c>
      <c r="E210" s="246">
        <v>129.11</v>
      </c>
      <c r="F210" s="246">
        <v>646.27</v>
      </c>
      <c r="G210" s="261">
        <v>0</v>
      </c>
      <c r="H210" s="282">
        <v>4</v>
      </c>
      <c r="I210" s="245">
        <v>2752.5599999999995</v>
      </c>
      <c r="J210" s="248">
        <f t="shared" si="216"/>
      </c>
      <c r="K210" s="248">
        <f t="shared" si="100"/>
      </c>
      <c r="L210" s="249">
        <f t="shared" si="130"/>
      </c>
      <c r="M210" s="250">
        <f t="shared" si="18"/>
      </c>
      <c r="N210" s="251">
        <f t="shared" si="65"/>
      </c>
      <c r="O210" s="252">
        <f t="shared" si="293"/>
      </c>
      <c r="P210" s="253" t="s">
        <v>176</v>
      </c>
      <c r="Q210" s="283" t="s">
        <v>186</v>
      </c>
      <c r="R210" s="255">
        <v>6962</v>
      </c>
      <c r="S210" s="255">
        <v>235</v>
      </c>
      <c r="T210" s="255">
        <v>4</v>
      </c>
      <c r="U210" s="256">
        <v>0</v>
      </c>
      <c r="V210" s="256">
        <v>14</v>
      </c>
    </row>
    <row customHeight="true" ht="18.452380952380953" r="211">
      <c r="A211" s="284"/>
      <c r="B211" s="285" t="s">
        <v>181</v>
      </c>
      <c r="C211" s="285"/>
      <c r="D211" s="286">
        <f>SUM(D208:D210)</f>
      </c>
      <c r="E211" s="286">
        <f>SUM(E208:E210)</f>
      </c>
      <c r="F211" s="286">
        <f>SUM(F208:F210)</f>
      </c>
      <c r="G211" s="286">
        <f>SUM(G207:G210)</f>
      </c>
      <c r="H211" s="287">
        <f>SUM(H208:H210)</f>
      </c>
      <c r="I211" s="286">
        <f>SUM(I208:I210)</f>
      </c>
      <c r="J211" s="288">
        <f t="shared" si="216"/>
      </c>
      <c r="K211" s="289">
        <f t="shared" si="100"/>
      </c>
      <c r="L211" s="290">
        <f t="shared" si="130"/>
      </c>
      <c r="M211" s="291">
        <f t="shared" si="18"/>
      </c>
      <c r="N211" s="291">
        <f t="shared" si="65"/>
      </c>
      <c r="O211" s="292">
        <f t="shared" ref="O211:O212" si="246">(U211*1000)/D211</f>
      </c>
      <c r="P211" s="292"/>
      <c r="Q211" s="292"/>
      <c r="R211" s="287">
        <f>SUM(R208:R210)</f>
      </c>
      <c r="S211" s="287">
        <f>SUM(S208:S210)</f>
      </c>
      <c r="T211" s="287">
        <f>SUM(T208:T210)</f>
      </c>
      <c r="U211" s="287">
        <f>SUM(U208:U210)</f>
      </c>
      <c r="V211" s="287">
        <f>SUM(V208:V210)</f>
      </c>
    </row>
    <row r="212">
      <c r="A212" s="293"/>
      <c r="B212" s="294" t="s">
        <v>185</v>
      </c>
      <c r="C212" s="294"/>
      <c r="D212" s="295">
        <f>D207+D211</f>
      </c>
      <c r="E212" s="295">
        <f>E207+E211</f>
      </c>
      <c r="F212" s="295">
        <f>F207+F211</f>
      </c>
      <c r="G212" s="295">
        <f>G207+G211</f>
      </c>
      <c r="H212" s="296">
        <f>H207+H211</f>
      </c>
      <c r="I212" s="295">
        <f>I207+I211</f>
      </c>
      <c r="J212" s="297">
        <f t="shared" si="216"/>
      </c>
      <c r="K212" s="297">
        <f t="shared" si="100"/>
      </c>
      <c r="L212" s="297">
        <f t="shared" si="130"/>
      </c>
      <c r="M212" s="298">
        <f t="shared" si="18"/>
      </c>
      <c r="N212" s="298">
        <f t="shared" si="65"/>
      </c>
      <c r="O212" s="297">
        <f t="shared" si="246"/>
      </c>
      <c r="P212" s="299"/>
      <c r="Q212" s="299"/>
      <c r="R212" s="296">
        <f>R207+R211</f>
      </c>
      <c r="S212" s="296">
        <f>S207+S211</f>
      </c>
      <c r="T212" s="296">
        <f>T207+T211</f>
      </c>
      <c r="U212" s="296">
        <f>U207+U211</f>
      </c>
      <c r="V212" s="296">
        <f>V207+V211</f>
      </c>
    </row>
    <row r="213">
      <c r="A213" s="300" t="s">
        <v>148</v>
      </c>
      <c r="B213" s="300"/>
      <c r="C213" s="300"/>
      <c r="D213" s="301" t="s">
        <v>149</v>
      </c>
      <c r="E213" s="301"/>
      <c r="F213" s="301"/>
      <c r="G213" s="301"/>
      <c r="H213" s="301"/>
      <c r="I213" s="301"/>
      <c r="J213" s="301"/>
      <c r="K213" s="301"/>
      <c r="L213" s="301"/>
      <c r="M213" s="302" t="s">
        <v>150</v>
      </c>
      <c r="N213" s="302"/>
      <c r="O213" s="302"/>
      <c r="P213" s="302"/>
      <c r="Q213" s="302"/>
      <c r="R213" s="303" t="s">
        <v>151</v>
      </c>
      <c r="S213" s="303"/>
      <c r="T213" s="303"/>
      <c r="U213" s="303"/>
      <c r="V213" s="303"/>
    </row>
    <row r="214">
      <c r="A214" s="300" t="s">
        <v>152</v>
      </c>
      <c r="B214" s="300" t="s">
        <v>153</v>
      </c>
      <c r="C214" s="300" t="s">
        <v>154</v>
      </c>
      <c r="D214" s="301" t="s">
        <v>155</v>
      </c>
      <c r="E214" s="304" t="s">
        <v>156</v>
      </c>
      <c r="F214" s="301" t="s">
        <v>157</v>
      </c>
      <c r="G214" s="301" t="s">
        <v>158</v>
      </c>
      <c r="H214" s="305" t="s">
        <v>159</v>
      </c>
      <c r="I214" s="301" t="s">
        <v>160</v>
      </c>
      <c r="J214" s="306" t="s">
        <v>161</v>
      </c>
      <c r="K214" s="307" t="s">
        <v>162</v>
      </c>
      <c r="L214" s="301" t="s">
        <v>163</v>
      </c>
      <c r="M214" s="308" t="s">
        <v>164</v>
      </c>
      <c r="N214" s="308" t="s">
        <v>165</v>
      </c>
      <c r="O214" s="308" t="s">
        <v>166</v>
      </c>
      <c r="P214" s="302" t="s">
        <v>167</v>
      </c>
      <c r="Q214" s="302" t="s">
        <v>168</v>
      </c>
      <c r="R214" s="303" t="s">
        <v>169</v>
      </c>
      <c r="S214" s="303" t="s">
        <v>170</v>
      </c>
      <c r="T214" s="303" t="s">
        <v>171</v>
      </c>
      <c r="U214" s="309" t="s">
        <v>172</v>
      </c>
      <c r="V214" s="303" t="s">
        <v>173</v>
      </c>
    </row>
    <row r="215">
      <c r="A215" s="293">
        <v>46285</v>
      </c>
      <c r="B215" s="310" t="s">
        <v>192</v>
      </c>
      <c r="C215" s="311" t="s">
        <v>188</v>
      </c>
      <c r="D215" s="312">
        <f t="shared" ref="D215:D218" si="178">SUM(E215:G215)</f>
      </c>
      <c r="E215" s="313">
        <v>503.32</v>
      </c>
      <c r="F215" s="313">
        <v>1544.59</v>
      </c>
      <c r="G215" s="313">
        <v>0</v>
      </c>
      <c r="H215" s="314">
        <v>9</v>
      </c>
      <c r="I215" s="313">
        <v>6215.76</v>
      </c>
      <c r="J215" s="315">
        <f t="shared" ref="J215:J224" si="217">I215/D215</f>
      </c>
      <c r="K215" s="315">
        <f t="shared" ref="K215:K224" si="101">D215/H215</f>
      </c>
      <c r="L215" s="315">
        <f t="shared" ref="L215:L224" si="131">I215/H215</f>
      </c>
      <c r="M215" s="316">
        <f t="shared" ref="M215:M224" si="19">S215/R215</f>
      </c>
      <c r="N215" s="317">
        <f t="shared" ref="N215:N218" si="66">H215/(T215+H215)</f>
      </c>
      <c r="O215" s="318">
        <f t="shared" ref="O215:O218" si="294">(V215*1000)/D215</f>
      </c>
      <c r="P215" s="319" t="s">
        <v>176</v>
      </c>
      <c r="Q215" s="320" t="s">
        <v>194</v>
      </c>
      <c r="R215" s="321">
        <v>870</v>
      </c>
      <c r="S215" s="321">
        <v>106</v>
      </c>
      <c r="T215" s="322">
        <v>2</v>
      </c>
      <c r="U215" s="322">
        <v>1</v>
      </c>
      <c r="V215" s="322">
        <v>30</v>
      </c>
    </row>
    <row r="216">
      <c r="A216" s="323"/>
      <c r="B216" s="324" t="s">
        <v>192</v>
      </c>
      <c r="C216" s="313" t="s">
        <v>175</v>
      </c>
      <c r="D216" s="258">
        <f t="shared" si="178"/>
      </c>
      <c r="E216" s="325">
        <v>972.07</v>
      </c>
      <c r="F216" s="326">
        <v>2256.91</v>
      </c>
      <c r="G216" s="326">
        <v>0</v>
      </c>
      <c r="H216" s="327">
        <v>4</v>
      </c>
      <c r="I216" s="326">
        <v>2666.7800000000007</v>
      </c>
      <c r="J216" s="328">
        <f t="shared" si="217"/>
      </c>
      <c r="K216" s="328">
        <f t="shared" si="101"/>
      </c>
      <c r="L216" s="328">
        <f t="shared" si="131"/>
      </c>
      <c r="M216" s="329">
        <f t="shared" si="19"/>
      </c>
      <c r="N216" s="330">
        <f t="shared" si="66"/>
      </c>
      <c r="O216" s="331">
        <f t="shared" si="294"/>
      </c>
      <c r="P216" s="332" t="s">
        <v>176</v>
      </c>
      <c r="Q216" s="333" t="s">
        <v>194</v>
      </c>
      <c r="R216" s="334">
        <v>28935</v>
      </c>
      <c r="S216" s="335">
        <v>821</v>
      </c>
      <c r="T216" s="336">
        <v>8</v>
      </c>
      <c r="U216" s="336">
        <v>0</v>
      </c>
      <c r="V216" s="336">
        <v>30</v>
      </c>
    </row>
    <row r="217">
      <c r="A217" s="293"/>
      <c r="B217" s="337" t="s">
        <v>192</v>
      </c>
      <c r="C217" s="258" t="s">
        <v>178</v>
      </c>
      <c r="D217" s="258">
        <f t="shared" si="178"/>
      </c>
      <c r="E217" s="338">
        <v>871.13</v>
      </c>
      <c r="F217" s="313">
        <v>1516.27</v>
      </c>
      <c r="G217" s="313">
        <v>0</v>
      </c>
      <c r="H217" s="314">
        <v>6</v>
      </c>
      <c r="I217" s="313">
        <v>2756.0599999999995</v>
      </c>
      <c r="J217" s="315">
        <f t="shared" si="217"/>
      </c>
      <c r="K217" s="315">
        <f t="shared" si="101"/>
      </c>
      <c r="L217" s="315">
        <f t="shared" si="131"/>
      </c>
      <c r="M217" s="316">
        <f t="shared" si="19"/>
      </c>
      <c r="N217" s="317">
        <f t="shared" si="66"/>
      </c>
      <c r="O217" s="318">
        <f t="shared" si="294"/>
      </c>
      <c r="P217" s="319" t="s">
        <v>176</v>
      </c>
      <c r="Q217" s="320" t="s">
        <v>194</v>
      </c>
      <c r="R217" s="339">
        <v>21989</v>
      </c>
      <c r="S217" s="255">
        <v>701</v>
      </c>
      <c r="T217" s="256">
        <v>4</v>
      </c>
      <c r="U217" s="256">
        <v>2</v>
      </c>
      <c r="V217" s="256">
        <v>23</v>
      </c>
    </row>
    <row r="218">
      <c r="A218" s="293"/>
      <c r="B218" s="310" t="s">
        <v>192</v>
      </c>
      <c r="C218" s="326" t="s">
        <v>179</v>
      </c>
      <c r="D218" s="340">
        <f t="shared" si="178"/>
      </c>
      <c r="E218" s="313">
        <v>904.74</v>
      </c>
      <c r="F218" s="313">
        <v>1262.26</v>
      </c>
      <c r="G218" s="313">
        <v>0</v>
      </c>
      <c r="H218" s="314">
        <v>4</v>
      </c>
      <c r="I218" s="313">
        <v>3571.9799999999996</v>
      </c>
      <c r="J218" s="315">
        <f t="shared" si="217"/>
      </c>
      <c r="K218" s="315">
        <f t="shared" si="101"/>
      </c>
      <c r="L218" s="315">
        <f t="shared" si="131"/>
      </c>
      <c r="M218" s="316">
        <f t="shared" si="19"/>
      </c>
      <c r="N218" s="317">
        <f t="shared" si="66"/>
      </c>
      <c r="O218" s="318">
        <f t="shared" si="294"/>
      </c>
      <c r="P218" s="319" t="s">
        <v>176</v>
      </c>
      <c r="Q218" s="320" t="s">
        <v>194</v>
      </c>
      <c r="R218" s="339">
        <v>17151</v>
      </c>
      <c r="S218" s="255">
        <v>532</v>
      </c>
      <c r="T218" s="255">
        <v>4</v>
      </c>
      <c r="U218" s="256">
        <v>2</v>
      </c>
      <c r="V218" s="256">
        <v>22</v>
      </c>
    </row>
    <row r="219">
      <c r="A219" s="293"/>
      <c r="B219" s="341" t="s">
        <v>181</v>
      </c>
      <c r="C219" s="341"/>
      <c r="D219" s="342">
        <f>SUM(D215:D218)</f>
      </c>
      <c r="E219" s="342">
        <f>SUM(E215:E218)</f>
      </c>
      <c r="F219" s="342">
        <f>SUM(F215:F218)</f>
      </c>
      <c r="G219" s="342">
        <f>SUM(G215:G218)</f>
      </c>
      <c r="H219" s="343">
        <f>SUM(H215:H218)</f>
      </c>
      <c r="I219" s="342">
        <f>SUM(I215:I218)</f>
      </c>
      <c r="J219" s="344">
        <f t="shared" si="217"/>
      </c>
      <c r="K219" s="345">
        <f t="shared" si="101"/>
      </c>
      <c r="L219" s="346">
        <f t="shared" si="131"/>
      </c>
      <c r="M219" s="347">
        <f t="shared" si="19"/>
      </c>
      <c r="N219" s="347">
        <f>H219/T219</f>
      </c>
      <c r="O219" s="348">
        <f>(U219*1000)/D219</f>
      </c>
      <c r="P219" s="348"/>
      <c r="Q219" s="348"/>
      <c r="R219" s="349">
        <f>SUM(R215:R218)</f>
      </c>
      <c r="S219" s="265">
        <f>SUM(S215:S218)</f>
      </c>
      <c r="T219" s="265">
        <f>SUM(T215:T218)</f>
      </c>
      <c r="U219" s="265">
        <f>SUM(U215:U218)</f>
      </c>
      <c r="V219" s="265">
        <f>SUM(V215:V218)</f>
      </c>
    </row>
    <row r="220">
      <c r="A220" s="293"/>
      <c r="B220" s="310" t="s">
        <v>174</v>
      </c>
      <c r="C220" s="313" t="s">
        <v>180</v>
      </c>
      <c r="D220" s="258">
        <f t="shared" ref="D220:D222" si="179">SUM(E220:G220)</f>
      </c>
      <c r="E220" s="313">
        <v>871.36</v>
      </c>
      <c r="F220" s="313">
        <v>2492.8</v>
      </c>
      <c r="G220" s="313">
        <v>0</v>
      </c>
      <c r="H220" s="314">
        <v>10</v>
      </c>
      <c r="I220" s="313">
        <v>6410.379999999999</v>
      </c>
      <c r="J220" s="315">
        <f t="shared" si="217"/>
      </c>
      <c r="K220" s="315">
        <f t="shared" si="101"/>
      </c>
      <c r="L220" s="315">
        <f t="shared" si="131"/>
      </c>
      <c r="M220" s="316">
        <f t="shared" si="19"/>
      </c>
      <c r="N220" s="317">
        <f t="shared" ref="N220:N224" si="67">H220/(T220+H220)</f>
      </c>
      <c r="O220" s="318">
        <f t="shared" ref="O220:O222" si="295">(V220*1000)/D220</f>
      </c>
      <c r="P220" s="319" t="s">
        <v>176</v>
      </c>
      <c r="Q220" s="320" t="s">
        <v>194</v>
      </c>
      <c r="R220" s="339">
        <v>3364.16</v>
      </c>
      <c r="S220" s="255">
        <v>29654</v>
      </c>
      <c r="T220" s="256">
        <v>4</v>
      </c>
      <c r="U220" s="256">
        <v>1</v>
      </c>
      <c r="V220" s="256">
        <v>19</v>
      </c>
    </row>
    <row r="221">
      <c r="A221" s="293"/>
      <c r="B221" s="310" t="s">
        <v>174</v>
      </c>
      <c r="C221" s="258" t="s">
        <v>183</v>
      </c>
      <c r="D221" s="258">
        <f t="shared" si="179"/>
      </c>
      <c r="E221" s="313">
        <v>761.56</v>
      </c>
      <c r="F221" s="313">
        <v>3313.7</v>
      </c>
      <c r="G221" s="313">
        <v>0</v>
      </c>
      <c r="H221" s="350">
        <v>14</v>
      </c>
      <c r="I221" s="258">
        <v>9958.96</v>
      </c>
      <c r="J221" s="315">
        <f t="shared" si="217"/>
      </c>
      <c r="K221" s="315">
        <f t="shared" si="101"/>
      </c>
      <c r="L221" s="315">
        <f t="shared" si="131"/>
      </c>
      <c r="M221" s="316">
        <f t="shared" si="19"/>
      </c>
      <c r="N221" s="317">
        <f t="shared" si="67"/>
      </c>
      <c r="O221" s="318">
        <f t="shared" si="295"/>
      </c>
      <c r="P221" s="319" t="s">
        <v>176</v>
      </c>
      <c r="Q221" s="351" t="s">
        <v>194</v>
      </c>
      <c r="R221" s="339">
        <v>41854</v>
      </c>
      <c r="S221" s="255">
        <v>1034</v>
      </c>
      <c r="T221" s="256">
        <v>1</v>
      </c>
      <c r="U221" s="256">
        <v>1</v>
      </c>
      <c r="V221" s="256">
        <v>43</v>
      </c>
    </row>
    <row r="222">
      <c r="A222" s="293"/>
      <c r="B222" s="310" t="s">
        <v>174</v>
      </c>
      <c r="C222" s="313" t="s">
        <v>184</v>
      </c>
      <c r="D222" s="258">
        <f t="shared" si="179"/>
      </c>
      <c r="E222" s="313">
        <v>191.2</v>
      </c>
      <c r="F222" s="313">
        <v>1732.04</v>
      </c>
      <c r="G222" s="313">
        <v>0</v>
      </c>
      <c r="H222" s="350">
        <v>0</v>
      </c>
      <c r="I222" s="258">
        <v>0</v>
      </c>
      <c r="J222" s="315">
        <f t="shared" si="217"/>
      </c>
      <c r="K222" s="315">
        <f t="shared" si="101"/>
      </c>
      <c r="L222" s="315">
        <f t="shared" si="131"/>
      </c>
      <c r="M222" s="316">
        <f t="shared" si="19"/>
      </c>
      <c r="N222" s="317">
        <f t="shared" si="67"/>
      </c>
      <c r="O222" s="318">
        <f t="shared" si="295"/>
      </c>
      <c r="P222" s="319" t="s">
        <v>176</v>
      </c>
      <c r="Q222" s="351" t="s">
        <v>194</v>
      </c>
      <c r="R222" s="339">
        <v>834</v>
      </c>
      <c r="S222" s="255">
        <v>83</v>
      </c>
      <c r="T222" s="256">
        <v>1</v>
      </c>
      <c r="U222" s="256">
        <v>0</v>
      </c>
      <c r="V222" s="256">
        <v>12</v>
      </c>
    </row>
    <row r="223">
      <c r="A223" s="293"/>
      <c r="B223" s="341" t="s">
        <v>181</v>
      </c>
      <c r="C223" s="341"/>
      <c r="D223" s="342">
        <f>SUM(D220:D222)</f>
      </c>
      <c r="E223" s="342">
        <f>SUM(E220:E222)</f>
      </c>
      <c r="F223" s="342">
        <f>SUM(F220:F222)</f>
      </c>
      <c r="G223" s="342">
        <f>SUM(G219:G222)</f>
      </c>
      <c r="H223" s="343">
        <f>SUM(H220:H222)</f>
      </c>
      <c r="I223" s="342">
        <f>SUM(I220:I222)</f>
      </c>
      <c r="J223" s="344">
        <f t="shared" si="217"/>
      </c>
      <c r="K223" s="345">
        <f t="shared" si="101"/>
      </c>
      <c r="L223" s="346">
        <f t="shared" si="131"/>
      </c>
      <c r="M223" s="347">
        <f t="shared" si="19"/>
      </c>
      <c r="N223" s="347">
        <f t="shared" si="67"/>
      </c>
      <c r="O223" s="348">
        <f t="shared" ref="O223:O224" si="247">(U223*1000)/D223</f>
      </c>
      <c r="P223" s="348"/>
      <c r="Q223" s="348"/>
      <c r="R223" s="349">
        <f>SUM(R220:R222)</f>
      </c>
      <c r="S223" s="265">
        <f>SUM(S220:S222)</f>
      </c>
      <c r="T223" s="265">
        <f>SUM(T220:T222)</f>
      </c>
      <c r="U223" s="265">
        <f>SUM(U220:U222)</f>
      </c>
      <c r="V223" s="265">
        <f>SUM(V220:V222)</f>
      </c>
    </row>
    <row r="224">
      <c r="A224" s="293"/>
      <c r="B224" s="294" t="s">
        <v>185</v>
      </c>
      <c r="C224" s="294"/>
      <c r="D224" s="295">
        <f>D219+D223</f>
      </c>
      <c r="E224" s="295">
        <f>E219+E223</f>
      </c>
      <c r="F224" s="295">
        <f>F219+F223</f>
      </c>
      <c r="G224" s="295">
        <f>G219+G223</f>
      </c>
      <c r="H224" s="296">
        <f>H219+H223</f>
      </c>
      <c r="I224" s="295">
        <f>I219+I223</f>
      </c>
      <c r="J224" s="297">
        <f t="shared" si="217"/>
      </c>
      <c r="K224" s="297">
        <f t="shared" si="101"/>
      </c>
      <c r="L224" s="297">
        <f t="shared" si="131"/>
      </c>
      <c r="M224" s="298">
        <f t="shared" si="19"/>
      </c>
      <c r="N224" s="298">
        <f t="shared" si="67"/>
      </c>
      <c r="O224" s="297">
        <f t="shared" si="247"/>
      </c>
      <c r="P224" s="299"/>
      <c r="Q224" s="299"/>
      <c r="R224" s="352">
        <f>R219+R223</f>
      </c>
      <c r="S224" s="353">
        <f>S219+S223</f>
      </c>
      <c r="T224" s="353">
        <f>T219+T223</f>
      </c>
      <c r="U224" s="353">
        <f>U219+U223</f>
      </c>
      <c r="V224" s="353">
        <f>V219+V223</f>
      </c>
    </row>
    <row r="225">
      <c r="A225" s="300" t="s">
        <v>148</v>
      </c>
      <c r="B225" s="300"/>
      <c r="C225" s="300"/>
      <c r="D225" s="301" t="s">
        <v>149</v>
      </c>
      <c r="E225" s="301"/>
      <c r="F225" s="301"/>
      <c r="G225" s="301"/>
      <c r="H225" s="301"/>
      <c r="I225" s="301"/>
      <c r="J225" s="301"/>
      <c r="K225" s="301"/>
      <c r="L225" s="301"/>
      <c r="M225" s="302" t="s">
        <v>150</v>
      </c>
      <c r="N225" s="302"/>
      <c r="O225" s="302"/>
      <c r="P225" s="302"/>
      <c r="Q225" s="302"/>
      <c r="R225" s="303" t="s">
        <v>151</v>
      </c>
      <c r="S225" s="303"/>
      <c r="T225" s="303"/>
      <c r="U225" s="303"/>
      <c r="V225" s="303"/>
    </row>
    <row r="226">
      <c r="A226" s="300" t="s">
        <v>152</v>
      </c>
      <c r="B226" s="300" t="s">
        <v>153</v>
      </c>
      <c r="C226" s="300" t="s">
        <v>154</v>
      </c>
      <c r="D226" s="301" t="s">
        <v>155</v>
      </c>
      <c r="E226" s="304" t="s">
        <v>156</v>
      </c>
      <c r="F226" s="301" t="s">
        <v>157</v>
      </c>
      <c r="G226" s="301" t="s">
        <v>158</v>
      </c>
      <c r="H226" s="305" t="s">
        <v>159</v>
      </c>
      <c r="I226" s="301" t="s">
        <v>160</v>
      </c>
      <c r="J226" s="306" t="s">
        <v>161</v>
      </c>
      <c r="K226" s="307" t="s">
        <v>162</v>
      </c>
      <c r="L226" s="301" t="s">
        <v>163</v>
      </c>
      <c r="M226" s="308" t="s">
        <v>164</v>
      </c>
      <c r="N226" s="308" t="s">
        <v>165</v>
      </c>
      <c r="O226" s="308" t="s">
        <v>166</v>
      </c>
      <c r="P226" s="302" t="s">
        <v>167</v>
      </c>
      <c r="Q226" s="302" t="s">
        <v>168</v>
      </c>
      <c r="R226" s="303" t="s">
        <v>169</v>
      </c>
      <c r="S226" s="303" t="s">
        <v>170</v>
      </c>
      <c r="T226" s="303" t="s">
        <v>171</v>
      </c>
      <c r="U226" s="309" t="s">
        <v>172</v>
      </c>
      <c r="V226" s="303" t="s">
        <v>173</v>
      </c>
    </row>
    <row r="227">
      <c r="A227" s="293">
        <v>46286</v>
      </c>
      <c r="B227" s="310" t="s">
        <v>174</v>
      </c>
      <c r="C227" s="311" t="s">
        <v>188</v>
      </c>
      <c r="D227" s="312">
        <f t="shared" ref="D227:D229" si="180">SUM(E227:G227)</f>
      </c>
      <c r="E227" s="313">
        <v>294.14</v>
      </c>
      <c r="F227" s="313">
        <v>1522.43</v>
      </c>
      <c r="G227" s="313">
        <v>0</v>
      </c>
      <c r="H227" s="314">
        <v>3</v>
      </c>
      <c r="I227" s="313">
        <v>1593.08</v>
      </c>
      <c r="J227" s="315">
        <f t="shared" ref="J227:J236" si="218">I227/D227</f>
      </c>
      <c r="K227" s="315">
        <f t="shared" ref="K227:K236" si="102">D227/H227</f>
      </c>
      <c r="L227" s="315">
        <f t="shared" ref="L227:L236" si="132">I227/H227</f>
      </c>
      <c r="M227" s="316">
        <f t="shared" ref="M227:M236" si="20">S227/R227</f>
      </c>
      <c r="N227" s="317">
        <f t="shared" ref="N227:N229" si="68">H227/(T227+H227)</f>
      </c>
      <c r="O227" s="318">
        <f t="shared" ref="O227:O229" si="296">(V227*1000)/D227</f>
      </c>
      <c r="P227" s="319" t="s">
        <v>176</v>
      </c>
      <c r="Q227" s="320" t="s">
        <v>186</v>
      </c>
      <c r="R227" s="321">
        <v>9252</v>
      </c>
      <c r="S227" s="321">
        <v>354</v>
      </c>
      <c r="T227" s="322">
        <v>4</v>
      </c>
      <c r="U227" s="322">
        <v>0</v>
      </c>
      <c r="V227" s="322">
        <v>15</v>
      </c>
    </row>
    <row r="228">
      <c r="A228" s="293"/>
      <c r="B228" s="310" t="s">
        <v>174</v>
      </c>
      <c r="C228" s="313" t="s">
        <v>175</v>
      </c>
      <c r="D228" s="258">
        <f t="shared" si="180"/>
      </c>
      <c r="E228" s="325">
        <v>251.59</v>
      </c>
      <c r="F228" s="326">
        <v>1419.92</v>
      </c>
      <c r="G228" s="326">
        <v>0</v>
      </c>
      <c r="H228" s="327">
        <v>2</v>
      </c>
      <c r="I228" s="326">
        <v>947.2800000000002</v>
      </c>
      <c r="J228" s="328">
        <f t="shared" si="218"/>
      </c>
      <c r="K228" s="328">
        <f t="shared" si="102"/>
      </c>
      <c r="L228" s="328">
        <f t="shared" si="132"/>
      </c>
      <c r="M228" s="329">
        <f t="shared" si="20"/>
      </c>
      <c r="N228" s="330">
        <f t="shared" si="68"/>
      </c>
      <c r="O228" s="331">
        <f t="shared" si="296"/>
      </c>
      <c r="P228" s="332" t="s">
        <v>176</v>
      </c>
      <c r="Q228" s="320" t="s">
        <v>186</v>
      </c>
      <c r="R228" s="334">
        <v>9097</v>
      </c>
      <c r="S228" s="335">
        <v>324</v>
      </c>
      <c r="T228" s="336">
        <v>3</v>
      </c>
      <c r="U228" s="336">
        <v>0</v>
      </c>
      <c r="V228" s="336">
        <v>14</v>
      </c>
    </row>
    <row r="229">
      <c r="A229" s="293"/>
      <c r="B229" s="310" t="s">
        <v>174</v>
      </c>
      <c r="C229" s="258" t="s">
        <v>178</v>
      </c>
      <c r="D229" s="258">
        <f t="shared" si="180"/>
      </c>
      <c r="E229" s="338">
        <v>153.71</v>
      </c>
      <c r="F229" s="313">
        <v>1784.76</v>
      </c>
      <c r="G229" s="313">
        <v>0</v>
      </c>
      <c r="H229" s="314">
        <v>2</v>
      </c>
      <c r="I229" s="313">
        <v>1421.2799999999997</v>
      </c>
      <c r="J229" s="315">
        <f t="shared" si="218"/>
      </c>
      <c r="K229" s="315">
        <f t="shared" si="102"/>
      </c>
      <c r="L229" s="315">
        <f t="shared" si="132"/>
      </c>
      <c r="M229" s="316">
        <f t="shared" si="20"/>
      </c>
      <c r="N229" s="317">
        <f t="shared" si="68"/>
      </c>
      <c r="O229" s="318">
        <f t="shared" si="296"/>
      </c>
      <c r="P229" s="319" t="s">
        <v>176</v>
      </c>
      <c r="Q229" s="320" t="s">
        <v>186</v>
      </c>
      <c r="R229" s="339">
        <v>10427</v>
      </c>
      <c r="S229" s="255">
        <v>372</v>
      </c>
      <c r="T229" s="256">
        <v>3</v>
      </c>
      <c r="U229" s="256">
        <v>2</v>
      </c>
      <c r="V229" s="256">
        <v>24</v>
      </c>
    </row>
    <row r="230">
      <c r="A230" s="293"/>
      <c r="B230" s="341" t="s">
        <v>181</v>
      </c>
      <c r="C230" s="341"/>
      <c r="D230" s="342">
        <f>SUM(D227:D229)</f>
      </c>
      <c r="E230" s="342">
        <f>SUM(E227:E229)</f>
      </c>
      <c r="F230" s="342">
        <f>SUM(F227:F229)</f>
      </c>
      <c r="G230" s="342">
        <f>SUM(G227:G229)</f>
      </c>
      <c r="H230" s="343">
        <f>SUM(H227:H229)</f>
      </c>
      <c r="I230" s="342">
        <f>SUM(I227:I229)</f>
      </c>
      <c r="J230" s="344">
        <f t="shared" si="218"/>
      </c>
      <c r="K230" s="345">
        <f t="shared" si="102"/>
      </c>
      <c r="L230" s="346">
        <f t="shared" si="132"/>
      </c>
      <c r="M230" s="347">
        <f t="shared" si="20"/>
      </c>
      <c r="N230" s="347">
        <f>H230/T230</f>
      </c>
      <c r="O230" s="348">
        <f>(U230*1000)/D230</f>
      </c>
      <c r="P230" s="348"/>
      <c r="Q230" s="348"/>
      <c r="R230" s="349">
        <f>SUM(R227:R229)</f>
      </c>
      <c r="S230" s="265">
        <f>SUM(S227:S229)</f>
      </c>
      <c r="T230" s="265">
        <f>SUM(T227:T229)</f>
      </c>
      <c r="U230" s="265">
        <f>SUM(U227:U229)</f>
      </c>
      <c r="V230" s="265">
        <f>SUM(V227:V229)</f>
      </c>
    </row>
    <row customHeight="true" ht="18.452380952380953" r="231">
      <c r="A231" s="293"/>
      <c r="B231" s="310" t="s">
        <v>182</v>
      </c>
      <c r="C231" s="260" t="s">
        <v>179</v>
      </c>
      <c r="D231" s="260">
        <f t="shared" ref="D231:D234" si="181">SUM(E231:G231)</f>
      </c>
      <c r="E231" s="246">
        <v>175.76</v>
      </c>
      <c r="F231" s="246">
        <v>1691.98</v>
      </c>
      <c r="G231" s="246">
        <v>0</v>
      </c>
      <c r="H231" s="282">
        <v>7</v>
      </c>
      <c r="I231" s="245">
        <v>3918.8399999999997</v>
      </c>
      <c r="J231" s="248">
        <f t="shared" si="218"/>
      </c>
      <c r="K231" s="248">
        <f t="shared" si="102"/>
      </c>
      <c r="L231" s="248">
        <f t="shared" si="132"/>
      </c>
      <c r="M231" s="250">
        <f t="shared" si="20"/>
      </c>
      <c r="N231" s="251">
        <f t="shared" ref="N231:N236" si="69">H231/(T231+H231)</f>
      </c>
      <c r="O231" s="252">
        <f t="shared" ref="O231:O234" si="297">(V231*1000)/D231</f>
      </c>
      <c r="P231" s="253" t="s">
        <v>176</v>
      </c>
      <c r="Q231" s="283" t="s">
        <v>186</v>
      </c>
      <c r="R231" s="354">
        <v>9778</v>
      </c>
      <c r="S231" s="355">
        <v>300</v>
      </c>
      <c r="T231" s="355">
        <v>5</v>
      </c>
      <c r="U231" s="356">
        <v>1</v>
      </c>
      <c r="V231" s="356">
        <v>16</v>
      </c>
    </row>
    <row r="232">
      <c r="A232" s="293"/>
      <c r="B232" s="310" t="s">
        <v>182</v>
      </c>
      <c r="C232" s="313" t="s">
        <v>180</v>
      </c>
      <c r="D232" s="258">
        <f t="shared" si="181"/>
      </c>
      <c r="E232" s="313">
        <v>283.84</v>
      </c>
      <c r="F232" s="313">
        <v>1372.51</v>
      </c>
      <c r="G232" s="313">
        <v>0</v>
      </c>
      <c r="H232" s="314">
        <v>2</v>
      </c>
      <c r="I232" s="313">
        <v>1783.7399999999998</v>
      </c>
      <c r="J232" s="315">
        <f t="shared" si="218"/>
      </c>
      <c r="K232" s="315">
        <f t="shared" si="102"/>
      </c>
      <c r="L232" s="315">
        <f t="shared" si="132"/>
      </c>
      <c r="M232" s="316">
        <f t="shared" si="20"/>
      </c>
      <c r="N232" s="317">
        <f t="shared" si="69"/>
      </c>
      <c r="O232" s="318">
        <f t="shared" si="297"/>
      </c>
      <c r="P232" s="319" t="s">
        <v>176</v>
      </c>
      <c r="Q232" s="320" t="s">
        <v>186</v>
      </c>
      <c r="R232" s="339">
        <v>10082</v>
      </c>
      <c r="S232" s="255">
        <v>318</v>
      </c>
      <c r="T232" s="256">
        <v>4</v>
      </c>
      <c r="U232" s="256">
        <v>1</v>
      </c>
      <c r="V232" s="256">
        <v>21</v>
      </c>
    </row>
    <row r="233">
      <c r="A233" s="293"/>
      <c r="B233" s="310" t="s">
        <v>182</v>
      </c>
      <c r="C233" s="258" t="s">
        <v>183</v>
      </c>
      <c r="D233" s="258">
        <f t="shared" si="181"/>
      </c>
      <c r="E233" s="313">
        <v>286.44</v>
      </c>
      <c r="F233" s="313">
        <v>838.99</v>
      </c>
      <c r="G233" s="313">
        <v>0</v>
      </c>
      <c r="H233" s="350">
        <v>1</v>
      </c>
      <c r="I233" s="258">
        <v>236.64000000000124</v>
      </c>
      <c r="J233" s="315">
        <f t="shared" si="218"/>
      </c>
      <c r="K233" s="315">
        <f t="shared" si="102"/>
      </c>
      <c r="L233" s="315">
        <f t="shared" si="132"/>
      </c>
      <c r="M233" s="316">
        <f t="shared" si="20"/>
      </c>
      <c r="N233" s="317">
        <f t="shared" si="69"/>
      </c>
      <c r="O233" s="318">
        <f t="shared" si="297"/>
      </c>
      <c r="P233" s="319" t="s">
        <v>176</v>
      </c>
      <c r="Q233" s="320" t="s">
        <v>186</v>
      </c>
      <c r="R233" s="339">
        <v>5360</v>
      </c>
      <c r="S233" s="255">
        <v>214</v>
      </c>
      <c r="T233" s="256">
        <v>0</v>
      </c>
      <c r="U233" s="256">
        <v>0</v>
      </c>
      <c r="V233" s="256">
        <v>9</v>
      </c>
    </row>
    <row r="234">
      <c r="A234" s="293"/>
      <c r="B234" s="310" t="s">
        <v>182</v>
      </c>
      <c r="C234" s="313" t="s">
        <v>191</v>
      </c>
      <c r="D234" s="258">
        <f t="shared" si="181"/>
      </c>
      <c r="E234" s="313">
        <v>23.2</v>
      </c>
      <c r="F234" s="313">
        <v>202.27</v>
      </c>
      <c r="G234" s="313">
        <v>0</v>
      </c>
      <c r="H234" s="350">
        <v>1</v>
      </c>
      <c r="I234" s="258">
        <v>236.63999999999942</v>
      </c>
      <c r="J234" s="315">
        <f t="shared" si="218"/>
      </c>
      <c r="K234" s="315">
        <f t="shared" si="102"/>
      </c>
      <c r="L234" s="315">
        <f t="shared" si="132"/>
      </c>
      <c r="M234" s="316">
        <f t="shared" si="20"/>
      </c>
      <c r="N234" s="317">
        <f t="shared" si="69"/>
      </c>
      <c r="O234" s="318">
        <f t="shared" si="297"/>
      </c>
      <c r="P234" s="319" t="s">
        <v>176</v>
      </c>
      <c r="Q234" s="320" t="s">
        <v>186</v>
      </c>
      <c r="R234" s="339">
        <v>1013</v>
      </c>
      <c r="S234" s="255">
        <v>57</v>
      </c>
      <c r="T234" s="256">
        <v>3</v>
      </c>
      <c r="U234" s="256">
        <v>1</v>
      </c>
      <c r="V234" s="256">
        <v>6</v>
      </c>
    </row>
    <row r="235">
      <c r="A235" s="293"/>
      <c r="B235" s="341" t="s">
        <v>181</v>
      </c>
      <c r="C235" s="341"/>
      <c r="D235" s="342">
        <f>SUM(D231:D234)</f>
      </c>
      <c r="E235" s="342">
        <f>SUM(E231:E234)</f>
      </c>
      <c r="F235" s="342">
        <f>SUM(F231:F234)</f>
      </c>
      <c r="G235" s="342">
        <f>SUM(G231:G234)</f>
      </c>
      <c r="H235" s="343">
        <f>SUM(H231:H234)</f>
      </c>
      <c r="I235" s="342">
        <f>SUM(I231:I234)</f>
      </c>
      <c r="J235" s="344">
        <f t="shared" si="218"/>
      </c>
      <c r="K235" s="345">
        <f t="shared" si="102"/>
      </c>
      <c r="L235" s="346">
        <f t="shared" si="132"/>
      </c>
      <c r="M235" s="347">
        <f t="shared" si="20"/>
      </c>
      <c r="N235" s="347">
        <f t="shared" si="69"/>
      </c>
      <c r="O235" s="348">
        <f t="shared" ref="O235:O236" si="248">(U235*1000)/D235</f>
      </c>
      <c r="P235" s="348"/>
      <c r="Q235" s="348"/>
      <c r="R235" s="343">
        <f>SUM(R231:R234)</f>
      </c>
      <c r="S235" s="343">
        <f>SUM(S231:S234)</f>
      </c>
      <c r="T235" s="343">
        <f>SUM(T231:T234)</f>
      </c>
      <c r="U235" s="343">
        <f>SUM(U231:U234)</f>
      </c>
      <c r="V235" s="343">
        <f>SUM(V231:V234)</f>
      </c>
    </row>
    <row r="236">
      <c r="A236" s="293"/>
      <c r="B236" s="294" t="s">
        <v>185</v>
      </c>
      <c r="C236" s="294"/>
      <c r="D236" s="295">
        <f>D230+D235</f>
      </c>
      <c r="E236" s="295">
        <f>E230+E235</f>
      </c>
      <c r="F236" s="295">
        <f>F230+F235</f>
      </c>
      <c r="G236" s="295">
        <f>G230+G235</f>
      </c>
      <c r="H236" s="296">
        <f>H230+H235</f>
      </c>
      <c r="I236" s="295">
        <f>I230+I235</f>
      </c>
      <c r="J236" s="297">
        <f t="shared" si="218"/>
      </c>
      <c r="K236" s="297">
        <f t="shared" si="102"/>
      </c>
      <c r="L236" s="297">
        <f t="shared" si="132"/>
      </c>
      <c r="M236" s="298">
        <f t="shared" si="20"/>
      </c>
      <c r="N236" s="298">
        <f t="shared" si="69"/>
      </c>
      <c r="O236" s="297">
        <f t="shared" si="248"/>
      </c>
      <c r="P236" s="299"/>
      <c r="Q236" s="299"/>
      <c r="R236" s="352">
        <f>R230+R235</f>
      </c>
      <c r="S236" s="353">
        <f>S230+S235</f>
      </c>
      <c r="T236" s="353">
        <f>T230+T235</f>
      </c>
      <c r="U236" s="353">
        <f>U230+U235</f>
      </c>
      <c r="V236" s="353">
        <f>V230+V235</f>
      </c>
    </row>
    <row r="237">
      <c r="A237" s="300" t="s">
        <v>148</v>
      </c>
      <c r="B237" s="300"/>
      <c r="C237" s="300"/>
      <c r="D237" s="301" t="s">
        <v>149</v>
      </c>
      <c r="E237" s="301"/>
      <c r="F237" s="301"/>
      <c r="G237" s="301"/>
      <c r="H237" s="301"/>
      <c r="I237" s="301"/>
      <c r="J237" s="301"/>
      <c r="K237" s="301"/>
      <c r="L237" s="301"/>
      <c r="M237" s="302" t="s">
        <v>150</v>
      </c>
      <c r="N237" s="302"/>
      <c r="O237" s="302"/>
      <c r="P237" s="302"/>
      <c r="Q237" s="302"/>
      <c r="R237" s="303" t="s">
        <v>151</v>
      </c>
      <c r="S237" s="303"/>
      <c r="T237" s="303"/>
      <c r="U237" s="303"/>
      <c r="V237" s="303"/>
    </row>
    <row r="238">
      <c r="A238" s="300" t="s">
        <v>152</v>
      </c>
      <c r="B238" s="300" t="s">
        <v>153</v>
      </c>
      <c r="C238" s="300" t="s">
        <v>154</v>
      </c>
      <c r="D238" s="301" t="s">
        <v>155</v>
      </c>
      <c r="E238" s="304" t="s">
        <v>156</v>
      </c>
      <c r="F238" s="301" t="s">
        <v>157</v>
      </c>
      <c r="G238" s="301" t="s">
        <v>158</v>
      </c>
      <c r="H238" s="305" t="s">
        <v>159</v>
      </c>
      <c r="I238" s="301" t="s">
        <v>160</v>
      </c>
      <c r="J238" s="306" t="s">
        <v>161</v>
      </c>
      <c r="K238" s="307" t="s">
        <v>162</v>
      </c>
      <c r="L238" s="301" t="s">
        <v>163</v>
      </c>
      <c r="M238" s="308" t="s">
        <v>164</v>
      </c>
      <c r="N238" s="308" t="s">
        <v>165</v>
      </c>
      <c r="O238" s="308" t="s">
        <v>166</v>
      </c>
      <c r="P238" s="302" t="s">
        <v>167</v>
      </c>
      <c r="Q238" s="302" t="s">
        <v>168</v>
      </c>
      <c r="R238" s="303" t="s">
        <v>169</v>
      </c>
      <c r="S238" s="303" t="s">
        <v>170</v>
      </c>
      <c r="T238" s="303" t="s">
        <v>171</v>
      </c>
      <c r="U238" s="309" t="s">
        <v>172</v>
      </c>
      <c r="V238" s="303" t="s">
        <v>173</v>
      </c>
    </row>
    <row r="239">
      <c r="A239" s="293">
        <v>46287</v>
      </c>
      <c r="B239" s="310" t="s">
        <v>174</v>
      </c>
      <c r="C239" s="311" t="s">
        <v>188</v>
      </c>
      <c r="D239" s="312">
        <f t="shared" ref="D239:D242" si="182">SUM(E239:G239)</f>
      </c>
      <c r="E239" s="313">
        <v>330.55</v>
      </c>
      <c r="F239" s="313">
        <v>1243.05</v>
      </c>
      <c r="G239" s="313">
        <v>0</v>
      </c>
      <c r="H239" s="314">
        <v>2</v>
      </c>
      <c r="I239" s="313">
        <v>1805.28</v>
      </c>
      <c r="J239" s="315">
        <f t="shared" ref="J239:J248" si="219">I239/D239</f>
      </c>
      <c r="K239" s="315">
        <f t="shared" ref="K239:K248" si="103">D239/H239</f>
      </c>
      <c r="L239" s="315">
        <f t="shared" ref="L239:L248" si="133">I239/H239</f>
      </c>
      <c r="M239" s="316">
        <f t="shared" ref="M239:M248" si="21">S239/R239</f>
      </c>
      <c r="N239" s="317">
        <f t="shared" ref="N239:N242" si="70">H239/(T239+H239)</f>
      </c>
      <c r="O239" s="318">
        <f t="shared" ref="O239:O242" si="298">(V239*1000)/D239</f>
      </c>
      <c r="P239" s="319" t="s">
        <v>176</v>
      </c>
      <c r="Q239" s="320" t="s">
        <v>186</v>
      </c>
      <c r="R239" s="321">
        <v>7832</v>
      </c>
      <c r="S239" s="321">
        <v>320</v>
      </c>
      <c r="T239" s="322">
        <v>3</v>
      </c>
      <c r="U239" s="322">
        <v>0</v>
      </c>
      <c r="V239" s="322">
        <v>35</v>
      </c>
    </row>
    <row r="240">
      <c r="A240" s="293"/>
      <c r="B240" s="310" t="s">
        <v>174</v>
      </c>
      <c r="C240" s="313" t="s">
        <v>175</v>
      </c>
      <c r="D240" s="258">
        <f t="shared" si="182"/>
      </c>
      <c r="E240" s="325">
        <v>243.26</v>
      </c>
      <c r="F240" s="326">
        <v>748.45</v>
      </c>
      <c r="G240" s="326">
        <v>0</v>
      </c>
      <c r="H240" s="327">
        <v>4</v>
      </c>
      <c r="I240" s="326">
        <v>2734.92</v>
      </c>
      <c r="J240" s="328">
        <f t="shared" si="219"/>
      </c>
      <c r="K240" s="328">
        <f t="shared" si="103"/>
      </c>
      <c r="L240" s="328">
        <f t="shared" si="133"/>
      </c>
      <c r="M240" s="329">
        <f t="shared" si="21"/>
      </c>
      <c r="N240" s="330">
        <f t="shared" si="70"/>
      </c>
      <c r="O240" s="331">
        <f t="shared" si="298"/>
      </c>
      <c r="P240" s="332" t="s">
        <v>176</v>
      </c>
      <c r="Q240" s="320" t="s">
        <v>186</v>
      </c>
      <c r="R240" s="334">
        <v>5948</v>
      </c>
      <c r="S240" s="335">
        <v>226</v>
      </c>
      <c r="T240" s="336">
        <v>3</v>
      </c>
      <c r="U240" s="336">
        <v>0</v>
      </c>
      <c r="V240" s="336">
        <v>4</v>
      </c>
    </row>
    <row r="241">
      <c r="A241" s="293"/>
      <c r="B241" s="310" t="s">
        <v>174</v>
      </c>
      <c r="C241" s="258" t="s">
        <v>178</v>
      </c>
      <c r="D241" s="258">
        <f t="shared" si="182"/>
      </c>
      <c r="E241" s="338">
        <v>416.34</v>
      </c>
      <c r="F241" s="313">
        <v>702.66</v>
      </c>
      <c r="G241" s="313">
        <v>0</v>
      </c>
      <c r="H241" s="314">
        <v>3</v>
      </c>
      <c r="I241" s="313">
        <v>2601.12</v>
      </c>
      <c r="J241" s="315">
        <f t="shared" si="219"/>
      </c>
      <c r="K241" s="315">
        <f t="shared" si="103"/>
      </c>
      <c r="L241" s="315">
        <f t="shared" si="133"/>
      </c>
      <c r="M241" s="316">
        <f t="shared" si="21"/>
      </c>
      <c r="N241" s="317">
        <f t="shared" si="70"/>
      </c>
      <c r="O241" s="318">
        <f t="shared" si="298"/>
      </c>
      <c r="P241" s="319" t="s">
        <v>176</v>
      </c>
      <c r="Q241" s="320" t="s">
        <v>186</v>
      </c>
      <c r="R241" s="339">
        <v>8087</v>
      </c>
      <c r="S241" s="255">
        <v>310</v>
      </c>
      <c r="T241" s="256">
        <v>1</v>
      </c>
      <c r="U241" s="256">
        <v>0</v>
      </c>
      <c r="V241" s="256">
        <v>14</v>
      </c>
    </row>
    <row customHeight="true" ht="16.666666666666668" r="242">
      <c r="A242" s="293"/>
      <c r="B242" s="310" t="s">
        <v>174</v>
      </c>
      <c r="C242" s="260" t="s">
        <v>179</v>
      </c>
      <c r="D242" s="258">
        <f t="shared" si="182"/>
      </c>
      <c r="E242" s="338">
        <v>708.55</v>
      </c>
      <c r="F242" s="313">
        <v>813.51</v>
      </c>
      <c r="G242" s="313">
        <v>0</v>
      </c>
      <c r="H242" s="314">
        <v>5</v>
      </c>
      <c r="I242" s="313">
        <v>1550.4799999999996</v>
      </c>
      <c r="J242" s="315">
        <f t="shared" si="219"/>
      </c>
      <c r="K242" s="315">
        <f t="shared" si="103"/>
      </c>
      <c r="L242" s="315">
        <f t="shared" si="133"/>
      </c>
      <c r="M242" s="316">
        <f t="shared" si="21"/>
      </c>
      <c r="N242" s="317">
        <f t="shared" si="70"/>
      </c>
      <c r="O242" s="318">
        <f t="shared" si="298"/>
      </c>
      <c r="P242" s="319" t="s">
        <v>176</v>
      </c>
      <c r="Q242" s="320" t="s">
        <v>186</v>
      </c>
      <c r="R242" s="339">
        <v>11483</v>
      </c>
      <c r="S242" s="255">
        <v>420</v>
      </c>
      <c r="T242" s="256">
        <v>4</v>
      </c>
      <c r="U242" s="256">
        <v>1</v>
      </c>
      <c r="V242" s="256">
        <v>17</v>
      </c>
    </row>
    <row r="243">
      <c r="A243" s="293"/>
      <c r="B243" s="341" t="s">
        <v>181</v>
      </c>
      <c r="C243" s="341"/>
      <c r="D243" s="342">
        <f>SUM(D239:D242)</f>
      </c>
      <c r="E243" s="342">
        <f>SUM(E239:E242)</f>
      </c>
      <c r="F243" s="342">
        <f>SUM(F239:F242)</f>
      </c>
      <c r="G243" s="342">
        <f>SUM(G239:G242)</f>
      </c>
      <c r="H243" s="343">
        <f>SUM(H239:H242)</f>
      </c>
      <c r="I243" s="342">
        <f>SUM(I239:I242)</f>
      </c>
      <c r="J243" s="344">
        <f t="shared" si="219"/>
      </c>
      <c r="K243" s="345">
        <f t="shared" si="103"/>
      </c>
      <c r="L243" s="346">
        <f t="shared" si="133"/>
      </c>
      <c r="M243" s="347">
        <f t="shared" si="21"/>
      </c>
      <c r="N243" s="347">
        <f>H243/T243</f>
      </c>
      <c r="O243" s="348">
        <f>(U243*1000)/D243</f>
      </c>
      <c r="P243" s="348"/>
      <c r="Q243" s="348"/>
      <c r="R243" s="343">
        <f>SUM(R239:R242)</f>
      </c>
      <c r="S243" s="343">
        <f>SUM(S239:S242)</f>
      </c>
      <c r="T243" s="343">
        <f>SUM(T239:T242)</f>
      </c>
      <c r="U243" s="343">
        <f>SUM(U239:U242)</f>
      </c>
      <c r="V243" s="343">
        <f>SUM(V239:V242)</f>
      </c>
    </row>
    <row r="244">
      <c r="A244" s="293"/>
      <c r="B244" s="310" t="s">
        <v>192</v>
      </c>
      <c r="C244" s="313" t="s">
        <v>180</v>
      </c>
      <c r="D244" s="258">
        <f t="shared" ref="D244:D246" si="183">SUM(E244:G244)</f>
      </c>
      <c r="E244" s="313">
        <v>1099.06</v>
      </c>
      <c r="F244" s="313">
        <v>1644.55</v>
      </c>
      <c r="G244" s="313">
        <v>0</v>
      </c>
      <c r="H244" s="314">
        <v>7</v>
      </c>
      <c r="I244" s="313">
        <v>6680.880000000001</v>
      </c>
      <c r="J244" s="315">
        <f t="shared" si="219"/>
      </c>
      <c r="K244" s="315">
        <f t="shared" si="103"/>
      </c>
      <c r="L244" s="315">
        <f t="shared" si="133"/>
      </c>
      <c r="M244" s="316">
        <f t="shared" si="21"/>
      </c>
      <c r="N244" s="317">
        <f t="shared" ref="N244:N248" si="71">H244/(T244+H244)</f>
      </c>
      <c r="O244" s="318">
        <f t="shared" ref="O244:O246" si="299">(V244*1000)/D244</f>
      </c>
      <c r="P244" s="319" t="s">
        <v>176</v>
      </c>
      <c r="Q244" s="320" t="s">
        <v>186</v>
      </c>
      <c r="R244" s="339">
        <v>18816</v>
      </c>
      <c r="S244" s="255">
        <v>641</v>
      </c>
      <c r="T244" s="256">
        <v>3</v>
      </c>
      <c r="U244" s="256">
        <v>0</v>
      </c>
      <c r="V244" s="256">
        <v>23</v>
      </c>
    </row>
    <row r="245">
      <c r="A245" s="293"/>
      <c r="B245" s="310" t="s">
        <v>192</v>
      </c>
      <c r="C245" s="258" t="s">
        <v>183</v>
      </c>
      <c r="D245" s="258">
        <f t="shared" si="183"/>
      </c>
      <c r="E245" s="313">
        <v>1234.37</v>
      </c>
      <c r="F245" s="313">
        <v>1618.17</v>
      </c>
      <c r="G245" s="313">
        <v>0</v>
      </c>
      <c r="H245" s="350">
        <v>5</v>
      </c>
      <c r="I245" s="258">
        <v>1162.2599999999984</v>
      </c>
      <c r="J245" s="315">
        <f t="shared" si="219"/>
      </c>
      <c r="K245" s="315">
        <f t="shared" si="103"/>
      </c>
      <c r="L245" s="315">
        <f t="shared" si="133"/>
      </c>
      <c r="M245" s="316">
        <f t="shared" si="21"/>
      </c>
      <c r="N245" s="317">
        <f t="shared" si="71"/>
      </c>
      <c r="O245" s="318">
        <f t="shared" si="299"/>
      </c>
      <c r="P245" s="319" t="s">
        <v>176</v>
      </c>
      <c r="Q245" s="320" t="s">
        <v>186</v>
      </c>
      <c r="R245" s="339">
        <v>18985</v>
      </c>
      <c r="S245" s="255">
        <v>661</v>
      </c>
      <c r="T245" s="256">
        <v>6</v>
      </c>
      <c r="U245" s="256">
        <v>0</v>
      </c>
      <c r="V245" s="256">
        <v>29</v>
      </c>
    </row>
    <row r="246">
      <c r="A246" s="293"/>
      <c r="B246" s="310" t="s">
        <v>192</v>
      </c>
      <c r="C246" s="313" t="s">
        <v>191</v>
      </c>
      <c r="D246" s="258">
        <f t="shared" si="183"/>
      </c>
      <c r="E246" s="313">
        <v>447.92</v>
      </c>
      <c r="F246" s="313">
        <v>638.88</v>
      </c>
      <c r="G246" s="313">
        <v>0</v>
      </c>
      <c r="H246" s="350">
        <v>6</v>
      </c>
      <c r="I246" s="258">
        <v>2741.720000000001</v>
      </c>
      <c r="J246" s="315">
        <f t="shared" si="219"/>
      </c>
      <c r="K246" s="315">
        <f t="shared" si="103"/>
      </c>
      <c r="L246" s="315">
        <f t="shared" si="133"/>
      </c>
      <c r="M246" s="316">
        <f t="shared" si="21"/>
      </c>
      <c r="N246" s="317">
        <f t="shared" si="71"/>
      </c>
      <c r="O246" s="318">
        <f t="shared" si="299"/>
      </c>
      <c r="P246" s="319" t="s">
        <v>176</v>
      </c>
      <c r="Q246" s="320" t="s">
        <v>186</v>
      </c>
      <c r="R246" s="339">
        <v>9750</v>
      </c>
      <c r="S246" s="255">
        <v>345</v>
      </c>
      <c r="T246" s="256">
        <v>4</v>
      </c>
      <c r="U246" s="256">
        <v>0</v>
      </c>
      <c r="V246" s="256">
        <v>17</v>
      </c>
    </row>
    <row r="247">
      <c r="A247" s="293"/>
      <c r="B247" s="341" t="s">
        <v>181</v>
      </c>
      <c r="C247" s="341"/>
      <c r="D247" s="342">
        <f>SUM(D244:D246)</f>
      </c>
      <c r="E247" s="342">
        <f>SUM(E244:E246)</f>
      </c>
      <c r="F247" s="342">
        <f>SUM(F244:F246)</f>
      </c>
      <c r="G247" s="342">
        <f>SUM(G244:G246)</f>
      </c>
      <c r="H247" s="343">
        <f>SUM(H244:H246)</f>
      </c>
      <c r="I247" s="342">
        <f>SUM(I244:I246)</f>
      </c>
      <c r="J247" s="344">
        <f t="shared" si="219"/>
      </c>
      <c r="K247" s="345">
        <f t="shared" si="103"/>
      </c>
      <c r="L247" s="346">
        <f t="shared" si="133"/>
      </c>
      <c r="M247" s="347">
        <f t="shared" si="21"/>
      </c>
      <c r="N247" s="347">
        <f t="shared" si="71"/>
      </c>
      <c r="O247" s="348">
        <f t="shared" ref="O247:O248" si="249">(U247*1000)/D247</f>
      </c>
      <c r="P247" s="348"/>
      <c r="Q247" s="348"/>
      <c r="R247" s="343">
        <f>SUM(R244:R246)</f>
      </c>
      <c r="S247" s="343">
        <f>SUM(S244:S246)</f>
      </c>
      <c r="T247" s="343">
        <f>SUM(T244:T246)</f>
      </c>
      <c r="U247" s="343">
        <f>SUM(U244:U246)</f>
      </c>
      <c r="V247" s="343">
        <f>SUM(V244:V246)</f>
      </c>
    </row>
    <row r="248">
      <c r="A248" s="293"/>
      <c r="B248" s="294" t="s">
        <v>185</v>
      </c>
      <c r="C248" s="294"/>
      <c r="D248" s="295">
        <f>D243+D247</f>
      </c>
      <c r="E248" s="295">
        <f>E243+E247</f>
      </c>
      <c r="F248" s="295">
        <f>F243+F247</f>
      </c>
      <c r="G248" s="295">
        <f>G243+G247</f>
      </c>
      <c r="H248" s="296">
        <f>H243+H247</f>
      </c>
      <c r="I248" s="295">
        <f>I243+I247</f>
      </c>
      <c r="J248" s="297">
        <f t="shared" si="219"/>
      </c>
      <c r="K248" s="297">
        <f t="shared" si="103"/>
      </c>
      <c r="L248" s="297">
        <f t="shared" si="133"/>
      </c>
      <c r="M248" s="298">
        <f t="shared" si="21"/>
      </c>
      <c r="N248" s="298">
        <f t="shared" si="71"/>
      </c>
      <c r="O248" s="297">
        <f t="shared" si="249"/>
      </c>
      <c r="P248" s="299"/>
      <c r="Q248" s="299"/>
      <c r="R248" s="352">
        <f>R243+R247</f>
      </c>
      <c r="S248" s="353">
        <f>S243+S247</f>
      </c>
      <c r="T248" s="353">
        <f>T243+T247</f>
      </c>
      <c r="U248" s="353">
        <f>U243+U247</f>
      </c>
      <c r="V248" s="353">
        <f>V243+V247</f>
      </c>
    </row>
    <row r="249">
      <c r="A249" s="300" t="s">
        <v>148</v>
      </c>
      <c r="B249" s="300"/>
      <c r="C249" s="300"/>
      <c r="D249" s="301" t="s">
        <v>149</v>
      </c>
      <c r="E249" s="301"/>
      <c r="F249" s="301"/>
      <c r="G249" s="301"/>
      <c r="H249" s="301"/>
      <c r="I249" s="301"/>
      <c r="J249" s="301"/>
      <c r="K249" s="301"/>
      <c r="L249" s="301"/>
      <c r="M249" s="302" t="s">
        <v>150</v>
      </c>
      <c r="N249" s="302"/>
      <c r="O249" s="302"/>
      <c r="P249" s="302"/>
      <c r="Q249" s="302"/>
      <c r="R249" s="303" t="s">
        <v>151</v>
      </c>
      <c r="S249" s="303"/>
      <c r="T249" s="303"/>
      <c r="U249" s="303"/>
      <c r="V249" s="303"/>
    </row>
    <row r="250">
      <c r="A250" s="300" t="s">
        <v>152</v>
      </c>
      <c r="B250" s="300" t="s">
        <v>153</v>
      </c>
      <c r="C250" s="300" t="s">
        <v>154</v>
      </c>
      <c r="D250" s="301" t="s">
        <v>155</v>
      </c>
      <c r="E250" s="304" t="s">
        <v>156</v>
      </c>
      <c r="F250" s="301" t="s">
        <v>157</v>
      </c>
      <c r="G250" s="301" t="s">
        <v>158</v>
      </c>
      <c r="H250" s="305" t="s">
        <v>159</v>
      </c>
      <c r="I250" s="301" t="s">
        <v>160</v>
      </c>
      <c r="J250" s="306" t="s">
        <v>161</v>
      </c>
      <c r="K250" s="307" t="s">
        <v>162</v>
      </c>
      <c r="L250" s="301" t="s">
        <v>163</v>
      </c>
      <c r="M250" s="308" t="s">
        <v>164</v>
      </c>
      <c r="N250" s="308" t="s">
        <v>165</v>
      </c>
      <c r="O250" s="308" t="s">
        <v>166</v>
      </c>
      <c r="P250" s="302" t="s">
        <v>167</v>
      </c>
      <c r="Q250" s="302" t="s">
        <v>168</v>
      </c>
      <c r="R250" s="303" t="s">
        <v>169</v>
      </c>
      <c r="S250" s="303" t="s">
        <v>170</v>
      </c>
      <c r="T250" s="303" t="s">
        <v>171</v>
      </c>
      <c r="U250" s="309" t="s">
        <v>172</v>
      </c>
      <c r="V250" s="303" t="s">
        <v>173</v>
      </c>
    </row>
    <row r="251">
      <c r="A251" s="293">
        <v>46288</v>
      </c>
      <c r="B251" s="310" t="s">
        <v>174</v>
      </c>
      <c r="C251" s="311" t="s">
        <v>188</v>
      </c>
      <c r="D251" s="312">
        <f t="shared" ref="D251:D254" si="184">SUM(E251:G251)</f>
      </c>
      <c r="E251" s="313">
        <v>375.9</v>
      </c>
      <c r="F251" s="313">
        <v>1142.07</v>
      </c>
      <c r="G251" s="313">
        <v>0</v>
      </c>
      <c r="H251" s="314">
        <v>6</v>
      </c>
      <c r="I251" s="313">
        <v>4522.56</v>
      </c>
      <c r="J251" s="315">
        <f t="shared" ref="J251:J260" si="220">I251/D251</f>
      </c>
      <c r="K251" s="315">
        <f t="shared" ref="K251:K260" si="104">D251/H251</f>
      </c>
      <c r="L251" s="315">
        <f t="shared" ref="L251:L260" si="134">I251/H251</f>
      </c>
      <c r="M251" s="316">
        <f t="shared" ref="M251:M260" si="22">S251/R251</f>
      </c>
      <c r="N251" s="317">
        <f t="shared" ref="N251:N254" si="72">H251/(T251+H251)</f>
      </c>
      <c r="O251" s="318">
        <f t="shared" ref="O251:O254" si="300">(V251*1000)/D251</f>
      </c>
      <c r="P251" s="319" t="s">
        <v>176</v>
      </c>
      <c r="Q251" s="320" t="s">
        <v>186</v>
      </c>
      <c r="R251" s="321">
        <v>7012</v>
      </c>
      <c r="S251" s="321">
        <v>317</v>
      </c>
      <c r="T251" s="322">
        <v>3</v>
      </c>
      <c r="U251" s="322">
        <v>0</v>
      </c>
      <c r="V251" s="322">
        <v>22</v>
      </c>
    </row>
    <row r="252">
      <c r="A252" s="293"/>
      <c r="B252" s="310" t="s">
        <v>174</v>
      </c>
      <c r="C252" s="313" t="s">
        <v>175</v>
      </c>
      <c r="D252" s="258">
        <f t="shared" si="184"/>
      </c>
      <c r="E252" s="325">
        <v>404.84</v>
      </c>
      <c r="F252" s="326">
        <v>1043.73</v>
      </c>
      <c r="G252" s="326">
        <v>0</v>
      </c>
      <c r="H252" s="327">
        <v>4</v>
      </c>
      <c r="I252" s="326">
        <v>3226.5599999999995</v>
      </c>
      <c r="J252" s="328">
        <f t="shared" si="220"/>
      </c>
      <c r="K252" s="328">
        <f t="shared" si="104"/>
      </c>
      <c r="L252" s="328">
        <f t="shared" si="134"/>
      </c>
      <c r="M252" s="329">
        <f t="shared" si="22"/>
      </c>
      <c r="N252" s="330">
        <f t="shared" si="72"/>
      </c>
      <c r="O252" s="331">
        <f t="shared" si="300"/>
      </c>
      <c r="P252" s="332" t="s">
        <v>176</v>
      </c>
      <c r="Q252" s="320" t="s">
        <v>186</v>
      </c>
      <c r="R252" s="334">
        <v>8262</v>
      </c>
      <c r="S252" s="335">
        <v>316</v>
      </c>
      <c r="T252" s="336">
        <v>4</v>
      </c>
      <c r="U252" s="336">
        <v>0</v>
      </c>
      <c r="V252" s="336">
        <v>13</v>
      </c>
    </row>
    <row r="253">
      <c r="A253" s="293"/>
      <c r="B253" s="310" t="s">
        <v>174</v>
      </c>
      <c r="C253" s="258" t="s">
        <v>178</v>
      </c>
      <c r="D253" s="258">
        <f t="shared" si="184"/>
      </c>
      <c r="E253" s="338">
        <v>196.75</v>
      </c>
      <c r="F253" s="313">
        <v>1460.05</v>
      </c>
      <c r="G253" s="313">
        <v>0</v>
      </c>
      <c r="H253" s="314">
        <v>4</v>
      </c>
      <c r="I253" s="313">
        <v>2241.920000000001</v>
      </c>
      <c r="J253" s="315">
        <f t="shared" si="220"/>
      </c>
      <c r="K253" s="315">
        <f t="shared" si="104"/>
      </c>
      <c r="L253" s="315">
        <f t="shared" si="134"/>
      </c>
      <c r="M253" s="316">
        <f t="shared" si="22"/>
      </c>
      <c r="N253" s="317">
        <f t="shared" si="72"/>
      </c>
      <c r="O253" s="318">
        <f t="shared" si="300"/>
      </c>
      <c r="P253" s="319" t="s">
        <v>176</v>
      </c>
      <c r="Q253" s="320" t="s">
        <v>186</v>
      </c>
      <c r="R253" s="339">
        <v>8170</v>
      </c>
      <c r="S253" s="255">
        <v>318</v>
      </c>
      <c r="T253" s="256">
        <v>4</v>
      </c>
      <c r="U253" s="256">
        <v>0</v>
      </c>
      <c r="V253" s="256">
        <v>18</v>
      </c>
    </row>
    <row r="254">
      <c r="A254" s="293"/>
      <c r="B254" s="310" t="s">
        <v>174</v>
      </c>
      <c r="C254" s="260" t="s">
        <v>179</v>
      </c>
      <c r="D254" s="258">
        <f t="shared" si="184"/>
      </c>
      <c r="E254" s="338">
        <v>221.67</v>
      </c>
      <c r="F254" s="313">
        <v>3115.13</v>
      </c>
      <c r="G254" s="313">
        <v>0</v>
      </c>
      <c r="H254" s="314">
        <v>10</v>
      </c>
      <c r="I254" s="313">
        <v>8825.919999999998</v>
      </c>
      <c r="J254" s="315">
        <f t="shared" si="220"/>
      </c>
      <c r="K254" s="315">
        <f t="shared" si="104"/>
      </c>
      <c r="L254" s="315">
        <f t="shared" si="134"/>
      </c>
      <c r="M254" s="316">
        <f t="shared" si="22"/>
      </c>
      <c r="N254" s="317">
        <f t="shared" si="72"/>
      </c>
      <c r="O254" s="318">
        <f t="shared" si="300"/>
      </c>
      <c r="P254" s="319" t="s">
        <v>176</v>
      </c>
      <c r="Q254" s="320" t="s">
        <v>186</v>
      </c>
      <c r="R254" s="339">
        <v>15752</v>
      </c>
      <c r="S254" s="255">
        <v>532</v>
      </c>
      <c r="T254" s="256">
        <v>13</v>
      </c>
      <c r="U254" s="256">
        <v>1</v>
      </c>
      <c r="V254" s="256">
        <v>27</v>
      </c>
    </row>
    <row r="255">
      <c r="A255" s="293"/>
      <c r="B255" s="341" t="s">
        <v>181</v>
      </c>
      <c r="C255" s="341"/>
      <c r="D255" s="342">
        <f>SUM(D251:D254)</f>
      </c>
      <c r="E255" s="342">
        <f>SUM(E251:E254)</f>
      </c>
      <c r="F255" s="342">
        <f>SUM(F251:F254)</f>
      </c>
      <c r="G255" s="342">
        <f>SUM(G251:G254)</f>
      </c>
      <c r="H255" s="343">
        <f>SUM(H251:H254)</f>
      </c>
      <c r="I255" s="342">
        <f>SUM(I251:I254)</f>
      </c>
      <c r="J255" s="344">
        <f t="shared" si="220"/>
      </c>
      <c r="K255" s="345">
        <f t="shared" si="104"/>
      </c>
      <c r="L255" s="346">
        <f t="shared" si="134"/>
      </c>
      <c r="M255" s="347">
        <f t="shared" si="22"/>
      </c>
      <c r="N255" s="347">
        <f>H255/T255</f>
      </c>
      <c r="O255" s="348">
        <f>(U255*1000)/D255</f>
      </c>
      <c r="P255" s="348"/>
      <c r="Q255" s="348"/>
      <c r="R255" s="343">
        <f>SUM(R251:R254)</f>
      </c>
      <c r="S255" s="343">
        <f>SUM(S251:S254)</f>
      </c>
      <c r="T255" s="343">
        <f>SUM(T251:T254)</f>
      </c>
      <c r="U255" s="343">
        <f>SUM(U251:U254)</f>
      </c>
      <c r="V255" s="343">
        <f>SUM(V251:V254)</f>
      </c>
    </row>
    <row r="256">
      <c r="A256" s="293"/>
      <c r="B256" s="310" t="s">
        <v>192</v>
      </c>
      <c r="C256" s="313" t="s">
        <v>180</v>
      </c>
      <c r="D256" s="258">
        <f t="shared" ref="D256:D258" si="185">SUM(E256:G256)</f>
      </c>
      <c r="E256" s="313">
        <v>327.81</v>
      </c>
      <c r="F256" s="313">
        <v>3918.28</v>
      </c>
      <c r="G256" s="313">
        <v>0</v>
      </c>
      <c r="H256" s="314">
        <v>6</v>
      </c>
      <c r="I256" s="313">
        <v>3653.16</v>
      </c>
      <c r="J256" s="315">
        <f t="shared" si="220"/>
      </c>
      <c r="K256" s="315">
        <f t="shared" si="104"/>
      </c>
      <c r="L256" s="315">
        <f t="shared" si="134"/>
      </c>
      <c r="M256" s="316">
        <f t="shared" si="22"/>
      </c>
      <c r="N256" s="317">
        <f t="shared" ref="N256:N260" si="73">H256/(T256+H256)</f>
      </c>
      <c r="O256" s="318">
        <f t="shared" ref="O256:O258" si="301">(V256*1000)/D256</f>
      </c>
      <c r="P256" s="319" t="s">
        <v>176</v>
      </c>
      <c r="Q256" s="320" t="s">
        <v>186</v>
      </c>
      <c r="R256" s="339">
        <v>23088</v>
      </c>
      <c r="S256" s="255">
        <v>656</v>
      </c>
      <c r="T256" s="256">
        <v>9</v>
      </c>
      <c r="U256" s="256">
        <v>0</v>
      </c>
      <c r="V256" s="256">
        <v>5</v>
      </c>
    </row>
    <row r="257">
      <c r="A257" s="293"/>
      <c r="B257" s="310" t="s">
        <v>192</v>
      </c>
      <c r="C257" s="258" t="s">
        <v>183</v>
      </c>
      <c r="D257" s="258">
        <f t="shared" si="185"/>
      </c>
      <c r="E257" s="313">
        <v>134.01</v>
      </c>
      <c r="F257" s="313">
        <v>2030.61</v>
      </c>
      <c r="G257" s="313">
        <v>0</v>
      </c>
      <c r="H257" s="350">
        <v>9</v>
      </c>
      <c r="I257" s="258">
        <v>4095.3600000000006</v>
      </c>
      <c r="J257" s="315">
        <f t="shared" si="220"/>
      </c>
      <c r="K257" s="315">
        <f t="shared" si="104"/>
      </c>
      <c r="L257" s="315">
        <f t="shared" si="134"/>
      </c>
      <c r="M257" s="316">
        <f t="shared" si="22"/>
      </c>
      <c r="N257" s="317">
        <f t="shared" si="73"/>
      </c>
      <c r="O257" s="318">
        <f t="shared" si="301"/>
      </c>
      <c r="P257" s="319" t="s">
        <v>176</v>
      </c>
      <c r="Q257" s="320" t="s">
        <v>186</v>
      </c>
      <c r="R257" s="339">
        <v>11720</v>
      </c>
      <c r="S257" s="255">
        <v>387</v>
      </c>
      <c r="T257" s="256">
        <v>5</v>
      </c>
      <c r="U257" s="256">
        <v>0</v>
      </c>
      <c r="V257" s="256">
        <v>13</v>
      </c>
    </row>
    <row r="258">
      <c r="A258" s="293"/>
      <c r="B258" s="310" t="s">
        <v>192</v>
      </c>
      <c r="C258" s="313" t="s">
        <v>191</v>
      </c>
      <c r="D258" s="258">
        <f t="shared" si="185"/>
      </c>
      <c r="E258" s="313">
        <f>97.64+0.27+0.12</f>
      </c>
      <c r="F258" s="313">
        <f>2069.7+12.77+2.58+0.41</f>
      </c>
      <c r="G258" s="313">
        <v>0</v>
      </c>
      <c r="H258" s="350">
        <v>7</v>
      </c>
      <c r="I258" s="258">
        <v>5288.84</v>
      </c>
      <c r="J258" s="315">
        <f t="shared" si="220"/>
      </c>
      <c r="K258" s="315">
        <f t="shared" si="104"/>
      </c>
      <c r="L258" s="315">
        <f t="shared" si="134"/>
      </c>
      <c r="M258" s="316">
        <f t="shared" si="22"/>
      </c>
      <c r="N258" s="317">
        <f t="shared" si="73"/>
      </c>
      <c r="O258" s="318">
        <f t="shared" si="301"/>
      </c>
      <c r="P258" s="319" t="s">
        <v>176</v>
      </c>
      <c r="Q258" s="320" t="s">
        <v>186</v>
      </c>
      <c r="R258" s="339">
        <v>12834</v>
      </c>
      <c r="S258" s="255">
        <v>399</v>
      </c>
      <c r="T258" s="256">
        <v>6</v>
      </c>
      <c r="U258" s="256">
        <v>1</v>
      </c>
      <c r="V258" s="256">
        <v>25</v>
      </c>
    </row>
    <row r="259">
      <c r="A259" s="293"/>
      <c r="B259" s="341" t="s">
        <v>181</v>
      </c>
      <c r="C259" s="341"/>
      <c r="D259" s="342">
        <f>SUM(D256:D258)</f>
      </c>
      <c r="E259" s="342">
        <f>SUM(E256:E258)</f>
      </c>
      <c r="F259" s="342">
        <f>SUM(F256:F258)</f>
      </c>
      <c r="G259" s="342">
        <f>SUM(G256:G258)</f>
      </c>
      <c r="H259" s="343">
        <f>SUM(H256:H258)</f>
      </c>
      <c r="I259" s="342">
        <f>SUM(I256:I258)</f>
      </c>
      <c r="J259" s="344">
        <f t="shared" si="220"/>
      </c>
      <c r="K259" s="345">
        <f t="shared" si="104"/>
      </c>
      <c r="L259" s="346">
        <f t="shared" si="134"/>
      </c>
      <c r="M259" s="347">
        <f t="shared" si="22"/>
      </c>
      <c r="N259" s="347">
        <f t="shared" si="73"/>
      </c>
      <c r="O259" s="348">
        <f t="shared" ref="O259:O260" si="250">(U259*1000)/D259</f>
      </c>
      <c r="P259" s="348"/>
      <c r="Q259" s="348"/>
      <c r="R259" s="343">
        <f>SUM(R256:R258)</f>
      </c>
      <c r="S259" s="343">
        <f>SUM(S256:S258)</f>
      </c>
      <c r="T259" s="343">
        <f>SUM(T256:T258)</f>
      </c>
      <c r="U259" s="343">
        <f>SUM(U256:U258)</f>
      </c>
      <c r="V259" s="343">
        <f>SUM(V256:V258)</f>
      </c>
    </row>
    <row r="260">
      <c r="A260" s="293"/>
      <c r="B260" s="294" t="s">
        <v>185</v>
      </c>
      <c r="C260" s="294"/>
      <c r="D260" s="295">
        <f>D255+D259</f>
      </c>
      <c r="E260" s="295">
        <f>E255+E259</f>
      </c>
      <c r="F260" s="295">
        <f>F255+F259</f>
      </c>
      <c r="G260" s="295">
        <f>G255+G259</f>
      </c>
      <c r="H260" s="296">
        <f>H255+H259</f>
      </c>
      <c r="I260" s="295">
        <f>I255+I259</f>
      </c>
      <c r="J260" s="297">
        <f t="shared" si="220"/>
      </c>
      <c r="K260" s="297">
        <f t="shared" si="104"/>
      </c>
      <c r="L260" s="297">
        <f t="shared" si="134"/>
      </c>
      <c r="M260" s="298">
        <f t="shared" si="22"/>
      </c>
      <c r="N260" s="298">
        <f t="shared" si="73"/>
      </c>
      <c r="O260" s="297">
        <f t="shared" si="250"/>
      </c>
      <c r="P260" s="299"/>
      <c r="Q260" s="299"/>
      <c r="R260" s="352">
        <f>R255+R259</f>
      </c>
      <c r="S260" s="353">
        <f>S255+S259</f>
      </c>
      <c r="T260" s="353">
        <f>T255+T259</f>
      </c>
      <c r="U260" s="353">
        <f>U255+U259</f>
      </c>
      <c r="V260" s="353">
        <f>V255+V259</f>
      </c>
    </row>
    <row r="261">
      <c r="A261" s="300" t="s">
        <v>148</v>
      </c>
      <c r="B261" s="300"/>
      <c r="C261" s="300"/>
      <c r="D261" s="301" t="s">
        <v>149</v>
      </c>
      <c r="E261" s="301"/>
      <c r="F261" s="301"/>
      <c r="G261" s="301"/>
      <c r="H261" s="301"/>
      <c r="I261" s="301"/>
      <c r="J261" s="301"/>
      <c r="K261" s="301"/>
      <c r="L261" s="301"/>
      <c r="M261" s="302" t="s">
        <v>150</v>
      </c>
      <c r="N261" s="302"/>
      <c r="O261" s="302"/>
      <c r="P261" s="302"/>
      <c r="Q261" s="302"/>
      <c r="R261" s="303" t="s">
        <v>151</v>
      </c>
      <c r="S261" s="303"/>
      <c r="T261" s="303"/>
      <c r="U261" s="303"/>
      <c r="V261" s="303"/>
    </row>
    <row r="262">
      <c r="A262" s="300" t="s">
        <v>152</v>
      </c>
      <c r="B262" s="300" t="s">
        <v>153</v>
      </c>
      <c r="C262" s="300" t="s">
        <v>154</v>
      </c>
      <c r="D262" s="301" t="s">
        <v>155</v>
      </c>
      <c r="E262" s="304" t="s">
        <v>156</v>
      </c>
      <c r="F262" s="301" t="s">
        <v>157</v>
      </c>
      <c r="G262" s="301" t="s">
        <v>158</v>
      </c>
      <c r="H262" s="305" t="s">
        <v>159</v>
      </c>
      <c r="I262" s="301" t="s">
        <v>160</v>
      </c>
      <c r="J262" s="306" t="s">
        <v>161</v>
      </c>
      <c r="K262" s="307" t="s">
        <v>162</v>
      </c>
      <c r="L262" s="301" t="s">
        <v>163</v>
      </c>
      <c r="M262" s="308" t="s">
        <v>164</v>
      </c>
      <c r="N262" s="308" t="s">
        <v>165</v>
      </c>
      <c r="O262" s="308" t="s">
        <v>166</v>
      </c>
      <c r="P262" s="302" t="s">
        <v>167</v>
      </c>
      <c r="Q262" s="302" t="s">
        <v>168</v>
      </c>
      <c r="R262" s="303" t="s">
        <v>169</v>
      </c>
      <c r="S262" s="303" t="s">
        <v>170</v>
      </c>
      <c r="T262" s="303" t="s">
        <v>171</v>
      </c>
      <c r="U262" s="309" t="s">
        <v>172</v>
      </c>
      <c r="V262" s="303" t="s">
        <v>173</v>
      </c>
    </row>
    <row r="263">
      <c r="A263" s="293">
        <v>46289</v>
      </c>
      <c r="B263" s="310" t="s">
        <v>174</v>
      </c>
      <c r="C263" s="311" t="s">
        <v>188</v>
      </c>
      <c r="D263" s="312">
        <f t="shared" ref="D263:D266" si="186">SUM(E263:G263)</f>
      </c>
      <c r="E263" s="313">
        <v>155.86</v>
      </c>
      <c r="F263" s="313">
        <v>1832.31</v>
      </c>
      <c r="G263" s="313">
        <v>0</v>
      </c>
      <c r="H263" s="314">
        <v>3</v>
      </c>
      <c r="I263" s="313">
        <v>2515.92</v>
      </c>
      <c r="J263" s="315">
        <f t="shared" ref="J263:J272" si="221">I263/D263</f>
      </c>
      <c r="K263" s="315">
        <f t="shared" ref="K263:K272" si="105">D263/H263</f>
      </c>
      <c r="L263" s="315">
        <f t="shared" ref="L263:L272" si="135">I263/H263</f>
      </c>
      <c r="M263" s="316">
        <f t="shared" ref="M263:M272" si="23">S263/R263</f>
      </c>
      <c r="N263" s="317">
        <f t="shared" ref="N263:N266" si="74">H263/(T263+H263)</f>
      </c>
      <c r="O263" s="318">
        <f t="shared" ref="O263:O266" si="302">(V263*1000)/D263</f>
      </c>
      <c r="P263" s="319" t="s">
        <v>176</v>
      </c>
      <c r="Q263" s="320" t="s">
        <v>186</v>
      </c>
      <c r="R263" s="321">
        <v>9880</v>
      </c>
      <c r="S263" s="321">
        <v>318</v>
      </c>
      <c r="T263" s="322">
        <v>4</v>
      </c>
      <c r="U263" s="322">
        <v>1</v>
      </c>
      <c r="V263" s="322">
        <v>10</v>
      </c>
    </row>
    <row r="264">
      <c r="A264" s="293"/>
      <c r="B264" s="310" t="s">
        <v>174</v>
      </c>
      <c r="C264" s="313" t="s">
        <v>175</v>
      </c>
      <c r="D264" s="258">
        <f t="shared" si="186"/>
      </c>
      <c r="E264" s="325">
        <v>348.15</v>
      </c>
      <c r="F264" s="326">
        <v>1389.14</v>
      </c>
      <c r="G264" s="326">
        <v>0</v>
      </c>
      <c r="H264" s="327">
        <v>4</v>
      </c>
      <c r="I264" s="326">
        <v>4923.2</v>
      </c>
      <c r="J264" s="328">
        <f t="shared" si="221"/>
      </c>
      <c r="K264" s="328">
        <f t="shared" si="105"/>
      </c>
      <c r="L264" s="328">
        <f t="shared" si="135"/>
      </c>
      <c r="M264" s="329">
        <f t="shared" si="23"/>
      </c>
      <c r="N264" s="330">
        <f t="shared" si="74"/>
      </c>
      <c r="O264" s="331">
        <f t="shared" si="302"/>
      </c>
      <c r="P264" s="332" t="s">
        <v>176</v>
      </c>
      <c r="Q264" s="320" t="s">
        <v>186</v>
      </c>
      <c r="R264" s="334">
        <v>10590</v>
      </c>
      <c r="S264" s="335">
        <v>337</v>
      </c>
      <c r="T264" s="336">
        <v>3</v>
      </c>
      <c r="U264" s="336">
        <v>0</v>
      </c>
      <c r="V264" s="336">
        <v>13</v>
      </c>
    </row>
    <row r="265">
      <c r="A265" s="293"/>
      <c r="B265" s="310" t="s">
        <v>174</v>
      </c>
      <c r="C265" s="258" t="s">
        <v>178</v>
      </c>
      <c r="D265" s="258">
        <f t="shared" si="186"/>
      </c>
      <c r="E265" s="338">
        <v>324.67</v>
      </c>
      <c r="F265" s="313">
        <v>1570.88</v>
      </c>
      <c r="G265" s="313">
        <v>0</v>
      </c>
      <c r="H265" s="314">
        <v>4</v>
      </c>
      <c r="I265" s="313">
        <v>2670.080000000001</v>
      </c>
      <c r="J265" s="315">
        <f t="shared" si="221"/>
      </c>
      <c r="K265" s="315">
        <f t="shared" si="105"/>
      </c>
      <c r="L265" s="315">
        <f t="shared" si="135"/>
      </c>
      <c r="M265" s="316">
        <f t="shared" si="23"/>
      </c>
      <c r="N265" s="317">
        <f t="shared" si="74"/>
      </c>
      <c r="O265" s="318">
        <f t="shared" si="302"/>
      </c>
      <c r="P265" s="319" t="s">
        <v>176</v>
      </c>
      <c r="Q265" s="320" t="s">
        <v>186</v>
      </c>
      <c r="R265" s="339">
        <v>10342</v>
      </c>
      <c r="S265" s="255">
        <v>345</v>
      </c>
      <c r="T265" s="256">
        <v>4</v>
      </c>
      <c r="U265" s="256">
        <v>1</v>
      </c>
      <c r="V265" s="256">
        <v>21</v>
      </c>
    </row>
    <row r="266">
      <c r="A266" s="293"/>
      <c r="B266" s="310" t="s">
        <v>174</v>
      </c>
      <c r="C266" s="260" t="s">
        <v>179</v>
      </c>
      <c r="D266" s="258">
        <f t="shared" si="186"/>
      </c>
      <c r="E266" s="338">
        <v>475.9</v>
      </c>
      <c r="F266" s="313">
        <v>1787.2</v>
      </c>
      <c r="G266" s="313">
        <v>0</v>
      </c>
      <c r="H266" s="314">
        <v>9</v>
      </c>
      <c r="I266" s="313">
        <v>6956.079999999998</v>
      </c>
      <c r="J266" s="315">
        <f t="shared" si="221"/>
      </c>
      <c r="K266" s="315">
        <f t="shared" si="105"/>
      </c>
      <c r="L266" s="315">
        <f t="shared" si="135"/>
      </c>
      <c r="M266" s="316">
        <f t="shared" si="23"/>
      </c>
      <c r="N266" s="317">
        <f t="shared" si="74"/>
      </c>
      <c r="O266" s="318">
        <f t="shared" si="302"/>
      </c>
      <c r="P266" s="319" t="s">
        <v>176</v>
      </c>
      <c r="Q266" s="320" t="s">
        <v>186</v>
      </c>
      <c r="R266" s="339">
        <v>12044</v>
      </c>
      <c r="S266" s="255">
        <v>449</v>
      </c>
      <c r="T266" s="256">
        <v>4</v>
      </c>
      <c r="U266" s="256">
        <v>0</v>
      </c>
      <c r="V266" s="256">
        <v>28</v>
      </c>
    </row>
    <row r="267">
      <c r="A267" s="293"/>
      <c r="B267" s="341" t="s">
        <v>181</v>
      </c>
      <c r="C267" s="341"/>
      <c r="D267" s="342">
        <f>SUM(D263:D266)</f>
      </c>
      <c r="E267" s="342">
        <f>SUM(E263:E266)</f>
      </c>
      <c r="F267" s="342">
        <f>SUM(F263:F266)</f>
      </c>
      <c r="G267" s="342">
        <f>SUM(G263:G266)</f>
      </c>
      <c r="H267" s="343">
        <f>SUM(H263:H266)</f>
      </c>
      <c r="I267" s="342">
        <f>SUM(I263:I266)</f>
      </c>
      <c r="J267" s="344">
        <f t="shared" si="221"/>
      </c>
      <c r="K267" s="345">
        <f t="shared" si="105"/>
      </c>
      <c r="L267" s="346">
        <f t="shared" si="135"/>
      </c>
      <c r="M267" s="347">
        <f t="shared" si="23"/>
      </c>
      <c r="N267" s="347">
        <f>H267/T267</f>
      </c>
      <c r="O267" s="348">
        <f>(U267*1000)/D267</f>
      </c>
      <c r="P267" s="348"/>
      <c r="Q267" s="348"/>
      <c r="R267" s="343">
        <f>SUM(R263:R266)</f>
      </c>
      <c r="S267" s="343">
        <f>SUM(S263:S266)</f>
      </c>
      <c r="T267" s="343">
        <f>SUM(T263:T266)</f>
      </c>
      <c r="U267" s="343">
        <f>SUM(U263:U266)</f>
      </c>
      <c r="V267" s="343">
        <f>SUM(V263:V266)</f>
      </c>
    </row>
    <row r="268">
      <c r="A268" s="293"/>
      <c r="B268" s="310" t="s">
        <v>182</v>
      </c>
      <c r="C268" s="313" t="s">
        <v>180</v>
      </c>
      <c r="D268" s="258">
        <f t="shared" ref="D268:D270" si="187">SUM(E268:G268)</f>
      </c>
      <c r="E268" s="313">
        <v>685.5</v>
      </c>
      <c r="F268" s="313">
        <v>1940.42</v>
      </c>
      <c r="G268" s="313">
        <v>0</v>
      </c>
      <c r="H268" s="314">
        <v>3</v>
      </c>
      <c r="I268" s="313">
        <v>1653.1200000000026</v>
      </c>
      <c r="J268" s="315">
        <f t="shared" si="221"/>
      </c>
      <c r="K268" s="315">
        <f t="shared" si="105"/>
      </c>
      <c r="L268" s="315">
        <f t="shared" si="135"/>
      </c>
      <c r="M268" s="316">
        <f t="shared" si="23"/>
      </c>
      <c r="N268" s="317">
        <f t="shared" ref="N268:N272" si="75">H268/(T268+H268)</f>
      </c>
      <c r="O268" s="318">
        <f t="shared" ref="O268:O270" si="303">(V268*1000)/D268</f>
      </c>
      <c r="P268" s="319" t="s">
        <v>176</v>
      </c>
      <c r="Q268" s="320" t="s">
        <v>186</v>
      </c>
      <c r="R268" s="339">
        <v>13329</v>
      </c>
      <c r="S268" s="255">
        <v>463</v>
      </c>
      <c r="T268" s="256">
        <v>5</v>
      </c>
      <c r="U268" s="256">
        <v>0</v>
      </c>
      <c r="V268" s="256">
        <v>25</v>
      </c>
    </row>
    <row r="269">
      <c r="A269" s="293"/>
      <c r="B269" s="310" t="s">
        <v>182</v>
      </c>
      <c r="C269" s="258" t="s">
        <v>183</v>
      </c>
      <c r="D269" s="258">
        <f t="shared" si="187"/>
      </c>
      <c r="E269" s="313">
        <v>476.06</v>
      </c>
      <c r="F269" s="313">
        <v>1204.19</v>
      </c>
      <c r="G269" s="313">
        <v>0</v>
      </c>
      <c r="H269" s="350">
        <v>4</v>
      </c>
      <c r="I269" s="258">
        <v>4140.399999999998</v>
      </c>
      <c r="J269" s="315">
        <f t="shared" si="221"/>
      </c>
      <c r="K269" s="315">
        <f t="shared" si="105"/>
      </c>
      <c r="L269" s="315">
        <f t="shared" si="135"/>
      </c>
      <c r="M269" s="316">
        <f t="shared" si="23"/>
      </c>
      <c r="N269" s="317">
        <f t="shared" si="75"/>
      </c>
      <c r="O269" s="318">
        <f t="shared" si="303"/>
      </c>
      <c r="P269" s="319" t="s">
        <v>176</v>
      </c>
      <c r="Q269" s="320" t="s">
        <v>186</v>
      </c>
      <c r="R269" s="339">
        <v>9827</v>
      </c>
      <c r="S269" s="255">
        <v>420</v>
      </c>
      <c r="T269" s="256">
        <v>4</v>
      </c>
      <c r="U269" s="256">
        <v>0</v>
      </c>
      <c r="V269" s="256">
        <v>30</v>
      </c>
    </row>
    <row r="270">
      <c r="A270" s="293"/>
      <c r="B270" s="310" t="s">
        <v>182</v>
      </c>
      <c r="C270" s="313" t="s">
        <v>191</v>
      </c>
      <c r="D270" s="258">
        <f t="shared" si="187"/>
      </c>
      <c r="E270" s="313">
        <v>64.95</v>
      </c>
      <c r="F270" s="313">
        <v>350.51</v>
      </c>
      <c r="G270" s="313">
        <v>0</v>
      </c>
      <c r="H270" s="350">
        <v>4</v>
      </c>
      <c r="I270" s="258">
        <v>4268.080000000002</v>
      </c>
      <c r="J270" s="315">
        <f t="shared" si="221"/>
      </c>
      <c r="K270" s="315">
        <f t="shared" si="105"/>
      </c>
      <c r="L270" s="315">
        <f t="shared" si="135"/>
      </c>
      <c r="M270" s="316">
        <f t="shared" si="23"/>
      </c>
      <c r="N270" s="317">
        <f t="shared" si="75"/>
      </c>
      <c r="O270" s="318">
        <f t="shared" si="303"/>
      </c>
      <c r="P270" s="319" t="s">
        <v>176</v>
      </c>
      <c r="Q270" s="320" t="s">
        <v>186</v>
      </c>
      <c r="R270" s="339">
        <v>2874</v>
      </c>
      <c r="S270" s="255">
        <v>117</v>
      </c>
      <c r="T270" s="256">
        <v>2</v>
      </c>
      <c r="U270" s="256">
        <v>0</v>
      </c>
      <c r="V270" s="256">
        <v>12</v>
      </c>
    </row>
    <row r="271">
      <c r="A271" s="293"/>
      <c r="B271" s="341" t="s">
        <v>181</v>
      </c>
      <c r="C271" s="341"/>
      <c r="D271" s="342">
        <f>SUM(D268:D270)</f>
      </c>
      <c r="E271" s="342">
        <f>SUM(E268:E270)</f>
      </c>
      <c r="F271" s="342">
        <f>SUM(F268:F270)</f>
      </c>
      <c r="G271" s="342">
        <f>SUM(G268:G270)</f>
      </c>
      <c r="H271" s="343">
        <f>SUM(H268:H270)</f>
      </c>
      <c r="I271" s="342">
        <f>SUM(I268:I270)</f>
      </c>
      <c r="J271" s="344">
        <f t="shared" si="221"/>
      </c>
      <c r="K271" s="345">
        <f t="shared" si="105"/>
      </c>
      <c r="L271" s="346">
        <f t="shared" si="135"/>
      </c>
      <c r="M271" s="347">
        <f t="shared" si="23"/>
      </c>
      <c r="N271" s="347">
        <f t="shared" si="75"/>
      </c>
      <c r="O271" s="348">
        <f t="shared" ref="O271:O272" si="251">(U271*1000)/D271</f>
      </c>
      <c r="P271" s="348"/>
      <c r="Q271" s="348"/>
      <c r="R271" s="343">
        <f>SUM(R268:R270)</f>
      </c>
      <c r="S271" s="343">
        <f>SUM(S268:S270)</f>
      </c>
      <c r="T271" s="343">
        <f>SUM(T268:T270)</f>
      </c>
      <c r="U271" s="343">
        <f>SUM(U268:U270)</f>
      </c>
      <c r="V271" s="343">
        <f>SUM(V268:V270)</f>
      </c>
    </row>
    <row r="272">
      <c r="A272" s="293"/>
      <c r="B272" s="294" t="s">
        <v>185</v>
      </c>
      <c r="C272" s="294"/>
      <c r="D272" s="295">
        <f>D267+D271</f>
      </c>
      <c r="E272" s="295">
        <f>E267+E271</f>
      </c>
      <c r="F272" s="295">
        <f>F267+F271</f>
      </c>
      <c r="G272" s="295">
        <f>G267+G271</f>
      </c>
      <c r="H272" s="296">
        <f>H267+H271</f>
      </c>
      <c r="I272" s="295">
        <f>I267+I271</f>
      </c>
      <c r="J272" s="297">
        <f t="shared" si="221"/>
      </c>
      <c r="K272" s="297">
        <f t="shared" si="105"/>
      </c>
      <c r="L272" s="297">
        <f t="shared" si="135"/>
      </c>
      <c r="M272" s="298">
        <f t="shared" si="23"/>
      </c>
      <c r="N272" s="298">
        <f t="shared" si="75"/>
      </c>
      <c r="O272" s="297">
        <f t="shared" si="251"/>
      </c>
      <c r="P272" s="299"/>
      <c r="Q272" s="299"/>
      <c r="R272" s="352">
        <f>R267+R271</f>
      </c>
      <c r="S272" s="353">
        <f>S267+S271</f>
      </c>
      <c r="T272" s="353">
        <f>T267+T271</f>
      </c>
      <c r="U272" s="353">
        <f>U267+U271</f>
      </c>
      <c r="V272" s="353">
        <f>V267+V271</f>
      </c>
    </row>
    <row r="273">
      <c r="A273" s="300" t="s">
        <v>148</v>
      </c>
      <c r="B273" s="300"/>
      <c r="C273" s="300"/>
      <c r="D273" s="301" t="s">
        <v>149</v>
      </c>
      <c r="E273" s="301"/>
      <c r="F273" s="301"/>
      <c r="G273" s="301"/>
      <c r="H273" s="301"/>
      <c r="I273" s="301"/>
      <c r="J273" s="301"/>
      <c r="K273" s="301"/>
      <c r="L273" s="301"/>
      <c r="M273" s="302" t="s">
        <v>150</v>
      </c>
      <c r="N273" s="302"/>
      <c r="O273" s="302"/>
      <c r="P273" s="302"/>
      <c r="Q273" s="302"/>
      <c r="R273" s="303" t="s">
        <v>151</v>
      </c>
      <c r="S273" s="303"/>
      <c r="T273" s="303"/>
      <c r="U273" s="303"/>
      <c r="V273" s="303"/>
    </row>
    <row r="274">
      <c r="A274" s="300" t="s">
        <v>152</v>
      </c>
      <c r="B274" s="300" t="s">
        <v>153</v>
      </c>
      <c r="C274" s="300" t="s">
        <v>154</v>
      </c>
      <c r="D274" s="301" t="s">
        <v>155</v>
      </c>
      <c r="E274" s="304" t="s">
        <v>156</v>
      </c>
      <c r="F274" s="301" t="s">
        <v>157</v>
      </c>
      <c r="G274" s="301" t="s">
        <v>158</v>
      </c>
      <c r="H274" s="305" t="s">
        <v>159</v>
      </c>
      <c r="I274" s="301" t="s">
        <v>160</v>
      </c>
      <c r="J274" s="306" t="s">
        <v>161</v>
      </c>
      <c r="K274" s="307" t="s">
        <v>162</v>
      </c>
      <c r="L274" s="301" t="s">
        <v>163</v>
      </c>
      <c r="M274" s="308" t="s">
        <v>164</v>
      </c>
      <c r="N274" s="308" t="s">
        <v>165</v>
      </c>
      <c r="O274" s="308" t="s">
        <v>166</v>
      </c>
      <c r="P274" s="302" t="s">
        <v>167</v>
      </c>
      <c r="Q274" s="302" t="s">
        <v>168</v>
      </c>
      <c r="R274" s="303" t="s">
        <v>169</v>
      </c>
      <c r="S274" s="303" t="s">
        <v>170</v>
      </c>
      <c r="T274" s="303" t="s">
        <v>171</v>
      </c>
      <c r="U274" s="309" t="s">
        <v>172</v>
      </c>
      <c r="V274" s="303" t="s">
        <v>173</v>
      </c>
    </row>
    <row r="275">
      <c r="A275" s="293">
        <v>46290</v>
      </c>
      <c r="B275" s="310" t="s">
        <v>174</v>
      </c>
      <c r="C275" s="313" t="s">
        <v>175</v>
      </c>
      <c r="D275" s="312">
        <f t="shared" ref="D275:D279" si="188">SUM(E275:G275)</f>
      </c>
      <c r="E275" s="313">
        <v>230.19</v>
      </c>
      <c r="F275" s="313">
        <v>1715.34</v>
      </c>
      <c r="G275" s="313">
        <v>0</v>
      </c>
      <c r="H275" s="314">
        <v>5</v>
      </c>
      <c r="I275" s="313">
        <v>2108.7599999999998</v>
      </c>
      <c r="J275" s="315">
        <f t="shared" ref="J275:J281" si="222">I275/D275</f>
      </c>
      <c r="K275" s="315">
        <f t="shared" ref="K275:K281" si="106">D275/H275</f>
      </c>
      <c r="L275" s="315">
        <f t="shared" ref="L275:L281" si="136">I275/H275</f>
      </c>
      <c r="M275" s="316">
        <f t="shared" ref="M275:M281" si="24">S275/R275</f>
      </c>
      <c r="N275" s="317">
        <f t="shared" ref="N275:N281" si="76">H275/(T275+H275)</f>
      </c>
      <c r="O275" s="318">
        <f t="shared" ref="O275:O279" si="304">(V275*1000)/D275</f>
      </c>
      <c r="P275" s="319" t="s">
        <v>176</v>
      </c>
      <c r="Q275" s="320" t="s">
        <v>186</v>
      </c>
      <c r="R275" s="321">
        <v>8957</v>
      </c>
      <c r="S275" s="321">
        <v>349</v>
      </c>
      <c r="T275" s="322">
        <v>7</v>
      </c>
      <c r="U275" s="322">
        <v>0</v>
      </c>
      <c r="V275" s="322">
        <v>19</v>
      </c>
    </row>
    <row r="276">
      <c r="A276" s="293"/>
      <c r="B276" s="310" t="s">
        <v>174</v>
      </c>
      <c r="C276" s="258" t="s">
        <v>178</v>
      </c>
      <c r="D276" s="258">
        <f t="shared" si="188"/>
      </c>
      <c r="E276" s="325">
        <v>231.06</v>
      </c>
      <c r="F276" s="326">
        <v>2531.52</v>
      </c>
      <c r="G276" s="326">
        <v>0</v>
      </c>
      <c r="H276" s="327">
        <v>6</v>
      </c>
      <c r="I276" s="326">
        <v>3311.0399999999995</v>
      </c>
      <c r="J276" s="328">
        <f t="shared" si="222"/>
      </c>
      <c r="K276" s="328">
        <f t="shared" si="106"/>
      </c>
      <c r="L276" s="328">
        <f t="shared" si="136"/>
      </c>
      <c r="M276" s="329">
        <f t="shared" si="24"/>
      </c>
      <c r="N276" s="330">
        <f t="shared" si="76"/>
      </c>
      <c r="O276" s="331">
        <f t="shared" si="304"/>
      </c>
      <c r="P276" s="332" t="s">
        <v>176</v>
      </c>
      <c r="Q276" s="320" t="s">
        <v>186</v>
      </c>
      <c r="R276" s="334">
        <v>14016</v>
      </c>
      <c r="S276" s="335">
        <v>438</v>
      </c>
      <c r="T276" s="336">
        <v>7</v>
      </c>
      <c r="U276" s="336">
        <v>2</v>
      </c>
      <c r="V276" s="336">
        <v>28</v>
      </c>
    </row>
    <row r="277">
      <c r="A277" s="293"/>
      <c r="B277" s="310" t="s">
        <v>174</v>
      </c>
      <c r="C277" s="260" t="s">
        <v>179</v>
      </c>
      <c r="D277" s="258">
        <f t="shared" si="188"/>
      </c>
      <c r="E277" s="338">
        <v>400.71</v>
      </c>
      <c r="F277" s="313">
        <v>4121.29</v>
      </c>
      <c r="G277" s="313">
        <v>0</v>
      </c>
      <c r="H277" s="314">
        <v>18</v>
      </c>
      <c r="I277" s="313">
        <v>17074.86</v>
      </c>
      <c r="J277" s="315">
        <f t="shared" si="222"/>
      </c>
      <c r="K277" s="315">
        <f t="shared" si="106"/>
      </c>
      <c r="L277" s="315">
        <f t="shared" si="136"/>
      </c>
      <c r="M277" s="316">
        <f t="shared" si="24"/>
      </c>
      <c r="N277" s="317">
        <f t="shared" si="76"/>
      </c>
      <c r="O277" s="318">
        <f t="shared" si="304"/>
      </c>
      <c r="P277" s="319" t="s">
        <v>176</v>
      </c>
      <c r="Q277" s="320" t="s">
        <v>186</v>
      </c>
      <c r="R277" s="339">
        <v>27640</v>
      </c>
      <c r="S277" s="255">
        <v>746</v>
      </c>
      <c r="T277" s="256">
        <v>14</v>
      </c>
      <c r="U277" s="256">
        <v>0</v>
      </c>
      <c r="V277" s="256">
        <v>48</v>
      </c>
    </row>
    <row r="278">
      <c r="A278" s="293"/>
      <c r="B278" s="310" t="s">
        <v>174</v>
      </c>
      <c r="C278" s="357" t="s">
        <v>180</v>
      </c>
      <c r="D278" s="258">
        <f t="shared" si="188"/>
      </c>
      <c r="E278" s="338">
        <v>454.43</v>
      </c>
      <c r="F278" s="313">
        <v>3204.93</v>
      </c>
      <c r="G278" s="313">
        <v>0</v>
      </c>
      <c r="H278" s="314">
        <v>9</v>
      </c>
      <c r="I278" s="313">
        <v>7749.740000000002</v>
      </c>
      <c r="J278" s="315">
        <f t="shared" si="222"/>
      </c>
      <c r="K278" s="315">
        <f t="shared" si="106"/>
      </c>
      <c r="L278" s="315">
        <f t="shared" si="136"/>
      </c>
      <c r="M278" s="316">
        <f t="shared" si="24"/>
      </c>
      <c r="N278" s="317">
        <f t="shared" si="76"/>
      </c>
      <c r="O278" s="318">
        <f t="shared" si="304"/>
      </c>
      <c r="P278" s="319" t="s">
        <v>176</v>
      </c>
      <c r="Q278" s="320" t="s">
        <v>186</v>
      </c>
      <c r="R278" s="339">
        <v>24572</v>
      </c>
      <c r="S278" s="255">
        <v>635</v>
      </c>
      <c r="T278" s="256">
        <v>6</v>
      </c>
      <c r="U278" s="256">
        <v>0</v>
      </c>
      <c r="V278" s="256">
        <v>32</v>
      </c>
    </row>
    <row customHeight="true" ht="16.666666666666668" r="279">
      <c r="A279" s="293"/>
      <c r="B279" s="310" t="s">
        <v>174</v>
      </c>
      <c r="C279" s="357" t="s">
        <v>183</v>
      </c>
      <c r="D279" s="258">
        <f t="shared" si="188"/>
      </c>
      <c r="E279" s="338">
        <v>324.24</v>
      </c>
      <c r="F279" s="313">
        <v>3471.63</v>
      </c>
      <c r="G279" s="313">
        <v>0</v>
      </c>
      <c r="H279" s="314">
        <v>7</v>
      </c>
      <c r="I279" s="313">
        <v>6105.540000000001</v>
      </c>
      <c r="J279" s="315">
        <f t="shared" si="222"/>
      </c>
      <c r="K279" s="315">
        <f t="shared" si="106"/>
      </c>
      <c r="L279" s="315">
        <f t="shared" si="136"/>
      </c>
      <c r="M279" s="316">
        <f t="shared" si="24"/>
      </c>
      <c r="N279" s="317">
        <f t="shared" si="76"/>
      </c>
      <c r="O279" s="318">
        <f t="shared" si="304"/>
      </c>
      <c r="P279" s="319" t="s">
        <v>176</v>
      </c>
      <c r="Q279" s="320" t="s">
        <v>186</v>
      </c>
      <c r="R279" s="339">
        <v>27164</v>
      </c>
      <c r="S279" s="255">
        <v>668</v>
      </c>
      <c r="T279" s="256">
        <v>12</v>
      </c>
      <c r="U279" s="256">
        <v>0</v>
      </c>
      <c r="V279" s="256">
        <v>37</v>
      </c>
    </row>
    <row r="280">
      <c r="A280" s="293"/>
      <c r="B280" s="341" t="s">
        <v>181</v>
      </c>
      <c r="C280" s="341"/>
      <c r="D280" s="342">
        <f>SUM(D275:D279)</f>
      </c>
      <c r="E280" s="342">
        <f>SUM(E275:E279)</f>
      </c>
      <c r="F280" s="342">
        <f>SUM(F275:F279)</f>
      </c>
      <c r="G280" s="342">
        <f>SUM(G275:G279)</f>
      </c>
      <c r="H280" s="342">
        <f>SUM(H275:H279)</f>
      </c>
      <c r="I280" s="342">
        <f>SUM(I275:I279)</f>
      </c>
      <c r="J280" s="344">
        <f t="shared" si="222"/>
      </c>
      <c r="K280" s="345">
        <f t="shared" si="106"/>
      </c>
      <c r="L280" s="346">
        <f t="shared" si="136"/>
      </c>
      <c r="M280" s="347">
        <f t="shared" si="24"/>
      </c>
      <c r="N280" s="347">
        <f t="shared" si="76"/>
      </c>
      <c r="O280" s="348">
        <f t="shared" ref="O280:O281" si="252">(U280*1000)/D280</f>
      </c>
      <c r="P280" s="348"/>
      <c r="Q280" s="348"/>
      <c r="R280" s="343">
        <f>SUM(R275:R279)</f>
      </c>
      <c r="S280" s="343">
        <f>SUM(S275:S279)</f>
      </c>
      <c r="T280" s="343">
        <f>SUM(T275:T279)</f>
      </c>
      <c r="U280" s="343">
        <f>SUM(U275:U279)</f>
      </c>
      <c r="V280" s="343">
        <f>SUM(V275:V279)</f>
      </c>
    </row>
    <row r="281">
      <c r="A281" s="293"/>
      <c r="B281" s="294" t="s">
        <v>185</v>
      </c>
      <c r="C281" s="294"/>
      <c r="D281" s="295">
        <f>D280</f>
      </c>
      <c r="E281" s="295">
        <f>E280</f>
      </c>
      <c r="F281" s="295">
        <f>F280</f>
      </c>
      <c r="G281" s="295">
        <f>G280</f>
      </c>
      <c r="H281" s="295">
        <f>H280</f>
      </c>
      <c r="I281" s="295">
        <f>I280</f>
      </c>
      <c r="J281" s="297">
        <f t="shared" si="222"/>
      </c>
      <c r="K281" s="297">
        <f t="shared" si="106"/>
      </c>
      <c r="L281" s="297">
        <f t="shared" si="136"/>
      </c>
      <c r="M281" s="298">
        <f t="shared" si="24"/>
      </c>
      <c r="N281" s="298">
        <f t="shared" si="76"/>
      </c>
      <c r="O281" s="297">
        <f t="shared" si="252"/>
      </c>
      <c r="P281" s="299"/>
      <c r="Q281" s="299"/>
      <c r="R281" s="352">
        <f>R280</f>
      </c>
      <c r="S281" s="352">
        <f>S280</f>
      </c>
      <c r="T281" s="352">
        <f>T280</f>
      </c>
      <c r="U281" s="352">
        <f>U280</f>
      </c>
      <c r="V281" s="352">
        <f>V280</f>
      </c>
    </row>
    <row r="282">
      <c r="A282" s="229" t="s">
        <v>148</v>
      </c>
      <c r="B282" s="229"/>
      <c r="C282" s="229"/>
      <c r="D282" s="230" t="s">
        <v>149</v>
      </c>
      <c r="E282" s="230"/>
      <c r="F282" s="230"/>
      <c r="G282" s="230"/>
      <c r="H282" s="230"/>
      <c r="I282" s="230"/>
      <c r="J282" s="230"/>
      <c r="K282" s="230"/>
      <c r="L282" s="230"/>
      <c r="M282" s="231" t="s">
        <v>150</v>
      </c>
      <c r="N282" s="231"/>
      <c r="O282" s="231"/>
      <c r="P282" s="231"/>
      <c r="Q282" s="231"/>
      <c r="R282" s="232" t="s">
        <v>151</v>
      </c>
      <c r="S282" s="232"/>
      <c r="T282" s="232"/>
      <c r="U282" s="232"/>
      <c r="V282" s="232"/>
    </row>
    <row r="283">
      <c r="A283" s="229" t="s">
        <v>152</v>
      </c>
      <c r="B283" s="229" t="s">
        <v>153</v>
      </c>
      <c r="C283" s="229" t="s">
        <v>154</v>
      </c>
      <c r="D283" s="230" t="s">
        <v>155</v>
      </c>
      <c r="E283" s="230" t="s">
        <v>156</v>
      </c>
      <c r="F283" s="230" t="s">
        <v>157</v>
      </c>
      <c r="G283" s="230" t="s">
        <v>158</v>
      </c>
      <c r="H283" s="358" t="s">
        <v>159</v>
      </c>
      <c r="I283" s="230" t="s">
        <v>160</v>
      </c>
      <c r="J283" s="359" t="s">
        <v>161</v>
      </c>
      <c r="K283" s="360" t="s">
        <v>162</v>
      </c>
      <c r="L283" s="230" t="s">
        <v>163</v>
      </c>
      <c r="M283" s="240" t="s">
        <v>164</v>
      </c>
      <c r="N283" s="240" t="s">
        <v>165</v>
      </c>
      <c r="O283" s="240" t="s">
        <v>166</v>
      </c>
      <c r="P283" s="231" t="s">
        <v>167</v>
      </c>
      <c r="Q283" s="231" t="s">
        <v>168</v>
      </c>
      <c r="R283" s="232" t="s">
        <v>169</v>
      </c>
      <c r="S283" s="232" t="s">
        <v>170</v>
      </c>
      <c r="T283" s="232" t="s">
        <v>171</v>
      </c>
      <c r="U283" s="232" t="s">
        <v>172</v>
      </c>
      <c r="V283" s="232" t="s">
        <v>173</v>
      </c>
    </row>
    <row r="284">
      <c r="A284" s="242">
        <v>46291</v>
      </c>
      <c r="B284" s="271" t="s">
        <v>182</v>
      </c>
      <c r="C284" s="245" t="s">
        <v>175</v>
      </c>
      <c r="D284" s="244">
        <f t="shared" ref="D284:D285" si="189">SUM(E284:G284)</f>
      </c>
      <c r="E284" s="245">
        <v>496.3</v>
      </c>
      <c r="F284" s="245">
        <v>2994.77</v>
      </c>
      <c r="G284" s="245">
        <v>0</v>
      </c>
      <c r="H284" s="282">
        <v>5</v>
      </c>
      <c r="I284" s="245">
        <v>4300.26</v>
      </c>
      <c r="J284" s="248">
        <f t="shared" ref="J284:J292" si="223">I284/D284</f>
      </c>
      <c r="K284" s="248">
        <f t="shared" ref="K284:K292" si="107">D284/H284</f>
      </c>
      <c r="L284" s="248">
        <f t="shared" ref="L284:L292" si="137">I284/H284</f>
      </c>
      <c r="M284" s="250">
        <f t="shared" ref="M284:M292" si="25">S284/R284</f>
      </c>
      <c r="N284" s="251">
        <f t="shared" ref="N284:N292" si="77">H284/(T284+H284)</f>
      </c>
      <c r="O284" s="252">
        <f t="shared" ref="O284:O285" si="305">(V284*1000)/D284</f>
      </c>
      <c r="P284" s="253" t="s">
        <v>176</v>
      </c>
      <c r="Q284" s="254" t="s">
        <v>189</v>
      </c>
      <c r="R284" s="255">
        <v>24570</v>
      </c>
      <c r="S284" s="255">
        <v>762</v>
      </c>
      <c r="T284" s="255">
        <v>7</v>
      </c>
      <c r="U284" s="256">
        <v>2</v>
      </c>
      <c r="V284" s="256">
        <v>39</v>
      </c>
    </row>
    <row r="285">
      <c r="A285" s="242"/>
      <c r="B285" s="271" t="s">
        <v>182</v>
      </c>
      <c r="C285" s="361" t="s">
        <v>195</v>
      </c>
      <c r="D285" s="258">
        <f t="shared" si="189"/>
      </c>
      <c r="E285" s="362">
        <v>295.64</v>
      </c>
      <c r="F285" s="260">
        <v>1244.13</v>
      </c>
      <c r="G285" s="260">
        <v>0</v>
      </c>
      <c r="H285" s="363">
        <v>1</v>
      </c>
      <c r="I285" s="260">
        <v>710.6399999999994</v>
      </c>
      <c r="J285" s="364">
        <f t="shared" si="223"/>
      </c>
      <c r="K285" s="364">
        <f t="shared" si="107"/>
      </c>
      <c r="L285" s="364">
        <f t="shared" si="137"/>
      </c>
      <c r="M285" s="365">
        <f t="shared" si="25"/>
      </c>
      <c r="N285" s="366">
        <f t="shared" si="77"/>
      </c>
      <c r="O285" s="367">
        <f t="shared" si="305"/>
      </c>
      <c r="P285" s="368" t="s">
        <v>176</v>
      </c>
      <c r="Q285" s="254" t="s">
        <v>189</v>
      </c>
      <c r="R285" s="334">
        <v>9135</v>
      </c>
      <c r="S285" s="335">
        <v>371</v>
      </c>
      <c r="T285" s="335">
        <v>0</v>
      </c>
      <c r="U285" s="336">
        <v>0</v>
      </c>
      <c r="V285" s="336">
        <v>16</v>
      </c>
    </row>
    <row customHeight="true" ht="16.666666666666668" r="286">
      <c r="A286" s="242"/>
      <c r="B286" s="263" t="s">
        <v>181</v>
      </c>
      <c r="C286" s="263"/>
      <c r="D286" s="264">
        <f>SUM(D284:D285)</f>
      </c>
      <c r="E286" s="264">
        <f>SUM(E284:E285)</f>
      </c>
      <c r="F286" s="264">
        <f>SUM(F284:F285)</f>
      </c>
      <c r="G286" s="264">
        <f>SUM(G284:G285)</f>
      </c>
      <c r="H286" s="265">
        <f>SUM(H284:H285)</f>
      </c>
      <c r="I286" s="264">
        <f>SUM(I284:I285)</f>
      </c>
      <c r="J286" s="273">
        <f t="shared" si="223"/>
      </c>
      <c r="K286" s="267">
        <f t="shared" si="107"/>
      </c>
      <c r="L286" s="369">
        <f t="shared" si="137"/>
      </c>
      <c r="M286" s="269">
        <f t="shared" si="25"/>
      </c>
      <c r="N286" s="269">
        <f t="shared" si="77"/>
      </c>
      <c r="O286" s="270">
        <f>(U286*1000)/D286</f>
      </c>
      <c r="P286" s="270"/>
      <c r="Q286" s="270"/>
      <c r="R286" s="265">
        <f>SUM(R284:R285)</f>
      </c>
      <c r="S286" s="265">
        <f>SUM(S284:S285)</f>
      </c>
      <c r="T286" s="265">
        <f>SUM(T284:T285)</f>
      </c>
      <c r="U286" s="265">
        <f>SUM(U284:U285)</f>
      </c>
      <c r="V286" s="265">
        <f>SUM(V284:V285)</f>
      </c>
    </row>
    <row r="287">
      <c r="A287" s="242"/>
      <c r="B287" s="271" t="s">
        <v>174</v>
      </c>
      <c r="C287" s="357" t="s">
        <v>196</v>
      </c>
      <c r="D287" s="260">
        <f t="shared" ref="D287:D290" si="190">SUM(E287:G287)</f>
      </c>
      <c r="E287" s="259">
        <v>146.72000000000003</v>
      </c>
      <c r="F287" s="245">
        <v>520.3</v>
      </c>
      <c r="G287" s="245">
        <v>0</v>
      </c>
      <c r="H287" s="282">
        <v>3</v>
      </c>
      <c r="I287" s="245">
        <v>2985.120000000001</v>
      </c>
      <c r="J287" s="248">
        <f t="shared" si="223"/>
      </c>
      <c r="K287" s="248">
        <f t="shared" si="107"/>
      </c>
      <c r="L287" s="248">
        <f t="shared" si="137"/>
      </c>
      <c r="M287" s="250">
        <f t="shared" si="25"/>
      </c>
      <c r="N287" s="251">
        <f t="shared" si="77"/>
      </c>
      <c r="O287" s="252">
        <f t="shared" ref="O287:O290" si="306">(V287*1000)/D287</f>
      </c>
      <c r="P287" s="253" t="s">
        <v>176</v>
      </c>
      <c r="Q287" s="254" t="s">
        <v>189</v>
      </c>
      <c r="R287" s="339">
        <v>3393</v>
      </c>
      <c r="S287" s="255">
        <v>146</v>
      </c>
      <c r="T287" s="255">
        <v>4</v>
      </c>
      <c r="U287" s="256">
        <v>0</v>
      </c>
      <c r="V287" s="256">
        <v>13</v>
      </c>
    </row>
    <row customHeight="true" ht="16.666666666666668" r="288">
      <c r="A288" s="242"/>
      <c r="B288" s="271" t="s">
        <v>174</v>
      </c>
      <c r="C288" s="357" t="s">
        <v>179</v>
      </c>
      <c r="D288" s="260">
        <f t="shared" si="190"/>
      </c>
      <c r="E288" s="259">
        <v>634.99</v>
      </c>
      <c r="F288" s="245">
        <v>3245.21</v>
      </c>
      <c r="G288" s="245">
        <v>0</v>
      </c>
      <c r="H288" s="282">
        <v>20</v>
      </c>
      <c r="I288" s="245">
        <v>16337.18</v>
      </c>
      <c r="J288" s="248">
        <f t="shared" si="223"/>
      </c>
      <c r="K288" s="248">
        <f t="shared" si="107"/>
      </c>
      <c r="L288" s="248">
        <f t="shared" si="137"/>
      </c>
      <c r="M288" s="250">
        <f t="shared" si="25"/>
      </c>
      <c r="N288" s="251">
        <f t="shared" si="77"/>
      </c>
      <c r="O288" s="252">
        <f t="shared" si="306"/>
      </c>
      <c r="P288" s="253" t="s">
        <v>176</v>
      </c>
      <c r="Q288" s="254" t="s">
        <v>189</v>
      </c>
      <c r="R288" s="339">
        <v>23493</v>
      </c>
      <c r="S288" s="255">
        <v>701</v>
      </c>
      <c r="T288" s="255">
        <v>15</v>
      </c>
      <c r="U288" s="256">
        <v>0</v>
      </c>
      <c r="V288" s="256">
        <v>40</v>
      </c>
    </row>
    <row r="289">
      <c r="A289" s="242"/>
      <c r="B289" s="271" t="s">
        <v>174</v>
      </c>
      <c r="C289" s="260" t="s">
        <v>180</v>
      </c>
      <c r="D289" s="245">
        <f t="shared" si="190"/>
      </c>
      <c r="E289" s="259">
        <v>960.2</v>
      </c>
      <c r="F289" s="245">
        <v>3330.34</v>
      </c>
      <c r="G289" s="245">
        <v>0</v>
      </c>
      <c r="H289" s="282">
        <v>15</v>
      </c>
      <c r="I289" s="245">
        <v>10157.799999999996</v>
      </c>
      <c r="J289" s="248">
        <f t="shared" si="223"/>
      </c>
      <c r="K289" s="248">
        <f t="shared" si="107"/>
      </c>
      <c r="L289" s="248">
        <f t="shared" si="137"/>
      </c>
      <c r="M289" s="250">
        <f t="shared" si="25"/>
      </c>
      <c r="N289" s="251">
        <f t="shared" si="77"/>
      </c>
      <c r="O289" s="252">
        <f t="shared" si="306"/>
      </c>
      <c r="P289" s="253" t="s">
        <v>176</v>
      </c>
      <c r="Q289" s="254" t="s">
        <v>189</v>
      </c>
      <c r="R289" s="339">
        <v>28704</v>
      </c>
      <c r="S289" s="255">
        <v>897</v>
      </c>
      <c r="T289" s="255">
        <v>14</v>
      </c>
      <c r="U289" s="256">
        <v>0</v>
      </c>
      <c r="V289" s="256">
        <v>25</v>
      </c>
    </row>
    <row r="290">
      <c r="A290" s="242"/>
      <c r="B290" s="271" t="s">
        <v>174</v>
      </c>
      <c r="C290" s="260" t="s">
        <v>183</v>
      </c>
      <c r="D290" s="245">
        <f t="shared" si="190"/>
      </c>
      <c r="E290" s="259">
        <v>310.84</v>
      </c>
      <c r="F290" s="245">
        <v>3124</v>
      </c>
      <c r="G290" s="245">
        <v>0</v>
      </c>
      <c r="H290" s="282">
        <v>7</v>
      </c>
      <c r="I290" s="245">
        <v>9095.900000000001</v>
      </c>
      <c r="J290" s="248">
        <f t="shared" si="223"/>
      </c>
      <c r="K290" s="248">
        <f t="shared" si="107"/>
      </c>
      <c r="L290" s="248">
        <f t="shared" si="137"/>
      </c>
      <c r="M290" s="250">
        <f t="shared" si="25"/>
      </c>
      <c r="N290" s="251">
        <f t="shared" si="77"/>
      </c>
      <c r="O290" s="252">
        <f t="shared" si="306"/>
      </c>
      <c r="P290" s="253" t="s">
        <v>176</v>
      </c>
      <c r="Q290" s="254" t="s">
        <v>189</v>
      </c>
      <c r="R290" s="339">
        <v>25495</v>
      </c>
      <c r="S290" s="255">
        <v>596</v>
      </c>
      <c r="T290" s="255">
        <v>6</v>
      </c>
      <c r="U290" s="256">
        <v>0</v>
      </c>
      <c r="V290" s="256">
        <v>27</v>
      </c>
    </row>
    <row r="291">
      <c r="A291" s="242"/>
      <c r="B291" s="263" t="s">
        <v>181</v>
      </c>
      <c r="C291" s="263"/>
      <c r="D291" s="264">
        <f>SUM(D287:D290)</f>
      </c>
      <c r="E291" s="264">
        <f>SUM(E287:E290)</f>
      </c>
      <c r="F291" s="264">
        <f>SUM(F287:F290)</f>
      </c>
      <c r="G291" s="264">
        <f>SUM(G287:G290)</f>
      </c>
      <c r="H291" s="265">
        <f>SUM(H287:H290)</f>
      </c>
      <c r="I291" s="264">
        <f>SUM(I287:I290)</f>
      </c>
      <c r="J291" s="273">
        <f t="shared" si="223"/>
      </c>
      <c r="K291" s="267">
        <f t="shared" si="107"/>
      </c>
      <c r="L291" s="369">
        <f t="shared" si="137"/>
      </c>
      <c r="M291" s="269">
        <f t="shared" si="25"/>
      </c>
      <c r="N291" s="269">
        <f t="shared" si="77"/>
      </c>
      <c r="O291" s="270">
        <f t="shared" ref="O291:O292" si="253">(U291*1000)/D291</f>
      </c>
      <c r="P291" s="270"/>
      <c r="Q291" s="270"/>
      <c r="R291" s="265">
        <f>SUM(R287:R290)</f>
      </c>
      <c r="S291" s="265">
        <f>SUM(S287:S290)</f>
      </c>
      <c r="T291" s="265">
        <f>SUM(T287:T290)</f>
      </c>
      <c r="U291" s="265">
        <f>SUM(U287:U290)</f>
      </c>
      <c r="V291" s="265">
        <f>SUM(V287:V290)</f>
      </c>
    </row>
    <row r="292">
      <c r="A292" s="242"/>
      <c r="B292" s="274" t="s">
        <v>185</v>
      </c>
      <c r="C292" s="274"/>
      <c r="D292" s="275">
        <f>D291+D286</f>
      </c>
      <c r="E292" s="275">
        <f>E291+E286</f>
      </c>
      <c r="F292" s="275">
        <f>F291+F286</f>
      </c>
      <c r="G292" s="275">
        <f>G291+G286</f>
      </c>
      <c r="H292" s="275">
        <f>H291+H286</f>
      </c>
      <c r="I292" s="275">
        <f>I291+I286</f>
      </c>
      <c r="J292" s="277">
        <f t="shared" si="223"/>
      </c>
      <c r="K292" s="277">
        <f t="shared" si="107"/>
      </c>
      <c r="L292" s="277">
        <f t="shared" si="137"/>
      </c>
      <c r="M292" s="279">
        <f t="shared" si="25"/>
      </c>
      <c r="N292" s="279">
        <f t="shared" si="77"/>
      </c>
      <c r="O292" s="277">
        <f t="shared" si="253"/>
      </c>
      <c r="P292" s="280"/>
      <c r="Q292" s="280"/>
      <c r="R292" s="352">
        <f>R291+R286</f>
      </c>
      <c r="S292" s="352">
        <f>S291+S286</f>
      </c>
      <c r="T292" s="352">
        <f>T291+T286</f>
      </c>
      <c r="U292" s="352">
        <f>U291+U286</f>
      </c>
      <c r="V292" s="352">
        <f>V291+V286</f>
      </c>
    </row>
    <row r="293">
      <c r="A293" s="300" t="s">
        <v>148</v>
      </c>
      <c r="B293" s="300"/>
      <c r="C293" s="300"/>
      <c r="D293" s="301" t="s">
        <v>149</v>
      </c>
      <c r="E293" s="301"/>
      <c r="F293" s="301"/>
      <c r="G293" s="301"/>
      <c r="H293" s="301"/>
      <c r="I293" s="301"/>
      <c r="J293" s="301"/>
      <c r="K293" s="301"/>
      <c r="L293" s="301"/>
      <c r="M293" s="302" t="s">
        <v>150</v>
      </c>
      <c r="N293" s="302"/>
      <c r="O293" s="302"/>
      <c r="P293" s="302"/>
      <c r="Q293" s="302"/>
      <c r="R293" s="303" t="s">
        <v>151</v>
      </c>
      <c r="S293" s="303"/>
      <c r="T293" s="303"/>
      <c r="U293" s="303"/>
      <c r="V293" s="303"/>
    </row>
    <row r="294">
      <c r="A294" s="300" t="s">
        <v>152</v>
      </c>
      <c r="B294" s="300" t="s">
        <v>153</v>
      </c>
      <c r="C294" s="300" t="s">
        <v>154</v>
      </c>
      <c r="D294" s="301" t="s">
        <v>155</v>
      </c>
      <c r="E294" s="304" t="s">
        <v>156</v>
      </c>
      <c r="F294" s="301" t="s">
        <v>157</v>
      </c>
      <c r="G294" s="301" t="s">
        <v>158</v>
      </c>
      <c r="H294" s="305" t="s">
        <v>159</v>
      </c>
      <c r="I294" s="301" t="s">
        <v>160</v>
      </c>
      <c r="J294" s="306" t="s">
        <v>161</v>
      </c>
      <c r="K294" s="307" t="s">
        <v>162</v>
      </c>
      <c r="L294" s="301" t="s">
        <v>163</v>
      </c>
      <c r="M294" s="308" t="s">
        <v>164</v>
      </c>
      <c r="N294" s="308" t="s">
        <v>165</v>
      </c>
      <c r="O294" s="308" t="s">
        <v>166</v>
      </c>
      <c r="P294" s="302" t="s">
        <v>167</v>
      </c>
      <c r="Q294" s="302" t="s">
        <v>168</v>
      </c>
      <c r="R294" s="303" t="s">
        <v>169</v>
      </c>
      <c r="S294" s="303" t="s">
        <v>170</v>
      </c>
      <c r="T294" s="303" t="s">
        <v>171</v>
      </c>
      <c r="U294" s="309" t="s">
        <v>172</v>
      </c>
      <c r="V294" s="303" t="s">
        <v>173</v>
      </c>
    </row>
    <row r="295">
      <c r="A295" s="293">
        <v>46292</v>
      </c>
      <c r="B295" s="310" t="s">
        <v>174</v>
      </c>
      <c r="C295" s="313" t="s">
        <v>175</v>
      </c>
      <c r="D295" s="312">
        <f t="shared" ref="D295:D299" si="191">SUM(E295:G295)</f>
      </c>
      <c r="E295" s="313">
        <v>391.24</v>
      </c>
      <c r="F295" s="313">
        <v>2645.73</v>
      </c>
      <c r="G295" s="313">
        <v>0</v>
      </c>
      <c r="H295" s="314">
        <v>5</v>
      </c>
      <c r="I295" s="313">
        <v>3911.46</v>
      </c>
      <c r="J295" s="315">
        <f t="shared" ref="J295:J301" si="224">I295/D295</f>
      </c>
      <c r="K295" s="315">
        <f t="shared" ref="K295:K301" si="108">D295/H295</f>
      </c>
      <c r="L295" s="315">
        <f t="shared" ref="L295:L301" si="138">I295/H295</f>
      </c>
      <c r="M295" s="316">
        <f t="shared" ref="M295:M301" si="26">S295/R295</f>
      </c>
      <c r="N295" s="317">
        <f t="shared" ref="N295:N301" si="78">H295/(T295+H295)</f>
      </c>
      <c r="O295" s="318">
        <f t="shared" ref="O295:O299" si="307">(V295*1000)/D295</f>
      </c>
      <c r="P295" s="319" t="s">
        <v>176</v>
      </c>
      <c r="Q295" s="254" t="s">
        <v>189</v>
      </c>
      <c r="R295" s="321">
        <v>21963</v>
      </c>
      <c r="S295" s="321">
        <v>540</v>
      </c>
      <c r="T295" s="322">
        <v>5</v>
      </c>
      <c r="U295" s="322">
        <v>0</v>
      </c>
      <c r="V295" s="322">
        <v>30</v>
      </c>
    </row>
    <row r="296">
      <c r="A296" s="293"/>
      <c r="B296" s="310" t="s">
        <v>174</v>
      </c>
      <c r="C296" s="258" t="s">
        <v>178</v>
      </c>
      <c r="D296" s="258">
        <f t="shared" si="191"/>
      </c>
      <c r="E296" s="325">
        <v>311.33</v>
      </c>
      <c r="F296" s="326">
        <v>2095.13</v>
      </c>
      <c r="G296" s="326">
        <v>0</v>
      </c>
      <c r="H296" s="327">
        <v>2</v>
      </c>
      <c r="I296" s="326">
        <v>926.3400000000001</v>
      </c>
      <c r="J296" s="328">
        <f t="shared" si="224"/>
      </c>
      <c r="K296" s="328">
        <f t="shared" si="108"/>
      </c>
      <c r="L296" s="328">
        <f t="shared" si="138"/>
      </c>
      <c r="M296" s="329">
        <f t="shared" si="26"/>
      </c>
      <c r="N296" s="330">
        <f t="shared" si="78"/>
      </c>
      <c r="O296" s="331">
        <f t="shared" si="307"/>
      </c>
      <c r="P296" s="332" t="s">
        <v>176</v>
      </c>
      <c r="Q296" s="254" t="s">
        <v>189</v>
      </c>
      <c r="R296" s="334">
        <v>14456</v>
      </c>
      <c r="S296" s="335">
        <v>446</v>
      </c>
      <c r="T296" s="336">
        <v>3</v>
      </c>
      <c r="U296" s="336">
        <v>0</v>
      </c>
      <c r="V296" s="336">
        <v>23</v>
      </c>
    </row>
    <row r="297">
      <c r="A297" s="293"/>
      <c r="B297" s="310" t="s">
        <v>174</v>
      </c>
      <c r="C297" s="260" t="s">
        <v>179</v>
      </c>
      <c r="D297" s="258">
        <f t="shared" si="191"/>
      </c>
      <c r="E297" s="338">
        <v>787.83</v>
      </c>
      <c r="F297" s="313">
        <v>1964.99</v>
      </c>
      <c r="G297" s="313">
        <v>0</v>
      </c>
      <c r="H297" s="314">
        <v>4</v>
      </c>
      <c r="I297" s="313">
        <v>1378.6799999999994</v>
      </c>
      <c r="J297" s="315">
        <f t="shared" si="224"/>
      </c>
      <c r="K297" s="315">
        <f t="shared" si="108"/>
      </c>
      <c r="L297" s="315">
        <f t="shared" si="138"/>
      </c>
      <c r="M297" s="316">
        <f t="shared" si="26"/>
      </c>
      <c r="N297" s="317">
        <f t="shared" si="78"/>
      </c>
      <c r="O297" s="318">
        <f t="shared" si="307"/>
      </c>
      <c r="P297" s="319" t="s">
        <v>176</v>
      </c>
      <c r="Q297" s="254" t="s">
        <v>189</v>
      </c>
      <c r="R297" s="339">
        <v>13650</v>
      </c>
      <c r="S297" s="255">
        <v>577</v>
      </c>
      <c r="T297" s="256">
        <v>4</v>
      </c>
      <c r="U297" s="256">
        <v>1</v>
      </c>
      <c r="V297" s="256">
        <v>19</v>
      </c>
    </row>
    <row r="298">
      <c r="A298" s="293"/>
      <c r="B298" s="310" t="s">
        <v>174</v>
      </c>
      <c r="C298" s="357" t="s">
        <v>180</v>
      </c>
      <c r="D298" s="258">
        <f t="shared" si="191"/>
      </c>
      <c r="E298" s="338">
        <v>921.66</v>
      </c>
      <c r="F298" s="313">
        <v>2508.76</v>
      </c>
      <c r="G298" s="313">
        <v>0</v>
      </c>
      <c r="H298" s="314">
        <v>11</v>
      </c>
      <c r="I298" s="313">
        <v>10153.4</v>
      </c>
      <c r="J298" s="315">
        <f t="shared" si="224"/>
      </c>
      <c r="K298" s="315">
        <f t="shared" si="108"/>
      </c>
      <c r="L298" s="315">
        <f t="shared" si="138"/>
      </c>
      <c r="M298" s="316">
        <f t="shared" si="26"/>
      </c>
      <c r="N298" s="317">
        <f t="shared" si="78"/>
      </c>
      <c r="O298" s="318">
        <f t="shared" si="307"/>
      </c>
      <c r="P298" s="319" t="s">
        <v>176</v>
      </c>
      <c r="Q298" s="254" t="s">
        <v>189</v>
      </c>
      <c r="R298" s="339">
        <v>17254</v>
      </c>
      <c r="S298" s="255">
        <v>749</v>
      </c>
      <c r="T298" s="256">
        <v>16</v>
      </c>
      <c r="U298" s="256">
        <v>2</v>
      </c>
      <c r="V298" s="256">
        <v>37</v>
      </c>
    </row>
    <row r="299">
      <c r="A299" s="293"/>
      <c r="B299" s="310" t="s">
        <v>174</v>
      </c>
      <c r="C299" s="357" t="s">
        <v>183</v>
      </c>
      <c r="D299" s="258">
        <f t="shared" si="191"/>
      </c>
      <c r="E299" s="338">
        <v>488.69</v>
      </c>
      <c r="F299" s="313">
        <v>1958.82</v>
      </c>
      <c r="G299" s="313">
        <v>0</v>
      </c>
      <c r="H299" s="314">
        <v>6</v>
      </c>
      <c r="I299" s="313">
        <v>2626.879999999999</v>
      </c>
      <c r="J299" s="315">
        <f t="shared" si="224"/>
      </c>
      <c r="K299" s="315">
        <f t="shared" si="108"/>
      </c>
      <c r="L299" s="315">
        <f t="shared" si="138"/>
      </c>
      <c r="M299" s="316">
        <f t="shared" si="26"/>
      </c>
      <c r="N299" s="317">
        <f t="shared" si="78"/>
      </c>
      <c r="O299" s="318">
        <f t="shared" si="307"/>
      </c>
      <c r="P299" s="319" t="s">
        <v>176</v>
      </c>
      <c r="Q299" s="254" t="s">
        <v>189</v>
      </c>
      <c r="R299" s="339">
        <v>14960</v>
      </c>
      <c r="S299" s="255">
        <v>517</v>
      </c>
      <c r="T299" s="256">
        <v>6</v>
      </c>
      <c r="U299" s="256">
        <v>0</v>
      </c>
      <c r="V299" s="256">
        <v>33</v>
      </c>
    </row>
    <row r="300">
      <c r="A300" s="293"/>
      <c r="B300" s="341" t="s">
        <v>181</v>
      </c>
      <c r="C300" s="341"/>
      <c r="D300" s="342">
        <f>SUM(D295:D299)</f>
      </c>
      <c r="E300" s="342">
        <f>SUM(E295:E299)</f>
      </c>
      <c r="F300" s="342">
        <f>SUM(F295:F299)</f>
      </c>
      <c r="G300" s="342">
        <f>SUM(G295:G299)</f>
      </c>
      <c r="H300" s="342">
        <f>SUM(H295:H299)</f>
      </c>
      <c r="I300" s="342">
        <f>SUM(I295:I299)</f>
      </c>
      <c r="J300" s="344">
        <f t="shared" si="224"/>
      </c>
      <c r="K300" s="345">
        <f t="shared" si="108"/>
      </c>
      <c r="L300" s="346">
        <f t="shared" si="138"/>
      </c>
      <c r="M300" s="347">
        <f t="shared" si="26"/>
      </c>
      <c r="N300" s="347">
        <f t="shared" si="78"/>
      </c>
      <c r="O300" s="348">
        <f t="shared" ref="O300:O301" si="254">(U300*1000)/D300</f>
      </c>
      <c r="P300" s="348"/>
      <c r="Q300" s="348"/>
      <c r="R300" s="343">
        <f>SUM(R295:R299)</f>
      </c>
      <c r="S300" s="343">
        <f>SUM(S295:S299)</f>
      </c>
      <c r="T300" s="343">
        <f>SUM(T295:T299)</f>
      </c>
      <c r="U300" s="343">
        <f>SUM(U295:U299)</f>
      </c>
      <c r="V300" s="343">
        <f>SUM(V295:V299)</f>
      </c>
    </row>
    <row r="301">
      <c r="A301" s="293"/>
      <c r="B301" s="294" t="s">
        <v>185</v>
      </c>
      <c r="C301" s="294"/>
      <c r="D301" s="295">
        <f>D300</f>
      </c>
      <c r="E301" s="295">
        <f>E300</f>
      </c>
      <c r="F301" s="295">
        <f>F300</f>
      </c>
      <c r="G301" s="295">
        <f>G300</f>
      </c>
      <c r="H301" s="295">
        <f>H300</f>
      </c>
      <c r="I301" s="295">
        <f>I300</f>
      </c>
      <c r="J301" s="297">
        <f t="shared" si="224"/>
      </c>
      <c r="K301" s="297">
        <f t="shared" si="108"/>
      </c>
      <c r="L301" s="297">
        <f t="shared" si="138"/>
      </c>
      <c r="M301" s="298">
        <f t="shared" si="26"/>
      </c>
      <c r="N301" s="298">
        <f t="shared" si="78"/>
      </c>
      <c r="O301" s="297">
        <f t="shared" si="254"/>
      </c>
      <c r="P301" s="299"/>
      <c r="Q301" s="299"/>
      <c r="R301" s="352">
        <f>R300</f>
      </c>
      <c r="S301" s="352">
        <f>S300</f>
      </c>
      <c r="T301" s="352">
        <f>T300</f>
      </c>
      <c r="U301" s="352">
        <f>U300</f>
      </c>
      <c r="V301" s="352">
        <f>V300</f>
      </c>
    </row>
    <row r="302">
      <c r="A302" s="300" t="s">
        <v>148</v>
      </c>
      <c r="B302" s="300"/>
      <c r="C302" s="300"/>
      <c r="D302" s="301" t="s">
        <v>149</v>
      </c>
      <c r="E302" s="301"/>
      <c r="F302" s="301"/>
      <c r="G302" s="301"/>
      <c r="H302" s="301"/>
      <c r="I302" s="301"/>
      <c r="J302" s="301"/>
      <c r="K302" s="301"/>
      <c r="L302" s="301"/>
      <c r="M302" s="302" t="s">
        <v>150</v>
      </c>
      <c r="N302" s="302"/>
      <c r="O302" s="302"/>
      <c r="P302" s="302"/>
      <c r="Q302" s="302"/>
      <c r="R302" s="303" t="s">
        <v>151</v>
      </c>
      <c r="S302" s="303"/>
      <c r="T302" s="303"/>
      <c r="U302" s="303"/>
      <c r="V302" s="303"/>
    </row>
    <row r="303">
      <c r="A303" s="300" t="s">
        <v>152</v>
      </c>
      <c r="B303" s="300" t="s">
        <v>153</v>
      </c>
      <c r="C303" s="300" t="s">
        <v>154</v>
      </c>
      <c r="D303" s="301" t="s">
        <v>155</v>
      </c>
      <c r="E303" s="304" t="s">
        <v>156</v>
      </c>
      <c r="F303" s="301" t="s">
        <v>157</v>
      </c>
      <c r="G303" s="301" t="s">
        <v>158</v>
      </c>
      <c r="H303" s="305" t="s">
        <v>159</v>
      </c>
      <c r="I303" s="301" t="s">
        <v>160</v>
      </c>
      <c r="J303" s="306" t="s">
        <v>161</v>
      </c>
      <c r="K303" s="307" t="s">
        <v>162</v>
      </c>
      <c r="L303" s="301" t="s">
        <v>163</v>
      </c>
      <c r="M303" s="308" t="s">
        <v>164</v>
      </c>
      <c r="N303" s="308" t="s">
        <v>165</v>
      </c>
      <c r="O303" s="308" t="s">
        <v>166</v>
      </c>
      <c r="P303" s="302" t="s">
        <v>167</v>
      </c>
      <c r="Q303" s="302" t="s">
        <v>168</v>
      </c>
      <c r="R303" s="303" t="s">
        <v>169</v>
      </c>
      <c r="S303" s="303" t="s">
        <v>170</v>
      </c>
      <c r="T303" s="303" t="s">
        <v>171</v>
      </c>
      <c r="U303" s="309" t="s">
        <v>172</v>
      </c>
      <c r="V303" s="303" t="s">
        <v>173</v>
      </c>
    </row>
    <row r="304">
      <c r="A304" s="293">
        <v>46293</v>
      </c>
      <c r="B304" s="310" t="s">
        <v>174</v>
      </c>
      <c r="C304" s="313" t="s">
        <v>188</v>
      </c>
      <c r="D304" s="312">
        <f t="shared" ref="D304:D307" si="192">SUM(E304:G304)</f>
      </c>
      <c r="E304" s="313">
        <v>357.53</v>
      </c>
      <c r="F304" s="313">
        <v>3208.78</v>
      </c>
      <c r="G304" s="313">
        <v>0</v>
      </c>
      <c r="H304" s="314">
        <v>12</v>
      </c>
      <c r="I304" s="313">
        <v>11002.08</v>
      </c>
      <c r="J304" s="315">
        <f t="shared" ref="J304:J313" si="225">I304/D304</f>
      </c>
      <c r="K304" s="315">
        <f t="shared" ref="K304:K313" si="109">D304/H304</f>
      </c>
      <c r="L304" s="315">
        <f t="shared" ref="L304:L313" si="139">I304/H304</f>
      </c>
      <c r="M304" s="316">
        <f t="shared" ref="M304:M313" si="27">S304/R304</f>
      </c>
      <c r="N304" s="317">
        <f t="shared" ref="N304:N313" si="79">H304/(T304+H304)</f>
      </c>
      <c r="O304" s="318">
        <f t="shared" ref="O304:O307" si="308">(V304*1000)/D304</f>
      </c>
      <c r="P304" s="319" t="s">
        <v>176</v>
      </c>
      <c r="Q304" s="254" t="s">
        <v>186</v>
      </c>
      <c r="R304" s="321">
        <v>21311</v>
      </c>
      <c r="S304" s="321">
        <v>706</v>
      </c>
      <c r="T304" s="322">
        <v>8</v>
      </c>
      <c r="U304" s="322">
        <v>1</v>
      </c>
      <c r="V304" s="322">
        <v>33</v>
      </c>
    </row>
    <row r="305">
      <c r="A305" s="293"/>
      <c r="B305" s="310" t="s">
        <v>174</v>
      </c>
      <c r="C305" s="313" t="s">
        <v>175</v>
      </c>
      <c r="D305" s="258">
        <f t="shared" si="192"/>
      </c>
      <c r="E305" s="325">
        <v>397.31</v>
      </c>
      <c r="F305" s="326">
        <v>2706.71</v>
      </c>
      <c r="G305" s="326">
        <v>0</v>
      </c>
      <c r="H305" s="327">
        <v>5</v>
      </c>
      <c r="I305" s="326">
        <v>3851.42</v>
      </c>
      <c r="J305" s="328">
        <f t="shared" si="225"/>
      </c>
      <c r="K305" s="328">
        <f t="shared" si="109"/>
      </c>
      <c r="L305" s="328">
        <f t="shared" si="139"/>
      </c>
      <c r="M305" s="329">
        <f t="shared" si="27"/>
      </c>
      <c r="N305" s="330">
        <f t="shared" si="79"/>
      </c>
      <c r="O305" s="331">
        <f t="shared" si="308"/>
      </c>
      <c r="P305" s="332" t="s">
        <v>176</v>
      </c>
      <c r="Q305" s="254" t="s">
        <v>186</v>
      </c>
      <c r="R305" s="334">
        <v>19072</v>
      </c>
      <c r="S305" s="335">
        <v>531</v>
      </c>
      <c r="T305" s="336">
        <v>7</v>
      </c>
      <c r="U305" s="336">
        <v>1</v>
      </c>
      <c r="V305" s="336">
        <v>29</v>
      </c>
    </row>
    <row r="306">
      <c r="A306" s="293"/>
      <c r="B306" s="310" t="s">
        <v>174</v>
      </c>
      <c r="C306" s="258" t="s">
        <v>178</v>
      </c>
      <c r="D306" s="258">
        <f t="shared" si="192"/>
      </c>
      <c r="E306" s="338">
        <v>409.04</v>
      </c>
      <c r="F306" s="313">
        <v>3129.04</v>
      </c>
      <c r="G306" s="313">
        <v>0</v>
      </c>
      <c r="H306" s="314">
        <v>4</v>
      </c>
      <c r="I306" s="313">
        <v>4164.959999999999</v>
      </c>
      <c r="J306" s="315">
        <f t="shared" si="225"/>
      </c>
      <c r="K306" s="315">
        <f t="shared" si="109"/>
      </c>
      <c r="L306" s="315">
        <f t="shared" si="139"/>
      </c>
      <c r="M306" s="316">
        <f t="shared" si="27"/>
      </c>
      <c r="N306" s="317">
        <f t="shared" si="79"/>
      </c>
      <c r="O306" s="318">
        <f t="shared" si="308"/>
      </c>
      <c r="P306" s="319" t="s">
        <v>176</v>
      </c>
      <c r="Q306" s="254" t="s">
        <v>186</v>
      </c>
      <c r="R306" s="339">
        <v>19473</v>
      </c>
      <c r="S306" s="255">
        <v>547</v>
      </c>
      <c r="T306" s="256">
        <v>2</v>
      </c>
      <c r="U306" s="256">
        <v>1</v>
      </c>
      <c r="V306" s="256">
        <v>21</v>
      </c>
    </row>
    <row r="307">
      <c r="A307" s="293"/>
      <c r="B307" s="310" t="s">
        <v>174</v>
      </c>
      <c r="C307" s="260" t="s">
        <v>179</v>
      </c>
      <c r="D307" s="258">
        <f t="shared" si="192"/>
      </c>
      <c r="E307" s="338">
        <v>534.75</v>
      </c>
      <c r="F307" s="313">
        <v>1524.74</v>
      </c>
      <c r="G307" s="313">
        <v>0</v>
      </c>
      <c r="H307" s="314">
        <v>2</v>
      </c>
      <c r="I307" s="313">
        <v>1662.4400000000023</v>
      </c>
      <c r="J307" s="315">
        <f t="shared" si="225"/>
      </c>
      <c r="K307" s="315">
        <f t="shared" si="109"/>
      </c>
      <c r="L307" s="315">
        <f t="shared" si="139"/>
      </c>
      <c r="M307" s="316">
        <f t="shared" si="27"/>
      </c>
      <c r="N307" s="317">
        <f t="shared" si="79"/>
      </c>
      <c r="O307" s="318">
        <f t="shared" si="308"/>
      </c>
      <c r="P307" s="319" t="s">
        <v>176</v>
      </c>
      <c r="Q307" s="254" t="s">
        <v>186</v>
      </c>
      <c r="R307" s="339">
        <v>10840</v>
      </c>
      <c r="S307" s="255">
        <v>425</v>
      </c>
      <c r="T307" s="256">
        <v>2</v>
      </c>
      <c r="U307" s="256">
        <v>0</v>
      </c>
      <c r="V307" s="256">
        <v>21</v>
      </c>
    </row>
    <row customHeight="true" ht="16.666666666666668" r="308">
      <c r="A308" s="293"/>
      <c r="B308" s="341" t="s">
        <v>181</v>
      </c>
      <c r="C308" s="341"/>
      <c r="D308" s="342">
        <f>SUM(D304:D307)</f>
      </c>
      <c r="E308" s="342">
        <f>SUM(E304:E307)</f>
      </c>
      <c r="F308" s="342">
        <f>SUM(F304:F307)</f>
      </c>
      <c r="G308" s="342">
        <f>SUM(G304:G307)</f>
      </c>
      <c r="H308" s="370">
        <f>SUM(H304:H307)</f>
      </c>
      <c r="I308" s="342">
        <f>SUM(I304:I307)</f>
      </c>
      <c r="J308" s="344">
        <f t="shared" si="225"/>
      </c>
      <c r="K308" s="345">
        <f t="shared" si="109"/>
      </c>
      <c r="L308" s="346">
        <f t="shared" si="139"/>
      </c>
      <c r="M308" s="347">
        <f t="shared" si="27"/>
      </c>
      <c r="N308" s="347">
        <f t="shared" si="79"/>
      </c>
      <c r="O308" s="348">
        <f>(U308*1000)/D308</f>
      </c>
      <c r="P308" s="348"/>
      <c r="Q308" s="348"/>
      <c r="R308" s="370">
        <f>SUM(R304:R307)</f>
      </c>
      <c r="S308" s="370">
        <f>SUM(S304:S307)</f>
      </c>
      <c r="T308" s="370">
        <f>SUM(T304:T307)</f>
      </c>
      <c r="U308" s="370">
        <f>SUM(U304:U307)</f>
      </c>
      <c r="V308" s="370">
        <f>SUM(V304:V307)</f>
      </c>
    </row>
    <row r="309">
      <c r="A309" s="293"/>
      <c r="B309" s="310" t="s">
        <v>197</v>
      </c>
      <c r="C309" s="357" t="s">
        <v>180</v>
      </c>
      <c r="D309" s="258">
        <f t="shared" ref="D309:D311" si="193">SUM(E309:G309)</f>
      </c>
      <c r="E309" s="338">
        <v>540.36</v>
      </c>
      <c r="F309" s="313">
        <v>1394.82</v>
      </c>
      <c r="G309" s="313">
        <v>0</v>
      </c>
      <c r="H309" s="314">
        <v>5</v>
      </c>
      <c r="I309" s="313">
        <v>4213.879999999997</v>
      </c>
      <c r="J309" s="315">
        <f t="shared" si="225"/>
      </c>
      <c r="K309" s="315">
        <f t="shared" si="109"/>
      </c>
      <c r="L309" s="315">
        <f t="shared" si="139"/>
      </c>
      <c r="M309" s="316">
        <f t="shared" si="27"/>
      </c>
      <c r="N309" s="317">
        <f t="shared" si="79"/>
      </c>
      <c r="O309" s="318">
        <f t="shared" ref="O309:O311" si="309">(V309*1000)/D309</f>
      </c>
      <c r="P309" s="319" t="s">
        <v>176</v>
      </c>
      <c r="Q309" s="254" t="s">
        <v>186</v>
      </c>
      <c r="R309" s="339">
        <v>9269</v>
      </c>
      <c r="S309" s="255">
        <v>366</v>
      </c>
      <c r="T309" s="256">
        <v>7</v>
      </c>
      <c r="U309" s="256">
        <v>2</v>
      </c>
      <c r="V309" s="256">
        <v>22</v>
      </c>
    </row>
    <row customHeight="true" ht="16.666666666666668" r="310">
      <c r="A310" s="293"/>
      <c r="B310" s="310" t="s">
        <v>197</v>
      </c>
      <c r="C310" s="357" t="s">
        <v>183</v>
      </c>
      <c r="D310" s="258">
        <f t="shared" si="193"/>
      </c>
      <c r="E310" s="338">
        <v>488.77</v>
      </c>
      <c r="F310" s="313">
        <v>1375.39</v>
      </c>
      <c r="G310" s="313">
        <v>0</v>
      </c>
      <c r="H310" s="314">
        <v>3</v>
      </c>
      <c r="I310" s="313">
        <v>2821.34</v>
      </c>
      <c r="J310" s="315">
        <f t="shared" si="225"/>
      </c>
      <c r="K310" s="315">
        <f t="shared" si="109"/>
      </c>
      <c r="L310" s="315">
        <f t="shared" si="139"/>
      </c>
      <c r="M310" s="316">
        <f t="shared" si="27"/>
      </c>
      <c r="N310" s="317">
        <f t="shared" si="79"/>
      </c>
      <c r="O310" s="318">
        <f t="shared" si="309"/>
      </c>
      <c r="P310" s="319" t="s">
        <v>176</v>
      </c>
      <c r="Q310" s="254" t="s">
        <v>186</v>
      </c>
      <c r="R310" s="339">
        <v>9224</v>
      </c>
      <c r="S310" s="255">
        <v>369</v>
      </c>
      <c r="T310" s="256">
        <v>2</v>
      </c>
      <c r="U310" s="256">
        <v>0</v>
      </c>
      <c r="V310" s="256">
        <v>19</v>
      </c>
    </row>
    <row customHeight="true" ht="16.666666666666668" r="311">
      <c r="A311" s="293"/>
      <c r="B311" s="310" t="s">
        <v>197</v>
      </c>
      <c r="C311" s="357" t="s">
        <v>184</v>
      </c>
      <c r="D311" s="258">
        <f t="shared" si="193"/>
      </c>
      <c r="E311" s="338">
        <v>373.4</v>
      </c>
      <c r="F311" s="313">
        <v>776.71</v>
      </c>
      <c r="G311" s="313">
        <v>0</v>
      </c>
      <c r="H311" s="314">
        <v>4</v>
      </c>
      <c r="I311" s="313">
        <v>1894.5600000000013</v>
      </c>
      <c r="J311" s="315">
        <f t="shared" si="225"/>
      </c>
      <c r="K311" s="315">
        <f t="shared" si="109"/>
      </c>
      <c r="L311" s="315">
        <f t="shared" si="139"/>
      </c>
      <c r="M311" s="316">
        <f t="shared" si="27"/>
      </c>
      <c r="N311" s="317">
        <f t="shared" si="79"/>
      </c>
      <c r="O311" s="318">
        <f t="shared" si="309"/>
      </c>
      <c r="P311" s="319" t="s">
        <v>176</v>
      </c>
      <c r="Q311" s="254" t="s">
        <v>186</v>
      </c>
      <c r="R311" s="339">
        <v>7189</v>
      </c>
      <c r="S311" s="255">
        <v>259</v>
      </c>
      <c r="T311" s="256">
        <v>3</v>
      </c>
      <c r="U311" s="256">
        <v>0</v>
      </c>
      <c r="V311" s="256">
        <v>19</v>
      </c>
    </row>
    <row r="312">
      <c r="A312" s="293"/>
      <c r="B312" s="341" t="s">
        <v>181</v>
      </c>
      <c r="C312" s="341"/>
      <c r="D312" s="342">
        <f>SUM(D309:D311)</f>
      </c>
      <c r="E312" s="342">
        <f>SUM(E309:E311)</f>
      </c>
      <c r="F312" s="342">
        <f>SUM(F309:F311)</f>
      </c>
      <c r="G312" s="342">
        <f>SUM(G309:G311)</f>
      </c>
      <c r="H312" s="370">
        <f>SUM(H309:H311)</f>
      </c>
      <c r="I312" s="342">
        <f>SUM(I309:I311)</f>
      </c>
      <c r="J312" s="344">
        <f t="shared" si="225"/>
      </c>
      <c r="K312" s="345">
        <f t="shared" si="109"/>
      </c>
      <c r="L312" s="346">
        <f t="shared" si="139"/>
      </c>
      <c r="M312" s="347">
        <f t="shared" si="27"/>
      </c>
      <c r="N312" s="347">
        <f t="shared" si="79"/>
      </c>
      <c r="O312" s="348">
        <f t="shared" ref="O312:O313" si="255">(U312*1000)/D312</f>
      </c>
      <c r="P312" s="348"/>
      <c r="Q312" s="348"/>
      <c r="R312" s="370">
        <f>SUM(R309:R311)</f>
      </c>
      <c r="S312" s="370">
        <f>SUM(S309:S311)</f>
      </c>
      <c r="T312" s="370">
        <f>SUM(T309:T311)</f>
      </c>
      <c r="U312" s="370">
        <f>SUM(U309:U311)</f>
      </c>
      <c r="V312" s="370">
        <f>SUM(V309:V311)</f>
      </c>
    </row>
    <row r="313">
      <c r="A313" s="293"/>
      <c r="B313" s="294" t="s">
        <v>185</v>
      </c>
      <c r="C313" s="294"/>
      <c r="D313" s="295">
        <f>D312+D308</f>
      </c>
      <c r="E313" s="295">
        <f>E312+E308</f>
      </c>
      <c r="F313" s="295">
        <f>F312+F308</f>
      </c>
      <c r="G313" s="295">
        <f>G312+G308</f>
      </c>
      <c r="H313" s="296">
        <f>H312+H308</f>
      </c>
      <c r="I313" s="295">
        <f>I312+I308</f>
      </c>
      <c r="J313" s="297">
        <f t="shared" si="225"/>
      </c>
      <c r="K313" s="297">
        <f t="shared" si="109"/>
      </c>
      <c r="L313" s="297">
        <f t="shared" si="139"/>
      </c>
      <c r="M313" s="298">
        <f t="shared" si="27"/>
      </c>
      <c r="N313" s="298">
        <f t="shared" si="79"/>
      </c>
      <c r="O313" s="297">
        <f t="shared" si="255"/>
      </c>
      <c r="P313" s="299"/>
      <c r="Q313" s="299"/>
      <c r="R313" s="296">
        <f>R312+R308</f>
      </c>
      <c r="S313" s="296">
        <f>S312+S308</f>
      </c>
      <c r="T313" s="296">
        <f>T312+T308</f>
      </c>
      <c r="U313" s="296">
        <f>U312+U308</f>
      </c>
      <c r="V313" s="296">
        <f>V312+V308</f>
      </c>
    </row>
    <row r="314">
      <c r="A314" s="300" t="s">
        <v>148</v>
      </c>
      <c r="B314" s="300"/>
      <c r="C314" s="300"/>
      <c r="D314" s="301" t="s">
        <v>149</v>
      </c>
      <c r="E314" s="301"/>
      <c r="F314" s="301"/>
      <c r="G314" s="301"/>
      <c r="H314" s="301"/>
      <c r="I314" s="301"/>
      <c r="J314" s="301"/>
      <c r="K314" s="301"/>
      <c r="L314" s="301"/>
      <c r="M314" s="302" t="s">
        <v>150</v>
      </c>
      <c r="N314" s="302"/>
      <c r="O314" s="302"/>
      <c r="P314" s="302"/>
      <c r="Q314" s="302"/>
      <c r="R314" s="303" t="s">
        <v>151</v>
      </c>
      <c r="S314" s="303"/>
      <c r="T314" s="303"/>
      <c r="U314" s="303"/>
      <c r="V314" s="303"/>
    </row>
    <row r="315">
      <c r="A315" s="300" t="s">
        <v>152</v>
      </c>
      <c r="B315" s="300" t="s">
        <v>153</v>
      </c>
      <c r="C315" s="300" t="s">
        <v>154</v>
      </c>
      <c r="D315" s="301" t="s">
        <v>155</v>
      </c>
      <c r="E315" s="304" t="s">
        <v>156</v>
      </c>
      <c r="F315" s="301" t="s">
        <v>157</v>
      </c>
      <c r="G315" s="301" t="s">
        <v>158</v>
      </c>
      <c r="H315" s="305" t="s">
        <v>159</v>
      </c>
      <c r="I315" s="301" t="s">
        <v>160</v>
      </c>
      <c r="J315" s="306" t="s">
        <v>161</v>
      </c>
      <c r="K315" s="307" t="s">
        <v>162</v>
      </c>
      <c r="L315" s="301" t="s">
        <v>163</v>
      </c>
      <c r="M315" s="308" t="s">
        <v>164</v>
      </c>
      <c r="N315" s="308" t="s">
        <v>165</v>
      </c>
      <c r="O315" s="308" t="s">
        <v>166</v>
      </c>
      <c r="P315" s="302" t="s">
        <v>167</v>
      </c>
      <c r="Q315" s="302" t="s">
        <v>168</v>
      </c>
      <c r="R315" s="303" t="s">
        <v>169</v>
      </c>
      <c r="S315" s="303" t="s">
        <v>170</v>
      </c>
      <c r="T315" s="303" t="s">
        <v>171</v>
      </c>
      <c r="U315" s="309" t="s">
        <v>172</v>
      </c>
      <c r="V315" s="303" t="s">
        <v>173</v>
      </c>
    </row>
    <row r="316">
      <c r="A316" s="293">
        <v>46294</v>
      </c>
      <c r="B316" s="310" t="s">
        <v>174</v>
      </c>
      <c r="C316" s="313" t="s">
        <v>188</v>
      </c>
      <c r="D316" s="312">
        <f t="shared" ref="D316:D318" si="194">SUM(E316:G316)</f>
      </c>
      <c r="E316" s="313">
        <v>430.45</v>
      </c>
      <c r="F316" s="313">
        <v>2551.38</v>
      </c>
      <c r="G316" s="313">
        <v>0</v>
      </c>
      <c r="H316" s="314">
        <v>4</v>
      </c>
      <c r="I316" s="313">
        <v>925.62</v>
      </c>
      <c r="J316" s="315">
        <f t="shared" ref="J316:J325" si="226">I316/D316</f>
      </c>
      <c r="K316" s="315">
        <f t="shared" ref="K316:K325" si="110">D316/H316</f>
      </c>
      <c r="L316" s="315">
        <f t="shared" ref="L316:L325" si="140">I316/H316</f>
      </c>
      <c r="M316" s="316">
        <f t="shared" ref="M316:M325" si="28">S316/R316</f>
      </c>
      <c r="N316" s="317">
        <f t="shared" ref="N316:N325" si="80">H316/(T316+H316)</f>
      </c>
      <c r="O316" s="318">
        <f t="shared" ref="O316:O318" si="310">(V316*1000)/D316</f>
      </c>
      <c r="P316" s="319" t="s">
        <v>176</v>
      </c>
      <c r="Q316" s="254" t="s">
        <v>186</v>
      </c>
      <c r="R316" s="321">
        <v>14697</v>
      </c>
      <c r="S316" s="321">
        <v>487</v>
      </c>
      <c r="T316" s="322">
        <v>4</v>
      </c>
      <c r="U316" s="322">
        <v>1</v>
      </c>
      <c r="V316" s="322">
        <v>27</v>
      </c>
    </row>
    <row r="317">
      <c r="A317" s="293"/>
      <c r="B317" s="310" t="s">
        <v>174</v>
      </c>
      <c r="C317" s="313" t="s">
        <v>175</v>
      </c>
      <c r="D317" s="258">
        <f t="shared" si="194"/>
      </c>
      <c r="E317" s="325">
        <v>378.66</v>
      </c>
      <c r="F317" s="326">
        <v>1798.15</v>
      </c>
      <c r="G317" s="326">
        <v>0</v>
      </c>
      <c r="H317" s="327">
        <v>5</v>
      </c>
      <c r="I317" s="326">
        <v>4300.26</v>
      </c>
      <c r="J317" s="328">
        <f t="shared" si="226"/>
      </c>
      <c r="K317" s="328">
        <f t="shared" si="110"/>
      </c>
      <c r="L317" s="328">
        <f t="shared" si="140"/>
      </c>
      <c r="M317" s="329">
        <f t="shared" si="28"/>
      </c>
      <c r="N317" s="330">
        <f t="shared" si="80"/>
      </c>
      <c r="O317" s="331">
        <f t="shared" si="310"/>
      </c>
      <c r="P317" s="332" t="s">
        <v>176</v>
      </c>
      <c r="Q317" s="254" t="s">
        <v>186</v>
      </c>
      <c r="R317" s="334">
        <v>12017</v>
      </c>
      <c r="S317" s="335">
        <v>427</v>
      </c>
      <c r="T317" s="336">
        <v>5</v>
      </c>
      <c r="U317" s="336">
        <v>1</v>
      </c>
      <c r="V317" s="336">
        <v>23</v>
      </c>
    </row>
    <row r="318">
      <c r="A318" s="293"/>
      <c r="B318" s="310" t="s">
        <v>174</v>
      </c>
      <c r="C318" s="258" t="s">
        <v>178</v>
      </c>
      <c r="D318" s="258">
        <f t="shared" si="194"/>
      </c>
      <c r="E318" s="338">
        <v>503.87</v>
      </c>
      <c r="F318" s="313">
        <v>3214.96</v>
      </c>
      <c r="G318" s="313">
        <v>0</v>
      </c>
      <c r="H318" s="314">
        <v>16</v>
      </c>
      <c r="I318" s="313">
        <v>8976.2</v>
      </c>
      <c r="J318" s="315">
        <f t="shared" si="226"/>
      </c>
      <c r="K318" s="315">
        <f t="shared" si="110"/>
      </c>
      <c r="L318" s="315">
        <f t="shared" si="140"/>
      </c>
      <c r="M318" s="316">
        <f t="shared" si="28"/>
      </c>
      <c r="N318" s="317">
        <f t="shared" si="80"/>
      </c>
      <c r="O318" s="318">
        <f t="shared" si="310"/>
      </c>
      <c r="P318" s="319" t="s">
        <v>176</v>
      </c>
      <c r="Q318" s="254" t="s">
        <v>186</v>
      </c>
      <c r="R318" s="339">
        <v>19573</v>
      </c>
      <c r="S318" s="255">
        <v>629</v>
      </c>
      <c r="T318" s="256">
        <v>13</v>
      </c>
      <c r="U318" s="256">
        <v>0</v>
      </c>
      <c r="V318" s="256">
        <v>29</v>
      </c>
    </row>
    <row r="319">
      <c r="A319" s="293"/>
      <c r="B319" s="341" t="s">
        <v>181</v>
      </c>
      <c r="C319" s="341"/>
      <c r="D319" s="342">
        <f>SUM(D316:D318)</f>
      </c>
      <c r="E319" s="342">
        <f>SUM(E316:E318)</f>
      </c>
      <c r="F319" s="342">
        <f>SUM(F316:F318)</f>
      </c>
      <c r="G319" s="342">
        <f>SUM(G316:G318)</f>
      </c>
      <c r="H319" s="370">
        <f>SUM(H316:H318)</f>
      </c>
      <c r="I319" s="342">
        <f>SUM(I316:I318)</f>
      </c>
      <c r="J319" s="344">
        <f t="shared" si="226"/>
      </c>
      <c r="K319" s="345">
        <f t="shared" si="110"/>
      </c>
      <c r="L319" s="346">
        <f t="shared" si="140"/>
      </c>
      <c r="M319" s="347">
        <f t="shared" si="28"/>
      </c>
      <c r="N319" s="347">
        <f t="shared" si="80"/>
      </c>
      <c r="O319" s="348">
        <f>(U319*1000)/D319</f>
      </c>
      <c r="P319" s="348"/>
      <c r="Q319" s="348"/>
      <c r="R319" s="370">
        <f>SUM(R316:R318)</f>
      </c>
      <c r="S319" s="370">
        <f>SUM(S316:S318)</f>
      </c>
      <c r="T319" s="370">
        <f>SUM(T316:T318)</f>
      </c>
      <c r="U319" s="370">
        <f>SUM(U316:U318)</f>
      </c>
      <c r="V319" s="370">
        <f>SUM(V316:V318)</f>
      </c>
    </row>
    <row customHeight="true" ht="18.452380952380953" r="320">
      <c r="A320" s="293"/>
      <c r="B320" s="271" t="s">
        <v>197</v>
      </c>
      <c r="C320" s="260" t="s">
        <v>179</v>
      </c>
      <c r="D320" s="245">
        <f t="shared" ref="D320:D323" si="195">SUM(E320:G320)</f>
      </c>
      <c r="E320" s="371">
        <v>566.95</v>
      </c>
      <c r="F320" s="246">
        <v>2519.97</v>
      </c>
      <c r="G320" s="246">
        <v>0</v>
      </c>
      <c r="H320" s="282">
        <v>6</v>
      </c>
      <c r="I320" s="245">
        <v>3657.959999999999</v>
      </c>
      <c r="J320" s="248">
        <f t="shared" si="226"/>
      </c>
      <c r="K320" s="248">
        <f t="shared" si="110"/>
      </c>
      <c r="L320" s="248">
        <f t="shared" si="140"/>
      </c>
      <c r="M320" s="250">
        <f t="shared" si="28"/>
      </c>
      <c r="N320" s="251">
        <f t="shared" si="80"/>
      </c>
      <c r="O320" s="252">
        <f t="shared" ref="O320:O323" si="311">(V320*1000)/D320</f>
      </c>
      <c r="P320" s="253" t="s">
        <v>176</v>
      </c>
      <c r="Q320" s="283" t="s">
        <v>186</v>
      </c>
      <c r="R320" s="372">
        <v>16361</v>
      </c>
      <c r="S320" s="373">
        <v>520</v>
      </c>
      <c r="T320" s="373">
        <v>6</v>
      </c>
      <c r="U320" s="374">
        <v>0</v>
      </c>
      <c r="V320" s="374">
        <v>26</v>
      </c>
    </row>
    <row r="321">
      <c r="A321" s="293"/>
      <c r="B321" s="310" t="s">
        <v>197</v>
      </c>
      <c r="C321" s="357" t="s">
        <v>180</v>
      </c>
      <c r="D321" s="258">
        <f t="shared" si="195"/>
      </c>
      <c r="E321" s="338">
        <v>872.37</v>
      </c>
      <c r="F321" s="313">
        <v>3461.26</v>
      </c>
      <c r="G321" s="313">
        <v>0</v>
      </c>
      <c r="H321" s="314">
        <v>10</v>
      </c>
      <c r="I321" s="313">
        <v>6493.119999999999</v>
      </c>
      <c r="J321" s="315">
        <f t="shared" si="226"/>
      </c>
      <c r="K321" s="315">
        <f t="shared" si="110"/>
      </c>
      <c r="L321" s="315">
        <f t="shared" si="140"/>
      </c>
      <c r="M321" s="316">
        <f t="shared" si="28"/>
      </c>
      <c r="N321" s="317">
        <f t="shared" si="80"/>
      </c>
      <c r="O321" s="318">
        <f t="shared" si="311"/>
      </c>
      <c r="P321" s="319" t="s">
        <v>176</v>
      </c>
      <c r="Q321" s="254" t="s">
        <v>186</v>
      </c>
      <c r="R321" s="339">
        <v>24492</v>
      </c>
      <c r="S321" s="255">
        <v>793</v>
      </c>
      <c r="T321" s="256">
        <v>10</v>
      </c>
      <c r="U321" s="256">
        <v>2</v>
      </c>
      <c r="V321" s="256">
        <v>35</v>
      </c>
    </row>
    <row r="322">
      <c r="A322" s="293"/>
      <c r="B322" s="310" t="s">
        <v>197</v>
      </c>
      <c r="C322" s="357" t="s">
        <v>183</v>
      </c>
      <c r="D322" s="258">
        <f t="shared" si="195"/>
      </c>
      <c r="E322" s="338">
        <v>1990.65</v>
      </c>
      <c r="F322" s="313">
        <v>1653.28</v>
      </c>
      <c r="G322" s="313">
        <v>0</v>
      </c>
      <c r="H322" s="314">
        <v>5</v>
      </c>
      <c r="I322" s="313">
        <v>4178.360000000001</v>
      </c>
      <c r="J322" s="315">
        <f t="shared" si="226"/>
      </c>
      <c r="K322" s="315">
        <f t="shared" si="110"/>
      </c>
      <c r="L322" s="315">
        <f t="shared" si="140"/>
      </c>
      <c r="M322" s="316">
        <f t="shared" si="28"/>
      </c>
      <c r="N322" s="317">
        <f t="shared" si="80"/>
      </c>
      <c r="O322" s="318">
        <f t="shared" si="311"/>
      </c>
      <c r="P322" s="319" t="s">
        <v>176</v>
      </c>
      <c r="Q322" s="254" t="s">
        <v>186</v>
      </c>
      <c r="R322" s="339">
        <v>29106</v>
      </c>
      <c r="S322" s="255">
        <v>1038</v>
      </c>
      <c r="T322" s="256">
        <v>6</v>
      </c>
      <c r="U322" s="256">
        <v>1</v>
      </c>
      <c r="V322" s="256">
        <v>33</v>
      </c>
    </row>
    <row r="323">
      <c r="A323" s="293"/>
      <c r="B323" s="310" t="s">
        <v>197</v>
      </c>
      <c r="C323" s="357" t="s">
        <v>184</v>
      </c>
      <c r="D323" s="258">
        <f t="shared" si="195"/>
      </c>
      <c r="E323" s="338">
        <v>746.55</v>
      </c>
      <c r="F323" s="313">
        <v>2277.83</v>
      </c>
      <c r="G323" s="313">
        <v>0</v>
      </c>
      <c r="H323" s="314">
        <v>4</v>
      </c>
      <c r="I323" s="313">
        <v>5600.079999999998</v>
      </c>
      <c r="J323" s="315">
        <f t="shared" si="226"/>
      </c>
      <c r="K323" s="315">
        <f t="shared" si="110"/>
      </c>
      <c r="L323" s="315">
        <f t="shared" si="140"/>
      </c>
      <c r="M323" s="316">
        <f t="shared" si="28"/>
      </c>
      <c r="N323" s="317">
        <f t="shared" si="80"/>
      </c>
      <c r="O323" s="318">
        <f t="shared" si="311"/>
      </c>
      <c r="P323" s="319" t="s">
        <v>176</v>
      </c>
      <c r="Q323" s="254" t="s">
        <v>186</v>
      </c>
      <c r="R323" s="339">
        <v>26928</v>
      </c>
      <c r="S323" s="255">
        <v>804</v>
      </c>
      <c r="T323" s="256">
        <v>6</v>
      </c>
      <c r="U323" s="256">
        <v>0</v>
      </c>
      <c r="V323" s="256">
        <v>29</v>
      </c>
    </row>
    <row r="324">
      <c r="A324" s="293"/>
      <c r="B324" s="341" t="s">
        <v>181</v>
      </c>
      <c r="C324" s="341"/>
      <c r="D324" s="342">
        <f>SUM(D320:D323)</f>
      </c>
      <c r="E324" s="342">
        <f>SUM(E320:E323)</f>
      </c>
      <c r="F324" s="342">
        <f>SUM(F320:F323)</f>
      </c>
      <c r="G324" s="342">
        <f>SUM(G320:G323)</f>
      </c>
      <c r="H324" s="370">
        <f>SUM(H320:H323)</f>
      </c>
      <c r="I324" s="342">
        <f>SUM(I320:I323)</f>
      </c>
      <c r="J324" s="344">
        <f t="shared" si="226"/>
      </c>
      <c r="K324" s="345">
        <f t="shared" si="110"/>
      </c>
      <c r="L324" s="346">
        <f t="shared" si="140"/>
      </c>
      <c r="M324" s="347">
        <f t="shared" si="28"/>
      </c>
      <c r="N324" s="347">
        <f t="shared" si="80"/>
      </c>
      <c r="O324" s="348">
        <f t="shared" ref="O324:O325" si="256">(U324*1000)/D324</f>
      </c>
      <c r="P324" s="348"/>
      <c r="Q324" s="348"/>
      <c r="R324" s="370">
        <f>SUM(R320:R323)</f>
      </c>
      <c r="S324" s="370">
        <f>SUM(S320:S323)</f>
      </c>
      <c r="T324" s="370">
        <f>SUM(T320:T323)</f>
      </c>
      <c r="U324" s="370">
        <f>SUM(U320:U323)</f>
      </c>
      <c r="V324" s="370">
        <f>SUM(V320:V323)</f>
      </c>
    </row>
    <row r="325">
      <c r="A325" s="293"/>
      <c r="B325" s="294" t="s">
        <v>185</v>
      </c>
      <c r="C325" s="294"/>
      <c r="D325" s="295">
        <f>D324+D319</f>
      </c>
      <c r="E325" s="295">
        <f>E324+E319</f>
      </c>
      <c r="F325" s="295">
        <f>F324+F319</f>
      </c>
      <c r="G325" s="295">
        <f>G324+G319</f>
      </c>
      <c r="H325" s="296">
        <f>H324+H319</f>
      </c>
      <c r="I325" s="295">
        <f>I324+I319</f>
      </c>
      <c r="J325" s="297">
        <f t="shared" si="226"/>
      </c>
      <c r="K325" s="297">
        <f t="shared" si="110"/>
      </c>
      <c r="L325" s="297">
        <f t="shared" si="140"/>
      </c>
      <c r="M325" s="298">
        <f t="shared" si="28"/>
      </c>
      <c r="N325" s="298">
        <f t="shared" si="80"/>
      </c>
      <c r="O325" s="297">
        <f t="shared" si="256"/>
      </c>
      <c r="P325" s="299"/>
      <c r="Q325" s="299"/>
      <c r="R325" s="296">
        <f>R324+R319</f>
      </c>
      <c r="S325" s="296">
        <f>S324+S319</f>
      </c>
      <c r="T325" s="296">
        <f>T324+T319</f>
      </c>
      <c r="U325" s="296">
        <f>U324+U319</f>
      </c>
      <c r="V325" s="296">
        <f>V324+V319</f>
      </c>
    </row>
    <row r="326">
      <c r="A326" s="300" t="s">
        <v>148</v>
      </c>
      <c r="B326" s="300"/>
      <c r="C326" s="300"/>
      <c r="D326" s="301" t="s">
        <v>149</v>
      </c>
      <c r="E326" s="301"/>
      <c r="F326" s="301"/>
      <c r="G326" s="301"/>
      <c r="H326" s="301"/>
      <c r="I326" s="301"/>
      <c r="J326" s="301"/>
      <c r="K326" s="301"/>
      <c r="L326" s="301"/>
      <c r="M326" s="302" t="s">
        <v>150</v>
      </c>
      <c r="N326" s="302"/>
      <c r="O326" s="302"/>
      <c r="P326" s="302"/>
      <c r="Q326" s="302"/>
      <c r="R326" s="303" t="s">
        <v>151</v>
      </c>
      <c r="S326" s="303"/>
      <c r="T326" s="303"/>
      <c r="U326" s="303"/>
      <c r="V326" s="303"/>
    </row>
    <row r="327">
      <c r="A327" s="300" t="s">
        <v>152</v>
      </c>
      <c r="B327" s="300" t="s">
        <v>153</v>
      </c>
      <c r="C327" s="300" t="s">
        <v>154</v>
      </c>
      <c r="D327" s="301" t="s">
        <v>155</v>
      </c>
      <c r="E327" s="304" t="s">
        <v>156</v>
      </c>
      <c r="F327" s="301" t="s">
        <v>157</v>
      </c>
      <c r="G327" s="301" t="s">
        <v>158</v>
      </c>
      <c r="H327" s="305" t="s">
        <v>159</v>
      </c>
      <c r="I327" s="301" t="s">
        <v>160</v>
      </c>
      <c r="J327" s="306" t="s">
        <v>161</v>
      </c>
      <c r="K327" s="307" t="s">
        <v>162</v>
      </c>
      <c r="L327" s="301" t="s">
        <v>163</v>
      </c>
      <c r="M327" s="308" t="s">
        <v>164</v>
      </c>
      <c r="N327" s="308" t="s">
        <v>165</v>
      </c>
      <c r="O327" s="308" t="s">
        <v>166</v>
      </c>
      <c r="P327" s="302" t="s">
        <v>167</v>
      </c>
      <c r="Q327" s="302" t="s">
        <v>168</v>
      </c>
      <c r="R327" s="303" t="s">
        <v>169</v>
      </c>
      <c r="S327" s="303" t="s">
        <v>170</v>
      </c>
      <c r="T327" s="303" t="s">
        <v>171</v>
      </c>
      <c r="U327" s="309" t="s">
        <v>172</v>
      </c>
      <c r="V327" s="303" t="s">
        <v>173</v>
      </c>
    </row>
    <row r="328">
      <c r="A328" s="293">
        <v>46295</v>
      </c>
      <c r="B328" s="310" t="s">
        <v>174</v>
      </c>
      <c r="C328" s="313" t="s">
        <v>188</v>
      </c>
      <c r="D328" s="312">
        <f t="shared" ref="D328:D330" si="196">SUM(E328:G328)</f>
      </c>
      <c r="E328" s="313">
        <v>918.8</v>
      </c>
      <c r="F328" s="313">
        <v>2138.2</v>
      </c>
      <c r="G328" s="313">
        <v>0</v>
      </c>
      <c r="H328" s="314">
        <v>5</v>
      </c>
      <c r="I328" s="313">
        <v>4795.2</v>
      </c>
      <c r="J328" s="315">
        <f t="shared" ref="J328:J338" si="227">I328/D328</f>
      </c>
      <c r="K328" s="315">
        <f t="shared" ref="K328:K337" si="111">D328/H328</f>
      </c>
      <c r="L328" s="315">
        <f t="shared" ref="L328:L337" si="141">I328/H328</f>
      </c>
      <c r="M328" s="316">
        <f t="shared" ref="M328:M337" si="29">S328/R328</f>
      </c>
      <c r="N328" s="317">
        <f t="shared" ref="N328:N337" si="81">H328/(T328+H328)</f>
      </c>
      <c r="O328" s="318">
        <f t="shared" ref="O328:O330" si="312">(V328*1000)/D328</f>
      </c>
      <c r="P328" s="319" t="s">
        <v>176</v>
      </c>
      <c r="Q328" s="254" t="s">
        <v>186</v>
      </c>
      <c r="R328" s="321">
        <v>21871</v>
      </c>
      <c r="S328" s="321">
        <v>882</v>
      </c>
      <c r="T328" s="322">
        <v>5</v>
      </c>
      <c r="U328" s="322">
        <v>2</v>
      </c>
      <c r="V328" s="322">
        <v>28</v>
      </c>
    </row>
    <row r="329">
      <c r="A329" s="293"/>
      <c r="B329" s="310" t="s">
        <v>174</v>
      </c>
      <c r="C329" s="313" t="s">
        <v>175</v>
      </c>
      <c r="D329" s="258">
        <f t="shared" si="196"/>
      </c>
      <c r="E329" s="325">
        <v>860.05</v>
      </c>
      <c r="F329" s="326">
        <v>2452.28</v>
      </c>
      <c r="G329" s="326">
        <v>0</v>
      </c>
      <c r="H329" s="327">
        <v>10</v>
      </c>
      <c r="I329" s="326">
        <v>10059.599999999999</v>
      </c>
      <c r="J329" s="328">
        <f t="shared" si="227"/>
      </c>
      <c r="K329" s="328">
        <f t="shared" si="111"/>
      </c>
      <c r="L329" s="328">
        <f t="shared" si="141"/>
      </c>
      <c r="M329" s="329">
        <f t="shared" si="29"/>
      </c>
      <c r="N329" s="330">
        <f t="shared" si="81"/>
      </c>
      <c r="O329" s="331">
        <f t="shared" si="312"/>
      </c>
      <c r="P329" s="332" t="s">
        <v>176</v>
      </c>
      <c r="Q329" s="254" t="s">
        <v>186</v>
      </c>
      <c r="R329" s="334">
        <v>21476</v>
      </c>
      <c r="S329" s="335">
        <v>919</v>
      </c>
      <c r="T329" s="336">
        <v>6</v>
      </c>
      <c r="U329" s="336">
        <v>0</v>
      </c>
      <c r="V329" s="336">
        <v>32</v>
      </c>
    </row>
    <row r="330">
      <c r="A330" s="293"/>
      <c r="B330" s="310" t="s">
        <v>174</v>
      </c>
      <c r="C330" s="258" t="s">
        <v>178</v>
      </c>
      <c r="D330" s="258">
        <f t="shared" si="196"/>
      </c>
      <c r="E330" s="338">
        <v>1203.08</v>
      </c>
      <c r="F330" s="313">
        <v>1477.99</v>
      </c>
      <c r="G330" s="313">
        <v>0</v>
      </c>
      <c r="H330" s="314">
        <v>8</v>
      </c>
      <c r="I330" s="313">
        <v>6336.7800000000025</v>
      </c>
      <c r="J330" s="315">
        <f t="shared" si="227"/>
      </c>
      <c r="K330" s="315">
        <f t="shared" si="111"/>
      </c>
      <c r="L330" s="315">
        <f t="shared" si="141"/>
      </c>
      <c r="M330" s="316">
        <f t="shared" si="29"/>
      </c>
      <c r="N330" s="317">
        <f t="shared" si="81"/>
      </c>
      <c r="O330" s="318">
        <f t="shared" si="312"/>
      </c>
      <c r="P330" s="319" t="s">
        <v>176</v>
      </c>
      <c r="Q330" s="254" t="s">
        <v>186</v>
      </c>
      <c r="R330" s="339">
        <v>21414</v>
      </c>
      <c r="S330" s="255">
        <v>1030</v>
      </c>
      <c r="T330" s="256">
        <v>7</v>
      </c>
      <c r="U330" s="256">
        <v>0</v>
      </c>
      <c r="V330" s="256">
        <v>42</v>
      </c>
    </row>
    <row r="331">
      <c r="A331" s="293"/>
      <c r="B331" s="341" t="s">
        <v>181</v>
      </c>
      <c r="C331" s="341"/>
      <c r="D331" s="342">
        <f>SUM(D328:D330)</f>
      </c>
      <c r="E331" s="342">
        <f>SUM(E328:E330)</f>
      </c>
      <c r="F331" s="342">
        <f>SUM(F328:F330)</f>
      </c>
      <c r="G331" s="342">
        <f>SUM(G328:G330)</f>
      </c>
      <c r="H331" s="370">
        <f>SUM(H328:H330)</f>
      </c>
      <c r="I331" s="342">
        <f>SUM(I328:I330)</f>
      </c>
      <c r="J331" s="344">
        <f t="shared" si="227"/>
      </c>
      <c r="K331" s="345">
        <f t="shared" si="111"/>
      </c>
      <c r="L331" s="346">
        <f t="shared" si="141"/>
      </c>
      <c r="M331" s="347">
        <f t="shared" si="29"/>
      </c>
      <c r="N331" s="347">
        <f t="shared" si="81"/>
      </c>
      <c r="O331" s="348">
        <f>(U331*1000)/D331</f>
      </c>
      <c r="P331" s="348"/>
      <c r="Q331" s="348"/>
      <c r="R331" s="370">
        <f>SUM(R328:R330)</f>
      </c>
      <c r="S331" s="370">
        <f>SUM(S328:S330)</f>
      </c>
      <c r="T331" s="370">
        <f>SUM(T328:T330)</f>
      </c>
      <c r="U331" s="370">
        <f>SUM(U328:U330)</f>
      </c>
      <c r="V331" s="370">
        <f>SUM(V328:V330)</f>
      </c>
    </row>
    <row r="332">
      <c r="A332" s="293"/>
      <c r="B332" s="271" t="s">
        <v>197</v>
      </c>
      <c r="C332" s="260" t="s">
        <v>179</v>
      </c>
      <c r="D332" s="245">
        <f t="shared" ref="D332:D335" si="197">SUM(E332:G332)</f>
      </c>
      <c r="E332" s="371">
        <v>2837.18</v>
      </c>
      <c r="F332" s="246">
        <v>1991.11</v>
      </c>
      <c r="G332" s="246">
        <v>0</v>
      </c>
      <c r="H332" s="282">
        <v>14</v>
      </c>
      <c r="I332" s="245">
        <v>8336.439999999999</v>
      </c>
      <c r="J332" s="248">
        <f t="shared" si="227"/>
      </c>
      <c r="K332" s="248">
        <f t="shared" si="111"/>
      </c>
      <c r="L332" s="248">
        <f t="shared" si="141"/>
      </c>
      <c r="M332" s="250">
        <f t="shared" si="29"/>
      </c>
      <c r="N332" s="251">
        <f t="shared" si="81"/>
      </c>
      <c r="O332" s="252">
        <f t="shared" ref="O332:O335" si="313">(V332*1000)/D332</f>
      </c>
      <c r="P332" s="253" t="s">
        <v>176</v>
      </c>
      <c r="Q332" s="283" t="s">
        <v>186</v>
      </c>
      <c r="R332" s="372">
        <v>31982</v>
      </c>
      <c r="S332" s="373">
        <v>1572</v>
      </c>
      <c r="T332" s="373">
        <v>16</v>
      </c>
      <c r="U332" s="374">
        <v>0</v>
      </c>
      <c r="V332" s="374">
        <v>54</v>
      </c>
    </row>
    <row r="333">
      <c r="A333" s="293"/>
      <c r="B333" s="310" t="s">
        <v>197</v>
      </c>
      <c r="C333" s="357" t="s">
        <v>180</v>
      </c>
      <c r="D333" s="258">
        <f t="shared" si="197"/>
      </c>
      <c r="E333" s="338">
        <v>1885.78</v>
      </c>
      <c r="F333" s="313">
        <v>1238.14</v>
      </c>
      <c r="G333" s="313">
        <v>0</v>
      </c>
      <c r="H333" s="314">
        <v>9</v>
      </c>
      <c r="I333" s="313">
        <v>5676.920000000002</v>
      </c>
      <c r="J333" s="315">
        <f t="shared" si="227"/>
      </c>
      <c r="K333" s="315">
        <f t="shared" si="111"/>
      </c>
      <c r="L333" s="315">
        <f t="shared" si="141"/>
      </c>
      <c r="M333" s="316">
        <f t="shared" si="29"/>
      </c>
      <c r="N333" s="317">
        <f t="shared" si="81"/>
      </c>
      <c r="O333" s="318">
        <f t="shared" si="313"/>
      </c>
      <c r="P333" s="319" t="s">
        <v>176</v>
      </c>
      <c r="Q333" s="254" t="s">
        <v>186</v>
      </c>
      <c r="R333" s="339">
        <v>24433</v>
      </c>
      <c r="S333" s="255">
        <v>1362</v>
      </c>
      <c r="T333" s="256">
        <v>7</v>
      </c>
      <c r="U333" s="256">
        <v>0</v>
      </c>
      <c r="V333" s="256">
        <v>46</v>
      </c>
    </row>
    <row r="334">
      <c r="A334" s="293"/>
      <c r="B334" s="310" t="s">
        <v>197</v>
      </c>
      <c r="C334" s="357" t="s">
        <v>183</v>
      </c>
      <c r="D334" s="258">
        <f t="shared" si="197"/>
      </c>
      <c r="E334" s="338">
        <v>1286.07</v>
      </c>
      <c r="F334" s="313">
        <v>1696.73</v>
      </c>
      <c r="G334" s="313">
        <v>0</v>
      </c>
      <c r="H334" s="314">
        <v>12</v>
      </c>
      <c r="I334" s="313">
        <v>12761.399999999994</v>
      </c>
      <c r="J334" s="315">
        <f t="shared" si="227"/>
      </c>
      <c r="K334" s="315">
        <f t="shared" si="111"/>
      </c>
      <c r="L334" s="315">
        <f t="shared" si="141"/>
      </c>
      <c r="M334" s="316">
        <f t="shared" si="29"/>
      </c>
      <c r="N334" s="317">
        <f t="shared" si="81"/>
      </c>
      <c r="O334" s="318">
        <f t="shared" si="313"/>
      </c>
      <c r="P334" s="319" t="s">
        <v>176</v>
      </c>
      <c r="Q334" s="254" t="s">
        <v>186</v>
      </c>
      <c r="R334" s="339">
        <v>19483</v>
      </c>
      <c r="S334" s="255">
        <v>975</v>
      </c>
      <c r="T334" s="256">
        <v>14</v>
      </c>
      <c r="U334" s="256">
        <v>2</v>
      </c>
      <c r="V334" s="256">
        <v>39</v>
      </c>
    </row>
    <row r="335">
      <c r="A335" s="293"/>
      <c r="B335" s="310" t="s">
        <v>197</v>
      </c>
      <c r="C335" s="357" t="s">
        <v>184</v>
      </c>
      <c r="D335" s="258">
        <f t="shared" si="197"/>
      </c>
      <c r="E335" s="338">
        <v>1119.34</v>
      </c>
      <c r="F335" s="313">
        <v>1534.75</v>
      </c>
      <c r="G335" s="313">
        <v>0</v>
      </c>
      <c r="H335" s="314">
        <v>11</v>
      </c>
      <c r="I335" s="313">
        <v>7341.380000000005</v>
      </c>
      <c r="J335" s="315">
        <f t="shared" si="227"/>
      </c>
      <c r="K335" s="315">
        <f t="shared" si="111"/>
      </c>
      <c r="L335" s="315">
        <f t="shared" si="141"/>
      </c>
      <c r="M335" s="316">
        <f t="shared" si="29"/>
      </c>
      <c r="N335" s="317">
        <f t="shared" si="81"/>
      </c>
      <c r="O335" s="318">
        <f t="shared" si="313"/>
      </c>
      <c r="P335" s="319" t="s">
        <v>176</v>
      </c>
      <c r="Q335" s="254" t="s">
        <v>186</v>
      </c>
      <c r="R335" s="339">
        <v>18103</v>
      </c>
      <c r="S335" s="255">
        <v>945</v>
      </c>
      <c r="T335" s="256">
        <v>10</v>
      </c>
      <c r="U335" s="256">
        <v>1</v>
      </c>
      <c r="V335" s="256">
        <v>34</v>
      </c>
    </row>
    <row r="336">
      <c r="A336" s="293"/>
      <c r="B336" s="341" t="s">
        <v>181</v>
      </c>
      <c r="C336" s="341"/>
      <c r="D336" s="342">
        <f>SUM(D332:D335)</f>
      </c>
      <c r="E336" s="342">
        <f>SUM(E332:E335)</f>
      </c>
      <c r="F336" s="342">
        <f>SUM(F332:F335)</f>
      </c>
      <c r="G336" s="342">
        <f>SUM(G332:G335)</f>
      </c>
      <c r="H336" s="370">
        <f>SUM(H332:H335)</f>
      </c>
      <c r="I336" s="342">
        <f>SUM(I332:I335)</f>
      </c>
      <c r="J336" s="344">
        <f t="shared" si="227"/>
      </c>
      <c r="K336" s="345">
        <f t="shared" si="111"/>
      </c>
      <c r="L336" s="346">
        <f t="shared" si="141"/>
      </c>
      <c r="M336" s="347">
        <f t="shared" si="29"/>
      </c>
      <c r="N336" s="347">
        <f t="shared" si="81"/>
      </c>
      <c r="O336" s="348">
        <f t="shared" ref="O336:O337" si="257">(U336*1000)/D336</f>
      </c>
      <c r="P336" s="348"/>
      <c r="Q336" s="348"/>
      <c r="R336" s="370">
        <f>SUM(R332:R335)</f>
      </c>
      <c r="S336" s="370">
        <f>SUM(S332:S335)</f>
      </c>
      <c r="T336" s="370">
        <f>SUM(T332:T335)</f>
      </c>
      <c r="U336" s="370">
        <f>SUM(U332:U335)</f>
      </c>
      <c r="V336" s="370">
        <f>SUM(V332:V335)</f>
      </c>
    </row>
    <row r="337">
      <c r="A337" s="293"/>
      <c r="B337" s="294" t="s">
        <v>185</v>
      </c>
      <c r="C337" s="294"/>
      <c r="D337" s="295">
        <f>D336+D331</f>
      </c>
      <c r="E337" s="295">
        <f>E336+E331</f>
      </c>
      <c r="F337" s="295">
        <f>F336+F331</f>
      </c>
      <c r="G337" s="295">
        <f>G336+G331</f>
      </c>
      <c r="H337" s="296">
        <f>H336+H331</f>
      </c>
      <c r="I337" s="295">
        <f>I336+I331</f>
      </c>
      <c r="J337" s="297">
        <f t="shared" si="227"/>
      </c>
      <c r="K337" s="297">
        <f t="shared" si="111"/>
      </c>
      <c r="L337" s="297">
        <f t="shared" si="141"/>
      </c>
      <c r="M337" s="298">
        <f t="shared" si="29"/>
      </c>
      <c r="N337" s="298">
        <f t="shared" si="81"/>
      </c>
      <c r="O337" s="297">
        <f t="shared" si="257"/>
      </c>
      <c r="P337" s="299"/>
      <c r="Q337" s="299"/>
      <c r="R337" s="296">
        <f>R336+R331</f>
      </c>
      <c r="S337" s="296">
        <f>S336+S331</f>
      </c>
      <c r="T337" s="296">
        <f>T336+T331</f>
      </c>
      <c r="U337" s="296">
        <f>U336+U331</f>
      </c>
      <c r="V337" s="296">
        <f>V336+V331</f>
      </c>
    </row>
    <row r="338">
      <c r="A338" s="375" t="s">
        <v>198</v>
      </c>
      <c r="B338" s="376"/>
      <c r="C338" s="376"/>
      <c r="D338" s="376">
        <f>D339-D337</f>
      </c>
      <c r="E338" s="376"/>
      <c r="F338" s="376"/>
      <c r="G338" s="376" t="s">
        <v>199</v>
      </c>
      <c r="H338" s="376">
        <f>H339-H337</f>
      </c>
      <c r="I338" s="376">
        <f>I339-I337</f>
      </c>
      <c r="J338" s="377">
        <f t="shared" si="227"/>
      </c>
      <c r="K338" s="376">
        <f>D339/H339</f>
      </c>
      <c r="L338" s="376"/>
      <c r="M338" s="376"/>
      <c r="N338" s="376"/>
      <c r="O338" s="376"/>
      <c r="P338" s="376"/>
      <c r="Q338" s="376"/>
      <c r="R338" s="376"/>
      <c r="S338" s="376"/>
      <c r="T338" s="376"/>
      <c r="U338" s="376"/>
      <c r="V338" s="376">
        <f>V339-V337</f>
      </c>
    </row>
    <row r="339">
      <c r="A339" s="376"/>
      <c r="B339" s="376"/>
      <c r="C339" s="376"/>
      <c r="D339" s="378">
        <v>22639.5</v>
      </c>
      <c r="E339" s="376"/>
      <c r="F339" s="376"/>
      <c r="G339" s="379" t="s">
        <v>200</v>
      </c>
      <c r="H339" s="380">
        <v>69</v>
      </c>
      <c r="I339" s="381">
        <v>55307.72</v>
      </c>
      <c r="J339" s="376"/>
      <c r="K339" s="376"/>
      <c r="L339" s="376"/>
      <c r="M339" s="376"/>
      <c r="N339" s="376"/>
      <c r="O339" s="376"/>
      <c r="P339" s="376"/>
      <c r="Q339" s="376"/>
      <c r="R339" s="376"/>
      <c r="S339" s="376"/>
      <c r="T339" s="376"/>
      <c r="U339" s="376"/>
      <c r="V339" s="382">
        <v>275</v>
      </c>
    </row>
    <row r="340">
      <c r="A340" s="376" t="s">
        <v>201</v>
      </c>
      <c r="B340" s="376"/>
      <c r="C340" s="376" t="s">
        <v>202</v>
      </c>
      <c r="D340" s="376"/>
      <c r="E340" s="378"/>
      <c r="F340" s="376"/>
      <c r="G340" s="383" t="s">
        <v>203</v>
      </c>
      <c r="H340" s="382"/>
      <c r="I340" s="384"/>
      <c r="J340" s="376"/>
      <c r="K340" s="376"/>
      <c r="L340" s="376"/>
      <c r="M340" s="376"/>
      <c r="N340" s="376"/>
      <c r="O340" s="376"/>
      <c r="P340" s="376"/>
      <c r="Q340" s="376"/>
      <c r="R340" s="376"/>
      <c r="S340" s="376"/>
      <c r="T340" s="376"/>
      <c r="U340" s="376"/>
      <c r="V340" s="376"/>
    </row>
    <row r="341">
      <c r="A341" s="376"/>
      <c r="B341" s="376"/>
      <c r="C341" s="376"/>
      <c r="D341" s="376"/>
      <c r="E341" s="376"/>
      <c r="F341" s="376"/>
      <c r="G341" s="376" t="s">
        <v>204</v>
      </c>
      <c r="H341" s="382"/>
      <c r="I341" s="385"/>
      <c r="J341" s="376"/>
      <c r="K341" s="376"/>
      <c r="L341" s="376"/>
      <c r="M341" s="376"/>
      <c r="N341" s="376"/>
      <c r="O341" s="376"/>
      <c r="P341" s="376"/>
      <c r="Q341" s="376"/>
      <c r="U341" s="376"/>
      <c r="V341" s="376"/>
    </row>
    <row r="342">
      <c r="A342" s="376"/>
      <c r="B342" s="376"/>
      <c r="C342" s="376"/>
      <c r="D342" s="386">
        <f>D337+D325+D313+D301+D292+D281+D272+D260+D248+D236+D224+D212+D200+D192+D180+D167+D155+D143+D132+D120+D108+D96+D85+D74+D63+D52+D44+D33+D11+D22</f>
      </c>
      <c r="E342" s="376"/>
      <c r="F342" s="376"/>
      <c r="G342" s="376"/>
      <c r="H342" s="382"/>
      <c r="I342" s="385"/>
      <c r="J342" s="376"/>
      <c r="K342" s="376"/>
      <c r="L342" s="376"/>
      <c r="M342" s="376"/>
      <c r="N342" s="376"/>
      <c r="O342" s="376"/>
      <c r="P342" s="376"/>
      <c r="Q342" s="376"/>
      <c r="U342" s="376"/>
      <c r="V342" s="376"/>
    </row>
    <row r="343">
      <c r="A343" s="376"/>
      <c r="B343" s="376"/>
      <c r="C343" s="376"/>
      <c r="D343" s="376"/>
      <c r="E343" s="376"/>
      <c r="F343" s="376"/>
      <c r="G343" s="376"/>
      <c r="H343" s="382"/>
      <c r="I343" s="385"/>
      <c r="J343" s="376"/>
      <c r="K343" s="376"/>
      <c r="L343" s="376"/>
      <c r="M343" s="376"/>
      <c r="N343" s="376"/>
      <c r="O343" s="376"/>
      <c r="P343" s="376"/>
      <c r="Q343" s="376"/>
      <c r="U343" s="376"/>
      <c r="V343" s="376"/>
    </row>
    <row r="344">
      <c r="A344" s="376"/>
      <c r="B344" s="376"/>
      <c r="C344" s="376"/>
      <c r="D344" s="376"/>
      <c r="E344" s="376"/>
      <c r="F344" s="376"/>
      <c r="G344" s="376"/>
      <c r="H344" s="382"/>
      <c r="I344" s="385"/>
      <c r="J344" s="376"/>
      <c r="K344" s="376"/>
      <c r="L344" s="376"/>
      <c r="M344" s="376"/>
      <c r="N344" s="376"/>
      <c r="O344" s="376"/>
      <c r="P344" s="376"/>
      <c r="Q344" s="376"/>
      <c r="U344" s="376"/>
      <c r="V344" s="376"/>
    </row>
    <row r="345">
      <c r="A345" s="376"/>
      <c r="B345" s="376"/>
      <c r="C345" s="376"/>
      <c r="D345" s="376"/>
      <c r="E345" s="376"/>
      <c r="F345" s="376"/>
      <c r="G345" s="376"/>
      <c r="H345" s="382"/>
      <c r="I345" s="385"/>
      <c r="J345" s="376"/>
      <c r="K345" s="376"/>
      <c r="L345" s="376"/>
      <c r="M345" s="376"/>
      <c r="N345" s="376"/>
      <c r="O345" s="376"/>
      <c r="P345" s="376"/>
      <c r="Q345" s="376"/>
      <c r="U345" s="376"/>
      <c r="V345" s="376"/>
    </row>
    <row r="346">
      <c r="A346" s="376"/>
      <c r="B346" s="376"/>
      <c r="C346" s="376"/>
      <c r="D346" s="376"/>
      <c r="E346" s="376"/>
      <c r="F346" s="376"/>
      <c r="G346" s="376"/>
      <c r="H346" s="382"/>
      <c r="I346" s="385"/>
      <c r="J346" s="376"/>
      <c r="K346" s="376"/>
      <c r="L346" s="376"/>
      <c r="M346" s="376"/>
      <c r="N346" s="376"/>
      <c r="O346" s="376"/>
      <c r="P346" s="376"/>
      <c r="Q346" s="376"/>
      <c r="U346" s="376"/>
      <c r="V346" s="376"/>
    </row>
    <row r="347">
      <c r="A347" s="376"/>
      <c r="B347" s="376"/>
      <c r="C347" s="376"/>
      <c r="D347" s="376"/>
      <c r="E347" s="376"/>
      <c r="F347" s="376"/>
      <c r="G347" s="376"/>
      <c r="H347" s="382"/>
      <c r="I347" s="385"/>
      <c r="J347" s="376"/>
      <c r="K347" s="376"/>
      <c r="L347" s="376"/>
      <c r="M347" s="376"/>
      <c r="N347" s="376"/>
      <c r="O347" s="376"/>
      <c r="P347" s="376"/>
      <c r="Q347" s="376"/>
      <c r="U347" s="376"/>
      <c r="V347" s="376"/>
    </row>
    <row r="348">
      <c r="A348" s="376"/>
      <c r="B348" s="376"/>
      <c r="C348" s="376"/>
      <c r="D348" s="376"/>
      <c r="E348" s="376"/>
      <c r="F348" s="376"/>
      <c r="G348" s="376"/>
      <c r="H348" s="382"/>
      <c r="I348" s="385"/>
      <c r="J348" s="376"/>
      <c r="K348" s="376"/>
      <c r="L348" s="376"/>
      <c r="M348" s="376"/>
      <c r="N348" s="376"/>
      <c r="O348" s="376"/>
      <c r="P348" s="376"/>
      <c r="Q348" s="376"/>
      <c r="U348" s="376"/>
      <c r="V348" s="376"/>
    </row>
    <row r="349">
      <c r="A349" s="376"/>
      <c r="B349" s="376"/>
      <c r="C349" s="376"/>
      <c r="D349" s="376"/>
      <c r="E349" s="376"/>
      <c r="F349" s="376"/>
      <c r="G349" s="376"/>
      <c r="H349" s="382"/>
      <c r="I349" s="385"/>
      <c r="J349" s="376"/>
      <c r="K349" s="376"/>
      <c r="L349" s="376"/>
      <c r="M349" s="376"/>
      <c r="N349" s="376"/>
      <c r="O349" s="376"/>
      <c r="P349" s="376"/>
      <c r="Q349" s="376"/>
      <c r="U349" s="376"/>
      <c r="V349" s="376"/>
    </row>
    <row r="350">
      <c r="A350" s="376"/>
      <c r="B350" s="376"/>
      <c r="C350" s="376"/>
      <c r="D350" s="376"/>
      <c r="E350" s="376"/>
      <c r="F350" s="376"/>
      <c r="G350" s="376"/>
      <c r="H350" s="382"/>
      <c r="I350" s="385"/>
      <c r="J350" s="376"/>
      <c r="K350" s="376"/>
      <c r="L350" s="376"/>
      <c r="M350" s="376"/>
      <c r="N350" s="376"/>
      <c r="O350" s="376"/>
      <c r="P350" s="376"/>
      <c r="Q350" s="376"/>
      <c r="U350" s="376"/>
      <c r="V350" s="376"/>
    </row>
    <row r="351">
      <c r="A351" s="376"/>
      <c r="B351" s="376"/>
      <c r="C351" s="376"/>
      <c r="D351" s="376"/>
      <c r="E351" s="376"/>
      <c r="F351" s="376"/>
      <c r="G351" s="376"/>
      <c r="H351" s="382"/>
      <c r="I351" s="385"/>
      <c r="J351" s="376"/>
      <c r="K351" s="376"/>
      <c r="L351" s="376"/>
      <c r="M351" s="376"/>
      <c r="N351" s="376"/>
      <c r="O351" s="376"/>
      <c r="P351" s="376"/>
      <c r="Q351" s="376"/>
      <c r="U351" s="376"/>
      <c r="V351" s="376"/>
    </row>
    <row r="352">
      <c r="A352" s="376"/>
      <c r="B352" s="376"/>
      <c r="C352" s="376"/>
      <c r="D352" s="376"/>
      <c r="E352" s="376"/>
      <c r="F352" s="376"/>
      <c r="G352" s="376"/>
      <c r="H352" s="382"/>
      <c r="I352" s="385"/>
      <c r="J352" s="376"/>
      <c r="K352" s="376"/>
      <c r="L352" s="376"/>
      <c r="M352" s="376"/>
      <c r="N352" s="376"/>
      <c r="O352" s="376"/>
      <c r="P352" s="376"/>
      <c r="Q352" s="376"/>
      <c r="U352" s="376"/>
      <c r="V352" s="376"/>
    </row>
    <row r="353">
      <c r="A353" s="376"/>
      <c r="B353" s="376"/>
      <c r="C353" s="376"/>
      <c r="D353" s="376"/>
      <c r="E353" s="376"/>
      <c r="F353" s="376"/>
      <c r="G353" s="376"/>
      <c r="H353" s="382"/>
      <c r="I353" s="385"/>
      <c r="J353" s="376"/>
      <c r="K353" s="376"/>
      <c r="L353" s="376"/>
      <c r="M353" s="376"/>
      <c r="N353" s="376"/>
      <c r="O353" s="376"/>
      <c r="P353" s="376"/>
      <c r="Q353" s="376"/>
      <c r="U353" s="376"/>
      <c r="V353" s="376"/>
    </row>
    <row r="354">
      <c r="A354" s="376"/>
      <c r="B354" s="376"/>
      <c r="C354" s="376"/>
      <c r="D354" s="376"/>
      <c r="E354" s="376"/>
      <c r="F354" s="376"/>
      <c r="G354" s="376"/>
      <c r="H354" s="382"/>
      <c r="I354" s="385"/>
      <c r="J354" s="376"/>
      <c r="K354" s="376"/>
      <c r="L354" s="376"/>
      <c r="M354" s="376"/>
      <c r="N354" s="376"/>
      <c r="O354" s="376"/>
      <c r="P354" s="376"/>
      <c r="Q354" s="376"/>
      <c r="U354" s="376"/>
      <c r="V354" s="376"/>
    </row>
    <row r="355">
      <c r="A355" s="376"/>
      <c r="B355" s="376"/>
      <c r="C355" s="376"/>
      <c r="D355" s="376"/>
      <c r="E355" s="376"/>
      <c r="F355" s="376"/>
      <c r="G355" s="376"/>
      <c r="H355" s="382"/>
      <c r="I355" s="385"/>
      <c r="J355" s="376"/>
      <c r="K355" s="376"/>
      <c r="L355" s="376"/>
      <c r="M355" s="376"/>
      <c r="N355" s="376"/>
      <c r="O355" s="376"/>
      <c r="P355" s="376"/>
      <c r="Q355" s="376"/>
      <c r="U355" s="376"/>
      <c r="V355" s="376"/>
    </row>
    <row r="356">
      <c r="A356" s="376"/>
      <c r="B356" s="376"/>
      <c r="C356" s="376"/>
      <c r="D356" s="376"/>
      <c r="E356" s="376"/>
      <c r="F356" s="376"/>
      <c r="G356" s="376"/>
      <c r="H356" s="382"/>
      <c r="I356" s="385"/>
      <c r="J356" s="376"/>
      <c r="K356" s="376"/>
      <c r="L356" s="376"/>
      <c r="M356" s="376"/>
      <c r="N356" s="376"/>
      <c r="O356" s="376"/>
      <c r="P356" s="376"/>
      <c r="Q356" s="376"/>
      <c r="U356" s="376"/>
      <c r="V356" s="376"/>
    </row>
    <row r="357">
      <c r="A357" s="376"/>
      <c r="B357" s="376"/>
      <c r="C357" s="376"/>
      <c r="D357" s="376"/>
      <c r="E357" s="376"/>
      <c r="F357" s="376"/>
      <c r="G357" s="376"/>
      <c r="H357" s="382"/>
      <c r="I357" s="385"/>
      <c r="J357" s="376"/>
      <c r="K357" s="376"/>
      <c r="L357" s="376"/>
      <c r="M357" s="376"/>
      <c r="N357" s="376"/>
      <c r="O357" s="376"/>
      <c r="P357" s="376"/>
      <c r="Q357" s="376"/>
      <c r="U357" s="376"/>
      <c r="V357" s="376"/>
    </row>
    <row r="358">
      <c r="A358" s="376"/>
      <c r="B358" s="376"/>
      <c r="C358" s="376"/>
      <c r="D358" s="376"/>
      <c r="E358" s="376"/>
      <c r="F358" s="376"/>
      <c r="G358" s="376"/>
      <c r="H358" s="382"/>
      <c r="I358" s="385"/>
      <c r="J358" s="376"/>
      <c r="K358" s="376"/>
      <c r="L358" s="376"/>
      <c r="M358" s="376"/>
      <c r="N358" s="376"/>
      <c r="O358" s="376"/>
      <c r="P358" s="376"/>
      <c r="Q358" s="376"/>
      <c r="U358" s="376"/>
      <c r="V358" s="376"/>
    </row>
    <row r="359">
      <c r="A359" s="376"/>
      <c r="B359" s="376"/>
      <c r="C359" s="376"/>
      <c r="D359" s="376"/>
      <c r="E359" s="376"/>
      <c r="F359" s="376"/>
      <c r="G359" s="376"/>
      <c r="H359" s="382"/>
      <c r="I359" s="385"/>
      <c r="J359" s="376"/>
      <c r="K359" s="376"/>
      <c r="L359" s="376"/>
      <c r="M359" s="376"/>
      <c r="N359" s="376"/>
      <c r="O359" s="376"/>
      <c r="P359" s="376"/>
      <c r="Q359" s="376"/>
      <c r="U359" s="376"/>
      <c r="V359" s="376"/>
    </row>
    <row r="360">
      <c r="A360" s="376"/>
      <c r="B360" s="376"/>
      <c r="C360" s="376"/>
      <c r="D360" s="376"/>
      <c r="E360" s="376"/>
      <c r="F360" s="376"/>
      <c r="G360" s="376"/>
      <c r="H360" s="382"/>
      <c r="I360" s="385"/>
      <c r="J360" s="376"/>
      <c r="K360" s="376"/>
      <c r="L360" s="376"/>
      <c r="M360" s="376"/>
      <c r="N360" s="376"/>
      <c r="O360" s="376"/>
      <c r="P360" s="376"/>
      <c r="Q360" s="376"/>
      <c r="U360" s="376"/>
      <c r="V360" s="376"/>
    </row>
    <row r="361">
      <c r="A361" s="376"/>
      <c r="B361" s="376"/>
      <c r="C361" s="376"/>
      <c r="D361" s="376"/>
      <c r="E361" s="376"/>
      <c r="F361" s="376"/>
      <c r="G361" s="376"/>
      <c r="H361" s="382"/>
      <c r="I361" s="385"/>
      <c r="J361" s="376"/>
      <c r="K361" s="376"/>
      <c r="L361" s="376"/>
      <c r="M361" s="376"/>
      <c r="N361" s="376"/>
      <c r="O361" s="376"/>
      <c r="P361" s="376"/>
      <c r="Q361" s="376"/>
      <c r="U361" s="376"/>
      <c r="V361" s="376"/>
    </row>
    <row r="362">
      <c r="A362" s="376"/>
      <c r="B362" s="376"/>
      <c r="C362" s="376"/>
      <c r="D362" s="376"/>
      <c r="E362" s="376"/>
      <c r="F362" s="376"/>
      <c r="G362" s="376"/>
      <c r="H362" s="382"/>
      <c r="I362" s="385"/>
      <c r="J362" s="376"/>
      <c r="K362" s="376"/>
      <c r="L362" s="376"/>
      <c r="M362" s="376"/>
      <c r="N362" s="376"/>
      <c r="O362" s="376"/>
      <c r="P362" s="376"/>
      <c r="Q362" s="376"/>
      <c r="U362" s="376"/>
      <c r="V362" s="376"/>
    </row>
    <row r="363">
      <c r="A363" s="376"/>
      <c r="B363" s="376"/>
      <c r="C363" s="376"/>
      <c r="D363" s="376"/>
      <c r="E363" s="376"/>
      <c r="F363" s="376"/>
      <c r="G363" s="376"/>
      <c r="H363" s="382"/>
      <c r="I363" s="385"/>
      <c r="J363" s="376"/>
      <c r="K363" s="376"/>
      <c r="L363" s="376"/>
      <c r="M363" s="376"/>
      <c r="N363" s="376"/>
      <c r="O363" s="376"/>
      <c r="P363" s="376"/>
      <c r="Q363" s="376"/>
      <c r="U363" s="376"/>
      <c r="V363" s="376"/>
    </row>
    <row r="364">
      <c r="A364" s="376"/>
      <c r="B364" s="376"/>
      <c r="C364" s="376"/>
      <c r="D364" s="376"/>
      <c r="E364" s="376"/>
      <c r="F364" s="376"/>
      <c r="G364" s="376"/>
      <c r="H364" s="382"/>
      <c r="I364" s="385"/>
      <c r="J364" s="376"/>
      <c r="K364" s="376"/>
      <c r="L364" s="376"/>
      <c r="M364" s="376"/>
      <c r="N364" s="376"/>
      <c r="O364" s="376"/>
      <c r="P364" s="376"/>
      <c r="Q364" s="376"/>
      <c r="U364" s="376"/>
      <c r="V364" s="376"/>
    </row>
    <row r="365">
      <c r="A365" s="376"/>
      <c r="B365" s="376"/>
      <c r="C365" s="376"/>
      <c r="D365" s="376"/>
      <c r="E365" s="376"/>
      <c r="F365" s="376"/>
      <c r="G365" s="376"/>
      <c r="H365" s="382"/>
      <c r="I365" s="385"/>
      <c r="J365" s="376"/>
      <c r="K365" s="376"/>
      <c r="L365" s="376"/>
      <c r="M365" s="376"/>
      <c r="N365" s="376"/>
      <c r="O365" s="376"/>
      <c r="P365" s="376"/>
      <c r="Q365" s="376"/>
      <c r="U365" s="376"/>
      <c r="V365" s="376"/>
    </row>
    <row r="366">
      <c r="A366" s="376"/>
      <c r="B366" s="376"/>
      <c r="C366" s="376"/>
      <c r="D366" s="376"/>
      <c r="E366" s="376"/>
      <c r="F366" s="376"/>
      <c r="G366" s="376"/>
      <c r="H366" s="382"/>
      <c r="I366" s="385"/>
      <c r="J366" s="376"/>
      <c r="K366" s="376"/>
      <c r="L366" s="376"/>
      <c r="M366" s="376"/>
      <c r="N366" s="376"/>
      <c r="O366" s="376"/>
      <c r="P366" s="376"/>
      <c r="Q366" s="376"/>
      <c r="U366" s="376"/>
      <c r="V366" s="376"/>
    </row>
    <row r="367">
      <c r="A367" s="376"/>
      <c r="B367" s="376"/>
      <c r="C367" s="376"/>
      <c r="D367" s="376"/>
      <c r="E367" s="376"/>
      <c r="F367" s="376"/>
      <c r="G367" s="376"/>
      <c r="H367" s="382"/>
      <c r="I367" s="385"/>
      <c r="J367" s="376"/>
      <c r="K367" s="376"/>
      <c r="L367" s="376"/>
      <c r="M367" s="376"/>
      <c r="N367" s="376"/>
      <c r="O367" s="376"/>
      <c r="P367" s="376"/>
      <c r="Q367" s="376"/>
      <c r="U367" s="376"/>
      <c r="V367" s="376"/>
    </row>
    <row r="368">
      <c r="A368" s="376"/>
      <c r="B368" s="376"/>
      <c r="C368" s="376"/>
      <c r="D368" s="376"/>
      <c r="E368" s="376"/>
      <c r="F368" s="376"/>
      <c r="G368" s="376"/>
      <c r="H368" s="382"/>
      <c r="I368" s="385"/>
      <c r="J368" s="376"/>
      <c r="K368" s="376"/>
      <c r="L368" s="376"/>
      <c r="M368" s="376"/>
      <c r="N368" s="376"/>
      <c r="O368" s="376"/>
      <c r="P368" s="376"/>
      <c r="Q368" s="376"/>
      <c r="U368" s="376"/>
      <c r="V368" s="376"/>
    </row>
    <row r="369">
      <c r="A369" s="376"/>
      <c r="B369" s="376"/>
      <c r="C369" s="376"/>
      <c r="D369" s="376"/>
      <c r="E369" s="376"/>
      <c r="F369" s="376"/>
      <c r="G369" s="376"/>
      <c r="H369" s="382"/>
      <c r="I369" s="385"/>
      <c r="J369" s="376"/>
      <c r="K369" s="376"/>
      <c r="L369" s="376"/>
      <c r="M369" s="376"/>
      <c r="N369" s="376"/>
      <c r="O369" s="376"/>
      <c r="P369" s="376"/>
      <c r="Q369" s="376"/>
      <c r="U369" s="376"/>
      <c r="V369" s="376"/>
    </row>
    <row r="370">
      <c r="A370" s="376"/>
      <c r="B370" s="376"/>
      <c r="C370" s="376"/>
      <c r="D370" s="376"/>
      <c r="E370" s="376"/>
      <c r="F370" s="376"/>
      <c r="G370" s="376"/>
      <c r="H370" s="382"/>
      <c r="I370" s="385"/>
      <c r="J370" s="376"/>
      <c r="K370" s="376"/>
      <c r="L370" s="376"/>
      <c r="M370" s="376"/>
      <c r="N370" s="376"/>
      <c r="O370" s="376"/>
      <c r="P370" s="376"/>
      <c r="Q370" s="376"/>
      <c r="U370" s="376"/>
      <c r="V370" s="376"/>
    </row>
    <row r="371">
      <c r="A371" s="376"/>
      <c r="B371" s="376"/>
      <c r="C371" s="376"/>
      <c r="D371" s="376"/>
      <c r="E371" s="376"/>
      <c r="F371" s="376"/>
      <c r="G371" s="376"/>
      <c r="H371" s="382"/>
      <c r="I371" s="385"/>
      <c r="J371" s="376"/>
      <c r="K371" s="376"/>
      <c r="L371" s="376"/>
      <c r="M371" s="376"/>
      <c r="N371" s="376"/>
      <c r="O371" s="376"/>
      <c r="P371" s="376"/>
      <c r="Q371" s="376"/>
      <c r="U371" s="376"/>
      <c r="V371" s="376"/>
    </row>
    <row r="372">
      <c r="A372" s="376"/>
      <c r="B372" s="376"/>
      <c r="C372" s="376"/>
      <c r="D372" s="376"/>
      <c r="E372" s="376"/>
      <c r="F372" s="376"/>
      <c r="G372" s="376"/>
      <c r="H372" s="382"/>
      <c r="I372" s="385"/>
      <c r="J372" s="376"/>
      <c r="K372" s="376"/>
      <c r="L372" s="376"/>
      <c r="M372" s="376"/>
      <c r="N372" s="376"/>
      <c r="O372" s="376"/>
      <c r="P372" s="376"/>
      <c r="Q372" s="376"/>
      <c r="U372" s="376"/>
      <c r="V372" s="376"/>
    </row>
    <row r="373">
      <c r="A373" s="376"/>
      <c r="B373" s="376"/>
      <c r="C373" s="376"/>
      <c r="D373" s="376"/>
      <c r="E373" s="376"/>
      <c r="F373" s="376"/>
      <c r="G373" s="376"/>
      <c r="H373" s="382"/>
      <c r="I373" s="385"/>
      <c r="J373" s="376"/>
      <c r="K373" s="376"/>
      <c r="L373" s="376"/>
      <c r="M373" s="376"/>
      <c r="N373" s="376"/>
      <c r="O373" s="376"/>
      <c r="P373" s="376"/>
      <c r="Q373" s="376"/>
      <c r="U373" s="376"/>
      <c r="V373" s="376"/>
    </row>
    <row r="374">
      <c r="A374" s="376"/>
      <c r="B374" s="376"/>
      <c r="C374" s="376"/>
      <c r="D374" s="376"/>
      <c r="E374" s="376"/>
      <c r="F374" s="376"/>
      <c r="G374" s="376"/>
      <c r="H374" s="382"/>
      <c r="I374" s="385"/>
      <c r="J374" s="376"/>
      <c r="K374" s="376"/>
      <c r="L374" s="376"/>
      <c r="M374" s="376"/>
      <c r="N374" s="376"/>
      <c r="O374" s="376"/>
      <c r="P374" s="376"/>
      <c r="Q374" s="376"/>
      <c r="U374" s="376"/>
      <c r="V374" s="376"/>
    </row>
    <row r="375">
      <c r="A375" s="376"/>
      <c r="B375" s="376"/>
      <c r="C375" s="376"/>
      <c r="D375" s="376"/>
      <c r="E375" s="376"/>
      <c r="F375" s="376"/>
      <c r="G375" s="376"/>
      <c r="H375" s="382"/>
      <c r="I375" s="385"/>
      <c r="J375" s="376"/>
      <c r="K375" s="376"/>
      <c r="L375" s="376"/>
      <c r="M375" s="376"/>
      <c r="N375" s="376"/>
      <c r="O375" s="376"/>
      <c r="P375" s="376"/>
      <c r="Q375" s="376"/>
      <c r="U375" s="376"/>
      <c r="V375" s="376"/>
    </row>
    <row r="376">
      <c r="A376" s="376"/>
      <c r="B376" s="376"/>
      <c r="C376" s="376"/>
      <c r="D376" s="376"/>
      <c r="E376" s="376"/>
      <c r="F376" s="376"/>
      <c r="G376" s="376"/>
      <c r="H376" s="382"/>
      <c r="I376" s="385"/>
      <c r="J376" s="376"/>
      <c r="K376" s="376"/>
      <c r="L376" s="376"/>
      <c r="M376" s="376"/>
      <c r="N376" s="376"/>
      <c r="O376" s="376"/>
      <c r="P376" s="376"/>
      <c r="Q376" s="376"/>
      <c r="U376" s="376"/>
      <c r="V376" s="376"/>
    </row>
    <row r="377">
      <c r="A377" s="376"/>
      <c r="B377" s="376"/>
      <c r="C377" s="376"/>
      <c r="D377" s="376"/>
      <c r="E377" s="376"/>
      <c r="F377" s="376"/>
      <c r="G377" s="376"/>
      <c r="H377" s="382"/>
      <c r="I377" s="385"/>
      <c r="J377" s="376"/>
      <c r="K377" s="376"/>
      <c r="L377" s="376"/>
      <c r="M377" s="376"/>
      <c r="N377" s="376"/>
      <c r="O377" s="376"/>
      <c r="P377" s="376"/>
      <c r="Q377" s="376"/>
      <c r="U377" s="376"/>
      <c r="V377" s="376"/>
    </row>
    <row r="378">
      <c r="A378" s="376"/>
      <c r="B378" s="376"/>
      <c r="C378" s="376"/>
      <c r="D378" s="376"/>
      <c r="E378" s="376"/>
      <c r="F378" s="376"/>
      <c r="G378" s="376"/>
      <c r="H378" s="382"/>
      <c r="I378" s="385"/>
      <c r="J378" s="376"/>
      <c r="K378" s="376"/>
      <c r="L378" s="376"/>
      <c r="M378" s="376"/>
      <c r="N378" s="376"/>
      <c r="O378" s="376"/>
      <c r="P378" s="376"/>
      <c r="Q378" s="376"/>
      <c r="U378" s="376"/>
      <c r="V378" s="376"/>
    </row>
    <row r="379">
      <c r="A379" s="376"/>
      <c r="B379" s="376"/>
      <c r="C379" s="376"/>
      <c r="D379" s="376"/>
      <c r="E379" s="376"/>
      <c r="F379" s="376"/>
      <c r="G379" s="376"/>
      <c r="H379" s="382"/>
      <c r="I379" s="385"/>
      <c r="J379" s="376"/>
      <c r="K379" s="376"/>
      <c r="L379" s="376"/>
      <c r="M379" s="376"/>
      <c r="N379" s="376"/>
      <c r="O379" s="376"/>
      <c r="P379" s="376"/>
      <c r="Q379" s="376"/>
      <c r="U379" s="376"/>
      <c r="V379" s="376"/>
    </row>
    <row r="380">
      <c r="A380" s="376"/>
      <c r="B380" s="376"/>
      <c r="C380" s="376"/>
      <c r="D380" s="376"/>
      <c r="E380" s="376"/>
      <c r="F380" s="376"/>
      <c r="G380" s="376"/>
      <c r="H380" s="382"/>
      <c r="I380" s="385"/>
      <c r="J380" s="376"/>
      <c r="K380" s="376"/>
      <c r="L380" s="376"/>
      <c r="M380" s="376"/>
      <c r="N380" s="376"/>
      <c r="O380" s="376"/>
      <c r="P380" s="376"/>
      <c r="Q380" s="376"/>
      <c r="U380" s="376"/>
      <c r="V380" s="376"/>
    </row>
    <row r="381">
      <c r="A381" s="376"/>
      <c r="B381" s="376"/>
      <c r="C381" s="376"/>
      <c r="D381" s="376"/>
      <c r="E381" s="376"/>
      <c r="F381" s="376"/>
      <c r="G381" s="376"/>
      <c r="H381" s="382"/>
      <c r="I381" s="385"/>
      <c r="J381" s="376"/>
      <c r="K381" s="376"/>
      <c r="L381" s="376"/>
      <c r="M381" s="376"/>
      <c r="N381" s="376"/>
      <c r="O381" s="376"/>
      <c r="P381" s="376"/>
      <c r="Q381" s="376"/>
      <c r="U381" s="376"/>
      <c r="V381" s="376"/>
    </row>
    <row r="382">
      <c r="A382" s="376"/>
      <c r="B382" s="376"/>
      <c r="C382" s="376"/>
      <c r="D382" s="376"/>
      <c r="E382" s="376"/>
      <c r="F382" s="376"/>
      <c r="G382" s="376"/>
      <c r="H382" s="382"/>
      <c r="I382" s="385"/>
      <c r="J382" s="376"/>
      <c r="K382" s="376"/>
      <c r="L382" s="376"/>
      <c r="M382" s="376"/>
      <c r="N382" s="376"/>
      <c r="O382" s="376"/>
      <c r="P382" s="376"/>
      <c r="Q382" s="376"/>
      <c r="U382" s="376"/>
      <c r="V382" s="376"/>
    </row>
    <row r="383">
      <c r="A383" s="376"/>
      <c r="B383" s="376"/>
      <c r="C383" s="376"/>
      <c r="D383" s="376"/>
      <c r="E383" s="376"/>
      <c r="F383" s="376"/>
      <c r="G383" s="376"/>
      <c r="H383" s="382"/>
      <c r="I383" s="385"/>
      <c r="J383" s="376"/>
      <c r="K383" s="376"/>
      <c r="L383" s="376"/>
      <c r="M383" s="376"/>
      <c r="N383" s="376"/>
      <c r="O383" s="376"/>
      <c r="P383" s="376"/>
      <c r="Q383" s="376"/>
      <c r="U383" s="376"/>
      <c r="V383" s="376"/>
    </row>
    <row r="384">
      <c r="A384" s="376"/>
      <c r="B384" s="376"/>
      <c r="C384" s="376"/>
      <c r="D384" s="376"/>
      <c r="E384" s="376"/>
      <c r="F384" s="376"/>
      <c r="G384" s="376"/>
      <c r="H384" s="382"/>
      <c r="I384" s="385"/>
      <c r="J384" s="376"/>
      <c r="K384" s="376"/>
      <c r="L384" s="376"/>
      <c r="M384" s="376"/>
      <c r="N384" s="376"/>
      <c r="O384" s="376"/>
      <c r="P384" s="376"/>
      <c r="Q384" s="376"/>
      <c r="U384" s="376"/>
      <c r="V384" s="376"/>
    </row>
    <row r="385">
      <c r="A385" s="376"/>
      <c r="B385" s="376"/>
      <c r="C385" s="376"/>
      <c r="D385" s="376"/>
      <c r="E385" s="376"/>
      <c r="F385" s="376"/>
      <c r="G385" s="376"/>
      <c r="H385" s="382"/>
      <c r="I385" s="385"/>
      <c r="J385" s="376"/>
      <c r="K385" s="376"/>
      <c r="L385" s="376"/>
      <c r="M385" s="376"/>
      <c r="N385" s="376"/>
      <c r="O385" s="376"/>
      <c r="P385" s="376"/>
      <c r="Q385" s="376"/>
      <c r="U385" s="376"/>
      <c r="V385" s="376"/>
    </row>
    <row r="386">
      <c r="A386" s="376"/>
      <c r="B386" s="376"/>
      <c r="C386" s="376"/>
      <c r="D386" s="376"/>
      <c r="E386" s="376"/>
      <c r="F386" s="376"/>
      <c r="G386" s="376"/>
      <c r="H386" s="382"/>
      <c r="I386" s="385"/>
      <c r="J386" s="376"/>
      <c r="K386" s="376"/>
      <c r="L386" s="376"/>
      <c r="M386" s="376"/>
      <c r="N386" s="376"/>
      <c r="O386" s="376"/>
      <c r="P386" s="376"/>
      <c r="Q386" s="376"/>
      <c r="U386" s="376"/>
      <c r="V386" s="376"/>
    </row>
    <row r="387">
      <c r="A387" s="376"/>
      <c r="B387" s="376"/>
      <c r="C387" s="376"/>
      <c r="D387" s="376"/>
      <c r="E387" s="376"/>
      <c r="F387" s="376"/>
      <c r="G387" s="376"/>
      <c r="H387" s="382"/>
      <c r="I387" s="385"/>
      <c r="J387" s="376"/>
      <c r="K387" s="376"/>
      <c r="L387" s="376"/>
      <c r="M387" s="376"/>
      <c r="N387" s="376"/>
      <c r="O387" s="376"/>
      <c r="P387" s="376"/>
      <c r="Q387" s="376"/>
      <c r="U387" s="376"/>
      <c r="V387" s="376"/>
    </row>
    <row r="388">
      <c r="A388" s="376"/>
      <c r="B388" s="376"/>
      <c r="C388" s="376"/>
      <c r="D388" s="376"/>
      <c r="E388" s="376"/>
      <c r="F388" s="376"/>
      <c r="G388" s="376"/>
      <c r="H388" s="382"/>
      <c r="I388" s="385"/>
      <c r="J388" s="376"/>
      <c r="K388" s="376"/>
      <c r="L388" s="376"/>
      <c r="M388" s="376"/>
      <c r="N388" s="376"/>
      <c r="O388" s="376"/>
      <c r="P388" s="376"/>
      <c r="Q388" s="376"/>
      <c r="U388" s="376"/>
      <c r="V388" s="376"/>
    </row>
    <row r="389">
      <c r="A389" s="376"/>
      <c r="B389" s="376"/>
      <c r="C389" s="376"/>
      <c r="D389" s="376"/>
      <c r="E389" s="376"/>
      <c r="F389" s="376"/>
      <c r="G389" s="376"/>
      <c r="H389" s="382"/>
      <c r="I389" s="385"/>
      <c r="J389" s="376"/>
      <c r="K389" s="376"/>
      <c r="L389" s="376"/>
      <c r="M389" s="376"/>
      <c r="N389" s="376"/>
      <c r="O389" s="376"/>
      <c r="P389" s="376"/>
      <c r="Q389" s="376"/>
      <c r="U389" s="376"/>
      <c r="V389" s="376"/>
    </row>
    <row r="390">
      <c r="A390" s="376"/>
      <c r="B390" s="376"/>
      <c r="C390" s="376"/>
      <c r="D390" s="376"/>
      <c r="E390" s="376"/>
      <c r="F390" s="376"/>
      <c r="G390" s="376"/>
      <c r="H390" s="382"/>
      <c r="I390" s="385"/>
      <c r="J390" s="376"/>
      <c r="K390" s="376"/>
      <c r="L390" s="376"/>
      <c r="M390" s="376"/>
      <c r="N390" s="376"/>
      <c r="O390" s="376"/>
      <c r="P390" s="376"/>
      <c r="Q390" s="376"/>
      <c r="U390" s="376"/>
      <c r="V390" s="376"/>
    </row>
    <row r="391">
      <c r="A391" s="376"/>
      <c r="B391" s="376"/>
      <c r="C391" s="376"/>
      <c r="D391" s="376"/>
      <c r="E391" s="376"/>
      <c r="F391" s="376"/>
      <c r="G391" s="376"/>
      <c r="H391" s="382"/>
      <c r="I391" s="385"/>
      <c r="J391" s="376"/>
      <c r="K391" s="376"/>
      <c r="L391" s="376"/>
      <c r="M391" s="376"/>
      <c r="N391" s="376"/>
      <c r="O391" s="376"/>
      <c r="P391" s="376"/>
      <c r="Q391" s="376"/>
      <c r="U391" s="376"/>
      <c r="V391" s="376"/>
    </row>
    <row r="392">
      <c r="A392" s="376"/>
      <c r="B392" s="376"/>
      <c r="C392" s="376"/>
      <c r="D392" s="376"/>
      <c r="E392" s="376"/>
      <c r="F392" s="376"/>
      <c r="G392" s="376"/>
      <c r="H392" s="382"/>
      <c r="I392" s="385"/>
      <c r="J392" s="376"/>
      <c r="K392" s="376"/>
      <c r="L392" s="376"/>
      <c r="M392" s="376"/>
      <c r="N392" s="376"/>
      <c r="O392" s="376"/>
      <c r="P392" s="376"/>
      <c r="Q392" s="376"/>
      <c r="U392" s="376"/>
      <c r="V392" s="376"/>
    </row>
    <row r="393">
      <c r="A393" s="376"/>
      <c r="B393" s="376"/>
      <c r="C393" s="376"/>
      <c r="D393" s="376"/>
      <c r="E393" s="376"/>
      <c r="F393" s="376"/>
      <c r="G393" s="376"/>
      <c r="H393" s="382"/>
      <c r="I393" s="385"/>
      <c r="J393" s="376"/>
      <c r="K393" s="376"/>
      <c r="L393" s="376"/>
      <c r="M393" s="376"/>
      <c r="N393" s="376"/>
      <c r="O393" s="376"/>
      <c r="P393" s="376"/>
      <c r="Q393" s="376"/>
      <c r="U393" s="376"/>
      <c r="V393" s="376"/>
    </row>
    <row r="394">
      <c r="A394" s="376"/>
      <c r="B394" s="376"/>
      <c r="C394" s="376"/>
      <c r="D394" s="376"/>
      <c r="E394" s="376"/>
      <c r="F394" s="376"/>
      <c r="G394" s="376"/>
      <c r="H394" s="382"/>
      <c r="I394" s="385"/>
      <c r="J394" s="376"/>
      <c r="K394" s="376"/>
      <c r="L394" s="376"/>
      <c r="M394" s="376"/>
      <c r="N394" s="376"/>
      <c r="O394" s="376"/>
      <c r="P394" s="376"/>
      <c r="Q394" s="376"/>
      <c r="U394" s="376"/>
      <c r="V394" s="376"/>
    </row>
    <row r="395">
      <c r="A395" s="376"/>
      <c r="B395" s="376"/>
      <c r="C395" s="376"/>
      <c r="D395" s="376"/>
      <c r="E395" s="376"/>
      <c r="F395" s="376"/>
      <c r="G395" s="376"/>
      <c r="H395" s="382"/>
      <c r="I395" s="385"/>
      <c r="J395" s="376"/>
      <c r="K395" s="376"/>
      <c r="L395" s="376"/>
      <c r="M395" s="376"/>
      <c r="N395" s="376"/>
      <c r="O395" s="376"/>
      <c r="P395" s="376"/>
      <c r="Q395" s="376"/>
      <c r="U395" s="376"/>
      <c r="V395" s="376"/>
    </row>
    <row r="396">
      <c r="A396" s="376"/>
      <c r="B396" s="376"/>
      <c r="C396" s="376"/>
      <c r="D396" s="376"/>
      <c r="E396" s="376"/>
      <c r="F396" s="376"/>
      <c r="G396" s="376"/>
      <c r="H396" s="382"/>
      <c r="I396" s="385"/>
      <c r="J396" s="376"/>
      <c r="K396" s="376"/>
      <c r="L396" s="376"/>
      <c r="M396" s="376"/>
      <c r="N396" s="376"/>
      <c r="O396" s="376"/>
      <c r="P396" s="376"/>
      <c r="Q396" s="376"/>
      <c r="U396" s="376"/>
      <c r="V396" s="376"/>
    </row>
    <row r="397">
      <c r="A397" s="376"/>
      <c r="B397" s="376"/>
      <c r="C397" s="376"/>
      <c r="D397" s="376"/>
      <c r="E397" s="376"/>
      <c r="F397" s="376"/>
      <c r="G397" s="376"/>
      <c r="H397" s="382"/>
      <c r="I397" s="385"/>
      <c r="J397" s="376"/>
      <c r="K397" s="376"/>
      <c r="L397" s="376"/>
      <c r="M397" s="376"/>
      <c r="N397" s="376"/>
      <c r="O397" s="376"/>
      <c r="P397" s="376"/>
      <c r="Q397" s="376"/>
      <c r="U397" s="376"/>
      <c r="V397" s="376"/>
    </row>
    <row r="398">
      <c r="A398" s="376"/>
      <c r="B398" s="376"/>
      <c r="C398" s="376"/>
      <c r="D398" s="376"/>
      <c r="E398" s="376"/>
      <c r="F398" s="376"/>
      <c r="G398" s="376"/>
      <c r="H398" s="382"/>
      <c r="I398" s="385"/>
      <c r="J398" s="376"/>
      <c r="K398" s="376"/>
      <c r="L398" s="376"/>
      <c r="M398" s="376"/>
      <c r="N398" s="376"/>
      <c r="O398" s="376"/>
      <c r="P398" s="376"/>
      <c r="Q398" s="376"/>
      <c r="U398" s="376"/>
      <c r="V398" s="376"/>
    </row>
    <row r="399">
      <c r="A399" s="376"/>
      <c r="B399" s="376"/>
      <c r="C399" s="376"/>
      <c r="D399" s="376"/>
      <c r="E399" s="376"/>
      <c r="F399" s="376"/>
      <c r="G399" s="376"/>
      <c r="H399" s="382"/>
      <c r="I399" s="385"/>
      <c r="J399" s="376"/>
      <c r="K399" s="376"/>
      <c r="L399" s="376"/>
      <c r="M399" s="376"/>
      <c r="N399" s="376"/>
      <c r="O399" s="376"/>
      <c r="P399" s="376"/>
      <c r="Q399" s="376"/>
      <c r="U399" s="376"/>
      <c r="V399" s="376"/>
    </row>
    <row r="400">
      <c r="A400" s="376"/>
      <c r="B400" s="376"/>
      <c r="C400" s="376"/>
      <c r="D400" s="376"/>
      <c r="E400" s="376"/>
      <c r="F400" s="376"/>
      <c r="G400" s="376"/>
      <c r="H400" s="382"/>
      <c r="I400" s="385"/>
      <c r="J400" s="376"/>
      <c r="K400" s="376"/>
      <c r="L400" s="376"/>
      <c r="M400" s="376"/>
      <c r="N400" s="376"/>
      <c r="O400" s="376"/>
      <c r="P400" s="376"/>
      <c r="Q400" s="376"/>
      <c r="U400" s="376"/>
      <c r="V400" s="376"/>
    </row>
    <row r="401">
      <c r="A401" s="376"/>
      <c r="B401" s="376"/>
      <c r="C401" s="376"/>
      <c r="D401" s="376"/>
      <c r="E401" s="376"/>
      <c r="F401" s="376"/>
      <c r="G401" s="376"/>
      <c r="H401" s="382"/>
      <c r="I401" s="385"/>
      <c r="J401" s="376"/>
      <c r="K401" s="376"/>
      <c r="L401" s="376"/>
      <c r="M401" s="376"/>
      <c r="N401" s="376"/>
      <c r="O401" s="376"/>
      <c r="P401" s="376"/>
      <c r="Q401" s="376"/>
      <c r="U401" s="376"/>
      <c r="V401" s="376"/>
    </row>
    <row r="402">
      <c r="A402" s="376"/>
      <c r="B402" s="376"/>
      <c r="C402" s="376"/>
      <c r="D402" s="376"/>
      <c r="E402" s="376"/>
      <c r="F402" s="376"/>
      <c r="G402" s="376"/>
      <c r="H402" s="382"/>
      <c r="I402" s="385"/>
      <c r="J402" s="376"/>
      <c r="K402" s="376"/>
      <c r="L402" s="376"/>
      <c r="M402" s="376"/>
      <c r="N402" s="376"/>
      <c r="O402" s="376"/>
      <c r="P402" s="376"/>
      <c r="Q402" s="376"/>
      <c r="U402" s="376"/>
      <c r="V402" s="376"/>
    </row>
    <row r="403">
      <c r="A403" s="376"/>
      <c r="B403" s="376"/>
      <c r="C403" s="376"/>
      <c r="D403" s="376"/>
      <c r="E403" s="376"/>
      <c r="F403" s="376"/>
      <c r="G403" s="376"/>
      <c r="H403" s="382"/>
      <c r="I403" s="385"/>
      <c r="J403" s="376"/>
      <c r="K403" s="376"/>
      <c r="L403" s="376"/>
      <c r="M403" s="376"/>
      <c r="N403" s="376"/>
      <c r="O403" s="376"/>
      <c r="P403" s="376"/>
      <c r="Q403" s="376"/>
      <c r="U403" s="376"/>
      <c r="V403" s="376"/>
    </row>
    <row r="404">
      <c r="A404" s="376"/>
      <c r="B404" s="376"/>
      <c r="C404" s="376"/>
      <c r="D404" s="376"/>
      <c r="E404" s="376"/>
      <c r="F404" s="376"/>
      <c r="G404" s="376"/>
      <c r="H404" s="382"/>
      <c r="I404" s="385"/>
      <c r="J404" s="376"/>
      <c r="K404" s="376"/>
      <c r="L404" s="376"/>
      <c r="M404" s="376"/>
      <c r="N404" s="376"/>
      <c r="O404" s="376"/>
      <c r="P404" s="376"/>
      <c r="Q404" s="376"/>
      <c r="U404" s="376"/>
      <c r="V404" s="376"/>
    </row>
    <row r="405">
      <c r="A405" s="376"/>
      <c r="B405" s="376"/>
      <c r="C405" s="376"/>
      <c r="D405" s="376"/>
      <c r="E405" s="376"/>
      <c r="F405" s="376"/>
      <c r="G405" s="376"/>
      <c r="H405" s="382"/>
      <c r="I405" s="385"/>
      <c r="J405" s="376"/>
      <c r="K405" s="376"/>
      <c r="L405" s="376"/>
      <c r="M405" s="376"/>
      <c r="N405" s="376"/>
      <c r="O405" s="376"/>
      <c r="P405" s="376"/>
      <c r="Q405" s="376"/>
      <c r="U405" s="376"/>
      <c r="V405" s="376"/>
    </row>
    <row r="406">
      <c r="A406" s="376"/>
      <c r="B406" s="376"/>
      <c r="C406" s="376"/>
      <c r="D406" s="376"/>
      <c r="E406" s="376"/>
      <c r="F406" s="376"/>
      <c r="G406" s="376"/>
      <c r="H406" s="382"/>
      <c r="I406" s="385"/>
      <c r="J406" s="376"/>
      <c r="K406" s="376"/>
      <c r="L406" s="376"/>
      <c r="M406" s="376"/>
      <c r="N406" s="376"/>
      <c r="O406" s="376"/>
      <c r="P406" s="376"/>
      <c r="Q406" s="376"/>
      <c r="U406" s="376"/>
      <c r="V406" s="376"/>
    </row>
    <row r="407">
      <c r="A407" s="376"/>
      <c r="B407" s="376"/>
      <c r="C407" s="376"/>
      <c r="D407" s="376"/>
      <c r="E407" s="376"/>
      <c r="F407" s="376"/>
      <c r="G407" s="376"/>
      <c r="H407" s="382"/>
      <c r="I407" s="385"/>
      <c r="J407" s="376"/>
      <c r="K407" s="376"/>
      <c r="L407" s="376"/>
      <c r="M407" s="376"/>
      <c r="N407" s="376"/>
      <c r="O407" s="376"/>
      <c r="P407" s="376"/>
      <c r="Q407" s="376"/>
      <c r="U407" s="376"/>
      <c r="V407" s="376"/>
    </row>
    <row r="408">
      <c r="A408" s="376"/>
      <c r="B408" s="376"/>
      <c r="C408" s="376"/>
      <c r="D408" s="376"/>
      <c r="E408" s="376"/>
      <c r="F408" s="376"/>
      <c r="G408" s="376"/>
      <c r="H408" s="382"/>
      <c r="I408" s="385"/>
      <c r="J408" s="376"/>
      <c r="K408" s="376"/>
      <c r="L408" s="376"/>
      <c r="M408" s="376"/>
      <c r="N408" s="376"/>
      <c r="O408" s="376"/>
      <c r="P408" s="376"/>
      <c r="Q408" s="376"/>
      <c r="U408" s="376"/>
      <c r="V408" s="376"/>
    </row>
    <row r="409">
      <c r="A409" s="376"/>
      <c r="B409" s="376"/>
      <c r="C409" s="376"/>
      <c r="D409" s="376"/>
      <c r="E409" s="376"/>
      <c r="F409" s="376"/>
      <c r="G409" s="376"/>
      <c r="H409" s="382"/>
      <c r="I409" s="385"/>
      <c r="J409" s="376"/>
      <c r="K409" s="376"/>
      <c r="L409" s="376"/>
      <c r="M409" s="376"/>
      <c r="N409" s="376"/>
      <c r="O409" s="376"/>
      <c r="P409" s="376"/>
      <c r="Q409" s="376"/>
      <c r="U409" s="376"/>
      <c r="V409" s="376"/>
    </row>
    <row r="410">
      <c r="A410" s="376"/>
      <c r="B410" s="376"/>
      <c r="C410" s="376"/>
      <c r="D410" s="376"/>
      <c r="E410" s="376"/>
      <c r="F410" s="376"/>
      <c r="G410" s="376"/>
      <c r="H410" s="382"/>
      <c r="I410" s="385"/>
      <c r="J410" s="376"/>
      <c r="K410" s="376"/>
      <c r="L410" s="376"/>
      <c r="M410" s="376"/>
      <c r="N410" s="376"/>
      <c r="O410" s="376"/>
      <c r="P410" s="376"/>
      <c r="Q410" s="376"/>
      <c r="U410" s="376"/>
      <c r="V410" s="376"/>
    </row>
    <row r="411">
      <c r="A411" s="376"/>
      <c r="B411" s="376"/>
      <c r="C411" s="376"/>
      <c r="D411" s="376"/>
      <c r="E411" s="376"/>
      <c r="F411" s="376"/>
      <c r="G411" s="376"/>
      <c r="H411" s="382"/>
      <c r="I411" s="385"/>
      <c r="J411" s="376"/>
      <c r="K411" s="376"/>
      <c r="L411" s="376"/>
      <c r="M411" s="376"/>
      <c r="N411" s="376"/>
      <c r="O411" s="376"/>
      <c r="P411" s="376"/>
      <c r="Q411" s="376"/>
      <c r="U411" s="376"/>
      <c r="V411" s="376"/>
    </row>
    <row r="412">
      <c r="A412" s="376"/>
      <c r="B412" s="376"/>
      <c r="C412" s="376"/>
      <c r="D412" s="376"/>
      <c r="E412" s="376"/>
      <c r="F412" s="376"/>
      <c r="G412" s="376"/>
      <c r="H412" s="382"/>
      <c r="I412" s="385"/>
      <c r="J412" s="376"/>
      <c r="K412" s="376"/>
      <c r="L412" s="376"/>
      <c r="M412" s="376"/>
      <c r="N412" s="376"/>
      <c r="O412" s="376"/>
      <c r="P412" s="376"/>
      <c r="Q412" s="376"/>
      <c r="U412" s="376"/>
      <c r="V412" s="376"/>
    </row>
    <row r="413">
      <c r="A413" s="376"/>
      <c r="B413" s="376"/>
      <c r="C413" s="376"/>
      <c r="D413" s="376"/>
      <c r="E413" s="376"/>
      <c r="F413" s="376"/>
      <c r="G413" s="376"/>
      <c r="H413" s="382"/>
      <c r="I413" s="385"/>
      <c r="J413" s="376"/>
      <c r="K413" s="376"/>
      <c r="L413" s="376"/>
      <c r="M413" s="376"/>
      <c r="N413" s="376"/>
      <c r="O413" s="376"/>
      <c r="P413" s="376"/>
      <c r="Q413" s="376"/>
      <c r="U413" s="376"/>
      <c r="V413" s="376"/>
    </row>
    <row r="414">
      <c r="A414" s="376"/>
      <c r="B414" s="376"/>
      <c r="C414" s="376"/>
      <c r="D414" s="376"/>
      <c r="E414" s="376"/>
      <c r="F414" s="376"/>
      <c r="G414" s="376"/>
      <c r="H414" s="382"/>
      <c r="I414" s="385"/>
      <c r="J414" s="376"/>
      <c r="K414" s="376"/>
      <c r="L414" s="376"/>
      <c r="M414" s="376"/>
      <c r="N414" s="376"/>
      <c r="O414" s="376"/>
      <c r="P414" s="376"/>
      <c r="Q414" s="376"/>
      <c r="U414" s="376"/>
      <c r="V414" s="376"/>
    </row>
    <row r="415">
      <c r="A415" s="376"/>
      <c r="B415" s="376"/>
      <c r="C415" s="376"/>
      <c r="D415" s="376"/>
      <c r="E415" s="376"/>
      <c r="F415" s="376"/>
      <c r="G415" s="376"/>
      <c r="H415" s="382"/>
      <c r="I415" s="385"/>
      <c r="J415" s="376"/>
      <c r="K415" s="376"/>
      <c r="L415" s="376"/>
      <c r="M415" s="376"/>
      <c r="N415" s="376"/>
      <c r="O415" s="376"/>
      <c r="P415" s="376"/>
      <c r="Q415" s="376"/>
      <c r="U415" s="376"/>
      <c r="V415" s="376"/>
    </row>
    <row r="416">
      <c r="A416" s="376"/>
      <c r="B416" s="376"/>
      <c r="C416" s="376"/>
      <c r="D416" s="376"/>
      <c r="E416" s="376"/>
      <c r="F416" s="376"/>
      <c r="G416" s="376"/>
      <c r="H416" s="382"/>
      <c r="I416" s="385"/>
      <c r="J416" s="376"/>
      <c r="K416" s="376"/>
      <c r="L416" s="376"/>
      <c r="M416" s="376"/>
      <c r="N416" s="376"/>
      <c r="O416" s="376"/>
      <c r="P416" s="376"/>
      <c r="Q416" s="376"/>
      <c r="U416" s="376"/>
      <c r="V416" s="376"/>
    </row>
    <row r="417">
      <c r="A417" s="376"/>
      <c r="B417" s="376"/>
      <c r="C417" s="376"/>
      <c r="D417" s="376"/>
      <c r="E417" s="376"/>
      <c r="F417" s="376"/>
      <c r="G417" s="376"/>
      <c r="H417" s="382"/>
      <c r="I417" s="385"/>
      <c r="J417" s="376"/>
      <c r="K417" s="376"/>
      <c r="L417" s="376"/>
      <c r="M417" s="376"/>
      <c r="N417" s="376"/>
      <c r="O417" s="376"/>
      <c r="P417" s="376"/>
      <c r="Q417" s="376"/>
      <c r="U417" s="376"/>
      <c r="V417" s="376"/>
    </row>
    <row r="418">
      <c r="A418" s="376"/>
      <c r="B418" s="376"/>
      <c r="C418" s="376"/>
      <c r="D418" s="376"/>
      <c r="E418" s="376"/>
      <c r="F418" s="376"/>
      <c r="G418" s="376"/>
      <c r="H418" s="382"/>
      <c r="I418" s="385"/>
      <c r="J418" s="376"/>
      <c r="K418" s="376"/>
      <c r="L418" s="376"/>
      <c r="M418" s="376"/>
      <c r="N418" s="376"/>
      <c r="O418" s="376"/>
      <c r="P418" s="376"/>
      <c r="Q418" s="376"/>
      <c r="U418" s="376"/>
      <c r="V418" s="376"/>
    </row>
    <row r="419">
      <c r="A419" s="376"/>
      <c r="B419" s="376"/>
      <c r="C419" s="376"/>
      <c r="D419" s="376"/>
      <c r="E419" s="376"/>
      <c r="F419" s="376"/>
      <c r="G419" s="376"/>
      <c r="H419" s="382"/>
      <c r="I419" s="385"/>
      <c r="J419" s="376"/>
      <c r="K419" s="376"/>
      <c r="L419" s="376"/>
      <c r="M419" s="376"/>
      <c r="N419" s="376"/>
      <c r="O419" s="376"/>
      <c r="P419" s="376"/>
      <c r="Q419" s="376"/>
      <c r="U419" s="376"/>
      <c r="V419" s="376"/>
    </row>
    <row r="420">
      <c r="A420" s="376"/>
      <c r="B420" s="376"/>
      <c r="C420" s="376"/>
      <c r="D420" s="376"/>
      <c r="E420" s="376"/>
      <c r="F420" s="376"/>
      <c r="G420" s="376"/>
      <c r="H420" s="382"/>
      <c r="I420" s="385"/>
      <c r="J420" s="376"/>
      <c r="K420" s="376"/>
      <c r="L420" s="376"/>
      <c r="M420" s="376"/>
      <c r="N420" s="376"/>
      <c r="O420" s="376"/>
      <c r="P420" s="376"/>
      <c r="Q420" s="376"/>
      <c r="U420" s="376"/>
      <c r="V420" s="376"/>
    </row>
    <row r="421">
      <c r="A421" s="376"/>
      <c r="B421" s="376"/>
      <c r="C421" s="376"/>
      <c r="D421" s="376"/>
      <c r="E421" s="376"/>
      <c r="F421" s="376"/>
      <c r="G421" s="376"/>
      <c r="H421" s="382"/>
      <c r="I421" s="385"/>
      <c r="J421" s="376"/>
      <c r="K421" s="376"/>
      <c r="L421" s="376"/>
      <c r="M421" s="376"/>
      <c r="N421" s="376"/>
      <c r="O421" s="376"/>
      <c r="P421" s="376"/>
      <c r="Q421" s="376"/>
      <c r="U421" s="376"/>
      <c r="V421" s="376"/>
    </row>
    <row r="422">
      <c r="A422" s="376"/>
      <c r="B422" s="376"/>
      <c r="C422" s="376"/>
      <c r="D422" s="376"/>
      <c r="E422" s="376"/>
      <c r="F422" s="376"/>
      <c r="G422" s="376"/>
      <c r="H422" s="382"/>
      <c r="I422" s="385"/>
      <c r="J422" s="376"/>
      <c r="K422" s="376"/>
      <c r="L422" s="376"/>
      <c r="M422" s="376"/>
      <c r="N422" s="376"/>
      <c r="O422" s="376"/>
      <c r="P422" s="376"/>
      <c r="Q422" s="376"/>
      <c r="U422" s="376"/>
      <c r="V422" s="376"/>
    </row>
    <row r="423">
      <c r="A423" s="376"/>
      <c r="B423" s="376"/>
      <c r="C423" s="376"/>
      <c r="D423" s="376"/>
      <c r="E423" s="376"/>
      <c r="F423" s="376"/>
      <c r="G423" s="376"/>
      <c r="H423" s="382"/>
      <c r="I423" s="385"/>
      <c r="J423" s="376"/>
      <c r="K423" s="376"/>
      <c r="L423" s="376"/>
      <c r="M423" s="376"/>
      <c r="N423" s="376"/>
      <c r="O423" s="376"/>
      <c r="P423" s="376"/>
      <c r="Q423" s="376"/>
      <c r="U423" s="376"/>
      <c r="V423" s="376"/>
    </row>
    <row r="424">
      <c r="A424" s="376"/>
      <c r="B424" s="376"/>
      <c r="C424" s="376"/>
      <c r="D424" s="376"/>
      <c r="E424" s="376"/>
      <c r="F424" s="376"/>
      <c r="G424" s="376"/>
      <c r="H424" s="382"/>
      <c r="I424" s="385"/>
      <c r="J424" s="376"/>
      <c r="K424" s="376"/>
      <c r="L424" s="376"/>
      <c r="M424" s="376"/>
      <c r="N424" s="376"/>
      <c r="O424" s="376"/>
      <c r="P424" s="376"/>
      <c r="Q424" s="376"/>
      <c r="U424" s="376"/>
      <c r="V424" s="376"/>
    </row>
    <row r="425">
      <c r="A425" s="376"/>
      <c r="B425" s="376"/>
      <c r="C425" s="376"/>
      <c r="D425" s="376"/>
      <c r="E425" s="376"/>
      <c r="F425" s="376"/>
      <c r="G425" s="376"/>
      <c r="H425" s="382"/>
      <c r="I425" s="385"/>
      <c r="J425" s="376"/>
      <c r="K425" s="376"/>
      <c r="L425" s="376"/>
      <c r="M425" s="376"/>
      <c r="N425" s="376"/>
      <c r="O425" s="376"/>
      <c r="P425" s="376"/>
      <c r="Q425" s="376"/>
      <c r="U425" s="376"/>
      <c r="V425" s="376"/>
    </row>
    <row r="426">
      <c r="A426" s="376"/>
      <c r="B426" s="376"/>
      <c r="C426" s="376"/>
      <c r="D426" s="376"/>
      <c r="E426" s="376"/>
      <c r="F426" s="376"/>
      <c r="G426" s="376"/>
      <c r="H426" s="382"/>
      <c r="I426" s="385"/>
      <c r="J426" s="376"/>
      <c r="K426" s="376"/>
      <c r="L426" s="376"/>
      <c r="M426" s="376"/>
      <c r="N426" s="376"/>
      <c r="O426" s="376"/>
      <c r="P426" s="376"/>
      <c r="Q426" s="376"/>
      <c r="U426" s="376"/>
      <c r="V426" s="376"/>
    </row>
    <row r="427">
      <c r="A427" s="376"/>
      <c r="B427" s="376"/>
      <c r="C427" s="376"/>
      <c r="D427" s="376"/>
      <c r="E427" s="376"/>
      <c r="F427" s="376"/>
      <c r="G427" s="376"/>
      <c r="H427" s="382"/>
      <c r="I427" s="385"/>
      <c r="J427" s="376"/>
      <c r="K427" s="376"/>
      <c r="L427" s="376"/>
      <c r="M427" s="376"/>
      <c r="N427" s="376"/>
      <c r="O427" s="376"/>
      <c r="P427" s="376"/>
      <c r="Q427" s="376"/>
      <c r="U427" s="376"/>
      <c r="V427" s="376"/>
    </row>
    <row r="428">
      <c r="A428" s="376"/>
      <c r="B428" s="376"/>
      <c r="C428" s="376"/>
      <c r="D428" s="376"/>
      <c r="E428" s="376"/>
      <c r="F428" s="376"/>
      <c r="G428" s="376"/>
      <c r="H428" s="382"/>
      <c r="I428" s="385"/>
      <c r="J428" s="376"/>
      <c r="K428" s="376"/>
      <c r="L428" s="376"/>
      <c r="M428" s="376"/>
      <c r="N428" s="376"/>
      <c r="O428" s="376"/>
      <c r="P428" s="376"/>
      <c r="Q428" s="376"/>
      <c r="U428" s="376"/>
      <c r="V428" s="376"/>
    </row>
    <row r="429">
      <c r="A429" s="376"/>
      <c r="B429" s="376"/>
      <c r="C429" s="376"/>
      <c r="D429" s="376"/>
      <c r="E429" s="376"/>
      <c r="F429" s="376"/>
      <c r="G429" s="376"/>
      <c r="H429" s="382"/>
      <c r="I429" s="385"/>
      <c r="J429" s="376"/>
      <c r="K429" s="376"/>
      <c r="L429" s="376"/>
      <c r="M429" s="376"/>
      <c r="N429" s="376"/>
      <c r="O429" s="376"/>
      <c r="P429" s="376"/>
      <c r="Q429" s="376"/>
      <c r="U429" s="376"/>
      <c r="V429" s="376"/>
    </row>
    <row r="430">
      <c r="A430" s="376"/>
      <c r="B430" s="376"/>
      <c r="C430" s="376"/>
      <c r="D430" s="376"/>
      <c r="E430" s="376"/>
      <c r="F430" s="376"/>
      <c r="G430" s="376"/>
      <c r="H430" s="382"/>
      <c r="I430" s="385"/>
      <c r="J430" s="376"/>
      <c r="K430" s="376"/>
      <c r="L430" s="376"/>
      <c r="M430" s="376"/>
      <c r="N430" s="376"/>
      <c r="O430" s="376"/>
      <c r="P430" s="376"/>
      <c r="Q430" s="376"/>
      <c r="U430" s="376"/>
      <c r="V430" s="376"/>
    </row>
    <row r="431">
      <c r="A431" s="376"/>
      <c r="B431" s="376"/>
      <c r="C431" s="376"/>
      <c r="D431" s="376"/>
      <c r="E431" s="376"/>
      <c r="F431" s="376"/>
      <c r="G431" s="376"/>
      <c r="H431" s="382"/>
      <c r="I431" s="385"/>
      <c r="J431" s="376"/>
      <c r="K431" s="376"/>
      <c r="L431" s="376"/>
      <c r="M431" s="376"/>
      <c r="N431" s="376"/>
      <c r="O431" s="376"/>
      <c r="P431" s="376"/>
      <c r="Q431" s="376"/>
      <c r="U431" s="376"/>
      <c r="V431" s="376"/>
    </row>
    <row r="432">
      <c r="A432" s="376"/>
      <c r="B432" s="376"/>
      <c r="C432" s="376"/>
      <c r="D432" s="376"/>
      <c r="E432" s="376"/>
      <c r="F432" s="376"/>
      <c r="G432" s="376"/>
      <c r="H432" s="382"/>
      <c r="I432" s="385"/>
      <c r="J432" s="376"/>
      <c r="K432" s="376"/>
      <c r="L432" s="376"/>
      <c r="M432" s="376"/>
      <c r="N432" s="376"/>
      <c r="O432" s="376"/>
      <c r="P432" s="376"/>
      <c r="Q432" s="376"/>
      <c r="U432" s="376"/>
      <c r="V432" s="376"/>
    </row>
    <row r="433">
      <c r="A433" s="376"/>
      <c r="B433" s="376"/>
      <c r="C433" s="376"/>
      <c r="D433" s="376"/>
      <c r="E433" s="376"/>
      <c r="F433" s="376"/>
      <c r="G433" s="376"/>
      <c r="H433" s="382"/>
      <c r="I433" s="385"/>
      <c r="J433" s="376"/>
      <c r="K433" s="376"/>
      <c r="L433" s="376"/>
      <c r="M433" s="376"/>
      <c r="N433" s="376"/>
      <c r="O433" s="376"/>
      <c r="P433" s="376"/>
      <c r="Q433" s="376"/>
      <c r="U433" s="376"/>
      <c r="V433" s="376"/>
    </row>
    <row r="434">
      <c r="A434" s="376"/>
      <c r="B434" s="376"/>
      <c r="C434" s="376"/>
      <c r="D434" s="376"/>
      <c r="E434" s="376"/>
      <c r="F434" s="376"/>
      <c r="G434" s="376"/>
      <c r="H434" s="382"/>
      <c r="I434" s="385"/>
      <c r="J434" s="376"/>
      <c r="K434" s="376"/>
      <c r="L434" s="376"/>
      <c r="M434" s="376"/>
      <c r="N434" s="376"/>
      <c r="O434" s="376"/>
      <c r="P434" s="376"/>
      <c r="Q434" s="376"/>
      <c r="U434" s="376"/>
      <c r="V434" s="376"/>
    </row>
    <row r="435">
      <c r="A435" s="376"/>
      <c r="B435" s="376"/>
      <c r="C435" s="376"/>
      <c r="D435" s="376"/>
      <c r="E435" s="376"/>
      <c r="F435" s="376"/>
      <c r="G435" s="376"/>
      <c r="H435" s="382"/>
      <c r="I435" s="385"/>
      <c r="J435" s="376"/>
      <c r="K435" s="376"/>
      <c r="L435" s="376"/>
      <c r="M435" s="376"/>
      <c r="N435" s="376"/>
      <c r="O435" s="376"/>
      <c r="P435" s="376"/>
      <c r="Q435" s="376"/>
      <c r="U435" s="376"/>
      <c r="V435" s="376"/>
    </row>
    <row r="436">
      <c r="A436" s="376"/>
      <c r="B436" s="376"/>
      <c r="C436" s="376"/>
      <c r="D436" s="376"/>
      <c r="E436" s="376"/>
      <c r="F436" s="376"/>
      <c r="G436" s="376"/>
      <c r="H436" s="382"/>
      <c r="I436" s="385"/>
      <c r="J436" s="376"/>
      <c r="K436" s="376"/>
      <c r="L436" s="376"/>
      <c r="M436" s="376"/>
      <c r="N436" s="376"/>
      <c r="O436" s="376"/>
      <c r="P436" s="376"/>
      <c r="Q436" s="376"/>
      <c r="U436" s="376"/>
      <c r="V436" s="376"/>
    </row>
    <row r="437">
      <c r="A437" s="376"/>
      <c r="B437" s="376"/>
      <c r="C437" s="376"/>
      <c r="D437" s="376"/>
      <c r="E437" s="376"/>
      <c r="F437" s="376"/>
      <c r="G437" s="376"/>
      <c r="H437" s="382"/>
      <c r="I437" s="385"/>
      <c r="J437" s="376"/>
      <c r="K437" s="376"/>
      <c r="L437" s="376"/>
      <c r="M437" s="376"/>
      <c r="N437" s="376"/>
      <c r="O437" s="376"/>
      <c r="P437" s="376"/>
      <c r="Q437" s="376"/>
      <c r="U437" s="376"/>
      <c r="V437" s="376"/>
    </row>
    <row r="438">
      <c r="A438" s="376"/>
      <c r="B438" s="376"/>
      <c r="C438" s="376"/>
      <c r="D438" s="376"/>
      <c r="E438" s="376"/>
      <c r="F438" s="376"/>
      <c r="G438" s="376"/>
      <c r="H438" s="382"/>
      <c r="I438" s="385"/>
      <c r="J438" s="376"/>
      <c r="K438" s="376"/>
      <c r="L438" s="376"/>
      <c r="M438" s="376"/>
      <c r="N438" s="376"/>
      <c r="O438" s="376"/>
      <c r="P438" s="376"/>
      <c r="Q438" s="376"/>
      <c r="U438" s="376"/>
      <c r="V438" s="376"/>
    </row>
    <row r="439">
      <c r="A439" s="376"/>
      <c r="B439" s="376"/>
      <c r="C439" s="376"/>
      <c r="D439" s="376"/>
      <c r="E439" s="376"/>
      <c r="F439" s="376"/>
      <c r="G439" s="376"/>
      <c r="H439" s="382"/>
      <c r="I439" s="385"/>
      <c r="J439" s="376"/>
      <c r="K439" s="376"/>
      <c r="L439" s="376"/>
      <c r="M439" s="376"/>
      <c r="N439" s="376"/>
      <c r="O439" s="376"/>
      <c r="P439" s="376"/>
      <c r="Q439" s="376"/>
      <c r="U439" s="376"/>
      <c r="V439" s="376"/>
    </row>
    <row r="440">
      <c r="A440" s="376"/>
      <c r="B440" s="376"/>
      <c r="C440" s="376"/>
      <c r="D440" s="376"/>
      <c r="E440" s="376"/>
      <c r="F440" s="376"/>
      <c r="G440" s="376"/>
      <c r="H440" s="382"/>
      <c r="I440" s="385"/>
      <c r="J440" s="376"/>
      <c r="K440" s="376"/>
      <c r="L440" s="376"/>
      <c r="M440" s="376"/>
      <c r="N440" s="376"/>
      <c r="O440" s="376"/>
      <c r="P440" s="376"/>
      <c r="Q440" s="376"/>
      <c r="U440" s="376"/>
      <c r="V440" s="376"/>
    </row>
    <row r="441">
      <c r="A441" s="376"/>
      <c r="B441" s="376"/>
      <c r="C441" s="376"/>
      <c r="D441" s="376"/>
      <c r="E441" s="376"/>
      <c r="F441" s="376"/>
      <c r="G441" s="376"/>
      <c r="H441" s="382"/>
      <c r="I441" s="385"/>
      <c r="J441" s="376"/>
      <c r="K441" s="376"/>
      <c r="L441" s="376"/>
      <c r="M441" s="376"/>
      <c r="N441" s="376"/>
      <c r="O441" s="376"/>
      <c r="P441" s="376"/>
      <c r="Q441" s="376"/>
      <c r="U441" s="376"/>
      <c r="V441" s="376"/>
    </row>
    <row r="442">
      <c r="A442" s="376"/>
      <c r="B442" s="376"/>
      <c r="C442" s="376"/>
      <c r="D442" s="376"/>
      <c r="E442" s="376"/>
      <c r="F442" s="376"/>
      <c r="G442" s="376"/>
      <c r="H442" s="382"/>
      <c r="I442" s="385"/>
      <c r="J442" s="376"/>
      <c r="K442" s="376"/>
      <c r="L442" s="376"/>
      <c r="M442" s="376"/>
      <c r="N442" s="376"/>
      <c r="O442" s="376"/>
      <c r="P442" s="376"/>
      <c r="Q442" s="376"/>
      <c r="U442" s="376"/>
      <c r="V442" s="376"/>
    </row>
    <row r="443">
      <c r="A443" s="376"/>
      <c r="B443" s="376"/>
      <c r="C443" s="376"/>
      <c r="D443" s="376"/>
      <c r="E443" s="376"/>
      <c r="F443" s="376"/>
      <c r="G443" s="376"/>
      <c r="H443" s="382"/>
      <c r="I443" s="385"/>
      <c r="J443" s="376"/>
      <c r="K443" s="376"/>
      <c r="L443" s="376"/>
      <c r="M443" s="376"/>
      <c r="N443" s="376"/>
      <c r="O443" s="376"/>
      <c r="P443" s="376"/>
      <c r="Q443" s="376"/>
      <c r="U443" s="376"/>
      <c r="V443" s="376"/>
    </row>
    <row r="444">
      <c r="A444" s="376"/>
      <c r="B444" s="376"/>
      <c r="C444" s="376"/>
      <c r="D444" s="376"/>
      <c r="E444" s="376"/>
      <c r="F444" s="376"/>
      <c r="G444" s="376"/>
      <c r="H444" s="382"/>
      <c r="I444" s="385"/>
      <c r="J444" s="376"/>
      <c r="K444" s="376"/>
      <c r="L444" s="376"/>
      <c r="M444" s="376"/>
      <c r="N444" s="376"/>
      <c r="O444" s="376"/>
      <c r="P444" s="376"/>
      <c r="Q444" s="376"/>
      <c r="U444" s="376"/>
      <c r="V444" s="376"/>
    </row>
    <row r="445">
      <c r="A445" s="376"/>
      <c r="B445" s="376"/>
      <c r="C445" s="376"/>
      <c r="D445" s="376"/>
      <c r="E445" s="376"/>
      <c r="F445" s="376"/>
      <c r="G445" s="376"/>
      <c r="H445" s="382"/>
      <c r="I445" s="385"/>
      <c r="J445" s="376"/>
      <c r="K445" s="376"/>
      <c r="L445" s="376"/>
      <c r="M445" s="376"/>
      <c r="N445" s="376"/>
      <c r="O445" s="376"/>
      <c r="P445" s="376"/>
      <c r="Q445" s="376"/>
      <c r="U445" s="376"/>
      <c r="V445" s="376"/>
    </row>
    <row r="446">
      <c r="A446" s="376"/>
      <c r="B446" s="376"/>
      <c r="C446" s="376"/>
      <c r="D446" s="376"/>
      <c r="E446" s="376"/>
      <c r="F446" s="376"/>
      <c r="G446" s="376"/>
      <c r="H446" s="382"/>
      <c r="I446" s="385"/>
      <c r="J446" s="376"/>
      <c r="K446" s="376"/>
      <c r="L446" s="376"/>
      <c r="M446" s="376"/>
      <c r="N446" s="376"/>
      <c r="O446" s="376"/>
      <c r="P446" s="376"/>
      <c r="Q446" s="376"/>
      <c r="U446" s="376"/>
      <c r="V446" s="376"/>
    </row>
    <row r="447">
      <c r="A447" s="376"/>
      <c r="B447" s="376"/>
      <c r="C447" s="376"/>
      <c r="D447" s="376"/>
      <c r="E447" s="376"/>
      <c r="F447" s="376"/>
      <c r="G447" s="376"/>
      <c r="H447" s="382"/>
      <c r="I447" s="385"/>
      <c r="J447" s="376"/>
      <c r="K447" s="376"/>
      <c r="L447" s="376"/>
      <c r="M447" s="376"/>
      <c r="N447" s="376"/>
      <c r="O447" s="376"/>
      <c r="P447" s="376"/>
      <c r="Q447" s="376"/>
      <c r="U447" s="376"/>
      <c r="V447" s="376"/>
    </row>
    <row r="448">
      <c r="A448" s="376"/>
      <c r="B448" s="376"/>
      <c r="C448" s="376"/>
      <c r="D448" s="376"/>
      <c r="E448" s="376"/>
      <c r="F448" s="376"/>
      <c r="G448" s="376"/>
      <c r="H448" s="382"/>
      <c r="I448" s="385"/>
      <c r="J448" s="376"/>
      <c r="K448" s="376"/>
      <c r="L448" s="376"/>
      <c r="M448" s="376"/>
      <c r="N448" s="376"/>
      <c r="O448" s="376"/>
      <c r="P448" s="376"/>
      <c r="Q448" s="376"/>
      <c r="U448" s="376"/>
      <c r="V448" s="376"/>
    </row>
    <row r="449">
      <c r="A449" s="376"/>
      <c r="B449" s="376"/>
      <c r="C449" s="376"/>
      <c r="D449" s="376"/>
      <c r="E449" s="376"/>
      <c r="F449" s="376"/>
      <c r="G449" s="376"/>
      <c r="H449" s="382"/>
      <c r="I449" s="385"/>
      <c r="J449" s="376"/>
      <c r="K449" s="376"/>
      <c r="L449" s="376"/>
      <c r="M449" s="376"/>
      <c r="N449" s="376"/>
      <c r="O449" s="376"/>
      <c r="P449" s="376"/>
      <c r="Q449" s="376"/>
      <c r="U449" s="376"/>
      <c r="V449" s="376"/>
    </row>
    <row r="450">
      <c r="A450" s="376"/>
      <c r="B450" s="376"/>
      <c r="C450" s="376"/>
      <c r="D450" s="376"/>
      <c r="E450" s="376"/>
      <c r="F450" s="376"/>
      <c r="G450" s="376"/>
      <c r="H450" s="382"/>
      <c r="I450" s="385"/>
      <c r="J450" s="376"/>
      <c r="K450" s="376"/>
      <c r="L450" s="376"/>
      <c r="M450" s="376"/>
      <c r="N450" s="376"/>
      <c r="O450" s="376"/>
      <c r="P450" s="376"/>
      <c r="Q450" s="376"/>
      <c r="U450" s="376"/>
      <c r="V450" s="376"/>
    </row>
    <row r="451">
      <c r="A451" s="376"/>
      <c r="B451" s="376"/>
      <c r="C451" s="376"/>
      <c r="D451" s="376"/>
      <c r="E451" s="376"/>
      <c r="F451" s="376"/>
      <c r="G451" s="376"/>
      <c r="H451" s="382"/>
      <c r="I451" s="385"/>
      <c r="J451" s="376"/>
      <c r="K451" s="376"/>
      <c r="L451" s="376"/>
      <c r="M451" s="376"/>
      <c r="N451" s="376"/>
      <c r="O451" s="376"/>
      <c r="P451" s="376"/>
      <c r="Q451" s="376"/>
      <c r="U451" s="376"/>
      <c r="V451" s="376"/>
    </row>
    <row r="452">
      <c r="A452" s="376"/>
      <c r="B452" s="376"/>
      <c r="C452" s="376"/>
      <c r="D452" s="376"/>
      <c r="E452" s="376"/>
      <c r="F452" s="376"/>
      <c r="G452" s="376"/>
      <c r="H452" s="382"/>
      <c r="I452" s="385"/>
      <c r="J452" s="376"/>
      <c r="K452" s="376"/>
      <c r="L452" s="376"/>
      <c r="M452" s="376"/>
      <c r="N452" s="376"/>
      <c r="O452" s="376"/>
      <c r="P452" s="376"/>
      <c r="Q452" s="376"/>
      <c r="U452" s="376"/>
      <c r="V452" s="376"/>
    </row>
    <row r="453">
      <c r="A453" s="376"/>
      <c r="B453" s="376"/>
      <c r="C453" s="376"/>
      <c r="D453" s="376"/>
      <c r="E453" s="376"/>
      <c r="F453" s="376"/>
      <c r="G453" s="376"/>
      <c r="H453" s="382"/>
      <c r="I453" s="385"/>
      <c r="J453" s="376"/>
      <c r="K453" s="376"/>
      <c r="L453" s="376"/>
      <c r="M453" s="376"/>
      <c r="N453" s="376"/>
      <c r="O453" s="376"/>
      <c r="P453" s="376"/>
      <c r="Q453" s="376"/>
      <c r="U453" s="376"/>
      <c r="V453" s="376"/>
    </row>
    <row r="454">
      <c r="A454" s="376"/>
      <c r="B454" s="376"/>
      <c r="C454" s="376"/>
      <c r="D454" s="376"/>
      <c r="E454" s="376"/>
      <c r="F454" s="376"/>
      <c r="G454" s="376"/>
      <c r="H454" s="382"/>
      <c r="I454" s="385"/>
      <c r="J454" s="376"/>
      <c r="K454" s="376"/>
      <c r="L454" s="376"/>
      <c r="M454" s="376"/>
      <c r="N454" s="376"/>
      <c r="O454" s="376"/>
      <c r="P454" s="376"/>
      <c r="Q454" s="376"/>
      <c r="U454" s="376"/>
      <c r="V454" s="376"/>
    </row>
    <row r="455">
      <c r="A455" s="376"/>
      <c r="B455" s="376"/>
      <c r="C455" s="376"/>
      <c r="D455" s="376"/>
      <c r="E455" s="376"/>
      <c r="F455" s="376"/>
      <c r="G455" s="376"/>
      <c r="H455" s="382"/>
      <c r="I455" s="385"/>
      <c r="J455" s="376"/>
      <c r="K455" s="376"/>
      <c r="L455" s="376"/>
      <c r="M455" s="376"/>
      <c r="N455" s="376"/>
      <c r="O455" s="376"/>
      <c r="P455" s="376"/>
      <c r="Q455" s="376"/>
      <c r="U455" s="376"/>
      <c r="V455" s="376"/>
    </row>
    <row r="456">
      <c r="A456" s="376"/>
      <c r="B456" s="376"/>
      <c r="C456" s="376"/>
      <c r="D456" s="376"/>
      <c r="E456" s="376"/>
      <c r="F456" s="376"/>
      <c r="G456" s="376"/>
      <c r="H456" s="382"/>
      <c r="I456" s="385"/>
      <c r="J456" s="376"/>
      <c r="K456" s="376"/>
      <c r="L456" s="376"/>
      <c r="M456" s="376"/>
      <c r="N456" s="376"/>
      <c r="O456" s="376"/>
      <c r="P456" s="376"/>
      <c r="Q456" s="376"/>
      <c r="U456" s="376"/>
      <c r="V456" s="376"/>
    </row>
    <row r="457">
      <c r="A457" s="376"/>
      <c r="B457" s="376"/>
      <c r="C457" s="376"/>
      <c r="D457" s="376"/>
      <c r="E457" s="376"/>
      <c r="F457" s="376"/>
      <c r="G457" s="376"/>
      <c r="H457" s="382"/>
      <c r="I457" s="385"/>
      <c r="J457" s="376"/>
      <c r="K457" s="376"/>
      <c r="L457" s="376"/>
      <c r="M457" s="376"/>
      <c r="N457" s="376"/>
      <c r="O457" s="376"/>
      <c r="P457" s="376"/>
      <c r="Q457" s="376"/>
      <c r="U457" s="376"/>
      <c r="V457" s="376"/>
    </row>
    <row r="458">
      <c r="A458" s="376"/>
      <c r="B458" s="376"/>
      <c r="C458" s="376"/>
      <c r="D458" s="376"/>
      <c r="E458" s="376"/>
      <c r="F458" s="376"/>
      <c r="G458" s="376"/>
      <c r="H458" s="382"/>
      <c r="I458" s="385"/>
      <c r="J458" s="376"/>
      <c r="K458" s="376"/>
      <c r="L458" s="376"/>
      <c r="M458" s="376"/>
      <c r="N458" s="376"/>
      <c r="O458" s="376"/>
      <c r="P458" s="376"/>
      <c r="Q458" s="376"/>
      <c r="U458" s="376"/>
      <c r="V458" s="376"/>
    </row>
    <row r="459">
      <c r="A459" s="376"/>
      <c r="B459" s="376"/>
      <c r="C459" s="376"/>
      <c r="D459" s="376"/>
      <c r="E459" s="376"/>
      <c r="F459" s="376"/>
      <c r="G459" s="376"/>
      <c r="H459" s="382"/>
      <c r="I459" s="385"/>
      <c r="J459" s="376"/>
      <c r="K459" s="376"/>
      <c r="L459" s="376"/>
      <c r="M459" s="376"/>
      <c r="N459" s="376"/>
      <c r="O459" s="376"/>
      <c r="P459" s="376"/>
      <c r="Q459" s="376"/>
      <c r="U459" s="376"/>
      <c r="V459" s="376"/>
    </row>
    <row r="460">
      <c r="A460" s="376"/>
      <c r="B460" s="376"/>
      <c r="C460" s="376"/>
      <c r="D460" s="376"/>
      <c r="E460" s="376"/>
      <c r="F460" s="376"/>
      <c r="G460" s="376"/>
      <c r="H460" s="382"/>
      <c r="I460" s="385"/>
      <c r="J460" s="376"/>
      <c r="K460" s="376"/>
      <c r="L460" s="376"/>
      <c r="M460" s="376"/>
      <c r="N460" s="376"/>
      <c r="O460" s="376"/>
      <c r="P460" s="376"/>
      <c r="Q460" s="376"/>
      <c r="U460" s="376"/>
      <c r="V460" s="376"/>
    </row>
    <row r="461">
      <c r="A461" s="376"/>
      <c r="B461" s="376"/>
      <c r="C461" s="376"/>
      <c r="D461" s="376"/>
      <c r="E461" s="376"/>
      <c r="F461" s="376"/>
      <c r="G461" s="376"/>
      <c r="H461" s="382"/>
      <c r="I461" s="385"/>
      <c r="J461" s="376"/>
      <c r="K461" s="376"/>
      <c r="L461" s="376"/>
      <c r="M461" s="376"/>
      <c r="N461" s="376"/>
      <c r="O461" s="376"/>
      <c r="P461" s="376"/>
      <c r="Q461" s="376"/>
      <c r="U461" s="376"/>
      <c r="V461" s="376"/>
    </row>
    <row r="462">
      <c r="A462" s="376"/>
      <c r="B462" s="376"/>
      <c r="C462" s="376"/>
      <c r="D462" s="376"/>
      <c r="E462" s="376"/>
      <c r="F462" s="376"/>
      <c r="G462" s="376"/>
      <c r="H462" s="382"/>
      <c r="I462" s="385"/>
      <c r="J462" s="376"/>
      <c r="K462" s="376"/>
      <c r="L462" s="376"/>
      <c r="M462" s="376"/>
      <c r="N462" s="376"/>
      <c r="O462" s="376"/>
      <c r="P462" s="376"/>
      <c r="Q462" s="376"/>
      <c r="U462" s="376"/>
      <c r="V462" s="376"/>
    </row>
    <row r="463">
      <c r="A463" s="376"/>
      <c r="B463" s="376"/>
      <c r="C463" s="376"/>
      <c r="D463" s="376"/>
      <c r="E463" s="376"/>
      <c r="F463" s="376"/>
      <c r="G463" s="376"/>
      <c r="H463" s="382"/>
      <c r="I463" s="385"/>
      <c r="J463" s="376"/>
      <c r="K463" s="376"/>
      <c r="L463" s="376"/>
      <c r="M463" s="376"/>
      <c r="N463" s="376"/>
      <c r="O463" s="376"/>
      <c r="P463" s="376"/>
      <c r="Q463" s="376"/>
      <c r="U463" s="376"/>
      <c r="V463" s="376"/>
    </row>
    <row r="464">
      <c r="A464" s="376"/>
      <c r="B464" s="376"/>
      <c r="C464" s="376"/>
      <c r="D464" s="376"/>
      <c r="E464" s="376"/>
      <c r="F464" s="376"/>
      <c r="G464" s="376"/>
      <c r="H464" s="382"/>
      <c r="I464" s="385"/>
      <c r="J464" s="376"/>
      <c r="K464" s="376"/>
      <c r="L464" s="376"/>
      <c r="M464" s="376"/>
      <c r="N464" s="376"/>
      <c r="O464" s="376"/>
      <c r="P464" s="376"/>
      <c r="Q464" s="376"/>
      <c r="U464" s="376"/>
      <c r="V464" s="376"/>
    </row>
    <row r="465">
      <c r="A465" s="376"/>
      <c r="B465" s="376"/>
      <c r="C465" s="376"/>
      <c r="D465" s="376"/>
      <c r="E465" s="376"/>
      <c r="F465" s="376"/>
      <c r="G465" s="376"/>
      <c r="H465" s="382"/>
      <c r="I465" s="385"/>
      <c r="J465" s="376"/>
      <c r="K465" s="376"/>
      <c r="L465" s="376"/>
      <c r="M465" s="376"/>
      <c r="N465" s="376"/>
      <c r="O465" s="376"/>
      <c r="P465" s="376"/>
      <c r="Q465" s="376"/>
      <c r="U465" s="376"/>
      <c r="V465" s="376"/>
    </row>
    <row r="466">
      <c r="A466" s="376"/>
      <c r="B466" s="376"/>
      <c r="C466" s="376"/>
      <c r="D466" s="376"/>
      <c r="E466" s="376"/>
      <c r="F466" s="376"/>
      <c r="G466" s="376"/>
      <c r="H466" s="382"/>
      <c r="I466" s="385"/>
      <c r="J466" s="376"/>
      <c r="K466" s="376"/>
      <c r="L466" s="376"/>
      <c r="M466" s="376"/>
      <c r="N466" s="376"/>
      <c r="O466" s="376"/>
      <c r="P466" s="376"/>
      <c r="Q466" s="376"/>
      <c r="U466" s="376"/>
      <c r="V466" s="376"/>
    </row>
    <row r="467">
      <c r="A467" s="376"/>
      <c r="B467" s="376"/>
      <c r="C467" s="376"/>
      <c r="D467" s="376"/>
      <c r="E467" s="376"/>
      <c r="F467" s="376"/>
      <c r="G467" s="376"/>
      <c r="H467" s="382"/>
      <c r="I467" s="385"/>
      <c r="J467" s="376"/>
      <c r="K467" s="376"/>
      <c r="L467" s="376"/>
      <c r="M467" s="376"/>
      <c r="N467" s="376"/>
      <c r="O467" s="376"/>
      <c r="P467" s="376"/>
      <c r="Q467" s="376"/>
      <c r="U467" s="376"/>
      <c r="V467" s="376"/>
    </row>
    <row r="468">
      <c r="A468" s="376"/>
      <c r="B468" s="376"/>
      <c r="C468" s="376"/>
      <c r="D468" s="376"/>
      <c r="E468" s="376"/>
      <c r="F468" s="376"/>
      <c r="G468" s="376"/>
      <c r="H468" s="382"/>
      <c r="I468" s="385"/>
      <c r="J468" s="376"/>
      <c r="K468" s="376"/>
      <c r="L468" s="376"/>
      <c r="M468" s="376"/>
      <c r="N468" s="376"/>
      <c r="O468" s="376"/>
      <c r="P468" s="376"/>
      <c r="Q468" s="376"/>
      <c r="U468" s="376"/>
      <c r="V468" s="376"/>
    </row>
    <row r="469">
      <c r="A469" s="376"/>
      <c r="B469" s="376"/>
      <c r="C469" s="376"/>
      <c r="D469" s="376"/>
      <c r="E469" s="376"/>
      <c r="F469" s="376"/>
      <c r="G469" s="376"/>
      <c r="H469" s="382"/>
      <c r="I469" s="385"/>
      <c r="J469" s="376"/>
      <c r="K469" s="376"/>
      <c r="L469" s="376"/>
      <c r="M469" s="376"/>
      <c r="N469" s="376"/>
      <c r="O469" s="376"/>
      <c r="P469" s="376"/>
      <c r="Q469" s="376"/>
      <c r="U469" s="376"/>
      <c r="V469" s="376"/>
    </row>
    <row r="470">
      <c r="A470" s="376"/>
      <c r="B470" s="376"/>
      <c r="C470" s="376"/>
      <c r="D470" s="376"/>
      <c r="E470" s="376"/>
      <c r="F470" s="376"/>
      <c r="G470" s="376"/>
      <c r="H470" s="382"/>
      <c r="I470" s="385"/>
      <c r="J470" s="376"/>
      <c r="K470" s="376"/>
      <c r="L470" s="376"/>
      <c r="M470" s="376"/>
      <c r="N470" s="376"/>
      <c r="O470" s="376"/>
      <c r="P470" s="376"/>
      <c r="Q470" s="376"/>
      <c r="U470" s="376"/>
      <c r="V470" s="376"/>
    </row>
    <row r="471">
      <c r="A471" s="376"/>
      <c r="B471" s="376"/>
      <c r="C471" s="376"/>
      <c r="D471" s="376"/>
      <c r="E471" s="376"/>
      <c r="F471" s="376"/>
      <c r="G471" s="376"/>
      <c r="H471" s="382"/>
      <c r="I471" s="385"/>
      <c r="J471" s="376"/>
      <c r="K471" s="376"/>
      <c r="L471" s="376"/>
      <c r="M471" s="376"/>
      <c r="N471" s="376"/>
      <c r="O471" s="376"/>
      <c r="P471" s="376"/>
      <c r="Q471" s="376"/>
      <c r="U471" s="376"/>
      <c r="V471" s="376"/>
    </row>
    <row r="472">
      <c r="A472" s="376"/>
      <c r="B472" s="376"/>
      <c r="C472" s="376"/>
      <c r="D472" s="376"/>
      <c r="E472" s="376"/>
      <c r="F472" s="376"/>
      <c r="G472" s="376"/>
      <c r="H472" s="382"/>
      <c r="I472" s="385"/>
      <c r="J472" s="376"/>
      <c r="K472" s="376"/>
      <c r="L472" s="376"/>
      <c r="M472" s="376"/>
      <c r="N472" s="376"/>
      <c r="O472" s="376"/>
      <c r="P472" s="376"/>
      <c r="Q472" s="376"/>
      <c r="U472" s="376"/>
      <c r="V472" s="376"/>
    </row>
    <row r="473">
      <c r="A473" s="376"/>
      <c r="B473" s="376"/>
      <c r="C473" s="376"/>
      <c r="D473" s="376"/>
      <c r="E473" s="376"/>
      <c r="F473" s="376"/>
      <c r="G473" s="376"/>
      <c r="H473" s="382"/>
      <c r="I473" s="385"/>
      <c r="J473" s="376"/>
      <c r="K473" s="376"/>
      <c r="L473" s="376"/>
      <c r="M473" s="376"/>
      <c r="N473" s="376"/>
      <c r="O473" s="376"/>
      <c r="P473" s="376"/>
      <c r="Q473" s="376"/>
      <c r="U473" s="376"/>
      <c r="V473" s="376"/>
    </row>
    <row r="474">
      <c r="A474" s="376"/>
      <c r="B474" s="376"/>
      <c r="C474" s="376"/>
      <c r="D474" s="376"/>
      <c r="E474" s="376"/>
      <c r="F474" s="376"/>
      <c r="G474" s="376"/>
      <c r="H474" s="382"/>
      <c r="I474" s="385"/>
      <c r="J474" s="376"/>
      <c r="K474" s="376"/>
      <c r="L474" s="376"/>
      <c r="M474" s="376"/>
      <c r="N474" s="376"/>
      <c r="O474" s="376"/>
      <c r="P474" s="376"/>
      <c r="Q474" s="376"/>
      <c r="U474" s="376"/>
      <c r="V474" s="376"/>
    </row>
    <row r="475">
      <c r="A475" s="376"/>
      <c r="B475" s="376"/>
      <c r="C475" s="376"/>
      <c r="D475" s="376"/>
      <c r="E475" s="376"/>
      <c r="F475" s="376"/>
      <c r="G475" s="376"/>
      <c r="H475" s="382"/>
      <c r="I475" s="385"/>
      <c r="J475" s="376"/>
      <c r="K475" s="376"/>
      <c r="L475" s="376"/>
      <c r="M475" s="376"/>
      <c r="N475" s="376"/>
      <c r="O475" s="376"/>
      <c r="P475" s="376"/>
      <c r="Q475" s="376"/>
      <c r="U475" s="376"/>
      <c r="V475" s="376"/>
    </row>
    <row r="476">
      <c r="A476" s="376"/>
      <c r="B476" s="376"/>
      <c r="C476" s="376"/>
      <c r="D476" s="376"/>
      <c r="E476" s="376"/>
      <c r="F476" s="376"/>
      <c r="G476" s="376"/>
      <c r="H476" s="382"/>
      <c r="I476" s="385"/>
      <c r="J476" s="376"/>
      <c r="K476" s="376"/>
      <c r="L476" s="376"/>
      <c r="M476" s="376"/>
      <c r="N476" s="376"/>
      <c r="O476" s="376"/>
      <c r="P476" s="376"/>
      <c r="Q476" s="376"/>
      <c r="U476" s="376"/>
      <c r="V476" s="376"/>
    </row>
    <row r="477">
      <c r="A477" s="376"/>
      <c r="B477" s="376"/>
      <c r="C477" s="376"/>
      <c r="D477" s="376"/>
      <c r="E477" s="376"/>
      <c r="F477" s="376"/>
      <c r="G477" s="376"/>
      <c r="H477" s="382"/>
      <c r="I477" s="385"/>
      <c r="J477" s="376"/>
      <c r="K477" s="376"/>
      <c r="L477" s="376"/>
      <c r="M477" s="376"/>
      <c r="N477" s="376"/>
      <c r="O477" s="376"/>
      <c r="P477" s="376"/>
      <c r="Q477" s="376"/>
      <c r="U477" s="376"/>
      <c r="V477" s="376"/>
    </row>
    <row r="478">
      <c r="A478" s="376"/>
      <c r="B478" s="376"/>
      <c r="C478" s="376"/>
      <c r="D478" s="376"/>
      <c r="E478" s="376"/>
      <c r="F478" s="376"/>
      <c r="G478" s="376"/>
      <c r="H478" s="382"/>
      <c r="I478" s="385"/>
      <c r="J478" s="376"/>
      <c r="K478" s="376"/>
      <c r="L478" s="376"/>
      <c r="M478" s="376"/>
      <c r="N478" s="376"/>
      <c r="O478" s="376"/>
      <c r="P478" s="376"/>
      <c r="Q478" s="376"/>
      <c r="U478" s="376"/>
      <c r="V478" s="376"/>
    </row>
    <row r="479">
      <c r="A479" s="376"/>
      <c r="B479" s="376"/>
      <c r="C479" s="376"/>
      <c r="D479" s="376"/>
      <c r="E479" s="376"/>
      <c r="F479" s="376"/>
      <c r="G479" s="376"/>
      <c r="H479" s="382"/>
      <c r="I479" s="385"/>
      <c r="J479" s="376"/>
      <c r="K479" s="376"/>
      <c r="L479" s="376"/>
      <c r="M479" s="376"/>
      <c r="N479" s="376"/>
      <c r="O479" s="376"/>
      <c r="P479" s="376"/>
      <c r="Q479" s="376"/>
      <c r="U479" s="376"/>
      <c r="V479" s="376"/>
    </row>
    <row r="480">
      <c r="A480" s="376"/>
      <c r="B480" s="376"/>
      <c r="C480" s="376"/>
      <c r="D480" s="376"/>
      <c r="E480" s="376"/>
      <c r="F480" s="376"/>
      <c r="G480" s="376"/>
      <c r="H480" s="382"/>
      <c r="I480" s="385"/>
      <c r="J480" s="376"/>
      <c r="K480" s="376"/>
      <c r="L480" s="376"/>
      <c r="M480" s="376"/>
      <c r="N480" s="376"/>
      <c r="O480" s="376"/>
      <c r="P480" s="376"/>
      <c r="Q480" s="376"/>
      <c r="U480" s="376"/>
      <c r="V480" s="376"/>
    </row>
    <row r="481">
      <c r="A481" s="376"/>
      <c r="B481" s="376"/>
      <c r="C481" s="376"/>
      <c r="D481" s="376"/>
      <c r="E481" s="376"/>
      <c r="F481" s="376"/>
      <c r="G481" s="376"/>
      <c r="H481" s="382"/>
      <c r="I481" s="385"/>
      <c r="J481" s="376"/>
      <c r="K481" s="376"/>
      <c r="L481" s="376"/>
      <c r="M481" s="376"/>
      <c r="N481" s="376"/>
      <c r="O481" s="376"/>
      <c r="P481" s="376"/>
      <c r="Q481" s="376"/>
      <c r="U481" s="376"/>
      <c r="V481" s="376"/>
    </row>
    <row r="482">
      <c r="A482" s="376"/>
      <c r="B482" s="376"/>
      <c r="C482" s="376"/>
      <c r="D482" s="376"/>
      <c r="E482" s="376"/>
      <c r="F482" s="376"/>
      <c r="G482" s="376"/>
      <c r="H482" s="382"/>
      <c r="I482" s="385"/>
      <c r="J482" s="376"/>
      <c r="K482" s="376"/>
      <c r="L482" s="376"/>
      <c r="M482" s="376"/>
      <c r="N482" s="376"/>
      <c r="O482" s="376"/>
      <c r="P482" s="376"/>
      <c r="Q482" s="376"/>
      <c r="U482" s="376"/>
      <c r="V482" s="376"/>
    </row>
    <row r="483">
      <c r="A483" s="376"/>
      <c r="B483" s="376"/>
      <c r="C483" s="376"/>
      <c r="D483" s="376"/>
      <c r="E483" s="376"/>
      <c r="F483" s="376"/>
      <c r="G483" s="376"/>
      <c r="H483" s="382"/>
      <c r="I483" s="385"/>
      <c r="J483" s="376"/>
      <c r="K483" s="376"/>
      <c r="L483" s="376"/>
      <c r="M483" s="376"/>
      <c r="N483" s="376"/>
      <c r="O483" s="376"/>
      <c r="P483" s="376"/>
      <c r="Q483" s="376"/>
      <c r="U483" s="376"/>
      <c r="V483" s="376"/>
    </row>
    <row r="484">
      <c r="A484" s="376"/>
      <c r="B484" s="376"/>
      <c r="C484" s="376"/>
      <c r="D484" s="376"/>
      <c r="E484" s="376"/>
      <c r="F484" s="376"/>
      <c r="G484" s="376"/>
      <c r="H484" s="382"/>
      <c r="I484" s="385"/>
      <c r="J484" s="376"/>
      <c r="K484" s="376"/>
      <c r="L484" s="376"/>
      <c r="M484" s="376"/>
      <c r="N484" s="376"/>
      <c r="O484" s="376"/>
      <c r="P484" s="376"/>
      <c r="Q484" s="376"/>
      <c r="U484" s="376"/>
      <c r="V484" s="376"/>
    </row>
    <row r="485">
      <c r="A485" s="376"/>
      <c r="B485" s="376"/>
      <c r="C485" s="376"/>
      <c r="D485" s="376"/>
      <c r="E485" s="376"/>
      <c r="F485" s="376"/>
      <c r="G485" s="376"/>
      <c r="H485" s="382"/>
      <c r="I485" s="385"/>
      <c r="J485" s="376"/>
      <c r="K485" s="376"/>
      <c r="L485" s="376"/>
      <c r="M485" s="376"/>
      <c r="N485" s="376"/>
      <c r="O485" s="376"/>
      <c r="P485" s="376"/>
      <c r="Q485" s="376"/>
      <c r="U485" s="376"/>
      <c r="V485" s="376"/>
    </row>
    <row r="486">
      <c r="A486" s="376"/>
      <c r="B486" s="376"/>
      <c r="C486" s="376"/>
      <c r="D486" s="376"/>
      <c r="E486" s="376"/>
      <c r="F486" s="376"/>
      <c r="G486" s="376"/>
      <c r="H486" s="382"/>
      <c r="I486" s="385"/>
      <c r="J486" s="376"/>
      <c r="K486" s="376"/>
      <c r="L486" s="376"/>
      <c r="M486" s="376"/>
      <c r="N486" s="376"/>
      <c r="O486" s="376"/>
      <c r="P486" s="376"/>
      <c r="Q486" s="376"/>
      <c r="U486" s="376"/>
      <c r="V486" s="376"/>
    </row>
    <row r="487">
      <c r="A487" s="376"/>
      <c r="B487" s="376"/>
      <c r="C487" s="376"/>
      <c r="D487" s="376"/>
      <c r="E487" s="376"/>
      <c r="F487" s="376"/>
      <c r="G487" s="376"/>
      <c r="H487" s="382"/>
      <c r="I487" s="385"/>
      <c r="J487" s="376"/>
      <c r="K487" s="376"/>
      <c r="L487" s="376"/>
      <c r="M487" s="376"/>
      <c r="N487" s="376"/>
      <c r="O487" s="376"/>
      <c r="P487" s="376"/>
      <c r="Q487" s="376"/>
      <c r="U487" s="376"/>
      <c r="V487" s="376"/>
    </row>
    <row r="488">
      <c r="A488" s="376"/>
      <c r="B488" s="376"/>
      <c r="C488" s="376"/>
      <c r="D488" s="376"/>
      <c r="E488" s="376"/>
      <c r="F488" s="376"/>
      <c r="G488" s="376"/>
      <c r="H488" s="382"/>
      <c r="I488" s="385"/>
      <c r="J488" s="376"/>
      <c r="K488" s="376"/>
      <c r="L488" s="376"/>
      <c r="M488" s="376"/>
      <c r="N488" s="376"/>
      <c r="O488" s="376"/>
      <c r="P488" s="376"/>
      <c r="Q488" s="376"/>
      <c r="U488" s="376"/>
      <c r="V488" s="376"/>
    </row>
    <row r="489">
      <c r="A489" s="376"/>
      <c r="B489" s="376"/>
      <c r="C489" s="376"/>
      <c r="D489" s="376"/>
      <c r="E489" s="376"/>
      <c r="F489" s="376"/>
      <c r="G489" s="376"/>
      <c r="H489" s="382"/>
      <c r="I489" s="385"/>
      <c r="J489" s="376"/>
      <c r="K489" s="376"/>
      <c r="L489" s="376"/>
      <c r="M489" s="376"/>
      <c r="N489" s="376"/>
      <c r="O489" s="376"/>
      <c r="P489" s="376"/>
      <c r="Q489" s="376"/>
      <c r="U489" s="376"/>
      <c r="V489" s="376"/>
    </row>
    <row r="490">
      <c r="A490" s="376"/>
      <c r="B490" s="376"/>
      <c r="C490" s="376"/>
      <c r="D490" s="376"/>
      <c r="E490" s="376"/>
      <c r="F490" s="376"/>
      <c r="G490" s="376"/>
      <c r="H490" s="382"/>
      <c r="I490" s="385"/>
      <c r="J490" s="376"/>
      <c r="K490" s="376"/>
      <c r="L490" s="376"/>
      <c r="M490" s="376"/>
      <c r="N490" s="376"/>
      <c r="O490" s="376"/>
      <c r="P490" s="376"/>
      <c r="Q490" s="376"/>
      <c r="U490" s="376"/>
      <c r="V490" s="376"/>
    </row>
    <row r="491">
      <c r="A491" s="376"/>
      <c r="B491" s="376"/>
      <c r="C491" s="376"/>
      <c r="D491" s="376"/>
      <c r="E491" s="376"/>
      <c r="F491" s="376"/>
      <c r="G491" s="376"/>
      <c r="H491" s="382"/>
      <c r="I491" s="385"/>
      <c r="J491" s="376"/>
      <c r="K491" s="376"/>
      <c r="L491" s="376"/>
      <c r="M491" s="376"/>
      <c r="N491" s="376"/>
      <c r="O491" s="376"/>
      <c r="P491" s="376"/>
      <c r="Q491" s="376"/>
      <c r="U491" s="376"/>
      <c r="V491" s="376"/>
    </row>
    <row r="492">
      <c r="A492" s="376"/>
      <c r="B492" s="376"/>
      <c r="C492" s="376"/>
      <c r="D492" s="376"/>
      <c r="E492" s="376"/>
      <c r="F492" s="376"/>
      <c r="G492" s="376"/>
      <c r="H492" s="382"/>
      <c r="I492" s="385"/>
      <c r="J492" s="376"/>
      <c r="K492" s="376"/>
      <c r="L492" s="376"/>
      <c r="M492" s="376"/>
      <c r="N492" s="376"/>
      <c r="O492" s="376"/>
      <c r="P492" s="376"/>
      <c r="Q492" s="376"/>
      <c r="U492" s="376"/>
      <c r="V492" s="376"/>
    </row>
    <row r="493">
      <c r="A493" s="376"/>
      <c r="B493" s="376"/>
      <c r="C493" s="376"/>
      <c r="D493" s="376"/>
      <c r="E493" s="376"/>
      <c r="F493" s="376"/>
      <c r="G493" s="376"/>
      <c r="H493" s="382"/>
      <c r="I493" s="385"/>
      <c r="J493" s="376"/>
      <c r="K493" s="376"/>
      <c r="L493" s="376"/>
      <c r="M493" s="376"/>
      <c r="N493" s="376"/>
      <c r="O493" s="376"/>
      <c r="P493" s="376"/>
      <c r="Q493" s="376"/>
      <c r="U493" s="376"/>
      <c r="V493" s="376"/>
    </row>
    <row r="494">
      <c r="A494" s="376"/>
      <c r="B494" s="376"/>
      <c r="C494" s="376"/>
      <c r="D494" s="376"/>
      <c r="E494" s="376"/>
      <c r="F494" s="376"/>
      <c r="G494" s="376"/>
      <c r="H494" s="382"/>
      <c r="I494" s="385"/>
      <c r="J494" s="376"/>
      <c r="K494" s="376"/>
      <c r="L494" s="376"/>
      <c r="M494" s="376"/>
      <c r="N494" s="376"/>
      <c r="O494" s="376"/>
      <c r="P494" s="376"/>
      <c r="Q494" s="376"/>
      <c r="U494" s="376"/>
      <c r="V494" s="376"/>
    </row>
    <row r="495">
      <c r="A495" s="376"/>
      <c r="B495" s="376"/>
      <c r="C495" s="376"/>
      <c r="D495" s="376"/>
      <c r="E495" s="376"/>
      <c r="F495" s="376"/>
      <c r="G495" s="376"/>
      <c r="H495" s="382"/>
      <c r="I495" s="385"/>
      <c r="J495" s="376"/>
      <c r="K495" s="376"/>
      <c r="L495" s="376"/>
      <c r="M495" s="376"/>
      <c r="N495" s="376"/>
      <c r="O495" s="376"/>
      <c r="P495" s="376"/>
      <c r="Q495" s="376"/>
      <c r="U495" s="376"/>
      <c r="V495" s="376"/>
    </row>
    <row r="496">
      <c r="A496" s="376"/>
      <c r="B496" s="376"/>
      <c r="C496" s="376"/>
      <c r="D496" s="376"/>
      <c r="E496" s="376"/>
      <c r="F496" s="376"/>
      <c r="G496" s="376"/>
      <c r="H496" s="382"/>
      <c r="I496" s="385"/>
      <c r="J496" s="376"/>
      <c r="K496" s="376"/>
      <c r="L496" s="376"/>
      <c r="M496" s="376"/>
      <c r="N496" s="376"/>
      <c r="O496" s="376"/>
      <c r="P496" s="376"/>
      <c r="Q496" s="376"/>
      <c r="U496" s="376"/>
      <c r="V496" s="376"/>
    </row>
    <row r="497">
      <c r="A497" s="376"/>
      <c r="B497" s="376"/>
      <c r="C497" s="376"/>
      <c r="D497" s="376"/>
      <c r="E497" s="376"/>
      <c r="F497" s="376"/>
      <c r="G497" s="376"/>
      <c r="H497" s="382"/>
      <c r="I497" s="385"/>
      <c r="J497" s="376"/>
      <c r="K497" s="376"/>
      <c r="L497" s="376"/>
      <c r="M497" s="376"/>
      <c r="N497" s="376"/>
      <c r="O497" s="376"/>
      <c r="P497" s="376"/>
      <c r="Q497" s="376"/>
      <c r="U497" s="376"/>
      <c r="V497" s="376"/>
    </row>
    <row r="498">
      <c r="A498" s="376"/>
      <c r="B498" s="376"/>
      <c r="C498" s="376"/>
      <c r="D498" s="376"/>
      <c r="E498" s="376"/>
      <c r="F498" s="376"/>
      <c r="G498" s="376"/>
      <c r="H498" s="382"/>
      <c r="I498" s="385"/>
      <c r="J498" s="376"/>
      <c r="K498" s="376"/>
      <c r="L498" s="376"/>
      <c r="M498" s="376"/>
      <c r="N498" s="376"/>
      <c r="O498" s="376"/>
      <c r="P498" s="376"/>
      <c r="Q498" s="376"/>
      <c r="U498" s="376"/>
      <c r="V498" s="376"/>
    </row>
    <row r="499">
      <c r="A499" s="376"/>
      <c r="B499" s="376"/>
      <c r="C499" s="376"/>
      <c r="D499" s="376"/>
      <c r="E499" s="376"/>
      <c r="F499" s="376"/>
      <c r="G499" s="376"/>
      <c r="H499" s="382"/>
      <c r="I499" s="385"/>
      <c r="J499" s="376"/>
      <c r="K499" s="376"/>
      <c r="L499" s="376"/>
      <c r="M499" s="376"/>
      <c r="N499" s="376"/>
      <c r="O499" s="376"/>
      <c r="P499" s="376"/>
      <c r="Q499" s="376"/>
      <c r="U499" s="376"/>
      <c r="V499" s="376"/>
    </row>
    <row r="500">
      <c r="A500" s="376"/>
      <c r="B500" s="376"/>
      <c r="C500" s="376"/>
      <c r="D500" s="376"/>
      <c r="E500" s="376"/>
      <c r="F500" s="376"/>
      <c r="G500" s="376"/>
      <c r="H500" s="382"/>
      <c r="I500" s="385"/>
      <c r="J500" s="376"/>
      <c r="K500" s="376"/>
      <c r="L500" s="376"/>
      <c r="M500" s="376"/>
      <c r="N500" s="376"/>
      <c r="O500" s="376"/>
      <c r="P500" s="376"/>
      <c r="Q500" s="376"/>
      <c r="U500" s="376"/>
      <c r="V500" s="376"/>
    </row>
    <row r="501">
      <c r="A501" s="376"/>
      <c r="B501" s="376"/>
      <c r="C501" s="376"/>
      <c r="D501" s="376"/>
      <c r="E501" s="376"/>
      <c r="F501" s="376"/>
      <c r="G501" s="376"/>
      <c r="H501" s="382"/>
      <c r="I501" s="385"/>
      <c r="J501" s="376"/>
      <c r="K501" s="376"/>
      <c r="L501" s="376"/>
      <c r="M501" s="376"/>
      <c r="N501" s="376"/>
      <c r="O501" s="376"/>
      <c r="P501" s="376"/>
      <c r="Q501" s="376"/>
      <c r="U501" s="376"/>
      <c r="V501" s="376"/>
    </row>
    <row r="502">
      <c r="A502" s="376"/>
      <c r="B502" s="376"/>
      <c r="C502" s="376"/>
      <c r="D502" s="376"/>
      <c r="E502" s="376"/>
      <c r="F502" s="376"/>
      <c r="G502" s="376"/>
      <c r="H502" s="382"/>
      <c r="I502" s="385"/>
      <c r="J502" s="376"/>
      <c r="K502" s="376"/>
      <c r="L502" s="376"/>
      <c r="M502" s="376"/>
      <c r="N502" s="376"/>
      <c r="O502" s="376"/>
      <c r="P502" s="376"/>
      <c r="Q502" s="376"/>
      <c r="U502" s="376"/>
      <c r="V502" s="376"/>
    </row>
    <row r="503">
      <c r="A503" s="376"/>
      <c r="B503" s="376"/>
      <c r="C503" s="376"/>
      <c r="D503" s="376"/>
      <c r="E503" s="376"/>
      <c r="F503" s="376"/>
      <c r="G503" s="376"/>
      <c r="H503" s="382"/>
      <c r="I503" s="385"/>
      <c r="J503" s="376"/>
      <c r="K503" s="376"/>
      <c r="L503" s="376"/>
      <c r="M503" s="376"/>
      <c r="N503" s="376"/>
      <c r="O503" s="376"/>
      <c r="P503" s="376"/>
      <c r="Q503" s="376"/>
      <c r="U503" s="376"/>
      <c r="V503" s="376"/>
    </row>
    <row r="504">
      <c r="A504" s="376"/>
      <c r="B504" s="376"/>
      <c r="C504" s="376"/>
      <c r="D504" s="376"/>
      <c r="E504" s="376"/>
      <c r="F504" s="376"/>
      <c r="G504" s="376"/>
      <c r="H504" s="382"/>
      <c r="I504" s="385"/>
      <c r="J504" s="376"/>
      <c r="K504" s="376"/>
      <c r="L504" s="376"/>
      <c r="M504" s="376"/>
      <c r="N504" s="376"/>
      <c r="O504" s="376"/>
      <c r="P504" s="376"/>
      <c r="Q504" s="376"/>
      <c r="U504" s="376"/>
      <c r="V504" s="376"/>
    </row>
    <row r="505">
      <c r="A505" s="376"/>
      <c r="B505" s="376"/>
      <c r="C505" s="376"/>
      <c r="D505" s="376"/>
      <c r="E505" s="376"/>
      <c r="F505" s="376"/>
      <c r="G505" s="376"/>
      <c r="H505" s="382"/>
      <c r="I505" s="385"/>
      <c r="J505" s="376"/>
      <c r="K505" s="376"/>
      <c r="L505" s="376"/>
      <c r="M505" s="376"/>
      <c r="N505" s="376"/>
      <c r="O505" s="376"/>
      <c r="P505" s="376"/>
      <c r="Q505" s="376"/>
      <c r="U505" s="376"/>
      <c r="V505" s="376"/>
    </row>
    <row r="506">
      <c r="A506" s="376"/>
      <c r="B506" s="376"/>
      <c r="C506" s="376"/>
      <c r="D506" s="376"/>
      <c r="E506" s="376"/>
      <c r="F506" s="376"/>
      <c r="G506" s="376"/>
      <c r="H506" s="382"/>
      <c r="I506" s="385"/>
      <c r="J506" s="376"/>
      <c r="K506" s="376"/>
      <c r="L506" s="376"/>
      <c r="M506" s="376"/>
      <c r="N506" s="376"/>
      <c r="O506" s="376"/>
      <c r="P506" s="376"/>
      <c r="Q506" s="376"/>
      <c r="U506" s="376"/>
      <c r="V506" s="376"/>
    </row>
    <row r="507">
      <c r="A507" s="376"/>
      <c r="B507" s="376"/>
      <c r="C507" s="376"/>
      <c r="D507" s="376"/>
      <c r="E507" s="376"/>
      <c r="F507" s="376"/>
      <c r="G507" s="376"/>
      <c r="H507" s="382"/>
      <c r="I507" s="385"/>
      <c r="J507" s="376"/>
      <c r="K507" s="376"/>
      <c r="L507" s="376"/>
      <c r="M507" s="376"/>
      <c r="N507" s="376"/>
      <c r="O507" s="376"/>
      <c r="P507" s="376"/>
      <c r="Q507" s="376"/>
      <c r="U507" s="376"/>
      <c r="V507" s="376"/>
    </row>
    <row r="508">
      <c r="A508" s="376"/>
      <c r="B508" s="376"/>
      <c r="C508" s="376"/>
      <c r="D508" s="376"/>
      <c r="E508" s="376"/>
      <c r="F508" s="376"/>
      <c r="G508" s="376"/>
      <c r="H508" s="382"/>
      <c r="I508" s="385"/>
      <c r="J508" s="376"/>
      <c r="K508" s="376"/>
      <c r="L508" s="376"/>
      <c r="M508" s="376"/>
      <c r="N508" s="376"/>
      <c r="O508" s="376"/>
      <c r="P508" s="376"/>
      <c r="Q508" s="376"/>
      <c r="U508" s="376"/>
      <c r="V508" s="376"/>
    </row>
  </sheetData>
  <autoFilter ref="A1:V342"/>
  <mergeCells>
    <mergeCell ref="B324:C324"/>
    <mergeCell ref="B325:C325"/>
    <mergeCell ref="B319:C319"/>
    <mergeCell ref="R314:V314"/>
    <mergeCell ref="M314:Q314"/>
    <mergeCell ref="D314:L314"/>
    <mergeCell ref="A314:C314"/>
    <mergeCell ref="A304:A313"/>
    <mergeCell ref="B313:C313"/>
    <mergeCell ref="B312:C312"/>
    <mergeCell ref="B308:C308"/>
    <mergeCell ref="R302:V302"/>
    <mergeCell ref="M302:Q302"/>
    <mergeCell ref="D302:L302"/>
    <mergeCell ref="A302:C302"/>
    <mergeCell ref="A284:A292"/>
    <mergeCell ref="B286:C286"/>
    <mergeCell ref="B292:C292"/>
    <mergeCell ref="B291:C291"/>
    <mergeCell ref="R282:V282"/>
    <mergeCell ref="M282:Q282"/>
    <mergeCell ref="D282:L282"/>
    <mergeCell ref="A282:C282"/>
    <mergeCell ref="A183:A192"/>
    <mergeCell ref="R273:V273"/>
    <mergeCell ref="M273:Q273"/>
    <mergeCell ref="D273:L273"/>
    <mergeCell ref="A273:C273"/>
    <mergeCell ref="B272:C272"/>
    <mergeCell ref="B271:C271"/>
    <mergeCell ref="B267:C267"/>
    <mergeCell ref="A263:A272"/>
    <mergeCell ref="R261:V261"/>
    <mergeCell ref="M261:Q261"/>
    <mergeCell ref="D261:L261"/>
    <mergeCell ref="A261:C261"/>
    <mergeCell ref="B260:C260"/>
    <mergeCell ref="B259:C259"/>
    <mergeCell ref="B255:C255"/>
    <mergeCell ref="A251:A260"/>
    <mergeCell ref="R249:V249"/>
    <mergeCell ref="M249:Q249"/>
    <mergeCell ref="D249:L249"/>
    <mergeCell ref="A249:C249"/>
    <mergeCell ref="A239:A248"/>
    <mergeCell ref="B235:C235"/>
    <mergeCell ref="B236:C236"/>
    <mergeCell ref="B230:C230"/>
    <mergeCell ref="R225:V225"/>
    <mergeCell ref="M225:Q225"/>
    <mergeCell ref="D225:L225"/>
    <mergeCell ref="A225:C225"/>
    <mergeCell ref="A203:A212"/>
    <mergeCell ref="B211:C211"/>
    <mergeCell ref="B212:C212"/>
    <mergeCell ref="B207:C207"/>
    <mergeCell ref="R201:V201"/>
    <mergeCell ref="M201:Q201"/>
    <mergeCell ref="D201:L201"/>
    <mergeCell ref="A201:C201"/>
    <mergeCell ref="A195:A200"/>
    <mergeCell ref="B200:C200"/>
    <mergeCell ref="B199:C199"/>
    <mergeCell ref="R193:V193"/>
    <mergeCell ref="M193:Q193"/>
    <mergeCell ref="D193:L193"/>
    <mergeCell ref="A193:C193"/>
    <mergeCell ref="B192:C192"/>
    <mergeCell ref="B191:C191"/>
    <mergeCell ref="B143:C143"/>
    <mergeCell ref="B142:C142"/>
    <mergeCell ref="B139:C139"/>
    <mergeCell ref="R133:V133"/>
    <mergeCell ref="M133:Q133"/>
    <mergeCell ref="D133:L133"/>
    <mergeCell ref="A133:C133"/>
    <mergeCell ref="B132:C132"/>
    <mergeCell ref="B131:C131"/>
    <mergeCell ref="B127:C127"/>
    <mergeCell ref="A123:A132"/>
    <mergeCell ref="R121:V121"/>
    <mergeCell ref="M121:Q121"/>
    <mergeCell ref="D121:L121"/>
    <mergeCell ref="A121:C121"/>
    <mergeCell ref="B120:C120"/>
    <mergeCell ref="B119:C119"/>
    <mergeCell ref="B115:C115"/>
    <mergeCell ref="A111:A120"/>
    <mergeCell ref="R109:V109"/>
    <mergeCell ref="M109:Q109"/>
    <mergeCell ref="D109:L109"/>
    <mergeCell ref="A109:C109"/>
    <mergeCell ref="A99:A108"/>
    <mergeCell ref="B107:C107"/>
    <mergeCell ref="B108:C108"/>
    <mergeCell ref="B103:C103"/>
    <mergeCell ref="R97:V97"/>
    <mergeCell ref="M97:Q97"/>
    <mergeCell ref="D97:L97"/>
    <mergeCell ref="A97:C97"/>
    <mergeCell ref="A3:A11"/>
    <mergeCell ref="B7:C7"/>
    <mergeCell ref="B10:C10"/>
    <mergeCell ref="B11:C11"/>
    <mergeCell ref="R1:V1"/>
    <mergeCell ref="M1:Q1"/>
    <mergeCell ref="D1:L1"/>
    <mergeCell ref="A1:C1"/>
    <mergeCell ref="A14:A22"/>
    <mergeCell ref="B18:C18"/>
    <mergeCell ref="B21:C21"/>
    <mergeCell ref="B22:C22"/>
    <mergeCell ref="R12:V12"/>
    <mergeCell ref="M12:Q12"/>
    <mergeCell ref="D12:L12"/>
    <mergeCell ref="A12:C12"/>
    <mergeCell ref="R23:V23"/>
    <mergeCell ref="M23:Q23"/>
    <mergeCell ref="D23:L23"/>
    <mergeCell ref="A23:C23"/>
    <mergeCell ref="A25:A33"/>
    <mergeCell ref="B29:C29"/>
    <mergeCell ref="B32:C32"/>
    <mergeCell ref="B33:C33"/>
    <mergeCell ref="R34:V34"/>
    <mergeCell ref="M34:Q34"/>
    <mergeCell ref="D34:L34"/>
    <mergeCell ref="A34:C34"/>
    <mergeCell ref="A36:A44"/>
    <mergeCell ref="B40:C40"/>
    <mergeCell ref="B43:C43"/>
    <mergeCell ref="B44:C44"/>
    <mergeCell ref="R45:V45"/>
    <mergeCell ref="M45:Q45"/>
    <mergeCell ref="D45:L45"/>
    <mergeCell ref="A45:C45"/>
    <mergeCell ref="B51:C51"/>
    <mergeCell ref="B52:C52"/>
    <mergeCell ref="A47:A52"/>
    <mergeCell ref="R53:V53"/>
    <mergeCell ref="M53:Q53"/>
    <mergeCell ref="D53:L53"/>
    <mergeCell ref="A53:C53"/>
    <mergeCell ref="A55:A63"/>
    <mergeCell ref="B59:C59"/>
    <mergeCell ref="B62:C62"/>
    <mergeCell ref="B63:C63"/>
    <mergeCell ref="R64:V64"/>
    <mergeCell ref="M64:Q64"/>
    <mergeCell ref="D64:L64"/>
    <mergeCell ref="A64:C64"/>
    <mergeCell ref="A66:A74"/>
    <mergeCell ref="B70:C70"/>
    <mergeCell ref="B73:C73"/>
    <mergeCell ref="B74:C74"/>
    <mergeCell ref="R75:V75"/>
    <mergeCell ref="M75:Q75"/>
    <mergeCell ref="D75:L75"/>
    <mergeCell ref="A75:C75"/>
    <mergeCell ref="A77:A85"/>
    <mergeCell ref="B81:C81"/>
    <mergeCell ref="B84:C84"/>
    <mergeCell ref="B85:C85"/>
    <mergeCell ref="R86:V86"/>
    <mergeCell ref="M86:Q86"/>
    <mergeCell ref="D86:L86"/>
    <mergeCell ref="A86:C86"/>
    <mergeCell ref="B92:C92"/>
    <mergeCell ref="B96:C96"/>
    <mergeCell ref="B95:C95"/>
    <mergeCell ref="A88:A96"/>
    <mergeCell ref="A135:A143"/>
    <mergeCell ref="R144:V144"/>
    <mergeCell ref="M144:Q144"/>
    <mergeCell ref="D144:L144"/>
    <mergeCell ref="A144:C144"/>
    <mergeCell ref="B150:C150"/>
    <mergeCell ref="B155:C155"/>
    <mergeCell ref="B154:C154"/>
    <mergeCell ref="A146:A155"/>
    <mergeCell ref="R156:V156"/>
    <mergeCell ref="M156:Q156"/>
    <mergeCell ref="D156:L156"/>
    <mergeCell ref="A156:C156"/>
    <mergeCell ref="A158:A167"/>
    <mergeCell ref="B162:C162"/>
    <mergeCell ref="B166:C166"/>
    <mergeCell ref="B167:C167"/>
    <mergeCell ref="R168:V168"/>
    <mergeCell ref="M168:Q168"/>
    <mergeCell ref="D168:L168"/>
    <mergeCell ref="A168:C168"/>
    <mergeCell ref="B174:C174"/>
    <mergeCell ref="B180:C180"/>
    <mergeCell ref="B179:C179"/>
    <mergeCell ref="A170:A180"/>
    <mergeCell ref="R181:V181"/>
    <mergeCell ref="M181:Q181"/>
    <mergeCell ref="D181:L181"/>
    <mergeCell ref="A181:C181"/>
    <mergeCell ref="B187:C187"/>
    <mergeCell ref="R213:V213"/>
    <mergeCell ref="M213:Q213"/>
    <mergeCell ref="D213:L213"/>
    <mergeCell ref="A213:C213"/>
    <mergeCell ref="B219:C219"/>
    <mergeCell ref="B224:C224"/>
    <mergeCell ref="B223:C223"/>
    <mergeCell ref="A215:A224"/>
    <mergeCell ref="A227:A236"/>
    <mergeCell ref="R237:V237"/>
    <mergeCell ref="M237:Q237"/>
    <mergeCell ref="D237:L237"/>
    <mergeCell ref="A237:C237"/>
    <mergeCell ref="B248:C248"/>
    <mergeCell ref="B247:C247"/>
    <mergeCell ref="B243:C243"/>
    <mergeCell ref="B280:C280"/>
    <mergeCell ref="B281:C281"/>
    <mergeCell ref="A275:A281"/>
    <mergeCell ref="R293:V293"/>
    <mergeCell ref="M293:Q293"/>
    <mergeCell ref="D293:L293"/>
    <mergeCell ref="A293:C293"/>
    <mergeCell ref="A295:A301"/>
    <mergeCell ref="B300:C300"/>
    <mergeCell ref="B301:C301"/>
    <mergeCell ref="A316:A325"/>
    <mergeCell ref="R326:V326"/>
    <mergeCell ref="M326:Q326"/>
    <mergeCell ref="D326:L326"/>
    <mergeCell ref="A326:C326"/>
    <mergeCell ref="A328:A337"/>
    <mergeCell ref="B331:C331"/>
    <mergeCell ref="B336:C336"/>
    <mergeCell ref="B337:C337"/>
  </mergeCells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387" t="s">
        <v>205</v>
      </c>
      <c r="B1" s="387"/>
      <c r="C1" s="387"/>
      <c r="D1" s="388" t="s">
        <v>206</v>
      </c>
      <c r="E1" s="388"/>
      <c r="F1" s="388"/>
      <c r="G1" s="388"/>
      <c r="H1" s="388"/>
      <c r="I1" s="388"/>
      <c r="J1" s="388"/>
      <c r="K1" s="388"/>
      <c r="L1" s="388"/>
      <c r="M1" s="389" t="s">
        <v>207</v>
      </c>
      <c r="N1" s="389"/>
      <c r="O1" s="389"/>
      <c r="P1" s="389"/>
      <c r="Q1" s="389"/>
      <c r="R1" s="390" t="s">
        <v>208</v>
      </c>
      <c r="S1" s="390"/>
      <c r="T1" s="390"/>
      <c r="U1" s="390"/>
      <c r="V1" s="390"/>
    </row>
    <row r="2">
      <c r="A2" s="387" t="s">
        <v>209</v>
      </c>
      <c r="B2" s="387" t="s">
        <v>210</v>
      </c>
      <c r="C2" s="387" t="s">
        <v>211</v>
      </c>
      <c r="D2" s="388" t="s">
        <v>212</v>
      </c>
      <c r="E2" s="391" t="s">
        <v>213</v>
      </c>
      <c r="F2" s="388" t="s">
        <v>214</v>
      </c>
      <c r="G2" s="388" t="s">
        <v>215</v>
      </c>
      <c r="H2" s="392" t="s">
        <v>216</v>
      </c>
      <c r="I2" s="388" t="s">
        <v>217</v>
      </c>
      <c r="J2" s="393" t="s">
        <v>218</v>
      </c>
      <c r="K2" s="394" t="s">
        <v>219</v>
      </c>
      <c r="L2" s="388" t="s">
        <v>220</v>
      </c>
      <c r="M2" s="395" t="s">
        <v>221</v>
      </c>
      <c r="N2" s="395" t="s">
        <v>222</v>
      </c>
      <c r="O2" s="395" t="s">
        <v>223</v>
      </c>
      <c r="P2" s="389" t="s">
        <v>224</v>
      </c>
      <c r="Q2" s="389" t="s">
        <v>225</v>
      </c>
      <c r="R2" s="390" t="s">
        <v>226</v>
      </c>
      <c r="S2" s="390" t="s">
        <v>227</v>
      </c>
      <c r="T2" s="390" t="s">
        <v>228</v>
      </c>
      <c r="U2" s="396" t="s">
        <v>229</v>
      </c>
      <c r="V2" s="390" t="s">
        <v>230</v>
      </c>
    </row>
    <row customHeight="true" ht="18.452380952380953" r="3">
      <c r="A3" s="397">
        <v>46296</v>
      </c>
      <c r="B3" s="398" t="s">
        <v>231</v>
      </c>
      <c r="C3" s="399" t="s">
        <v>232</v>
      </c>
      <c r="D3" s="399">
        <f t="shared" ref="D3:D7" si="0">SUM(E3:G3)</f>
      </c>
      <c r="E3" s="400">
        <v>1204.71</v>
      </c>
      <c r="F3" s="401">
        <v>2061.88</v>
      </c>
      <c r="G3" s="401">
        <v>0</v>
      </c>
      <c r="H3" s="402">
        <v>18</v>
      </c>
      <c r="I3" s="399">
        <v>16119.119999999999</v>
      </c>
      <c r="J3" s="403">
        <f t="shared" ref="J3:J9" si="79">I3/D3</f>
      </c>
      <c r="K3" s="403">
        <f t="shared" ref="K3:K9" si="140">D3/H3</f>
      </c>
      <c r="L3" s="403">
        <f t="shared" ref="L3:L9" si="159">I3/H3</f>
      </c>
      <c r="M3" s="404">
        <f t="shared" ref="M3:M9" si="102">S3/R3</f>
      </c>
      <c r="N3" s="405">
        <f t="shared" ref="N3:N9" si="121">H3/(T3+H3)</f>
      </c>
      <c r="O3" s="406">
        <f t="shared" ref="O3:O7" si="98">(V3*1000)/D3</f>
      </c>
      <c r="P3" s="407" t="s">
        <v>233</v>
      </c>
      <c r="Q3" s="408" t="s">
        <v>234</v>
      </c>
      <c r="R3" s="409">
        <v>22193</v>
      </c>
      <c r="S3" s="410">
        <v>1047</v>
      </c>
      <c r="T3" s="410">
        <v>15</v>
      </c>
      <c r="U3" s="411">
        <v>1</v>
      </c>
      <c r="V3" s="411">
        <v>60</v>
      </c>
    </row>
    <row r="4">
      <c r="A4" s="397"/>
      <c r="B4" s="398" t="s">
        <v>231</v>
      </c>
      <c r="C4" s="412" t="s">
        <v>235</v>
      </c>
      <c r="D4" s="399">
        <f t="shared" si="0"/>
      </c>
      <c r="E4" s="400">
        <v>2452.25</v>
      </c>
      <c r="F4" s="401">
        <v>1307.12</v>
      </c>
      <c r="G4" s="401">
        <v>0</v>
      </c>
      <c r="H4" s="402">
        <v>34</v>
      </c>
      <c r="I4" s="399">
        <v>24482.079999999998</v>
      </c>
      <c r="J4" s="403">
        <f t="shared" si="79"/>
      </c>
      <c r="K4" s="403">
        <f t="shared" si="140"/>
      </c>
      <c r="L4" s="403">
        <f t="shared" si="159"/>
      </c>
      <c r="M4" s="404">
        <f t="shared" si="102"/>
      </c>
      <c r="N4" s="405">
        <f t="shared" si="121"/>
      </c>
      <c r="O4" s="406">
        <f t="shared" si="98"/>
      </c>
      <c r="P4" s="407" t="s">
        <v>233</v>
      </c>
      <c r="Q4" s="408" t="s">
        <v>234</v>
      </c>
      <c r="R4" s="409">
        <v>24670</v>
      </c>
      <c r="S4" s="410">
        <v>1409</v>
      </c>
      <c r="T4" s="410">
        <v>22</v>
      </c>
      <c r="U4" s="411">
        <v>2</v>
      </c>
      <c r="V4" s="411">
        <v>63</v>
      </c>
    </row>
    <row r="5">
      <c r="A5" s="397"/>
      <c r="B5" s="413" t="s">
        <v>231</v>
      </c>
      <c r="C5" s="414" t="s">
        <v>236</v>
      </c>
      <c r="D5" s="415">
        <f t="shared" si="0"/>
      </c>
      <c r="E5" s="416">
        <v>3356.06</v>
      </c>
      <c r="F5" s="417">
        <v>1256.93</v>
      </c>
      <c r="G5" s="417">
        <v>0</v>
      </c>
      <c r="H5" s="418">
        <v>17</v>
      </c>
      <c r="I5" s="417">
        <v>8031.720000000001</v>
      </c>
      <c r="J5" s="419">
        <f t="shared" si="79"/>
      </c>
      <c r="K5" s="419">
        <f t="shared" si="140"/>
      </c>
      <c r="L5" s="419">
        <f t="shared" si="159"/>
      </c>
      <c r="M5" s="420">
        <f t="shared" si="102"/>
      </c>
      <c r="N5" s="421">
        <f t="shared" si="121"/>
      </c>
      <c r="O5" s="422">
        <f t="shared" si="98"/>
      </c>
      <c r="P5" s="407" t="s">
        <v>233</v>
      </c>
      <c r="Q5" s="423" t="s">
        <v>234</v>
      </c>
      <c r="R5" s="424">
        <v>31966</v>
      </c>
      <c r="S5" s="425">
        <v>1864</v>
      </c>
      <c r="T5" s="426">
        <v>12</v>
      </c>
      <c r="U5" s="426">
        <v>1</v>
      </c>
      <c r="V5" s="426">
        <v>51</v>
      </c>
    </row>
    <row r="6">
      <c r="A6" s="397"/>
      <c r="B6" s="413" t="s">
        <v>231</v>
      </c>
      <c r="C6" s="414" t="s">
        <v>237</v>
      </c>
      <c r="D6" s="415">
        <f t="shared" si="0"/>
      </c>
      <c r="E6" s="416">
        <v>2299.17</v>
      </c>
      <c r="F6" s="417">
        <v>2084.11</v>
      </c>
      <c r="G6" s="417">
        <v>0</v>
      </c>
      <c r="H6" s="418">
        <v>29</v>
      </c>
      <c r="I6" s="417">
        <v>17715.559999999998</v>
      </c>
      <c r="J6" s="419">
        <f t="shared" si="79"/>
      </c>
      <c r="K6" s="419">
        <f t="shared" si="140"/>
      </c>
      <c r="L6" s="419">
        <f t="shared" si="159"/>
      </c>
      <c r="M6" s="420">
        <f t="shared" si="102"/>
      </c>
      <c r="N6" s="421">
        <f t="shared" si="121"/>
      </c>
      <c r="O6" s="422">
        <f t="shared" si="98"/>
      </c>
      <c r="P6" s="407" t="s">
        <v>233</v>
      </c>
      <c r="Q6" s="423" t="s">
        <v>234</v>
      </c>
      <c r="R6" s="424">
        <v>31892</v>
      </c>
      <c r="S6" s="425">
        <v>1705</v>
      </c>
      <c r="T6" s="426">
        <v>20</v>
      </c>
      <c r="U6" s="426">
        <v>1</v>
      </c>
      <c r="V6" s="426">
        <v>62</v>
      </c>
    </row>
    <row r="7">
      <c r="A7" s="397"/>
      <c r="B7" s="413" t="s">
        <v>231</v>
      </c>
      <c r="C7" s="414" t="s">
        <v>238</v>
      </c>
      <c r="D7" s="415">
        <f t="shared" si="0"/>
      </c>
      <c r="E7" s="416">
        <v>2462.07</v>
      </c>
      <c r="F7" s="417">
        <v>4142.34</v>
      </c>
      <c r="G7" s="417">
        <v>0</v>
      </c>
      <c r="H7" s="418">
        <v>27</v>
      </c>
      <c r="I7" s="417">
        <v>14910.460000000006</v>
      </c>
      <c r="J7" s="419">
        <f t="shared" si="79"/>
      </c>
      <c r="K7" s="419">
        <f t="shared" si="140"/>
      </c>
      <c r="L7" s="419">
        <f t="shared" si="159"/>
      </c>
      <c r="M7" s="420">
        <f t="shared" si="102"/>
      </c>
      <c r="N7" s="421">
        <f t="shared" si="121"/>
      </c>
      <c r="O7" s="422">
        <f t="shared" si="98"/>
      </c>
      <c r="P7" s="407" t="s">
        <v>233</v>
      </c>
      <c r="Q7" s="423" t="s">
        <v>234</v>
      </c>
      <c r="R7" s="424">
        <v>51449</v>
      </c>
      <c r="S7" s="425">
        <v>2611</v>
      </c>
      <c r="T7" s="426">
        <v>15</v>
      </c>
      <c r="U7" s="426">
        <v>0</v>
      </c>
      <c r="V7" s="426">
        <v>57</v>
      </c>
    </row>
    <row r="8">
      <c r="A8" s="397"/>
      <c r="B8" s="427" t="s">
        <v>239</v>
      </c>
      <c r="C8" s="427"/>
      <c r="D8" s="428">
        <f>SUM(D3:D7)</f>
      </c>
      <c r="E8" s="428">
        <f>SUM(E3:E7)</f>
      </c>
      <c r="F8" s="428">
        <f>SUM(F3:F7)</f>
      </c>
      <c r="G8" s="428">
        <f>SUM(G3:G7)</f>
      </c>
      <c r="H8" s="429">
        <f>SUM(H3:H7)</f>
      </c>
      <c r="I8" s="428">
        <f>SUM(I3:I7)</f>
      </c>
      <c r="J8" s="430">
        <f t="shared" si="79"/>
      </c>
      <c r="K8" s="431">
        <f t="shared" si="140"/>
      </c>
      <c r="L8" s="432">
        <f t="shared" si="159"/>
      </c>
      <c r="M8" s="433">
        <f t="shared" si="102"/>
      </c>
      <c r="N8" s="433">
        <f t="shared" si="121"/>
      </c>
      <c r="O8" s="434">
        <f t="shared" ref="O8:O9" si="60">(U8*1000)/D8</f>
      </c>
      <c r="P8" s="434"/>
      <c r="Q8" s="434"/>
      <c r="R8" s="429">
        <f>SUM(R3:R7)</f>
      </c>
      <c r="S8" s="429">
        <f>SUM(S3:S7)</f>
      </c>
      <c r="T8" s="429">
        <f>SUM(T3:T7)</f>
      </c>
      <c r="U8" s="429">
        <f>SUM(U3:U7)</f>
      </c>
      <c r="V8" s="429">
        <f>SUM(V3:V7)</f>
      </c>
    </row>
    <row r="9">
      <c r="A9" s="397"/>
      <c r="B9" s="435" t="s">
        <v>240</v>
      </c>
      <c r="C9" s="435"/>
      <c r="D9" s="436">
        <f>D8</f>
      </c>
      <c r="E9" s="436">
        <f>E8</f>
      </c>
      <c r="F9" s="436">
        <f>F8</f>
      </c>
      <c r="G9" s="436">
        <f>G8</f>
      </c>
      <c r="H9" s="437">
        <f>H8</f>
      </c>
      <c r="I9" s="436">
        <f>I8</f>
      </c>
      <c r="J9" s="438">
        <f t="shared" si="79"/>
      </c>
      <c r="K9" s="438">
        <f t="shared" si="140"/>
      </c>
      <c r="L9" s="438">
        <f t="shared" si="159"/>
      </c>
      <c r="M9" s="439">
        <f t="shared" si="102"/>
      </c>
      <c r="N9" s="439">
        <f t="shared" si="121"/>
      </c>
      <c r="O9" s="438">
        <f t="shared" si="60"/>
      </c>
      <c r="P9" s="440"/>
      <c r="Q9" s="440"/>
      <c r="R9" s="437">
        <f>R8</f>
      </c>
      <c r="S9" s="437">
        <f>S8</f>
      </c>
      <c r="T9" s="437">
        <f>T8</f>
      </c>
      <c r="U9" s="437">
        <f>U8</f>
      </c>
      <c r="V9" s="437">
        <f>V8</f>
      </c>
    </row>
    <row customHeight="true" ht="16.666666666666668" r="10">
      <c r="A10" s="387" t="s">
        <v>205</v>
      </c>
      <c r="B10" s="387"/>
      <c r="C10" s="387"/>
      <c r="D10" s="388" t="s">
        <v>206</v>
      </c>
      <c r="E10" s="388"/>
      <c r="F10" s="388"/>
      <c r="G10" s="388"/>
      <c r="H10" s="388"/>
      <c r="I10" s="388"/>
      <c r="J10" s="388"/>
      <c r="K10" s="388"/>
      <c r="L10" s="388"/>
      <c r="M10" s="389" t="s">
        <v>207</v>
      </c>
      <c r="N10" s="389"/>
      <c r="O10" s="389"/>
      <c r="P10" s="389"/>
      <c r="Q10" s="389"/>
      <c r="R10" s="390" t="s">
        <v>208</v>
      </c>
      <c r="S10" s="390"/>
      <c r="T10" s="390"/>
      <c r="U10" s="390"/>
      <c r="V10" s="390"/>
    </row>
    <row customHeight="true" ht="16.666666666666668" r="11">
      <c r="A11" s="387" t="s">
        <v>209</v>
      </c>
      <c r="B11" s="387" t="s">
        <v>210</v>
      </c>
      <c r="C11" s="387" t="s">
        <v>211</v>
      </c>
      <c r="D11" s="388" t="s">
        <v>212</v>
      </c>
      <c r="E11" s="391" t="s">
        <v>213</v>
      </c>
      <c r="F11" s="388" t="s">
        <v>214</v>
      </c>
      <c r="G11" s="388" t="s">
        <v>215</v>
      </c>
      <c r="H11" s="392" t="s">
        <v>216</v>
      </c>
      <c r="I11" s="388" t="s">
        <v>217</v>
      </c>
      <c r="J11" s="393" t="s">
        <v>218</v>
      </c>
      <c r="K11" s="394" t="s">
        <v>219</v>
      </c>
      <c r="L11" s="388" t="s">
        <v>220</v>
      </c>
      <c r="M11" s="395" t="s">
        <v>221</v>
      </c>
      <c r="N11" s="395" t="s">
        <v>222</v>
      </c>
      <c r="O11" s="395" t="s">
        <v>223</v>
      </c>
      <c r="P11" s="389" t="s">
        <v>224</v>
      </c>
      <c r="Q11" s="389" t="s">
        <v>225</v>
      </c>
      <c r="R11" s="390" t="s">
        <v>226</v>
      </c>
      <c r="S11" s="390" t="s">
        <v>227</v>
      </c>
      <c r="T11" s="390" t="s">
        <v>228</v>
      </c>
      <c r="U11" s="396" t="s">
        <v>229</v>
      </c>
      <c r="V11" s="390" t="s">
        <v>230</v>
      </c>
    </row>
    <row r="12">
      <c r="A12" s="397">
        <v>46297</v>
      </c>
      <c r="B12" s="398" t="s">
        <v>241</v>
      </c>
      <c r="C12" s="441" t="s">
        <v>242</v>
      </c>
      <c r="D12" s="399">
        <f t="shared" ref="D12:D15" si="1">SUM(E12:G12)</f>
      </c>
      <c r="E12" s="400">
        <v>1817.99</v>
      </c>
      <c r="F12" s="401">
        <v>1830.19</v>
      </c>
      <c r="G12" s="401">
        <v>0</v>
      </c>
      <c r="H12" s="402">
        <v>8</v>
      </c>
      <c r="I12" s="399">
        <v>2781.6</v>
      </c>
      <c r="J12" s="403">
        <f t="shared" ref="J12:J26" si="80">I12/D12</f>
      </c>
      <c r="K12" s="403">
        <f t="shared" ref="K12:K26" si="141">D12/H12</f>
      </c>
      <c r="L12" s="403">
        <f t="shared" ref="L12:L26" si="160">I12/H12</f>
      </c>
      <c r="M12" s="404">
        <f t="shared" ref="M12:M26" si="103">S12/R12</f>
      </c>
      <c r="N12" s="405">
        <f t="shared" ref="N12:N26" si="122">H12/(T12+H12)</f>
      </c>
      <c r="O12" s="406">
        <f t="shared" ref="O12:O15" si="99">(V12*1000)/D12</f>
      </c>
      <c r="P12" s="407" t="s">
        <v>233</v>
      </c>
      <c r="Q12" s="408" t="s">
        <v>234</v>
      </c>
      <c r="R12" s="409">
        <v>25609</v>
      </c>
      <c r="S12" s="410">
        <v>1093</v>
      </c>
      <c r="T12" s="410">
        <v>8</v>
      </c>
      <c r="U12" s="411">
        <v>1</v>
      </c>
      <c r="V12" s="411">
        <v>41</v>
      </c>
    </row>
    <row r="13">
      <c r="A13" s="397"/>
      <c r="B13" s="398" t="s">
        <v>241</v>
      </c>
      <c r="C13" s="441" t="s">
        <v>243</v>
      </c>
      <c r="D13" s="399">
        <f t="shared" si="1"/>
      </c>
      <c r="E13" s="400">
        <v>1318.24</v>
      </c>
      <c r="F13" s="401">
        <v>3479.51</v>
      </c>
      <c r="G13" s="401">
        <v>0</v>
      </c>
      <c r="H13" s="402">
        <v>13</v>
      </c>
      <c r="I13" s="399">
        <v>11092.859999999999</v>
      </c>
      <c r="J13" s="403">
        <f t="shared" si="80"/>
      </c>
      <c r="K13" s="403">
        <f t="shared" si="141"/>
      </c>
      <c r="L13" s="403">
        <f t="shared" si="160"/>
      </c>
      <c r="M13" s="404">
        <f t="shared" si="103"/>
      </c>
      <c r="N13" s="405">
        <f t="shared" si="122"/>
      </c>
      <c r="O13" s="406">
        <f t="shared" si="99"/>
      </c>
      <c r="P13" s="407" t="s">
        <v>233</v>
      </c>
      <c r="Q13" s="408" t="s">
        <v>234</v>
      </c>
      <c r="R13" s="409">
        <v>29187</v>
      </c>
      <c r="S13" s="410">
        <v>1227</v>
      </c>
      <c r="T13" s="410">
        <v>9</v>
      </c>
      <c r="U13" s="411">
        <v>1</v>
      </c>
      <c r="V13" s="411">
        <v>58</v>
      </c>
    </row>
    <row r="14">
      <c r="A14" s="397"/>
      <c r="B14" s="398" t="s">
        <v>241</v>
      </c>
      <c r="C14" s="441" t="s">
        <v>244</v>
      </c>
      <c r="D14" s="415">
        <f t="shared" si="1"/>
      </c>
      <c r="E14" s="416">
        <v>582.39</v>
      </c>
      <c r="F14" s="417">
        <v>1967.08</v>
      </c>
      <c r="G14" s="417">
        <v>0</v>
      </c>
      <c r="H14" s="418">
        <v>5</v>
      </c>
      <c r="I14" s="417">
        <v>3919.5600000000013</v>
      </c>
      <c r="J14" s="419">
        <f t="shared" si="80"/>
      </c>
      <c r="K14" s="419">
        <f t="shared" si="141"/>
      </c>
      <c r="L14" s="419">
        <f t="shared" si="160"/>
      </c>
      <c r="M14" s="420">
        <f t="shared" si="103"/>
      </c>
      <c r="N14" s="421">
        <f t="shared" si="122"/>
      </c>
      <c r="O14" s="422">
        <f t="shared" si="99"/>
      </c>
      <c r="P14" s="407" t="s">
        <v>233</v>
      </c>
      <c r="Q14" s="423" t="s">
        <v>234</v>
      </c>
      <c r="R14" s="424">
        <v>15494</v>
      </c>
      <c r="S14" s="425">
        <v>630</v>
      </c>
      <c r="T14" s="426">
        <v>3</v>
      </c>
      <c r="U14" s="426">
        <v>0</v>
      </c>
      <c r="V14" s="426">
        <v>31</v>
      </c>
    </row>
    <row r="15">
      <c r="A15" s="397"/>
      <c r="B15" s="398" t="s">
        <v>241</v>
      </c>
      <c r="C15" s="441" t="s">
        <v>245</v>
      </c>
      <c r="D15" s="415">
        <f t="shared" si="1"/>
      </c>
      <c r="E15" s="416">
        <v>692.01</v>
      </c>
      <c r="F15" s="417">
        <v>1280.12</v>
      </c>
      <c r="G15" s="417">
        <v>0</v>
      </c>
      <c r="H15" s="418">
        <v>0</v>
      </c>
      <c r="I15" s="417">
        <v>0</v>
      </c>
      <c r="J15" s="419">
        <f t="shared" si="80"/>
      </c>
      <c r="K15" s="419">
        <f t="shared" si="141"/>
      </c>
      <c r="L15" s="419">
        <f t="shared" si="160"/>
      </c>
      <c r="M15" s="420">
        <f t="shared" si="103"/>
      </c>
      <c r="N15" s="421">
        <f t="shared" si="122"/>
      </c>
      <c r="O15" s="422">
        <f t="shared" si="99"/>
      </c>
      <c r="P15" s="407" t="s">
        <v>233</v>
      </c>
      <c r="Q15" s="423" t="s">
        <v>234</v>
      </c>
      <c r="R15" s="424">
        <v>9964</v>
      </c>
      <c r="S15" s="425">
        <v>478</v>
      </c>
      <c r="T15" s="426">
        <v>4</v>
      </c>
      <c r="U15" s="426">
        <v>0</v>
      </c>
      <c r="V15" s="426">
        <v>24</v>
      </c>
    </row>
    <row r="16">
      <c r="A16" s="397"/>
      <c r="B16" s="427" t="s">
        <v>239</v>
      </c>
      <c r="C16" s="427"/>
      <c r="D16" s="428">
        <f>SUM(D12:D15)</f>
      </c>
      <c r="E16" s="428">
        <f>SUM(E12:E15)</f>
      </c>
      <c r="F16" s="428">
        <f>SUM(F12:F15)</f>
      </c>
      <c r="G16" s="428">
        <f>SUM(G12:G15)</f>
      </c>
      <c r="H16" s="429">
        <f>SUM(H12:H15)</f>
      </c>
      <c r="I16" s="428">
        <f>SUM(I12:I15)</f>
      </c>
      <c r="J16" s="430">
        <f t="shared" si="80"/>
      </c>
      <c r="K16" s="431">
        <f t="shared" si="141"/>
      </c>
      <c r="L16" s="432">
        <f t="shared" si="160"/>
      </c>
      <c r="M16" s="433">
        <f t="shared" si="103"/>
      </c>
      <c r="N16" s="433">
        <f t="shared" si="122"/>
      </c>
      <c r="O16" s="434">
        <f>(U16*1000)/D16</f>
      </c>
      <c r="P16" s="434"/>
      <c r="Q16" s="434"/>
      <c r="R16" s="429">
        <f>SUM(R12:R15)</f>
      </c>
      <c r="S16" s="429">
        <f>SUM(S12:S15)</f>
      </c>
      <c r="T16" s="429">
        <f>SUM(T12:T15)</f>
      </c>
      <c r="U16" s="429">
        <f>SUM(U12:U15)</f>
      </c>
      <c r="V16" s="429">
        <f>SUM(V12:V15)</f>
      </c>
    </row>
    <row r="17">
      <c r="A17" s="397"/>
      <c r="B17" s="413" t="s">
        <v>246</v>
      </c>
      <c r="C17" s="441" t="s">
        <v>247</v>
      </c>
      <c r="D17" s="415">
        <f t="shared" ref="D17:D20" si="2">SUM(E17:G17)</f>
      </c>
      <c r="E17" s="416">
        <v>1367.1</v>
      </c>
      <c r="F17" s="417">
        <v>2415.13</v>
      </c>
      <c r="G17" s="401">
        <v>0</v>
      </c>
      <c r="H17" s="418">
        <v>9</v>
      </c>
      <c r="I17" s="417">
        <v>7109.259999999998</v>
      </c>
      <c r="J17" s="419">
        <f t="shared" si="80"/>
      </c>
      <c r="K17" s="419">
        <f t="shared" si="141"/>
      </c>
      <c r="L17" s="419">
        <f t="shared" si="160"/>
      </c>
      <c r="M17" s="420">
        <f t="shared" si="103"/>
      </c>
      <c r="N17" s="421">
        <f t="shared" si="122"/>
      </c>
      <c r="O17" s="422">
        <f t="shared" ref="O17:O20" si="100">(V17*1000)/D17</f>
      </c>
      <c r="P17" s="407" t="s">
        <v>248</v>
      </c>
      <c r="Q17" s="423" t="s">
        <v>234</v>
      </c>
      <c r="R17" s="424">
        <v>18341</v>
      </c>
      <c r="S17" s="425">
        <v>914</v>
      </c>
      <c r="T17" s="426">
        <v>8</v>
      </c>
      <c r="U17" s="426">
        <v>0</v>
      </c>
      <c r="V17" s="426">
        <v>43</v>
      </c>
    </row>
    <row r="18">
      <c r="A18" s="397"/>
      <c r="B18" s="413" t="s">
        <v>246</v>
      </c>
      <c r="C18" s="417" t="s">
        <v>249</v>
      </c>
      <c r="D18" s="415">
        <f t="shared" si="2"/>
      </c>
      <c r="E18" s="416">
        <v>1123.18</v>
      </c>
      <c r="F18" s="417">
        <v>2316.37</v>
      </c>
      <c r="G18" s="401">
        <v>0</v>
      </c>
      <c r="H18" s="418">
        <v>14</v>
      </c>
      <c r="I18" s="417">
        <v>12982.559999999998</v>
      </c>
      <c r="J18" s="419">
        <f t="shared" si="80"/>
      </c>
      <c r="K18" s="419">
        <f t="shared" si="141"/>
      </c>
      <c r="L18" s="419">
        <f t="shared" si="160"/>
      </c>
      <c r="M18" s="420">
        <f t="shared" si="103"/>
      </c>
      <c r="N18" s="421">
        <f t="shared" si="122"/>
      </c>
      <c r="O18" s="422">
        <f t="shared" si="100"/>
      </c>
      <c r="P18" s="407" t="s">
        <v>248</v>
      </c>
      <c r="Q18" s="423" t="s">
        <v>234</v>
      </c>
      <c r="R18" s="424">
        <v>18560</v>
      </c>
      <c r="S18" s="425">
        <v>964</v>
      </c>
      <c r="T18" s="426">
        <v>10</v>
      </c>
      <c r="U18" s="426">
        <v>1</v>
      </c>
      <c r="V18" s="426">
        <v>48</v>
      </c>
    </row>
    <row r="19">
      <c r="A19" s="397"/>
      <c r="B19" s="413" t="s">
        <v>246</v>
      </c>
      <c r="C19" s="414" t="s">
        <v>250</v>
      </c>
      <c r="D19" s="415">
        <f t="shared" si="2"/>
      </c>
      <c r="E19" s="416">
        <v>1182.89</v>
      </c>
      <c r="F19" s="417">
        <v>1828.25</v>
      </c>
      <c r="G19" s="417">
        <v>0</v>
      </c>
      <c r="H19" s="418">
        <v>7</v>
      </c>
      <c r="I19" s="417">
        <v>6560.4000000000015</v>
      </c>
      <c r="J19" s="419">
        <f t="shared" si="80"/>
      </c>
      <c r="K19" s="419">
        <f t="shared" si="141"/>
      </c>
      <c r="L19" s="419">
        <f t="shared" si="160"/>
      </c>
      <c r="M19" s="420">
        <f t="shared" si="103"/>
      </c>
      <c r="N19" s="421">
        <f t="shared" si="122"/>
      </c>
      <c r="O19" s="422">
        <f t="shared" si="100"/>
      </c>
      <c r="P19" s="407" t="s">
        <v>248</v>
      </c>
      <c r="Q19" s="423" t="s">
        <v>234</v>
      </c>
      <c r="R19" s="424">
        <v>17294</v>
      </c>
      <c r="S19" s="425">
        <v>1027</v>
      </c>
      <c r="T19" s="426">
        <v>2</v>
      </c>
      <c r="U19" s="426">
        <v>0</v>
      </c>
      <c r="V19" s="426">
        <v>34</v>
      </c>
    </row>
    <row r="20">
      <c r="A20" s="397"/>
      <c r="B20" s="413" t="s">
        <v>246</v>
      </c>
      <c r="C20" s="399" t="s">
        <v>232</v>
      </c>
      <c r="D20" s="415">
        <f t="shared" si="2"/>
      </c>
      <c r="E20" s="416">
        <v>2083.61</v>
      </c>
      <c r="F20" s="417">
        <v>1964.53</v>
      </c>
      <c r="G20" s="417">
        <v>0</v>
      </c>
      <c r="H20" s="418">
        <v>9</v>
      </c>
      <c r="I20" s="417">
        <v>7133.220000000001</v>
      </c>
      <c r="J20" s="419">
        <f t="shared" si="80"/>
      </c>
      <c r="K20" s="419">
        <f t="shared" si="141"/>
      </c>
      <c r="L20" s="419">
        <f t="shared" si="160"/>
      </c>
      <c r="M20" s="420">
        <f t="shared" si="103"/>
      </c>
      <c r="N20" s="421">
        <f t="shared" si="122"/>
      </c>
      <c r="O20" s="422">
        <f t="shared" si="100"/>
      </c>
      <c r="P20" s="407" t="s">
        <v>248</v>
      </c>
      <c r="Q20" s="423" t="s">
        <v>234</v>
      </c>
      <c r="R20" s="424">
        <v>20210</v>
      </c>
      <c r="S20" s="425">
        <v>1259</v>
      </c>
      <c r="T20" s="426">
        <v>0</v>
      </c>
      <c r="U20" s="426">
        <v>0</v>
      </c>
      <c r="V20" s="426">
        <v>50</v>
      </c>
    </row>
    <row r="21">
      <c r="A21" s="397"/>
      <c r="B21" s="427" t="s">
        <v>239</v>
      </c>
      <c r="C21" s="427"/>
      <c r="D21" s="428">
        <f>SUM(D17:D20)</f>
      </c>
      <c r="E21" s="428">
        <f>SUM(E17:E20)</f>
      </c>
      <c r="F21" s="428">
        <f>SUM(F17:F20)</f>
      </c>
      <c r="G21" s="428">
        <f>SUM(G17:G20)</f>
      </c>
      <c r="H21" s="429">
        <f>SUM(H17:H20)</f>
      </c>
      <c r="I21" s="428">
        <f>SUM(I17:I20)</f>
      </c>
      <c r="J21" s="430">
        <f t="shared" si="80"/>
      </c>
      <c r="K21" s="431">
        <f t="shared" si="141"/>
      </c>
      <c r="L21" s="432">
        <f t="shared" si="160"/>
      </c>
      <c r="M21" s="433">
        <f t="shared" si="103"/>
      </c>
      <c r="N21" s="433">
        <f t="shared" si="122"/>
      </c>
      <c r="O21" s="434">
        <f>(U21*1000)/D21</f>
      </c>
      <c r="P21" s="434"/>
      <c r="Q21" s="434"/>
      <c r="R21" s="429">
        <f>SUM(R17:R20)</f>
      </c>
      <c r="S21" s="429">
        <f>SUM(S17:S20)</f>
      </c>
      <c r="T21" s="429">
        <f>SUM(T17:T20)</f>
      </c>
      <c r="U21" s="429">
        <f>SUM(U17:U20)</f>
      </c>
      <c r="V21" s="429">
        <f>SUM(V17:V20)</f>
      </c>
    </row>
    <row r="22">
      <c r="A22" s="397"/>
      <c r="B22" s="413" t="s">
        <v>251</v>
      </c>
      <c r="C22" s="412" t="s">
        <v>235</v>
      </c>
      <c r="D22" s="415">
        <f t="shared" ref="D22:D24" si="3">SUM(E22:G22)</f>
      </c>
      <c r="E22" s="416">
        <v>2491.28</v>
      </c>
      <c r="F22" s="417">
        <v>2393.14</v>
      </c>
      <c r="G22" s="401">
        <v>0</v>
      </c>
      <c r="H22" s="418">
        <v>5</v>
      </c>
      <c r="I22" s="417">
        <v>2579.459999999992</v>
      </c>
      <c r="J22" s="419">
        <f t="shared" si="80"/>
      </c>
      <c r="K22" s="419">
        <f t="shared" si="141"/>
      </c>
      <c r="L22" s="419">
        <f t="shared" si="160"/>
      </c>
      <c r="M22" s="420">
        <f t="shared" si="103"/>
      </c>
      <c r="N22" s="421">
        <f t="shared" si="122"/>
      </c>
      <c r="O22" s="422">
        <f t="shared" ref="O22:O24" si="101">(V22*1000)/D22</f>
      </c>
      <c r="P22" s="407" t="s">
        <v>248</v>
      </c>
      <c r="Q22" s="423" t="s">
        <v>234</v>
      </c>
      <c r="R22" s="424">
        <v>25030</v>
      </c>
      <c r="S22" s="425">
        <v>1614</v>
      </c>
      <c r="T22" s="426">
        <v>0</v>
      </c>
      <c r="U22" s="426">
        <v>0</v>
      </c>
      <c r="V22" s="426">
        <v>31</v>
      </c>
    </row>
    <row r="23">
      <c r="A23" s="397"/>
      <c r="B23" s="413" t="s">
        <v>251</v>
      </c>
      <c r="C23" s="414" t="s">
        <v>236</v>
      </c>
      <c r="D23" s="415">
        <f t="shared" si="3"/>
      </c>
      <c r="E23" s="416">
        <v>1474.59</v>
      </c>
      <c r="F23" s="417">
        <v>2337.82</v>
      </c>
      <c r="G23" s="401">
        <v>0</v>
      </c>
      <c r="H23" s="418">
        <v>7</v>
      </c>
      <c r="I23" s="417">
        <v>2599.679999999993</v>
      </c>
      <c r="J23" s="419">
        <f t="shared" si="80"/>
      </c>
      <c r="K23" s="419">
        <f t="shared" si="141"/>
      </c>
      <c r="L23" s="419">
        <f t="shared" si="160"/>
      </c>
      <c r="M23" s="420">
        <f t="shared" si="103"/>
      </c>
      <c r="N23" s="421">
        <f t="shared" si="122"/>
      </c>
      <c r="O23" s="422">
        <f t="shared" si="101"/>
      </c>
      <c r="P23" s="407" t="s">
        <v>248</v>
      </c>
      <c r="Q23" s="423" t="s">
        <v>234</v>
      </c>
      <c r="R23" s="424">
        <v>15188</v>
      </c>
      <c r="S23" s="425">
        <v>1067</v>
      </c>
      <c r="T23" s="426">
        <v>0</v>
      </c>
      <c r="U23" s="426">
        <v>0</v>
      </c>
      <c r="V23" s="426">
        <v>33</v>
      </c>
    </row>
    <row r="24">
      <c r="A24" s="397"/>
      <c r="B24" s="413" t="s">
        <v>251</v>
      </c>
      <c r="C24" s="414" t="s">
        <v>237</v>
      </c>
      <c r="D24" s="415">
        <f t="shared" si="3"/>
      </c>
      <c r="E24" s="416">
        <v>1314.25</v>
      </c>
      <c r="F24" s="417">
        <v>1758.4</v>
      </c>
      <c r="G24" s="417">
        <v>0</v>
      </c>
      <c r="H24" s="418">
        <v>5</v>
      </c>
      <c r="I24" s="417">
        <v>2971.560000000005</v>
      </c>
      <c r="J24" s="419">
        <f t="shared" si="80"/>
      </c>
      <c r="K24" s="419">
        <f t="shared" si="141"/>
      </c>
      <c r="L24" s="419">
        <f t="shared" si="160"/>
      </c>
      <c r="M24" s="420">
        <f t="shared" si="103"/>
      </c>
      <c r="N24" s="421">
        <f t="shared" si="122"/>
      </c>
      <c r="O24" s="422">
        <f t="shared" si="101"/>
      </c>
      <c r="P24" s="407" t="s">
        <v>248</v>
      </c>
      <c r="Q24" s="423" t="s">
        <v>234</v>
      </c>
      <c r="R24" s="424">
        <v>13900</v>
      </c>
      <c r="S24" s="425">
        <v>875</v>
      </c>
      <c r="T24" s="426">
        <v>0</v>
      </c>
      <c r="U24" s="426">
        <v>0</v>
      </c>
      <c r="V24" s="426">
        <v>19</v>
      </c>
    </row>
    <row r="25">
      <c r="A25" s="397"/>
      <c r="B25" s="427" t="s">
        <v>239</v>
      </c>
      <c r="C25" s="427"/>
      <c r="D25" s="428">
        <f>SUM(D22:D24)</f>
      </c>
      <c r="E25" s="428">
        <f>SUM(E22:E24)</f>
      </c>
      <c r="F25" s="428">
        <f>SUM(F22:F24)</f>
      </c>
      <c r="G25" s="428">
        <f>SUM(G22:G24)</f>
      </c>
      <c r="H25" s="429">
        <f>SUM(H22:H24)</f>
      </c>
      <c r="I25" s="428">
        <f>SUM(I22:I24)</f>
      </c>
      <c r="J25" s="430">
        <f t="shared" si="80"/>
      </c>
      <c r="K25" s="431">
        <f t="shared" si="141"/>
      </c>
      <c r="L25" s="432">
        <f t="shared" si="160"/>
      </c>
      <c r="M25" s="433">
        <f t="shared" si="103"/>
      </c>
      <c r="N25" s="433">
        <f t="shared" si="122"/>
      </c>
      <c r="O25" s="434">
        <f t="shared" ref="O25:O26" si="61">(U25*1000)/D25</f>
      </c>
      <c r="P25" s="434"/>
      <c r="Q25" s="434"/>
      <c r="R25" s="429">
        <f>SUM(R22:R24)</f>
      </c>
      <c r="S25" s="429">
        <f>SUM(S22:S24)</f>
      </c>
      <c r="T25" s="429">
        <f>SUM(T22:T24)</f>
      </c>
      <c r="U25" s="429">
        <f>SUM(U22:U24)</f>
      </c>
      <c r="V25" s="429">
        <f>SUM(V22:V24)</f>
      </c>
    </row>
    <row r="26">
      <c r="A26" s="397"/>
      <c r="B26" s="435" t="s">
        <v>240</v>
      </c>
      <c r="C26" s="435"/>
      <c r="D26" s="436">
        <f>D16+D21+D25</f>
      </c>
      <c r="E26" s="436">
        <f>E16+E21+E25</f>
      </c>
      <c r="F26" s="436">
        <f>F16+F21+F25</f>
      </c>
      <c r="G26" s="436">
        <f>G16+G21+G25</f>
      </c>
      <c r="H26" s="437">
        <f>H16+H21+H25</f>
      </c>
      <c r="I26" s="436">
        <f>I16+I21+I25</f>
      </c>
      <c r="J26" s="438">
        <f t="shared" si="80"/>
      </c>
      <c r="K26" s="438">
        <f t="shared" si="141"/>
      </c>
      <c r="L26" s="438">
        <f t="shared" si="160"/>
      </c>
      <c r="M26" s="439">
        <f t="shared" si="103"/>
      </c>
      <c r="N26" s="439">
        <f t="shared" si="122"/>
      </c>
      <c r="O26" s="438">
        <f t="shared" si="61"/>
      </c>
      <c r="P26" s="440"/>
      <c r="Q26" s="440"/>
      <c r="R26" s="437">
        <f>R16+R21+R25</f>
      </c>
      <c r="S26" s="437">
        <f>S16+S21+S25</f>
      </c>
      <c r="T26" s="437">
        <f>T16+T21+T25</f>
      </c>
      <c r="U26" s="437">
        <f>U16+U21+U25</f>
      </c>
      <c r="V26" s="437">
        <f>V16+V21+V25</f>
      </c>
    </row>
    <row customHeight="true" ht="18.452380952380953" r="27">
      <c r="A27" s="387" t="s">
        <v>205</v>
      </c>
      <c r="B27" s="387"/>
      <c r="C27" s="387"/>
      <c r="D27" s="388" t="s">
        <v>206</v>
      </c>
      <c r="E27" s="388"/>
      <c r="F27" s="388"/>
      <c r="G27" s="388"/>
      <c r="H27" s="388"/>
      <c r="I27" s="388"/>
      <c r="J27" s="388"/>
      <c r="K27" s="388"/>
      <c r="L27" s="388"/>
      <c r="M27" s="389" t="s">
        <v>207</v>
      </c>
      <c r="N27" s="389"/>
      <c r="O27" s="389"/>
      <c r="P27" s="389"/>
      <c r="Q27" s="389"/>
      <c r="R27" s="390" t="s">
        <v>208</v>
      </c>
      <c r="S27" s="390"/>
      <c r="T27" s="390"/>
      <c r="U27" s="390"/>
      <c r="V27" s="442"/>
    </row>
    <row customHeight="true" ht="18.452380952380953" r="28">
      <c r="A28" s="387" t="s">
        <v>209</v>
      </c>
      <c r="B28" s="387" t="s">
        <v>210</v>
      </c>
      <c r="C28" s="387" t="s">
        <v>211</v>
      </c>
      <c r="D28" s="388" t="s">
        <v>212</v>
      </c>
      <c r="E28" s="391" t="s">
        <v>213</v>
      </c>
      <c r="F28" s="388" t="s">
        <v>214</v>
      </c>
      <c r="G28" s="388" t="s">
        <v>215</v>
      </c>
      <c r="H28" s="392" t="s">
        <v>216</v>
      </c>
      <c r="I28" s="388" t="s">
        <v>217</v>
      </c>
      <c r="J28" s="393" t="s">
        <v>218</v>
      </c>
      <c r="K28" s="394" t="s">
        <v>219</v>
      </c>
      <c r="L28" s="388" t="s">
        <v>220</v>
      </c>
      <c r="M28" s="395" t="s">
        <v>221</v>
      </c>
      <c r="N28" s="395" t="s">
        <v>222</v>
      </c>
      <c r="O28" s="395" t="s">
        <v>223</v>
      </c>
      <c r="P28" s="389" t="s">
        <v>224</v>
      </c>
      <c r="Q28" s="389" t="s">
        <v>225</v>
      </c>
      <c r="R28" s="390" t="s">
        <v>226</v>
      </c>
      <c r="S28" s="390" t="s">
        <v>227</v>
      </c>
      <c r="T28" s="390" t="s">
        <v>228</v>
      </c>
      <c r="U28" s="390" t="s">
        <v>230</v>
      </c>
      <c r="V28" s="442"/>
    </row>
    <row r="29">
      <c r="A29" s="397">
        <v>46298</v>
      </c>
      <c r="B29" s="398" t="s">
        <v>241</v>
      </c>
      <c r="C29" s="441" t="s">
        <v>242</v>
      </c>
      <c r="D29" s="399">
        <f t="shared" ref="D29:D32" si="4">SUM(E29:G29)</f>
      </c>
      <c r="E29" s="400">
        <v>1130.06</v>
      </c>
      <c r="F29" s="401">
        <v>2193.33</v>
      </c>
      <c r="G29" s="401">
        <v>0</v>
      </c>
      <c r="H29" s="443">
        <v>5</v>
      </c>
      <c r="I29" s="401">
        <v>2989.2</v>
      </c>
      <c r="J29" s="403">
        <f t="shared" ref="J29:J44" si="81">I29/D29</f>
      </c>
      <c r="K29" s="403">
        <f t="shared" ref="K29:K44" si="142">D29/H29</f>
      </c>
      <c r="L29" s="403">
        <f t="shared" ref="L29:L44" si="161">I29/H29</f>
      </c>
      <c r="M29" s="404">
        <f t="shared" ref="M29:M44" si="104">S29/R29</f>
      </c>
      <c r="N29" s="405">
        <f t="shared" ref="N29:N44" si="123">H29/(T29+H29)</f>
      </c>
      <c r="O29" s="406">
        <f t="shared" ref="O29:O44" si="62">(U29*1000)/D29</f>
      </c>
      <c r="P29" s="407" t="s">
        <v>233</v>
      </c>
      <c r="Q29" s="423" t="s">
        <v>252</v>
      </c>
      <c r="R29" s="409">
        <v>15415</v>
      </c>
      <c r="S29" s="410">
        <v>875</v>
      </c>
      <c r="T29" s="411">
        <v>7</v>
      </c>
      <c r="U29" s="411">
        <v>33</v>
      </c>
    </row>
    <row r="30">
      <c r="A30" s="397"/>
      <c r="B30" s="398" t="s">
        <v>241</v>
      </c>
      <c r="C30" s="441" t="s">
        <v>243</v>
      </c>
      <c r="D30" s="399">
        <f t="shared" si="4"/>
      </c>
      <c r="E30" s="400">
        <v>619.69</v>
      </c>
      <c r="F30" s="401">
        <v>2346.02</v>
      </c>
      <c r="G30" s="401">
        <v>0</v>
      </c>
      <c r="H30" s="443">
        <v>9</v>
      </c>
      <c r="I30" s="401">
        <v>3960.92</v>
      </c>
      <c r="J30" s="403">
        <f t="shared" si="81"/>
      </c>
      <c r="K30" s="403">
        <f t="shared" si="142"/>
      </c>
      <c r="L30" s="403">
        <f t="shared" si="161"/>
      </c>
      <c r="M30" s="404">
        <f t="shared" si="104"/>
      </c>
      <c r="N30" s="405">
        <f t="shared" si="123"/>
      </c>
      <c r="O30" s="406">
        <f t="shared" si="62"/>
      </c>
      <c r="P30" s="407" t="s">
        <v>233</v>
      </c>
      <c r="Q30" s="423" t="s">
        <v>252</v>
      </c>
      <c r="R30" s="409">
        <v>15036</v>
      </c>
      <c r="S30" s="410">
        <v>1002</v>
      </c>
      <c r="T30" s="411">
        <v>9</v>
      </c>
      <c r="U30" s="411">
        <v>47</v>
      </c>
    </row>
    <row r="31">
      <c r="A31" s="397"/>
      <c r="B31" s="398" t="s">
        <v>241</v>
      </c>
      <c r="C31" s="441" t="s">
        <v>244</v>
      </c>
      <c r="D31" s="415">
        <f t="shared" si="4"/>
      </c>
      <c r="E31" s="416">
        <v>491.19</v>
      </c>
      <c r="F31" s="417">
        <v>3134.06</v>
      </c>
      <c r="G31" s="417">
        <v>0</v>
      </c>
      <c r="H31" s="418">
        <v>11</v>
      </c>
      <c r="I31" s="417">
        <v>7712.64</v>
      </c>
      <c r="J31" s="419">
        <f t="shared" si="81"/>
      </c>
      <c r="K31" s="419">
        <f t="shared" si="142"/>
      </c>
      <c r="L31" s="419">
        <f t="shared" si="161"/>
      </c>
      <c r="M31" s="420">
        <f t="shared" si="104"/>
      </c>
      <c r="N31" s="421">
        <f t="shared" si="123"/>
      </c>
      <c r="O31" s="422">
        <f t="shared" si="62"/>
      </c>
      <c r="P31" s="407" t="s">
        <v>233</v>
      </c>
      <c r="Q31" s="423" t="s">
        <v>252</v>
      </c>
      <c r="R31" s="424">
        <v>16403</v>
      </c>
      <c r="S31" s="425">
        <v>916</v>
      </c>
      <c r="T31" s="426">
        <v>11</v>
      </c>
      <c r="U31" s="426">
        <v>36</v>
      </c>
    </row>
    <row r="32">
      <c r="A32" s="397"/>
      <c r="B32" s="398" t="s">
        <v>241</v>
      </c>
      <c r="C32" s="441" t="s">
        <v>245</v>
      </c>
      <c r="D32" s="415">
        <f t="shared" si="4"/>
      </c>
      <c r="E32" s="416">
        <v>843.98</v>
      </c>
      <c r="F32" s="417">
        <v>3191.03</v>
      </c>
      <c r="G32" s="417">
        <v>0</v>
      </c>
      <c r="H32" s="418">
        <v>7</v>
      </c>
      <c r="I32" s="417">
        <v>5250.84</v>
      </c>
      <c r="J32" s="419">
        <f t="shared" si="81"/>
      </c>
      <c r="K32" s="419">
        <f t="shared" si="142"/>
      </c>
      <c r="L32" s="419">
        <f t="shared" si="161"/>
      </c>
      <c r="M32" s="420">
        <f t="shared" si="104"/>
      </c>
      <c r="N32" s="421">
        <f t="shared" si="123"/>
      </c>
      <c r="O32" s="422">
        <f t="shared" si="62"/>
      </c>
      <c r="P32" s="407" t="s">
        <v>233</v>
      </c>
      <c r="Q32" s="423" t="s">
        <v>252</v>
      </c>
      <c r="R32" s="424">
        <v>19738</v>
      </c>
      <c r="S32" s="425">
        <v>1059</v>
      </c>
      <c r="T32" s="426">
        <v>4</v>
      </c>
      <c r="U32" s="426">
        <v>51</v>
      </c>
    </row>
    <row r="33">
      <c r="A33" s="397"/>
      <c r="B33" s="427" t="s">
        <v>239</v>
      </c>
      <c r="C33" s="427"/>
      <c r="D33" s="428">
        <f>SUM(D29:D32)</f>
      </c>
      <c r="E33" s="428">
        <f>SUM(E29:E32)</f>
      </c>
      <c r="F33" s="428">
        <f>SUM(F29:F32)</f>
      </c>
      <c r="G33" s="428">
        <f>SUM(G29:G32)</f>
      </c>
      <c r="H33" s="429">
        <f>SUM(H29:H32)</f>
      </c>
      <c r="I33" s="428">
        <f>SUM(I29:I32)</f>
      </c>
      <c r="J33" s="430">
        <f t="shared" si="81"/>
      </c>
      <c r="K33" s="431">
        <f t="shared" si="142"/>
      </c>
      <c r="L33" s="432">
        <f t="shared" si="161"/>
      </c>
      <c r="M33" s="433">
        <f t="shared" si="104"/>
      </c>
      <c r="N33" s="433">
        <f t="shared" si="123"/>
      </c>
      <c r="O33" s="434">
        <f t="shared" si="62"/>
      </c>
      <c r="P33" s="434"/>
      <c r="Q33" s="434"/>
      <c r="R33" s="429">
        <f>SUM(R29:R32)</f>
      </c>
      <c r="S33" s="429">
        <f>SUM(S29:S32)</f>
      </c>
      <c r="T33" s="429">
        <f>SUM(T29:T32)</f>
      </c>
      <c r="U33" s="429">
        <f>SUM(U29:U32)</f>
      </c>
    </row>
    <row r="34">
      <c r="A34" s="397"/>
      <c r="B34" s="413" t="s">
        <v>246</v>
      </c>
      <c r="C34" s="441" t="s">
        <v>247</v>
      </c>
      <c r="D34" s="415">
        <f t="shared" ref="D34:D37" si="5">SUM(E34:G34)</f>
      </c>
      <c r="E34" s="416">
        <v>1247.72</v>
      </c>
      <c r="F34" s="417">
        <v>2253.37</v>
      </c>
      <c r="G34" s="401">
        <v>0</v>
      </c>
      <c r="H34" s="418">
        <v>11</v>
      </c>
      <c r="I34" s="417">
        <v>6215.04</v>
      </c>
      <c r="J34" s="419">
        <f t="shared" si="81"/>
      </c>
      <c r="K34" s="419">
        <f t="shared" si="142"/>
      </c>
      <c r="L34" s="419">
        <f t="shared" si="161"/>
      </c>
      <c r="M34" s="420">
        <f t="shared" si="104"/>
      </c>
      <c r="N34" s="421">
        <f t="shared" si="123"/>
      </c>
      <c r="O34" s="422">
        <f t="shared" si="62"/>
      </c>
      <c r="P34" s="407" t="s">
        <v>248</v>
      </c>
      <c r="Q34" s="423" t="s">
        <v>252</v>
      </c>
      <c r="R34" s="424">
        <v>18039</v>
      </c>
      <c r="S34" s="425">
        <v>1112</v>
      </c>
      <c r="T34" s="426">
        <v>10</v>
      </c>
      <c r="U34" s="426">
        <v>47</v>
      </c>
    </row>
    <row r="35">
      <c r="A35" s="397"/>
      <c r="B35" s="413" t="s">
        <v>246</v>
      </c>
      <c r="C35" s="417" t="s">
        <v>249</v>
      </c>
      <c r="D35" s="415">
        <f t="shared" si="5"/>
      </c>
      <c r="E35" s="416">
        <v>2172.78</v>
      </c>
      <c r="F35" s="417">
        <v>2434.83</v>
      </c>
      <c r="G35" s="401">
        <v>0</v>
      </c>
      <c r="H35" s="418">
        <v>12</v>
      </c>
      <c r="I35" s="417">
        <v>7851.24</v>
      </c>
      <c r="J35" s="419">
        <f t="shared" si="81"/>
      </c>
      <c r="K35" s="419">
        <f t="shared" si="142"/>
      </c>
      <c r="L35" s="419">
        <f t="shared" si="161"/>
      </c>
      <c r="M35" s="420">
        <f t="shared" si="104"/>
      </c>
      <c r="N35" s="421">
        <f t="shared" si="123"/>
      </c>
      <c r="O35" s="422">
        <f t="shared" si="62"/>
      </c>
      <c r="P35" s="407" t="s">
        <v>248</v>
      </c>
      <c r="Q35" s="423" t="s">
        <v>252</v>
      </c>
      <c r="R35" s="424">
        <v>27999</v>
      </c>
      <c r="S35" s="425">
        <v>1558</v>
      </c>
      <c r="T35" s="426">
        <v>8</v>
      </c>
      <c r="U35" s="426">
        <v>77</v>
      </c>
    </row>
    <row r="36">
      <c r="A36" s="397"/>
      <c r="B36" s="413" t="s">
        <v>246</v>
      </c>
      <c r="C36" s="414" t="s">
        <v>250</v>
      </c>
      <c r="D36" s="415">
        <f t="shared" si="5"/>
      </c>
      <c r="E36" s="416">
        <v>2761.97</v>
      </c>
      <c r="F36" s="417">
        <v>2800.92</v>
      </c>
      <c r="G36" s="417">
        <v>0</v>
      </c>
      <c r="H36" s="418">
        <v>13</v>
      </c>
      <c r="I36" s="417">
        <v>6286.68</v>
      </c>
      <c r="J36" s="419">
        <f t="shared" si="81"/>
      </c>
      <c r="K36" s="419">
        <f t="shared" si="142"/>
      </c>
      <c r="L36" s="419">
        <f t="shared" si="161"/>
      </c>
      <c r="M36" s="420">
        <f t="shared" si="104"/>
      </c>
      <c r="N36" s="421">
        <f t="shared" si="123"/>
      </c>
      <c r="O36" s="422">
        <f t="shared" si="62"/>
      </c>
      <c r="P36" s="407" t="s">
        <v>248</v>
      </c>
      <c r="Q36" s="423" t="s">
        <v>252</v>
      </c>
      <c r="R36" s="424">
        <v>37610</v>
      </c>
      <c r="S36" s="425">
        <v>2073</v>
      </c>
      <c r="T36" s="426">
        <v>12</v>
      </c>
      <c r="U36" s="426">
        <v>79</v>
      </c>
    </row>
    <row r="37">
      <c r="A37" s="397"/>
      <c r="B37" s="413" t="s">
        <v>246</v>
      </c>
      <c r="C37" s="399" t="s">
        <v>232</v>
      </c>
      <c r="D37" s="415">
        <f t="shared" si="5"/>
      </c>
      <c r="E37" s="416">
        <v>1554.49</v>
      </c>
      <c r="F37" s="417">
        <v>1487.62</v>
      </c>
      <c r="G37" s="417">
        <v>0</v>
      </c>
      <c r="H37" s="418">
        <v>9</v>
      </c>
      <c r="I37" s="417">
        <v>5168.3</v>
      </c>
      <c r="J37" s="419">
        <f t="shared" si="81"/>
      </c>
      <c r="K37" s="419">
        <f t="shared" si="142"/>
      </c>
      <c r="L37" s="419">
        <f t="shared" si="161"/>
      </c>
      <c r="M37" s="420">
        <f t="shared" si="104"/>
      </c>
      <c r="N37" s="421">
        <f t="shared" si="123"/>
      </c>
      <c r="O37" s="422">
        <f t="shared" si="62"/>
      </c>
      <c r="P37" s="407" t="s">
        <v>248</v>
      </c>
      <c r="Q37" s="423" t="s">
        <v>252</v>
      </c>
      <c r="R37" s="424">
        <v>25280</v>
      </c>
      <c r="S37" s="425">
        <v>1378</v>
      </c>
      <c r="T37" s="426">
        <v>20</v>
      </c>
      <c r="U37" s="426">
        <v>46</v>
      </c>
    </row>
    <row r="38">
      <c r="A38" s="397"/>
      <c r="B38" s="427" t="s">
        <v>239</v>
      </c>
      <c r="C38" s="427"/>
      <c r="D38" s="428">
        <f>SUM(D34:D37)</f>
      </c>
      <c r="E38" s="428">
        <f>SUM(E34:E37)</f>
      </c>
      <c r="F38" s="428">
        <f>SUM(F34:F37)</f>
      </c>
      <c r="G38" s="428">
        <f>SUM(G34:G37)</f>
      </c>
      <c r="H38" s="429">
        <f>SUM(H34:H37)</f>
      </c>
      <c r="I38" s="428">
        <f>SUM(I34:I37)</f>
      </c>
      <c r="J38" s="430">
        <f t="shared" si="81"/>
      </c>
      <c r="K38" s="431">
        <f t="shared" si="142"/>
      </c>
      <c r="L38" s="432">
        <f t="shared" si="161"/>
      </c>
      <c r="M38" s="433">
        <f t="shared" si="104"/>
      </c>
      <c r="N38" s="433">
        <f t="shared" si="123"/>
      </c>
      <c r="O38" s="434">
        <f t="shared" si="62"/>
      </c>
      <c r="P38" s="434"/>
      <c r="Q38" s="434"/>
      <c r="R38" s="429">
        <f>SUM(R34:R37)</f>
      </c>
      <c r="S38" s="429">
        <f>SUM(S34:S37)</f>
      </c>
      <c r="T38" s="429">
        <f>SUM(T34:T37)</f>
      </c>
      <c r="U38" s="429">
        <f>SUM(U34:U37)</f>
      </c>
    </row>
    <row r="39">
      <c r="A39" s="397"/>
      <c r="B39" s="413" t="s">
        <v>251</v>
      </c>
      <c r="C39" s="412" t="s">
        <v>235</v>
      </c>
      <c r="D39" s="415">
        <f t="shared" ref="D39:D42" si="6">SUM(E39:G39)</f>
      </c>
      <c r="E39" s="416">
        <v>1913.69</v>
      </c>
      <c r="F39" s="417">
        <v>1305.15</v>
      </c>
      <c r="G39" s="401">
        <v>0</v>
      </c>
      <c r="H39" s="418">
        <v>5</v>
      </c>
      <c r="I39" s="417">
        <v>2089.76</v>
      </c>
      <c r="J39" s="419">
        <f t="shared" si="81"/>
      </c>
      <c r="K39" s="419">
        <f t="shared" si="142"/>
      </c>
      <c r="L39" s="419">
        <f t="shared" si="161"/>
      </c>
      <c r="M39" s="420">
        <f t="shared" si="104"/>
      </c>
      <c r="N39" s="421">
        <f t="shared" si="123"/>
      </c>
      <c r="O39" s="422">
        <f t="shared" si="62"/>
      </c>
      <c r="P39" s="407" t="s">
        <v>248</v>
      </c>
      <c r="Q39" s="423" t="s">
        <v>252</v>
      </c>
      <c r="R39" s="424">
        <v>23191</v>
      </c>
      <c r="S39" s="425">
        <v>1317</v>
      </c>
      <c r="T39" s="426">
        <v>7</v>
      </c>
      <c r="U39" s="426">
        <v>24</v>
      </c>
    </row>
    <row customHeight="true" ht="16.666666666666668" r="40">
      <c r="A40" s="397"/>
      <c r="B40" s="413" t="s">
        <v>251</v>
      </c>
      <c r="C40" s="414" t="s">
        <v>236</v>
      </c>
      <c r="D40" s="415">
        <f t="shared" si="6"/>
      </c>
      <c r="E40" s="416">
        <v>1948.21</v>
      </c>
      <c r="F40" s="417">
        <v>1350.69</v>
      </c>
      <c r="G40" s="401">
        <v>0</v>
      </c>
      <c r="H40" s="418">
        <v>15</v>
      </c>
      <c r="I40" s="417">
        <v>10213.82</v>
      </c>
      <c r="J40" s="419">
        <f t="shared" si="81"/>
      </c>
      <c r="K40" s="419">
        <f t="shared" si="142"/>
      </c>
      <c r="L40" s="419">
        <f t="shared" si="161"/>
      </c>
      <c r="M40" s="420">
        <f t="shared" si="104"/>
      </c>
      <c r="N40" s="421">
        <f t="shared" si="123"/>
      </c>
      <c r="O40" s="422">
        <f t="shared" si="62"/>
      </c>
      <c r="P40" s="407" t="s">
        <v>248</v>
      </c>
      <c r="Q40" s="423" t="s">
        <v>252</v>
      </c>
      <c r="R40" s="424">
        <v>20891</v>
      </c>
      <c r="S40" s="425">
        <v>1323</v>
      </c>
      <c r="T40" s="426">
        <v>21</v>
      </c>
      <c r="U40" s="426">
        <v>44</v>
      </c>
    </row>
    <row r="41">
      <c r="A41" s="397"/>
      <c r="B41" s="413" t="s">
        <v>251</v>
      </c>
      <c r="C41" s="414" t="s">
        <v>237</v>
      </c>
      <c r="D41" s="415">
        <f t="shared" si="6"/>
      </c>
      <c r="E41" s="416">
        <v>2301.2</v>
      </c>
      <c r="F41" s="417">
        <v>1171.2</v>
      </c>
      <c r="G41" s="401">
        <v>0</v>
      </c>
      <c r="H41" s="418">
        <v>13</v>
      </c>
      <c r="I41" s="417">
        <v>7490.1</v>
      </c>
      <c r="J41" s="419">
        <f t="shared" si="81"/>
      </c>
      <c r="K41" s="419">
        <f t="shared" si="142"/>
      </c>
      <c r="L41" s="419">
        <f t="shared" si="161"/>
      </c>
      <c r="M41" s="420">
        <f t="shared" si="104"/>
      </c>
      <c r="N41" s="421">
        <f t="shared" si="123"/>
      </c>
      <c r="O41" s="422">
        <f t="shared" si="62"/>
      </c>
      <c r="P41" s="407" t="s">
        <v>248</v>
      </c>
      <c r="Q41" s="423" t="s">
        <v>252</v>
      </c>
      <c r="R41" s="424">
        <v>29063</v>
      </c>
      <c r="S41" s="425">
        <v>1728</v>
      </c>
      <c r="T41" s="426">
        <v>4</v>
      </c>
      <c r="U41" s="426">
        <v>46</v>
      </c>
    </row>
    <row r="42">
      <c r="A42" s="397"/>
      <c r="B42" s="413" t="s">
        <v>251</v>
      </c>
      <c r="C42" s="414" t="s">
        <v>238</v>
      </c>
      <c r="D42" s="415">
        <f t="shared" si="6"/>
      </c>
      <c r="E42" s="416">
        <f>3040.78+14.23</f>
      </c>
      <c r="F42" s="417">
        <f>2124.47+33.28</f>
      </c>
      <c r="G42" s="417">
        <v>0</v>
      </c>
      <c r="H42" s="418">
        <v>6</v>
      </c>
      <c r="I42" s="417">
        <v>3311.04</v>
      </c>
      <c r="J42" s="419">
        <f t="shared" si="81"/>
      </c>
      <c r="K42" s="419">
        <f t="shared" si="142"/>
      </c>
      <c r="L42" s="419">
        <f t="shared" si="161"/>
      </c>
      <c r="M42" s="420">
        <f t="shared" si="104"/>
      </c>
      <c r="N42" s="421">
        <f t="shared" si="123"/>
      </c>
      <c r="O42" s="422">
        <f t="shared" si="62"/>
      </c>
      <c r="P42" s="407" t="s">
        <v>248</v>
      </c>
      <c r="Q42" s="423" t="s">
        <v>252</v>
      </c>
      <c r="R42" s="424">
        <v>33970</v>
      </c>
      <c r="S42" s="425">
        <v>1877</v>
      </c>
      <c r="T42" s="426">
        <v>16</v>
      </c>
      <c r="U42" s="426">
        <v>50</v>
      </c>
    </row>
    <row r="43">
      <c r="A43" s="397"/>
      <c r="B43" s="427" t="s">
        <v>239</v>
      </c>
      <c r="C43" s="427"/>
      <c r="D43" s="428">
        <f>SUM(D39:D42)</f>
      </c>
      <c r="E43" s="428">
        <f>SUM(E39:E42)</f>
      </c>
      <c r="F43" s="428">
        <f>SUM(F39:F42)</f>
      </c>
      <c r="G43" s="428">
        <f>SUM(G39:G42)</f>
      </c>
      <c r="H43" s="429">
        <f>SUM(H39:H42)</f>
      </c>
      <c r="I43" s="428">
        <f>SUM(I39:I42)</f>
      </c>
      <c r="J43" s="430">
        <f t="shared" si="81"/>
      </c>
      <c r="K43" s="431">
        <f t="shared" si="142"/>
      </c>
      <c r="L43" s="432">
        <f t="shared" si="161"/>
      </c>
      <c r="M43" s="433">
        <f t="shared" si="104"/>
      </c>
      <c r="N43" s="433">
        <f t="shared" si="123"/>
      </c>
      <c r="O43" s="434">
        <f t="shared" si="62"/>
      </c>
      <c r="P43" s="434"/>
      <c r="Q43" s="434"/>
      <c r="R43" s="429">
        <f>SUM(R39:R42)</f>
      </c>
      <c r="S43" s="429">
        <f>SUM(S39:S42)</f>
      </c>
      <c r="T43" s="429">
        <f>SUM(T39:T42)</f>
      </c>
      <c r="U43" s="429">
        <f>SUM(U39:U42)</f>
      </c>
    </row>
    <row r="44">
      <c r="A44" s="397"/>
      <c r="B44" s="435" t="s">
        <v>240</v>
      </c>
      <c r="C44" s="435"/>
      <c r="D44" s="436">
        <f>D33+D38+D43</f>
      </c>
      <c r="E44" s="436">
        <f>E33+E38+E43</f>
      </c>
      <c r="F44" s="436">
        <f>F33+F38+F43</f>
      </c>
      <c r="G44" s="436">
        <f>G33+G38+G43</f>
      </c>
      <c r="H44" s="437">
        <f>H33+H38+H43</f>
      </c>
      <c r="I44" s="436">
        <f>I33+I38+I43</f>
      </c>
      <c r="J44" s="438">
        <f t="shared" si="81"/>
      </c>
      <c r="K44" s="438">
        <f t="shared" si="142"/>
      </c>
      <c r="L44" s="438">
        <f t="shared" si="161"/>
      </c>
      <c r="M44" s="439">
        <f t="shared" si="104"/>
      </c>
      <c r="N44" s="439">
        <f t="shared" si="123"/>
      </c>
      <c r="O44" s="438">
        <f t="shared" si="62"/>
      </c>
      <c r="P44" s="440"/>
      <c r="Q44" s="440"/>
      <c r="R44" s="437">
        <f>R33+R38+R43</f>
      </c>
      <c r="S44" s="437">
        <f>S33+S38+S43</f>
      </c>
      <c r="T44" s="437">
        <f>T33+T38+T43</f>
      </c>
      <c r="U44" s="437">
        <f>U33+U38+U43</f>
      </c>
    </row>
    <row customHeight="true" ht="16.666666666666668" r="45">
      <c r="A45" s="444" t="s">
        <v>205</v>
      </c>
      <c r="B45" s="444"/>
      <c r="C45" s="444"/>
      <c r="D45" s="445" t="s">
        <v>206</v>
      </c>
      <c r="E45" s="445"/>
      <c r="F45" s="445"/>
      <c r="G45" s="445"/>
      <c r="H45" s="445"/>
      <c r="I45" s="445"/>
      <c r="J45" s="445"/>
      <c r="K45" s="445"/>
      <c r="L45" s="445"/>
      <c r="M45" s="446" t="s">
        <v>207</v>
      </c>
      <c r="N45" s="446"/>
      <c r="O45" s="446"/>
      <c r="P45" s="446"/>
      <c r="Q45" s="446"/>
      <c r="R45" s="447" t="s">
        <v>208</v>
      </c>
      <c r="S45" s="447"/>
      <c r="T45" s="447"/>
      <c r="U45" s="447"/>
      <c r="V45" s="448"/>
    </row>
    <row customHeight="true" ht="16.666666666666668" r="46">
      <c r="A46" s="444" t="s">
        <v>209</v>
      </c>
      <c r="B46" s="444" t="s">
        <v>210</v>
      </c>
      <c r="C46" s="444" t="s">
        <v>211</v>
      </c>
      <c r="D46" s="445" t="s">
        <v>212</v>
      </c>
      <c r="E46" s="445" t="s">
        <v>213</v>
      </c>
      <c r="F46" s="445" t="s">
        <v>214</v>
      </c>
      <c r="G46" s="445" t="s">
        <v>215</v>
      </c>
      <c r="H46" s="449" t="s">
        <v>216</v>
      </c>
      <c r="I46" s="445" t="s">
        <v>217</v>
      </c>
      <c r="J46" s="450" t="s">
        <v>218</v>
      </c>
      <c r="K46" s="451" t="s">
        <v>219</v>
      </c>
      <c r="L46" s="445" t="s">
        <v>220</v>
      </c>
      <c r="M46" s="446" t="s">
        <v>221</v>
      </c>
      <c r="N46" s="446" t="s">
        <v>222</v>
      </c>
      <c r="O46" s="446" t="s">
        <v>223</v>
      </c>
      <c r="P46" s="452" t="s">
        <v>224</v>
      </c>
      <c r="Q46" s="452" t="s">
        <v>225</v>
      </c>
      <c r="R46" s="447" t="s">
        <v>226</v>
      </c>
      <c r="S46" s="447" t="s">
        <v>227</v>
      </c>
      <c r="T46" s="447" t="s">
        <v>228</v>
      </c>
      <c r="U46" s="447" t="s">
        <v>230</v>
      </c>
      <c r="V46" s="448"/>
    </row>
    <row r="47">
      <c r="A47" s="397">
        <v>46299</v>
      </c>
      <c r="B47" s="398" t="s">
        <v>253</v>
      </c>
      <c r="C47" s="441" t="s">
        <v>242</v>
      </c>
      <c r="D47" s="399">
        <f t="shared" ref="D47:D50" si="7">SUM(E47:G47)</f>
      </c>
      <c r="E47" s="400">
        <v>1057.82</v>
      </c>
      <c r="F47" s="401">
        <v>2022.81</v>
      </c>
      <c r="G47" s="401">
        <v>0</v>
      </c>
      <c r="H47" s="443">
        <v>6</v>
      </c>
      <c r="I47" s="401">
        <v>6072.78</v>
      </c>
      <c r="J47" s="403">
        <f t="shared" ref="J47:J62" si="82">I47/D47</f>
      </c>
      <c r="K47" s="403">
        <f t="shared" ref="K47:K62" si="143">D47/H47</f>
      </c>
      <c r="L47" s="403">
        <f t="shared" ref="L47:L62" si="162">I47/H47</f>
      </c>
      <c r="M47" s="404">
        <f t="shared" ref="M47:M62" si="105">S47/R47</f>
      </c>
      <c r="N47" s="405">
        <f t="shared" ref="N47:N62" si="124">H47/(T47+H47)</f>
      </c>
      <c r="O47" s="406">
        <f t="shared" ref="O47:O62" si="63">(U47*1000)/D47</f>
      </c>
      <c r="P47" s="407" t="s">
        <v>233</v>
      </c>
      <c r="Q47" s="423" t="s">
        <v>252</v>
      </c>
      <c r="R47" s="409">
        <v>14898</v>
      </c>
      <c r="S47" s="410">
        <v>1072</v>
      </c>
      <c r="T47" s="411">
        <v>7</v>
      </c>
      <c r="U47" s="411">
        <v>37</v>
      </c>
      <c r="V47" s="448"/>
    </row>
    <row r="48">
      <c r="A48" s="397"/>
      <c r="B48" s="398" t="s">
        <v>253</v>
      </c>
      <c r="C48" s="441" t="s">
        <v>243</v>
      </c>
      <c r="D48" s="399">
        <f t="shared" si="7"/>
      </c>
      <c r="E48" s="400">
        <v>914.65</v>
      </c>
      <c r="F48" s="401">
        <v>1607.07</v>
      </c>
      <c r="G48" s="401">
        <v>0</v>
      </c>
      <c r="H48" s="443">
        <v>10</v>
      </c>
      <c r="I48" s="401">
        <v>7533.92</v>
      </c>
      <c r="J48" s="403">
        <f t="shared" si="82"/>
      </c>
      <c r="K48" s="403">
        <f t="shared" si="143"/>
      </c>
      <c r="L48" s="403">
        <f t="shared" si="162"/>
      </c>
      <c r="M48" s="404">
        <f t="shared" si="105"/>
      </c>
      <c r="N48" s="405">
        <f t="shared" si="124"/>
      </c>
      <c r="O48" s="406">
        <f t="shared" si="63"/>
      </c>
      <c r="P48" s="407" t="s">
        <v>233</v>
      </c>
      <c r="Q48" s="423" t="s">
        <v>252</v>
      </c>
      <c r="R48" s="409">
        <v>13153</v>
      </c>
      <c r="S48" s="410">
        <v>1071</v>
      </c>
      <c r="T48" s="411">
        <v>12</v>
      </c>
      <c r="U48" s="411">
        <v>32</v>
      </c>
      <c r="V48" s="448"/>
    </row>
    <row r="49">
      <c r="A49" s="397"/>
      <c r="B49" s="398" t="s">
        <v>253</v>
      </c>
      <c r="C49" s="441" t="s">
        <v>244</v>
      </c>
      <c r="D49" s="415">
        <f t="shared" si="7"/>
      </c>
      <c r="E49" s="416">
        <v>667.21</v>
      </c>
      <c r="F49" s="417">
        <v>1101.44</v>
      </c>
      <c r="G49" s="417">
        <v>0</v>
      </c>
      <c r="H49" s="418">
        <v>8</v>
      </c>
      <c r="I49" s="417">
        <v>5956.68</v>
      </c>
      <c r="J49" s="419">
        <f t="shared" si="82"/>
      </c>
      <c r="K49" s="419">
        <f t="shared" si="143"/>
      </c>
      <c r="L49" s="419">
        <f t="shared" si="162"/>
      </c>
      <c r="M49" s="420">
        <f t="shared" si="105"/>
      </c>
      <c r="N49" s="421">
        <f t="shared" si="124"/>
      </c>
      <c r="O49" s="422">
        <f t="shared" si="63"/>
      </c>
      <c r="P49" s="407" t="s">
        <v>233</v>
      </c>
      <c r="Q49" s="423" t="s">
        <v>252</v>
      </c>
      <c r="R49" s="424">
        <v>9220</v>
      </c>
      <c r="S49" s="425">
        <v>746</v>
      </c>
      <c r="T49" s="426">
        <v>8</v>
      </c>
      <c r="U49" s="426">
        <v>20</v>
      </c>
    </row>
    <row r="50">
      <c r="A50" s="397"/>
      <c r="B50" s="398" t="s">
        <v>253</v>
      </c>
      <c r="C50" s="441" t="s">
        <v>245</v>
      </c>
      <c r="D50" s="415">
        <f t="shared" si="7"/>
      </c>
      <c r="E50" s="416">
        <v>823.03</v>
      </c>
      <c r="F50" s="417">
        <v>2114.4</v>
      </c>
      <c r="G50" s="417">
        <v>0</v>
      </c>
      <c r="H50" s="418">
        <v>4</v>
      </c>
      <c r="I50" s="417">
        <v>925.62</v>
      </c>
      <c r="J50" s="419">
        <f t="shared" si="82"/>
      </c>
      <c r="K50" s="419">
        <f t="shared" si="143"/>
      </c>
      <c r="L50" s="419">
        <f t="shared" si="162"/>
      </c>
      <c r="M50" s="420">
        <f t="shared" si="105"/>
      </c>
      <c r="N50" s="421">
        <f t="shared" si="124"/>
      </c>
      <c r="O50" s="422">
        <f t="shared" si="63"/>
      </c>
      <c r="P50" s="407" t="s">
        <v>233</v>
      </c>
      <c r="Q50" s="423" t="s">
        <v>252</v>
      </c>
      <c r="R50" s="424">
        <v>12457</v>
      </c>
      <c r="S50" s="425">
        <v>991</v>
      </c>
      <c r="T50" s="426">
        <v>6</v>
      </c>
      <c r="U50" s="426">
        <v>36</v>
      </c>
    </row>
    <row r="51">
      <c r="A51" s="397"/>
      <c r="B51" s="427" t="s">
        <v>239</v>
      </c>
      <c r="C51" s="427"/>
      <c r="D51" s="428">
        <f>SUM(D47:D50)</f>
      </c>
      <c r="E51" s="428">
        <f>SUM(E47:E50)</f>
      </c>
      <c r="F51" s="428">
        <f>SUM(F47:F50)</f>
      </c>
      <c r="G51" s="428">
        <f>SUM(G47:G50)</f>
      </c>
      <c r="H51" s="429">
        <f>SUM(H47:H50)</f>
      </c>
      <c r="I51" s="428">
        <f>SUM(I47:I50)</f>
      </c>
      <c r="J51" s="430">
        <f t="shared" si="82"/>
      </c>
      <c r="K51" s="431">
        <f t="shared" si="143"/>
      </c>
      <c r="L51" s="432">
        <f t="shared" si="162"/>
      </c>
      <c r="M51" s="433">
        <f t="shared" si="105"/>
      </c>
      <c r="N51" s="433">
        <f t="shared" si="124"/>
      </c>
      <c r="O51" s="434">
        <f t="shared" si="63"/>
      </c>
      <c r="P51" s="434"/>
      <c r="Q51" s="434"/>
      <c r="R51" s="429">
        <f>SUM(R47:R50)</f>
      </c>
      <c r="S51" s="429">
        <f>SUM(S47:S50)</f>
      </c>
      <c r="T51" s="429">
        <f>SUM(T47:T50)</f>
      </c>
      <c r="U51" s="429">
        <f>SUM(U47:U50)</f>
      </c>
    </row>
    <row r="52">
      <c r="A52" s="397"/>
      <c r="B52" s="413" t="s">
        <v>231</v>
      </c>
      <c r="C52" s="441" t="s">
        <v>247</v>
      </c>
      <c r="D52" s="415">
        <f t="shared" ref="D52:D55" si="8">SUM(E52:G52)</f>
      </c>
      <c r="E52" s="416">
        <v>1192.87</v>
      </c>
      <c r="F52" s="417">
        <v>2313.49</v>
      </c>
      <c r="G52" s="401">
        <v>0</v>
      </c>
      <c r="H52" s="418">
        <v>11</v>
      </c>
      <c r="I52" s="417">
        <v>9049.44</v>
      </c>
      <c r="J52" s="419">
        <f t="shared" si="82"/>
      </c>
      <c r="K52" s="419">
        <f t="shared" si="143"/>
      </c>
      <c r="L52" s="419">
        <f t="shared" si="162"/>
      </c>
      <c r="M52" s="420">
        <f t="shared" si="105"/>
      </c>
      <c r="N52" s="421">
        <f t="shared" si="124"/>
      </c>
      <c r="O52" s="422">
        <f t="shared" si="63"/>
      </c>
      <c r="P52" s="407" t="s">
        <v>248</v>
      </c>
      <c r="Q52" s="423" t="s">
        <v>252</v>
      </c>
      <c r="R52" s="424">
        <v>15248</v>
      </c>
      <c r="S52" s="425">
        <v>1293</v>
      </c>
      <c r="T52" s="426">
        <v>13</v>
      </c>
      <c r="U52" s="426">
        <v>31</v>
      </c>
    </row>
    <row r="53">
      <c r="A53" s="397"/>
      <c r="B53" s="413" t="s">
        <v>231</v>
      </c>
      <c r="C53" s="417" t="s">
        <v>249</v>
      </c>
      <c r="D53" s="415">
        <f t="shared" si="8"/>
      </c>
      <c r="E53" s="416">
        <v>3197.97</v>
      </c>
      <c r="F53" s="417">
        <v>1825.51</v>
      </c>
      <c r="G53" s="401">
        <v>0</v>
      </c>
      <c r="H53" s="418">
        <v>22</v>
      </c>
      <c r="I53" s="417">
        <v>13691.52</v>
      </c>
      <c r="J53" s="419">
        <f t="shared" si="82"/>
      </c>
      <c r="K53" s="419">
        <f t="shared" si="143"/>
      </c>
      <c r="L53" s="419">
        <f t="shared" si="162"/>
      </c>
      <c r="M53" s="420">
        <f t="shared" si="105"/>
      </c>
      <c r="N53" s="421">
        <f t="shared" si="124"/>
      </c>
      <c r="O53" s="422">
        <f t="shared" si="63"/>
      </c>
      <c r="P53" s="407" t="s">
        <v>248</v>
      </c>
      <c r="Q53" s="423" t="s">
        <v>252</v>
      </c>
      <c r="R53" s="424">
        <v>31078</v>
      </c>
      <c r="S53" s="425">
        <v>2197</v>
      </c>
      <c r="T53" s="426">
        <v>19</v>
      </c>
      <c r="U53" s="426">
        <v>69</v>
      </c>
    </row>
    <row r="54">
      <c r="A54" s="397"/>
      <c r="B54" s="413" t="s">
        <v>231</v>
      </c>
      <c r="C54" s="414" t="s">
        <v>250</v>
      </c>
      <c r="D54" s="415">
        <f t="shared" si="8"/>
      </c>
      <c r="E54" s="416">
        <v>2146.09</v>
      </c>
      <c r="F54" s="417">
        <v>1683.4</v>
      </c>
      <c r="G54" s="417">
        <v>0</v>
      </c>
      <c r="H54" s="418">
        <v>20</v>
      </c>
      <c r="I54" s="417">
        <v>13705.42</v>
      </c>
      <c r="J54" s="419">
        <f t="shared" si="82"/>
      </c>
      <c r="K54" s="419">
        <f t="shared" si="143"/>
      </c>
      <c r="L54" s="419">
        <f t="shared" si="162"/>
      </c>
      <c r="M54" s="420">
        <f t="shared" si="105"/>
      </c>
      <c r="N54" s="421">
        <f t="shared" si="124"/>
      </c>
      <c r="O54" s="422">
        <f t="shared" si="63"/>
      </c>
      <c r="P54" s="407" t="s">
        <v>248</v>
      </c>
      <c r="Q54" s="423" t="s">
        <v>252</v>
      </c>
      <c r="R54" s="424">
        <v>26434</v>
      </c>
      <c r="S54" s="425">
        <v>2204</v>
      </c>
      <c r="T54" s="426">
        <v>20</v>
      </c>
      <c r="U54" s="426">
        <v>67</v>
      </c>
    </row>
    <row r="55">
      <c r="A55" s="397"/>
      <c r="B55" s="413" t="s">
        <v>231</v>
      </c>
      <c r="C55" s="399" t="s">
        <v>232</v>
      </c>
      <c r="D55" s="415">
        <f t="shared" si="8"/>
      </c>
      <c r="E55" s="416">
        <v>3132.76</v>
      </c>
      <c r="F55" s="417">
        <v>1644.74</v>
      </c>
      <c r="G55" s="417">
        <v>0</v>
      </c>
      <c r="H55" s="418">
        <v>12</v>
      </c>
      <c r="I55" s="417">
        <v>6920.88</v>
      </c>
      <c r="J55" s="419">
        <f t="shared" si="82"/>
      </c>
      <c r="K55" s="419">
        <f t="shared" si="143"/>
      </c>
      <c r="L55" s="419">
        <f t="shared" si="162"/>
      </c>
      <c r="M55" s="420">
        <f t="shared" si="105"/>
      </c>
      <c r="N55" s="421">
        <f t="shared" si="124"/>
      </c>
      <c r="O55" s="422">
        <f t="shared" si="63"/>
      </c>
      <c r="P55" s="407" t="s">
        <v>248</v>
      </c>
      <c r="Q55" s="423" t="s">
        <v>252</v>
      </c>
      <c r="R55" s="424">
        <v>30843</v>
      </c>
      <c r="S55" s="425">
        <v>2738</v>
      </c>
      <c r="T55" s="426">
        <v>12</v>
      </c>
      <c r="U55" s="426">
        <v>75</v>
      </c>
    </row>
    <row r="56">
      <c r="A56" s="397"/>
      <c r="B56" s="427" t="s">
        <v>239</v>
      </c>
      <c r="C56" s="427"/>
      <c r="D56" s="428">
        <f>SUM(D52:D55)</f>
      </c>
      <c r="E56" s="428">
        <f>SUM(E52:E55)</f>
      </c>
      <c r="F56" s="428">
        <f>SUM(F52:F55)</f>
      </c>
      <c r="G56" s="428">
        <f>SUM(G52:G55)</f>
      </c>
      <c r="H56" s="429">
        <f>SUM(H52:H55)</f>
      </c>
      <c r="I56" s="428">
        <f>SUM(I52:I55)</f>
      </c>
      <c r="J56" s="430">
        <f t="shared" si="82"/>
      </c>
      <c r="K56" s="431">
        <f t="shared" si="143"/>
      </c>
      <c r="L56" s="432">
        <f t="shared" si="162"/>
      </c>
      <c r="M56" s="433">
        <f t="shared" si="105"/>
      </c>
      <c r="N56" s="433">
        <f t="shared" si="124"/>
      </c>
      <c r="O56" s="434">
        <f t="shared" si="63"/>
      </c>
      <c r="P56" s="434"/>
      <c r="Q56" s="434"/>
      <c r="R56" s="429">
        <f>SUM(R52:R55)</f>
      </c>
      <c r="S56" s="429">
        <f>SUM(S52:S55)</f>
      </c>
      <c r="T56" s="429">
        <f>SUM(T52:T55)</f>
      </c>
      <c r="U56" s="429">
        <f>SUM(U52:U55)</f>
      </c>
    </row>
    <row r="57">
      <c r="A57" s="397"/>
      <c r="B57" s="413" t="s">
        <v>246</v>
      </c>
      <c r="C57" s="412" t="s">
        <v>235</v>
      </c>
      <c r="D57" s="415">
        <f t="shared" ref="D57:D60" si="9">SUM(E57:G57)</f>
      </c>
      <c r="E57" s="416">
        <v>6957.58</v>
      </c>
      <c r="F57" s="417">
        <v>1949.86</v>
      </c>
      <c r="G57" s="401">
        <v>0</v>
      </c>
      <c r="H57" s="418">
        <v>23</v>
      </c>
      <c r="I57" s="417">
        <v>17242.8</v>
      </c>
      <c r="J57" s="419">
        <f t="shared" si="82"/>
      </c>
      <c r="K57" s="419">
        <f t="shared" si="143"/>
      </c>
      <c r="L57" s="419">
        <f t="shared" si="162"/>
      </c>
      <c r="M57" s="420">
        <f t="shared" si="105"/>
      </c>
      <c r="N57" s="421">
        <f t="shared" si="124"/>
      </c>
      <c r="O57" s="422">
        <f t="shared" si="63"/>
      </c>
      <c r="P57" s="407" t="s">
        <v>248</v>
      </c>
      <c r="Q57" s="423" t="s">
        <v>252</v>
      </c>
      <c r="R57" s="424">
        <v>61594</v>
      </c>
      <c r="S57" s="425">
        <v>5304</v>
      </c>
      <c r="T57" s="426">
        <v>32</v>
      </c>
      <c r="U57" s="426">
        <v>116</v>
      </c>
    </row>
    <row r="58">
      <c r="A58" s="397"/>
      <c r="B58" s="413" t="s">
        <v>246</v>
      </c>
      <c r="C58" s="414" t="s">
        <v>236</v>
      </c>
      <c r="D58" s="415">
        <f t="shared" si="9"/>
      </c>
      <c r="E58" s="416">
        <v>9308.34</v>
      </c>
      <c r="F58" s="417">
        <v>1709.56</v>
      </c>
      <c r="G58" s="401">
        <v>0</v>
      </c>
      <c r="H58" s="418">
        <v>39</v>
      </c>
      <c r="I58" s="417">
        <v>20362.72</v>
      </c>
      <c r="J58" s="419">
        <f t="shared" si="82"/>
      </c>
      <c r="K58" s="419">
        <f t="shared" si="143"/>
      </c>
      <c r="L58" s="419">
        <f t="shared" si="162"/>
      </c>
      <c r="M58" s="420">
        <f t="shared" si="105"/>
      </c>
      <c r="N58" s="421">
        <f t="shared" si="124"/>
      </c>
      <c r="O58" s="422">
        <f t="shared" si="63"/>
      </c>
      <c r="P58" s="407" t="s">
        <v>248</v>
      </c>
      <c r="Q58" s="423" t="s">
        <v>252</v>
      </c>
      <c r="R58" s="424">
        <v>86075</v>
      </c>
      <c r="S58" s="425">
        <v>6016</v>
      </c>
      <c r="T58" s="426">
        <v>39</v>
      </c>
      <c r="U58" s="426">
        <v>134</v>
      </c>
    </row>
    <row r="59">
      <c r="A59" s="397"/>
      <c r="B59" s="413" t="s">
        <v>246</v>
      </c>
      <c r="C59" s="414" t="s">
        <v>237</v>
      </c>
      <c r="D59" s="415">
        <f t="shared" si="9"/>
      </c>
      <c r="E59" s="416">
        <v>7031.22</v>
      </c>
      <c r="F59" s="417">
        <v>986.83</v>
      </c>
      <c r="G59" s="401">
        <v>0</v>
      </c>
      <c r="H59" s="418">
        <v>24</v>
      </c>
      <c r="I59" s="417">
        <v>11548.34</v>
      </c>
      <c r="J59" s="419">
        <f t="shared" si="82"/>
      </c>
      <c r="K59" s="419">
        <f t="shared" si="143"/>
      </c>
      <c r="L59" s="419">
        <f t="shared" si="162"/>
      </c>
      <c r="M59" s="420">
        <f t="shared" si="105"/>
      </c>
      <c r="N59" s="421">
        <f t="shared" si="124"/>
      </c>
      <c r="O59" s="422">
        <f t="shared" si="63"/>
      </c>
      <c r="P59" s="407" t="s">
        <v>248</v>
      </c>
      <c r="Q59" s="423" t="s">
        <v>252</v>
      </c>
      <c r="R59" s="424">
        <v>90313</v>
      </c>
      <c r="S59" s="425">
        <v>5709</v>
      </c>
      <c r="T59" s="426">
        <v>22</v>
      </c>
      <c r="U59" s="426">
        <v>107</v>
      </c>
    </row>
    <row r="60">
      <c r="A60" s="397"/>
      <c r="B60" s="413" t="s">
        <v>246</v>
      </c>
      <c r="C60" s="414" t="s">
        <v>238</v>
      </c>
      <c r="D60" s="415">
        <f t="shared" si="9"/>
      </c>
      <c r="E60" s="416">
        <f>5109.98+6.34</f>
      </c>
      <c r="F60" s="417">
        <f>1018.98+0.44</f>
      </c>
      <c r="G60" s="417">
        <v>0</v>
      </c>
      <c r="H60" s="418">
        <v>18</v>
      </c>
      <c r="I60" s="417">
        <v>7210.44</v>
      </c>
      <c r="J60" s="419">
        <f t="shared" si="82"/>
      </c>
      <c r="K60" s="419">
        <f t="shared" si="143"/>
      </c>
      <c r="L60" s="419">
        <f t="shared" si="162"/>
      </c>
      <c r="M60" s="420">
        <f t="shared" si="105"/>
      </c>
      <c r="N60" s="421">
        <f t="shared" si="124"/>
      </c>
      <c r="O60" s="422">
        <f t="shared" si="63"/>
      </c>
      <c r="P60" s="407" t="s">
        <v>248</v>
      </c>
      <c r="Q60" s="423" t="s">
        <v>252</v>
      </c>
      <c r="R60" s="424">
        <v>62726</v>
      </c>
      <c r="S60" s="425">
        <v>3913</v>
      </c>
      <c r="T60" s="426">
        <v>20</v>
      </c>
      <c r="U60" s="426">
        <v>81</v>
      </c>
    </row>
    <row r="61">
      <c r="A61" s="397"/>
      <c r="B61" s="427" t="s">
        <v>239</v>
      </c>
      <c r="C61" s="427"/>
      <c r="D61" s="428">
        <f>SUM(D57:D60)</f>
      </c>
      <c r="E61" s="428">
        <f>SUM(E57:E60)</f>
      </c>
      <c r="F61" s="428">
        <f>SUM(F57:F60)</f>
      </c>
      <c r="G61" s="428">
        <f>SUM(G57:G60)</f>
      </c>
      <c r="H61" s="429">
        <f>SUM(H57:H60)</f>
      </c>
      <c r="I61" s="428">
        <f>SUM(I57:I60)</f>
      </c>
      <c r="J61" s="430">
        <f t="shared" si="82"/>
      </c>
      <c r="K61" s="431">
        <f t="shared" si="143"/>
      </c>
      <c r="L61" s="432">
        <f t="shared" si="162"/>
      </c>
      <c r="M61" s="433">
        <f t="shared" si="105"/>
      </c>
      <c r="N61" s="433">
        <f t="shared" si="124"/>
      </c>
      <c r="O61" s="434">
        <f t="shared" si="63"/>
      </c>
      <c r="P61" s="434"/>
      <c r="Q61" s="434"/>
      <c r="R61" s="429">
        <f>SUM(R57:R60)</f>
      </c>
      <c r="S61" s="429">
        <f>SUM(S57:S60)</f>
      </c>
      <c r="T61" s="429">
        <f>SUM(T57:T60)</f>
      </c>
      <c r="U61" s="429">
        <f>SUM(U57:U60)</f>
      </c>
    </row>
    <row r="62">
      <c r="A62" s="397"/>
      <c r="B62" s="435" t="s">
        <v>240</v>
      </c>
      <c r="C62" s="435"/>
      <c r="D62" s="436">
        <f>D51+D56+D61</f>
      </c>
      <c r="E62" s="436">
        <f>E51+E56+E61</f>
      </c>
      <c r="F62" s="436">
        <f>F51+F56+F61</f>
      </c>
      <c r="G62" s="436">
        <f>G51+G56+G61</f>
      </c>
      <c r="H62" s="437">
        <f>H51+H56+H61</f>
      </c>
      <c r="I62" s="436">
        <f>I51+I56+I61</f>
      </c>
      <c r="J62" s="438">
        <f t="shared" si="82"/>
      </c>
      <c r="K62" s="438">
        <f t="shared" si="143"/>
      </c>
      <c r="L62" s="438">
        <f t="shared" si="162"/>
      </c>
      <c r="M62" s="439">
        <f t="shared" si="105"/>
      </c>
      <c r="N62" s="439">
        <f t="shared" si="124"/>
      </c>
      <c r="O62" s="438">
        <f t="shared" si="63"/>
      </c>
      <c r="P62" s="440"/>
      <c r="Q62" s="440"/>
      <c r="R62" s="437">
        <f>R51+R56+R61</f>
      </c>
      <c r="S62" s="437">
        <f>S51+S56+S61</f>
      </c>
      <c r="T62" s="437">
        <f>T51+T56+T61</f>
      </c>
      <c r="U62" s="437">
        <f>U51+U56+U61</f>
      </c>
    </row>
    <row customHeight="true" ht="16.666666666666668" r="63">
      <c r="A63" s="444" t="s">
        <v>205</v>
      </c>
      <c r="B63" s="444"/>
      <c r="C63" s="444"/>
      <c r="D63" s="445" t="s">
        <v>206</v>
      </c>
      <c r="E63" s="445"/>
      <c r="F63" s="445"/>
      <c r="G63" s="445"/>
      <c r="H63" s="445"/>
      <c r="I63" s="445"/>
      <c r="J63" s="445"/>
      <c r="K63" s="445"/>
      <c r="L63" s="445"/>
      <c r="M63" s="446" t="s">
        <v>207</v>
      </c>
      <c r="N63" s="446"/>
      <c r="O63" s="446"/>
      <c r="P63" s="446"/>
      <c r="Q63" s="446"/>
      <c r="R63" s="447" t="s">
        <v>208</v>
      </c>
      <c r="S63" s="447"/>
      <c r="T63" s="447"/>
      <c r="U63" s="447"/>
      <c r="V63" s="448"/>
    </row>
    <row customHeight="true" ht="16.666666666666668" r="64">
      <c r="A64" s="444" t="s">
        <v>209</v>
      </c>
      <c r="B64" s="444" t="s">
        <v>210</v>
      </c>
      <c r="C64" s="444" t="s">
        <v>211</v>
      </c>
      <c r="D64" s="445" t="s">
        <v>212</v>
      </c>
      <c r="E64" s="445" t="s">
        <v>213</v>
      </c>
      <c r="F64" s="445" t="s">
        <v>214</v>
      </c>
      <c r="G64" s="445" t="s">
        <v>215</v>
      </c>
      <c r="H64" s="449" t="s">
        <v>216</v>
      </c>
      <c r="I64" s="445" t="s">
        <v>217</v>
      </c>
      <c r="J64" s="450" t="s">
        <v>218</v>
      </c>
      <c r="K64" s="451" t="s">
        <v>219</v>
      </c>
      <c r="L64" s="445" t="s">
        <v>220</v>
      </c>
      <c r="M64" s="446" t="s">
        <v>221</v>
      </c>
      <c r="N64" s="446" t="s">
        <v>222</v>
      </c>
      <c r="O64" s="446" t="s">
        <v>223</v>
      </c>
      <c r="P64" s="452" t="s">
        <v>224</v>
      </c>
      <c r="Q64" s="452" t="s">
        <v>225</v>
      </c>
      <c r="R64" s="447" t="s">
        <v>226</v>
      </c>
      <c r="S64" s="447" t="s">
        <v>227</v>
      </c>
      <c r="T64" s="447" t="s">
        <v>228</v>
      </c>
      <c r="U64" s="447" t="s">
        <v>230</v>
      </c>
      <c r="V64" s="448"/>
    </row>
    <row r="65">
      <c r="A65" s="397">
        <v>46300</v>
      </c>
      <c r="B65" s="398" t="s">
        <v>253</v>
      </c>
      <c r="C65" s="441" t="s">
        <v>242</v>
      </c>
      <c r="D65" s="399">
        <f t="shared" ref="D65:D68" si="10">SUM(E65:G65)</f>
      </c>
      <c r="E65" s="400">
        <v>1731.8</v>
      </c>
      <c r="F65" s="401">
        <v>1553.46</v>
      </c>
      <c r="G65" s="401">
        <v>0</v>
      </c>
      <c r="H65" s="443">
        <v>1</v>
      </c>
      <c r="I65" s="401">
        <v>1179.84</v>
      </c>
      <c r="J65" s="403">
        <f t="shared" ref="J65:J80" si="83">I65/D65</f>
      </c>
      <c r="K65" s="403">
        <f t="shared" ref="K65:K80" si="144">D65/H65</f>
      </c>
      <c r="L65" s="403">
        <f t="shared" ref="L65:L80" si="163">I65/H65</f>
      </c>
      <c r="M65" s="404">
        <f t="shared" ref="M65:M80" si="106">S65/R65</f>
      </c>
      <c r="N65" s="405">
        <f t="shared" ref="N65:N80" si="125">H65/(T65+H65)</f>
      </c>
      <c r="O65" s="406">
        <f t="shared" ref="O65:O80" si="64">(U65*1000)/D65</f>
      </c>
      <c r="P65" s="407" t="s">
        <v>233</v>
      </c>
      <c r="Q65" s="423" t="s">
        <v>254</v>
      </c>
      <c r="R65" s="409">
        <v>22775</v>
      </c>
      <c r="S65" s="410">
        <v>1487</v>
      </c>
      <c r="T65" s="411">
        <v>5</v>
      </c>
      <c r="U65" s="411">
        <v>31</v>
      </c>
      <c r="V65" s="448"/>
    </row>
    <row r="66">
      <c r="A66" s="397"/>
      <c r="B66" s="398" t="s">
        <v>253</v>
      </c>
      <c r="C66" s="441" t="s">
        <v>243</v>
      </c>
      <c r="D66" s="399">
        <f t="shared" si="10"/>
      </c>
      <c r="E66" s="400">
        <v>1380.47</v>
      </c>
      <c r="F66" s="401">
        <v>1733.92</v>
      </c>
      <c r="G66" s="401">
        <v>0</v>
      </c>
      <c r="H66" s="443">
        <v>6</v>
      </c>
      <c r="I66" s="401">
        <v>4148.099999999999</v>
      </c>
      <c r="J66" s="403">
        <f t="shared" si="83"/>
      </c>
      <c r="K66" s="403">
        <f t="shared" si="144"/>
      </c>
      <c r="L66" s="403">
        <f t="shared" si="163"/>
      </c>
      <c r="M66" s="404">
        <f t="shared" si="106"/>
      </c>
      <c r="N66" s="405">
        <f t="shared" si="125"/>
      </c>
      <c r="O66" s="406">
        <f t="shared" si="64"/>
      </c>
      <c r="P66" s="407" t="s">
        <v>233</v>
      </c>
      <c r="Q66" s="423" t="s">
        <v>254</v>
      </c>
      <c r="R66" s="409">
        <v>21924</v>
      </c>
      <c r="S66" s="410">
        <v>1405</v>
      </c>
      <c r="T66" s="411">
        <v>8</v>
      </c>
      <c r="U66" s="411">
        <v>34</v>
      </c>
      <c r="V66" s="448"/>
    </row>
    <row r="67">
      <c r="A67" s="397"/>
      <c r="B67" s="398" t="s">
        <v>253</v>
      </c>
      <c r="C67" s="441" t="s">
        <v>244</v>
      </c>
      <c r="D67" s="415">
        <f t="shared" si="10"/>
      </c>
      <c r="E67" s="416">
        <v>1127.67</v>
      </c>
      <c r="F67" s="417">
        <v>1778.57</v>
      </c>
      <c r="G67" s="417">
        <v>0</v>
      </c>
      <c r="H67" s="418">
        <v>11</v>
      </c>
      <c r="I67" s="417">
        <v>7547.04</v>
      </c>
      <c r="J67" s="419">
        <f t="shared" si="83"/>
      </c>
      <c r="K67" s="419">
        <f t="shared" si="144"/>
      </c>
      <c r="L67" s="419">
        <f t="shared" si="163"/>
      </c>
      <c r="M67" s="420">
        <f t="shared" si="106"/>
      </c>
      <c r="N67" s="421">
        <f t="shared" si="125"/>
      </c>
      <c r="O67" s="422">
        <f t="shared" si="64"/>
      </c>
      <c r="P67" s="407" t="s">
        <v>233</v>
      </c>
      <c r="Q67" s="423" t="s">
        <v>254</v>
      </c>
      <c r="R67" s="424">
        <v>18543</v>
      </c>
      <c r="S67" s="425">
        <v>1063</v>
      </c>
      <c r="T67" s="426">
        <v>9</v>
      </c>
      <c r="U67" s="426">
        <v>46</v>
      </c>
    </row>
    <row r="68">
      <c r="A68" s="397"/>
      <c r="B68" s="398" t="s">
        <v>253</v>
      </c>
      <c r="C68" s="441" t="s">
        <v>245</v>
      </c>
      <c r="D68" s="415">
        <f t="shared" si="10"/>
      </c>
      <c r="E68" s="416">
        <v>1509.97</v>
      </c>
      <c r="F68" s="417">
        <v>1628.74</v>
      </c>
      <c r="G68" s="417">
        <v>0</v>
      </c>
      <c r="H68" s="418">
        <v>6</v>
      </c>
      <c r="I68" s="417">
        <v>2367.84</v>
      </c>
      <c r="J68" s="419">
        <f t="shared" si="83"/>
      </c>
      <c r="K68" s="419">
        <f t="shared" si="144"/>
      </c>
      <c r="L68" s="419">
        <f t="shared" si="163"/>
      </c>
      <c r="M68" s="420">
        <f t="shared" si="106"/>
      </c>
      <c r="N68" s="421">
        <f t="shared" si="125"/>
      </c>
      <c r="O68" s="422">
        <f t="shared" si="64"/>
      </c>
      <c r="P68" s="407" t="s">
        <v>233</v>
      </c>
      <c r="Q68" s="423" t="s">
        <v>254</v>
      </c>
      <c r="R68" s="424">
        <v>23333</v>
      </c>
      <c r="S68" s="425">
        <v>1219</v>
      </c>
      <c r="T68" s="426">
        <v>14</v>
      </c>
      <c r="U68" s="426">
        <v>40</v>
      </c>
    </row>
    <row r="69">
      <c r="A69" s="397"/>
      <c r="B69" s="427" t="s">
        <v>239</v>
      </c>
      <c r="C69" s="427"/>
      <c r="D69" s="428">
        <f>SUM(D65:D68)</f>
      </c>
      <c r="E69" s="428">
        <f>SUM(E65:E68)</f>
      </c>
      <c r="F69" s="428">
        <f>SUM(F65:F68)</f>
      </c>
      <c r="G69" s="428">
        <f>SUM(G65:G68)</f>
      </c>
      <c r="H69" s="429">
        <f>SUM(H65:H68)</f>
      </c>
      <c r="I69" s="428">
        <f>SUM(I65:I68)</f>
      </c>
      <c r="J69" s="430">
        <f t="shared" si="83"/>
      </c>
      <c r="K69" s="431">
        <f t="shared" si="144"/>
      </c>
      <c r="L69" s="432">
        <f t="shared" si="163"/>
      </c>
      <c r="M69" s="433">
        <f t="shared" si="106"/>
      </c>
      <c r="N69" s="433">
        <f t="shared" si="125"/>
      </c>
      <c r="O69" s="434">
        <f t="shared" si="64"/>
      </c>
      <c r="P69" s="434"/>
      <c r="Q69" s="434"/>
      <c r="R69" s="429">
        <f>SUM(R65:R68)</f>
      </c>
      <c r="S69" s="429">
        <f>SUM(S65:S68)</f>
      </c>
      <c r="T69" s="429">
        <f>SUM(T65:T68)</f>
      </c>
      <c r="U69" s="429">
        <f>SUM(U65:U68)</f>
      </c>
    </row>
    <row r="70">
      <c r="A70" s="397"/>
      <c r="B70" s="413" t="s">
        <v>231</v>
      </c>
      <c r="C70" s="441" t="s">
        <v>247</v>
      </c>
      <c r="D70" s="415">
        <f t="shared" ref="D70:D73" si="11">SUM(E70:G70)</f>
      </c>
      <c r="E70" s="416">
        <v>1436.02</v>
      </c>
      <c r="F70" s="417">
        <v>1648.74</v>
      </c>
      <c r="G70" s="401">
        <v>0</v>
      </c>
      <c r="H70" s="418">
        <v>9</v>
      </c>
      <c r="I70" s="417">
        <v>4367.88</v>
      </c>
      <c r="J70" s="419">
        <f t="shared" si="83"/>
      </c>
      <c r="K70" s="419">
        <f t="shared" si="144"/>
      </c>
      <c r="L70" s="419">
        <f t="shared" si="163"/>
      </c>
      <c r="M70" s="420">
        <f t="shared" si="106"/>
      </c>
      <c r="N70" s="421">
        <f t="shared" si="125"/>
      </c>
      <c r="O70" s="422">
        <f t="shared" si="64"/>
      </c>
      <c r="P70" s="407" t="s">
        <v>248</v>
      </c>
      <c r="Q70" s="423" t="s">
        <v>252</v>
      </c>
      <c r="R70" s="424">
        <v>20169</v>
      </c>
      <c r="S70" s="425">
        <v>1236</v>
      </c>
      <c r="T70" s="426">
        <v>19</v>
      </c>
      <c r="U70" s="426">
        <v>46</v>
      </c>
    </row>
    <row r="71">
      <c r="A71" s="397"/>
      <c r="B71" s="413" t="s">
        <v>231</v>
      </c>
      <c r="C71" s="417" t="s">
        <v>249</v>
      </c>
      <c r="D71" s="415">
        <f t="shared" si="11"/>
      </c>
      <c r="E71" s="416">
        <v>1409.41</v>
      </c>
      <c r="F71" s="417">
        <v>2147.95</v>
      </c>
      <c r="G71" s="401">
        <v>0</v>
      </c>
      <c r="H71" s="418">
        <v>12</v>
      </c>
      <c r="I71" s="417">
        <v>9546.3</v>
      </c>
      <c r="J71" s="419">
        <f t="shared" si="83"/>
      </c>
      <c r="K71" s="419">
        <f t="shared" si="144"/>
      </c>
      <c r="L71" s="419">
        <f t="shared" si="163"/>
      </c>
      <c r="M71" s="420">
        <f t="shared" si="106"/>
      </c>
      <c r="N71" s="421">
        <f t="shared" si="125"/>
      </c>
      <c r="O71" s="422">
        <f t="shared" si="64"/>
      </c>
      <c r="P71" s="407" t="s">
        <v>248</v>
      </c>
      <c r="Q71" s="423" t="s">
        <v>252</v>
      </c>
      <c r="R71" s="424">
        <v>22829</v>
      </c>
      <c r="S71" s="425">
        <v>1320</v>
      </c>
      <c r="T71" s="426">
        <v>5</v>
      </c>
      <c r="U71" s="426">
        <v>36</v>
      </c>
    </row>
    <row r="72">
      <c r="A72" s="397"/>
      <c r="B72" s="413" t="s">
        <v>231</v>
      </c>
      <c r="C72" s="414" t="s">
        <v>250</v>
      </c>
      <c r="D72" s="415">
        <f t="shared" si="11"/>
      </c>
      <c r="E72" s="416">
        <v>1282.3</v>
      </c>
      <c r="F72" s="417">
        <v>1863.61</v>
      </c>
      <c r="G72" s="417">
        <v>0</v>
      </c>
      <c r="H72" s="418">
        <v>13</v>
      </c>
      <c r="I72" s="417">
        <v>8100.72</v>
      </c>
      <c r="J72" s="419">
        <f t="shared" si="83"/>
      </c>
      <c r="K72" s="419">
        <f t="shared" si="144"/>
      </c>
      <c r="L72" s="419">
        <f t="shared" si="163"/>
      </c>
      <c r="M72" s="420">
        <f t="shared" si="106"/>
      </c>
      <c r="N72" s="421">
        <f t="shared" si="125"/>
      </c>
      <c r="O72" s="422">
        <f t="shared" si="64"/>
      </c>
      <c r="P72" s="407" t="s">
        <v>248</v>
      </c>
      <c r="Q72" s="423" t="s">
        <v>252</v>
      </c>
      <c r="R72" s="424">
        <v>23875</v>
      </c>
      <c r="S72" s="425">
        <v>1475</v>
      </c>
      <c r="T72" s="426">
        <v>8</v>
      </c>
      <c r="U72" s="426">
        <v>51</v>
      </c>
    </row>
    <row r="73">
      <c r="A73" s="397"/>
      <c r="B73" s="413" t="s">
        <v>231</v>
      </c>
      <c r="C73" s="399" t="s">
        <v>232</v>
      </c>
      <c r="D73" s="415">
        <f t="shared" si="11"/>
      </c>
      <c r="E73" s="416">
        <v>1890.12</v>
      </c>
      <c r="F73" s="417">
        <v>1683.68</v>
      </c>
      <c r="G73" s="417">
        <v>0</v>
      </c>
      <c r="H73" s="418">
        <v>17</v>
      </c>
      <c r="I73" s="417">
        <v>12450.3</v>
      </c>
      <c r="J73" s="419">
        <f t="shared" si="83"/>
      </c>
      <c r="K73" s="419">
        <f t="shared" si="144"/>
      </c>
      <c r="L73" s="419">
        <f t="shared" si="163"/>
      </c>
      <c r="M73" s="420">
        <f t="shared" si="106"/>
      </c>
      <c r="N73" s="421">
        <f t="shared" si="125"/>
      </c>
      <c r="O73" s="422">
        <f t="shared" si="64"/>
      </c>
      <c r="P73" s="407" t="s">
        <v>248</v>
      </c>
      <c r="Q73" s="423" t="s">
        <v>252</v>
      </c>
      <c r="R73" s="424">
        <v>32515</v>
      </c>
      <c r="S73" s="425">
        <v>2030</v>
      </c>
      <c r="T73" s="426">
        <v>15</v>
      </c>
      <c r="U73" s="426">
        <v>52</v>
      </c>
    </row>
    <row r="74">
      <c r="A74" s="397"/>
      <c r="B74" s="427" t="s">
        <v>239</v>
      </c>
      <c r="C74" s="427"/>
      <c r="D74" s="428">
        <f>SUM(D70:D73)</f>
      </c>
      <c r="E74" s="428">
        <f>SUM(E70:E73)</f>
      </c>
      <c r="F74" s="428">
        <f>SUM(F70:F73)</f>
      </c>
      <c r="G74" s="428">
        <f>SUM(G70:G73)</f>
      </c>
      <c r="H74" s="429">
        <f>SUM(H70:H73)</f>
      </c>
      <c r="I74" s="428">
        <f>SUM(I70:I73)</f>
      </c>
      <c r="J74" s="430">
        <f t="shared" si="83"/>
      </c>
      <c r="K74" s="431">
        <f t="shared" si="144"/>
      </c>
      <c r="L74" s="432">
        <f t="shared" si="163"/>
      </c>
      <c r="M74" s="433">
        <f t="shared" si="106"/>
      </c>
      <c r="N74" s="433">
        <f t="shared" si="125"/>
      </c>
      <c r="O74" s="434">
        <f t="shared" si="64"/>
      </c>
      <c r="P74" s="434"/>
      <c r="Q74" s="434"/>
      <c r="R74" s="429">
        <f>SUM(R70:R73)</f>
      </c>
      <c r="S74" s="429">
        <f>SUM(S70:S73)</f>
      </c>
      <c r="T74" s="429">
        <f>SUM(T70:T73)</f>
      </c>
      <c r="U74" s="429">
        <f>SUM(U70:U73)</f>
      </c>
    </row>
    <row r="75">
      <c r="A75" s="397"/>
      <c r="B75" s="413" t="s">
        <v>255</v>
      </c>
      <c r="C75" s="412" t="s">
        <v>235</v>
      </c>
      <c r="D75" s="415">
        <f t="shared" ref="D75:D78" si="12">SUM(E75:G75)</f>
      </c>
      <c r="E75" s="416">
        <v>3372.24</v>
      </c>
      <c r="F75" s="417">
        <v>2735.54</v>
      </c>
      <c r="G75" s="401">
        <v>0</v>
      </c>
      <c r="H75" s="418">
        <v>17</v>
      </c>
      <c r="I75" s="417">
        <v>8091.24</v>
      </c>
      <c r="J75" s="419">
        <f t="shared" si="83"/>
      </c>
      <c r="K75" s="419">
        <f t="shared" si="144"/>
      </c>
      <c r="L75" s="419">
        <f t="shared" si="163"/>
      </c>
      <c r="M75" s="420">
        <f t="shared" si="106"/>
      </c>
      <c r="N75" s="421">
        <f t="shared" si="125"/>
      </c>
      <c r="O75" s="422">
        <f t="shared" si="64"/>
      </c>
      <c r="P75" s="407" t="s">
        <v>248</v>
      </c>
      <c r="Q75" s="423" t="s">
        <v>252</v>
      </c>
      <c r="R75" s="424">
        <v>58041</v>
      </c>
      <c r="S75" s="425">
        <v>3399</v>
      </c>
      <c r="T75" s="426">
        <v>16</v>
      </c>
      <c r="U75" s="426">
        <v>61</v>
      </c>
    </row>
    <row r="76">
      <c r="A76" s="397"/>
      <c r="B76" s="413" t="s">
        <v>255</v>
      </c>
      <c r="C76" s="414" t="s">
        <v>236</v>
      </c>
      <c r="D76" s="415">
        <f t="shared" si="12"/>
      </c>
      <c r="E76" s="416">
        <v>2311.67</v>
      </c>
      <c r="F76" s="417">
        <v>1382.89</v>
      </c>
      <c r="G76" s="401">
        <v>0</v>
      </c>
      <c r="H76" s="418">
        <v>16</v>
      </c>
      <c r="I76" s="417">
        <v>10039.8</v>
      </c>
      <c r="J76" s="419">
        <f t="shared" si="83"/>
      </c>
      <c r="K76" s="419">
        <f t="shared" si="144"/>
      </c>
      <c r="L76" s="419">
        <f t="shared" si="163"/>
      </c>
      <c r="M76" s="420">
        <f t="shared" si="106"/>
      </c>
      <c r="N76" s="421">
        <f t="shared" si="125"/>
      </c>
      <c r="O76" s="422">
        <f t="shared" si="64"/>
      </c>
      <c r="P76" s="407" t="s">
        <v>248</v>
      </c>
      <c r="Q76" s="423" t="s">
        <v>252</v>
      </c>
      <c r="R76" s="424">
        <v>38114</v>
      </c>
      <c r="S76" s="425">
        <v>2460</v>
      </c>
      <c r="T76" s="426">
        <v>18</v>
      </c>
      <c r="U76" s="426">
        <v>53</v>
      </c>
    </row>
    <row r="77">
      <c r="A77" s="397"/>
      <c r="B77" s="413" t="s">
        <v>255</v>
      </c>
      <c r="C77" s="414" t="s">
        <v>237</v>
      </c>
      <c r="D77" s="415">
        <f t="shared" si="12"/>
      </c>
      <c r="E77" s="416">
        <v>2704.46</v>
      </c>
      <c r="F77" s="417">
        <v>1032.78</v>
      </c>
      <c r="G77" s="401">
        <v>0</v>
      </c>
      <c r="H77" s="418">
        <v>12</v>
      </c>
      <c r="I77" s="417">
        <v>8325.24</v>
      </c>
      <c r="J77" s="419">
        <f t="shared" si="83"/>
      </c>
      <c r="K77" s="419">
        <f t="shared" si="144"/>
      </c>
      <c r="L77" s="419">
        <f t="shared" si="163"/>
      </c>
      <c r="M77" s="420">
        <f t="shared" si="106"/>
      </c>
      <c r="N77" s="421">
        <f t="shared" si="125"/>
      </c>
      <c r="O77" s="422">
        <f t="shared" si="64"/>
      </c>
      <c r="P77" s="407" t="s">
        <v>248</v>
      </c>
      <c r="Q77" s="423" t="s">
        <v>252</v>
      </c>
      <c r="R77" s="424">
        <v>46069</v>
      </c>
      <c r="S77" s="425">
        <v>2876</v>
      </c>
      <c r="T77" s="426">
        <v>17</v>
      </c>
      <c r="U77" s="426">
        <v>40</v>
      </c>
    </row>
    <row r="78">
      <c r="A78" s="397"/>
      <c r="B78" s="413" t="s">
        <v>255</v>
      </c>
      <c r="C78" s="414" t="s">
        <v>238</v>
      </c>
      <c r="D78" s="415">
        <f t="shared" si="12"/>
      </c>
      <c r="E78" s="416">
        <f>3808.22+33.04</f>
      </c>
      <c r="F78" s="417">
        <f>1500.03+5.83</f>
      </c>
      <c r="G78" s="417">
        <v>0</v>
      </c>
      <c r="H78" s="418">
        <v>15</v>
      </c>
      <c r="I78" s="417">
        <v>8015.24</v>
      </c>
      <c r="J78" s="419">
        <f t="shared" si="83"/>
      </c>
      <c r="K78" s="419">
        <f t="shared" si="144"/>
      </c>
      <c r="L78" s="419">
        <f t="shared" si="163"/>
      </c>
      <c r="M78" s="420">
        <f t="shared" si="106"/>
      </c>
      <c r="N78" s="421">
        <f t="shared" si="125"/>
      </c>
      <c r="O78" s="422">
        <f t="shared" si="64"/>
      </c>
      <c r="P78" s="407" t="s">
        <v>248</v>
      </c>
      <c r="Q78" s="423" t="s">
        <v>252</v>
      </c>
      <c r="R78" s="424">
        <v>67773</v>
      </c>
      <c r="S78" s="425">
        <v>4162</v>
      </c>
      <c r="T78" s="426">
        <v>16</v>
      </c>
      <c r="U78" s="426">
        <v>58</v>
      </c>
    </row>
    <row r="79">
      <c r="A79" s="397"/>
      <c r="B79" s="427" t="s">
        <v>239</v>
      </c>
      <c r="C79" s="427"/>
      <c r="D79" s="428">
        <f>SUM(D75:D78)</f>
      </c>
      <c r="E79" s="428">
        <f>SUM(E75:E78)</f>
      </c>
      <c r="F79" s="428">
        <f>SUM(F75:F78)</f>
      </c>
      <c r="G79" s="428">
        <f>SUM(G75:G78)</f>
      </c>
      <c r="H79" s="429">
        <f>SUM(H75:H78)</f>
      </c>
      <c r="I79" s="428">
        <f>SUM(I75:I78)</f>
      </c>
      <c r="J79" s="430">
        <f t="shared" si="83"/>
      </c>
      <c r="K79" s="431">
        <f t="shared" si="144"/>
      </c>
      <c r="L79" s="432">
        <f t="shared" si="163"/>
      </c>
      <c r="M79" s="433">
        <f t="shared" si="106"/>
      </c>
      <c r="N79" s="433">
        <f t="shared" si="125"/>
      </c>
      <c r="O79" s="434">
        <f t="shared" si="64"/>
      </c>
      <c r="P79" s="434"/>
      <c r="Q79" s="434"/>
      <c r="R79" s="429">
        <f>SUM(R75:R78)</f>
      </c>
      <c r="S79" s="429">
        <f>SUM(S75:S78)</f>
      </c>
      <c r="T79" s="429">
        <f>SUM(T75:T78)</f>
      </c>
      <c r="U79" s="429">
        <f>SUM(U75:U78)</f>
      </c>
    </row>
    <row r="80">
      <c r="A80" s="397"/>
      <c r="B80" s="435" t="s">
        <v>240</v>
      </c>
      <c r="C80" s="435"/>
      <c r="D80" s="436">
        <f>D69+D74+D79</f>
      </c>
      <c r="E80" s="436">
        <f>E69+E74+E79</f>
      </c>
      <c r="F80" s="436">
        <f>F69+F74+F79</f>
      </c>
      <c r="G80" s="436">
        <f>G69+G74+G79</f>
      </c>
      <c r="H80" s="437">
        <f>H69+H74+H79</f>
      </c>
      <c r="I80" s="436">
        <f>I69+I74+I79</f>
      </c>
      <c r="J80" s="438">
        <f t="shared" si="83"/>
      </c>
      <c r="K80" s="438">
        <f t="shared" si="144"/>
      </c>
      <c r="L80" s="438">
        <f t="shared" si="163"/>
      </c>
      <c r="M80" s="439">
        <f t="shared" si="106"/>
      </c>
      <c r="N80" s="439">
        <f t="shared" si="125"/>
      </c>
      <c r="O80" s="438">
        <f t="shared" si="64"/>
      </c>
      <c r="P80" s="440"/>
      <c r="Q80" s="440"/>
      <c r="R80" s="437">
        <f>R69+R74+R79</f>
      </c>
      <c r="S80" s="437">
        <f>S69+S74+S79</f>
      </c>
      <c r="T80" s="437">
        <f>T69+T74+T79</f>
      </c>
      <c r="U80" s="437">
        <f>U69+U74+U79</f>
      </c>
    </row>
    <row customHeight="true" ht="16.666666666666668" r="81">
      <c r="A81" s="444" t="s">
        <v>205</v>
      </c>
      <c r="B81" s="444"/>
      <c r="C81" s="444"/>
      <c r="D81" s="445" t="s">
        <v>206</v>
      </c>
      <c r="E81" s="445"/>
      <c r="F81" s="445"/>
      <c r="G81" s="445"/>
      <c r="H81" s="445"/>
      <c r="I81" s="445"/>
      <c r="J81" s="445"/>
      <c r="K81" s="445"/>
      <c r="L81" s="445"/>
      <c r="M81" s="446" t="s">
        <v>207</v>
      </c>
      <c r="N81" s="446"/>
      <c r="O81" s="446"/>
      <c r="P81" s="446"/>
      <c r="Q81" s="446"/>
      <c r="R81" s="447" t="s">
        <v>208</v>
      </c>
      <c r="S81" s="447"/>
      <c r="T81" s="447"/>
      <c r="U81" s="447"/>
      <c r="V81" s="448"/>
    </row>
    <row customHeight="true" ht="16.666666666666668" r="82">
      <c r="A82" s="444" t="s">
        <v>209</v>
      </c>
      <c r="B82" s="444" t="s">
        <v>210</v>
      </c>
      <c r="C82" s="444" t="s">
        <v>211</v>
      </c>
      <c r="D82" s="445" t="s">
        <v>212</v>
      </c>
      <c r="E82" s="445" t="s">
        <v>213</v>
      </c>
      <c r="F82" s="445" t="s">
        <v>214</v>
      </c>
      <c r="G82" s="445" t="s">
        <v>215</v>
      </c>
      <c r="H82" s="449" t="s">
        <v>216</v>
      </c>
      <c r="I82" s="445" t="s">
        <v>217</v>
      </c>
      <c r="J82" s="450" t="s">
        <v>218</v>
      </c>
      <c r="K82" s="451" t="s">
        <v>219</v>
      </c>
      <c r="L82" s="445" t="s">
        <v>220</v>
      </c>
      <c r="M82" s="446" t="s">
        <v>221</v>
      </c>
      <c r="N82" s="446" t="s">
        <v>222</v>
      </c>
      <c r="O82" s="446" t="s">
        <v>223</v>
      </c>
      <c r="P82" s="452" t="s">
        <v>224</v>
      </c>
      <c r="Q82" s="452" t="s">
        <v>225</v>
      </c>
      <c r="R82" s="447" t="s">
        <v>226</v>
      </c>
      <c r="S82" s="447" t="s">
        <v>227</v>
      </c>
      <c r="T82" s="447" t="s">
        <v>228</v>
      </c>
      <c r="U82" s="447" t="s">
        <v>230</v>
      </c>
      <c r="V82" s="448"/>
    </row>
    <row r="83">
      <c r="A83" s="397">
        <v>46301</v>
      </c>
      <c r="B83" s="413" t="s">
        <v>231</v>
      </c>
      <c r="C83" s="441" t="s">
        <v>242</v>
      </c>
      <c r="D83" s="399">
        <f t="shared" ref="D83:D86" si="13">SUM(E83:G83)</f>
      </c>
      <c r="E83" s="400">
        <v>3007.89</v>
      </c>
      <c r="F83" s="401">
        <v>1200.22</v>
      </c>
      <c r="G83" s="401">
        <v>0</v>
      </c>
      <c r="H83" s="443">
        <v>12</v>
      </c>
      <c r="I83" s="401">
        <v>5572.74</v>
      </c>
      <c r="J83" s="403">
        <f t="shared" ref="J83:J98" si="84">I83/D83</f>
      </c>
      <c r="K83" s="403">
        <f t="shared" ref="K83:K98" si="145">D83/H83</f>
      </c>
      <c r="L83" s="403">
        <f t="shared" ref="L83:L98" si="164">I83/H83</f>
      </c>
      <c r="M83" s="404">
        <f t="shared" ref="M83:M98" si="107">S83/R83</f>
      </c>
      <c r="N83" s="405">
        <f t="shared" ref="N83:N98" si="126">H83/(T83+H83)</f>
      </c>
      <c r="O83" s="406">
        <f t="shared" ref="O83:O98" si="65">(U83*1000)/D83</f>
      </c>
      <c r="P83" s="407" t="s">
        <v>233</v>
      </c>
      <c r="Q83" s="423" t="s">
        <v>234</v>
      </c>
      <c r="R83" s="409">
        <v>38146</v>
      </c>
      <c r="S83" s="410">
        <v>1973</v>
      </c>
      <c r="T83" s="411">
        <v>8</v>
      </c>
      <c r="U83" s="411">
        <v>61</v>
      </c>
      <c r="V83" s="448"/>
    </row>
    <row r="84">
      <c r="A84" s="397"/>
      <c r="B84" s="413" t="s">
        <v>231</v>
      </c>
      <c r="C84" s="441" t="s">
        <v>243</v>
      </c>
      <c r="D84" s="399">
        <f t="shared" si="13"/>
      </c>
      <c r="E84" s="400">
        <v>2258.05</v>
      </c>
      <c r="F84" s="401">
        <v>966.41</v>
      </c>
      <c r="G84" s="401">
        <v>0</v>
      </c>
      <c r="H84" s="443">
        <v>15</v>
      </c>
      <c r="I84" s="401">
        <v>10188.66</v>
      </c>
      <c r="J84" s="403">
        <f t="shared" si="84"/>
      </c>
      <c r="K84" s="403">
        <f t="shared" si="145"/>
      </c>
      <c r="L84" s="403">
        <f t="shared" si="164"/>
      </c>
      <c r="M84" s="404">
        <f t="shared" si="107"/>
      </c>
      <c r="N84" s="405">
        <f t="shared" si="126"/>
      </c>
      <c r="O84" s="406">
        <f t="shared" si="65"/>
      </c>
      <c r="P84" s="407" t="s">
        <v>233</v>
      </c>
      <c r="Q84" s="423" t="s">
        <v>234</v>
      </c>
      <c r="R84" s="409">
        <v>32964</v>
      </c>
      <c r="S84" s="410">
        <v>1735</v>
      </c>
      <c r="T84" s="411">
        <v>2</v>
      </c>
      <c r="U84" s="411">
        <v>43</v>
      </c>
      <c r="V84" s="448"/>
    </row>
    <row r="85">
      <c r="A85" s="397"/>
      <c r="B85" s="413" t="s">
        <v>231</v>
      </c>
      <c r="C85" s="441" t="s">
        <v>244</v>
      </c>
      <c r="D85" s="415">
        <f t="shared" si="13"/>
      </c>
      <c r="E85" s="416">
        <v>2001.02</v>
      </c>
      <c r="F85" s="417">
        <v>1015.54</v>
      </c>
      <c r="G85" s="417">
        <v>0</v>
      </c>
      <c r="H85" s="418">
        <v>9</v>
      </c>
      <c r="I85" s="417">
        <v>3914.8200000000015</v>
      </c>
      <c r="J85" s="419">
        <f t="shared" si="84"/>
      </c>
      <c r="K85" s="419">
        <f t="shared" si="145"/>
      </c>
      <c r="L85" s="419">
        <f t="shared" si="164"/>
      </c>
      <c r="M85" s="420">
        <f t="shared" si="107"/>
      </c>
      <c r="N85" s="421">
        <f t="shared" si="126"/>
      </c>
      <c r="O85" s="422">
        <f t="shared" si="65"/>
      </c>
      <c r="P85" s="407" t="s">
        <v>233</v>
      </c>
      <c r="Q85" s="423" t="s">
        <v>234</v>
      </c>
      <c r="R85" s="424">
        <v>26719</v>
      </c>
      <c r="S85" s="425">
        <v>1422</v>
      </c>
      <c r="T85" s="426">
        <v>7</v>
      </c>
      <c r="U85" s="426">
        <v>46</v>
      </c>
    </row>
    <row r="86">
      <c r="A86" s="397"/>
      <c r="B86" s="413" t="s">
        <v>231</v>
      </c>
      <c r="C86" s="441" t="s">
        <v>245</v>
      </c>
      <c r="D86" s="415">
        <f t="shared" si="13"/>
      </c>
      <c r="E86" s="416">
        <v>2008.01</v>
      </c>
      <c r="F86" s="417">
        <v>1015</v>
      </c>
      <c r="G86" s="417">
        <v>0</v>
      </c>
      <c r="H86" s="418">
        <v>8</v>
      </c>
      <c r="I86" s="417">
        <v>3763.3799999999974</v>
      </c>
      <c r="J86" s="419">
        <f t="shared" si="84"/>
      </c>
      <c r="K86" s="419">
        <f t="shared" si="145"/>
      </c>
      <c r="L86" s="419">
        <f t="shared" si="164"/>
      </c>
      <c r="M86" s="420">
        <f t="shared" si="107"/>
      </c>
      <c r="N86" s="421">
        <f t="shared" si="126"/>
      </c>
      <c r="O86" s="422">
        <f t="shared" si="65"/>
      </c>
      <c r="P86" s="407" t="s">
        <v>233</v>
      </c>
      <c r="Q86" s="423" t="s">
        <v>234</v>
      </c>
      <c r="R86" s="424">
        <v>31625</v>
      </c>
      <c r="S86" s="425">
        <v>1526</v>
      </c>
      <c r="T86" s="426">
        <v>6</v>
      </c>
      <c r="U86" s="426">
        <v>32</v>
      </c>
    </row>
    <row r="87">
      <c r="A87" s="397"/>
      <c r="B87" s="427" t="s">
        <v>239</v>
      </c>
      <c r="C87" s="427"/>
      <c r="D87" s="428">
        <f>SUM(D83:D86)</f>
      </c>
      <c r="E87" s="428">
        <f>SUM(E83:E86)</f>
      </c>
      <c r="F87" s="428">
        <f>SUM(F83:F86)</f>
      </c>
      <c r="G87" s="428">
        <f>SUM(G83:G86)</f>
      </c>
      <c r="H87" s="429">
        <f>SUM(H83:H86)</f>
      </c>
      <c r="I87" s="428">
        <f>SUM(I83:I86)</f>
      </c>
      <c r="J87" s="430">
        <f t="shared" si="84"/>
      </c>
      <c r="K87" s="431">
        <f t="shared" si="145"/>
      </c>
      <c r="L87" s="432">
        <f t="shared" si="164"/>
      </c>
      <c r="M87" s="433">
        <f t="shared" si="107"/>
      </c>
      <c r="N87" s="433">
        <f t="shared" si="126"/>
      </c>
      <c r="O87" s="434">
        <f t="shared" si="65"/>
      </c>
      <c r="P87" s="434"/>
      <c r="Q87" s="434"/>
      <c r="R87" s="429">
        <f>SUM(R83:R86)</f>
      </c>
      <c r="S87" s="429">
        <f>SUM(S83:S86)</f>
      </c>
      <c r="T87" s="429">
        <f>SUM(T83:T86)</f>
      </c>
      <c r="U87" s="429">
        <f>SUM(U83:U86)</f>
      </c>
    </row>
    <row r="88">
      <c r="A88" s="397"/>
      <c r="B88" s="398" t="s">
        <v>253</v>
      </c>
      <c r="C88" s="441" t="s">
        <v>247</v>
      </c>
      <c r="D88" s="415">
        <f t="shared" ref="D88:D91" si="14">SUM(E88:G88)</f>
      </c>
      <c r="E88" s="416">
        <v>3005.17</v>
      </c>
      <c r="F88" s="417">
        <v>468.76</v>
      </c>
      <c r="G88" s="401">
        <v>0</v>
      </c>
      <c r="H88" s="418">
        <v>7</v>
      </c>
      <c r="I88" s="417">
        <v>1656.48</v>
      </c>
      <c r="J88" s="419">
        <f t="shared" si="84"/>
      </c>
      <c r="K88" s="419">
        <f t="shared" si="145"/>
      </c>
      <c r="L88" s="419">
        <f t="shared" si="164"/>
      </c>
      <c r="M88" s="420">
        <f t="shared" si="107"/>
      </c>
      <c r="N88" s="421">
        <f t="shared" si="126"/>
      </c>
      <c r="O88" s="422">
        <f t="shared" si="65"/>
      </c>
      <c r="P88" s="407" t="s">
        <v>248</v>
      </c>
      <c r="Q88" s="423" t="s">
        <v>252</v>
      </c>
      <c r="R88" s="453">
        <v>47373</v>
      </c>
      <c r="S88" s="426">
        <v>47373</v>
      </c>
      <c r="T88" s="426">
        <v>9</v>
      </c>
      <c r="U88" s="426">
        <v>42</v>
      </c>
    </row>
    <row r="89">
      <c r="A89" s="397"/>
      <c r="B89" s="398" t="s">
        <v>253</v>
      </c>
      <c r="C89" s="417" t="s">
        <v>249</v>
      </c>
      <c r="D89" s="415">
        <f t="shared" si="14"/>
      </c>
      <c r="E89" s="416">
        <v>3454.11</v>
      </c>
      <c r="F89" s="417">
        <v>1056.36</v>
      </c>
      <c r="G89" s="401">
        <v>0</v>
      </c>
      <c r="H89" s="418">
        <v>7</v>
      </c>
      <c r="I89" s="417">
        <v>3462.48</v>
      </c>
      <c r="J89" s="419">
        <f t="shared" si="84"/>
      </c>
      <c r="K89" s="419">
        <f t="shared" si="145"/>
      </c>
      <c r="L89" s="419">
        <f t="shared" si="164"/>
      </c>
      <c r="M89" s="420">
        <f t="shared" si="107"/>
      </c>
      <c r="N89" s="421">
        <f t="shared" si="126"/>
      </c>
      <c r="O89" s="422">
        <f t="shared" si="65"/>
      </c>
      <c r="P89" s="407" t="s">
        <v>248</v>
      </c>
      <c r="Q89" s="423" t="s">
        <v>252</v>
      </c>
      <c r="R89" s="453">
        <v>65367</v>
      </c>
      <c r="S89" s="426">
        <v>3159</v>
      </c>
      <c r="T89" s="426">
        <v>19</v>
      </c>
      <c r="U89" s="426">
        <v>49</v>
      </c>
    </row>
    <row r="90">
      <c r="A90" s="397"/>
      <c r="B90" s="398" t="s">
        <v>253</v>
      </c>
      <c r="C90" s="414" t="s">
        <v>250</v>
      </c>
      <c r="D90" s="415">
        <f t="shared" si="14"/>
      </c>
      <c r="E90" s="416">
        <v>2847.12</v>
      </c>
      <c r="F90" s="417">
        <v>667.85</v>
      </c>
      <c r="G90" s="417">
        <v>0</v>
      </c>
      <c r="H90" s="418">
        <v>17</v>
      </c>
      <c r="I90" s="417">
        <v>13970.34</v>
      </c>
      <c r="J90" s="419">
        <f t="shared" si="84"/>
      </c>
      <c r="K90" s="419">
        <f t="shared" si="145"/>
      </c>
      <c r="L90" s="419">
        <f t="shared" si="164"/>
      </c>
      <c r="M90" s="420">
        <f t="shared" si="107"/>
      </c>
      <c r="N90" s="421">
        <f t="shared" si="126"/>
      </c>
      <c r="O90" s="422">
        <f t="shared" si="65"/>
      </c>
      <c r="P90" s="407" t="s">
        <v>248</v>
      </c>
      <c r="Q90" s="423" t="s">
        <v>252</v>
      </c>
      <c r="R90" s="453">
        <v>40888</v>
      </c>
      <c r="S90" s="426">
        <v>1857</v>
      </c>
      <c r="T90" s="426">
        <v>8</v>
      </c>
      <c r="U90" s="426">
        <v>46</v>
      </c>
    </row>
    <row r="91">
      <c r="A91" s="397"/>
      <c r="B91" s="398" t="s">
        <v>253</v>
      </c>
      <c r="C91" s="399" t="s">
        <v>232</v>
      </c>
      <c r="D91" s="415">
        <f t="shared" si="14"/>
      </c>
      <c r="E91" s="416">
        <v>4990.77</v>
      </c>
      <c r="F91" s="417">
        <v>1711.45</v>
      </c>
      <c r="G91" s="417">
        <v>0</v>
      </c>
      <c r="H91" s="418">
        <v>20</v>
      </c>
      <c r="I91" s="417">
        <v>11161.56</v>
      </c>
      <c r="J91" s="419">
        <f t="shared" si="84"/>
      </c>
      <c r="K91" s="419">
        <f t="shared" si="145"/>
      </c>
      <c r="L91" s="419">
        <f t="shared" si="164"/>
      </c>
      <c r="M91" s="420">
        <f t="shared" si="107"/>
      </c>
      <c r="N91" s="421">
        <f t="shared" si="126"/>
      </c>
      <c r="O91" s="422">
        <f t="shared" si="65"/>
      </c>
      <c r="P91" s="407" t="s">
        <v>248</v>
      </c>
      <c r="Q91" s="423" t="s">
        <v>252</v>
      </c>
      <c r="R91" s="453">
        <v>71202</v>
      </c>
      <c r="S91" s="426">
        <v>3510</v>
      </c>
      <c r="T91" s="426">
        <v>12</v>
      </c>
      <c r="U91" s="426">
        <v>65</v>
      </c>
    </row>
    <row r="92">
      <c r="A92" s="397"/>
      <c r="B92" s="427" t="s">
        <v>239</v>
      </c>
      <c r="C92" s="427"/>
      <c r="D92" s="428">
        <f>SUM(D88:D91)</f>
      </c>
      <c r="E92" s="428">
        <f>SUM(E88:E91)</f>
      </c>
      <c r="F92" s="428">
        <f>SUM(F88:F91)</f>
      </c>
      <c r="G92" s="428">
        <f>SUM(G88:G91)</f>
      </c>
      <c r="H92" s="429">
        <f>SUM(H88:H91)</f>
      </c>
      <c r="I92" s="428">
        <f>SUM(I88:I91)</f>
      </c>
      <c r="J92" s="430">
        <f t="shared" si="84"/>
      </c>
      <c r="K92" s="431">
        <f t="shared" si="145"/>
      </c>
      <c r="L92" s="432">
        <f t="shared" si="164"/>
      </c>
      <c r="M92" s="433">
        <f t="shared" si="107"/>
      </c>
      <c r="N92" s="433">
        <f t="shared" si="126"/>
      </c>
      <c r="O92" s="434">
        <f t="shared" si="65"/>
      </c>
      <c r="P92" s="434"/>
      <c r="Q92" s="434"/>
      <c r="R92" s="429">
        <f>SUM(R88:R91)</f>
      </c>
      <c r="S92" s="429">
        <f>SUM(S88:S91)</f>
      </c>
      <c r="T92" s="429">
        <f>SUM(T88:T91)</f>
      </c>
      <c r="U92" s="429">
        <f>SUM(U88:U91)</f>
      </c>
    </row>
    <row r="93">
      <c r="A93" s="397"/>
      <c r="B93" s="413" t="s">
        <v>255</v>
      </c>
      <c r="C93" s="412" t="s">
        <v>235</v>
      </c>
      <c r="D93" s="415">
        <f t="shared" ref="D93:D96" si="15">SUM(E93:G93)</f>
      </c>
      <c r="E93" s="416">
        <v>3298.42</v>
      </c>
      <c r="F93" s="417">
        <v>1188.45</v>
      </c>
      <c r="G93" s="401">
        <v>0</v>
      </c>
      <c r="H93" s="418">
        <v>10</v>
      </c>
      <c r="I93" s="417">
        <v>4606.32</v>
      </c>
      <c r="J93" s="419">
        <f t="shared" si="84"/>
      </c>
      <c r="K93" s="419">
        <f t="shared" si="145"/>
      </c>
      <c r="L93" s="419">
        <f t="shared" si="164"/>
      </c>
      <c r="M93" s="420">
        <f t="shared" si="107"/>
      </c>
      <c r="N93" s="421">
        <f t="shared" si="126"/>
      </c>
      <c r="O93" s="422">
        <f t="shared" si="65"/>
      </c>
      <c r="P93" s="407" t="s">
        <v>248</v>
      </c>
      <c r="Q93" s="423" t="s">
        <v>252</v>
      </c>
      <c r="R93" s="453">
        <v>50302</v>
      </c>
      <c r="S93" s="426">
        <v>2581</v>
      </c>
      <c r="T93" s="426">
        <v>12</v>
      </c>
      <c r="U93" s="426">
        <v>57</v>
      </c>
    </row>
    <row r="94">
      <c r="A94" s="397"/>
      <c r="B94" s="413" t="s">
        <v>255</v>
      </c>
      <c r="C94" s="414" t="s">
        <v>236</v>
      </c>
      <c r="D94" s="415">
        <f t="shared" si="15"/>
      </c>
      <c r="E94" s="416">
        <v>3250.25</v>
      </c>
      <c r="F94" s="417">
        <v>648.34</v>
      </c>
      <c r="G94" s="401">
        <v>0</v>
      </c>
      <c r="H94" s="418">
        <v>12</v>
      </c>
      <c r="I94" s="417">
        <v>5576.04</v>
      </c>
      <c r="J94" s="419">
        <f t="shared" si="84"/>
      </c>
      <c r="K94" s="419">
        <f t="shared" si="145"/>
      </c>
      <c r="L94" s="419">
        <f t="shared" si="164"/>
      </c>
      <c r="M94" s="420">
        <f t="shared" si="107"/>
      </c>
      <c r="N94" s="421">
        <f t="shared" si="126"/>
      </c>
      <c r="O94" s="422">
        <f t="shared" si="65"/>
      </c>
      <c r="P94" s="407" t="s">
        <v>248</v>
      </c>
      <c r="Q94" s="423" t="s">
        <v>252</v>
      </c>
      <c r="R94" s="453">
        <v>43422</v>
      </c>
      <c r="S94" s="426">
        <v>2088</v>
      </c>
      <c r="T94" s="426">
        <v>13</v>
      </c>
      <c r="U94" s="426">
        <v>49</v>
      </c>
    </row>
    <row r="95">
      <c r="A95" s="397"/>
      <c r="B95" s="413" t="s">
        <v>255</v>
      </c>
      <c r="C95" s="414" t="s">
        <v>237</v>
      </c>
      <c r="D95" s="415">
        <f t="shared" si="15"/>
      </c>
      <c r="E95" s="416">
        <v>3106.46</v>
      </c>
      <c r="F95" s="417">
        <v>266.15</v>
      </c>
      <c r="G95" s="401">
        <v>0</v>
      </c>
      <c r="H95" s="418">
        <v>12</v>
      </c>
      <c r="I95" s="417">
        <v>5093.94</v>
      </c>
      <c r="J95" s="419">
        <f t="shared" si="84"/>
      </c>
      <c r="K95" s="419">
        <f t="shared" si="145"/>
      </c>
      <c r="L95" s="419">
        <f t="shared" si="164"/>
      </c>
      <c r="M95" s="420">
        <f t="shared" si="107"/>
      </c>
      <c r="N95" s="421">
        <f t="shared" si="126"/>
      </c>
      <c r="O95" s="422">
        <f t="shared" si="65"/>
      </c>
      <c r="P95" s="407" t="s">
        <v>248</v>
      </c>
      <c r="Q95" s="423" t="s">
        <v>252</v>
      </c>
      <c r="R95" s="453">
        <v>39608</v>
      </c>
      <c r="S95" s="426">
        <v>1910</v>
      </c>
      <c r="T95" s="426">
        <v>14</v>
      </c>
      <c r="U95" s="426">
        <v>45</v>
      </c>
    </row>
    <row r="96">
      <c r="A96" s="397"/>
      <c r="B96" s="413" t="s">
        <v>255</v>
      </c>
      <c r="C96" s="414" t="s">
        <v>238</v>
      </c>
      <c r="D96" s="415">
        <f t="shared" si="15"/>
      </c>
      <c r="E96" s="416">
        <v>3647.76</v>
      </c>
      <c r="F96" s="417">
        <v>1164.24</v>
      </c>
      <c r="G96" s="417">
        <v>0</v>
      </c>
      <c r="H96" s="418">
        <v>10</v>
      </c>
      <c r="I96" s="417">
        <v>3254.88</v>
      </c>
      <c r="J96" s="419">
        <f t="shared" si="84"/>
      </c>
      <c r="K96" s="419">
        <f t="shared" si="145"/>
      </c>
      <c r="L96" s="419">
        <f t="shared" si="164"/>
      </c>
      <c r="M96" s="420">
        <f t="shared" si="107"/>
      </c>
      <c r="N96" s="421">
        <f t="shared" si="126"/>
      </c>
      <c r="O96" s="422">
        <f t="shared" si="65"/>
      </c>
      <c r="P96" s="407" t="s">
        <v>248</v>
      </c>
      <c r="Q96" s="423" t="s">
        <v>252</v>
      </c>
      <c r="R96" s="453">
        <v>55744</v>
      </c>
      <c r="S96" s="426">
        <v>3515</v>
      </c>
      <c r="T96" s="426">
        <v>16</v>
      </c>
      <c r="U96" s="426">
        <v>62</v>
      </c>
    </row>
    <row r="97">
      <c r="A97" s="397"/>
      <c r="B97" s="427" t="s">
        <v>239</v>
      </c>
      <c r="C97" s="427"/>
      <c r="D97" s="428">
        <f>SUM(D93:D96)</f>
      </c>
      <c r="E97" s="428">
        <f>SUM(E93:E96)</f>
      </c>
      <c r="F97" s="428">
        <f>SUM(F93:F96)</f>
      </c>
      <c r="G97" s="428">
        <f>SUM(G93:G96)</f>
      </c>
      <c r="H97" s="429">
        <f>SUM(H93:H96)</f>
      </c>
      <c r="I97" s="428">
        <f>SUM(I93:I96)</f>
      </c>
      <c r="J97" s="430">
        <f t="shared" si="84"/>
      </c>
      <c r="K97" s="431">
        <f t="shared" si="145"/>
      </c>
      <c r="L97" s="432">
        <f t="shared" si="164"/>
      </c>
      <c r="M97" s="433">
        <f t="shared" si="107"/>
      </c>
      <c r="N97" s="433">
        <f t="shared" si="126"/>
      </c>
      <c r="O97" s="434">
        <f t="shared" si="65"/>
      </c>
      <c r="P97" s="434"/>
      <c r="Q97" s="434"/>
      <c r="R97" s="429">
        <f>SUM(R93:R96)</f>
      </c>
      <c r="S97" s="429">
        <f>SUM(S93:S96)</f>
      </c>
      <c r="T97" s="429">
        <f>SUM(T93:T96)</f>
      </c>
      <c r="U97" s="429">
        <f>SUM(U93:U96)</f>
      </c>
    </row>
    <row r="98">
      <c r="A98" s="397"/>
      <c r="B98" s="435" t="s">
        <v>240</v>
      </c>
      <c r="C98" s="435"/>
      <c r="D98" s="436">
        <f>D87+D92+D97</f>
      </c>
      <c r="E98" s="436">
        <f>E87+E92+E97</f>
      </c>
      <c r="F98" s="436">
        <f>F87+F92+F97</f>
      </c>
      <c r="G98" s="436">
        <f>G87+G92+G97</f>
      </c>
      <c r="H98" s="437">
        <f>H87+H92+H97</f>
      </c>
      <c r="I98" s="436">
        <f>I87+I92+I97</f>
      </c>
      <c r="J98" s="438">
        <f t="shared" si="84"/>
      </c>
      <c r="K98" s="438">
        <f t="shared" si="145"/>
      </c>
      <c r="L98" s="438">
        <f t="shared" si="164"/>
      </c>
      <c r="M98" s="439">
        <f t="shared" si="107"/>
      </c>
      <c r="N98" s="439">
        <f t="shared" si="126"/>
      </c>
      <c r="O98" s="438">
        <f t="shared" si="65"/>
      </c>
      <c r="P98" s="440"/>
      <c r="Q98" s="440"/>
      <c r="R98" s="437">
        <f>R87+R92+R97</f>
      </c>
      <c r="S98" s="437">
        <f>S87+S92+S97</f>
      </c>
      <c r="T98" s="437">
        <f>T87+T92+T97</f>
      </c>
      <c r="U98" s="437">
        <f>U87+U92+U97</f>
      </c>
    </row>
    <row customHeight="true" ht="16.666666666666668" r="99">
      <c r="A99" s="444" t="s">
        <v>205</v>
      </c>
      <c r="B99" s="444"/>
      <c r="C99" s="444"/>
      <c r="D99" s="445" t="s">
        <v>206</v>
      </c>
      <c r="E99" s="445"/>
      <c r="F99" s="445"/>
      <c r="G99" s="445"/>
      <c r="H99" s="445"/>
      <c r="I99" s="445"/>
      <c r="J99" s="445"/>
      <c r="K99" s="445"/>
      <c r="L99" s="445"/>
      <c r="M99" s="446" t="s">
        <v>207</v>
      </c>
      <c r="N99" s="446"/>
      <c r="O99" s="446"/>
      <c r="P99" s="446"/>
      <c r="Q99" s="446"/>
      <c r="R99" s="447" t="s">
        <v>208</v>
      </c>
      <c r="S99" s="447"/>
      <c r="T99" s="447"/>
      <c r="U99" s="447"/>
      <c r="V99" s="448"/>
    </row>
    <row customHeight="true" ht="16.666666666666668" r="100">
      <c r="A100" s="444" t="s">
        <v>209</v>
      </c>
      <c r="B100" s="444" t="s">
        <v>210</v>
      </c>
      <c r="C100" s="444" t="s">
        <v>211</v>
      </c>
      <c r="D100" s="445" t="s">
        <v>212</v>
      </c>
      <c r="E100" s="445" t="s">
        <v>213</v>
      </c>
      <c r="F100" s="445" t="s">
        <v>214</v>
      </c>
      <c r="G100" s="445" t="s">
        <v>215</v>
      </c>
      <c r="H100" s="449" t="s">
        <v>216</v>
      </c>
      <c r="I100" s="445" t="s">
        <v>217</v>
      </c>
      <c r="J100" s="450" t="s">
        <v>218</v>
      </c>
      <c r="K100" s="451" t="s">
        <v>219</v>
      </c>
      <c r="L100" s="445" t="s">
        <v>220</v>
      </c>
      <c r="M100" s="446" t="s">
        <v>221</v>
      </c>
      <c r="N100" s="446" t="s">
        <v>222</v>
      </c>
      <c r="O100" s="446" t="s">
        <v>223</v>
      </c>
      <c r="P100" s="452" t="s">
        <v>224</v>
      </c>
      <c r="Q100" s="452" t="s">
        <v>225</v>
      </c>
      <c r="R100" s="447" t="s">
        <v>226</v>
      </c>
      <c r="S100" s="447" t="s">
        <v>227</v>
      </c>
      <c r="T100" s="447" t="s">
        <v>228</v>
      </c>
      <c r="U100" s="447" t="s">
        <v>230</v>
      </c>
      <c r="V100" s="448"/>
    </row>
    <row r="101">
      <c r="A101" s="397">
        <v>46302</v>
      </c>
      <c r="B101" s="413" t="s">
        <v>231</v>
      </c>
      <c r="C101" s="441" t="s">
        <v>242</v>
      </c>
      <c r="D101" s="399">
        <f t="shared" ref="D101:D104" si="16">SUM(E101:G101)</f>
      </c>
      <c r="E101" s="400">
        <v>2491.6</v>
      </c>
      <c r="F101" s="401">
        <v>1726.71</v>
      </c>
      <c r="G101" s="401">
        <v>0</v>
      </c>
      <c r="H101" s="443">
        <v>13</v>
      </c>
      <c r="I101" s="401">
        <v>9329.88</v>
      </c>
      <c r="J101" s="403">
        <f t="shared" ref="J101:J116" si="85">I101/D101</f>
      </c>
      <c r="K101" s="403">
        <f t="shared" ref="K101:K116" si="146">D101/H101</f>
      </c>
      <c r="L101" s="403">
        <f t="shared" ref="L101:L116" si="165">I101/H101</f>
      </c>
      <c r="M101" s="404">
        <f t="shared" ref="M101:M116" si="108">S101/R101</f>
      </c>
      <c r="N101" s="405">
        <f t="shared" ref="N101:N116" si="127">H101/(T101+H101)</f>
      </c>
      <c r="O101" s="406">
        <f t="shared" ref="O101:O116" si="66">(U101*1000)/D101</f>
      </c>
      <c r="P101" s="407" t="s">
        <v>233</v>
      </c>
      <c r="Q101" s="423" t="s">
        <v>234</v>
      </c>
      <c r="R101" s="409">
        <v>39039</v>
      </c>
      <c r="S101" s="410">
        <v>2413</v>
      </c>
      <c r="T101" s="411">
        <v>9</v>
      </c>
      <c r="U101" s="411">
        <v>63</v>
      </c>
      <c r="V101" s="448"/>
    </row>
    <row r="102">
      <c r="A102" s="397"/>
      <c r="B102" s="413" t="s">
        <v>231</v>
      </c>
      <c r="C102" s="441" t="s">
        <v>243</v>
      </c>
      <c r="D102" s="399">
        <f t="shared" si="16"/>
      </c>
      <c r="E102" s="400">
        <v>2770.42</v>
      </c>
      <c r="F102" s="401">
        <v>1104.45</v>
      </c>
      <c r="G102" s="401">
        <v>0</v>
      </c>
      <c r="H102" s="443">
        <v>13</v>
      </c>
      <c r="I102" s="401">
        <v>6563.960000000001</v>
      </c>
      <c r="J102" s="403">
        <f t="shared" si="85"/>
      </c>
      <c r="K102" s="403">
        <f t="shared" si="146"/>
      </c>
      <c r="L102" s="403">
        <f t="shared" si="165"/>
      </c>
      <c r="M102" s="404">
        <f t="shared" si="108"/>
      </c>
      <c r="N102" s="405">
        <f t="shared" si="127"/>
      </c>
      <c r="O102" s="406">
        <f t="shared" si="66"/>
      </c>
      <c r="P102" s="407" t="s">
        <v>233</v>
      </c>
      <c r="Q102" s="423" t="s">
        <v>234</v>
      </c>
      <c r="R102" s="409">
        <v>34290</v>
      </c>
      <c r="S102" s="410">
        <v>2370</v>
      </c>
      <c r="T102" s="411">
        <v>17</v>
      </c>
      <c r="U102" s="411">
        <v>60</v>
      </c>
      <c r="V102" s="448"/>
    </row>
    <row r="103">
      <c r="A103" s="397"/>
      <c r="B103" s="413" t="s">
        <v>231</v>
      </c>
      <c r="C103" s="441" t="s">
        <v>244</v>
      </c>
      <c r="D103" s="415">
        <f t="shared" si="16"/>
      </c>
      <c r="E103" s="416">
        <v>1939.86</v>
      </c>
      <c r="F103" s="417">
        <v>1080.04</v>
      </c>
      <c r="G103" s="417">
        <v>0</v>
      </c>
      <c r="H103" s="418">
        <v>18</v>
      </c>
      <c r="I103" s="417">
        <v>11814.68</v>
      </c>
      <c r="J103" s="419">
        <f t="shared" si="85"/>
      </c>
      <c r="K103" s="419">
        <f t="shared" si="146"/>
      </c>
      <c r="L103" s="419">
        <f t="shared" si="165"/>
      </c>
      <c r="M103" s="420">
        <f t="shared" si="108"/>
      </c>
      <c r="N103" s="421">
        <f t="shared" si="127"/>
      </c>
      <c r="O103" s="422">
        <f t="shared" si="66"/>
      </c>
      <c r="P103" s="407" t="s">
        <v>233</v>
      </c>
      <c r="Q103" s="423" t="s">
        <v>234</v>
      </c>
      <c r="R103" s="424">
        <v>23915</v>
      </c>
      <c r="S103" s="425">
        <v>1567</v>
      </c>
      <c r="T103" s="426">
        <v>6</v>
      </c>
      <c r="U103" s="426">
        <v>59</v>
      </c>
    </row>
    <row r="104">
      <c r="A104" s="397"/>
      <c r="B104" s="413" t="s">
        <v>231</v>
      </c>
      <c r="C104" s="441" t="s">
        <v>245</v>
      </c>
      <c r="D104" s="415">
        <f t="shared" si="16"/>
      </c>
      <c r="E104" s="416">
        <v>1622.38</v>
      </c>
      <c r="F104" s="417">
        <v>990.62</v>
      </c>
      <c r="G104" s="417">
        <v>0</v>
      </c>
      <c r="H104" s="418">
        <v>6</v>
      </c>
      <c r="I104" s="417">
        <v>1855.26</v>
      </c>
      <c r="J104" s="419">
        <f t="shared" si="85"/>
      </c>
      <c r="K104" s="419">
        <f t="shared" si="146"/>
      </c>
      <c r="L104" s="419">
        <f t="shared" si="165"/>
      </c>
      <c r="M104" s="420">
        <f t="shared" si="108"/>
      </c>
      <c r="N104" s="421">
        <f t="shared" si="127"/>
      </c>
      <c r="O104" s="422">
        <f t="shared" si="66"/>
      </c>
      <c r="P104" s="407" t="s">
        <v>233</v>
      </c>
      <c r="Q104" s="423" t="s">
        <v>234</v>
      </c>
      <c r="R104" s="453">
        <v>17844</v>
      </c>
      <c r="S104" s="426">
        <v>712</v>
      </c>
      <c r="T104" s="426">
        <v>4</v>
      </c>
      <c r="U104" s="426">
        <v>28</v>
      </c>
    </row>
    <row r="105">
      <c r="A105" s="397"/>
      <c r="B105" s="427" t="s">
        <v>239</v>
      </c>
      <c r="C105" s="427"/>
      <c r="D105" s="428">
        <f>SUM(D101:D104)</f>
      </c>
      <c r="E105" s="428">
        <f>SUM(E101:E104)</f>
      </c>
      <c r="F105" s="428">
        <f>SUM(F101:F104)</f>
      </c>
      <c r="G105" s="428">
        <f>SUM(G101:G104)</f>
      </c>
      <c r="H105" s="429">
        <f>SUM(H101:H104)</f>
      </c>
      <c r="I105" s="428">
        <f>SUM(I101:I104)</f>
      </c>
      <c r="J105" s="430">
        <f t="shared" si="85"/>
      </c>
      <c r="K105" s="431">
        <f t="shared" si="146"/>
      </c>
      <c r="L105" s="432">
        <f t="shared" si="165"/>
      </c>
      <c r="M105" s="433">
        <f t="shared" si="108"/>
      </c>
      <c r="N105" s="433">
        <f t="shared" si="127"/>
      </c>
      <c r="O105" s="434">
        <f t="shared" si="66"/>
      </c>
      <c r="P105" s="434"/>
      <c r="Q105" s="434"/>
      <c r="R105" s="429">
        <f>SUM(R101:R104)</f>
      </c>
      <c r="S105" s="429">
        <f>SUM(S101:S104)</f>
      </c>
      <c r="T105" s="429">
        <f>SUM(T101:T104)</f>
      </c>
      <c r="U105" s="429">
        <f>SUM(U101:U104)</f>
      </c>
    </row>
    <row r="106">
      <c r="A106" s="397"/>
      <c r="B106" s="398" t="s">
        <v>256</v>
      </c>
      <c r="C106" s="441" t="s">
        <v>247</v>
      </c>
      <c r="D106" s="415">
        <f t="shared" ref="D106:D109" si="17">SUM(E106:G106)</f>
      </c>
      <c r="E106" s="416">
        <v>2450.16</v>
      </c>
      <c r="F106" s="417">
        <v>1527.55</v>
      </c>
      <c r="G106" s="401">
        <v>0</v>
      </c>
      <c r="H106" s="418">
        <v>16</v>
      </c>
      <c r="I106" s="417">
        <v>13152.96</v>
      </c>
      <c r="J106" s="419">
        <f t="shared" si="85"/>
      </c>
      <c r="K106" s="419">
        <f t="shared" si="146"/>
      </c>
      <c r="L106" s="419">
        <f t="shared" si="165"/>
      </c>
      <c r="M106" s="420">
        <f t="shared" si="108"/>
      </c>
      <c r="N106" s="421">
        <f t="shared" si="127"/>
      </c>
      <c r="O106" s="422">
        <f t="shared" si="66"/>
      </c>
      <c r="P106" s="407" t="s">
        <v>248</v>
      </c>
      <c r="Q106" s="423" t="s">
        <v>252</v>
      </c>
      <c r="R106" s="453">
        <v>36876</v>
      </c>
      <c r="S106" s="426">
        <v>2040</v>
      </c>
      <c r="T106" s="426">
        <v>19</v>
      </c>
      <c r="U106" s="426">
        <v>57</v>
      </c>
    </row>
    <row r="107">
      <c r="A107" s="397"/>
      <c r="B107" s="398" t="s">
        <v>256</v>
      </c>
      <c r="C107" s="417" t="s">
        <v>249</v>
      </c>
      <c r="D107" s="415">
        <f t="shared" si="17"/>
      </c>
      <c r="E107" s="416">
        <v>2734.42</v>
      </c>
      <c r="F107" s="417">
        <v>1255.95</v>
      </c>
      <c r="G107" s="401">
        <v>0</v>
      </c>
      <c r="H107" s="418">
        <v>9</v>
      </c>
      <c r="I107" s="417">
        <v>6684.96</v>
      </c>
      <c r="J107" s="419">
        <f t="shared" si="85"/>
      </c>
      <c r="K107" s="419">
        <f t="shared" si="146"/>
      </c>
      <c r="L107" s="419">
        <f t="shared" si="165"/>
      </c>
      <c r="M107" s="420">
        <f t="shared" si="108"/>
      </c>
      <c r="N107" s="421">
        <f t="shared" si="127"/>
      </c>
      <c r="O107" s="422">
        <f t="shared" si="66"/>
      </c>
      <c r="P107" s="407" t="s">
        <v>248</v>
      </c>
      <c r="Q107" s="423" t="s">
        <v>252</v>
      </c>
      <c r="R107" s="453">
        <v>35792</v>
      </c>
      <c r="S107" s="426">
        <v>1885</v>
      </c>
      <c r="T107" s="426">
        <v>15</v>
      </c>
      <c r="U107" s="426">
        <v>60</v>
      </c>
    </row>
    <row r="108">
      <c r="A108" s="397"/>
      <c r="B108" s="398" t="s">
        <v>256</v>
      </c>
      <c r="C108" s="414" t="s">
        <v>250</v>
      </c>
      <c r="D108" s="415">
        <f t="shared" si="17"/>
      </c>
      <c r="E108" s="416">
        <v>2841.59</v>
      </c>
      <c r="F108" s="417">
        <v>1453.93</v>
      </c>
      <c r="G108" s="417">
        <v>0</v>
      </c>
      <c r="H108" s="418">
        <v>14</v>
      </c>
      <c r="I108" s="417">
        <v>10532.16</v>
      </c>
      <c r="J108" s="419">
        <f t="shared" si="85"/>
      </c>
      <c r="K108" s="419">
        <f t="shared" si="146"/>
      </c>
      <c r="L108" s="419">
        <f t="shared" si="165"/>
      </c>
      <c r="M108" s="420">
        <f t="shared" si="108"/>
      </c>
      <c r="N108" s="421">
        <f t="shared" si="127"/>
      </c>
      <c r="O108" s="422">
        <f t="shared" si="66"/>
      </c>
      <c r="P108" s="407" t="s">
        <v>248</v>
      </c>
      <c r="Q108" s="423" t="s">
        <v>252</v>
      </c>
      <c r="R108" s="453">
        <v>43126</v>
      </c>
      <c r="S108" s="426">
        <v>2010</v>
      </c>
      <c r="T108" s="426">
        <v>15</v>
      </c>
      <c r="U108" s="426">
        <v>44</v>
      </c>
    </row>
    <row r="109">
      <c r="A109" s="397"/>
      <c r="B109" s="398" t="s">
        <v>256</v>
      </c>
      <c r="C109" s="399" t="s">
        <v>232</v>
      </c>
      <c r="D109" s="415">
        <f t="shared" si="17"/>
      </c>
      <c r="E109" s="416">
        <v>2977.92</v>
      </c>
      <c r="F109" s="417">
        <v>1472.48</v>
      </c>
      <c r="G109" s="417">
        <v>0</v>
      </c>
      <c r="H109" s="418">
        <v>17</v>
      </c>
      <c r="I109" s="417">
        <v>12018.5</v>
      </c>
      <c r="J109" s="419">
        <f t="shared" si="85"/>
      </c>
      <c r="K109" s="419">
        <f t="shared" si="146"/>
      </c>
      <c r="L109" s="419">
        <f t="shared" si="165"/>
      </c>
      <c r="M109" s="420">
        <f t="shared" si="108"/>
      </c>
      <c r="N109" s="421">
        <f t="shared" si="127"/>
      </c>
      <c r="O109" s="422">
        <f t="shared" si="66"/>
      </c>
      <c r="P109" s="407" t="s">
        <v>248</v>
      </c>
      <c r="Q109" s="423" t="s">
        <v>252</v>
      </c>
      <c r="R109" s="453">
        <v>46856</v>
      </c>
      <c r="S109" s="426">
        <v>2238</v>
      </c>
      <c r="T109" s="426">
        <v>18</v>
      </c>
      <c r="U109" s="426">
        <v>54</v>
      </c>
    </row>
    <row r="110">
      <c r="A110" s="397"/>
      <c r="B110" s="427" t="s">
        <v>239</v>
      </c>
      <c r="C110" s="427"/>
      <c r="D110" s="428">
        <f>SUM(D106:D109)</f>
      </c>
      <c r="E110" s="428">
        <f>SUM(E106:E109)</f>
      </c>
      <c r="F110" s="428">
        <f>SUM(F106:F109)</f>
      </c>
      <c r="G110" s="428">
        <f>SUM(G106:G109)</f>
      </c>
      <c r="H110" s="429">
        <f>SUM(H106:H109)</f>
      </c>
      <c r="I110" s="428">
        <f>SUM(I106:I109)</f>
      </c>
      <c r="J110" s="430">
        <f t="shared" si="85"/>
      </c>
      <c r="K110" s="431">
        <f t="shared" si="146"/>
      </c>
      <c r="L110" s="432">
        <f t="shared" si="165"/>
      </c>
      <c r="M110" s="433">
        <f t="shared" si="108"/>
      </c>
      <c r="N110" s="433">
        <f t="shared" si="127"/>
      </c>
      <c r="O110" s="434">
        <f t="shared" si="66"/>
      </c>
      <c r="P110" s="434"/>
      <c r="Q110" s="434"/>
      <c r="R110" s="429">
        <f>SUM(R106:R109)</f>
      </c>
      <c r="S110" s="429">
        <f>SUM(S106:S109)</f>
      </c>
      <c r="T110" s="429">
        <f>SUM(T106:T109)</f>
      </c>
      <c r="U110" s="429">
        <f>SUM(U106:U109)</f>
      </c>
    </row>
    <row r="111">
      <c r="A111" s="397"/>
      <c r="B111" s="413" t="s">
        <v>246</v>
      </c>
      <c r="C111" s="412" t="s">
        <v>235</v>
      </c>
      <c r="D111" s="415">
        <f t="shared" ref="D111:D114" si="18">SUM(E111:G111)</f>
      </c>
      <c r="E111" s="416">
        <v>4795.23</v>
      </c>
      <c r="F111" s="417">
        <v>2262.2</v>
      </c>
      <c r="G111" s="401">
        <v>0</v>
      </c>
      <c r="H111" s="418">
        <v>21</v>
      </c>
      <c r="I111" s="417">
        <v>9099.96</v>
      </c>
      <c r="J111" s="419">
        <f t="shared" si="85"/>
      </c>
      <c r="K111" s="419">
        <f t="shared" si="146"/>
      </c>
      <c r="L111" s="419">
        <f t="shared" si="165"/>
      </c>
      <c r="M111" s="420">
        <f t="shared" si="108"/>
      </c>
      <c r="N111" s="421">
        <f t="shared" si="127"/>
      </c>
      <c r="O111" s="422">
        <f t="shared" si="66"/>
      </c>
      <c r="P111" s="407" t="s">
        <v>248</v>
      </c>
      <c r="Q111" s="423" t="s">
        <v>252</v>
      </c>
      <c r="R111" s="453">
        <v>75443</v>
      </c>
      <c r="S111" s="426">
        <v>3794</v>
      </c>
      <c r="T111" s="426">
        <v>21</v>
      </c>
      <c r="U111" s="426">
        <v>113</v>
      </c>
    </row>
    <row r="112">
      <c r="A112" s="397"/>
      <c r="B112" s="413" t="s">
        <v>246</v>
      </c>
      <c r="C112" s="414" t="s">
        <v>236</v>
      </c>
      <c r="D112" s="415">
        <f t="shared" si="18"/>
      </c>
      <c r="E112" s="416">
        <v>5606.35</v>
      </c>
      <c r="F112" s="417">
        <v>937.69</v>
      </c>
      <c r="G112" s="401">
        <v>0</v>
      </c>
      <c r="H112" s="418">
        <v>38</v>
      </c>
      <c r="I112" s="417">
        <v>24864.3</v>
      </c>
      <c r="J112" s="419">
        <f t="shared" si="85"/>
      </c>
      <c r="K112" s="419">
        <f t="shared" si="146"/>
      </c>
      <c r="L112" s="419">
        <f t="shared" si="165"/>
      </c>
      <c r="M112" s="420">
        <f t="shared" si="108"/>
      </c>
      <c r="N112" s="421">
        <f t="shared" si="127"/>
      </c>
      <c r="O112" s="422">
        <f t="shared" si="66"/>
      </c>
      <c r="P112" s="407" t="s">
        <v>248</v>
      </c>
      <c r="Q112" s="423" t="s">
        <v>252</v>
      </c>
      <c r="R112" s="453">
        <v>71911</v>
      </c>
      <c r="S112" s="426">
        <v>3775</v>
      </c>
      <c r="T112" s="426">
        <v>46</v>
      </c>
      <c r="U112" s="426">
        <v>122</v>
      </c>
    </row>
    <row r="113">
      <c r="A113" s="397"/>
      <c r="B113" s="413" t="s">
        <v>246</v>
      </c>
      <c r="C113" s="414" t="s">
        <v>237</v>
      </c>
      <c r="D113" s="415">
        <f t="shared" si="18"/>
      </c>
      <c r="E113" s="416">
        <v>7722.68</v>
      </c>
      <c r="F113" s="417">
        <v>2044.27</v>
      </c>
      <c r="G113" s="401">
        <v>0</v>
      </c>
      <c r="H113" s="418">
        <v>43</v>
      </c>
      <c r="I113" s="417">
        <v>26039.16</v>
      </c>
      <c r="J113" s="419">
        <f t="shared" si="85"/>
      </c>
      <c r="K113" s="419">
        <f t="shared" si="146"/>
      </c>
      <c r="L113" s="419">
        <f t="shared" si="165"/>
      </c>
      <c r="M113" s="420">
        <f t="shared" si="108"/>
      </c>
      <c r="N113" s="421">
        <f t="shared" si="127"/>
      </c>
      <c r="O113" s="422">
        <f t="shared" si="66"/>
      </c>
      <c r="P113" s="407" t="s">
        <v>248</v>
      </c>
      <c r="Q113" s="423" t="s">
        <v>252</v>
      </c>
      <c r="R113" s="453">
        <v>107255</v>
      </c>
      <c r="S113" s="426">
        <v>5831</v>
      </c>
      <c r="T113" s="426">
        <v>34</v>
      </c>
      <c r="U113" s="426">
        <v>119</v>
      </c>
    </row>
    <row r="114">
      <c r="A114" s="397"/>
      <c r="B114" s="413" t="s">
        <v>246</v>
      </c>
      <c r="C114" s="414" t="s">
        <v>238</v>
      </c>
      <c r="D114" s="415">
        <f t="shared" si="18"/>
      </c>
      <c r="E114" s="416">
        <v>5517.73</v>
      </c>
      <c r="F114" s="417">
        <v>1330.63</v>
      </c>
      <c r="G114" s="417">
        <v>0</v>
      </c>
      <c r="H114" s="418">
        <v>25</v>
      </c>
      <c r="I114" s="417">
        <v>12222.48</v>
      </c>
      <c r="J114" s="419">
        <f t="shared" si="85"/>
      </c>
      <c r="K114" s="419">
        <f t="shared" si="146"/>
      </c>
      <c r="L114" s="419">
        <f t="shared" si="165"/>
      </c>
      <c r="M114" s="420">
        <f t="shared" si="108"/>
      </c>
      <c r="N114" s="421">
        <f t="shared" si="127"/>
      </c>
      <c r="O114" s="422">
        <f t="shared" si="66"/>
      </c>
      <c r="P114" s="407" t="s">
        <v>248</v>
      </c>
      <c r="Q114" s="423" t="s">
        <v>252</v>
      </c>
      <c r="R114" s="453">
        <v>69956</v>
      </c>
      <c r="S114" s="426">
        <v>3509</v>
      </c>
      <c r="T114" s="426">
        <v>15</v>
      </c>
      <c r="U114" s="426">
        <v>61</v>
      </c>
    </row>
    <row r="115">
      <c r="A115" s="397"/>
      <c r="B115" s="427" t="s">
        <v>239</v>
      </c>
      <c r="C115" s="427"/>
      <c r="D115" s="428">
        <f>SUM(D111:D114)</f>
      </c>
      <c r="E115" s="428">
        <f>SUM(E111:E114)</f>
      </c>
      <c r="F115" s="428">
        <f>SUM(F111:F114)</f>
      </c>
      <c r="G115" s="428">
        <f>SUM(G111:G114)</f>
      </c>
      <c r="H115" s="429">
        <f>SUM(H111:H114)</f>
      </c>
      <c r="I115" s="428">
        <f>SUM(I111:I114)</f>
      </c>
      <c r="J115" s="430">
        <f t="shared" si="85"/>
      </c>
      <c r="K115" s="431">
        <f t="shared" si="146"/>
      </c>
      <c r="L115" s="432">
        <f t="shared" si="165"/>
      </c>
      <c r="M115" s="433">
        <f t="shared" si="108"/>
      </c>
      <c r="N115" s="433">
        <f t="shared" si="127"/>
      </c>
      <c r="O115" s="434">
        <f t="shared" si="66"/>
      </c>
      <c r="P115" s="434"/>
      <c r="Q115" s="434"/>
      <c r="R115" s="429">
        <f>SUM(R111:R114)</f>
      </c>
      <c r="S115" s="429">
        <f>SUM(S111:S114)</f>
      </c>
      <c r="T115" s="429">
        <f>SUM(T111:T114)</f>
      </c>
      <c r="U115" s="429">
        <f>SUM(U111:U114)</f>
      </c>
    </row>
    <row r="116">
      <c r="A116" s="397"/>
      <c r="B116" s="435" t="s">
        <v>240</v>
      </c>
      <c r="C116" s="435"/>
      <c r="D116" s="436">
        <f>D105+D110+D115</f>
      </c>
      <c r="E116" s="436">
        <f>E105+E110+E115</f>
      </c>
      <c r="F116" s="436">
        <f>F105+F110+F115</f>
      </c>
      <c r="G116" s="436">
        <f>G105+G110+G115</f>
      </c>
      <c r="H116" s="437">
        <f>H105+H110+H115</f>
      </c>
      <c r="I116" s="436">
        <f>I105+I110+I115</f>
      </c>
      <c r="J116" s="438">
        <f t="shared" si="85"/>
      </c>
      <c r="K116" s="438">
        <f t="shared" si="146"/>
      </c>
      <c r="L116" s="438">
        <f t="shared" si="165"/>
      </c>
      <c r="M116" s="439">
        <f t="shared" si="108"/>
      </c>
      <c r="N116" s="439">
        <f t="shared" si="127"/>
      </c>
      <c r="O116" s="438">
        <f t="shared" si="66"/>
      </c>
      <c r="P116" s="440"/>
      <c r="Q116" s="440"/>
      <c r="R116" s="437">
        <f>R105+R110+R115</f>
      </c>
      <c r="S116" s="437">
        <f>S105+S110+S115</f>
      </c>
      <c r="T116" s="437">
        <f>T105+T110+T115</f>
      </c>
      <c r="U116" s="437">
        <f>U105+U110+U115</f>
      </c>
    </row>
    <row customHeight="true" ht="18.452380952380953" r="117">
      <c r="A117" s="387" t="s">
        <v>205</v>
      </c>
      <c r="B117" s="387"/>
      <c r="C117" s="387"/>
      <c r="D117" s="388" t="s">
        <v>206</v>
      </c>
      <c r="E117" s="388"/>
      <c r="F117" s="388"/>
      <c r="G117" s="388"/>
      <c r="H117" s="388"/>
      <c r="I117" s="388"/>
      <c r="J117" s="388"/>
      <c r="K117" s="388"/>
      <c r="L117" s="388"/>
      <c r="M117" s="389" t="s">
        <v>207</v>
      </c>
      <c r="N117" s="389"/>
      <c r="O117" s="389"/>
      <c r="P117" s="389"/>
      <c r="Q117" s="389"/>
      <c r="R117" s="390" t="s">
        <v>208</v>
      </c>
      <c r="S117" s="390"/>
      <c r="T117" s="390"/>
      <c r="U117" s="390"/>
      <c r="V117" s="442"/>
    </row>
    <row customHeight="true" ht="18.452380952380953" r="118">
      <c r="A118" s="387" t="s">
        <v>209</v>
      </c>
      <c r="B118" s="387" t="s">
        <v>210</v>
      </c>
      <c r="C118" s="387" t="s">
        <v>211</v>
      </c>
      <c r="D118" s="388" t="s">
        <v>212</v>
      </c>
      <c r="E118" s="391" t="s">
        <v>213</v>
      </c>
      <c r="F118" s="388" t="s">
        <v>214</v>
      </c>
      <c r="G118" s="388" t="s">
        <v>215</v>
      </c>
      <c r="H118" s="392" t="s">
        <v>216</v>
      </c>
      <c r="I118" s="388" t="s">
        <v>217</v>
      </c>
      <c r="J118" s="393" t="s">
        <v>218</v>
      </c>
      <c r="K118" s="394" t="s">
        <v>219</v>
      </c>
      <c r="L118" s="388" t="s">
        <v>220</v>
      </c>
      <c r="M118" s="395" t="s">
        <v>221</v>
      </c>
      <c r="N118" s="395" t="s">
        <v>222</v>
      </c>
      <c r="O118" s="395" t="s">
        <v>223</v>
      </c>
      <c r="P118" s="389" t="s">
        <v>224</v>
      </c>
      <c r="Q118" s="389" t="s">
        <v>225</v>
      </c>
      <c r="R118" s="390" t="s">
        <v>226</v>
      </c>
      <c r="S118" s="390" t="s">
        <v>227</v>
      </c>
      <c r="T118" s="390" t="s">
        <v>228</v>
      </c>
      <c r="U118" s="390" t="s">
        <v>230</v>
      </c>
      <c r="V118" s="442"/>
    </row>
    <row customHeight="true" ht="16.666666666666668" r="119">
      <c r="A119" s="397">
        <v>46303</v>
      </c>
      <c r="B119" s="454" t="s">
        <v>231</v>
      </c>
      <c r="C119" s="441" t="s">
        <v>257</v>
      </c>
      <c r="D119" s="399">
        <f t="shared" ref="D119:D123" si="19">SUM(E119:G119)</f>
      </c>
      <c r="E119" s="455">
        <v>2157.28</v>
      </c>
      <c r="F119" s="399">
        <v>1101.88</v>
      </c>
      <c r="G119" s="401">
        <v>0</v>
      </c>
      <c r="H119" s="443">
        <v>9</v>
      </c>
      <c r="I119" s="399">
        <v>6215.76</v>
      </c>
      <c r="J119" s="403">
        <f t="shared" ref="J119:J140" si="86">I119/D119</f>
      </c>
      <c r="K119" s="403">
        <f t="shared" ref="K119:K140" si="147">D119/H119</f>
      </c>
      <c r="L119" s="403">
        <f t="shared" ref="L119:L140" si="166">I119/H119</f>
      </c>
      <c r="M119" s="404">
        <f t="shared" ref="M119:M140" si="109">S119/R119</f>
      </c>
      <c r="N119" s="405">
        <f t="shared" ref="N119:N140" si="128">H119/(T119+H119)</f>
      </c>
      <c r="O119" s="406">
        <f t="shared" ref="O119:O140" si="67">(U119*1000)/D119</f>
      </c>
      <c r="P119" s="456" t="s">
        <v>233</v>
      </c>
      <c r="Q119" s="423" t="s">
        <v>254</v>
      </c>
      <c r="R119" s="409">
        <v>27035</v>
      </c>
      <c r="S119" s="410">
        <v>1699</v>
      </c>
      <c r="T119" s="411">
        <v>11</v>
      </c>
      <c r="U119" s="411">
        <v>36</v>
      </c>
      <c r="V119" s="448"/>
    </row>
    <row customHeight="true" ht="16.666666666666668" r="120">
      <c r="A120" s="397"/>
      <c r="B120" s="454" t="s">
        <v>231</v>
      </c>
      <c r="C120" s="441" t="s">
        <v>258</v>
      </c>
      <c r="D120" s="399">
        <f t="shared" si="19"/>
      </c>
      <c r="E120" s="455">
        <v>2657.65</v>
      </c>
      <c r="F120" s="399">
        <v>1408.72</v>
      </c>
      <c r="G120" s="401">
        <v>0</v>
      </c>
      <c r="H120" s="402">
        <v>12</v>
      </c>
      <c r="I120" s="399">
        <v>6858.0599999999995</v>
      </c>
      <c r="J120" s="403">
        <f t="shared" si="86"/>
      </c>
      <c r="K120" s="403">
        <f t="shared" si="147"/>
      </c>
      <c r="L120" s="403">
        <f t="shared" si="166"/>
      </c>
      <c r="M120" s="404">
        <f t="shared" si="109"/>
      </c>
      <c r="N120" s="405">
        <f t="shared" si="128"/>
      </c>
      <c r="O120" s="406">
        <f t="shared" si="67"/>
      </c>
      <c r="P120" s="456" t="s">
        <v>233</v>
      </c>
      <c r="Q120" s="408" t="s">
        <v>254</v>
      </c>
      <c r="R120" s="409">
        <v>32471</v>
      </c>
      <c r="S120" s="410">
        <v>2790</v>
      </c>
      <c r="T120" s="410">
        <v>16</v>
      </c>
      <c r="U120" s="410">
        <v>59</v>
      </c>
      <c r="V120" s="448"/>
    </row>
    <row customHeight="true" ht="16.666666666666668" r="121">
      <c r="A121" s="397"/>
      <c r="B121" s="454" t="s">
        <v>231</v>
      </c>
      <c r="C121" s="441" t="s">
        <v>259</v>
      </c>
      <c r="D121" s="399">
        <f t="shared" si="19"/>
      </c>
      <c r="E121" s="455">
        <v>2811.77</v>
      </c>
      <c r="F121" s="399">
        <v>901.63</v>
      </c>
      <c r="G121" s="401">
        <v>0</v>
      </c>
      <c r="H121" s="402">
        <v>14</v>
      </c>
      <c r="I121" s="399">
        <v>7847.220000000001</v>
      </c>
      <c r="J121" s="403">
        <f t="shared" si="86"/>
      </c>
      <c r="K121" s="403">
        <f t="shared" si="147"/>
      </c>
      <c r="L121" s="403">
        <f t="shared" si="166"/>
      </c>
      <c r="M121" s="404">
        <f t="shared" si="109"/>
      </c>
      <c r="N121" s="405">
        <f t="shared" si="128"/>
      </c>
      <c r="O121" s="406">
        <f t="shared" si="67"/>
      </c>
      <c r="P121" s="456" t="s">
        <v>233</v>
      </c>
      <c r="Q121" s="408" t="s">
        <v>254</v>
      </c>
      <c r="R121" s="409">
        <v>24894</v>
      </c>
      <c r="S121" s="410">
        <v>1670</v>
      </c>
      <c r="T121" s="410">
        <v>9</v>
      </c>
      <c r="U121" s="410">
        <v>71</v>
      </c>
      <c r="V121" s="448"/>
    </row>
    <row customHeight="true" ht="16.666666666666668" r="122">
      <c r="A122" s="397"/>
      <c r="B122" s="454" t="s">
        <v>231</v>
      </c>
      <c r="C122" s="441" t="s">
        <v>260</v>
      </c>
      <c r="D122" s="399">
        <f t="shared" si="19"/>
      </c>
      <c r="E122" s="455">
        <v>3235.53</v>
      </c>
      <c r="F122" s="399">
        <v>920.84</v>
      </c>
      <c r="G122" s="401">
        <v>0</v>
      </c>
      <c r="H122" s="402">
        <v>8</v>
      </c>
      <c r="I122" s="399">
        <v>3186.540000000001</v>
      </c>
      <c r="J122" s="403">
        <f t="shared" si="86"/>
      </c>
      <c r="K122" s="403">
        <f t="shared" si="147"/>
      </c>
      <c r="L122" s="403">
        <f t="shared" si="166"/>
      </c>
      <c r="M122" s="404">
        <f t="shared" si="109"/>
      </c>
      <c r="N122" s="405">
        <f t="shared" si="128"/>
      </c>
      <c r="O122" s="406">
        <f t="shared" si="67"/>
      </c>
      <c r="P122" s="456" t="s">
        <v>233</v>
      </c>
      <c r="Q122" s="408" t="s">
        <v>254</v>
      </c>
      <c r="R122" s="409">
        <v>28629</v>
      </c>
      <c r="S122" s="410">
        <v>1712</v>
      </c>
      <c r="T122" s="410">
        <v>3</v>
      </c>
      <c r="U122" s="410">
        <v>56</v>
      </c>
      <c r="V122" s="448"/>
    </row>
    <row customHeight="true" ht="16.666666666666668" r="123">
      <c r="A123" s="397"/>
      <c r="B123" s="454" t="s">
        <v>231</v>
      </c>
      <c r="C123" s="457" t="s">
        <v>261</v>
      </c>
      <c r="D123" s="399">
        <f t="shared" si="19"/>
      </c>
      <c r="E123" s="455">
        <v>2552.76</v>
      </c>
      <c r="F123" s="399">
        <v>1005.18</v>
      </c>
      <c r="G123" s="401">
        <v>0</v>
      </c>
      <c r="H123" s="402">
        <v>6</v>
      </c>
      <c r="I123" s="399">
        <v>2329.2599999999984</v>
      </c>
      <c r="J123" s="403">
        <f t="shared" si="86"/>
      </c>
      <c r="K123" s="403">
        <f t="shared" si="147"/>
      </c>
      <c r="L123" s="403">
        <f t="shared" si="166"/>
      </c>
      <c r="M123" s="404">
        <f t="shared" si="109"/>
      </c>
      <c r="N123" s="405">
        <f t="shared" si="128"/>
      </c>
      <c r="O123" s="406">
        <f t="shared" si="67"/>
      </c>
      <c r="P123" s="456" t="s">
        <v>233</v>
      </c>
      <c r="Q123" s="408" t="s">
        <v>254</v>
      </c>
      <c r="R123" s="409">
        <v>25829</v>
      </c>
      <c r="S123" s="410">
        <v>1659</v>
      </c>
      <c r="T123" s="410">
        <v>11</v>
      </c>
      <c r="U123" s="410">
        <v>48</v>
      </c>
      <c r="V123" s="448"/>
    </row>
    <row customHeight="true" ht="16.666666666666668" r="124">
      <c r="A124" s="397"/>
      <c r="B124" s="458" t="s">
        <v>239</v>
      </c>
      <c r="C124" s="458"/>
      <c r="D124" s="459">
        <f>SUM(D119:D123)</f>
      </c>
      <c r="E124" s="459">
        <f>SUM(E119:E123)</f>
      </c>
      <c r="F124" s="459">
        <f>SUM(F119:F123)</f>
      </c>
      <c r="G124" s="459">
        <f>SUM(G119:G123)</f>
      </c>
      <c r="H124" s="460">
        <f>SUM(H119:H123)</f>
      </c>
      <c r="I124" s="459">
        <f>SUM(I119:I123)</f>
      </c>
      <c r="J124" s="461">
        <f t="shared" si="86"/>
      </c>
      <c r="K124" s="462">
        <f t="shared" si="147"/>
      </c>
      <c r="L124" s="463">
        <f t="shared" si="166"/>
      </c>
      <c r="M124" s="464">
        <f t="shared" si="109"/>
      </c>
      <c r="N124" s="464">
        <f t="shared" si="128"/>
      </c>
      <c r="O124" s="465">
        <f t="shared" si="67"/>
      </c>
      <c r="P124" s="465"/>
      <c r="Q124" s="465"/>
      <c r="R124" s="460">
        <f>SUM(R119:R123)</f>
      </c>
      <c r="S124" s="460">
        <f>SUM(S119:S123)</f>
      </c>
      <c r="T124" s="460">
        <f>SUM(T119:T123)</f>
      </c>
      <c r="U124" s="460">
        <f>SUM(U119:U123)</f>
      </c>
      <c r="V124" s="448"/>
    </row>
    <row r="125">
      <c r="A125" s="397"/>
      <c r="B125" s="413" t="s">
        <v>256</v>
      </c>
      <c r="C125" s="441" t="s">
        <v>242</v>
      </c>
      <c r="D125" s="399">
        <f t="shared" ref="D125:D128" si="20">SUM(E125:G125)</f>
      </c>
      <c r="E125" s="400">
        <v>2750.92</v>
      </c>
      <c r="F125" s="401">
        <v>1083.15</v>
      </c>
      <c r="G125" s="401">
        <v>0</v>
      </c>
      <c r="H125" s="443">
        <v>12</v>
      </c>
      <c r="I125" s="401">
        <v>7851.240000000002</v>
      </c>
      <c r="J125" s="403">
        <f t="shared" si="86"/>
      </c>
      <c r="K125" s="403">
        <f t="shared" si="147"/>
      </c>
      <c r="L125" s="403">
        <f t="shared" si="166"/>
      </c>
      <c r="M125" s="404">
        <f t="shared" si="109"/>
      </c>
      <c r="N125" s="405">
        <f t="shared" si="128"/>
      </c>
      <c r="O125" s="406">
        <f t="shared" si="67"/>
      </c>
      <c r="P125" s="407" t="s">
        <v>233</v>
      </c>
      <c r="Q125" s="423" t="s">
        <v>254</v>
      </c>
      <c r="R125" s="409">
        <v>37698</v>
      </c>
      <c r="S125" s="410">
        <v>2181</v>
      </c>
      <c r="T125" s="411">
        <v>6</v>
      </c>
      <c r="U125" s="411">
        <v>55</v>
      </c>
      <c r="V125" s="448"/>
    </row>
    <row r="126">
      <c r="A126" s="397"/>
      <c r="B126" s="413" t="s">
        <v>256</v>
      </c>
      <c r="C126" s="441" t="s">
        <v>243</v>
      </c>
      <c r="D126" s="399">
        <f t="shared" si="20"/>
      </c>
      <c r="E126" s="400">
        <v>1953.57</v>
      </c>
      <c r="F126" s="401">
        <v>1204.55</v>
      </c>
      <c r="G126" s="401">
        <v>0</v>
      </c>
      <c r="H126" s="443">
        <v>11</v>
      </c>
      <c r="I126" s="401">
        <v>7627.439999999995</v>
      </c>
      <c r="J126" s="403">
        <f t="shared" si="86"/>
      </c>
      <c r="K126" s="403">
        <f t="shared" si="147"/>
      </c>
      <c r="L126" s="403">
        <f t="shared" si="166"/>
      </c>
      <c r="M126" s="404">
        <f t="shared" si="109"/>
      </c>
      <c r="N126" s="405">
        <f t="shared" si="128"/>
      </c>
      <c r="O126" s="406">
        <f t="shared" si="67"/>
      </c>
      <c r="P126" s="407" t="s">
        <v>233</v>
      </c>
      <c r="Q126" s="423" t="s">
        <v>254</v>
      </c>
      <c r="R126" s="409">
        <v>27955</v>
      </c>
      <c r="S126" s="410">
        <v>1969</v>
      </c>
      <c r="T126" s="411">
        <v>6</v>
      </c>
      <c r="U126" s="411">
        <v>31</v>
      </c>
      <c r="V126" s="448"/>
    </row>
    <row r="127">
      <c r="A127" s="397"/>
      <c r="B127" s="413" t="s">
        <v>256</v>
      </c>
      <c r="C127" s="441" t="s">
        <v>244</v>
      </c>
      <c r="D127" s="415">
        <f t="shared" si="20"/>
      </c>
      <c r="E127" s="416">
        <v>1331.94</v>
      </c>
      <c r="F127" s="417">
        <v>866.68</v>
      </c>
      <c r="G127" s="417">
        <v>0</v>
      </c>
      <c r="H127" s="418">
        <v>5</v>
      </c>
      <c r="I127" s="417">
        <v>5179.200000000004</v>
      </c>
      <c r="J127" s="419">
        <f t="shared" si="86"/>
      </c>
      <c r="K127" s="419">
        <f t="shared" si="147"/>
      </c>
      <c r="L127" s="419">
        <f t="shared" si="166"/>
      </c>
      <c r="M127" s="420">
        <f t="shared" si="109"/>
      </c>
      <c r="N127" s="421">
        <f t="shared" si="128"/>
      </c>
      <c r="O127" s="422">
        <f t="shared" si="67"/>
      </c>
      <c r="P127" s="407" t="s">
        <v>233</v>
      </c>
      <c r="Q127" s="423" t="s">
        <v>254</v>
      </c>
      <c r="R127" s="424">
        <v>17723</v>
      </c>
      <c r="S127" s="425">
        <v>1522</v>
      </c>
      <c r="T127" s="426">
        <v>5</v>
      </c>
      <c r="U127" s="426">
        <v>25</v>
      </c>
    </row>
    <row r="128">
      <c r="A128" s="397"/>
      <c r="B128" s="413" t="s">
        <v>256</v>
      </c>
      <c r="C128" s="441" t="s">
        <v>245</v>
      </c>
      <c r="D128" s="415">
        <f t="shared" si="20"/>
      </c>
      <c r="E128" s="416">
        <v>1686.79</v>
      </c>
      <c r="F128" s="417">
        <v>1231.05</v>
      </c>
      <c r="G128" s="417">
        <v>0</v>
      </c>
      <c r="H128" s="418">
        <v>16</v>
      </c>
      <c r="I128" s="417">
        <v>6625.44</v>
      </c>
      <c r="J128" s="419">
        <f t="shared" si="86"/>
      </c>
      <c r="K128" s="419">
        <f t="shared" si="147"/>
      </c>
      <c r="L128" s="419">
        <f t="shared" si="166"/>
      </c>
      <c r="M128" s="420">
        <f t="shared" si="109"/>
      </c>
      <c r="N128" s="421">
        <f t="shared" si="128"/>
      </c>
      <c r="O128" s="422">
        <f t="shared" si="67"/>
      </c>
      <c r="P128" s="407" t="s">
        <v>233</v>
      </c>
      <c r="Q128" s="423" t="s">
        <v>254</v>
      </c>
      <c r="R128" s="453">
        <v>22429</v>
      </c>
      <c r="S128" s="426">
        <v>1716</v>
      </c>
      <c r="T128" s="426">
        <v>7</v>
      </c>
      <c r="U128" s="426">
        <v>54</v>
      </c>
    </row>
    <row r="129">
      <c r="A129" s="397"/>
      <c r="B129" s="427" t="s">
        <v>239</v>
      </c>
      <c r="C129" s="427"/>
      <c r="D129" s="428">
        <f>SUM(D125:D128)</f>
      </c>
      <c r="E129" s="428">
        <f>SUM(E125:E128)</f>
      </c>
      <c r="F129" s="428">
        <f>SUM(F125:F128)</f>
      </c>
      <c r="G129" s="428">
        <f>SUM(G125:G128)</f>
      </c>
      <c r="H129" s="429">
        <f>SUM(H125:H128)</f>
      </c>
      <c r="I129" s="428">
        <f>SUM(I125:I128)</f>
      </c>
      <c r="J129" s="430">
        <f t="shared" si="86"/>
      </c>
      <c r="K129" s="431">
        <f t="shared" si="147"/>
      </c>
      <c r="L129" s="432">
        <f t="shared" si="166"/>
      </c>
      <c r="M129" s="433">
        <f t="shared" si="109"/>
      </c>
      <c r="N129" s="433">
        <f t="shared" si="128"/>
      </c>
      <c r="O129" s="434">
        <f t="shared" si="67"/>
      </c>
      <c r="P129" s="434"/>
      <c r="Q129" s="434"/>
      <c r="R129" s="429">
        <f>SUM(R125:R128)</f>
      </c>
      <c r="S129" s="429">
        <f>SUM(S125:S128)</f>
      </c>
      <c r="T129" s="429">
        <f>SUM(T125:T128)</f>
      </c>
      <c r="U129" s="429">
        <f>SUM(U125:U128)</f>
      </c>
    </row>
    <row r="130">
      <c r="A130" s="397"/>
      <c r="B130" s="398" t="s">
        <v>255</v>
      </c>
      <c r="C130" s="441" t="s">
        <v>247</v>
      </c>
      <c r="D130" s="415">
        <f t="shared" ref="D130:D133" si="21">SUM(E130:G130)</f>
      </c>
      <c r="E130" s="416">
        <v>1932.08</v>
      </c>
      <c r="F130" s="417">
        <v>1401.33</v>
      </c>
      <c r="G130" s="401">
        <v>0</v>
      </c>
      <c r="H130" s="418">
        <v>8</v>
      </c>
      <c r="I130" s="417">
        <v>4173.12</v>
      </c>
      <c r="J130" s="419">
        <f t="shared" si="86"/>
      </c>
      <c r="K130" s="419">
        <f t="shared" si="147"/>
      </c>
      <c r="L130" s="419">
        <f t="shared" si="166"/>
      </c>
      <c r="M130" s="420">
        <f t="shared" si="109"/>
      </c>
      <c r="N130" s="421">
        <f t="shared" si="128"/>
      </c>
      <c r="O130" s="422">
        <f t="shared" si="67"/>
      </c>
      <c r="P130" s="407" t="s">
        <v>248</v>
      </c>
      <c r="Q130" s="423" t="s">
        <v>252</v>
      </c>
      <c r="R130" s="453">
        <v>27341</v>
      </c>
      <c r="S130" s="426">
        <v>1730</v>
      </c>
      <c r="T130" s="426">
        <v>4</v>
      </c>
      <c r="U130" s="426">
        <v>52</v>
      </c>
    </row>
    <row r="131">
      <c r="A131" s="397"/>
      <c r="B131" s="398" t="s">
        <v>255</v>
      </c>
      <c r="C131" s="417" t="s">
        <v>249</v>
      </c>
      <c r="D131" s="415">
        <f t="shared" si="21"/>
      </c>
      <c r="E131" s="416">
        <v>1383.38</v>
      </c>
      <c r="F131" s="417">
        <v>832.25</v>
      </c>
      <c r="G131" s="401">
        <v>0</v>
      </c>
      <c r="H131" s="418">
        <v>7</v>
      </c>
      <c r="I131" s="417">
        <v>6194.04</v>
      </c>
      <c r="J131" s="419">
        <f t="shared" si="86"/>
      </c>
      <c r="K131" s="419">
        <f t="shared" si="147"/>
      </c>
      <c r="L131" s="419">
        <f t="shared" si="166"/>
      </c>
      <c r="M131" s="420">
        <f t="shared" si="109"/>
      </c>
      <c r="N131" s="421">
        <f t="shared" si="128"/>
      </c>
      <c r="O131" s="422">
        <f t="shared" si="67"/>
      </c>
      <c r="P131" s="407" t="s">
        <v>248</v>
      </c>
      <c r="Q131" s="423" t="s">
        <v>252</v>
      </c>
      <c r="R131" s="453">
        <v>20696</v>
      </c>
      <c r="S131" s="426">
        <v>1125</v>
      </c>
      <c r="T131" s="426">
        <v>7</v>
      </c>
      <c r="U131" s="426">
        <v>35</v>
      </c>
    </row>
    <row r="132">
      <c r="A132" s="397"/>
      <c r="B132" s="398" t="s">
        <v>255</v>
      </c>
      <c r="C132" s="414" t="s">
        <v>250</v>
      </c>
      <c r="D132" s="415">
        <f t="shared" si="21"/>
      </c>
      <c r="E132" s="416">
        <v>1266.2</v>
      </c>
      <c r="F132" s="417">
        <v>1098.88</v>
      </c>
      <c r="G132" s="417">
        <v>0</v>
      </c>
      <c r="H132" s="418">
        <v>5</v>
      </c>
      <c r="I132" s="417">
        <v>2126.4</v>
      </c>
      <c r="J132" s="419">
        <f t="shared" si="86"/>
      </c>
      <c r="K132" s="419">
        <f t="shared" si="147"/>
      </c>
      <c r="L132" s="419">
        <f t="shared" si="166"/>
      </c>
      <c r="M132" s="420">
        <f t="shared" si="109"/>
      </c>
      <c r="N132" s="421">
        <f t="shared" si="128"/>
      </c>
      <c r="O132" s="422">
        <f t="shared" si="67"/>
      </c>
      <c r="P132" s="407" t="s">
        <v>248</v>
      </c>
      <c r="Q132" s="423" t="s">
        <v>252</v>
      </c>
      <c r="R132" s="453">
        <v>22624</v>
      </c>
      <c r="S132" s="426">
        <v>1059</v>
      </c>
      <c r="T132" s="426">
        <v>8</v>
      </c>
      <c r="U132" s="426">
        <v>40</v>
      </c>
    </row>
    <row r="133">
      <c r="A133" s="397"/>
      <c r="B133" s="398" t="s">
        <v>255</v>
      </c>
      <c r="C133" s="399" t="s">
        <v>232</v>
      </c>
      <c r="D133" s="415">
        <f t="shared" si="21"/>
      </c>
      <c r="E133" s="416">
        <v>1411.51</v>
      </c>
      <c r="F133" s="417">
        <v>1414.92</v>
      </c>
      <c r="G133" s="417">
        <v>0</v>
      </c>
      <c r="H133" s="418">
        <v>5</v>
      </c>
      <c r="I133" s="417">
        <v>1636.26</v>
      </c>
      <c r="J133" s="419">
        <f t="shared" si="86"/>
      </c>
      <c r="K133" s="419">
        <f t="shared" si="147"/>
      </c>
      <c r="L133" s="419">
        <f t="shared" si="166"/>
      </c>
      <c r="M133" s="420">
        <f t="shared" si="109"/>
      </c>
      <c r="N133" s="421">
        <f t="shared" si="128"/>
      </c>
      <c r="O133" s="422">
        <f t="shared" si="67"/>
      </c>
      <c r="P133" s="407" t="s">
        <v>248</v>
      </c>
      <c r="Q133" s="423" t="s">
        <v>252</v>
      </c>
      <c r="R133" s="453">
        <v>24365</v>
      </c>
      <c r="S133" s="426">
        <v>1366</v>
      </c>
      <c r="T133" s="426">
        <v>11</v>
      </c>
      <c r="U133" s="426">
        <v>40</v>
      </c>
    </row>
    <row r="134">
      <c r="A134" s="397"/>
      <c r="B134" s="427" t="s">
        <v>239</v>
      </c>
      <c r="C134" s="427"/>
      <c r="D134" s="428">
        <f>SUM(D130:D133)</f>
      </c>
      <c r="E134" s="428">
        <f>SUM(E130:E133)</f>
      </c>
      <c r="F134" s="428">
        <f>SUM(F130:F133)</f>
      </c>
      <c r="G134" s="428">
        <f>SUM(G130:G133)</f>
      </c>
      <c r="H134" s="429">
        <f>SUM(H130:H133)</f>
      </c>
      <c r="I134" s="428">
        <f>SUM(I130:I133)</f>
      </c>
      <c r="J134" s="430">
        <f t="shared" si="86"/>
      </c>
      <c r="K134" s="431">
        <f t="shared" si="147"/>
      </c>
      <c r="L134" s="432">
        <f t="shared" si="166"/>
      </c>
      <c r="M134" s="433">
        <f t="shared" si="109"/>
      </c>
      <c r="N134" s="433">
        <f t="shared" si="128"/>
      </c>
      <c r="O134" s="434">
        <f t="shared" si="67"/>
      </c>
      <c r="P134" s="434"/>
      <c r="Q134" s="434"/>
      <c r="R134" s="429">
        <f>SUM(R130:R133)</f>
      </c>
      <c r="S134" s="429">
        <f>SUM(S130:S133)</f>
      </c>
      <c r="T134" s="429">
        <f>SUM(T130:T133)</f>
      </c>
      <c r="U134" s="429">
        <f>SUM(U130:U133)</f>
      </c>
    </row>
    <row r="135">
      <c r="A135" s="397"/>
      <c r="B135" s="413" t="s">
        <v>251</v>
      </c>
      <c r="C135" s="412" t="s">
        <v>235</v>
      </c>
      <c r="D135" s="415">
        <f t="shared" ref="D135:D138" si="22">SUM(E135:G135)</f>
      </c>
      <c r="E135" s="416">
        <v>1441.89</v>
      </c>
      <c r="F135" s="417">
        <v>1262.04</v>
      </c>
      <c r="G135" s="401">
        <v>0</v>
      </c>
      <c r="H135" s="418">
        <v>3</v>
      </c>
      <c r="I135" s="417">
        <v>1183.92</v>
      </c>
      <c r="J135" s="419">
        <f t="shared" si="86"/>
      </c>
      <c r="K135" s="419">
        <f t="shared" si="147"/>
      </c>
      <c r="L135" s="419">
        <f t="shared" si="166"/>
      </c>
      <c r="M135" s="420">
        <f t="shared" si="109"/>
      </c>
      <c r="N135" s="421">
        <f t="shared" si="128"/>
      </c>
      <c r="O135" s="422">
        <f t="shared" si="67"/>
      </c>
      <c r="P135" s="407" t="s">
        <v>248</v>
      </c>
      <c r="Q135" s="423" t="s">
        <v>252</v>
      </c>
      <c r="R135" s="453">
        <v>23362</v>
      </c>
      <c r="S135" s="426">
        <v>23362</v>
      </c>
      <c r="T135" s="426">
        <v>6</v>
      </c>
      <c r="U135" s="426">
        <v>33</v>
      </c>
    </row>
    <row r="136">
      <c r="A136" s="397"/>
      <c r="B136" s="413" t="s">
        <v>251</v>
      </c>
      <c r="C136" s="414" t="s">
        <v>236</v>
      </c>
      <c r="D136" s="415">
        <f t="shared" si="22"/>
      </c>
      <c r="E136" s="416">
        <v>1076.4</v>
      </c>
      <c r="F136" s="417">
        <v>1169.52</v>
      </c>
      <c r="G136" s="401">
        <v>0</v>
      </c>
      <c r="H136" s="418">
        <v>7</v>
      </c>
      <c r="I136" s="417">
        <v>4177.64</v>
      </c>
      <c r="J136" s="419">
        <f t="shared" si="86"/>
      </c>
      <c r="K136" s="419">
        <f t="shared" si="147"/>
      </c>
      <c r="L136" s="419">
        <f t="shared" si="166"/>
      </c>
      <c r="M136" s="420">
        <f t="shared" si="109"/>
      </c>
      <c r="N136" s="421">
        <f t="shared" si="128"/>
      </c>
      <c r="O136" s="422">
        <f t="shared" si="67"/>
      </c>
      <c r="P136" s="407" t="s">
        <v>248</v>
      </c>
      <c r="Q136" s="423" t="s">
        <v>252</v>
      </c>
      <c r="R136" s="453">
        <v>15832</v>
      </c>
      <c r="S136" s="426">
        <v>1095</v>
      </c>
      <c r="T136" s="426">
        <v>8</v>
      </c>
      <c r="U136" s="426">
        <v>36</v>
      </c>
    </row>
    <row r="137">
      <c r="A137" s="397"/>
      <c r="B137" s="413" t="s">
        <v>251</v>
      </c>
      <c r="C137" s="414" t="s">
        <v>237</v>
      </c>
      <c r="D137" s="415">
        <f t="shared" si="22"/>
      </c>
      <c r="E137" s="416">
        <v>1243.68</v>
      </c>
      <c r="F137" s="417">
        <v>1218.47</v>
      </c>
      <c r="G137" s="401">
        <v>0</v>
      </c>
      <c r="H137" s="418">
        <v>3</v>
      </c>
      <c r="I137" s="417">
        <v>2515.92</v>
      </c>
      <c r="J137" s="419">
        <f t="shared" si="86"/>
      </c>
      <c r="K137" s="419">
        <f t="shared" si="147"/>
      </c>
      <c r="L137" s="419">
        <f t="shared" si="166"/>
      </c>
      <c r="M137" s="420">
        <f t="shared" si="109"/>
      </c>
      <c r="N137" s="421">
        <f t="shared" si="128"/>
      </c>
      <c r="O137" s="422">
        <f t="shared" si="67"/>
      </c>
      <c r="P137" s="407" t="s">
        <v>248</v>
      </c>
      <c r="Q137" s="423" t="s">
        <v>252</v>
      </c>
      <c r="R137" s="453">
        <v>14828</v>
      </c>
      <c r="S137" s="426">
        <v>950</v>
      </c>
      <c r="T137" s="426">
        <v>3</v>
      </c>
      <c r="U137" s="426">
        <v>33</v>
      </c>
    </row>
    <row r="138">
      <c r="A138" s="397"/>
      <c r="B138" s="413" t="s">
        <v>251</v>
      </c>
      <c r="C138" s="414" t="s">
        <v>238</v>
      </c>
      <c r="D138" s="415">
        <f t="shared" si="22"/>
      </c>
      <c r="E138" s="416">
        <v>573.75</v>
      </c>
      <c r="F138" s="417">
        <v>329.91</v>
      </c>
      <c r="G138" s="417">
        <v>0</v>
      </c>
      <c r="H138" s="418">
        <v>8</v>
      </c>
      <c r="I138" s="417">
        <v>6430.68</v>
      </c>
      <c r="J138" s="419">
        <f t="shared" si="86"/>
      </c>
      <c r="K138" s="419">
        <f t="shared" si="147"/>
      </c>
      <c r="L138" s="419">
        <f t="shared" si="166"/>
      </c>
      <c r="M138" s="420">
        <f t="shared" si="109"/>
      </c>
      <c r="N138" s="421">
        <f t="shared" si="128"/>
      </c>
      <c r="O138" s="422">
        <f t="shared" si="67"/>
      </c>
      <c r="P138" s="407" t="s">
        <v>248</v>
      </c>
      <c r="Q138" s="423" t="s">
        <v>252</v>
      </c>
      <c r="R138" s="453">
        <v>6823</v>
      </c>
      <c r="S138" s="426">
        <v>437</v>
      </c>
      <c r="T138" s="426">
        <v>3</v>
      </c>
      <c r="U138" s="426">
        <v>9</v>
      </c>
    </row>
    <row r="139">
      <c r="A139" s="397"/>
      <c r="B139" s="427" t="s">
        <v>239</v>
      </c>
      <c r="C139" s="427"/>
      <c r="D139" s="428">
        <f>SUM(D135:D138)</f>
      </c>
      <c r="E139" s="428">
        <f>SUM(E135:E138)</f>
      </c>
      <c r="F139" s="428">
        <f>SUM(F135:F138)</f>
      </c>
      <c r="G139" s="428">
        <f>SUM(G135:G138)</f>
      </c>
      <c r="H139" s="429">
        <f>SUM(H135:H138)</f>
      </c>
      <c r="I139" s="428">
        <f>SUM(I135:I138)</f>
      </c>
      <c r="J139" s="430">
        <f t="shared" si="86"/>
      </c>
      <c r="K139" s="431">
        <f t="shared" si="147"/>
      </c>
      <c r="L139" s="432">
        <f t="shared" si="166"/>
      </c>
      <c r="M139" s="433">
        <f t="shared" si="109"/>
      </c>
      <c r="N139" s="433">
        <f t="shared" si="128"/>
      </c>
      <c r="O139" s="434">
        <f t="shared" si="67"/>
      </c>
      <c r="P139" s="434"/>
      <c r="Q139" s="434"/>
      <c r="R139" s="429">
        <f>SUM(R135:R138)</f>
      </c>
      <c r="S139" s="429">
        <f>SUM(S135:S138)</f>
      </c>
      <c r="T139" s="429">
        <f>SUM(T135:T138)</f>
      </c>
      <c r="U139" s="429">
        <f>SUM(U135:U138)</f>
      </c>
    </row>
    <row r="140">
      <c r="A140" s="397"/>
      <c r="B140" s="435" t="s">
        <v>240</v>
      </c>
      <c r="C140" s="435"/>
      <c r="D140" s="436">
        <f>D129+D134+D139+D124</f>
      </c>
      <c r="E140" s="436">
        <f>E129+E134+E139+E124</f>
      </c>
      <c r="F140" s="436">
        <f>F129+F134+F139+F124</f>
      </c>
      <c r="G140" s="436">
        <f>G129+G134+G139+G124</f>
      </c>
      <c r="H140" s="436">
        <f>H129+H134+H139+H124</f>
      </c>
      <c r="I140" s="436">
        <f>I129+I134+I139+I124</f>
      </c>
      <c r="J140" s="438">
        <f t="shared" si="86"/>
      </c>
      <c r="K140" s="438">
        <f t="shared" si="147"/>
      </c>
      <c r="L140" s="438">
        <f t="shared" si="166"/>
      </c>
      <c r="M140" s="439">
        <f t="shared" si="109"/>
      </c>
      <c r="N140" s="439">
        <f t="shared" si="128"/>
      </c>
      <c r="O140" s="438">
        <f t="shared" si="67"/>
      </c>
      <c r="P140" s="440"/>
      <c r="Q140" s="440"/>
      <c r="R140" s="437">
        <f>R129+R134+R139+R124</f>
      </c>
      <c r="S140" s="437">
        <f>S129+S134+S139+S124</f>
      </c>
      <c r="T140" s="437">
        <f>T129+T134+T139+T124</f>
      </c>
      <c r="U140" s="437">
        <f>U129+U134+U139+U124</f>
      </c>
    </row>
    <row customHeight="true" ht="18.452380952380953" r="141">
      <c r="A141" s="387" t="s">
        <v>205</v>
      </c>
      <c r="B141" s="387"/>
      <c r="C141" s="387"/>
      <c r="D141" s="388" t="s">
        <v>206</v>
      </c>
      <c r="E141" s="388"/>
      <c r="F141" s="388"/>
      <c r="G141" s="388"/>
      <c r="H141" s="388"/>
      <c r="I141" s="388"/>
      <c r="J141" s="388"/>
      <c r="K141" s="388"/>
      <c r="L141" s="388"/>
      <c r="M141" s="389" t="s">
        <v>207</v>
      </c>
      <c r="N141" s="389"/>
      <c r="O141" s="389"/>
      <c r="P141" s="389"/>
      <c r="Q141" s="389"/>
      <c r="R141" s="390" t="s">
        <v>208</v>
      </c>
      <c r="S141" s="390"/>
      <c r="T141" s="390"/>
      <c r="U141" s="390"/>
      <c r="V141" s="442"/>
    </row>
    <row customHeight="true" ht="18.452380952380953" r="142">
      <c r="A142" s="387" t="s">
        <v>209</v>
      </c>
      <c r="B142" s="387" t="s">
        <v>210</v>
      </c>
      <c r="C142" s="387" t="s">
        <v>211</v>
      </c>
      <c r="D142" s="388" t="s">
        <v>212</v>
      </c>
      <c r="E142" s="391" t="s">
        <v>213</v>
      </c>
      <c r="F142" s="388" t="s">
        <v>214</v>
      </c>
      <c r="G142" s="388" t="s">
        <v>215</v>
      </c>
      <c r="H142" s="392" t="s">
        <v>216</v>
      </c>
      <c r="I142" s="388" t="s">
        <v>217</v>
      </c>
      <c r="J142" s="393" t="s">
        <v>218</v>
      </c>
      <c r="K142" s="394" t="s">
        <v>219</v>
      </c>
      <c r="L142" s="388" t="s">
        <v>220</v>
      </c>
      <c r="M142" s="395" t="s">
        <v>221</v>
      </c>
      <c r="N142" s="395" t="s">
        <v>222</v>
      </c>
      <c r="O142" s="395" t="s">
        <v>223</v>
      </c>
      <c r="P142" s="389" t="s">
        <v>224</v>
      </c>
      <c r="Q142" s="389" t="s">
        <v>225</v>
      </c>
      <c r="R142" s="390" t="s">
        <v>226</v>
      </c>
      <c r="S142" s="390" t="s">
        <v>227</v>
      </c>
      <c r="T142" s="390" t="s">
        <v>228</v>
      </c>
      <c r="U142" s="390" t="s">
        <v>230</v>
      </c>
      <c r="V142" s="442"/>
    </row>
    <row r="143">
      <c r="A143" s="397">
        <v>46304</v>
      </c>
      <c r="B143" s="454" t="s">
        <v>256</v>
      </c>
      <c r="C143" s="441" t="s">
        <v>257</v>
      </c>
      <c r="D143" s="399">
        <f t="shared" ref="D143:D147" si="23">SUM(E143:G143)</f>
      </c>
      <c r="E143" s="455">
        <v>319.45</v>
      </c>
      <c r="F143" s="399">
        <v>1675.16</v>
      </c>
      <c r="G143" s="401">
        <v>0</v>
      </c>
      <c r="H143" s="443">
        <v>1</v>
      </c>
      <c r="I143" s="399">
        <v>710.64</v>
      </c>
      <c r="J143" s="403">
        <f t="shared" ref="J143:J164" si="87">I143/D143</f>
      </c>
      <c r="K143" s="403">
        <f t="shared" ref="K143:K164" si="148">D143/H143</f>
      </c>
      <c r="L143" s="403">
        <f t="shared" ref="L143:L164" si="167">I143/H143</f>
      </c>
      <c r="M143" s="404">
        <f t="shared" ref="M143:M164" si="110">S143/R143</f>
      </c>
      <c r="N143" s="405">
        <f t="shared" ref="N143:N164" si="129">H143/(T143+H143)</f>
      </c>
      <c r="O143" s="406">
        <f t="shared" ref="O143:O164" si="68">(U143*1000)/D143</f>
      </c>
      <c r="P143" s="456" t="s">
        <v>233</v>
      </c>
      <c r="Q143" s="423" t="s">
        <v>254</v>
      </c>
      <c r="R143" s="409">
        <v>10976</v>
      </c>
      <c r="S143" s="410">
        <v>635</v>
      </c>
      <c r="T143" s="411">
        <v>4</v>
      </c>
      <c r="U143" s="411">
        <v>19</v>
      </c>
      <c r="V143" s="448"/>
    </row>
    <row r="144">
      <c r="A144" s="397"/>
      <c r="B144" s="454" t="s">
        <v>256</v>
      </c>
      <c r="C144" s="441" t="s">
        <v>258</v>
      </c>
      <c r="D144" s="399">
        <f t="shared" si="23"/>
      </c>
      <c r="E144" s="455">
        <v>1585.88</v>
      </c>
      <c r="F144" s="399">
        <v>771.4</v>
      </c>
      <c r="G144" s="401">
        <v>0</v>
      </c>
      <c r="H144" s="443">
        <v>7</v>
      </c>
      <c r="I144" s="399">
        <v>4794.48</v>
      </c>
      <c r="J144" s="403">
        <f t="shared" si="87"/>
      </c>
      <c r="K144" s="403">
        <f t="shared" si="148"/>
      </c>
      <c r="L144" s="403">
        <f t="shared" si="167"/>
      </c>
      <c r="M144" s="404">
        <f t="shared" si="110"/>
      </c>
      <c r="N144" s="405">
        <f t="shared" si="129"/>
      </c>
      <c r="O144" s="406">
        <f t="shared" si="68"/>
      </c>
      <c r="P144" s="456" t="s">
        <v>233</v>
      </c>
      <c r="Q144" s="408" t="s">
        <v>254</v>
      </c>
      <c r="R144" s="409">
        <v>18710</v>
      </c>
      <c r="S144" s="410">
        <v>1483</v>
      </c>
      <c r="T144" s="410">
        <v>5</v>
      </c>
      <c r="U144" s="410">
        <v>43</v>
      </c>
      <c r="V144" s="448"/>
    </row>
    <row r="145">
      <c r="A145" s="397"/>
      <c r="B145" s="454" t="s">
        <v>256</v>
      </c>
      <c r="C145" s="441" t="s">
        <v>259</v>
      </c>
      <c r="D145" s="399">
        <f t="shared" si="23"/>
      </c>
      <c r="E145" s="455">
        <v>1762.17</v>
      </c>
      <c r="F145" s="399">
        <v>720.47</v>
      </c>
      <c r="G145" s="401">
        <v>0</v>
      </c>
      <c r="H145" s="402">
        <v>3</v>
      </c>
      <c r="I145" s="399">
        <v>1653.12</v>
      </c>
      <c r="J145" s="403">
        <f t="shared" si="87"/>
      </c>
      <c r="K145" s="403">
        <f t="shared" si="148"/>
      </c>
      <c r="L145" s="403">
        <f t="shared" si="167"/>
      </c>
      <c r="M145" s="404">
        <f t="shared" si="110"/>
      </c>
      <c r="N145" s="405">
        <f t="shared" si="129"/>
      </c>
      <c r="O145" s="406">
        <f t="shared" si="68"/>
      </c>
      <c r="P145" s="456" t="s">
        <v>233</v>
      </c>
      <c r="Q145" s="408" t="s">
        <v>254</v>
      </c>
      <c r="R145" s="409">
        <v>22865</v>
      </c>
      <c r="S145" s="410">
        <v>1650</v>
      </c>
      <c r="T145" s="410">
        <v>5</v>
      </c>
      <c r="U145" s="410">
        <v>53</v>
      </c>
      <c r="V145" s="448"/>
    </row>
    <row r="146">
      <c r="A146" s="397"/>
      <c r="B146" s="454" t="s">
        <v>256</v>
      </c>
      <c r="C146" s="441" t="s">
        <v>260</v>
      </c>
      <c r="D146" s="399">
        <f t="shared" si="23"/>
      </c>
      <c r="E146" s="455">
        <v>1278.86</v>
      </c>
      <c r="F146" s="399">
        <v>911.76</v>
      </c>
      <c r="G146" s="401">
        <v>0</v>
      </c>
      <c r="H146" s="402">
        <v>18</v>
      </c>
      <c r="I146" s="399">
        <v>9899.56</v>
      </c>
      <c r="J146" s="403">
        <f t="shared" si="87"/>
      </c>
      <c r="K146" s="403">
        <f t="shared" si="148"/>
      </c>
      <c r="L146" s="403">
        <f t="shared" si="167"/>
      </c>
      <c r="M146" s="404">
        <f t="shared" si="110"/>
      </c>
      <c r="N146" s="405">
        <f t="shared" si="129"/>
      </c>
      <c r="O146" s="406">
        <f t="shared" si="68"/>
      </c>
      <c r="P146" s="456" t="s">
        <v>233</v>
      </c>
      <c r="Q146" s="408" t="s">
        <v>254</v>
      </c>
      <c r="R146" s="409">
        <v>17235</v>
      </c>
      <c r="S146" s="410">
        <v>1347</v>
      </c>
      <c r="T146" s="410">
        <v>6</v>
      </c>
      <c r="U146" s="410">
        <v>37</v>
      </c>
      <c r="V146" s="448"/>
    </row>
    <row r="147">
      <c r="A147" s="397"/>
      <c r="B147" s="454" t="s">
        <v>256</v>
      </c>
      <c r="C147" s="457" t="s">
        <v>261</v>
      </c>
      <c r="D147" s="399">
        <f t="shared" si="23"/>
      </c>
      <c r="E147" s="455">
        <v>3254.45</v>
      </c>
      <c r="F147" s="399">
        <v>1053.98</v>
      </c>
      <c r="G147" s="401">
        <v>0</v>
      </c>
      <c r="H147" s="402">
        <v>18</v>
      </c>
      <c r="I147" s="399">
        <v>7325.600000000002</v>
      </c>
      <c r="J147" s="403">
        <f t="shared" si="87"/>
      </c>
      <c r="K147" s="403">
        <f t="shared" si="148"/>
      </c>
      <c r="L147" s="403">
        <f t="shared" si="167"/>
      </c>
      <c r="M147" s="404">
        <f t="shared" si="110"/>
      </c>
      <c r="N147" s="405">
        <f t="shared" si="129"/>
      </c>
      <c r="O147" s="406">
        <f t="shared" si="68"/>
      </c>
      <c r="P147" s="456" t="s">
        <v>233</v>
      </c>
      <c r="Q147" s="408" t="s">
        <v>254</v>
      </c>
      <c r="R147" s="409">
        <v>47034</v>
      </c>
      <c r="S147" s="410">
        <v>2945</v>
      </c>
      <c r="T147" s="410">
        <v>8</v>
      </c>
      <c r="U147" s="410">
        <v>61</v>
      </c>
      <c r="V147" s="448"/>
    </row>
    <row r="148">
      <c r="A148" s="397"/>
      <c r="B148" s="458" t="s">
        <v>239</v>
      </c>
      <c r="C148" s="458"/>
      <c r="D148" s="459">
        <f>SUM(D143:D147)</f>
      </c>
      <c r="E148" s="459">
        <f>SUM(E143:E147)</f>
      </c>
      <c r="F148" s="459">
        <f>SUM(F143:F147)</f>
      </c>
      <c r="G148" s="459">
        <f>SUM(G143:G147)</f>
      </c>
      <c r="H148" s="460">
        <f>SUM(H143:H147)</f>
      </c>
      <c r="I148" s="459">
        <f>SUM(I143:I147)</f>
      </c>
      <c r="J148" s="461">
        <f t="shared" si="87"/>
      </c>
      <c r="K148" s="462">
        <f t="shared" si="148"/>
      </c>
      <c r="L148" s="463">
        <f t="shared" si="167"/>
      </c>
      <c r="M148" s="464">
        <f t="shared" si="110"/>
      </c>
      <c r="N148" s="464">
        <f t="shared" si="129"/>
      </c>
      <c r="O148" s="465">
        <f t="shared" si="68"/>
      </c>
      <c r="P148" s="465"/>
      <c r="Q148" s="465"/>
      <c r="R148" s="460">
        <f>SUM(R143:R147)</f>
      </c>
      <c r="S148" s="460">
        <f>SUM(S143:S147)</f>
      </c>
      <c r="T148" s="460">
        <f>SUM(T143:T147)</f>
      </c>
      <c r="U148" s="460">
        <f>SUM(U143:U147)</f>
      </c>
      <c r="V148" s="448"/>
    </row>
    <row r="149">
      <c r="A149" s="397"/>
      <c r="B149" s="413" t="s">
        <v>246</v>
      </c>
      <c r="C149" s="441" t="s">
        <v>242</v>
      </c>
      <c r="D149" s="399">
        <f t="shared" ref="D149:D152" si="24">SUM(E149:G149)</f>
      </c>
      <c r="E149" s="400">
        <v>3871.09</v>
      </c>
      <c r="F149" s="401">
        <v>1200.19</v>
      </c>
      <c r="G149" s="401">
        <v>0</v>
      </c>
      <c r="H149" s="443">
        <v>12</v>
      </c>
      <c r="I149" s="401">
        <v>6191.079999999998</v>
      </c>
      <c r="J149" s="403">
        <f t="shared" si="87"/>
      </c>
      <c r="K149" s="403">
        <f t="shared" si="148"/>
      </c>
      <c r="L149" s="403">
        <f t="shared" si="167"/>
      </c>
      <c r="M149" s="404">
        <f t="shared" si="110"/>
      </c>
      <c r="N149" s="405">
        <f t="shared" si="129"/>
      </c>
      <c r="O149" s="406">
        <f t="shared" si="68"/>
      </c>
      <c r="P149" s="407" t="s">
        <v>233</v>
      </c>
      <c r="Q149" s="423" t="s">
        <v>254</v>
      </c>
      <c r="R149" s="409">
        <v>66200</v>
      </c>
      <c r="S149" s="410">
        <v>4017</v>
      </c>
      <c r="T149" s="411">
        <v>9</v>
      </c>
      <c r="U149" s="411">
        <v>86</v>
      </c>
      <c r="V149" s="448"/>
    </row>
    <row r="150">
      <c r="A150" s="397"/>
      <c r="B150" s="413" t="s">
        <v>246</v>
      </c>
      <c r="C150" s="441" t="s">
        <v>243</v>
      </c>
      <c r="D150" s="399">
        <f t="shared" si="24"/>
      </c>
      <c r="E150" s="400">
        <v>2903.81</v>
      </c>
      <c r="F150" s="401">
        <v>1419.85</v>
      </c>
      <c r="G150" s="401">
        <v>0</v>
      </c>
      <c r="H150" s="443">
        <v>10</v>
      </c>
      <c r="I150" s="401">
        <v>6537.600000000002</v>
      </c>
      <c r="J150" s="403">
        <f t="shared" si="87"/>
      </c>
      <c r="K150" s="403">
        <f t="shared" si="148"/>
      </c>
      <c r="L150" s="403">
        <f t="shared" si="167"/>
      </c>
      <c r="M150" s="404">
        <f t="shared" si="110"/>
      </c>
      <c r="N150" s="405">
        <f t="shared" si="129"/>
      </c>
      <c r="O150" s="406">
        <f t="shared" si="68"/>
      </c>
      <c r="P150" s="407" t="s">
        <v>233</v>
      </c>
      <c r="Q150" s="423" t="s">
        <v>254</v>
      </c>
      <c r="R150" s="409">
        <v>44740</v>
      </c>
      <c r="S150" s="410">
        <v>2760</v>
      </c>
      <c r="T150" s="411">
        <v>5</v>
      </c>
      <c r="U150" s="411">
        <v>58</v>
      </c>
      <c r="V150" s="448"/>
    </row>
    <row r="151">
      <c r="A151" s="397"/>
      <c r="B151" s="413" t="s">
        <v>246</v>
      </c>
      <c r="C151" s="441" t="s">
        <v>244</v>
      </c>
      <c r="D151" s="415">
        <f t="shared" si="24"/>
      </c>
      <c r="E151" s="416">
        <v>1259.14</v>
      </c>
      <c r="F151" s="417">
        <v>1113.77</v>
      </c>
      <c r="G151" s="417">
        <v>0</v>
      </c>
      <c r="H151" s="418">
        <v>7</v>
      </c>
      <c r="I151" s="417">
        <v>4942.439999999995</v>
      </c>
      <c r="J151" s="419">
        <f t="shared" si="87"/>
      </c>
      <c r="K151" s="419">
        <f t="shared" si="148"/>
      </c>
      <c r="L151" s="419">
        <f t="shared" si="167"/>
      </c>
      <c r="M151" s="420">
        <f t="shared" si="110"/>
      </c>
      <c r="N151" s="421">
        <f t="shared" si="129"/>
      </c>
      <c r="O151" s="422">
        <f t="shared" si="68"/>
      </c>
      <c r="P151" s="407" t="s">
        <v>233</v>
      </c>
      <c r="Q151" s="423" t="s">
        <v>254</v>
      </c>
      <c r="R151" s="424">
        <v>17047</v>
      </c>
      <c r="S151" s="425">
        <v>1516</v>
      </c>
      <c r="T151" s="426">
        <v>3</v>
      </c>
      <c r="U151" s="426">
        <v>38</v>
      </c>
    </row>
    <row r="152">
      <c r="A152" s="397"/>
      <c r="B152" s="413" t="s">
        <v>246</v>
      </c>
      <c r="C152" s="441" t="s">
        <v>245</v>
      </c>
      <c r="D152" s="415">
        <f t="shared" si="24"/>
      </c>
      <c r="E152" s="416">
        <v>1395.3</v>
      </c>
      <c r="F152" s="417">
        <v>1004.85</v>
      </c>
      <c r="G152" s="417">
        <v>0</v>
      </c>
      <c r="H152" s="418">
        <v>5</v>
      </c>
      <c r="I152" s="417">
        <v>2494.26</v>
      </c>
      <c r="J152" s="419">
        <f t="shared" si="87"/>
      </c>
      <c r="K152" s="419">
        <f t="shared" si="148"/>
      </c>
      <c r="L152" s="419">
        <f t="shared" si="167"/>
      </c>
      <c r="M152" s="420">
        <f t="shared" si="110"/>
      </c>
      <c r="N152" s="421">
        <f t="shared" si="129"/>
      </c>
      <c r="O152" s="422">
        <f t="shared" si="68"/>
      </c>
      <c r="P152" s="407" t="s">
        <v>233</v>
      </c>
      <c r="Q152" s="423" t="s">
        <v>254</v>
      </c>
      <c r="R152" s="453">
        <v>17584</v>
      </c>
      <c r="S152" s="426">
        <v>1633</v>
      </c>
      <c r="T152" s="426">
        <v>7</v>
      </c>
      <c r="U152" s="426">
        <v>31</v>
      </c>
    </row>
    <row r="153">
      <c r="A153" s="397"/>
      <c r="B153" s="427" t="s">
        <v>239</v>
      </c>
      <c r="C153" s="427"/>
      <c r="D153" s="428">
        <f>SUM(D149:D152)</f>
      </c>
      <c r="E153" s="428">
        <f>SUM(E149:E152)</f>
      </c>
      <c r="F153" s="428">
        <f>SUM(F149:F152)</f>
      </c>
      <c r="G153" s="428">
        <f>SUM(G149:G152)</f>
      </c>
      <c r="H153" s="429">
        <f>SUM(H149:H152)</f>
      </c>
      <c r="I153" s="428">
        <f>SUM(I149:I152)</f>
      </c>
      <c r="J153" s="430">
        <f t="shared" si="87"/>
      </c>
      <c r="K153" s="431">
        <f t="shared" si="148"/>
      </c>
      <c r="L153" s="432">
        <f t="shared" si="167"/>
      </c>
      <c r="M153" s="433">
        <f t="shared" si="110"/>
      </c>
      <c r="N153" s="433">
        <f t="shared" si="129"/>
      </c>
      <c r="O153" s="434">
        <f t="shared" si="68"/>
      </c>
      <c r="P153" s="434"/>
      <c r="Q153" s="434"/>
      <c r="R153" s="429">
        <f>SUM(R149:R152)</f>
      </c>
      <c r="S153" s="429">
        <f>SUM(S149:S152)</f>
      </c>
      <c r="T153" s="429">
        <f>SUM(T149:T152)</f>
      </c>
      <c r="U153" s="429">
        <f>SUM(U149:U152)</f>
      </c>
    </row>
    <row r="154">
      <c r="A154" s="397"/>
      <c r="B154" s="398" t="s">
        <v>255</v>
      </c>
      <c r="C154" s="441" t="s">
        <v>247</v>
      </c>
      <c r="D154" s="415">
        <f t="shared" ref="D154:D157" si="25">SUM(E154:G154)</f>
      </c>
      <c r="E154" s="416">
        <v>2183.06</v>
      </c>
      <c r="F154" s="417">
        <v>934.32</v>
      </c>
      <c r="G154" s="401">
        <v>0</v>
      </c>
      <c r="H154" s="418">
        <v>12</v>
      </c>
      <c r="I154" s="417">
        <v>4713.24</v>
      </c>
      <c r="J154" s="419">
        <f t="shared" si="87"/>
      </c>
      <c r="K154" s="419">
        <f t="shared" si="148"/>
      </c>
      <c r="L154" s="419">
        <f t="shared" si="167"/>
      </c>
      <c r="M154" s="420">
        <f t="shared" si="110"/>
      </c>
      <c r="N154" s="421">
        <f t="shared" si="129"/>
      </c>
      <c r="O154" s="422">
        <f t="shared" si="68"/>
      </c>
      <c r="P154" s="407" t="s">
        <v>248</v>
      </c>
      <c r="Q154" s="423" t="s">
        <v>252</v>
      </c>
      <c r="R154" s="453">
        <v>25391</v>
      </c>
      <c r="S154" s="426">
        <v>2140</v>
      </c>
      <c r="T154" s="426">
        <v>9</v>
      </c>
      <c r="U154" s="426">
        <v>42</v>
      </c>
    </row>
    <row r="155">
      <c r="A155" s="397"/>
      <c r="B155" s="398" t="s">
        <v>255</v>
      </c>
      <c r="C155" s="417" t="s">
        <v>249</v>
      </c>
      <c r="D155" s="415">
        <f t="shared" si="25"/>
      </c>
      <c r="E155" s="416">
        <v>2109.74</v>
      </c>
      <c r="F155" s="417">
        <v>638.34</v>
      </c>
      <c r="G155" s="401">
        <v>0</v>
      </c>
      <c r="H155" s="418">
        <v>6</v>
      </c>
      <c r="I155" s="417">
        <v>2303</v>
      </c>
      <c r="J155" s="419">
        <f t="shared" si="87"/>
      </c>
      <c r="K155" s="419">
        <f t="shared" si="148"/>
      </c>
      <c r="L155" s="419">
        <f t="shared" si="167"/>
      </c>
      <c r="M155" s="420">
        <f t="shared" si="110"/>
      </c>
      <c r="N155" s="421">
        <f t="shared" si="129"/>
      </c>
      <c r="O155" s="422">
        <f t="shared" si="68"/>
      </c>
      <c r="P155" s="407" t="s">
        <v>248</v>
      </c>
      <c r="Q155" s="423" t="s">
        <v>252</v>
      </c>
      <c r="R155" s="453">
        <v>24163</v>
      </c>
      <c r="S155" s="426">
        <v>1489</v>
      </c>
      <c r="T155" s="426">
        <v>6</v>
      </c>
      <c r="U155" s="426">
        <v>39</v>
      </c>
    </row>
    <row r="156">
      <c r="A156" s="397"/>
      <c r="B156" s="398" t="s">
        <v>255</v>
      </c>
      <c r="C156" s="414" t="s">
        <v>250</v>
      </c>
      <c r="D156" s="415">
        <f t="shared" si="25"/>
      </c>
      <c r="E156" s="416">
        <v>2092.69</v>
      </c>
      <c r="F156" s="417">
        <v>908.42</v>
      </c>
      <c r="G156" s="417">
        <v>0</v>
      </c>
      <c r="H156" s="418">
        <v>9</v>
      </c>
      <c r="I156" s="417">
        <v>3918.12</v>
      </c>
      <c r="J156" s="419">
        <f t="shared" si="87"/>
      </c>
      <c r="K156" s="419">
        <f t="shared" si="148"/>
      </c>
      <c r="L156" s="419">
        <f t="shared" si="167"/>
      </c>
      <c r="M156" s="420">
        <f t="shared" si="110"/>
      </c>
      <c r="N156" s="421">
        <f t="shared" si="129"/>
      </c>
      <c r="O156" s="422">
        <f t="shared" si="68"/>
      </c>
      <c r="P156" s="407" t="s">
        <v>248</v>
      </c>
      <c r="Q156" s="423" t="s">
        <v>252</v>
      </c>
      <c r="R156" s="453">
        <v>28169</v>
      </c>
      <c r="S156" s="426">
        <v>2000</v>
      </c>
      <c r="T156" s="426">
        <v>6</v>
      </c>
      <c r="U156" s="426">
        <v>49</v>
      </c>
    </row>
    <row r="157">
      <c r="A157" s="397"/>
      <c r="B157" s="398" t="s">
        <v>255</v>
      </c>
      <c r="C157" s="399" t="s">
        <v>232</v>
      </c>
      <c r="D157" s="415">
        <f t="shared" si="25"/>
      </c>
      <c r="E157" s="416">
        <v>4111.4</v>
      </c>
      <c r="F157" s="417">
        <v>1267.93</v>
      </c>
      <c r="G157" s="417">
        <v>0</v>
      </c>
      <c r="H157" s="418">
        <v>27</v>
      </c>
      <c r="I157" s="417">
        <v>17258.18</v>
      </c>
      <c r="J157" s="419">
        <f t="shared" si="87"/>
      </c>
      <c r="K157" s="419">
        <f t="shared" si="148"/>
      </c>
      <c r="L157" s="419">
        <f t="shared" si="167"/>
      </c>
      <c r="M157" s="420">
        <f t="shared" si="110"/>
      </c>
      <c r="N157" s="421">
        <f t="shared" si="129"/>
      </c>
      <c r="O157" s="422">
        <f t="shared" si="68"/>
      </c>
      <c r="P157" s="407" t="s">
        <v>248</v>
      </c>
      <c r="Q157" s="423" t="s">
        <v>252</v>
      </c>
      <c r="R157" s="453">
        <v>47787</v>
      </c>
      <c r="S157" s="426">
        <v>3782</v>
      </c>
      <c r="T157" s="426">
        <v>13</v>
      </c>
      <c r="U157" s="426">
        <v>74</v>
      </c>
    </row>
    <row r="158">
      <c r="A158" s="397"/>
      <c r="B158" s="427" t="s">
        <v>239</v>
      </c>
      <c r="C158" s="427"/>
      <c r="D158" s="428">
        <f>SUM(D154:D157)</f>
      </c>
      <c r="E158" s="428">
        <f>SUM(E154:E157)</f>
      </c>
      <c r="F158" s="428">
        <f>SUM(F154:F157)</f>
      </c>
      <c r="G158" s="428">
        <f>SUM(G154:G157)</f>
      </c>
      <c r="H158" s="429">
        <f>SUM(H154:H157)</f>
      </c>
      <c r="I158" s="428">
        <f>SUM(I154:I157)</f>
      </c>
      <c r="J158" s="430">
        <f t="shared" si="87"/>
      </c>
      <c r="K158" s="431">
        <f t="shared" si="148"/>
      </c>
      <c r="L158" s="432">
        <f t="shared" si="167"/>
      </c>
      <c r="M158" s="433">
        <f t="shared" si="110"/>
      </c>
      <c r="N158" s="433">
        <f t="shared" si="129"/>
      </c>
      <c r="O158" s="434">
        <f t="shared" si="68"/>
      </c>
      <c r="P158" s="434"/>
      <c r="Q158" s="434"/>
      <c r="R158" s="429">
        <f>SUM(R154:R157)</f>
      </c>
      <c r="S158" s="429">
        <f>SUM(S154:S157)</f>
      </c>
      <c r="T158" s="429">
        <f>SUM(T154:T157)</f>
      </c>
      <c r="U158" s="429">
        <f>SUM(U154:U157)</f>
      </c>
    </row>
    <row r="159">
      <c r="A159" s="397"/>
      <c r="B159" s="413" t="s">
        <v>253</v>
      </c>
      <c r="C159" s="412" t="s">
        <v>235</v>
      </c>
      <c r="D159" s="415">
        <f t="shared" ref="D159:D162" si="26">SUM(E159:G159)</f>
      </c>
      <c r="E159" s="416">
        <v>5990.2</v>
      </c>
      <c r="F159" s="417">
        <v>1588.36</v>
      </c>
      <c r="G159" s="401">
        <v>0</v>
      </c>
      <c r="H159" s="418">
        <v>26</v>
      </c>
      <c r="I159" s="417">
        <v>17239.44</v>
      </c>
      <c r="J159" s="419">
        <f t="shared" si="87"/>
      </c>
      <c r="K159" s="419">
        <f t="shared" si="148"/>
      </c>
      <c r="L159" s="419">
        <f t="shared" si="167"/>
      </c>
      <c r="M159" s="420">
        <f t="shared" si="110"/>
      </c>
      <c r="N159" s="421">
        <f t="shared" si="129"/>
      </c>
      <c r="O159" s="422">
        <f t="shared" si="68"/>
      </c>
      <c r="P159" s="407" t="s">
        <v>248</v>
      </c>
      <c r="Q159" s="423" t="s">
        <v>252</v>
      </c>
      <c r="R159" s="453">
        <v>64813</v>
      </c>
      <c r="S159" s="426">
        <v>5108</v>
      </c>
      <c r="T159" s="426">
        <v>19</v>
      </c>
      <c r="U159" s="426">
        <v>92</v>
      </c>
    </row>
    <row r="160">
      <c r="A160" s="397"/>
      <c r="B160" s="413" t="s">
        <v>253</v>
      </c>
      <c r="C160" s="414" t="s">
        <v>236</v>
      </c>
      <c r="D160" s="415">
        <f t="shared" si="26"/>
      </c>
      <c r="E160" s="416">
        <v>7194.45</v>
      </c>
      <c r="F160" s="417">
        <v>2202.11</v>
      </c>
      <c r="G160" s="401">
        <v>0</v>
      </c>
      <c r="H160" s="418">
        <v>35</v>
      </c>
      <c r="I160" s="417">
        <v>17639.58</v>
      </c>
      <c r="J160" s="419">
        <f t="shared" si="87"/>
      </c>
      <c r="K160" s="419">
        <f t="shared" si="148"/>
      </c>
      <c r="L160" s="419">
        <f t="shared" si="167"/>
      </c>
      <c r="M160" s="420">
        <f t="shared" si="110"/>
      </c>
      <c r="N160" s="421">
        <f t="shared" si="129"/>
      </c>
      <c r="O160" s="422">
        <f t="shared" si="68"/>
      </c>
      <c r="P160" s="407" t="s">
        <v>248</v>
      </c>
      <c r="Q160" s="423" t="s">
        <v>252</v>
      </c>
      <c r="R160" s="453">
        <v>81845</v>
      </c>
      <c r="S160" s="426">
        <v>6816</v>
      </c>
      <c r="T160" s="426">
        <v>30</v>
      </c>
      <c r="U160" s="426">
        <v>93</v>
      </c>
    </row>
    <row r="161">
      <c r="A161" s="397"/>
      <c r="B161" s="413" t="s">
        <v>253</v>
      </c>
      <c r="C161" s="414" t="s">
        <v>237</v>
      </c>
      <c r="D161" s="415">
        <f t="shared" si="26"/>
      </c>
      <c r="E161" s="416">
        <v>4914.9</v>
      </c>
      <c r="F161" s="417">
        <v>1375.47</v>
      </c>
      <c r="G161" s="401">
        <v>0</v>
      </c>
      <c r="H161" s="418">
        <v>19</v>
      </c>
      <c r="I161" s="417">
        <v>8151.48</v>
      </c>
      <c r="J161" s="419">
        <f t="shared" si="87"/>
      </c>
      <c r="K161" s="419">
        <f t="shared" si="148"/>
      </c>
      <c r="L161" s="419">
        <f t="shared" si="167"/>
      </c>
      <c r="M161" s="420">
        <f t="shared" si="110"/>
      </c>
      <c r="N161" s="421">
        <f t="shared" si="129"/>
      </c>
      <c r="O161" s="422">
        <f t="shared" si="68"/>
      </c>
      <c r="P161" s="407" t="s">
        <v>248</v>
      </c>
      <c r="Q161" s="423" t="s">
        <v>252</v>
      </c>
      <c r="R161" s="453">
        <v>72518</v>
      </c>
      <c r="S161" s="426">
        <v>5514</v>
      </c>
      <c r="T161" s="426">
        <v>24</v>
      </c>
      <c r="U161" s="426">
        <v>78</v>
      </c>
    </row>
    <row r="162">
      <c r="A162" s="397"/>
      <c r="B162" s="413" t="s">
        <v>253</v>
      </c>
      <c r="C162" s="414" t="s">
        <v>238</v>
      </c>
      <c r="D162" s="415">
        <f t="shared" si="26"/>
      </c>
      <c r="E162" s="416">
        <v>2992.79</v>
      </c>
      <c r="F162" s="417">
        <v>1087.42</v>
      </c>
      <c r="G162" s="417">
        <v>0</v>
      </c>
      <c r="H162" s="418">
        <v>11</v>
      </c>
      <c r="I162" s="417">
        <v>5294.66</v>
      </c>
      <c r="J162" s="419">
        <f t="shared" si="87"/>
      </c>
      <c r="K162" s="419">
        <f t="shared" si="148"/>
      </c>
      <c r="L162" s="419">
        <f t="shared" si="167"/>
      </c>
      <c r="M162" s="420">
        <f t="shared" si="110"/>
      </c>
      <c r="N162" s="421">
        <f t="shared" si="129"/>
      </c>
      <c r="O162" s="422">
        <f t="shared" si="68"/>
      </c>
      <c r="P162" s="407" t="s">
        <v>248</v>
      </c>
      <c r="Q162" s="423" t="s">
        <v>252</v>
      </c>
      <c r="R162" s="453">
        <v>44668</v>
      </c>
      <c r="S162" s="426">
        <v>3305</v>
      </c>
      <c r="T162" s="426">
        <v>15</v>
      </c>
      <c r="U162" s="426">
        <v>49</v>
      </c>
    </row>
    <row r="163">
      <c r="A163" s="397"/>
      <c r="B163" s="427" t="s">
        <v>239</v>
      </c>
      <c r="C163" s="427"/>
      <c r="D163" s="428">
        <f>SUM(D159:D162)</f>
      </c>
      <c r="E163" s="428">
        <f>SUM(E159:E162)</f>
      </c>
      <c r="F163" s="428">
        <f>SUM(F159:F162)</f>
      </c>
      <c r="G163" s="428">
        <f>SUM(G159:G162)</f>
      </c>
      <c r="H163" s="429">
        <f>SUM(H159:H162)</f>
      </c>
      <c r="I163" s="428">
        <f>SUM(I159:I162)</f>
      </c>
      <c r="J163" s="430">
        <f t="shared" si="87"/>
      </c>
      <c r="K163" s="431">
        <f t="shared" si="148"/>
      </c>
      <c r="L163" s="432">
        <f t="shared" si="167"/>
      </c>
      <c r="M163" s="433">
        <f t="shared" si="110"/>
      </c>
      <c r="N163" s="433">
        <f t="shared" si="129"/>
      </c>
      <c r="O163" s="434">
        <f t="shared" si="68"/>
      </c>
      <c r="P163" s="434"/>
      <c r="Q163" s="434"/>
      <c r="R163" s="429">
        <f>SUM(R159:R162)</f>
      </c>
      <c r="S163" s="429">
        <f>SUM(S159:S162)</f>
      </c>
      <c r="T163" s="429">
        <f>SUM(T159:T162)</f>
      </c>
      <c r="U163" s="429">
        <f>SUM(U159:U162)</f>
      </c>
    </row>
    <row r="164">
      <c r="A164" s="397"/>
      <c r="B164" s="435" t="s">
        <v>240</v>
      </c>
      <c r="C164" s="435"/>
      <c r="D164" s="436">
        <f>D153+D158+D163+D148</f>
      </c>
      <c r="E164" s="436">
        <f>E153+E158+E163+E148</f>
      </c>
      <c r="F164" s="436">
        <f>F153+F158+F163+F148</f>
      </c>
      <c r="G164" s="436">
        <f>G153+G158+G163+G148</f>
      </c>
      <c r="H164" s="436">
        <f>H153+H158+H163+H148</f>
      </c>
      <c r="I164" s="436">
        <f>I153+I158+I163+I148</f>
      </c>
      <c r="J164" s="438">
        <f t="shared" si="87"/>
      </c>
      <c r="K164" s="438">
        <f t="shared" si="148"/>
      </c>
      <c r="L164" s="438">
        <f t="shared" si="167"/>
      </c>
      <c r="M164" s="439">
        <f t="shared" si="110"/>
      </c>
      <c r="N164" s="439">
        <f t="shared" si="129"/>
      </c>
      <c r="O164" s="438">
        <f t="shared" si="68"/>
      </c>
      <c r="P164" s="440"/>
      <c r="Q164" s="440"/>
      <c r="R164" s="437">
        <f>R153+R158+R163+R148</f>
      </c>
      <c r="S164" s="437">
        <f>S153+S158+S163+S148</f>
      </c>
      <c r="T164" s="437">
        <f>T153+T158+T163+T148</f>
      </c>
      <c r="U164" s="437">
        <f>U153+U158+U163+U148</f>
      </c>
    </row>
    <row customHeight="true" ht="18.452380952380953" r="165">
      <c r="A165" s="387" t="s">
        <v>205</v>
      </c>
      <c r="B165" s="387"/>
      <c r="C165" s="387"/>
      <c r="D165" s="388" t="s">
        <v>206</v>
      </c>
      <c r="E165" s="388"/>
      <c r="F165" s="388"/>
      <c r="G165" s="388"/>
      <c r="H165" s="388"/>
      <c r="I165" s="388"/>
      <c r="J165" s="388"/>
      <c r="K165" s="388"/>
      <c r="L165" s="388"/>
      <c r="M165" s="389" t="s">
        <v>207</v>
      </c>
      <c r="N165" s="389"/>
      <c r="O165" s="389"/>
      <c r="P165" s="389"/>
      <c r="Q165" s="389"/>
      <c r="R165" s="390" t="s">
        <v>208</v>
      </c>
      <c r="S165" s="390"/>
      <c r="T165" s="390"/>
      <c r="U165" s="390"/>
      <c r="V165" s="442"/>
    </row>
    <row customHeight="true" ht="18.452380952380953" r="166">
      <c r="A166" s="387" t="s">
        <v>209</v>
      </c>
      <c r="B166" s="387" t="s">
        <v>210</v>
      </c>
      <c r="C166" s="387" t="s">
        <v>211</v>
      </c>
      <c r="D166" s="388" t="s">
        <v>212</v>
      </c>
      <c r="E166" s="391" t="s">
        <v>213</v>
      </c>
      <c r="F166" s="388" t="s">
        <v>214</v>
      </c>
      <c r="G166" s="388" t="s">
        <v>215</v>
      </c>
      <c r="H166" s="392" t="s">
        <v>216</v>
      </c>
      <c r="I166" s="388" t="s">
        <v>217</v>
      </c>
      <c r="J166" s="393" t="s">
        <v>218</v>
      </c>
      <c r="K166" s="394" t="s">
        <v>219</v>
      </c>
      <c r="L166" s="388" t="s">
        <v>220</v>
      </c>
      <c r="M166" s="395" t="s">
        <v>221</v>
      </c>
      <c r="N166" s="395" t="s">
        <v>222</v>
      </c>
      <c r="O166" s="395" t="s">
        <v>223</v>
      </c>
      <c r="P166" s="389" t="s">
        <v>224</v>
      </c>
      <c r="Q166" s="389" t="s">
        <v>225</v>
      </c>
      <c r="R166" s="390" t="s">
        <v>226</v>
      </c>
      <c r="S166" s="390" t="s">
        <v>227</v>
      </c>
      <c r="T166" s="390" t="s">
        <v>228</v>
      </c>
      <c r="U166" s="390" t="s">
        <v>230</v>
      </c>
      <c r="V166" s="442"/>
    </row>
    <row r="167">
      <c r="A167" s="397">
        <v>46305</v>
      </c>
      <c r="B167" s="454" t="s">
        <v>256</v>
      </c>
      <c r="C167" s="441" t="s">
        <v>257</v>
      </c>
      <c r="D167" s="399">
        <f t="shared" ref="D167:D171" si="27">SUM(E167:G167)</f>
      </c>
      <c r="E167" s="455">
        <v>2026.98</v>
      </c>
      <c r="F167" s="399">
        <v>1879.05</v>
      </c>
      <c r="G167" s="401">
        <v>0</v>
      </c>
      <c r="H167" s="443">
        <v>16</v>
      </c>
      <c r="I167" s="399">
        <v>11597.68</v>
      </c>
      <c r="J167" s="403">
        <f t="shared" ref="J167:J188" si="88">I167/D167</f>
      </c>
      <c r="K167" s="403">
        <f t="shared" ref="K167:K188" si="149">D167/H167</f>
      </c>
      <c r="L167" s="403">
        <f t="shared" ref="L167:L188" si="168">I167/H167</f>
      </c>
      <c r="M167" s="404">
        <f t="shared" ref="M167:M188" si="111">S167/R167</f>
      </c>
      <c r="N167" s="405">
        <f t="shared" ref="N167:N188" si="130">H167/(T167+H167)</f>
      </c>
      <c r="O167" s="406">
        <f t="shared" ref="O167:O188" si="69">(U167*1000)/D167</f>
      </c>
      <c r="P167" s="456" t="s">
        <v>233</v>
      </c>
      <c r="Q167" s="423" t="s">
        <v>254</v>
      </c>
      <c r="R167" s="409">
        <v>30812</v>
      </c>
      <c r="S167" s="410">
        <v>3397</v>
      </c>
      <c r="T167" s="411">
        <v>3</v>
      </c>
      <c r="U167" s="411">
        <v>67</v>
      </c>
      <c r="V167" s="448"/>
    </row>
    <row r="168">
      <c r="A168" s="397"/>
      <c r="B168" s="454" t="s">
        <v>256</v>
      </c>
      <c r="C168" s="441" t="s">
        <v>258</v>
      </c>
      <c r="D168" s="399">
        <f t="shared" si="27"/>
      </c>
      <c r="E168" s="455">
        <v>2478.7</v>
      </c>
      <c r="F168" s="399">
        <v>776.73</v>
      </c>
      <c r="G168" s="401">
        <v>0</v>
      </c>
      <c r="H168" s="443">
        <v>13</v>
      </c>
      <c r="I168" s="399">
        <v>7205.639999999999</v>
      </c>
      <c r="J168" s="403">
        <f t="shared" si="88"/>
      </c>
      <c r="K168" s="403">
        <f t="shared" si="149"/>
      </c>
      <c r="L168" s="403">
        <f t="shared" si="168"/>
      </c>
      <c r="M168" s="404">
        <f t="shared" si="111"/>
      </c>
      <c r="N168" s="405">
        <f t="shared" si="130"/>
      </c>
      <c r="O168" s="406">
        <f t="shared" si="69"/>
      </c>
      <c r="P168" s="456" t="s">
        <v>233</v>
      </c>
      <c r="Q168" s="408" t="s">
        <v>254</v>
      </c>
      <c r="R168" s="409">
        <v>30562</v>
      </c>
      <c r="S168" s="410">
        <v>2515</v>
      </c>
      <c r="T168" s="410">
        <v>10</v>
      </c>
      <c r="U168" s="410">
        <v>58</v>
      </c>
      <c r="V168" s="448"/>
    </row>
    <row r="169">
      <c r="A169" s="397"/>
      <c r="B169" s="454" t="s">
        <v>256</v>
      </c>
      <c r="C169" s="441" t="s">
        <v>259</v>
      </c>
      <c r="D169" s="399">
        <f t="shared" si="27"/>
      </c>
      <c r="E169" s="455">
        <v>3596.92</v>
      </c>
      <c r="F169" s="399">
        <v>1203.38</v>
      </c>
      <c r="G169" s="401">
        <v>0</v>
      </c>
      <c r="H169" s="402">
        <v>10</v>
      </c>
      <c r="I169" s="399">
        <v>6291.920000000002</v>
      </c>
      <c r="J169" s="403">
        <f t="shared" si="88"/>
      </c>
      <c r="K169" s="403">
        <f t="shared" si="149"/>
      </c>
      <c r="L169" s="403">
        <f t="shared" si="168"/>
      </c>
      <c r="M169" s="404">
        <f t="shared" si="111"/>
      </c>
      <c r="N169" s="405">
        <f t="shared" si="130"/>
      </c>
      <c r="O169" s="406">
        <f t="shared" si="69"/>
      </c>
      <c r="P169" s="456" t="s">
        <v>233</v>
      </c>
      <c r="Q169" s="408" t="s">
        <v>254</v>
      </c>
      <c r="R169" s="409">
        <v>40788</v>
      </c>
      <c r="S169" s="410">
        <v>2397</v>
      </c>
      <c r="T169" s="410">
        <v>10</v>
      </c>
      <c r="U169" s="410">
        <v>77</v>
      </c>
      <c r="V169" s="448"/>
    </row>
    <row r="170">
      <c r="A170" s="397"/>
      <c r="B170" s="454" t="s">
        <v>256</v>
      </c>
      <c r="C170" s="441" t="s">
        <v>260</v>
      </c>
      <c r="D170" s="399">
        <f t="shared" si="27"/>
      </c>
      <c r="E170" s="455">
        <v>2828.83</v>
      </c>
      <c r="F170" s="399">
        <v>735.77</v>
      </c>
      <c r="G170" s="401">
        <v>0</v>
      </c>
      <c r="H170" s="402">
        <v>8</v>
      </c>
      <c r="I170" s="399">
        <v>5469.84</v>
      </c>
      <c r="J170" s="403">
        <f t="shared" si="88"/>
      </c>
      <c r="K170" s="403">
        <f t="shared" si="149"/>
      </c>
      <c r="L170" s="403">
        <f t="shared" si="168"/>
      </c>
      <c r="M170" s="404">
        <f t="shared" si="111"/>
      </c>
      <c r="N170" s="405">
        <f t="shared" si="130"/>
      </c>
      <c r="O170" s="406">
        <f t="shared" si="69"/>
      </c>
      <c r="P170" s="456" t="s">
        <v>233</v>
      </c>
      <c r="Q170" s="408" t="s">
        <v>254</v>
      </c>
      <c r="R170" s="409">
        <v>27953</v>
      </c>
      <c r="S170" s="410">
        <v>2094</v>
      </c>
      <c r="T170" s="410">
        <v>6</v>
      </c>
      <c r="U170" s="410">
        <v>49</v>
      </c>
      <c r="V170" s="448"/>
    </row>
    <row r="171">
      <c r="A171" s="397"/>
      <c r="B171" s="454" t="s">
        <v>256</v>
      </c>
      <c r="C171" s="457" t="s">
        <v>261</v>
      </c>
      <c r="D171" s="399">
        <f t="shared" si="27"/>
      </c>
      <c r="E171" s="455">
        <v>3734.07</v>
      </c>
      <c r="F171" s="399">
        <v>512.23</v>
      </c>
      <c r="G171" s="401">
        <v>0</v>
      </c>
      <c r="H171" s="402">
        <v>24</v>
      </c>
      <c r="I171" s="399">
        <v>13020.259999999995</v>
      </c>
      <c r="J171" s="403">
        <f t="shared" si="88"/>
      </c>
      <c r="K171" s="403">
        <f t="shared" si="149"/>
      </c>
      <c r="L171" s="403">
        <f t="shared" si="168"/>
      </c>
      <c r="M171" s="404">
        <f t="shared" si="111"/>
      </c>
      <c r="N171" s="405">
        <f t="shared" si="130"/>
      </c>
      <c r="O171" s="406">
        <f t="shared" si="69"/>
      </c>
      <c r="P171" s="456" t="s">
        <v>233</v>
      </c>
      <c r="Q171" s="408" t="s">
        <v>254</v>
      </c>
      <c r="R171" s="409">
        <v>38409</v>
      </c>
      <c r="S171" s="410">
        <v>2197</v>
      </c>
      <c r="T171" s="410">
        <v>17</v>
      </c>
      <c r="U171" s="410">
        <v>73</v>
      </c>
      <c r="V171" s="448"/>
    </row>
    <row r="172">
      <c r="A172" s="397"/>
      <c r="B172" s="458" t="s">
        <v>239</v>
      </c>
      <c r="C172" s="458"/>
      <c r="D172" s="459">
        <f>SUM(D167:D171)</f>
      </c>
      <c r="E172" s="459">
        <f>SUM(E167:E171)</f>
      </c>
      <c r="F172" s="459">
        <f>SUM(F167:F171)</f>
      </c>
      <c r="G172" s="459">
        <f>SUM(G167:G171)</f>
      </c>
      <c r="H172" s="460">
        <f>SUM(H167:H171)</f>
      </c>
      <c r="I172" s="459">
        <f>SUM(I167:I171)</f>
      </c>
      <c r="J172" s="461">
        <f t="shared" si="88"/>
      </c>
      <c r="K172" s="462">
        <f t="shared" si="149"/>
      </c>
      <c r="L172" s="463">
        <f t="shared" si="168"/>
      </c>
      <c r="M172" s="464">
        <f t="shared" si="111"/>
      </c>
      <c r="N172" s="464">
        <f t="shared" si="130"/>
      </c>
      <c r="O172" s="465">
        <f t="shared" si="69"/>
      </c>
      <c r="P172" s="465"/>
      <c r="Q172" s="465"/>
      <c r="R172" s="460">
        <f>SUM(R167:R171)</f>
      </c>
      <c r="S172" s="460">
        <f>SUM(S167:S171)</f>
      </c>
      <c r="T172" s="460">
        <f>SUM(T167:T171)</f>
      </c>
      <c r="U172" s="460">
        <f>SUM(U167:U171)</f>
      </c>
      <c r="V172" s="448"/>
    </row>
    <row r="173">
      <c r="A173" s="397"/>
      <c r="B173" s="413" t="s">
        <v>246</v>
      </c>
      <c r="C173" s="441" t="s">
        <v>242</v>
      </c>
      <c r="D173" s="399">
        <f t="shared" ref="D173:D176" si="28">SUM(E173:G173)</f>
      </c>
      <c r="E173" s="400">
        <v>6399.52</v>
      </c>
      <c r="F173" s="401">
        <v>735.8</v>
      </c>
      <c r="G173" s="401">
        <v>0</v>
      </c>
      <c r="H173" s="443">
        <v>13</v>
      </c>
      <c r="I173" s="401">
        <v>8906.700000000004</v>
      </c>
      <c r="J173" s="403">
        <f t="shared" si="88"/>
      </c>
      <c r="K173" s="403">
        <f t="shared" si="149"/>
      </c>
      <c r="L173" s="403">
        <f t="shared" si="168"/>
      </c>
      <c r="M173" s="404">
        <f t="shared" si="111"/>
      </c>
      <c r="N173" s="405">
        <f t="shared" si="130"/>
      </c>
      <c r="O173" s="406">
        <f t="shared" si="69"/>
      </c>
      <c r="P173" s="407" t="s">
        <v>233</v>
      </c>
      <c r="Q173" s="423" t="s">
        <v>254</v>
      </c>
      <c r="R173" s="409">
        <v>83206</v>
      </c>
      <c r="S173" s="410">
        <v>4227</v>
      </c>
      <c r="T173" s="411">
        <v>10</v>
      </c>
      <c r="U173" s="411">
        <v>84</v>
      </c>
      <c r="V173" s="448"/>
    </row>
    <row r="174">
      <c r="A174" s="397"/>
      <c r="B174" s="413" t="s">
        <v>246</v>
      </c>
      <c r="C174" s="441" t="s">
        <v>243</v>
      </c>
      <c r="D174" s="399">
        <f t="shared" si="28"/>
      </c>
      <c r="E174" s="400">
        <v>3600.84</v>
      </c>
      <c r="F174" s="401">
        <v>1025.68</v>
      </c>
      <c r="G174" s="401">
        <v>0</v>
      </c>
      <c r="H174" s="443">
        <v>14</v>
      </c>
      <c r="I174" s="401">
        <v>8856.720000000001</v>
      </c>
      <c r="J174" s="403">
        <f t="shared" si="88"/>
      </c>
      <c r="K174" s="403">
        <f t="shared" si="149"/>
      </c>
      <c r="L174" s="403">
        <f t="shared" si="168"/>
      </c>
      <c r="M174" s="404">
        <f t="shared" si="111"/>
      </c>
      <c r="N174" s="405">
        <f t="shared" si="130"/>
      </c>
      <c r="O174" s="406">
        <f t="shared" si="69"/>
      </c>
      <c r="P174" s="407" t="s">
        <v>233</v>
      </c>
      <c r="Q174" s="423" t="s">
        <v>254</v>
      </c>
      <c r="R174" s="409">
        <v>49295</v>
      </c>
      <c r="S174" s="410">
        <v>3431</v>
      </c>
      <c r="T174" s="411">
        <v>10</v>
      </c>
      <c r="U174" s="411">
        <v>80</v>
      </c>
      <c r="V174" s="448"/>
    </row>
    <row r="175">
      <c r="A175" s="397"/>
      <c r="B175" s="413" t="s">
        <v>246</v>
      </c>
      <c r="C175" s="441" t="s">
        <v>244</v>
      </c>
      <c r="D175" s="415">
        <f t="shared" si="28"/>
      </c>
      <c r="E175" s="416">
        <v>4083.62</v>
      </c>
      <c r="F175" s="417">
        <v>1160.03</v>
      </c>
      <c r="G175" s="417">
        <v>0</v>
      </c>
      <c r="H175" s="418">
        <v>15</v>
      </c>
      <c r="I175" s="417">
        <v>4936.32</v>
      </c>
      <c r="J175" s="419">
        <f t="shared" si="88"/>
      </c>
      <c r="K175" s="419">
        <f t="shared" si="149"/>
      </c>
      <c r="L175" s="419">
        <f t="shared" si="168"/>
      </c>
      <c r="M175" s="420">
        <f t="shared" si="111"/>
      </c>
      <c r="N175" s="421">
        <f t="shared" si="130"/>
      </c>
      <c r="O175" s="422">
        <f t="shared" si="69"/>
      </c>
      <c r="P175" s="407" t="s">
        <v>233</v>
      </c>
      <c r="Q175" s="423" t="s">
        <v>254</v>
      </c>
      <c r="R175" s="424">
        <v>38946</v>
      </c>
      <c r="S175" s="425">
        <v>2799</v>
      </c>
      <c r="T175" s="426">
        <v>17</v>
      </c>
      <c r="U175" s="426">
        <v>82</v>
      </c>
    </row>
    <row r="176">
      <c r="A176" s="397"/>
      <c r="B176" s="413" t="s">
        <v>246</v>
      </c>
      <c r="C176" s="441" t="s">
        <v>245</v>
      </c>
      <c r="D176" s="415">
        <f t="shared" si="28"/>
      </c>
      <c r="E176" s="416">
        <v>2441.2</v>
      </c>
      <c r="F176" s="417">
        <v>1252.85</v>
      </c>
      <c r="G176" s="417">
        <v>0</v>
      </c>
      <c r="H176" s="418">
        <v>15</v>
      </c>
      <c r="I176" s="417">
        <v>4459.020000000004</v>
      </c>
      <c r="J176" s="419">
        <f t="shared" si="88"/>
      </c>
      <c r="K176" s="419">
        <f t="shared" si="149"/>
      </c>
      <c r="L176" s="419">
        <f t="shared" si="168"/>
      </c>
      <c r="M176" s="420">
        <f t="shared" si="111"/>
      </c>
      <c r="N176" s="421">
        <f t="shared" si="130"/>
      </c>
      <c r="O176" s="422">
        <f t="shared" si="69"/>
      </c>
      <c r="P176" s="407" t="s">
        <v>233</v>
      </c>
      <c r="Q176" s="423" t="s">
        <v>254</v>
      </c>
      <c r="R176" s="453">
        <v>24413</v>
      </c>
      <c r="S176" s="426">
        <v>2085</v>
      </c>
      <c r="T176" s="426">
        <v>2</v>
      </c>
      <c r="U176" s="426">
        <v>53</v>
      </c>
    </row>
    <row r="177">
      <c r="A177" s="397"/>
      <c r="B177" s="427" t="s">
        <v>239</v>
      </c>
      <c r="C177" s="427"/>
      <c r="D177" s="428">
        <f>SUM(D173:D176)</f>
      </c>
      <c r="E177" s="428">
        <f>SUM(E173:E176)</f>
      </c>
      <c r="F177" s="428">
        <f>SUM(F173:F176)</f>
      </c>
      <c r="G177" s="428">
        <f>SUM(G173:G176)</f>
      </c>
      <c r="H177" s="429">
        <f>SUM(H173:H176)</f>
      </c>
      <c r="I177" s="428">
        <f>SUM(I173:I176)</f>
      </c>
      <c r="J177" s="430">
        <f t="shared" si="88"/>
      </c>
      <c r="K177" s="431">
        <f t="shared" si="149"/>
      </c>
      <c r="L177" s="432">
        <f t="shared" si="168"/>
      </c>
      <c r="M177" s="433">
        <f t="shared" si="111"/>
      </c>
      <c r="N177" s="433">
        <f t="shared" si="130"/>
      </c>
      <c r="O177" s="434">
        <f t="shared" si="69"/>
      </c>
      <c r="P177" s="434"/>
      <c r="Q177" s="434"/>
      <c r="R177" s="429">
        <f>SUM(R173:R176)</f>
      </c>
      <c r="S177" s="429">
        <f>SUM(S173:S176)</f>
      </c>
      <c r="T177" s="429">
        <f>SUM(T173:T176)</f>
      </c>
      <c r="U177" s="429">
        <f>SUM(U173:U176)</f>
      </c>
    </row>
    <row r="178">
      <c r="A178" s="397"/>
      <c r="B178" s="398" t="s">
        <v>253</v>
      </c>
      <c r="C178" s="441" t="s">
        <v>247</v>
      </c>
      <c r="D178" s="415">
        <f t="shared" ref="D178:D181" si="29">SUM(E178:G178)</f>
      </c>
      <c r="E178" s="416">
        <v>2203</v>
      </c>
      <c r="F178" s="417">
        <v>780.77</v>
      </c>
      <c r="G178" s="401">
        <v>0</v>
      </c>
      <c r="H178" s="418">
        <v>5</v>
      </c>
      <c r="I178" s="417">
        <v>3548.399999999994</v>
      </c>
      <c r="J178" s="419">
        <f t="shared" si="88"/>
      </c>
      <c r="K178" s="419">
        <f t="shared" si="149"/>
      </c>
      <c r="L178" s="419">
        <f t="shared" si="168"/>
      </c>
      <c r="M178" s="420">
        <f t="shared" si="111"/>
      </c>
      <c r="N178" s="421">
        <f t="shared" si="130"/>
      </c>
      <c r="O178" s="422">
        <f t="shared" si="69"/>
      </c>
      <c r="P178" s="407" t="s">
        <v>248</v>
      </c>
      <c r="Q178" s="423" t="s">
        <v>234</v>
      </c>
      <c r="R178" s="453">
        <v>20554</v>
      </c>
      <c r="S178" s="426">
        <v>1408</v>
      </c>
      <c r="T178" s="426">
        <v>6</v>
      </c>
      <c r="U178" s="426">
        <v>28</v>
      </c>
    </row>
    <row r="179">
      <c r="A179" s="397"/>
      <c r="B179" s="398" t="s">
        <v>253</v>
      </c>
      <c r="C179" s="417" t="s">
        <v>249</v>
      </c>
      <c r="D179" s="415">
        <f t="shared" si="29"/>
      </c>
      <c r="E179" s="416">
        <v>1984.25</v>
      </c>
      <c r="F179" s="417">
        <v>796.12</v>
      </c>
      <c r="G179" s="401">
        <v>0</v>
      </c>
      <c r="H179" s="418">
        <v>14</v>
      </c>
      <c r="I179" s="417">
        <v>7394.1600000000035</v>
      </c>
      <c r="J179" s="419">
        <f t="shared" si="88"/>
      </c>
      <c r="K179" s="419">
        <f t="shared" si="149"/>
      </c>
      <c r="L179" s="419">
        <f t="shared" si="168"/>
      </c>
      <c r="M179" s="420">
        <f t="shared" si="111"/>
      </c>
      <c r="N179" s="421">
        <f t="shared" si="130"/>
      </c>
      <c r="O179" s="422">
        <f t="shared" si="69"/>
      </c>
      <c r="P179" s="407" t="s">
        <v>248</v>
      </c>
      <c r="Q179" s="423" t="s">
        <v>234</v>
      </c>
      <c r="R179" s="453">
        <v>19426</v>
      </c>
      <c r="S179" s="426">
        <v>1519</v>
      </c>
      <c r="T179" s="426">
        <v>6</v>
      </c>
      <c r="U179" s="426">
        <v>37</v>
      </c>
    </row>
    <row r="180">
      <c r="A180" s="397"/>
      <c r="B180" s="398" t="s">
        <v>253</v>
      </c>
      <c r="C180" s="414" t="s">
        <v>250</v>
      </c>
      <c r="D180" s="415">
        <f t="shared" si="29"/>
      </c>
      <c r="E180" s="416">
        <v>1759.19</v>
      </c>
      <c r="F180" s="417">
        <v>929.86</v>
      </c>
      <c r="G180" s="417">
        <v>0</v>
      </c>
      <c r="H180" s="418">
        <v>4</v>
      </c>
      <c r="I180" s="417">
        <v>1872.1199999999953</v>
      </c>
      <c r="J180" s="419">
        <f t="shared" si="88"/>
      </c>
      <c r="K180" s="419">
        <f t="shared" si="149"/>
      </c>
      <c r="L180" s="419">
        <f t="shared" si="168"/>
      </c>
      <c r="M180" s="420">
        <f t="shared" si="111"/>
      </c>
      <c r="N180" s="421">
        <f t="shared" si="130"/>
      </c>
      <c r="O180" s="422">
        <f t="shared" si="69"/>
      </c>
      <c r="P180" s="407" t="s">
        <v>248</v>
      </c>
      <c r="Q180" s="423" t="s">
        <v>234</v>
      </c>
      <c r="R180" s="453">
        <v>20287</v>
      </c>
      <c r="S180" s="426">
        <v>1873</v>
      </c>
      <c r="T180" s="426">
        <v>3</v>
      </c>
      <c r="U180" s="426">
        <v>25</v>
      </c>
    </row>
    <row r="181">
      <c r="A181" s="397"/>
      <c r="B181" s="398" t="s">
        <v>253</v>
      </c>
      <c r="C181" s="399" t="s">
        <v>232</v>
      </c>
      <c r="D181" s="415">
        <f t="shared" si="29"/>
      </c>
      <c r="E181" s="416">
        <v>2191.06</v>
      </c>
      <c r="F181" s="417">
        <v>941.94</v>
      </c>
      <c r="G181" s="417">
        <v>0</v>
      </c>
      <c r="H181" s="418">
        <v>7</v>
      </c>
      <c r="I181" s="417">
        <v>2130.479999999996</v>
      </c>
      <c r="J181" s="419">
        <f t="shared" si="88"/>
      </c>
      <c r="K181" s="419">
        <f t="shared" si="149"/>
      </c>
      <c r="L181" s="419">
        <f t="shared" si="168"/>
      </c>
      <c r="M181" s="420">
        <f t="shared" si="111"/>
      </c>
      <c r="N181" s="421">
        <f t="shared" si="130"/>
      </c>
      <c r="O181" s="422">
        <f t="shared" si="69"/>
      </c>
      <c r="P181" s="407" t="s">
        <v>248</v>
      </c>
      <c r="Q181" s="423" t="s">
        <v>234</v>
      </c>
      <c r="R181" s="453">
        <v>30301</v>
      </c>
      <c r="S181" s="426">
        <v>2640</v>
      </c>
      <c r="T181" s="426">
        <v>6</v>
      </c>
      <c r="U181" s="426">
        <v>44</v>
      </c>
    </row>
    <row r="182">
      <c r="A182" s="397"/>
      <c r="B182" s="427" t="s">
        <v>239</v>
      </c>
      <c r="C182" s="427"/>
      <c r="D182" s="428">
        <f>SUM(D178:D181)</f>
      </c>
      <c r="E182" s="428">
        <f>SUM(E178:E181)</f>
      </c>
      <c r="F182" s="428">
        <f>SUM(F178:F181)</f>
      </c>
      <c r="G182" s="428">
        <f>SUM(G178:G181)</f>
      </c>
      <c r="H182" s="429">
        <f>SUM(H178:H181)</f>
      </c>
      <c r="I182" s="428">
        <f>SUM(I178:I181)</f>
      </c>
      <c r="J182" s="430">
        <f t="shared" si="88"/>
      </c>
      <c r="K182" s="431">
        <f t="shared" si="149"/>
      </c>
      <c r="L182" s="432">
        <f t="shared" si="168"/>
      </c>
      <c r="M182" s="433">
        <f t="shared" si="111"/>
      </c>
      <c r="N182" s="433">
        <f t="shared" si="130"/>
      </c>
      <c r="O182" s="434">
        <f t="shared" si="69"/>
      </c>
      <c r="P182" s="434"/>
      <c r="Q182" s="434"/>
      <c r="R182" s="429">
        <f>SUM(R178:R181)</f>
      </c>
      <c r="S182" s="429">
        <f>SUM(S178:S181)</f>
      </c>
      <c r="T182" s="429">
        <f>SUM(T178:T181)</f>
      </c>
      <c r="U182" s="429">
        <f>SUM(U178:U181)</f>
      </c>
    </row>
    <row r="183">
      <c r="A183" s="397"/>
      <c r="B183" s="413" t="s">
        <v>251</v>
      </c>
      <c r="C183" s="412" t="s">
        <v>235</v>
      </c>
      <c r="D183" s="415">
        <f t="shared" ref="D183:D186" si="30">SUM(E183:G183)</f>
      </c>
      <c r="E183" s="416">
        <v>2441.88</v>
      </c>
      <c r="F183" s="417">
        <v>1118.33</v>
      </c>
      <c r="G183" s="401">
        <v>0</v>
      </c>
      <c r="H183" s="418">
        <v>9</v>
      </c>
      <c r="I183" s="417">
        <v>5352.960000000006</v>
      </c>
      <c r="J183" s="419">
        <f t="shared" si="88"/>
      </c>
      <c r="K183" s="419">
        <f t="shared" si="149"/>
      </c>
      <c r="L183" s="419">
        <f t="shared" si="168"/>
      </c>
      <c r="M183" s="420">
        <f t="shared" si="111"/>
      </c>
      <c r="N183" s="421">
        <f t="shared" si="130"/>
      </c>
      <c r="O183" s="422">
        <f t="shared" si="69"/>
      </c>
      <c r="P183" s="407" t="s">
        <v>248</v>
      </c>
      <c r="Q183" s="423" t="s">
        <v>234</v>
      </c>
      <c r="R183" s="453">
        <v>31899</v>
      </c>
      <c r="S183" s="426">
        <v>3051</v>
      </c>
      <c r="T183" s="426">
        <v>7</v>
      </c>
      <c r="U183" s="426">
        <v>50</v>
      </c>
    </row>
    <row r="184">
      <c r="A184" s="397"/>
      <c r="B184" s="413" t="s">
        <v>251</v>
      </c>
      <c r="C184" s="414" t="s">
        <v>236</v>
      </c>
      <c r="D184" s="415">
        <f t="shared" si="30"/>
      </c>
      <c r="E184" s="416">
        <v>2476.45</v>
      </c>
      <c r="F184" s="417">
        <v>1381.02</v>
      </c>
      <c r="G184" s="401">
        <v>0</v>
      </c>
      <c r="H184" s="418">
        <v>6</v>
      </c>
      <c r="I184" s="417">
        <v>1872.8999999999942</v>
      </c>
      <c r="J184" s="419">
        <f t="shared" si="88"/>
      </c>
      <c r="K184" s="419">
        <f t="shared" si="149"/>
      </c>
      <c r="L184" s="419">
        <f t="shared" si="168"/>
      </c>
      <c r="M184" s="420">
        <f t="shared" si="111"/>
      </c>
      <c r="N184" s="421">
        <f t="shared" si="130"/>
      </c>
      <c r="O184" s="422">
        <f t="shared" si="69"/>
      </c>
      <c r="P184" s="407" t="s">
        <v>248</v>
      </c>
      <c r="Q184" s="423" t="s">
        <v>234</v>
      </c>
      <c r="R184" s="453">
        <v>38646</v>
      </c>
      <c r="S184" s="426">
        <v>4374</v>
      </c>
      <c r="T184" s="426">
        <v>4</v>
      </c>
      <c r="U184" s="426">
        <v>59</v>
      </c>
    </row>
    <row r="185">
      <c r="A185" s="397"/>
      <c r="B185" s="413" t="s">
        <v>251</v>
      </c>
      <c r="C185" s="414" t="s">
        <v>237</v>
      </c>
      <c r="D185" s="415">
        <f t="shared" si="30"/>
      </c>
      <c r="E185" s="416">
        <v>3101.06</v>
      </c>
      <c r="F185" s="417">
        <v>1320.92</v>
      </c>
      <c r="G185" s="401">
        <v>0</v>
      </c>
      <c r="H185" s="418">
        <v>15</v>
      </c>
      <c r="I185" s="417">
        <v>9832.279999999999</v>
      </c>
      <c r="J185" s="419">
        <f t="shared" si="88"/>
      </c>
      <c r="K185" s="419">
        <f t="shared" si="149"/>
      </c>
      <c r="L185" s="419">
        <f t="shared" si="168"/>
      </c>
      <c r="M185" s="420">
        <f t="shared" si="111"/>
      </c>
      <c r="N185" s="421">
        <f t="shared" si="130"/>
      </c>
      <c r="O185" s="422">
        <f t="shared" si="69"/>
      </c>
      <c r="P185" s="407" t="s">
        <v>248</v>
      </c>
      <c r="Q185" s="423" t="s">
        <v>234</v>
      </c>
      <c r="R185" s="453">
        <v>44087</v>
      </c>
      <c r="S185" s="426">
        <v>4151</v>
      </c>
      <c r="T185" s="426">
        <v>10</v>
      </c>
      <c r="U185" s="426">
        <v>49</v>
      </c>
    </row>
    <row r="186">
      <c r="A186" s="397"/>
      <c r="B186" s="413" t="s">
        <v>251</v>
      </c>
      <c r="C186" s="414" t="s">
        <v>238</v>
      </c>
      <c r="D186" s="415">
        <f t="shared" si="30"/>
      </c>
      <c r="E186" s="416">
        <v>1695.49</v>
      </c>
      <c r="F186" s="417">
        <v>979.2</v>
      </c>
      <c r="G186" s="417">
        <v>0</v>
      </c>
      <c r="H186" s="418">
        <v>12</v>
      </c>
      <c r="I186" s="417">
        <v>9688</v>
      </c>
      <c r="J186" s="419">
        <f t="shared" si="88"/>
      </c>
      <c r="K186" s="419">
        <f t="shared" si="149"/>
      </c>
      <c r="L186" s="419">
        <f t="shared" si="168"/>
      </c>
      <c r="M186" s="420">
        <f t="shared" si="111"/>
      </c>
      <c r="N186" s="421">
        <f t="shared" si="130"/>
      </c>
      <c r="O186" s="422">
        <f t="shared" si="69"/>
      </c>
      <c r="P186" s="407" t="s">
        <v>248</v>
      </c>
      <c r="Q186" s="423" t="s">
        <v>234</v>
      </c>
      <c r="R186" s="453">
        <v>27949</v>
      </c>
      <c r="S186" s="426">
        <v>2895</v>
      </c>
      <c r="T186" s="426">
        <v>5</v>
      </c>
      <c r="U186" s="426">
        <v>65</v>
      </c>
    </row>
    <row r="187">
      <c r="A187" s="397"/>
      <c r="B187" s="427" t="s">
        <v>239</v>
      </c>
      <c r="C187" s="427"/>
      <c r="D187" s="428">
        <f>SUM(D183:D186)</f>
      </c>
      <c r="E187" s="428">
        <f>SUM(E183:E186)</f>
      </c>
      <c r="F187" s="428">
        <f>SUM(F183:F186)</f>
      </c>
      <c r="G187" s="428">
        <f>SUM(G183:G186)</f>
      </c>
      <c r="H187" s="429">
        <f>SUM(H183:H186)</f>
      </c>
      <c r="I187" s="428">
        <f>SUM(I183:I186)</f>
      </c>
      <c r="J187" s="430">
        <f t="shared" si="88"/>
      </c>
      <c r="K187" s="431">
        <f t="shared" si="149"/>
      </c>
      <c r="L187" s="432">
        <f t="shared" si="168"/>
      </c>
      <c r="M187" s="433">
        <f t="shared" si="111"/>
      </c>
      <c r="N187" s="433">
        <f t="shared" si="130"/>
      </c>
      <c r="O187" s="434">
        <f t="shared" si="69"/>
      </c>
      <c r="P187" s="434"/>
      <c r="Q187" s="434"/>
      <c r="R187" s="429">
        <f>SUM(R183:R186)</f>
      </c>
      <c r="S187" s="429">
        <f>SUM(S183:S186)</f>
      </c>
      <c r="T187" s="429">
        <f>SUM(T183:T186)</f>
      </c>
      <c r="U187" s="429">
        <f>SUM(U183:U186)</f>
      </c>
    </row>
    <row r="188">
      <c r="A188" s="397"/>
      <c r="B188" s="435" t="s">
        <v>240</v>
      </c>
      <c r="C188" s="435"/>
      <c r="D188" s="436">
        <f>D177+D182+D187+D172</f>
      </c>
      <c r="E188" s="436">
        <f>E177+E182+E187+E172</f>
      </c>
      <c r="F188" s="436">
        <f>F177+F182+F187+F172</f>
      </c>
      <c r="G188" s="436">
        <f>G177+G182+G187+G172</f>
      </c>
      <c r="H188" s="436">
        <f>H177+H182+H187+H172</f>
      </c>
      <c r="I188" s="436">
        <f>I177+I182+I187+I172</f>
      </c>
      <c r="J188" s="438">
        <f t="shared" si="88"/>
      </c>
      <c r="K188" s="438">
        <f t="shared" si="149"/>
      </c>
      <c r="L188" s="438">
        <f t="shared" si="168"/>
      </c>
      <c r="M188" s="439">
        <f t="shared" si="111"/>
      </c>
      <c r="N188" s="439">
        <f t="shared" si="130"/>
      </c>
      <c r="O188" s="438">
        <f t="shared" si="69"/>
      </c>
      <c r="P188" s="440"/>
      <c r="Q188" s="440"/>
      <c r="R188" s="437">
        <f>R177+R182+R187+R172</f>
      </c>
      <c r="S188" s="437">
        <f>S177+S182+S187+S172</f>
      </c>
      <c r="T188" s="437">
        <f>T177+T182+T187+T172</f>
      </c>
      <c r="U188" s="437">
        <f>U177+U182+U187+U172</f>
      </c>
    </row>
    <row r="189">
      <c r="A189" s="387" t="s">
        <v>205</v>
      </c>
      <c r="B189" s="387"/>
      <c r="C189" s="387"/>
      <c r="D189" s="388" t="s">
        <v>206</v>
      </c>
      <c r="E189" s="388"/>
      <c r="F189" s="388"/>
      <c r="G189" s="388"/>
      <c r="H189" s="388"/>
      <c r="I189" s="388"/>
      <c r="J189" s="388"/>
      <c r="K189" s="388"/>
      <c r="L189" s="388"/>
      <c r="M189" s="389" t="s">
        <v>207</v>
      </c>
      <c r="N189" s="389"/>
      <c r="O189" s="389"/>
      <c r="P189" s="389"/>
      <c r="Q189" s="389"/>
      <c r="R189" s="390" t="s">
        <v>208</v>
      </c>
      <c r="S189" s="390"/>
      <c r="T189" s="390"/>
      <c r="U189" s="390"/>
      <c r="V189" s="442"/>
    </row>
    <row r="190">
      <c r="A190" s="387" t="s">
        <v>209</v>
      </c>
      <c r="B190" s="387" t="s">
        <v>210</v>
      </c>
      <c r="C190" s="387" t="s">
        <v>211</v>
      </c>
      <c r="D190" s="388" t="s">
        <v>212</v>
      </c>
      <c r="E190" s="391" t="s">
        <v>213</v>
      </c>
      <c r="F190" s="388" t="s">
        <v>214</v>
      </c>
      <c r="G190" s="388" t="s">
        <v>215</v>
      </c>
      <c r="H190" s="392" t="s">
        <v>216</v>
      </c>
      <c r="I190" s="388" t="s">
        <v>217</v>
      </c>
      <c r="J190" s="393" t="s">
        <v>218</v>
      </c>
      <c r="K190" s="394" t="s">
        <v>219</v>
      </c>
      <c r="L190" s="388" t="s">
        <v>220</v>
      </c>
      <c r="M190" s="395" t="s">
        <v>221</v>
      </c>
      <c r="N190" s="395" t="s">
        <v>222</v>
      </c>
      <c r="O190" s="395" t="s">
        <v>223</v>
      </c>
      <c r="P190" s="389" t="s">
        <v>224</v>
      </c>
      <c r="Q190" s="389" t="s">
        <v>225</v>
      </c>
      <c r="R190" s="390" t="s">
        <v>226</v>
      </c>
      <c r="S190" s="390" t="s">
        <v>227</v>
      </c>
      <c r="T190" s="390" t="s">
        <v>228</v>
      </c>
      <c r="U190" s="390" t="s">
        <v>230</v>
      </c>
      <c r="V190" s="442"/>
    </row>
    <row r="191">
      <c r="A191" s="397">
        <v>46306</v>
      </c>
      <c r="B191" s="454" t="s">
        <v>246</v>
      </c>
      <c r="C191" s="441" t="s">
        <v>257</v>
      </c>
      <c r="D191" s="399">
        <f t="shared" ref="D191:D195" si="31">SUM(E191:G191)</f>
      </c>
      <c r="E191" s="455">
        <v>2203.89</v>
      </c>
      <c r="F191" s="399">
        <v>3137.32</v>
      </c>
      <c r="G191" s="401">
        <v>0</v>
      </c>
      <c r="H191" s="443">
        <v>14</v>
      </c>
      <c r="I191" s="399">
        <v>13203.06</v>
      </c>
      <c r="J191" s="403">
        <f t="shared" ref="J191:J212" si="89">I191/D191</f>
      </c>
      <c r="K191" s="403">
        <f t="shared" ref="K191:K212" si="150">D191/H191</f>
      </c>
      <c r="L191" s="403">
        <f t="shared" ref="L191:L212" si="169">I191/H191</f>
      </c>
      <c r="M191" s="404">
        <f t="shared" ref="M191:M212" si="112">S191/R191</f>
      </c>
      <c r="N191" s="405">
        <f t="shared" ref="N191:N212" si="131">H191/(T191+H191)</f>
      </c>
      <c r="O191" s="406">
        <f t="shared" ref="O191:O212" si="70">(U191*1000)/D191</f>
      </c>
      <c r="P191" s="456" t="s">
        <v>233</v>
      </c>
      <c r="Q191" s="423" t="s">
        <v>254</v>
      </c>
      <c r="R191" s="409">
        <v>42453</v>
      </c>
      <c r="S191" s="410">
        <v>7609</v>
      </c>
      <c r="T191" s="411">
        <v>15</v>
      </c>
      <c r="U191" s="411">
        <v>77</v>
      </c>
      <c r="V191" s="448"/>
    </row>
    <row r="192">
      <c r="A192" s="397"/>
      <c r="B192" s="454" t="s">
        <v>246</v>
      </c>
      <c r="C192" s="441" t="s">
        <v>258</v>
      </c>
      <c r="D192" s="399">
        <f t="shared" si="31"/>
      </c>
      <c r="E192" s="455">
        <v>1265.15</v>
      </c>
      <c r="F192" s="399">
        <v>2461.88</v>
      </c>
      <c r="G192" s="401">
        <v>0</v>
      </c>
      <c r="H192" s="443">
        <v>11</v>
      </c>
      <c r="I192" s="399">
        <v>5246.1</v>
      </c>
      <c r="J192" s="403">
        <f t="shared" si="89"/>
      </c>
      <c r="K192" s="403">
        <f t="shared" si="150"/>
      </c>
      <c r="L192" s="403">
        <f t="shared" si="169"/>
      </c>
      <c r="M192" s="404">
        <f t="shared" si="112"/>
      </c>
      <c r="N192" s="405">
        <f t="shared" si="131"/>
      </c>
      <c r="O192" s="406">
        <f t="shared" si="70"/>
      </c>
      <c r="P192" s="456" t="s">
        <v>233</v>
      </c>
      <c r="Q192" s="408" t="s">
        <v>254</v>
      </c>
      <c r="R192" s="409">
        <v>35865</v>
      </c>
      <c r="S192" s="410">
        <v>7199</v>
      </c>
      <c r="T192" s="410">
        <v>12</v>
      </c>
      <c r="U192" s="410">
        <v>71</v>
      </c>
      <c r="V192" s="448"/>
    </row>
    <row r="193">
      <c r="A193" s="397"/>
      <c r="B193" s="454" t="s">
        <v>246</v>
      </c>
      <c r="C193" s="441" t="s">
        <v>259</v>
      </c>
      <c r="D193" s="399">
        <f t="shared" si="31"/>
      </c>
      <c r="E193" s="455">
        <v>2074.15</v>
      </c>
      <c r="F193" s="399">
        <v>1310.83</v>
      </c>
      <c r="G193" s="401">
        <v>0</v>
      </c>
      <c r="H193" s="402">
        <v>15</v>
      </c>
      <c r="I193" s="399">
        <v>9423.380000000001</v>
      </c>
      <c r="J193" s="403">
        <f t="shared" si="89"/>
      </c>
      <c r="K193" s="403">
        <f t="shared" si="150"/>
      </c>
      <c r="L193" s="403">
        <f t="shared" si="169"/>
      </c>
      <c r="M193" s="404">
        <f t="shared" si="112"/>
      </c>
      <c r="N193" s="405">
        <f t="shared" si="131"/>
      </c>
      <c r="O193" s="406">
        <f t="shared" si="70"/>
      </c>
      <c r="P193" s="456" t="s">
        <v>233</v>
      </c>
      <c r="Q193" s="408" t="s">
        <v>254</v>
      </c>
      <c r="R193" s="409">
        <v>33089</v>
      </c>
      <c r="S193" s="410">
        <v>3632</v>
      </c>
      <c r="T193" s="410">
        <v>11</v>
      </c>
      <c r="U193" s="410">
        <v>78</v>
      </c>
      <c r="V193" s="448"/>
    </row>
    <row r="194">
      <c r="A194" s="397"/>
      <c r="B194" s="454" t="s">
        <v>246</v>
      </c>
      <c r="C194" s="441" t="s">
        <v>260</v>
      </c>
      <c r="D194" s="399">
        <f t="shared" si="31"/>
      </c>
      <c r="E194" s="455">
        <v>2779.27</v>
      </c>
      <c r="F194" s="399">
        <v>743.86</v>
      </c>
      <c r="G194" s="401">
        <v>0</v>
      </c>
      <c r="H194" s="402">
        <v>7</v>
      </c>
      <c r="I194" s="399">
        <v>6126.479999999996</v>
      </c>
      <c r="J194" s="403">
        <f t="shared" si="89"/>
      </c>
      <c r="K194" s="403">
        <f t="shared" si="150"/>
      </c>
      <c r="L194" s="403">
        <f t="shared" si="169"/>
      </c>
      <c r="M194" s="404">
        <f t="shared" si="112"/>
      </c>
      <c r="N194" s="405">
        <f t="shared" si="131"/>
      </c>
      <c r="O194" s="406">
        <f t="shared" si="70"/>
      </c>
      <c r="P194" s="456" t="s">
        <v>233</v>
      </c>
      <c r="Q194" s="408" t="s">
        <v>254</v>
      </c>
      <c r="R194" s="409">
        <v>31337</v>
      </c>
      <c r="S194" s="410">
        <v>1889</v>
      </c>
      <c r="T194" s="410">
        <v>5</v>
      </c>
      <c r="U194" s="410">
        <v>51</v>
      </c>
      <c r="V194" s="448"/>
    </row>
    <row r="195">
      <c r="A195" s="397"/>
      <c r="B195" s="454" t="s">
        <v>246</v>
      </c>
      <c r="C195" s="457" t="s">
        <v>261</v>
      </c>
      <c r="D195" s="399">
        <f t="shared" si="31"/>
      </c>
      <c r="E195" s="455">
        <v>3330.45</v>
      </c>
      <c r="F195" s="399">
        <v>573.41</v>
      </c>
      <c r="G195" s="401">
        <v>0</v>
      </c>
      <c r="H195" s="402">
        <v>13</v>
      </c>
      <c r="I195" s="399">
        <v>4493.520000000004</v>
      </c>
      <c r="J195" s="403">
        <f t="shared" si="89"/>
      </c>
      <c r="K195" s="403">
        <f t="shared" si="150"/>
      </c>
      <c r="L195" s="403">
        <f t="shared" si="169"/>
      </c>
      <c r="M195" s="404">
        <f t="shared" si="112"/>
      </c>
      <c r="N195" s="405">
        <f t="shared" si="131"/>
      </c>
      <c r="O195" s="406">
        <f t="shared" si="70"/>
      </c>
      <c r="P195" s="456" t="s">
        <v>233</v>
      </c>
      <c r="Q195" s="408" t="s">
        <v>254</v>
      </c>
      <c r="R195" s="409">
        <v>42918</v>
      </c>
      <c r="S195" s="410">
        <v>2322</v>
      </c>
      <c r="T195" s="410">
        <v>3</v>
      </c>
      <c r="U195" s="410">
        <v>48</v>
      </c>
      <c r="V195" s="448"/>
    </row>
    <row r="196">
      <c r="A196" s="397"/>
      <c r="B196" s="458" t="s">
        <v>239</v>
      </c>
      <c r="C196" s="458"/>
      <c r="D196" s="459">
        <f>SUM(D191:D195)</f>
      </c>
      <c r="E196" s="459">
        <f>SUM(E191:E195)</f>
      </c>
      <c r="F196" s="459">
        <f>SUM(F191:F195)</f>
      </c>
      <c r="G196" s="459">
        <f>SUM(G191:G195)</f>
      </c>
      <c r="H196" s="460">
        <f>SUM(H191:H195)</f>
      </c>
      <c r="I196" s="459">
        <f>SUM(I191:I195)</f>
      </c>
      <c r="J196" s="461">
        <f t="shared" si="89"/>
      </c>
      <c r="K196" s="462">
        <f t="shared" si="150"/>
      </c>
      <c r="L196" s="463">
        <f t="shared" si="169"/>
      </c>
      <c r="M196" s="464">
        <f t="shared" si="112"/>
      </c>
      <c r="N196" s="464">
        <f t="shared" si="131"/>
      </c>
      <c r="O196" s="465">
        <f t="shared" si="70"/>
      </c>
      <c r="P196" s="465"/>
      <c r="Q196" s="465"/>
      <c r="R196" s="460">
        <f>SUM(R191:R195)</f>
      </c>
      <c r="S196" s="460">
        <f>SUM(S191:S195)</f>
      </c>
      <c r="T196" s="460">
        <f>SUM(T191:T195)</f>
      </c>
      <c r="U196" s="460">
        <f>SUM(U191:U195)</f>
      </c>
      <c r="V196" s="448"/>
    </row>
    <row r="197">
      <c r="A197" s="397"/>
      <c r="B197" s="413" t="s">
        <v>256</v>
      </c>
      <c r="C197" s="441" t="s">
        <v>242</v>
      </c>
      <c r="D197" s="399">
        <f t="shared" ref="D197:D200" si="32">SUM(E197:G197)</f>
      </c>
      <c r="E197" s="400">
        <v>3627.35</v>
      </c>
      <c r="F197" s="401">
        <v>625.14</v>
      </c>
      <c r="G197" s="401">
        <v>0</v>
      </c>
      <c r="H197" s="443">
        <v>17</v>
      </c>
      <c r="I197" s="401">
        <v>8073.5999999999985</v>
      </c>
      <c r="J197" s="403">
        <f t="shared" si="89"/>
      </c>
      <c r="K197" s="403">
        <f t="shared" si="150"/>
      </c>
      <c r="L197" s="403">
        <f t="shared" si="169"/>
      </c>
      <c r="M197" s="404">
        <f t="shared" si="112"/>
      </c>
      <c r="N197" s="405">
        <f t="shared" si="131"/>
      </c>
      <c r="O197" s="406">
        <f t="shared" si="70"/>
      </c>
      <c r="P197" s="407" t="s">
        <v>233</v>
      </c>
      <c r="Q197" s="423" t="s">
        <v>254</v>
      </c>
      <c r="R197" s="409">
        <v>46725</v>
      </c>
      <c r="S197" s="410">
        <v>2515</v>
      </c>
      <c r="T197" s="411">
        <v>12</v>
      </c>
      <c r="U197" s="411">
        <v>60</v>
      </c>
      <c r="V197" s="448"/>
    </row>
    <row r="198">
      <c r="A198" s="397"/>
      <c r="B198" s="413" t="s">
        <v>256</v>
      </c>
      <c r="C198" s="441" t="s">
        <v>243</v>
      </c>
      <c r="D198" s="399">
        <f t="shared" si="32"/>
      </c>
      <c r="E198" s="400">
        <v>3936.15</v>
      </c>
      <c r="F198" s="401">
        <v>564.8</v>
      </c>
      <c r="G198" s="401">
        <v>0</v>
      </c>
      <c r="H198" s="443">
        <v>27</v>
      </c>
      <c r="I198" s="401">
        <v>14345.04</v>
      </c>
      <c r="J198" s="403">
        <f t="shared" si="89"/>
      </c>
      <c r="K198" s="403">
        <f t="shared" si="150"/>
      </c>
      <c r="L198" s="403">
        <f t="shared" si="169"/>
      </c>
      <c r="M198" s="404">
        <f t="shared" si="112"/>
      </c>
      <c r="N198" s="405">
        <f t="shared" si="131"/>
      </c>
      <c r="O198" s="406">
        <f t="shared" si="70"/>
      </c>
      <c r="P198" s="407" t="s">
        <v>233</v>
      </c>
      <c r="Q198" s="423" t="s">
        <v>254</v>
      </c>
      <c r="R198" s="409">
        <v>49095</v>
      </c>
      <c r="S198" s="410">
        <v>2960</v>
      </c>
      <c r="T198" s="411">
        <v>14</v>
      </c>
      <c r="U198" s="411">
        <v>80</v>
      </c>
      <c r="V198" s="448"/>
    </row>
    <row r="199">
      <c r="A199" s="397"/>
      <c r="B199" s="413" t="s">
        <v>256</v>
      </c>
      <c r="C199" s="441" t="s">
        <v>244</v>
      </c>
      <c r="D199" s="415">
        <f t="shared" si="32"/>
      </c>
      <c r="E199" s="416">
        <v>4841.81</v>
      </c>
      <c r="F199" s="417">
        <v>733.28</v>
      </c>
      <c r="G199" s="417">
        <v>0</v>
      </c>
      <c r="H199" s="418">
        <v>19</v>
      </c>
      <c r="I199" s="417">
        <v>7507.379999999997</v>
      </c>
      <c r="J199" s="419">
        <f t="shared" si="89"/>
      </c>
      <c r="K199" s="419">
        <f t="shared" si="150"/>
      </c>
      <c r="L199" s="419">
        <f t="shared" si="169"/>
      </c>
      <c r="M199" s="420">
        <f t="shared" si="112"/>
      </c>
      <c r="N199" s="421">
        <f t="shared" si="131"/>
      </c>
      <c r="O199" s="422">
        <f t="shared" si="70"/>
      </c>
      <c r="P199" s="407" t="s">
        <v>233</v>
      </c>
      <c r="Q199" s="423" t="s">
        <v>254</v>
      </c>
      <c r="R199" s="424">
        <v>53101</v>
      </c>
      <c r="S199" s="425">
        <v>3116</v>
      </c>
      <c r="T199" s="426">
        <v>22</v>
      </c>
      <c r="U199" s="426">
        <v>90</v>
      </c>
    </row>
    <row r="200">
      <c r="A200" s="397"/>
      <c r="B200" s="413" t="s">
        <v>256</v>
      </c>
      <c r="C200" s="441" t="s">
        <v>245</v>
      </c>
      <c r="D200" s="415">
        <f t="shared" si="32"/>
      </c>
      <c r="E200" s="416">
        <v>4927.3</v>
      </c>
      <c r="F200" s="417">
        <v>684.66</v>
      </c>
      <c r="G200" s="417">
        <v>0</v>
      </c>
      <c r="H200" s="418">
        <v>25</v>
      </c>
      <c r="I200" s="417">
        <f>12284.3-236.64</f>
      </c>
      <c r="J200" s="419">
        <f t="shared" si="89"/>
      </c>
      <c r="K200" s="419">
        <f t="shared" si="150"/>
      </c>
      <c r="L200" s="419">
        <f t="shared" si="169"/>
      </c>
      <c r="M200" s="420">
        <f t="shared" si="112"/>
      </c>
      <c r="N200" s="421">
        <f t="shared" si="131"/>
      </c>
      <c r="O200" s="422">
        <f t="shared" si="70"/>
      </c>
      <c r="P200" s="407" t="s">
        <v>233</v>
      </c>
      <c r="Q200" s="423" t="s">
        <v>254</v>
      </c>
      <c r="R200" s="453">
        <v>62447</v>
      </c>
      <c r="S200" s="426">
        <v>3184</v>
      </c>
      <c r="T200" s="426">
        <v>11</v>
      </c>
      <c r="U200" s="426">
        <v>64</v>
      </c>
    </row>
    <row r="201">
      <c r="A201" s="397"/>
      <c r="B201" s="427" t="s">
        <v>239</v>
      </c>
      <c r="C201" s="427"/>
      <c r="D201" s="428">
        <f>SUM(D197:D200)</f>
      </c>
      <c r="E201" s="428">
        <f>SUM(E197:E200)</f>
      </c>
      <c r="F201" s="428">
        <f>SUM(F197:F200)</f>
      </c>
      <c r="G201" s="428">
        <f>SUM(G197:G200)</f>
      </c>
      <c r="H201" s="429">
        <f>SUM(H197:H200)</f>
      </c>
      <c r="I201" s="428">
        <f>SUM(I197:I200)</f>
      </c>
      <c r="J201" s="430">
        <f t="shared" si="89"/>
      </c>
      <c r="K201" s="431">
        <f t="shared" si="150"/>
      </c>
      <c r="L201" s="432">
        <f t="shared" si="169"/>
      </c>
      <c r="M201" s="433">
        <f t="shared" si="112"/>
      </c>
      <c r="N201" s="433">
        <f t="shared" si="131"/>
      </c>
      <c r="O201" s="434">
        <f t="shared" si="70"/>
      </c>
      <c r="P201" s="434"/>
      <c r="Q201" s="434"/>
      <c r="R201" s="429">
        <f>SUM(R197:R200)</f>
      </c>
      <c r="S201" s="429">
        <f>SUM(S197:S200)</f>
      </c>
      <c r="T201" s="429">
        <f>SUM(T197:T200)</f>
      </c>
      <c r="U201" s="429">
        <f>SUM(U197:U200)</f>
      </c>
    </row>
    <row r="202">
      <c r="A202" s="397"/>
      <c r="B202" s="398" t="s">
        <v>255</v>
      </c>
      <c r="C202" s="441" t="s">
        <v>247</v>
      </c>
      <c r="D202" s="415">
        <f t="shared" ref="D202:D205" si="33">SUM(E202:G202)</f>
      </c>
      <c r="E202" s="416">
        <v>3547.89</v>
      </c>
      <c r="F202" s="417">
        <v>318.55</v>
      </c>
      <c r="G202" s="401">
        <v>0</v>
      </c>
      <c r="H202" s="418">
        <v>8</v>
      </c>
      <c r="I202" s="417">
        <v>7865.520000000004</v>
      </c>
      <c r="J202" s="419">
        <f t="shared" si="89"/>
      </c>
      <c r="K202" s="419">
        <f t="shared" si="150"/>
      </c>
      <c r="L202" s="419">
        <f t="shared" si="169"/>
      </c>
      <c r="M202" s="420">
        <f t="shared" si="112"/>
      </c>
      <c r="N202" s="421">
        <f t="shared" si="131"/>
      </c>
      <c r="O202" s="422">
        <f t="shared" si="70"/>
      </c>
      <c r="P202" s="407" t="s">
        <v>248</v>
      </c>
      <c r="Q202" s="423" t="s">
        <v>234</v>
      </c>
      <c r="R202" s="453">
        <v>46140</v>
      </c>
      <c r="S202" s="426">
        <v>2259</v>
      </c>
      <c r="T202" s="426">
        <v>7</v>
      </c>
      <c r="U202" s="426">
        <v>55</v>
      </c>
    </row>
    <row r="203">
      <c r="A203" s="397"/>
      <c r="B203" s="398" t="s">
        <v>255</v>
      </c>
      <c r="C203" s="417" t="s">
        <v>249</v>
      </c>
      <c r="D203" s="415">
        <f t="shared" si="33"/>
      </c>
      <c r="E203" s="416">
        <v>2964.75</v>
      </c>
      <c r="F203" s="417">
        <v>326</v>
      </c>
      <c r="G203" s="401">
        <v>0</v>
      </c>
      <c r="H203" s="418">
        <v>8</v>
      </c>
      <c r="I203" s="417">
        <v>2794.4400000000023</v>
      </c>
      <c r="J203" s="419">
        <f t="shared" si="89"/>
      </c>
      <c r="K203" s="419">
        <f t="shared" si="150"/>
      </c>
      <c r="L203" s="419">
        <f t="shared" si="169"/>
      </c>
      <c r="M203" s="420">
        <f t="shared" si="112"/>
      </c>
      <c r="N203" s="421">
        <f t="shared" si="131"/>
      </c>
      <c r="O203" s="422">
        <f t="shared" si="70"/>
      </c>
      <c r="P203" s="407" t="s">
        <v>248</v>
      </c>
      <c r="Q203" s="423" t="s">
        <v>234</v>
      </c>
      <c r="R203" s="453">
        <v>38633</v>
      </c>
      <c r="S203" s="426">
        <v>1908</v>
      </c>
      <c r="T203" s="426">
        <v>8</v>
      </c>
      <c r="U203" s="426">
        <v>40</v>
      </c>
    </row>
    <row r="204">
      <c r="A204" s="397"/>
      <c r="B204" s="398" t="s">
        <v>255</v>
      </c>
      <c r="C204" s="414" t="s">
        <v>250</v>
      </c>
      <c r="D204" s="415">
        <f t="shared" si="33"/>
      </c>
      <c r="E204" s="416">
        <v>4216.53</v>
      </c>
      <c r="F204" s="417">
        <v>716.44</v>
      </c>
      <c r="G204" s="417">
        <v>0</v>
      </c>
      <c r="H204" s="418">
        <v>7</v>
      </c>
      <c r="I204" s="417">
        <v>3078.4800000000105</v>
      </c>
      <c r="J204" s="419">
        <f t="shared" si="89"/>
      </c>
      <c r="K204" s="419">
        <f t="shared" si="150"/>
      </c>
      <c r="L204" s="419">
        <f t="shared" si="169"/>
      </c>
      <c r="M204" s="420">
        <f t="shared" si="112"/>
      </c>
      <c r="N204" s="421">
        <f t="shared" si="131"/>
      </c>
      <c r="O204" s="422">
        <f t="shared" si="70"/>
      </c>
      <c r="P204" s="407" t="s">
        <v>248</v>
      </c>
      <c r="Q204" s="423" t="s">
        <v>234</v>
      </c>
      <c r="R204" s="453">
        <v>59067</v>
      </c>
      <c r="S204" s="426">
        <v>2946</v>
      </c>
      <c r="T204" s="426">
        <v>5</v>
      </c>
      <c r="U204" s="426">
        <v>52</v>
      </c>
    </row>
    <row r="205">
      <c r="A205" s="397"/>
      <c r="B205" s="398" t="s">
        <v>255</v>
      </c>
      <c r="C205" s="399" t="s">
        <v>232</v>
      </c>
      <c r="D205" s="415">
        <f t="shared" si="33"/>
      </c>
      <c r="E205" s="416">
        <v>2676.8</v>
      </c>
      <c r="F205" s="417">
        <v>497.47</v>
      </c>
      <c r="G205" s="417">
        <v>0</v>
      </c>
      <c r="H205" s="418">
        <v>7</v>
      </c>
      <c r="I205" s="417">
        <v>5573.899999999994</v>
      </c>
      <c r="J205" s="419">
        <f t="shared" si="89"/>
      </c>
      <c r="K205" s="419">
        <f t="shared" si="150"/>
      </c>
      <c r="L205" s="419">
        <f t="shared" si="169"/>
      </c>
      <c r="M205" s="420">
        <f t="shared" si="112"/>
      </c>
      <c r="N205" s="421">
        <f t="shared" si="131"/>
      </c>
      <c r="O205" s="422">
        <f t="shared" si="70"/>
      </c>
      <c r="P205" s="407" t="s">
        <v>248</v>
      </c>
      <c r="Q205" s="423" t="s">
        <v>234</v>
      </c>
      <c r="R205" s="453">
        <v>37386</v>
      </c>
      <c r="S205" s="426">
        <v>2136</v>
      </c>
      <c r="T205" s="426">
        <v>9</v>
      </c>
      <c r="U205" s="426">
        <v>68</v>
      </c>
    </row>
    <row r="206">
      <c r="A206" s="397"/>
      <c r="B206" s="427" t="s">
        <v>239</v>
      </c>
      <c r="C206" s="427"/>
      <c r="D206" s="428">
        <f>SUM(D202:D205)</f>
      </c>
      <c r="E206" s="428">
        <f>SUM(E202:E205)</f>
      </c>
      <c r="F206" s="428">
        <f>SUM(F202:F205)</f>
      </c>
      <c r="G206" s="428">
        <f>SUM(G202:G205)</f>
      </c>
      <c r="H206" s="429">
        <f>SUM(H202:H205)</f>
      </c>
      <c r="I206" s="428">
        <f>SUM(I202:I205)</f>
      </c>
      <c r="J206" s="430">
        <f t="shared" si="89"/>
      </c>
      <c r="K206" s="431">
        <f t="shared" si="150"/>
      </c>
      <c r="L206" s="432">
        <f t="shared" si="169"/>
      </c>
      <c r="M206" s="433">
        <f t="shared" si="112"/>
      </c>
      <c r="N206" s="433">
        <f t="shared" si="131"/>
      </c>
      <c r="O206" s="434">
        <f t="shared" si="70"/>
      </c>
      <c r="P206" s="434"/>
      <c r="Q206" s="434"/>
      <c r="R206" s="429">
        <f>SUM(R202:R205)</f>
      </c>
      <c r="S206" s="429">
        <f>SUM(S202:S205)</f>
      </c>
      <c r="T206" s="429">
        <f>SUM(T202:T205)</f>
      </c>
      <c r="U206" s="429">
        <f>SUM(U202:U205)</f>
      </c>
    </row>
    <row r="207">
      <c r="A207" s="397"/>
      <c r="B207" s="413" t="s">
        <v>251</v>
      </c>
      <c r="C207" s="412" t="s">
        <v>235</v>
      </c>
      <c r="D207" s="415">
        <f t="shared" ref="D207:D210" si="34">SUM(E207:G207)</f>
      </c>
      <c r="E207" s="416">
        <v>3176.5</v>
      </c>
      <c r="F207" s="417">
        <v>503.26</v>
      </c>
      <c r="G207" s="401">
        <v>0</v>
      </c>
      <c r="H207" s="418">
        <v>5</v>
      </c>
      <c r="I207" s="417">
        <v>1599.6199999999953</v>
      </c>
      <c r="J207" s="419">
        <f t="shared" si="89"/>
      </c>
      <c r="K207" s="419">
        <f t="shared" si="150"/>
      </c>
      <c r="L207" s="419">
        <f t="shared" si="169"/>
      </c>
      <c r="M207" s="420">
        <f t="shared" si="112"/>
      </c>
      <c r="N207" s="421">
        <f t="shared" si="131"/>
      </c>
      <c r="O207" s="422">
        <f t="shared" si="70"/>
      </c>
      <c r="P207" s="407" t="s">
        <v>248</v>
      </c>
      <c r="Q207" s="423" t="s">
        <v>234</v>
      </c>
      <c r="R207" s="453">
        <v>45180</v>
      </c>
      <c r="S207" s="426">
        <v>2606</v>
      </c>
      <c r="T207" s="426">
        <v>5</v>
      </c>
      <c r="U207" s="426">
        <v>45</v>
      </c>
    </row>
    <row r="208">
      <c r="A208" s="397"/>
      <c r="B208" s="413" t="s">
        <v>251</v>
      </c>
      <c r="C208" s="414" t="s">
        <v>236</v>
      </c>
      <c r="D208" s="415">
        <f t="shared" si="34"/>
      </c>
      <c r="E208" s="416">
        <v>2433.31</v>
      </c>
      <c r="F208" s="417">
        <v>360.89</v>
      </c>
      <c r="G208" s="401">
        <v>0</v>
      </c>
      <c r="H208" s="418">
        <v>12</v>
      </c>
      <c r="I208" s="417">
        <v>4481.900000000009</v>
      </c>
      <c r="J208" s="419">
        <f t="shared" si="89"/>
      </c>
      <c r="K208" s="419">
        <f t="shared" si="150"/>
      </c>
      <c r="L208" s="419">
        <f t="shared" si="169"/>
      </c>
      <c r="M208" s="420">
        <f t="shared" si="112"/>
      </c>
      <c r="N208" s="421">
        <f t="shared" si="131"/>
      </c>
      <c r="O208" s="422">
        <f t="shared" si="70"/>
      </c>
      <c r="P208" s="407" t="s">
        <v>248</v>
      </c>
      <c r="Q208" s="423" t="s">
        <v>234</v>
      </c>
      <c r="R208" s="453">
        <v>34701</v>
      </c>
      <c r="S208" s="426">
        <v>1964</v>
      </c>
      <c r="T208" s="426">
        <v>13</v>
      </c>
      <c r="U208" s="426">
        <v>45</v>
      </c>
    </row>
    <row r="209">
      <c r="A209" s="397"/>
      <c r="B209" s="413" t="s">
        <v>251</v>
      </c>
      <c r="C209" s="414" t="s">
        <v>237</v>
      </c>
      <c r="D209" s="415">
        <f t="shared" si="34"/>
      </c>
      <c r="E209" s="416">
        <v>3395.74</v>
      </c>
      <c r="F209" s="417">
        <v>1324.19</v>
      </c>
      <c r="G209" s="401">
        <v>0</v>
      </c>
      <c r="H209" s="418">
        <v>20</v>
      </c>
      <c r="I209" s="417">
        <v>9761.699999999983</v>
      </c>
      <c r="J209" s="419">
        <f t="shared" si="89"/>
      </c>
      <c r="K209" s="419">
        <f t="shared" si="150"/>
      </c>
      <c r="L209" s="419">
        <f t="shared" si="169"/>
      </c>
      <c r="M209" s="420">
        <f t="shared" si="112"/>
      </c>
      <c r="N209" s="421">
        <f t="shared" si="131"/>
      </c>
      <c r="O209" s="422">
        <f t="shared" si="70"/>
      </c>
      <c r="P209" s="407" t="s">
        <v>248</v>
      </c>
      <c r="Q209" s="423" t="s">
        <v>234</v>
      </c>
      <c r="R209" s="453">
        <v>49192</v>
      </c>
      <c r="S209" s="426">
        <v>3938</v>
      </c>
      <c r="T209" s="426">
        <v>15</v>
      </c>
      <c r="U209" s="426">
        <v>67</v>
      </c>
    </row>
    <row r="210">
      <c r="A210" s="397"/>
      <c r="B210" s="413" t="s">
        <v>251</v>
      </c>
      <c r="C210" s="414" t="s">
        <v>238</v>
      </c>
      <c r="D210" s="415">
        <f t="shared" si="34"/>
      </c>
      <c r="E210" s="416">
        <v>3407.3</v>
      </c>
      <c r="F210" s="417">
        <v>900.56</v>
      </c>
      <c r="G210" s="417">
        <v>0</v>
      </c>
      <c r="H210" s="418">
        <v>18</v>
      </c>
      <c r="I210" s="417">
        <v>12242</v>
      </c>
      <c r="J210" s="419">
        <f t="shared" si="89"/>
      </c>
      <c r="K210" s="419">
        <f t="shared" si="150"/>
      </c>
      <c r="L210" s="419">
        <f t="shared" si="169"/>
      </c>
      <c r="M210" s="420">
        <f t="shared" si="112"/>
      </c>
      <c r="N210" s="421">
        <f t="shared" si="131"/>
      </c>
      <c r="O210" s="422">
        <f t="shared" si="70"/>
      </c>
      <c r="P210" s="407" t="s">
        <v>248</v>
      </c>
      <c r="Q210" s="423" t="s">
        <v>234</v>
      </c>
      <c r="R210" s="453">
        <v>49650</v>
      </c>
      <c r="S210" s="426">
        <v>3393</v>
      </c>
      <c r="T210" s="426">
        <v>8</v>
      </c>
      <c r="U210" s="426">
        <v>71</v>
      </c>
    </row>
    <row r="211">
      <c r="A211" s="397"/>
      <c r="B211" s="427" t="s">
        <v>239</v>
      </c>
      <c r="C211" s="427"/>
      <c r="D211" s="428">
        <f>SUM(D207:D210)</f>
      </c>
      <c r="E211" s="428">
        <f>SUM(E207:E210)</f>
      </c>
      <c r="F211" s="428">
        <f>SUM(F207:F210)</f>
      </c>
      <c r="G211" s="428">
        <f>SUM(G207:G210)</f>
      </c>
      <c r="H211" s="429">
        <f>SUM(H207:H210)</f>
      </c>
      <c r="I211" s="428">
        <f>SUM(I207:I210)</f>
      </c>
      <c r="J211" s="430">
        <f t="shared" si="89"/>
      </c>
      <c r="K211" s="431">
        <f t="shared" si="150"/>
      </c>
      <c r="L211" s="432">
        <f t="shared" si="169"/>
      </c>
      <c r="M211" s="433">
        <f t="shared" si="112"/>
      </c>
      <c r="N211" s="433">
        <f t="shared" si="131"/>
      </c>
      <c r="O211" s="434">
        <f t="shared" si="70"/>
      </c>
      <c r="P211" s="434"/>
      <c r="Q211" s="434"/>
      <c r="R211" s="429">
        <f>SUM(R207:R210)</f>
      </c>
      <c r="S211" s="429">
        <f>SUM(S207:S210)</f>
      </c>
      <c r="T211" s="429">
        <f>SUM(T207:T210)</f>
      </c>
      <c r="U211" s="429">
        <f>SUM(U207:U210)</f>
      </c>
    </row>
    <row r="212">
      <c r="A212" s="397"/>
      <c r="B212" s="435" t="s">
        <v>240</v>
      </c>
      <c r="C212" s="435"/>
      <c r="D212" s="436">
        <f>D201+D206+D211+D196</f>
      </c>
      <c r="E212" s="436">
        <f>E201+E206+E211+E196</f>
      </c>
      <c r="F212" s="436">
        <f>F201+F206+F211+F196</f>
      </c>
      <c r="G212" s="436">
        <f>G201+G206+G211+G196</f>
      </c>
      <c r="H212" s="436">
        <f>H201+H206+H211+H196</f>
      </c>
      <c r="I212" s="436">
        <f>I201+I206+I211+I196</f>
      </c>
      <c r="J212" s="438">
        <f t="shared" si="89"/>
      </c>
      <c r="K212" s="438">
        <f t="shared" si="150"/>
      </c>
      <c r="L212" s="438">
        <f t="shared" si="169"/>
      </c>
      <c r="M212" s="439">
        <f t="shared" si="112"/>
      </c>
      <c r="N212" s="439">
        <f t="shared" si="131"/>
      </c>
      <c r="O212" s="438">
        <f t="shared" si="70"/>
      </c>
      <c r="P212" s="440"/>
      <c r="Q212" s="440"/>
      <c r="R212" s="437">
        <f>R201+R206+R211+R196</f>
      </c>
      <c r="S212" s="437">
        <f>S201+S206+S211+S196</f>
      </c>
      <c r="T212" s="437">
        <f>T201+T206+T211+T196</f>
      </c>
      <c r="U212" s="437">
        <f>U201+U206+U211+U196</f>
      </c>
    </row>
    <row r="213">
      <c r="A213" s="387" t="s">
        <v>205</v>
      </c>
      <c r="B213" s="387"/>
      <c r="C213" s="387"/>
      <c r="D213" s="388" t="s">
        <v>206</v>
      </c>
      <c r="E213" s="388"/>
      <c r="F213" s="388"/>
      <c r="G213" s="388"/>
      <c r="H213" s="388"/>
      <c r="I213" s="388"/>
      <c r="J213" s="388"/>
      <c r="K213" s="388"/>
      <c r="L213" s="388"/>
      <c r="M213" s="389" t="s">
        <v>207</v>
      </c>
      <c r="N213" s="389"/>
      <c r="O213" s="389"/>
      <c r="P213" s="389"/>
      <c r="Q213" s="389"/>
      <c r="R213" s="390" t="s">
        <v>208</v>
      </c>
      <c r="S213" s="390"/>
      <c r="T213" s="390"/>
      <c r="U213" s="390"/>
    </row>
    <row r="214">
      <c r="A214" s="387" t="s">
        <v>209</v>
      </c>
      <c r="B214" s="387" t="s">
        <v>210</v>
      </c>
      <c r="C214" s="387" t="s">
        <v>211</v>
      </c>
      <c r="D214" s="388" t="s">
        <v>212</v>
      </c>
      <c r="E214" s="391" t="s">
        <v>213</v>
      </c>
      <c r="F214" s="388" t="s">
        <v>214</v>
      </c>
      <c r="G214" s="388" t="s">
        <v>215</v>
      </c>
      <c r="H214" s="392" t="s">
        <v>216</v>
      </c>
      <c r="I214" s="388" t="s">
        <v>217</v>
      </c>
      <c r="J214" s="393" t="s">
        <v>218</v>
      </c>
      <c r="K214" s="394" t="s">
        <v>219</v>
      </c>
      <c r="L214" s="388" t="s">
        <v>220</v>
      </c>
      <c r="M214" s="395" t="s">
        <v>221</v>
      </c>
      <c r="N214" s="395" t="s">
        <v>222</v>
      </c>
      <c r="O214" s="395" t="s">
        <v>223</v>
      </c>
      <c r="P214" s="389" t="s">
        <v>224</v>
      </c>
      <c r="Q214" s="389" t="s">
        <v>225</v>
      </c>
      <c r="R214" s="390" t="s">
        <v>226</v>
      </c>
      <c r="S214" s="390" t="s">
        <v>227</v>
      </c>
      <c r="T214" s="390" t="s">
        <v>228</v>
      </c>
      <c r="U214" s="390" t="s">
        <v>230</v>
      </c>
    </row>
    <row r="215">
      <c r="A215" s="397">
        <v>46307</v>
      </c>
      <c r="B215" s="398" t="s">
        <v>256</v>
      </c>
      <c r="C215" s="441" t="s">
        <v>257</v>
      </c>
      <c r="D215" s="399">
        <f t="shared" ref="D215:D218" si="35">SUM(E215:G215)</f>
      </c>
      <c r="E215" s="400">
        <v>2018.17</v>
      </c>
      <c r="F215" s="401">
        <v>1207.51</v>
      </c>
      <c r="G215" s="401">
        <v>0</v>
      </c>
      <c r="H215" s="443">
        <v>7</v>
      </c>
      <c r="I215" s="401">
        <v>2928.96</v>
      </c>
      <c r="J215" s="403">
        <f t="shared" ref="J215:J236" si="90">I215/D215</f>
      </c>
      <c r="K215" s="403">
        <f t="shared" ref="K215:K236" si="151">D215/H215</f>
      </c>
      <c r="L215" s="403">
        <f t="shared" ref="L215:L236" si="170">I215/H215</f>
      </c>
      <c r="M215" s="404">
        <f t="shared" ref="M215:M236" si="113">S215/R215</f>
      </c>
      <c r="N215" s="405">
        <f t="shared" ref="N215:N236" si="132">H215/(T215+H215)</f>
      </c>
      <c r="O215" s="406">
        <f t="shared" ref="O215:O236" si="71">(U215*1000)/D215</f>
      </c>
      <c r="P215" s="456" t="s">
        <v>233</v>
      </c>
      <c r="Q215" s="423" t="s">
        <v>252</v>
      </c>
      <c r="R215" s="409">
        <v>32812</v>
      </c>
      <c r="S215" s="411">
        <v>3133</v>
      </c>
      <c r="T215" s="411">
        <v>6</v>
      </c>
      <c r="U215" s="411">
        <v>62</v>
      </c>
    </row>
    <row r="216">
      <c r="A216" s="397"/>
      <c r="B216" s="398" t="s">
        <v>256</v>
      </c>
      <c r="C216" s="441" t="s">
        <v>258</v>
      </c>
      <c r="D216" s="399">
        <f t="shared" si="35"/>
      </c>
      <c r="E216" s="400">
        <v>1102.14</v>
      </c>
      <c r="F216" s="401">
        <v>970.03</v>
      </c>
      <c r="G216" s="401">
        <v>0</v>
      </c>
      <c r="H216" s="443">
        <v>5</v>
      </c>
      <c r="I216" s="401">
        <v>2351.42</v>
      </c>
      <c r="J216" s="403">
        <f t="shared" si="90"/>
      </c>
      <c r="K216" s="403">
        <f t="shared" si="151"/>
      </c>
      <c r="L216" s="403">
        <f t="shared" si="170"/>
      </c>
      <c r="M216" s="404">
        <f t="shared" si="113"/>
      </c>
      <c r="N216" s="405">
        <f t="shared" si="132"/>
      </c>
      <c r="O216" s="406">
        <f t="shared" si="71"/>
      </c>
      <c r="P216" s="456" t="s">
        <v>233</v>
      </c>
      <c r="Q216" s="423" t="s">
        <v>252</v>
      </c>
      <c r="R216" s="466">
        <v>16870</v>
      </c>
      <c r="S216" s="411">
        <v>1616</v>
      </c>
      <c r="T216" s="411">
        <v>2</v>
      </c>
      <c r="U216" s="411">
        <v>42</v>
      </c>
    </row>
    <row r="217">
      <c r="A217" s="397"/>
      <c r="B217" s="398" t="s">
        <v>256</v>
      </c>
      <c r="C217" s="441" t="s">
        <v>259</v>
      </c>
      <c r="D217" s="399">
        <f t="shared" si="35"/>
      </c>
      <c r="E217" s="400">
        <v>1434.53</v>
      </c>
      <c r="F217" s="401">
        <v>1067.61</v>
      </c>
      <c r="G217" s="401">
        <v>0</v>
      </c>
      <c r="H217" s="443">
        <v>10</v>
      </c>
      <c r="I217" s="401">
        <v>3314.4</v>
      </c>
      <c r="J217" s="403">
        <f t="shared" si="90"/>
      </c>
      <c r="K217" s="403">
        <f t="shared" si="151"/>
      </c>
      <c r="L217" s="403">
        <f t="shared" si="170"/>
      </c>
      <c r="M217" s="404">
        <f t="shared" si="113"/>
      </c>
      <c r="N217" s="405">
        <f t="shared" si="132"/>
      </c>
      <c r="O217" s="406">
        <f t="shared" si="71"/>
      </c>
      <c r="P217" s="456" t="s">
        <v>233</v>
      </c>
      <c r="Q217" s="423" t="s">
        <v>252</v>
      </c>
      <c r="R217" s="466">
        <v>18389</v>
      </c>
      <c r="S217" s="411">
        <v>2036</v>
      </c>
      <c r="T217" s="411">
        <v>1</v>
      </c>
      <c r="U217" s="411">
        <v>42</v>
      </c>
    </row>
    <row r="218">
      <c r="A218" s="397"/>
      <c r="B218" s="398" t="s">
        <v>256</v>
      </c>
      <c r="C218" s="457" t="s">
        <v>260</v>
      </c>
      <c r="D218" s="399">
        <f t="shared" si="35"/>
      </c>
      <c r="E218" s="400">
        <v>2047.37</v>
      </c>
      <c r="F218" s="401">
        <v>1100.83</v>
      </c>
      <c r="G218" s="401">
        <v>0</v>
      </c>
      <c r="H218" s="443">
        <v>10</v>
      </c>
      <c r="I218" s="401">
        <v>6528</v>
      </c>
      <c r="J218" s="403">
        <f t="shared" si="90"/>
      </c>
      <c r="K218" s="403">
        <f t="shared" si="151"/>
      </c>
      <c r="L218" s="403">
        <f t="shared" si="170"/>
      </c>
      <c r="M218" s="404">
        <f t="shared" si="113"/>
      </c>
      <c r="N218" s="405">
        <f t="shared" si="132"/>
      </c>
      <c r="O218" s="406">
        <f t="shared" si="71"/>
      </c>
      <c r="P218" s="456" t="s">
        <v>233</v>
      </c>
      <c r="Q218" s="423" t="s">
        <v>252</v>
      </c>
      <c r="R218" s="409">
        <v>25719</v>
      </c>
      <c r="S218" s="410">
        <v>2328</v>
      </c>
      <c r="T218" s="411">
        <v>5</v>
      </c>
      <c r="U218" s="411">
        <v>47</v>
      </c>
    </row>
    <row r="219">
      <c r="A219" s="397"/>
      <c r="B219" s="458" t="s">
        <v>239</v>
      </c>
      <c r="C219" s="458"/>
      <c r="D219" s="459">
        <f>SUM(D215:D218)</f>
      </c>
      <c r="E219" s="459">
        <f>SUM(E215:E218)</f>
      </c>
      <c r="F219" s="459">
        <f>SUM(F215:F218)</f>
      </c>
      <c r="G219" s="459">
        <f>SUM(G215:G218)</f>
      </c>
      <c r="H219" s="460">
        <f>SUM(H215:H218)</f>
      </c>
      <c r="I219" s="459">
        <f>SUM(I215:I218)</f>
      </c>
      <c r="J219" s="461">
        <f t="shared" si="90"/>
      </c>
      <c r="K219" s="462">
        <f t="shared" si="151"/>
      </c>
      <c r="L219" s="463">
        <f t="shared" si="170"/>
      </c>
      <c r="M219" s="464">
        <f t="shared" si="113"/>
      </c>
      <c r="N219" s="464">
        <f t="shared" si="132"/>
      </c>
      <c r="O219" s="465">
        <f t="shared" si="71"/>
      </c>
      <c r="P219" s="465"/>
      <c r="Q219" s="465"/>
      <c r="R219" s="460">
        <f>SUM(R215:R218)</f>
      </c>
      <c r="S219" s="460">
        <f>SUM(S215:S218)</f>
      </c>
      <c r="T219" s="460">
        <f>SUM(T215:T218)</f>
      </c>
      <c r="U219" s="460">
        <f>SUM(U215:U218)</f>
      </c>
    </row>
    <row r="220">
      <c r="A220" s="397"/>
      <c r="B220" s="413" t="s">
        <v>253</v>
      </c>
      <c r="C220" s="457" t="s">
        <v>261</v>
      </c>
      <c r="D220" s="399">
        <f t="shared" ref="D220:D224" si="36">SUM(E220:G220)</f>
      </c>
      <c r="E220" s="400">
        <v>1777.57</v>
      </c>
      <c r="F220" s="401">
        <v>1053.53</v>
      </c>
      <c r="G220" s="401">
        <v>0</v>
      </c>
      <c r="H220" s="443">
        <v>5</v>
      </c>
      <c r="I220" s="401">
        <v>4795.2</v>
      </c>
      <c r="J220" s="403">
        <f t="shared" si="90"/>
      </c>
      <c r="K220" s="403">
        <f t="shared" si="151"/>
      </c>
      <c r="L220" s="403">
        <f t="shared" si="170"/>
      </c>
      <c r="M220" s="404">
        <f t="shared" si="113"/>
      </c>
      <c r="N220" s="405">
        <f t="shared" si="132"/>
      </c>
      <c r="O220" s="406">
        <f t="shared" si="71"/>
      </c>
      <c r="P220" s="407" t="s">
        <v>233</v>
      </c>
      <c r="Q220" s="423" t="s">
        <v>252</v>
      </c>
      <c r="R220" s="466">
        <v>23898</v>
      </c>
      <c r="S220" s="411">
        <v>2218</v>
      </c>
      <c r="T220" s="411">
        <v>3</v>
      </c>
      <c r="U220" s="411">
        <v>45</v>
      </c>
    </row>
    <row r="221">
      <c r="A221" s="397"/>
      <c r="B221" s="413" t="s">
        <v>253</v>
      </c>
      <c r="C221" s="457" t="s">
        <v>242</v>
      </c>
      <c r="D221" s="399">
        <f t="shared" si="36"/>
      </c>
      <c r="E221" s="400">
        <v>1265.05</v>
      </c>
      <c r="F221" s="401">
        <v>1002.19</v>
      </c>
      <c r="G221" s="401">
        <v>0</v>
      </c>
      <c r="H221" s="443">
        <v>6</v>
      </c>
      <c r="I221" s="401">
        <v>4044.66</v>
      </c>
      <c r="J221" s="403">
        <f t="shared" si="90"/>
      </c>
      <c r="K221" s="403">
        <f t="shared" si="151"/>
      </c>
      <c r="L221" s="403">
        <f t="shared" si="170"/>
      </c>
      <c r="M221" s="404">
        <f t="shared" si="113"/>
      </c>
      <c r="N221" s="405">
        <f t="shared" si="132"/>
      </c>
      <c r="O221" s="406">
        <f t="shared" si="71"/>
      </c>
      <c r="P221" s="407" t="s">
        <v>233</v>
      </c>
      <c r="Q221" s="423" t="s">
        <v>252</v>
      </c>
      <c r="R221" s="409">
        <v>20168</v>
      </c>
      <c r="S221" s="410">
        <v>2025</v>
      </c>
      <c r="T221" s="411">
        <v>6</v>
      </c>
      <c r="U221" s="411">
        <v>36</v>
      </c>
    </row>
    <row r="222">
      <c r="A222" s="397"/>
      <c r="B222" s="413" t="s">
        <v>253</v>
      </c>
      <c r="C222" s="457" t="s">
        <v>243</v>
      </c>
      <c r="D222" s="415">
        <f t="shared" si="36"/>
      </c>
      <c r="E222" s="416">
        <v>1323.45</v>
      </c>
      <c r="F222" s="417">
        <v>870.15</v>
      </c>
      <c r="G222" s="417">
        <v>0</v>
      </c>
      <c r="H222" s="418">
        <v>5</v>
      </c>
      <c r="I222" s="417">
        <v>1639.56</v>
      </c>
      <c r="J222" s="419">
        <f t="shared" si="90"/>
      </c>
      <c r="K222" s="419">
        <f t="shared" si="151"/>
      </c>
      <c r="L222" s="419">
        <f t="shared" si="170"/>
      </c>
      <c r="M222" s="420">
        <f t="shared" si="113"/>
      </c>
      <c r="N222" s="421">
        <f t="shared" si="132"/>
      </c>
      <c r="O222" s="422">
        <f t="shared" si="71"/>
      </c>
      <c r="P222" s="407" t="s">
        <v>233</v>
      </c>
      <c r="Q222" s="423" t="s">
        <v>252</v>
      </c>
      <c r="R222" s="424">
        <v>15891</v>
      </c>
      <c r="S222" s="425">
        <v>1698</v>
      </c>
      <c r="T222" s="426">
        <v>2</v>
      </c>
      <c r="U222" s="426">
        <v>36</v>
      </c>
    </row>
    <row customHeight="true" ht="16.666666666666668" r="223">
      <c r="A223" s="397"/>
      <c r="B223" s="413" t="s">
        <v>253</v>
      </c>
      <c r="C223" s="441" t="s">
        <v>244</v>
      </c>
      <c r="D223" s="415">
        <f t="shared" si="36"/>
      </c>
      <c r="E223" s="416">
        <v>1352.85</v>
      </c>
      <c r="F223" s="417">
        <v>916.49</v>
      </c>
      <c r="G223" s="417">
        <v>0</v>
      </c>
      <c r="H223" s="418">
        <v>5</v>
      </c>
      <c r="I223" s="417">
        <v>3458.4</v>
      </c>
      <c r="J223" s="419">
        <f t="shared" si="90"/>
      </c>
      <c r="K223" s="419">
        <f t="shared" si="151"/>
      </c>
      <c r="L223" s="419">
        <f t="shared" si="170"/>
      </c>
      <c r="M223" s="420">
        <f t="shared" si="113"/>
      </c>
      <c r="N223" s="421">
        <f t="shared" si="132"/>
      </c>
      <c r="O223" s="422">
        <f t="shared" si="71"/>
      </c>
      <c r="P223" s="407" t="s">
        <v>233</v>
      </c>
      <c r="Q223" s="423" t="s">
        <v>252</v>
      </c>
      <c r="R223" s="424">
        <v>15255</v>
      </c>
      <c r="S223" s="425">
        <v>1380</v>
      </c>
      <c r="T223" s="426">
        <v>3</v>
      </c>
      <c r="U223" s="426">
        <v>35</v>
      </c>
    </row>
    <row r="224">
      <c r="A224" s="397"/>
      <c r="B224" s="413" t="s">
        <v>253</v>
      </c>
      <c r="C224" s="441" t="s">
        <v>245</v>
      </c>
      <c r="D224" s="415">
        <f t="shared" si="36"/>
      </c>
      <c r="E224" s="416">
        <v>921.01</v>
      </c>
      <c r="F224" s="417">
        <v>782.88</v>
      </c>
      <c r="G224" s="417">
        <v>0</v>
      </c>
      <c r="H224" s="418">
        <v>5</v>
      </c>
      <c r="I224" s="417">
        <v>1636.260000000002</v>
      </c>
      <c r="J224" s="419">
        <f t="shared" si="90"/>
      </c>
      <c r="K224" s="419">
        <f t="shared" si="151"/>
      </c>
      <c r="L224" s="419">
        <f t="shared" si="170"/>
      </c>
      <c r="M224" s="420">
        <f t="shared" si="113"/>
      </c>
      <c r="N224" s="421">
        <f t="shared" si="132"/>
      </c>
      <c r="O224" s="422">
        <f t="shared" si="71"/>
      </c>
      <c r="P224" s="407" t="s">
        <v>233</v>
      </c>
      <c r="Q224" s="423" t="s">
        <v>252</v>
      </c>
      <c r="R224" s="453">
        <v>10920</v>
      </c>
      <c r="S224" s="426">
        <v>918</v>
      </c>
      <c r="T224" s="426">
        <v>4</v>
      </c>
      <c r="U224" s="426">
        <v>31</v>
      </c>
    </row>
    <row r="225">
      <c r="A225" s="397"/>
      <c r="B225" s="427" t="s">
        <v>239</v>
      </c>
      <c r="C225" s="427"/>
      <c r="D225" s="428">
        <f>SUM(D220:D224)</f>
      </c>
      <c r="E225" s="428">
        <f>SUM(E220:E224)</f>
      </c>
      <c r="F225" s="428">
        <f>SUM(F220:F224)</f>
      </c>
      <c r="G225" s="428">
        <f>SUM(G220:G224)</f>
      </c>
      <c r="H225" s="429">
        <f>SUM(H220:H224)</f>
      </c>
      <c r="I225" s="428">
        <f>SUM(I220:I224)</f>
      </c>
      <c r="J225" s="430">
        <f t="shared" si="90"/>
      </c>
      <c r="K225" s="431">
        <f t="shared" si="151"/>
      </c>
      <c r="L225" s="432">
        <f t="shared" si="170"/>
      </c>
      <c r="M225" s="433">
        <f t="shared" si="113"/>
      </c>
      <c r="N225" s="433">
        <f t="shared" si="132"/>
      </c>
      <c r="O225" s="434">
        <f t="shared" si="71"/>
      </c>
      <c r="P225" s="434"/>
      <c r="Q225" s="434"/>
      <c r="R225" s="429">
        <f>SUM(R220:R224)</f>
      </c>
      <c r="S225" s="429">
        <f>SUM(S220:S224)</f>
      </c>
      <c r="T225" s="429">
        <f>SUM(T220:T224)</f>
      </c>
      <c r="U225" s="429">
        <f>SUM(U220:U224)</f>
      </c>
    </row>
    <row r="226">
      <c r="A226" s="397"/>
      <c r="B226" s="398" t="s">
        <v>256</v>
      </c>
      <c r="C226" s="441" t="s">
        <v>247</v>
      </c>
      <c r="D226" s="415">
        <f t="shared" ref="D226:D229" si="37">SUM(E226:G226)</f>
      </c>
      <c r="E226" s="416">
        <v>1146.36</v>
      </c>
      <c r="F226" s="417">
        <v>939.85</v>
      </c>
      <c r="G226" s="401">
        <v>0</v>
      </c>
      <c r="H226" s="418">
        <v>3</v>
      </c>
      <c r="I226" s="417">
        <v>1653.119999999999</v>
      </c>
      <c r="J226" s="419">
        <f t="shared" si="90"/>
      </c>
      <c r="K226" s="419">
        <f t="shared" si="151"/>
      </c>
      <c r="L226" s="419">
        <f t="shared" si="170"/>
      </c>
      <c r="M226" s="420">
        <f t="shared" si="113"/>
      </c>
      <c r="N226" s="421">
        <f t="shared" si="132"/>
      </c>
      <c r="O226" s="422">
        <f t="shared" si="71"/>
      </c>
      <c r="P226" s="407" t="s">
        <v>248</v>
      </c>
      <c r="Q226" s="423" t="s">
        <v>234</v>
      </c>
      <c r="R226" s="453">
        <v>12105</v>
      </c>
      <c r="S226" s="426">
        <v>1012</v>
      </c>
      <c r="T226" s="426">
        <v>4</v>
      </c>
      <c r="U226" s="426">
        <v>34</v>
      </c>
    </row>
    <row r="227">
      <c r="A227" s="397"/>
      <c r="B227" s="398" t="s">
        <v>256</v>
      </c>
      <c r="C227" s="417" t="s">
        <v>249</v>
      </c>
      <c r="D227" s="415">
        <f t="shared" si="37"/>
      </c>
      <c r="E227" s="416">
        <v>1818.38</v>
      </c>
      <c r="F227" s="417">
        <v>669.74</v>
      </c>
      <c r="G227" s="401">
        <v>0</v>
      </c>
      <c r="H227" s="418">
        <v>10</v>
      </c>
      <c r="I227" s="417">
        <v>5009.459999999999</v>
      </c>
      <c r="J227" s="419">
        <f t="shared" si="90"/>
      </c>
      <c r="K227" s="419">
        <f t="shared" si="151"/>
      </c>
      <c r="L227" s="419">
        <f t="shared" si="170"/>
      </c>
      <c r="M227" s="420">
        <f t="shared" si="113"/>
      </c>
      <c r="N227" s="421">
        <f t="shared" si="132"/>
      </c>
      <c r="O227" s="422">
        <f t="shared" si="71"/>
      </c>
      <c r="P227" s="407" t="s">
        <v>248</v>
      </c>
      <c r="Q227" s="423" t="s">
        <v>234</v>
      </c>
      <c r="R227" s="453">
        <v>16593</v>
      </c>
      <c r="S227" s="426">
        <v>1177</v>
      </c>
      <c r="T227" s="426">
        <v>8</v>
      </c>
      <c r="U227" s="426">
        <v>52</v>
      </c>
    </row>
    <row r="228">
      <c r="A228" s="397"/>
      <c r="B228" s="398" t="s">
        <v>256</v>
      </c>
      <c r="C228" s="414" t="s">
        <v>250</v>
      </c>
      <c r="D228" s="415">
        <f t="shared" si="37"/>
      </c>
      <c r="E228" s="416">
        <v>2847.41</v>
      </c>
      <c r="F228" s="417">
        <v>480.46</v>
      </c>
      <c r="G228" s="417">
        <v>0</v>
      </c>
      <c r="H228" s="418">
        <v>10</v>
      </c>
      <c r="I228" s="417">
        <v>6447.5999999999985</v>
      </c>
      <c r="J228" s="419">
        <f t="shared" si="90"/>
      </c>
      <c r="K228" s="419">
        <f t="shared" si="151"/>
      </c>
      <c r="L228" s="419">
        <f t="shared" si="170"/>
      </c>
      <c r="M228" s="420">
        <f t="shared" si="113"/>
      </c>
      <c r="N228" s="421">
        <f t="shared" si="132"/>
      </c>
      <c r="O228" s="422">
        <f t="shared" si="71"/>
      </c>
      <c r="P228" s="407" t="s">
        <v>248</v>
      </c>
      <c r="Q228" s="423" t="s">
        <v>234</v>
      </c>
      <c r="R228" s="453">
        <v>29261</v>
      </c>
      <c r="S228" s="426">
        <v>1619</v>
      </c>
      <c r="T228" s="426">
        <v>3</v>
      </c>
      <c r="U228" s="426">
        <v>56</v>
      </c>
    </row>
    <row r="229">
      <c r="A229" s="397"/>
      <c r="B229" s="398" t="s">
        <v>256</v>
      </c>
      <c r="C229" s="399" t="s">
        <v>232</v>
      </c>
      <c r="D229" s="415">
        <f t="shared" si="37"/>
      </c>
      <c r="E229" s="416">
        <v>2741.39</v>
      </c>
      <c r="F229" s="417">
        <v>535.42</v>
      </c>
      <c r="G229" s="417">
        <v>0</v>
      </c>
      <c r="H229" s="418">
        <v>9</v>
      </c>
      <c r="I229" s="417">
        <v>4948.019999999997</v>
      </c>
      <c r="J229" s="419">
        <f t="shared" si="90"/>
      </c>
      <c r="K229" s="419">
        <f t="shared" si="151"/>
      </c>
      <c r="L229" s="419">
        <f t="shared" si="170"/>
      </c>
      <c r="M229" s="420">
        <f t="shared" si="113"/>
      </c>
      <c r="N229" s="421">
        <f t="shared" si="132"/>
      </c>
      <c r="O229" s="422">
        <f t="shared" si="71"/>
      </c>
      <c r="P229" s="407" t="s">
        <v>248</v>
      </c>
      <c r="Q229" s="423" t="s">
        <v>234</v>
      </c>
      <c r="R229" s="453">
        <v>31115</v>
      </c>
      <c r="S229" s="426">
        <v>1889</v>
      </c>
      <c r="T229" s="426">
        <v>14</v>
      </c>
      <c r="U229" s="426">
        <v>64</v>
      </c>
    </row>
    <row r="230">
      <c r="A230" s="397"/>
      <c r="B230" s="427" t="s">
        <v>239</v>
      </c>
      <c r="C230" s="427"/>
      <c r="D230" s="428">
        <f>SUM(D226:D229)</f>
      </c>
      <c r="E230" s="428">
        <f>SUM(E226:E229)</f>
      </c>
      <c r="F230" s="428">
        <f>SUM(F226:F229)</f>
      </c>
      <c r="G230" s="428">
        <f>SUM(G226:G229)</f>
      </c>
      <c r="H230" s="429">
        <f>SUM(H226:H229)</f>
      </c>
      <c r="I230" s="428">
        <f>SUM(I226:I229)</f>
      </c>
      <c r="J230" s="430">
        <f t="shared" si="90"/>
      </c>
      <c r="K230" s="431">
        <f t="shared" si="151"/>
      </c>
      <c r="L230" s="432">
        <f t="shared" si="170"/>
      </c>
      <c r="M230" s="433">
        <f t="shared" si="113"/>
      </c>
      <c r="N230" s="433">
        <f t="shared" si="132"/>
      </c>
      <c r="O230" s="434">
        <f t="shared" si="71"/>
      </c>
      <c r="P230" s="434"/>
      <c r="Q230" s="434"/>
      <c r="R230" s="429">
        <f>SUM(R226:R229)</f>
      </c>
      <c r="S230" s="429">
        <f>SUM(S226:S229)</f>
      </c>
      <c r="T230" s="429">
        <f>SUM(T226:T229)</f>
      </c>
      <c r="U230" s="429">
        <f>SUM(U226:U229)</f>
      </c>
    </row>
    <row r="231">
      <c r="A231" s="397"/>
      <c r="B231" s="413" t="s">
        <v>251</v>
      </c>
      <c r="C231" s="412" t="s">
        <v>235</v>
      </c>
      <c r="D231" s="415">
        <f t="shared" ref="D231:D234" si="38">SUM(E231:G231)</f>
      </c>
      <c r="E231" s="416">
        <v>2173.44</v>
      </c>
      <c r="F231" s="417">
        <v>603.27</v>
      </c>
      <c r="G231" s="401">
        <v>0</v>
      </c>
      <c r="H231" s="418">
        <v>9</v>
      </c>
      <c r="I231" s="417">
        <v>9353.760000000002</v>
      </c>
      <c r="J231" s="419">
        <f t="shared" si="90"/>
      </c>
      <c r="K231" s="419">
        <f t="shared" si="151"/>
      </c>
      <c r="L231" s="419">
        <f t="shared" si="170"/>
      </c>
      <c r="M231" s="420">
        <f t="shared" si="113"/>
      </c>
      <c r="N231" s="421">
        <f t="shared" si="132"/>
      </c>
      <c r="O231" s="422">
        <f t="shared" si="71"/>
      </c>
      <c r="P231" s="407" t="s">
        <v>248</v>
      </c>
      <c r="Q231" s="423" t="s">
        <v>234</v>
      </c>
      <c r="R231" s="453">
        <v>24738</v>
      </c>
      <c r="S231" s="426">
        <v>1615</v>
      </c>
      <c r="T231" s="426">
        <v>8</v>
      </c>
      <c r="U231" s="426">
        <v>43</v>
      </c>
    </row>
    <row r="232">
      <c r="A232" s="397"/>
      <c r="B232" s="413" t="s">
        <v>251</v>
      </c>
      <c r="C232" s="414" t="s">
        <v>236</v>
      </c>
      <c r="D232" s="415">
        <f t="shared" si="38"/>
      </c>
      <c r="E232" s="416">
        <v>3612.51</v>
      </c>
      <c r="F232" s="417">
        <v>458.72</v>
      </c>
      <c r="G232" s="401">
        <v>0</v>
      </c>
      <c r="H232" s="418">
        <v>7</v>
      </c>
      <c r="I232" s="417">
        <v>3462.480000000003</v>
      </c>
      <c r="J232" s="419">
        <f t="shared" si="90"/>
      </c>
      <c r="K232" s="419">
        <f t="shared" si="151"/>
      </c>
      <c r="L232" s="419">
        <f t="shared" si="170"/>
      </c>
      <c r="M232" s="420">
        <f t="shared" si="113"/>
      </c>
      <c r="N232" s="421">
        <f t="shared" si="132"/>
      </c>
      <c r="O232" s="422">
        <f t="shared" si="71"/>
      </c>
      <c r="P232" s="407" t="s">
        <v>248</v>
      </c>
      <c r="Q232" s="423" t="s">
        <v>234</v>
      </c>
      <c r="R232" s="453">
        <v>36077</v>
      </c>
      <c r="S232" s="426">
        <v>2419</v>
      </c>
      <c r="T232" s="426">
        <v>3</v>
      </c>
      <c r="U232" s="426">
        <v>51</v>
      </c>
    </row>
    <row r="233">
      <c r="A233" s="397"/>
      <c r="B233" s="413" t="s">
        <v>251</v>
      </c>
      <c r="C233" s="414" t="s">
        <v>237</v>
      </c>
      <c r="D233" s="415">
        <f t="shared" si="38"/>
      </c>
      <c r="E233" s="416">
        <v>2552.3</v>
      </c>
      <c r="F233" s="417">
        <v>284.29</v>
      </c>
      <c r="G233" s="401">
        <v>0</v>
      </c>
      <c r="H233" s="418">
        <v>3</v>
      </c>
      <c r="I233" s="417">
        <v>1183.9199999999983</v>
      </c>
      <c r="J233" s="419">
        <f t="shared" si="90"/>
      </c>
      <c r="K233" s="419">
        <f t="shared" si="151"/>
      </c>
      <c r="L233" s="419">
        <f t="shared" si="170"/>
      </c>
      <c r="M233" s="420">
        <f t="shared" si="113"/>
      </c>
      <c r="N233" s="421">
        <f t="shared" si="132"/>
      </c>
      <c r="O233" s="422">
        <f t="shared" si="71"/>
      </c>
      <c r="P233" s="407" t="s">
        <v>248</v>
      </c>
      <c r="Q233" s="423" t="s">
        <v>234</v>
      </c>
      <c r="R233" s="453">
        <v>27489</v>
      </c>
      <c r="S233" s="426">
        <v>1620</v>
      </c>
      <c r="T233" s="426">
        <v>10</v>
      </c>
      <c r="U233" s="426">
        <v>43</v>
      </c>
    </row>
    <row r="234">
      <c r="A234" s="397"/>
      <c r="B234" s="413" t="s">
        <v>251</v>
      </c>
      <c r="C234" s="414" t="s">
        <v>238</v>
      </c>
      <c r="D234" s="415">
        <f t="shared" si="38"/>
      </c>
      <c r="E234" s="416">
        <v>1210.44</v>
      </c>
      <c r="F234" s="417">
        <v>246.64</v>
      </c>
      <c r="G234" s="417">
        <v>0</v>
      </c>
      <c r="H234" s="418">
        <v>6</v>
      </c>
      <c r="I234" s="417">
        <v>3617.3600000000006</v>
      </c>
      <c r="J234" s="419">
        <f t="shared" si="90"/>
      </c>
      <c r="K234" s="419">
        <f t="shared" si="151"/>
      </c>
      <c r="L234" s="419">
        <f t="shared" si="170"/>
      </c>
      <c r="M234" s="420">
        <f t="shared" si="113"/>
      </c>
      <c r="N234" s="421">
        <f t="shared" si="132"/>
      </c>
      <c r="O234" s="422">
        <f t="shared" si="71"/>
      </c>
      <c r="P234" s="407" t="s">
        <v>248</v>
      </c>
      <c r="Q234" s="423" t="s">
        <v>234</v>
      </c>
      <c r="R234" s="453">
        <v>12399</v>
      </c>
      <c r="S234" s="426">
        <v>713</v>
      </c>
      <c r="T234" s="426">
        <v>3</v>
      </c>
      <c r="U234" s="426">
        <v>22</v>
      </c>
    </row>
    <row r="235">
      <c r="A235" s="397"/>
      <c r="B235" s="427" t="s">
        <v>239</v>
      </c>
      <c r="C235" s="427"/>
      <c r="D235" s="428">
        <f>SUM(D231:D234)</f>
      </c>
      <c r="E235" s="428">
        <f>SUM(E231:E234)</f>
      </c>
      <c r="F235" s="428">
        <f>SUM(F231:F234)</f>
      </c>
      <c r="G235" s="428">
        <f>SUM(G231:G234)</f>
      </c>
      <c r="H235" s="429">
        <f>SUM(H231:H234)</f>
      </c>
      <c r="I235" s="428">
        <f>SUM(I231:I234)</f>
      </c>
      <c r="J235" s="430">
        <f t="shared" si="90"/>
      </c>
      <c r="K235" s="431">
        <f t="shared" si="151"/>
      </c>
      <c r="L235" s="432">
        <f t="shared" si="170"/>
      </c>
      <c r="M235" s="433">
        <f t="shared" si="113"/>
      </c>
      <c r="N235" s="433">
        <f t="shared" si="132"/>
      </c>
      <c r="O235" s="434">
        <f t="shared" si="71"/>
      </c>
      <c r="P235" s="434"/>
      <c r="Q235" s="434"/>
      <c r="R235" s="429">
        <f>SUM(R231:R234)</f>
      </c>
      <c r="S235" s="429">
        <f>SUM(S231:S234)</f>
      </c>
      <c r="T235" s="429">
        <f>SUM(T231:T234)</f>
      </c>
      <c r="U235" s="429">
        <f>SUM(U231:U234)</f>
      </c>
    </row>
    <row r="236">
      <c r="A236" s="397"/>
      <c r="B236" s="435" t="s">
        <v>240</v>
      </c>
      <c r="C236" s="435"/>
      <c r="D236" s="436">
        <f>D225+D230+D235+D219</f>
      </c>
      <c r="E236" s="436">
        <f>E225+E230+E235+E219</f>
      </c>
      <c r="F236" s="436">
        <f>F225+F230+F235+F219</f>
      </c>
      <c r="G236" s="436">
        <f>G225+G230+G235+G219</f>
      </c>
      <c r="H236" s="436">
        <f>H225+H230+H235+H219</f>
      </c>
      <c r="I236" s="436">
        <f>I225+I230+I235+I219</f>
      </c>
      <c r="J236" s="438">
        <f t="shared" si="90"/>
      </c>
      <c r="K236" s="438">
        <f t="shared" si="151"/>
      </c>
      <c r="L236" s="438">
        <f t="shared" si="170"/>
      </c>
      <c r="M236" s="439">
        <f t="shared" si="113"/>
      </c>
      <c r="N236" s="439">
        <f t="shared" si="132"/>
      </c>
      <c r="O236" s="438">
        <f t="shared" si="71"/>
      </c>
      <c r="P236" s="440"/>
      <c r="Q236" s="440"/>
      <c r="R236" s="437">
        <f>R225+R230+R235+R219</f>
      </c>
      <c r="S236" s="437">
        <f>S225+S230+S235+S219</f>
      </c>
      <c r="T236" s="437">
        <f>T225+T230+T235+T219</f>
      </c>
      <c r="U236" s="437">
        <f>U225+U230+U235+U219</f>
      </c>
    </row>
    <row r="237">
      <c r="A237" s="387" t="s">
        <v>205</v>
      </c>
      <c r="B237" s="387"/>
      <c r="C237" s="387"/>
      <c r="D237" s="388" t="s">
        <v>206</v>
      </c>
      <c r="E237" s="388"/>
      <c r="F237" s="388"/>
      <c r="G237" s="388"/>
      <c r="H237" s="388"/>
      <c r="I237" s="388"/>
      <c r="J237" s="388"/>
      <c r="K237" s="388"/>
      <c r="L237" s="388"/>
      <c r="M237" s="389" t="s">
        <v>207</v>
      </c>
      <c r="N237" s="389"/>
      <c r="O237" s="389"/>
      <c r="P237" s="389"/>
      <c r="Q237" s="389"/>
      <c r="R237" s="390" t="s">
        <v>208</v>
      </c>
      <c r="S237" s="390"/>
      <c r="T237" s="390"/>
      <c r="U237" s="390"/>
    </row>
    <row r="238">
      <c r="A238" s="387" t="s">
        <v>209</v>
      </c>
      <c r="B238" s="387" t="s">
        <v>210</v>
      </c>
      <c r="C238" s="387" t="s">
        <v>211</v>
      </c>
      <c r="D238" s="388" t="s">
        <v>212</v>
      </c>
      <c r="E238" s="391" t="s">
        <v>213</v>
      </c>
      <c r="F238" s="388" t="s">
        <v>214</v>
      </c>
      <c r="G238" s="388" t="s">
        <v>215</v>
      </c>
      <c r="H238" s="392" t="s">
        <v>216</v>
      </c>
      <c r="I238" s="388" t="s">
        <v>217</v>
      </c>
      <c r="J238" s="393" t="s">
        <v>218</v>
      </c>
      <c r="K238" s="394" t="s">
        <v>219</v>
      </c>
      <c r="L238" s="388" t="s">
        <v>220</v>
      </c>
      <c r="M238" s="395" t="s">
        <v>221</v>
      </c>
      <c r="N238" s="395" t="s">
        <v>222</v>
      </c>
      <c r="O238" s="395" t="s">
        <v>223</v>
      </c>
      <c r="P238" s="389" t="s">
        <v>224</v>
      </c>
      <c r="Q238" s="389" t="s">
        <v>225</v>
      </c>
      <c r="R238" s="390" t="s">
        <v>226</v>
      </c>
      <c r="S238" s="390" t="s">
        <v>227</v>
      </c>
      <c r="T238" s="390" t="s">
        <v>228</v>
      </c>
      <c r="U238" s="390" t="s">
        <v>230</v>
      </c>
    </row>
    <row r="239">
      <c r="A239" s="397">
        <v>46308</v>
      </c>
      <c r="B239" s="398" t="s">
        <v>256</v>
      </c>
      <c r="C239" s="441" t="s">
        <v>257</v>
      </c>
      <c r="D239" s="399">
        <f t="shared" ref="D239:D242" si="39">SUM(E239:G239)</f>
      </c>
      <c r="E239" s="400">
        <v>1512.66</v>
      </c>
      <c r="F239" s="401">
        <v>795.11</v>
      </c>
      <c r="G239" s="401">
        <v>0</v>
      </c>
      <c r="H239" s="443">
        <v>6</v>
      </c>
      <c r="I239" s="401">
        <v>2837.04</v>
      </c>
      <c r="J239" s="403">
        <f t="shared" ref="J239:J253" si="91">I239/D239</f>
      </c>
      <c r="K239" s="403">
        <f t="shared" ref="K239:K253" si="152">D239/H239</f>
      </c>
      <c r="L239" s="403">
        <f t="shared" ref="L239:L253" si="171">I239/H239</f>
      </c>
      <c r="M239" s="404">
        <f t="shared" ref="M239:M253" si="114">S239/R239</f>
      </c>
      <c r="N239" s="405">
        <f t="shared" ref="N239:N253" si="133">H239/(T239+H239)</f>
      </c>
      <c r="O239" s="406">
        <f t="shared" ref="O239:O253" si="72">(U239*1000)/D239</f>
      </c>
      <c r="P239" s="456" t="s">
        <v>233</v>
      </c>
      <c r="Q239" s="423" t="s">
        <v>252</v>
      </c>
      <c r="R239" s="409">
        <v>19034</v>
      </c>
      <c r="S239" s="411">
        <v>1783</v>
      </c>
      <c r="T239" s="411">
        <v>6</v>
      </c>
      <c r="U239" s="411">
        <v>52</v>
      </c>
    </row>
    <row r="240">
      <c r="A240" s="397"/>
      <c r="B240" s="398" t="s">
        <v>256</v>
      </c>
      <c r="C240" s="441" t="s">
        <v>258</v>
      </c>
      <c r="D240" s="399">
        <f t="shared" si="39"/>
      </c>
      <c r="E240" s="400">
        <v>2087.75</v>
      </c>
      <c r="F240" s="401">
        <v>670.92</v>
      </c>
      <c r="G240" s="401">
        <v>0</v>
      </c>
      <c r="H240" s="443">
        <v>10</v>
      </c>
      <c r="I240" s="401">
        <v>4220.96</v>
      </c>
      <c r="J240" s="403">
        <f t="shared" si="91"/>
      </c>
      <c r="K240" s="403">
        <f t="shared" si="152"/>
      </c>
      <c r="L240" s="403">
        <f t="shared" si="171"/>
      </c>
      <c r="M240" s="404">
        <f t="shared" si="114"/>
      </c>
      <c r="N240" s="405">
        <f t="shared" si="133"/>
      </c>
      <c r="O240" s="406">
        <f t="shared" si="72"/>
      </c>
      <c r="P240" s="456" t="s">
        <v>233</v>
      </c>
      <c r="Q240" s="423" t="s">
        <v>252</v>
      </c>
      <c r="R240" s="466">
        <v>23191</v>
      </c>
      <c r="S240" s="411">
        <v>1778</v>
      </c>
      <c r="T240" s="411">
        <v>6</v>
      </c>
      <c r="U240" s="411">
        <v>44</v>
      </c>
    </row>
    <row r="241">
      <c r="A241" s="397"/>
      <c r="B241" s="398" t="s">
        <v>256</v>
      </c>
      <c r="C241" s="441" t="s">
        <v>259</v>
      </c>
      <c r="D241" s="399">
        <f t="shared" si="39"/>
      </c>
      <c r="E241" s="400">
        <v>1354.57</v>
      </c>
      <c r="F241" s="401">
        <v>1011.94</v>
      </c>
      <c r="G241" s="401">
        <v>0</v>
      </c>
      <c r="H241" s="443">
        <v>7</v>
      </c>
      <c r="I241" s="401">
        <v>2091.9</v>
      </c>
      <c r="J241" s="403">
        <f t="shared" si="91"/>
      </c>
      <c r="K241" s="403">
        <f t="shared" si="152"/>
      </c>
      <c r="L241" s="403">
        <f t="shared" si="171"/>
      </c>
      <c r="M241" s="404">
        <f t="shared" si="114"/>
      </c>
      <c r="N241" s="405">
        <f t="shared" si="133"/>
      </c>
      <c r="O241" s="406">
        <f t="shared" si="72"/>
      </c>
      <c r="P241" s="456" t="s">
        <v>233</v>
      </c>
      <c r="Q241" s="423" t="s">
        <v>252</v>
      </c>
      <c r="R241" s="466">
        <v>15735</v>
      </c>
      <c r="S241" s="411">
        <v>1521</v>
      </c>
      <c r="T241" s="411">
        <v>9</v>
      </c>
      <c r="U241" s="411">
        <v>58</v>
      </c>
    </row>
    <row r="242">
      <c r="A242" s="397"/>
      <c r="B242" s="398" t="s">
        <v>256</v>
      </c>
      <c r="C242" s="457" t="s">
        <v>260</v>
      </c>
      <c r="D242" s="399">
        <f t="shared" si="39"/>
      </c>
      <c r="E242" s="400">
        <v>1044.17</v>
      </c>
      <c r="F242" s="401">
        <v>1077.88</v>
      </c>
      <c r="G242" s="401">
        <v>0</v>
      </c>
      <c r="H242" s="443">
        <v>8</v>
      </c>
      <c r="I242" s="401">
        <v>5974.32</v>
      </c>
      <c r="J242" s="403">
        <f t="shared" si="91"/>
      </c>
      <c r="K242" s="403">
        <f t="shared" si="152"/>
      </c>
      <c r="L242" s="403">
        <f t="shared" si="171"/>
      </c>
      <c r="M242" s="404">
        <f t="shared" si="114"/>
      </c>
      <c r="N242" s="405">
        <f t="shared" si="133"/>
      </c>
      <c r="O242" s="406">
        <f t="shared" si="72"/>
      </c>
      <c r="P242" s="456" t="s">
        <v>233</v>
      </c>
      <c r="Q242" s="423" t="s">
        <v>252</v>
      </c>
      <c r="R242" s="466">
        <v>12720</v>
      </c>
      <c r="S242" s="411">
        <v>1333</v>
      </c>
      <c r="T242" s="411">
        <v>4</v>
      </c>
      <c r="U242" s="411">
        <v>45</v>
      </c>
    </row>
    <row r="243">
      <c r="A243" s="397"/>
      <c r="B243" s="458" t="s">
        <v>239</v>
      </c>
      <c r="C243" s="458"/>
      <c r="D243" s="459">
        <f>SUM(D239:D242)</f>
      </c>
      <c r="E243" s="459">
        <f>SUM(E239:E242)</f>
      </c>
      <c r="F243" s="459">
        <f>SUM(F239:F242)</f>
      </c>
      <c r="G243" s="459">
        <f>SUM(G239:G242)</f>
      </c>
      <c r="H243" s="460">
        <f>SUM(H239:H242)</f>
      </c>
      <c r="I243" s="459">
        <f>SUM(I239:I242)</f>
      </c>
      <c r="J243" s="461">
        <f t="shared" si="91"/>
      </c>
      <c r="K243" s="462">
        <f t="shared" si="152"/>
      </c>
      <c r="L243" s="463">
        <f t="shared" si="171"/>
      </c>
      <c r="M243" s="464">
        <f t="shared" si="114"/>
      </c>
      <c r="N243" s="464">
        <f t="shared" si="133"/>
      </c>
      <c r="O243" s="465">
        <f t="shared" si="72"/>
      </c>
      <c r="P243" s="465"/>
      <c r="Q243" s="465"/>
      <c r="R243" s="460">
        <f>SUM(R239:R242)</f>
      </c>
      <c r="S243" s="460">
        <f>SUM(S239:S242)</f>
      </c>
      <c r="T243" s="460">
        <f>SUM(T239:T242)</f>
      </c>
      <c r="U243" s="460">
        <f>SUM(U239:U242)</f>
      </c>
    </row>
    <row r="244">
      <c r="A244" s="397"/>
      <c r="B244" s="413" t="s">
        <v>253</v>
      </c>
      <c r="C244" s="457" t="s">
        <v>261</v>
      </c>
      <c r="D244" s="399">
        <f t="shared" ref="D244:D248" si="40">SUM(E244:G244)</f>
      </c>
      <c r="E244" s="400">
        <v>1356.27</v>
      </c>
      <c r="F244" s="401">
        <v>1296.32</v>
      </c>
      <c r="G244" s="401">
        <v>0</v>
      </c>
      <c r="H244" s="443">
        <v>3</v>
      </c>
      <c r="I244" s="401">
        <v>709.92</v>
      </c>
      <c r="J244" s="403">
        <f t="shared" si="91"/>
      </c>
      <c r="K244" s="403">
        <f t="shared" si="152"/>
      </c>
      <c r="L244" s="403">
        <f t="shared" si="171"/>
      </c>
      <c r="M244" s="404">
        <f t="shared" si="114"/>
      </c>
      <c r="N244" s="405">
        <f t="shared" si="133"/>
      </c>
      <c r="O244" s="406">
        <f t="shared" si="72"/>
      </c>
      <c r="P244" s="407" t="s">
        <v>233</v>
      </c>
      <c r="Q244" s="423" t="s">
        <v>252</v>
      </c>
      <c r="R244" s="466">
        <v>16399</v>
      </c>
      <c r="S244" s="411">
        <v>1278</v>
      </c>
      <c r="T244" s="411">
        <v>8</v>
      </c>
      <c r="U244" s="411">
        <v>27</v>
      </c>
    </row>
    <row r="245">
      <c r="A245" s="397"/>
      <c r="B245" s="413" t="s">
        <v>253</v>
      </c>
      <c r="C245" s="457" t="s">
        <v>242</v>
      </c>
      <c r="D245" s="399">
        <f t="shared" si="40"/>
      </c>
      <c r="E245" s="400">
        <v>1467.17</v>
      </c>
      <c r="F245" s="401">
        <v>1033.74</v>
      </c>
      <c r="G245" s="401">
        <v>0</v>
      </c>
      <c r="H245" s="443">
        <v>7</v>
      </c>
      <c r="I245" s="401">
        <v>2988.48</v>
      </c>
      <c r="J245" s="403">
        <f t="shared" si="91"/>
      </c>
      <c r="K245" s="403">
        <f t="shared" si="152"/>
      </c>
      <c r="L245" s="403">
        <f t="shared" si="171"/>
      </c>
      <c r="M245" s="404">
        <f t="shared" si="114"/>
      </c>
      <c r="N245" s="405">
        <f t="shared" si="133"/>
      </c>
      <c r="O245" s="406">
        <f t="shared" si="72"/>
      </c>
      <c r="P245" s="407" t="s">
        <v>233</v>
      </c>
      <c r="Q245" s="423" t="s">
        <v>252</v>
      </c>
      <c r="R245" s="466">
        <v>17286</v>
      </c>
      <c r="S245" s="411">
        <v>1442</v>
      </c>
      <c r="T245" s="411">
        <v>1</v>
      </c>
      <c r="U245" s="411">
        <v>35</v>
      </c>
    </row>
    <row r="246">
      <c r="A246" s="397"/>
      <c r="B246" s="413" t="s">
        <v>253</v>
      </c>
      <c r="C246" s="457" t="s">
        <v>243</v>
      </c>
      <c r="D246" s="415">
        <f t="shared" si="40"/>
      </c>
      <c r="E246" s="416">
        <v>1769.3</v>
      </c>
      <c r="F246" s="417">
        <v>970.02</v>
      </c>
      <c r="G246" s="417">
        <v>0</v>
      </c>
      <c r="H246" s="418">
        <v>8</v>
      </c>
      <c r="I246" s="417">
        <v>4173.12</v>
      </c>
      <c r="J246" s="419">
        <f t="shared" si="91"/>
      </c>
      <c r="K246" s="419">
        <f t="shared" si="152"/>
      </c>
      <c r="L246" s="419">
        <f t="shared" si="171"/>
      </c>
      <c r="M246" s="420">
        <f t="shared" si="114"/>
      </c>
      <c r="N246" s="421">
        <f t="shared" si="133"/>
      </c>
      <c r="O246" s="422">
        <f t="shared" si="72"/>
      </c>
      <c r="P246" s="407" t="s">
        <v>233</v>
      </c>
      <c r="Q246" s="423" t="s">
        <v>252</v>
      </c>
      <c r="R246" s="453">
        <v>18668</v>
      </c>
      <c r="S246" s="426">
        <v>1554</v>
      </c>
      <c r="T246" s="426">
        <v>10</v>
      </c>
      <c r="U246" s="426">
        <v>37</v>
      </c>
    </row>
    <row r="247">
      <c r="A247" s="397"/>
      <c r="B247" s="413" t="s">
        <v>253</v>
      </c>
      <c r="C247" s="441" t="s">
        <v>244</v>
      </c>
      <c r="D247" s="415">
        <f t="shared" si="40"/>
      </c>
      <c r="E247" s="416">
        <v>1584.31</v>
      </c>
      <c r="F247" s="417">
        <v>692.6</v>
      </c>
      <c r="G247" s="417">
        <v>0</v>
      </c>
      <c r="H247" s="418">
        <v>4</v>
      </c>
      <c r="I247" s="417">
        <v>2837.76</v>
      </c>
      <c r="J247" s="419">
        <f t="shared" si="91"/>
      </c>
      <c r="K247" s="419">
        <f t="shared" si="152"/>
      </c>
      <c r="L247" s="419">
        <f t="shared" si="171"/>
      </c>
      <c r="M247" s="420">
        <f t="shared" si="114"/>
      </c>
      <c r="N247" s="421">
        <f t="shared" si="133"/>
      </c>
      <c r="O247" s="422">
        <f t="shared" si="72"/>
      </c>
      <c r="P247" s="407" t="s">
        <v>233</v>
      </c>
      <c r="Q247" s="423" t="s">
        <v>252</v>
      </c>
      <c r="R247" s="453">
        <v>14405</v>
      </c>
      <c r="S247" s="426">
        <v>1308</v>
      </c>
      <c r="T247" s="426">
        <v>5</v>
      </c>
      <c r="U247" s="426">
        <v>38</v>
      </c>
    </row>
    <row r="248">
      <c r="A248" s="397"/>
      <c r="B248" s="413" t="s">
        <v>253</v>
      </c>
      <c r="C248" s="441" t="s">
        <v>245</v>
      </c>
      <c r="D248" s="415">
        <f t="shared" si="40"/>
      </c>
      <c r="E248" s="416">
        <v>1693.98</v>
      </c>
      <c r="F248" s="417">
        <v>639.56</v>
      </c>
      <c r="G248" s="417">
        <v>0</v>
      </c>
      <c r="H248" s="418">
        <v>5</v>
      </c>
      <c r="I248" s="417">
        <v>1162.2599999999984</v>
      </c>
      <c r="J248" s="419">
        <f t="shared" si="91"/>
      </c>
      <c r="K248" s="419">
        <f t="shared" si="152"/>
      </c>
      <c r="L248" s="419">
        <f t="shared" si="171"/>
      </c>
      <c r="M248" s="420">
        <f t="shared" si="114"/>
      </c>
      <c r="N248" s="421">
        <f t="shared" si="133"/>
      </c>
      <c r="O248" s="422">
        <f t="shared" si="72"/>
      </c>
      <c r="P248" s="407" t="s">
        <v>233</v>
      </c>
      <c r="Q248" s="423" t="s">
        <v>252</v>
      </c>
      <c r="R248" s="453">
        <v>13147</v>
      </c>
      <c r="S248" s="426">
        <v>1141</v>
      </c>
      <c r="T248" s="426">
        <v>6</v>
      </c>
      <c r="U248" s="426">
        <v>29</v>
      </c>
    </row>
    <row r="249">
      <c r="A249" s="397"/>
      <c r="B249" s="427" t="s">
        <v>239</v>
      </c>
      <c r="C249" s="427"/>
      <c r="D249" s="428">
        <f>SUM(D244:D248)</f>
      </c>
      <c r="E249" s="428">
        <f>SUM(E244:E248)</f>
      </c>
      <c r="F249" s="428">
        <f>SUM(F244:F248)</f>
      </c>
      <c r="G249" s="428">
        <f>SUM(G244:G248)</f>
      </c>
      <c r="H249" s="429">
        <f>SUM(H244:H248)</f>
      </c>
      <c r="I249" s="428">
        <f>SUM(I244:I248)</f>
      </c>
      <c r="J249" s="430">
        <f t="shared" si="91"/>
      </c>
      <c r="K249" s="431">
        <f t="shared" si="152"/>
      </c>
      <c r="L249" s="432">
        <f t="shared" si="171"/>
      </c>
      <c r="M249" s="433">
        <f t="shared" si="114"/>
      </c>
      <c r="N249" s="433">
        <f t="shared" si="133"/>
      </c>
      <c r="O249" s="434">
        <f t="shared" si="72"/>
      </c>
      <c r="P249" s="434"/>
      <c r="Q249" s="434"/>
      <c r="R249" s="429">
        <f>SUM(R244:R248)</f>
      </c>
      <c r="S249" s="429">
        <f>SUM(S244:S248)</f>
      </c>
      <c r="T249" s="429">
        <f>SUM(T244:T248)</f>
      </c>
      <c r="U249" s="429">
        <f>SUM(U244:U248)</f>
      </c>
    </row>
    <row r="250">
      <c r="A250" s="397"/>
      <c r="B250" s="398" t="s">
        <v>256</v>
      </c>
      <c r="C250" s="441" t="s">
        <v>247</v>
      </c>
      <c r="D250" s="415">
        <f t="shared" ref="D250:D251" si="41">SUM(E250:G250)</f>
      </c>
      <c r="E250" s="416">
        <v>1328.42</v>
      </c>
      <c r="F250" s="417">
        <v>203.17</v>
      </c>
      <c r="G250" s="401">
        <v>0</v>
      </c>
      <c r="H250" s="418">
        <v>5</v>
      </c>
      <c r="I250" s="417">
        <v>3829.5600000000013</v>
      </c>
      <c r="J250" s="419">
        <f t="shared" si="91"/>
      </c>
      <c r="K250" s="419">
        <f t="shared" si="152"/>
      </c>
      <c r="L250" s="419">
        <f t="shared" si="171"/>
      </c>
      <c r="M250" s="420">
        <f t="shared" si="114"/>
      </c>
      <c r="N250" s="421">
        <f t="shared" si="133"/>
      </c>
      <c r="O250" s="422">
        <f t="shared" si="72"/>
      </c>
      <c r="P250" s="407" t="s">
        <v>248</v>
      </c>
      <c r="Q250" s="423" t="s">
        <v>234</v>
      </c>
      <c r="R250" s="453">
        <v>11125</v>
      </c>
      <c r="S250" s="426">
        <v>862</v>
      </c>
      <c r="T250" s="426">
        <v>2</v>
      </c>
      <c r="U250" s="426">
        <v>30</v>
      </c>
    </row>
    <row r="251">
      <c r="A251" s="397"/>
      <c r="B251" s="398" t="s">
        <v>256</v>
      </c>
      <c r="C251" s="417" t="s">
        <v>249</v>
      </c>
      <c r="D251" s="415">
        <f t="shared" si="41"/>
      </c>
      <c r="E251" s="416">
        <f>1551.63+138.05</f>
      </c>
      <c r="F251" s="417">
        <f>427.12+54.63</f>
      </c>
      <c r="G251" s="401">
        <v>0</v>
      </c>
      <c r="H251" s="418">
        <v>3</v>
      </c>
      <c r="I251" s="417">
        <v>709.9200000000019</v>
      </c>
      <c r="J251" s="419">
        <f t="shared" si="91"/>
      </c>
      <c r="K251" s="419">
        <f t="shared" si="152"/>
      </c>
      <c r="L251" s="419">
        <f t="shared" si="171"/>
      </c>
      <c r="M251" s="420">
        <f t="shared" si="114"/>
      </c>
      <c r="N251" s="421">
        <f t="shared" si="133"/>
      </c>
      <c r="O251" s="422">
        <f t="shared" si="72"/>
      </c>
      <c r="P251" s="407" t="s">
        <v>248</v>
      </c>
      <c r="Q251" s="423" t="s">
        <v>234</v>
      </c>
      <c r="R251" s="453">
        <f>15466+2258</f>
      </c>
      <c r="S251" s="426">
        <f>1188+141</f>
      </c>
      <c r="T251" s="426">
        <v>3</v>
      </c>
      <c r="U251" s="426">
        <v>42</v>
      </c>
    </row>
    <row r="252">
      <c r="A252" s="397"/>
      <c r="B252" s="427" t="s">
        <v>239</v>
      </c>
      <c r="C252" s="427"/>
      <c r="D252" s="428">
        <f>SUM(D250:D251)</f>
      </c>
      <c r="E252" s="428">
        <f>SUM(E250:E251)</f>
      </c>
      <c r="F252" s="428">
        <f>SUM(F250:F251)</f>
      </c>
      <c r="G252" s="428">
        <f>SUM(G250:G251)</f>
      </c>
      <c r="H252" s="429">
        <f>SUM(H250:H251)</f>
      </c>
      <c r="I252" s="428">
        <f>SUM(I250:I251)</f>
      </c>
      <c r="J252" s="430">
        <f t="shared" si="91"/>
      </c>
      <c r="K252" s="431">
        <f t="shared" si="152"/>
      </c>
      <c r="L252" s="432">
        <f t="shared" si="171"/>
      </c>
      <c r="M252" s="433">
        <f t="shared" si="114"/>
      </c>
      <c r="N252" s="433">
        <f t="shared" si="133"/>
      </c>
      <c r="O252" s="434">
        <f t="shared" si="72"/>
      </c>
      <c r="P252" s="434"/>
      <c r="Q252" s="434"/>
      <c r="R252" s="429">
        <f>SUM(R250:R251)</f>
      </c>
      <c r="S252" s="429">
        <f>SUM(S250:S251)</f>
      </c>
      <c r="T252" s="429">
        <f>SUM(T250:T251)</f>
      </c>
      <c r="U252" s="429">
        <f>SUM(U250:U251)</f>
      </c>
    </row>
    <row r="253">
      <c r="A253" s="397"/>
      <c r="B253" s="435" t="s">
        <v>240</v>
      </c>
      <c r="C253" s="435"/>
      <c r="D253" s="436">
        <f>D249+D252+D243</f>
      </c>
      <c r="E253" s="436">
        <f>E249+E252+E243</f>
      </c>
      <c r="F253" s="436">
        <f>F249+F252+F243</f>
      </c>
      <c r="G253" s="436">
        <f>G249+G252+G243</f>
      </c>
      <c r="H253" s="436">
        <f>H249+H252+H243</f>
      </c>
      <c r="I253" s="436">
        <f>I249+I252+I243</f>
      </c>
      <c r="J253" s="438">
        <f t="shared" si="91"/>
      </c>
      <c r="K253" s="438">
        <f t="shared" si="152"/>
      </c>
      <c r="L253" s="438">
        <f t="shared" si="171"/>
      </c>
      <c r="M253" s="439">
        <f t="shared" si="114"/>
      </c>
      <c r="N253" s="439">
        <f t="shared" si="133"/>
      </c>
      <c r="O253" s="438">
        <f t="shared" si="72"/>
      </c>
      <c r="P253" s="440"/>
      <c r="Q253" s="440"/>
      <c r="R253" s="437">
        <f>R249+R252+R243</f>
      </c>
      <c r="S253" s="437">
        <f>S249+S252+S243</f>
      </c>
      <c r="T253" s="437">
        <f>T249+T252+T243</f>
      </c>
      <c r="U253" s="437">
        <f>U249+U252+U243</f>
      </c>
    </row>
    <row r="254">
      <c r="A254" s="444" t="s">
        <v>205</v>
      </c>
      <c r="B254" s="444"/>
      <c r="C254" s="444"/>
      <c r="D254" s="445" t="s">
        <v>206</v>
      </c>
      <c r="E254" s="445"/>
      <c r="F254" s="445"/>
      <c r="G254" s="445"/>
      <c r="H254" s="445"/>
      <c r="I254" s="445"/>
      <c r="J254" s="445"/>
      <c r="K254" s="445"/>
      <c r="L254" s="445"/>
      <c r="M254" s="446" t="s">
        <v>207</v>
      </c>
      <c r="N254" s="446"/>
      <c r="O254" s="446"/>
      <c r="P254" s="446"/>
      <c r="Q254" s="446"/>
      <c r="R254" s="447" t="s">
        <v>208</v>
      </c>
      <c r="S254" s="447"/>
      <c r="T254" s="447"/>
      <c r="U254" s="447"/>
    </row>
    <row r="255">
      <c r="A255" s="444" t="s">
        <v>209</v>
      </c>
      <c r="B255" s="444" t="s">
        <v>210</v>
      </c>
      <c r="C255" s="444" t="s">
        <v>211</v>
      </c>
      <c r="D255" s="445" t="s">
        <v>212</v>
      </c>
      <c r="E255" s="445" t="s">
        <v>213</v>
      </c>
      <c r="F255" s="445" t="s">
        <v>214</v>
      </c>
      <c r="G255" s="445" t="s">
        <v>215</v>
      </c>
      <c r="H255" s="449" t="s">
        <v>216</v>
      </c>
      <c r="I255" s="445" t="s">
        <v>217</v>
      </c>
      <c r="J255" s="450" t="s">
        <v>218</v>
      </c>
      <c r="K255" s="451" t="s">
        <v>219</v>
      </c>
      <c r="L255" s="445" t="s">
        <v>220</v>
      </c>
      <c r="M255" s="446" t="s">
        <v>221</v>
      </c>
      <c r="N255" s="446" t="s">
        <v>222</v>
      </c>
      <c r="O255" s="446" t="s">
        <v>223</v>
      </c>
      <c r="P255" s="452" t="s">
        <v>224</v>
      </c>
      <c r="Q255" s="452" t="s">
        <v>225</v>
      </c>
      <c r="R255" s="447" t="s">
        <v>226</v>
      </c>
      <c r="S255" s="447" t="s">
        <v>227</v>
      </c>
      <c r="T255" s="447" t="s">
        <v>228</v>
      </c>
      <c r="U255" s="447" t="s">
        <v>230</v>
      </c>
    </row>
    <row r="256">
      <c r="A256" s="397">
        <v>46309</v>
      </c>
      <c r="B256" s="413" t="s">
        <v>253</v>
      </c>
      <c r="C256" s="441" t="s">
        <v>242</v>
      </c>
      <c r="D256" s="399">
        <f t="shared" ref="D256:D259" si="42">SUM(E256:G256)</f>
      </c>
      <c r="E256" s="400">
        <v>3365.49</v>
      </c>
      <c r="F256" s="401">
        <v>689.45</v>
      </c>
      <c r="G256" s="401">
        <v>0</v>
      </c>
      <c r="H256" s="443">
        <v>13</v>
      </c>
      <c r="I256" s="401">
        <v>6714</v>
      </c>
      <c r="J256" s="403">
        <f t="shared" ref="J256:J271" si="92">I256/D256</f>
      </c>
      <c r="K256" s="403">
        <f t="shared" ref="K256:K271" si="153">D256/H256</f>
      </c>
      <c r="L256" s="403">
        <f t="shared" ref="L256:L271" si="172">I256/H256</f>
      </c>
      <c r="M256" s="404">
        <f t="shared" ref="M256:M271" si="115">S256/R256</f>
      </c>
      <c r="N256" s="405">
        <f t="shared" ref="N256:N271" si="134">H256/(T256+H256)</f>
      </c>
      <c r="O256" s="406">
        <f t="shared" ref="O256:O271" si="73">(U256*1000)/D256</f>
      </c>
      <c r="P256" s="407" t="s">
        <v>233</v>
      </c>
      <c r="Q256" s="423" t="s">
        <v>252</v>
      </c>
      <c r="R256" s="466">
        <v>35851</v>
      </c>
      <c r="S256" s="411">
        <v>2274</v>
      </c>
      <c r="T256" s="411">
        <v>10</v>
      </c>
      <c r="U256" s="411">
        <v>61</v>
      </c>
    </row>
    <row r="257">
      <c r="A257" s="397"/>
      <c r="B257" s="413" t="s">
        <v>253</v>
      </c>
      <c r="C257" s="441" t="s">
        <v>243</v>
      </c>
      <c r="D257" s="399">
        <f t="shared" si="42"/>
      </c>
      <c r="E257" s="400">
        <v>2317.11</v>
      </c>
      <c r="F257" s="401">
        <v>1079.61</v>
      </c>
      <c r="G257" s="401">
        <v>0</v>
      </c>
      <c r="H257" s="443">
        <v>6</v>
      </c>
      <c r="I257" s="401">
        <v>1872.9</v>
      </c>
      <c r="J257" s="403">
        <f t="shared" si="92"/>
      </c>
      <c r="K257" s="403">
        <f t="shared" si="153"/>
      </c>
      <c r="L257" s="403">
        <f t="shared" si="172"/>
      </c>
      <c r="M257" s="404">
        <f t="shared" si="115"/>
      </c>
      <c r="N257" s="405">
        <f t="shared" si="134"/>
      </c>
      <c r="O257" s="406">
        <f t="shared" si="73"/>
      </c>
      <c r="P257" s="407" t="s">
        <v>233</v>
      </c>
      <c r="Q257" s="423" t="s">
        <v>252</v>
      </c>
      <c r="R257" s="466">
        <v>31789</v>
      </c>
      <c r="S257" s="411">
        <v>2226</v>
      </c>
      <c r="T257" s="411">
        <v>4</v>
      </c>
      <c r="U257" s="411">
        <v>53</v>
      </c>
    </row>
    <row r="258">
      <c r="A258" s="397"/>
      <c r="B258" s="413" t="s">
        <v>253</v>
      </c>
      <c r="C258" s="441" t="s">
        <v>244</v>
      </c>
      <c r="D258" s="415">
        <f t="shared" si="42"/>
      </c>
      <c r="E258" s="416">
        <v>1527.8</v>
      </c>
      <c r="F258" s="417">
        <v>604.3</v>
      </c>
      <c r="G258" s="417">
        <v>0</v>
      </c>
      <c r="H258" s="418">
        <v>6</v>
      </c>
      <c r="I258" s="417">
        <v>5027.04</v>
      </c>
      <c r="J258" s="419">
        <f t="shared" si="92"/>
      </c>
      <c r="K258" s="419">
        <f t="shared" si="153"/>
      </c>
      <c r="L258" s="419">
        <f t="shared" si="172"/>
      </c>
      <c r="M258" s="420">
        <f t="shared" si="115"/>
      </c>
      <c r="N258" s="421">
        <f t="shared" si="134"/>
      </c>
      <c r="O258" s="422">
        <f t="shared" si="73"/>
      </c>
      <c r="P258" s="407" t="s">
        <v>233</v>
      </c>
      <c r="Q258" s="423" t="s">
        <v>252</v>
      </c>
      <c r="R258" s="453">
        <v>16385</v>
      </c>
      <c r="S258" s="426">
        <v>1240</v>
      </c>
      <c r="T258" s="426">
        <v>8</v>
      </c>
      <c r="U258" s="426">
        <v>45</v>
      </c>
    </row>
    <row r="259">
      <c r="A259" s="397"/>
      <c r="B259" s="413" t="s">
        <v>253</v>
      </c>
      <c r="C259" s="441" t="s">
        <v>245</v>
      </c>
      <c r="D259" s="415">
        <f t="shared" si="42"/>
      </c>
      <c r="E259" s="416">
        <v>1413.63</v>
      </c>
      <c r="F259" s="417">
        <v>583.51</v>
      </c>
      <c r="G259" s="417">
        <v>0</v>
      </c>
      <c r="H259" s="418">
        <v>4</v>
      </c>
      <c r="I259" s="417">
        <v>1399.6200000000008</v>
      </c>
      <c r="J259" s="419">
        <f t="shared" si="92"/>
      </c>
      <c r="K259" s="419">
        <f t="shared" si="153"/>
      </c>
      <c r="L259" s="419">
        <f t="shared" si="172"/>
      </c>
      <c r="M259" s="420">
        <f t="shared" si="115"/>
      </c>
      <c r="N259" s="421">
        <f t="shared" si="134"/>
      </c>
      <c r="O259" s="422">
        <f t="shared" si="73"/>
      </c>
      <c r="P259" s="407" t="s">
        <v>233</v>
      </c>
      <c r="Q259" s="423" t="s">
        <v>252</v>
      </c>
      <c r="R259" s="424">
        <v>13640</v>
      </c>
      <c r="S259" s="425">
        <v>1110</v>
      </c>
      <c r="T259" s="426">
        <v>6</v>
      </c>
      <c r="U259" s="426">
        <v>33</v>
      </c>
    </row>
    <row r="260">
      <c r="A260" s="397"/>
      <c r="B260" s="427" t="s">
        <v>239</v>
      </c>
      <c r="C260" s="427"/>
      <c r="D260" s="428">
        <f>SUM(D256:D259)</f>
      </c>
      <c r="E260" s="428">
        <f>SUM(E256:E259)</f>
      </c>
      <c r="F260" s="428">
        <f>SUM(F256:F259)</f>
      </c>
      <c r="G260" s="428">
        <f>SUM(G256:G259)</f>
      </c>
      <c r="H260" s="429">
        <f>SUM(H256:H259)</f>
      </c>
      <c r="I260" s="428">
        <f>SUM(I256:I259)</f>
      </c>
      <c r="J260" s="430">
        <f t="shared" si="92"/>
      </c>
      <c r="K260" s="431">
        <f t="shared" si="153"/>
      </c>
      <c r="L260" s="432">
        <f t="shared" si="172"/>
      </c>
      <c r="M260" s="433">
        <f t="shared" si="115"/>
      </c>
      <c r="N260" s="433">
        <f t="shared" si="134"/>
      </c>
      <c r="O260" s="434">
        <f t="shared" si="73"/>
      </c>
      <c r="P260" s="434"/>
      <c r="Q260" s="434"/>
      <c r="R260" s="429">
        <f>SUM(R256:R259)</f>
      </c>
      <c r="S260" s="429">
        <f>SUM(S256:S259)</f>
      </c>
      <c r="T260" s="429">
        <f>SUM(T256:T259)</f>
      </c>
      <c r="U260" s="429">
        <f>SUM(U256:U259)</f>
      </c>
    </row>
    <row r="261">
      <c r="A261" s="397"/>
      <c r="B261" s="398" t="s">
        <v>256</v>
      </c>
      <c r="C261" s="441" t="s">
        <v>247</v>
      </c>
      <c r="D261" s="415">
        <f t="shared" ref="D261:D264" si="43">SUM(E261:G261)</f>
      </c>
      <c r="E261" s="416">
        <v>1143.32</v>
      </c>
      <c r="F261" s="417">
        <v>504.98</v>
      </c>
      <c r="G261" s="401">
        <v>0</v>
      </c>
      <c r="H261" s="418">
        <v>3</v>
      </c>
      <c r="I261" s="417">
        <v>688.9800000000014</v>
      </c>
      <c r="J261" s="419">
        <f t="shared" si="92"/>
      </c>
      <c r="K261" s="419">
        <f t="shared" si="153"/>
      </c>
      <c r="L261" s="419">
        <f t="shared" si="172"/>
      </c>
      <c r="M261" s="420">
        <f t="shared" si="115"/>
      </c>
      <c r="N261" s="421">
        <f t="shared" si="134"/>
      </c>
      <c r="O261" s="422">
        <f t="shared" si="73"/>
      </c>
      <c r="P261" s="407" t="s">
        <v>262</v>
      </c>
      <c r="Q261" s="423" t="s">
        <v>234</v>
      </c>
      <c r="R261" s="453">
        <v>11450</v>
      </c>
      <c r="S261" s="426">
        <v>1084</v>
      </c>
      <c r="T261" s="426">
        <v>4</v>
      </c>
      <c r="U261" s="426">
        <v>33</v>
      </c>
    </row>
    <row r="262">
      <c r="A262" s="397"/>
      <c r="B262" s="398" t="s">
        <v>256</v>
      </c>
      <c r="C262" s="417" t="s">
        <v>249</v>
      </c>
      <c r="D262" s="415">
        <f t="shared" si="43"/>
      </c>
      <c r="E262" s="416">
        <v>966.8</v>
      </c>
      <c r="F262" s="417">
        <v>1254.73</v>
      </c>
      <c r="G262" s="401">
        <v>0</v>
      </c>
      <c r="H262" s="418">
        <v>7</v>
      </c>
      <c r="I262" s="417">
        <v>3893.0999999999985</v>
      </c>
      <c r="J262" s="419">
        <f t="shared" si="92"/>
      </c>
      <c r="K262" s="419">
        <f t="shared" si="153"/>
      </c>
      <c r="L262" s="419">
        <f t="shared" si="172"/>
      </c>
      <c r="M262" s="420">
        <f t="shared" si="115"/>
      </c>
      <c r="N262" s="421">
        <f t="shared" si="134"/>
      </c>
      <c r="O262" s="422">
        <f t="shared" si="73"/>
      </c>
      <c r="P262" s="407" t="s">
        <v>262</v>
      </c>
      <c r="Q262" s="423" t="s">
        <v>234</v>
      </c>
      <c r="R262" s="453">
        <v>15076</v>
      </c>
      <c r="S262" s="426">
        <v>1571</v>
      </c>
      <c r="T262" s="426">
        <v>7</v>
      </c>
      <c r="U262" s="426">
        <v>47</v>
      </c>
    </row>
    <row r="263">
      <c r="A263" s="397"/>
      <c r="B263" s="398" t="s">
        <v>256</v>
      </c>
      <c r="C263" s="414" t="s">
        <v>250</v>
      </c>
      <c r="D263" s="415">
        <f t="shared" si="43"/>
      </c>
      <c r="E263" s="416">
        <v>1884.72</v>
      </c>
      <c r="F263" s="417">
        <v>1229.44</v>
      </c>
      <c r="G263" s="417">
        <v>0</v>
      </c>
      <c r="H263" s="418">
        <v>14</v>
      </c>
      <c r="I263" s="417">
        <v>5204.16</v>
      </c>
      <c r="J263" s="419">
        <f t="shared" si="92"/>
      </c>
      <c r="K263" s="419">
        <f t="shared" si="153"/>
      </c>
      <c r="L263" s="419">
        <f t="shared" si="172"/>
      </c>
      <c r="M263" s="420">
        <f t="shared" si="115"/>
      </c>
      <c r="N263" s="421">
        <f t="shared" si="134"/>
      </c>
      <c r="O263" s="422">
        <f t="shared" si="73"/>
      </c>
      <c r="P263" s="407" t="s">
        <v>262</v>
      </c>
      <c r="Q263" s="423" t="s">
        <v>234</v>
      </c>
      <c r="R263" s="453">
        <v>22953</v>
      </c>
      <c r="S263" s="426">
        <v>1807</v>
      </c>
      <c r="T263" s="426">
        <v>7</v>
      </c>
      <c r="U263" s="426">
        <v>49</v>
      </c>
    </row>
    <row r="264">
      <c r="A264" s="397"/>
      <c r="B264" s="398" t="s">
        <v>256</v>
      </c>
      <c r="C264" s="399" t="s">
        <v>232</v>
      </c>
      <c r="D264" s="415">
        <f t="shared" si="43"/>
      </c>
      <c r="E264" s="416">
        <v>2559.18</v>
      </c>
      <c r="F264" s="417">
        <v>1424.45</v>
      </c>
      <c r="G264" s="417">
        <v>0</v>
      </c>
      <c r="H264" s="418">
        <v>11</v>
      </c>
      <c r="I264" s="417">
        <v>4929.66</v>
      </c>
      <c r="J264" s="419">
        <f t="shared" si="92"/>
      </c>
      <c r="K264" s="419">
        <f t="shared" si="153"/>
      </c>
      <c r="L264" s="419">
        <f t="shared" si="172"/>
      </c>
      <c r="M264" s="420">
        <f t="shared" si="115"/>
      </c>
      <c r="N264" s="421">
        <f t="shared" si="134"/>
      </c>
      <c r="O264" s="422">
        <f t="shared" si="73"/>
      </c>
      <c r="P264" s="407" t="s">
        <v>262</v>
      </c>
      <c r="Q264" s="423" t="s">
        <v>234</v>
      </c>
      <c r="R264" s="453">
        <v>27586</v>
      </c>
      <c r="S264" s="426">
        <v>2222</v>
      </c>
      <c r="T264" s="426">
        <v>11</v>
      </c>
      <c r="U264" s="426">
        <v>76</v>
      </c>
    </row>
    <row r="265">
      <c r="A265" s="397"/>
      <c r="B265" s="427" t="s">
        <v>239</v>
      </c>
      <c r="C265" s="427"/>
      <c r="D265" s="428">
        <f>SUM(D261:D264)</f>
      </c>
      <c r="E265" s="428">
        <f>SUM(E261:E264)</f>
      </c>
      <c r="F265" s="428">
        <f>SUM(F261:F264)</f>
      </c>
      <c r="G265" s="428">
        <f>SUM(G261:G264)</f>
      </c>
      <c r="H265" s="429">
        <f>SUM(H261:H264)</f>
      </c>
      <c r="I265" s="428">
        <f>SUM(I261:I264)</f>
      </c>
      <c r="J265" s="430">
        <f t="shared" si="92"/>
      </c>
      <c r="K265" s="431">
        <f t="shared" si="153"/>
      </c>
      <c r="L265" s="432">
        <f t="shared" si="172"/>
      </c>
      <c r="M265" s="433">
        <f t="shared" si="115"/>
      </c>
      <c r="N265" s="433">
        <f t="shared" si="134"/>
      </c>
      <c r="O265" s="434">
        <f t="shared" si="73"/>
      </c>
      <c r="P265" s="434"/>
      <c r="Q265" s="434"/>
      <c r="R265" s="429">
        <f>SUM(R261:R264)</f>
      </c>
      <c r="S265" s="429">
        <f>SUM(S261:S264)</f>
      </c>
      <c r="T265" s="429">
        <f>SUM(T261:T264)</f>
      </c>
      <c r="U265" s="429">
        <f>SUM(U261:U264)</f>
      </c>
    </row>
    <row r="266">
      <c r="A266" s="397"/>
      <c r="B266" s="413" t="s">
        <v>251</v>
      </c>
      <c r="C266" s="412" t="s">
        <v>235</v>
      </c>
      <c r="D266" s="415">
        <f t="shared" ref="D266:D269" si="44">SUM(E266:G266)</f>
      </c>
      <c r="E266" s="416">
        <v>2356.89</v>
      </c>
      <c r="F266" s="417">
        <v>1499.73</v>
      </c>
      <c r="G266" s="401">
        <v>0</v>
      </c>
      <c r="H266" s="418">
        <v>11</v>
      </c>
      <c r="I266" s="417">
        <v>7894.4000000000015</v>
      </c>
      <c r="J266" s="419">
        <f t="shared" si="92"/>
      </c>
      <c r="K266" s="419">
        <f t="shared" si="153"/>
      </c>
      <c r="L266" s="419">
        <f t="shared" si="172"/>
      </c>
      <c r="M266" s="420">
        <f t="shared" si="115"/>
      </c>
      <c r="N266" s="421">
        <f t="shared" si="134"/>
      </c>
      <c r="O266" s="422">
        <f t="shared" si="73"/>
      </c>
      <c r="P266" s="407" t="s">
        <v>262</v>
      </c>
      <c r="Q266" s="423" t="s">
        <v>234</v>
      </c>
      <c r="R266" s="453">
        <v>28640</v>
      </c>
      <c r="S266" s="426">
        <v>2184</v>
      </c>
      <c r="T266" s="426">
        <v>4</v>
      </c>
      <c r="U266" s="426">
        <v>59</v>
      </c>
    </row>
    <row r="267">
      <c r="A267" s="397"/>
      <c r="B267" s="413" t="s">
        <v>251</v>
      </c>
      <c r="C267" s="414" t="s">
        <v>236</v>
      </c>
      <c r="D267" s="415">
        <f t="shared" si="44"/>
      </c>
      <c r="E267" s="416">
        <v>2782.72</v>
      </c>
      <c r="F267" s="417">
        <v>1631.34</v>
      </c>
      <c r="G267" s="401">
        <v>0</v>
      </c>
      <c r="H267" s="418">
        <v>13</v>
      </c>
      <c r="I267" s="417">
        <v>5812.68</v>
      </c>
      <c r="J267" s="419">
        <f t="shared" si="92"/>
      </c>
      <c r="K267" s="419">
        <f t="shared" si="153"/>
      </c>
      <c r="L267" s="419">
        <f t="shared" si="172"/>
      </c>
      <c r="M267" s="420">
        <f t="shared" si="115"/>
      </c>
      <c r="N267" s="421">
        <f t="shared" si="134"/>
      </c>
      <c r="O267" s="422">
        <f t="shared" si="73"/>
      </c>
      <c r="P267" s="407" t="s">
        <v>262</v>
      </c>
      <c r="Q267" s="423" t="s">
        <v>234</v>
      </c>
      <c r="R267" s="453">
        <v>32088</v>
      </c>
      <c r="S267" s="426">
        <v>2065</v>
      </c>
      <c r="T267" s="426">
        <v>8</v>
      </c>
      <c r="U267" s="426">
        <v>67</v>
      </c>
    </row>
    <row r="268">
      <c r="A268" s="397"/>
      <c r="B268" s="413" t="s">
        <v>251</v>
      </c>
      <c r="C268" s="414" t="s">
        <v>237</v>
      </c>
      <c r="D268" s="415">
        <f t="shared" si="44"/>
      </c>
      <c r="E268" s="416">
        <v>3027.39</v>
      </c>
      <c r="F268" s="417">
        <v>2440.22</v>
      </c>
      <c r="G268" s="401">
        <v>0</v>
      </c>
      <c r="H268" s="418">
        <v>28</v>
      </c>
      <c r="I268" s="417">
        <v>16181.779999999999</v>
      </c>
      <c r="J268" s="419">
        <f t="shared" si="92"/>
      </c>
      <c r="K268" s="419">
        <f t="shared" si="153"/>
      </c>
      <c r="L268" s="419">
        <f t="shared" si="172"/>
      </c>
      <c r="M268" s="420">
        <f t="shared" si="115"/>
      </c>
      <c r="N268" s="421">
        <f t="shared" si="134"/>
      </c>
      <c r="O268" s="422">
        <f t="shared" si="73"/>
      </c>
      <c r="P268" s="407" t="s">
        <v>262</v>
      </c>
      <c r="Q268" s="423" t="s">
        <v>234</v>
      </c>
      <c r="R268" s="453">
        <v>36821</v>
      </c>
      <c r="S268" s="426">
        <v>2357</v>
      </c>
      <c r="T268" s="426">
        <v>23</v>
      </c>
      <c r="U268" s="426">
        <v>72</v>
      </c>
    </row>
    <row r="269">
      <c r="A269" s="397"/>
      <c r="B269" s="413" t="s">
        <v>251</v>
      </c>
      <c r="C269" s="414" t="s">
        <v>238</v>
      </c>
      <c r="D269" s="415">
        <f t="shared" si="44"/>
      </c>
      <c r="E269" s="416">
        <v>1547.2</v>
      </c>
      <c r="F269" s="417">
        <v>1972.44</v>
      </c>
      <c r="G269" s="417">
        <v>0</v>
      </c>
      <c r="H269" s="418">
        <v>9</v>
      </c>
      <c r="I269" s="417">
        <v>7646.0799999999945</v>
      </c>
      <c r="J269" s="419">
        <f t="shared" si="92"/>
      </c>
      <c r="K269" s="419">
        <f t="shared" si="153"/>
      </c>
      <c r="L269" s="419">
        <f t="shared" si="172"/>
      </c>
      <c r="M269" s="420">
        <f t="shared" si="115"/>
      </c>
      <c r="N269" s="421">
        <f t="shared" si="134"/>
      </c>
      <c r="O269" s="422">
        <f t="shared" si="73"/>
      </c>
      <c r="P269" s="407" t="s">
        <v>262</v>
      </c>
      <c r="Q269" s="423" t="s">
        <v>234</v>
      </c>
      <c r="R269" s="453">
        <v>35107</v>
      </c>
      <c r="S269" s="426">
        <v>1687</v>
      </c>
      <c r="T269" s="426">
        <v>8</v>
      </c>
      <c r="U269" s="426">
        <v>30</v>
      </c>
    </row>
    <row r="270">
      <c r="A270" s="397"/>
      <c r="B270" s="427" t="s">
        <v>239</v>
      </c>
      <c r="C270" s="427"/>
      <c r="D270" s="428">
        <f>SUM(D266:D269)</f>
      </c>
      <c r="E270" s="428">
        <f>SUM(E266:E269)</f>
      </c>
      <c r="F270" s="428">
        <f>SUM(F266:F269)</f>
      </c>
      <c r="G270" s="428">
        <f>SUM(G266:G269)</f>
      </c>
      <c r="H270" s="429">
        <f>SUM(H266:H269)</f>
      </c>
      <c r="I270" s="428">
        <f>SUM(I266:I269)</f>
      </c>
      <c r="J270" s="430">
        <f t="shared" si="92"/>
      </c>
      <c r="K270" s="431">
        <f t="shared" si="153"/>
      </c>
      <c r="L270" s="432">
        <f t="shared" si="172"/>
      </c>
      <c r="M270" s="433">
        <f t="shared" si="115"/>
      </c>
      <c r="N270" s="433">
        <f t="shared" si="134"/>
      </c>
      <c r="O270" s="434">
        <f t="shared" si="73"/>
      </c>
      <c r="P270" s="434"/>
      <c r="Q270" s="434"/>
      <c r="R270" s="429">
        <f>SUM(R266:R269)</f>
      </c>
      <c r="S270" s="429">
        <f>SUM(S266:S269)</f>
      </c>
      <c r="T270" s="429">
        <f>SUM(T266:T269)</f>
      </c>
      <c r="U270" s="429">
        <f>SUM(U266:U269)</f>
      </c>
    </row>
    <row r="271">
      <c r="A271" s="397"/>
      <c r="B271" s="435" t="s">
        <v>240</v>
      </c>
      <c r="C271" s="435"/>
      <c r="D271" s="436">
        <f>D260+D265+D270</f>
      </c>
      <c r="E271" s="436">
        <f>E260+E265+E270</f>
      </c>
      <c r="F271" s="436">
        <f>F260+F265+F270</f>
      </c>
      <c r="G271" s="436">
        <f>G260+G265+G270</f>
      </c>
      <c r="H271" s="437">
        <f>H260+H265+H270</f>
      </c>
      <c r="I271" s="436">
        <f>I260+I265+I270</f>
      </c>
      <c r="J271" s="438">
        <f t="shared" si="92"/>
      </c>
      <c r="K271" s="438">
        <f t="shared" si="153"/>
      </c>
      <c r="L271" s="438">
        <f t="shared" si="172"/>
      </c>
      <c r="M271" s="439">
        <f t="shared" si="115"/>
      </c>
      <c r="N271" s="439">
        <f t="shared" si="134"/>
      </c>
      <c r="O271" s="438">
        <f t="shared" si="73"/>
      </c>
      <c r="P271" s="440"/>
      <c r="Q271" s="440"/>
      <c r="R271" s="437">
        <f>R260+R265+R270</f>
      </c>
      <c r="S271" s="437">
        <f>S260+S265+S270</f>
      </c>
      <c r="T271" s="437">
        <f>T260+T265+T270</f>
      </c>
      <c r="U271" s="437">
        <f>U260+U265+U270</f>
      </c>
    </row>
    <row r="272">
      <c r="A272" s="444" t="s">
        <v>205</v>
      </c>
      <c r="B272" s="444"/>
      <c r="C272" s="444"/>
      <c r="D272" s="445" t="s">
        <v>206</v>
      </c>
      <c r="E272" s="445"/>
      <c r="F272" s="445"/>
      <c r="G272" s="445"/>
      <c r="H272" s="445"/>
      <c r="I272" s="445"/>
      <c r="J272" s="445"/>
      <c r="K272" s="445"/>
      <c r="L272" s="445"/>
      <c r="M272" s="446" t="s">
        <v>207</v>
      </c>
      <c r="N272" s="446"/>
      <c r="O272" s="446"/>
      <c r="P272" s="446"/>
      <c r="Q272" s="446"/>
      <c r="R272" s="447" t="s">
        <v>208</v>
      </c>
      <c r="S272" s="447"/>
      <c r="T272" s="447"/>
      <c r="U272" s="447"/>
    </row>
    <row r="273">
      <c r="A273" s="467" t="s">
        <v>209</v>
      </c>
      <c r="B273" s="444" t="s">
        <v>210</v>
      </c>
      <c r="C273" s="444" t="s">
        <v>211</v>
      </c>
      <c r="D273" s="445" t="s">
        <v>212</v>
      </c>
      <c r="E273" s="445" t="s">
        <v>213</v>
      </c>
      <c r="F273" s="445" t="s">
        <v>214</v>
      </c>
      <c r="G273" s="445" t="s">
        <v>215</v>
      </c>
      <c r="H273" s="449" t="s">
        <v>216</v>
      </c>
      <c r="I273" s="445" t="s">
        <v>217</v>
      </c>
      <c r="J273" s="450" t="s">
        <v>218</v>
      </c>
      <c r="K273" s="451" t="s">
        <v>219</v>
      </c>
      <c r="L273" s="445" t="s">
        <v>220</v>
      </c>
      <c r="M273" s="446" t="s">
        <v>221</v>
      </c>
      <c r="N273" s="446" t="s">
        <v>222</v>
      </c>
      <c r="O273" s="446" t="s">
        <v>223</v>
      </c>
      <c r="P273" s="452" t="s">
        <v>224</v>
      </c>
      <c r="Q273" s="452" t="s">
        <v>225</v>
      </c>
      <c r="R273" s="447" t="s">
        <v>226</v>
      </c>
      <c r="S273" s="447" t="s">
        <v>227</v>
      </c>
      <c r="T273" s="447" t="s">
        <v>228</v>
      </c>
      <c r="U273" s="447" t="s">
        <v>230</v>
      </c>
    </row>
    <row r="274">
      <c r="A274" s="397">
        <v>46310</v>
      </c>
      <c r="B274" s="413" t="s">
        <v>253</v>
      </c>
      <c r="C274" s="441" t="s">
        <v>242</v>
      </c>
      <c r="D274" s="399">
        <f t="shared" ref="D274:D277" si="45">SUM(E274:G274)</f>
      </c>
      <c r="E274" s="400">
        <v>2199.47</v>
      </c>
      <c r="F274" s="401">
        <v>1222.8</v>
      </c>
      <c r="G274" s="401">
        <v>0</v>
      </c>
      <c r="H274" s="443">
        <v>9</v>
      </c>
      <c r="I274" s="401">
        <v>8747.88</v>
      </c>
      <c r="J274" s="403">
        <f t="shared" ref="J274:J289" si="93">I274/D274</f>
      </c>
      <c r="K274" s="403">
        <f t="shared" ref="K274:K289" si="154">D274/H274</f>
      </c>
      <c r="L274" s="403">
        <f t="shared" ref="L274:L289" si="173">I274/H274</f>
      </c>
      <c r="M274" s="404">
        <f t="shared" ref="M274:M289" si="116">S274/R274</f>
      </c>
      <c r="N274" s="405">
        <f t="shared" ref="N274:N289" si="135">H274/(T274+H274)</f>
      </c>
      <c r="O274" s="406">
        <f t="shared" ref="O274:O289" si="74">(U274*1000)/D274</f>
      </c>
      <c r="P274" s="407" t="s">
        <v>233</v>
      </c>
      <c r="Q274" s="423" t="s">
        <v>263</v>
      </c>
      <c r="R274" s="466">
        <v>22981</v>
      </c>
      <c r="S274" s="411">
        <v>1489</v>
      </c>
      <c r="T274" s="411">
        <v>12</v>
      </c>
      <c r="U274" s="411">
        <v>44</v>
      </c>
    </row>
    <row r="275">
      <c r="A275" s="397"/>
      <c r="B275" s="413" t="s">
        <v>253</v>
      </c>
      <c r="C275" s="441" t="s">
        <v>243</v>
      </c>
      <c r="D275" s="399">
        <f t="shared" si="45"/>
      </c>
      <c r="E275" s="400">
        <v>2967.39</v>
      </c>
      <c r="F275" s="401">
        <v>1232.78</v>
      </c>
      <c r="G275" s="399">
        <v>0</v>
      </c>
      <c r="H275" s="443">
        <v>11</v>
      </c>
      <c r="I275" s="401">
        <v>4931.6</v>
      </c>
      <c r="J275" s="403">
        <f t="shared" si="93"/>
      </c>
      <c r="K275" s="403">
        <f t="shared" si="154"/>
      </c>
      <c r="L275" s="403">
        <f t="shared" si="173"/>
      </c>
      <c r="M275" s="404">
        <f t="shared" si="116"/>
      </c>
      <c r="N275" s="405">
        <f t="shared" si="135"/>
      </c>
      <c r="O275" s="406">
        <f t="shared" si="74"/>
      </c>
      <c r="P275" s="407" t="s">
        <v>233</v>
      </c>
      <c r="Q275" s="423" t="s">
        <v>263</v>
      </c>
      <c r="R275" s="466">
        <v>27901</v>
      </c>
      <c r="S275" s="411">
        <v>2069</v>
      </c>
      <c r="T275" s="411">
        <v>10</v>
      </c>
      <c r="U275" s="411">
        <v>75</v>
      </c>
    </row>
    <row r="276">
      <c r="A276" s="397"/>
      <c r="B276" s="413" t="s">
        <v>253</v>
      </c>
      <c r="C276" s="441" t="s">
        <v>244</v>
      </c>
      <c r="D276" s="415">
        <f t="shared" si="45"/>
      </c>
      <c r="E276" s="416">
        <v>2310.41</v>
      </c>
      <c r="F276" s="417">
        <v>921.6</v>
      </c>
      <c r="G276" s="399">
        <v>0</v>
      </c>
      <c r="H276" s="418">
        <v>6</v>
      </c>
      <c r="I276" s="417">
        <v>2345.3999999999996</v>
      </c>
      <c r="J276" s="419">
        <f t="shared" si="93"/>
      </c>
      <c r="K276" s="419">
        <f t="shared" si="154"/>
      </c>
      <c r="L276" s="419">
        <f t="shared" si="173"/>
      </c>
      <c r="M276" s="420">
        <f t="shared" si="116"/>
      </c>
      <c r="N276" s="421">
        <f t="shared" si="135"/>
      </c>
      <c r="O276" s="422">
        <f t="shared" si="74"/>
      </c>
      <c r="P276" s="407" t="s">
        <v>233</v>
      </c>
      <c r="Q276" s="423" t="s">
        <v>263</v>
      </c>
      <c r="R276" s="453">
        <v>21102</v>
      </c>
      <c r="S276" s="426">
        <v>1653</v>
      </c>
      <c r="T276" s="426">
        <v>5</v>
      </c>
      <c r="U276" s="426">
        <v>65</v>
      </c>
    </row>
    <row r="277">
      <c r="A277" s="397"/>
      <c r="B277" s="413" t="s">
        <v>253</v>
      </c>
      <c r="C277" s="441" t="s">
        <v>245</v>
      </c>
      <c r="D277" s="415">
        <f t="shared" si="45"/>
      </c>
      <c r="E277" s="416">
        <v>1579.8</v>
      </c>
      <c r="F277" s="417">
        <v>1184.12</v>
      </c>
      <c r="G277" s="417">
        <v>0</v>
      </c>
      <c r="H277" s="418">
        <v>7</v>
      </c>
      <c r="I277" s="417">
        <v>4021.680000000002</v>
      </c>
      <c r="J277" s="419">
        <f t="shared" si="93"/>
      </c>
      <c r="K277" s="419">
        <f t="shared" si="154"/>
      </c>
      <c r="L277" s="419">
        <f t="shared" si="173"/>
      </c>
      <c r="M277" s="420">
        <f t="shared" si="116"/>
      </c>
      <c r="N277" s="421">
        <f t="shared" si="135"/>
      </c>
      <c r="O277" s="422">
        <f t="shared" si="74"/>
      </c>
      <c r="P277" s="407" t="s">
        <v>233</v>
      </c>
      <c r="Q277" s="423" t="s">
        <v>263</v>
      </c>
      <c r="R277" s="424">
        <v>14377</v>
      </c>
      <c r="S277" s="425">
        <v>1279</v>
      </c>
      <c r="T277" s="426">
        <v>9</v>
      </c>
      <c r="U277" s="426">
        <v>56</v>
      </c>
    </row>
    <row r="278">
      <c r="A278" s="397"/>
      <c r="B278" s="427" t="s">
        <v>239</v>
      </c>
      <c r="C278" s="427"/>
      <c r="D278" s="428">
        <f>SUM(D274:D277)</f>
      </c>
      <c r="E278" s="428">
        <f>SUM(E274:E277)</f>
      </c>
      <c r="F278" s="428">
        <f>SUM(F274:F277)</f>
      </c>
      <c r="G278" s="428">
        <f>SUM(G274:G277)</f>
      </c>
      <c r="H278" s="429">
        <f>SUM(H274:H277)</f>
      </c>
      <c r="I278" s="428">
        <f>SUM(I274:I277)</f>
      </c>
      <c r="J278" s="430">
        <f t="shared" si="93"/>
      </c>
      <c r="K278" s="431">
        <f t="shared" si="154"/>
      </c>
      <c r="L278" s="432">
        <f t="shared" si="173"/>
      </c>
      <c r="M278" s="433">
        <f t="shared" si="116"/>
      </c>
      <c r="N278" s="433">
        <f t="shared" si="135"/>
      </c>
      <c r="O278" s="434">
        <f t="shared" si="74"/>
      </c>
      <c r="P278" s="434"/>
      <c r="Q278" s="434"/>
      <c r="R278" s="429">
        <f>SUM(R274:R277)</f>
      </c>
      <c r="S278" s="429">
        <f>SUM(S274:S277)</f>
      </c>
      <c r="T278" s="429">
        <f>SUM(T274:T277)</f>
      </c>
      <c r="U278" s="429">
        <f>SUM(U274:U277)</f>
      </c>
    </row>
    <row r="279">
      <c r="A279" s="397"/>
      <c r="B279" s="398" t="s">
        <v>256</v>
      </c>
      <c r="C279" s="441" t="s">
        <v>247</v>
      </c>
      <c r="D279" s="415">
        <f t="shared" ref="D279:D281" si="46">SUM(E279:G279)</f>
      </c>
      <c r="E279" s="416">
        <v>1296.34</v>
      </c>
      <c r="F279" s="417">
        <v>1474.72</v>
      </c>
      <c r="G279" s="401">
        <v>0</v>
      </c>
      <c r="H279" s="418">
        <v>8</v>
      </c>
      <c r="I279" s="417">
        <v>2836.3199999999997</v>
      </c>
      <c r="J279" s="419">
        <f t="shared" si="93"/>
      </c>
      <c r="K279" s="419">
        <f t="shared" si="154"/>
      </c>
      <c r="L279" s="419">
        <f t="shared" si="173"/>
      </c>
      <c r="M279" s="420">
        <f t="shared" si="116"/>
      </c>
      <c r="N279" s="421">
        <f t="shared" si="135"/>
      </c>
      <c r="O279" s="422">
        <f t="shared" si="74"/>
      </c>
      <c r="P279" s="407" t="s">
        <v>262</v>
      </c>
      <c r="Q279" s="423" t="s">
        <v>234</v>
      </c>
      <c r="R279" s="453">
        <v>11991</v>
      </c>
      <c r="S279" s="426">
        <v>1083</v>
      </c>
      <c r="T279" s="426">
        <v>8</v>
      </c>
      <c r="U279" s="426">
        <v>36</v>
      </c>
    </row>
    <row r="280">
      <c r="A280" s="397"/>
      <c r="B280" s="398" t="s">
        <v>256</v>
      </c>
      <c r="C280" s="417" t="s">
        <v>249</v>
      </c>
      <c r="D280" s="415">
        <f t="shared" si="46"/>
      </c>
      <c r="E280" s="416">
        <v>1227.56</v>
      </c>
      <c r="F280" s="417">
        <v>1741.85</v>
      </c>
      <c r="G280" s="401">
        <v>0</v>
      </c>
      <c r="H280" s="418">
        <v>8</v>
      </c>
      <c r="I280" s="417">
        <v>2841.119999999999</v>
      </c>
      <c r="J280" s="419">
        <f t="shared" si="93"/>
      </c>
      <c r="K280" s="419">
        <f t="shared" si="154"/>
      </c>
      <c r="L280" s="419">
        <f t="shared" si="173"/>
      </c>
      <c r="M280" s="420">
        <f t="shared" si="116"/>
      </c>
      <c r="N280" s="421">
        <f t="shared" si="135"/>
      </c>
      <c r="O280" s="422">
        <f t="shared" si="74"/>
      </c>
      <c r="P280" s="407" t="s">
        <v>262</v>
      </c>
      <c r="Q280" s="423" t="s">
        <v>234</v>
      </c>
      <c r="R280" s="453">
        <v>14530</v>
      </c>
      <c r="S280" s="426">
        <v>1124</v>
      </c>
      <c r="T280" s="426">
        <v>4</v>
      </c>
      <c r="U280" s="426">
        <v>57</v>
      </c>
    </row>
    <row r="281">
      <c r="A281" s="397"/>
      <c r="B281" s="398" t="s">
        <v>256</v>
      </c>
      <c r="C281" s="414" t="s">
        <v>250</v>
      </c>
      <c r="D281" s="415">
        <f t="shared" si="46"/>
      </c>
      <c r="E281" s="416">
        <v>1688.83</v>
      </c>
      <c r="F281" s="417">
        <v>1612.72</v>
      </c>
      <c r="G281" s="417">
        <v>0</v>
      </c>
      <c r="H281" s="418">
        <v>7</v>
      </c>
      <c r="I281" s="417">
        <v>3910.7400000000016</v>
      </c>
      <c r="J281" s="419">
        <f t="shared" si="93"/>
      </c>
      <c r="K281" s="419">
        <f t="shared" si="154"/>
      </c>
      <c r="L281" s="419">
        <f t="shared" si="173"/>
      </c>
      <c r="M281" s="420">
        <f t="shared" si="116"/>
      </c>
      <c r="N281" s="421">
        <f t="shared" si="135"/>
      </c>
      <c r="O281" s="422">
        <f t="shared" si="74"/>
      </c>
      <c r="P281" s="407" t="s">
        <v>262</v>
      </c>
      <c r="Q281" s="423" t="s">
        <v>234</v>
      </c>
      <c r="R281" s="453">
        <v>18047</v>
      </c>
      <c r="S281" s="426">
        <v>1310</v>
      </c>
      <c r="T281" s="426">
        <v>10</v>
      </c>
      <c r="U281" s="426">
        <v>50</v>
      </c>
    </row>
    <row r="282">
      <c r="A282" s="397"/>
      <c r="B282" s="427" t="s">
        <v>239</v>
      </c>
      <c r="C282" s="427"/>
      <c r="D282" s="428">
        <f>SUM(D279:D281)</f>
      </c>
      <c r="E282" s="428">
        <f>SUM(E279:E281)</f>
      </c>
      <c r="F282" s="428">
        <f>SUM(F279:F281)</f>
      </c>
      <c r="G282" s="428">
        <f>SUM(G279:G281)</f>
      </c>
      <c r="H282" s="429">
        <f>SUM(H279:H281)</f>
      </c>
      <c r="I282" s="428">
        <f>SUM(I279:I281)</f>
      </c>
      <c r="J282" s="430">
        <f t="shared" si="93"/>
      </c>
      <c r="K282" s="431">
        <f t="shared" si="154"/>
      </c>
      <c r="L282" s="432">
        <f t="shared" si="173"/>
      </c>
      <c r="M282" s="433">
        <f t="shared" si="116"/>
      </c>
      <c r="N282" s="433">
        <f t="shared" si="135"/>
      </c>
      <c r="O282" s="434">
        <f t="shared" si="74"/>
      </c>
      <c r="P282" s="434"/>
      <c r="Q282" s="434"/>
      <c r="R282" s="429">
        <f>SUM(R279:R281)</f>
      </c>
      <c r="S282" s="429">
        <f>SUM(S279:S281)</f>
      </c>
      <c r="T282" s="429">
        <f>SUM(T279:T281)</f>
      </c>
      <c r="U282" s="429">
        <f>SUM(U279:U281)</f>
      </c>
    </row>
    <row customHeight="true" ht="16.666666666666668" r="283">
      <c r="A283" s="397"/>
      <c r="B283" s="413" t="s">
        <v>251</v>
      </c>
      <c r="C283" s="399" t="s">
        <v>232</v>
      </c>
      <c r="D283" s="399">
        <f t="shared" ref="D283:D287" si="47">SUM(E283:G283)</f>
      </c>
      <c r="E283" s="400">
        <v>1810.85</v>
      </c>
      <c r="F283" s="401">
        <v>1888.52</v>
      </c>
      <c r="G283" s="399">
        <v>0</v>
      </c>
      <c r="H283" s="402">
        <v>10</v>
      </c>
      <c r="I283" s="399">
        <v>5486.759999999998</v>
      </c>
      <c r="J283" s="403">
        <f t="shared" si="93"/>
      </c>
      <c r="K283" s="403">
        <f t="shared" si="154"/>
      </c>
      <c r="L283" s="403">
        <f t="shared" si="173"/>
      </c>
      <c r="M283" s="404">
        <f t="shared" si="116"/>
      </c>
      <c r="N283" s="405">
        <f t="shared" si="135"/>
      </c>
      <c r="O283" s="406">
        <f t="shared" si="74"/>
      </c>
      <c r="P283" s="456" t="s">
        <v>262</v>
      </c>
      <c r="Q283" s="408" t="s">
        <v>234</v>
      </c>
      <c r="R283" s="424">
        <v>19334</v>
      </c>
      <c r="S283" s="425">
        <v>1443</v>
      </c>
      <c r="T283" s="426">
        <v>8</v>
      </c>
      <c r="U283" s="426">
        <v>36</v>
      </c>
      <c r="V283" s="448"/>
    </row>
    <row r="284">
      <c r="A284" s="397"/>
      <c r="B284" s="413" t="s">
        <v>251</v>
      </c>
      <c r="C284" s="412" t="s">
        <v>235</v>
      </c>
      <c r="D284" s="415">
        <f t="shared" si="47"/>
      </c>
      <c r="E284" s="416">
        <v>2135.34</v>
      </c>
      <c r="F284" s="417">
        <v>2135.5</v>
      </c>
      <c r="G284" s="401">
        <v>0</v>
      </c>
      <c r="H284" s="418">
        <v>13</v>
      </c>
      <c r="I284" s="417">
        <v>5722.68</v>
      </c>
      <c r="J284" s="419">
        <f t="shared" si="93"/>
      </c>
      <c r="K284" s="419">
        <f t="shared" si="154"/>
      </c>
      <c r="L284" s="419">
        <f t="shared" si="173"/>
      </c>
      <c r="M284" s="420">
        <f t="shared" si="116"/>
      </c>
      <c r="N284" s="421">
        <f t="shared" si="135"/>
      </c>
      <c r="O284" s="422">
        <f t="shared" si="74"/>
      </c>
      <c r="P284" s="407" t="s">
        <v>262</v>
      </c>
      <c r="Q284" s="423" t="s">
        <v>234</v>
      </c>
      <c r="R284" s="453">
        <v>25002</v>
      </c>
      <c r="S284" s="426">
        <v>1675</v>
      </c>
      <c r="T284" s="426">
        <v>8</v>
      </c>
      <c r="U284" s="426">
        <v>55</v>
      </c>
    </row>
    <row r="285">
      <c r="A285" s="397"/>
      <c r="B285" s="413" t="s">
        <v>251</v>
      </c>
      <c r="C285" s="414" t="s">
        <v>236</v>
      </c>
      <c r="D285" s="415">
        <f t="shared" si="47"/>
      </c>
      <c r="E285" s="416">
        <v>2863.79</v>
      </c>
      <c r="F285" s="417">
        <v>2014.08</v>
      </c>
      <c r="G285" s="401">
        <v>0</v>
      </c>
      <c r="H285" s="418">
        <v>24</v>
      </c>
      <c r="I285" s="417">
        <v>9775.199999999997</v>
      </c>
      <c r="J285" s="419">
        <f t="shared" si="93"/>
      </c>
      <c r="K285" s="419">
        <f t="shared" si="154"/>
      </c>
      <c r="L285" s="419">
        <f t="shared" si="173"/>
      </c>
      <c r="M285" s="420">
        <f t="shared" si="116"/>
      </c>
      <c r="N285" s="421">
        <f t="shared" si="135"/>
      </c>
      <c r="O285" s="422">
        <f t="shared" si="74"/>
      </c>
      <c r="P285" s="407" t="s">
        <v>262</v>
      </c>
      <c r="Q285" s="423" t="s">
        <v>234</v>
      </c>
      <c r="R285" s="453">
        <v>31554</v>
      </c>
      <c r="S285" s="426">
        <v>1839</v>
      </c>
      <c r="T285" s="426">
        <v>8</v>
      </c>
      <c r="U285" s="426">
        <v>65</v>
      </c>
    </row>
    <row r="286">
      <c r="A286" s="397"/>
      <c r="B286" s="413" t="s">
        <v>251</v>
      </c>
      <c r="C286" s="414" t="s">
        <v>237</v>
      </c>
      <c r="D286" s="415">
        <f t="shared" si="47"/>
      </c>
      <c r="E286" s="416">
        <v>2515.3</v>
      </c>
      <c r="F286" s="417">
        <v>2416.69</v>
      </c>
      <c r="G286" s="401">
        <v>0</v>
      </c>
      <c r="H286" s="418">
        <v>16</v>
      </c>
      <c r="I286" s="417">
        <v>9638.160000000003</v>
      </c>
      <c r="J286" s="419">
        <f t="shared" si="93"/>
      </c>
      <c r="K286" s="419">
        <f t="shared" si="154"/>
      </c>
      <c r="L286" s="419">
        <f t="shared" si="173"/>
      </c>
      <c r="M286" s="420">
        <f t="shared" si="116"/>
      </c>
      <c r="N286" s="421">
        <f t="shared" si="135"/>
      </c>
      <c r="O286" s="422">
        <f t="shared" si="74"/>
      </c>
      <c r="P286" s="407" t="s">
        <v>262</v>
      </c>
      <c r="Q286" s="423" t="s">
        <v>234</v>
      </c>
      <c r="R286" s="453">
        <v>30194</v>
      </c>
      <c r="S286" s="426">
        <v>1665</v>
      </c>
      <c r="T286" s="426">
        <v>10</v>
      </c>
      <c r="U286" s="426">
        <v>61</v>
      </c>
    </row>
    <row r="287">
      <c r="A287" s="397"/>
      <c r="B287" s="413" t="s">
        <v>251</v>
      </c>
      <c r="C287" s="414" t="s">
        <v>238</v>
      </c>
      <c r="D287" s="415">
        <f t="shared" si="47"/>
      </c>
      <c r="E287" s="416">
        <v>1384.26</v>
      </c>
      <c r="F287" s="417">
        <v>1250.15</v>
      </c>
      <c r="G287" s="417">
        <v>0</v>
      </c>
      <c r="H287" s="418">
        <v>6</v>
      </c>
      <c r="I287" s="417">
        <v>4151.4000000000015</v>
      </c>
      <c r="J287" s="419">
        <f t="shared" si="93"/>
      </c>
      <c r="K287" s="419">
        <f t="shared" si="154"/>
      </c>
      <c r="L287" s="419">
        <f t="shared" si="173"/>
      </c>
      <c r="M287" s="420">
        <f t="shared" si="116"/>
      </c>
      <c r="N287" s="421">
        <f t="shared" si="135"/>
      </c>
      <c r="O287" s="422">
        <f t="shared" si="74"/>
      </c>
      <c r="P287" s="407" t="s">
        <v>262</v>
      </c>
      <c r="Q287" s="423" t="s">
        <v>234</v>
      </c>
      <c r="R287" s="453">
        <v>20523</v>
      </c>
      <c r="S287" s="426">
        <v>1029</v>
      </c>
      <c r="T287" s="426">
        <v>4</v>
      </c>
      <c r="U287" s="426">
        <v>32</v>
      </c>
    </row>
    <row r="288">
      <c r="A288" s="397"/>
      <c r="B288" s="427" t="s">
        <v>239</v>
      </c>
      <c r="C288" s="427"/>
      <c r="D288" s="428">
        <f>SUM(D283:D287)</f>
      </c>
      <c r="E288" s="428">
        <f>SUM(E283:E287)</f>
      </c>
      <c r="F288" s="428">
        <f>SUM(F283:F287)</f>
      </c>
      <c r="G288" s="428">
        <f>SUM(G283:G287)</f>
      </c>
      <c r="H288" s="428">
        <f>SUM(H283:H287)</f>
      </c>
      <c r="I288" s="428">
        <f>SUM(I283:I287)</f>
      </c>
      <c r="J288" s="430">
        <f t="shared" si="93"/>
      </c>
      <c r="K288" s="431">
        <f t="shared" si="154"/>
      </c>
      <c r="L288" s="432">
        <f t="shared" si="173"/>
      </c>
      <c r="M288" s="433">
        <f t="shared" si="116"/>
      </c>
      <c r="N288" s="433">
        <f t="shared" si="135"/>
      </c>
      <c r="O288" s="434">
        <f t="shared" si="74"/>
      </c>
      <c r="P288" s="434"/>
      <c r="Q288" s="434"/>
      <c r="R288" s="429">
        <f>SUM(R283:R287)</f>
      </c>
      <c r="S288" s="429">
        <f>SUM(S283:S287)</f>
      </c>
      <c r="T288" s="429">
        <f>SUM(T283:T287)</f>
      </c>
      <c r="U288" s="429">
        <f>SUM(U283:U287)</f>
      </c>
    </row>
    <row r="289">
      <c r="A289" s="397"/>
      <c r="B289" s="435" t="s">
        <v>240</v>
      </c>
      <c r="C289" s="435"/>
      <c r="D289" s="436">
        <f>D278+D282+D288</f>
      </c>
      <c r="E289" s="436">
        <f>E278+E282+E288</f>
      </c>
      <c r="F289" s="436">
        <f>F278+F282+F288</f>
      </c>
      <c r="G289" s="436">
        <f>G278+G282+G288</f>
      </c>
      <c r="H289" s="437">
        <f>H278+H282+H288</f>
      </c>
      <c r="I289" s="436">
        <f>I278+I282+I288</f>
      </c>
      <c r="J289" s="438">
        <f t="shared" si="93"/>
      </c>
      <c r="K289" s="438">
        <f t="shared" si="154"/>
      </c>
      <c r="L289" s="438">
        <f t="shared" si="173"/>
      </c>
      <c r="M289" s="439">
        <f t="shared" si="116"/>
      </c>
      <c r="N289" s="439">
        <f t="shared" si="135"/>
      </c>
      <c r="O289" s="438">
        <f t="shared" si="74"/>
      </c>
      <c r="P289" s="440"/>
      <c r="Q289" s="440"/>
      <c r="R289" s="437">
        <f>R278+R282+R288</f>
      </c>
      <c r="S289" s="437">
        <f>S278+S282+S288</f>
      </c>
      <c r="T289" s="437">
        <f>T278+T282+T288</f>
      </c>
      <c r="U289" s="437">
        <f>U278+U282+U288</f>
      </c>
    </row>
    <row r="290">
      <c r="A290" s="444" t="s">
        <v>205</v>
      </c>
      <c r="B290" s="444"/>
      <c r="C290" s="444"/>
      <c r="D290" s="445" t="s">
        <v>206</v>
      </c>
      <c r="E290" s="445"/>
      <c r="F290" s="445"/>
      <c r="G290" s="445"/>
      <c r="H290" s="445"/>
      <c r="I290" s="445"/>
      <c r="J290" s="445"/>
      <c r="K290" s="445"/>
      <c r="L290" s="445"/>
      <c r="M290" s="446" t="s">
        <v>207</v>
      </c>
      <c r="N290" s="446"/>
      <c r="O290" s="446"/>
      <c r="P290" s="446"/>
      <c r="Q290" s="446"/>
      <c r="R290" s="447" t="s">
        <v>208</v>
      </c>
      <c r="S290" s="447"/>
      <c r="T290" s="447"/>
      <c r="U290" s="447"/>
    </row>
    <row r="291">
      <c r="A291" s="467" t="s">
        <v>209</v>
      </c>
      <c r="B291" s="444" t="s">
        <v>210</v>
      </c>
      <c r="C291" s="444" t="s">
        <v>211</v>
      </c>
      <c r="D291" s="445" t="s">
        <v>212</v>
      </c>
      <c r="E291" s="445" t="s">
        <v>213</v>
      </c>
      <c r="F291" s="445" t="s">
        <v>214</v>
      </c>
      <c r="G291" s="445" t="s">
        <v>215</v>
      </c>
      <c r="H291" s="449" t="s">
        <v>216</v>
      </c>
      <c r="I291" s="445" t="s">
        <v>217</v>
      </c>
      <c r="J291" s="450" t="s">
        <v>218</v>
      </c>
      <c r="K291" s="451" t="s">
        <v>219</v>
      </c>
      <c r="L291" s="445" t="s">
        <v>220</v>
      </c>
      <c r="M291" s="446" t="s">
        <v>221</v>
      </c>
      <c r="N291" s="446" t="s">
        <v>222</v>
      </c>
      <c r="O291" s="446" t="s">
        <v>223</v>
      </c>
      <c r="P291" s="452" t="s">
        <v>224</v>
      </c>
      <c r="Q291" s="452" t="s">
        <v>225</v>
      </c>
      <c r="R291" s="447" t="s">
        <v>226</v>
      </c>
      <c r="S291" s="447" t="s">
        <v>227</v>
      </c>
      <c r="T291" s="447" t="s">
        <v>228</v>
      </c>
      <c r="U291" s="447" t="s">
        <v>230</v>
      </c>
    </row>
    <row r="292">
      <c r="A292" s="397">
        <v>46311</v>
      </c>
      <c r="B292" s="413" t="s">
        <v>255</v>
      </c>
      <c r="C292" s="441" t="s">
        <v>242</v>
      </c>
      <c r="D292" s="399">
        <f t="shared" ref="D292:D295" si="48">SUM(E292:G292)</f>
      </c>
      <c r="E292" s="400">
        <v>1909.8</v>
      </c>
      <c r="F292" s="401">
        <v>1568.31</v>
      </c>
      <c r="G292" s="401">
        <v>0</v>
      </c>
      <c r="H292" s="443">
        <v>11</v>
      </c>
      <c r="I292" s="401">
        <v>3533.4</v>
      </c>
      <c r="J292" s="403">
        <f t="shared" ref="J292:J307" si="94">I292/D292</f>
      </c>
      <c r="K292" s="403">
        <f t="shared" ref="K292:K307" si="155">D292/H292</f>
      </c>
      <c r="L292" s="403">
        <f t="shared" ref="L292:L307" si="174">I292/H292</f>
      </c>
      <c r="M292" s="404">
        <f t="shared" ref="M292:M307" si="117">S292/R292</f>
      </c>
      <c r="N292" s="405">
        <f t="shared" ref="N292:N307" si="136">H292/(T292+H292)</f>
      </c>
      <c r="O292" s="406">
        <f t="shared" ref="O292:O307" si="75">(U292*1000)/D292</f>
      </c>
      <c r="P292" s="407" t="s">
        <v>233</v>
      </c>
      <c r="Q292" s="423" t="s">
        <v>264</v>
      </c>
      <c r="R292" s="466">
        <v>22611</v>
      </c>
      <c r="S292" s="411">
        <v>1356</v>
      </c>
      <c r="T292" s="411">
        <v>5</v>
      </c>
      <c r="U292" s="411">
        <v>48</v>
      </c>
    </row>
    <row r="293">
      <c r="A293" s="397"/>
      <c r="B293" s="413" t="s">
        <v>255</v>
      </c>
      <c r="C293" s="441" t="s">
        <v>243</v>
      </c>
      <c r="D293" s="399">
        <f t="shared" si="48"/>
      </c>
      <c r="E293" s="400">
        <v>3092.22</v>
      </c>
      <c r="F293" s="401">
        <v>2508.62</v>
      </c>
      <c r="G293" s="399">
        <v>0</v>
      </c>
      <c r="H293" s="443">
        <v>7</v>
      </c>
      <c r="I293" s="401">
        <v>4021.68</v>
      </c>
      <c r="J293" s="403">
        <f t="shared" si="94"/>
      </c>
      <c r="K293" s="403">
        <f t="shared" si="155"/>
      </c>
      <c r="L293" s="403">
        <f t="shared" si="174"/>
      </c>
      <c r="M293" s="404">
        <f t="shared" si="117"/>
      </c>
      <c r="N293" s="405">
        <f t="shared" si="136"/>
      </c>
      <c r="O293" s="406">
        <f t="shared" si="75"/>
      </c>
      <c r="P293" s="407" t="s">
        <v>233</v>
      </c>
      <c r="Q293" s="423" t="s">
        <v>264</v>
      </c>
      <c r="R293" s="466">
        <v>38082</v>
      </c>
      <c r="S293" s="411">
        <v>2223</v>
      </c>
      <c r="T293" s="411">
        <v>7</v>
      </c>
      <c r="U293" s="411">
        <v>78</v>
      </c>
    </row>
    <row r="294">
      <c r="A294" s="397"/>
      <c r="B294" s="413" t="s">
        <v>255</v>
      </c>
      <c r="C294" s="441" t="s">
        <v>244</v>
      </c>
      <c r="D294" s="415">
        <f t="shared" si="48"/>
      </c>
      <c r="E294" s="416">
        <v>1905.1</v>
      </c>
      <c r="F294" s="417">
        <v>2399.11</v>
      </c>
      <c r="G294" s="399">
        <v>0</v>
      </c>
      <c r="H294" s="418">
        <v>15</v>
      </c>
      <c r="I294" s="417">
        <v>11318.4</v>
      </c>
      <c r="J294" s="419">
        <f t="shared" si="94"/>
      </c>
      <c r="K294" s="419">
        <f t="shared" si="155"/>
      </c>
      <c r="L294" s="419">
        <f t="shared" si="174"/>
      </c>
      <c r="M294" s="420">
        <f t="shared" si="117"/>
      </c>
      <c r="N294" s="421">
        <f t="shared" si="136"/>
      </c>
      <c r="O294" s="422">
        <f t="shared" si="75"/>
      </c>
      <c r="P294" s="407" t="s">
        <v>233</v>
      </c>
      <c r="Q294" s="423" t="s">
        <v>264</v>
      </c>
      <c r="R294" s="453">
        <v>26759</v>
      </c>
      <c r="S294" s="426">
        <v>1781</v>
      </c>
      <c r="T294" s="426">
        <v>11</v>
      </c>
      <c r="U294" s="426">
        <v>64</v>
      </c>
    </row>
    <row r="295">
      <c r="A295" s="397"/>
      <c r="B295" s="413" t="s">
        <v>255</v>
      </c>
      <c r="C295" s="441" t="s">
        <v>245</v>
      </c>
      <c r="D295" s="415">
        <f t="shared" si="48"/>
      </c>
      <c r="E295" s="416">
        <v>1917.33</v>
      </c>
      <c r="F295" s="417">
        <v>1452.27</v>
      </c>
      <c r="G295" s="417">
        <v>0</v>
      </c>
      <c r="H295" s="418">
        <v>11</v>
      </c>
      <c r="I295" s="417">
        <v>7979.16</v>
      </c>
      <c r="J295" s="419">
        <f t="shared" si="94"/>
      </c>
      <c r="K295" s="419">
        <f t="shared" si="155"/>
      </c>
      <c r="L295" s="419">
        <f t="shared" si="174"/>
      </c>
      <c r="M295" s="420">
        <f t="shared" si="117"/>
      </c>
      <c r="N295" s="421">
        <f t="shared" si="136"/>
      </c>
      <c r="O295" s="422">
        <f t="shared" si="75"/>
      </c>
      <c r="P295" s="407" t="s">
        <v>233</v>
      </c>
      <c r="Q295" s="423" t="s">
        <v>264</v>
      </c>
      <c r="R295" s="424">
        <v>21996</v>
      </c>
      <c r="S295" s="425">
        <v>1433</v>
      </c>
      <c r="T295" s="426">
        <v>7</v>
      </c>
      <c r="U295" s="426">
        <v>46</v>
      </c>
    </row>
    <row r="296">
      <c r="A296" s="397"/>
      <c r="B296" s="427" t="s">
        <v>239</v>
      </c>
      <c r="C296" s="427"/>
      <c r="D296" s="428">
        <f>SUM(D292:D295)</f>
      </c>
      <c r="E296" s="428">
        <f>SUM(E292:E295)</f>
      </c>
      <c r="F296" s="428">
        <f>SUM(F292:F295)</f>
      </c>
      <c r="G296" s="428">
        <f>SUM(G292:G295)</f>
      </c>
      <c r="H296" s="429">
        <f>SUM(H292:H295)</f>
      </c>
      <c r="I296" s="428">
        <f>SUM(I292:I295)</f>
      </c>
      <c r="J296" s="430">
        <f t="shared" si="94"/>
      </c>
      <c r="K296" s="431">
        <f t="shared" si="155"/>
      </c>
      <c r="L296" s="432">
        <f t="shared" si="174"/>
      </c>
      <c r="M296" s="433">
        <f t="shared" si="117"/>
      </c>
      <c r="N296" s="433">
        <f t="shared" si="136"/>
      </c>
      <c r="O296" s="434">
        <f t="shared" si="75"/>
      </c>
      <c r="P296" s="434"/>
      <c r="Q296" s="434"/>
      <c r="R296" s="429">
        <f>SUM(R292:R295)</f>
      </c>
      <c r="S296" s="429">
        <f>SUM(S292:S295)</f>
      </c>
      <c r="T296" s="429">
        <f>SUM(T292:T295)</f>
      </c>
      <c r="U296" s="429">
        <f>SUM(U292:U295)</f>
      </c>
    </row>
    <row r="297">
      <c r="A297" s="397"/>
      <c r="B297" s="413" t="s">
        <v>253</v>
      </c>
      <c r="C297" s="441" t="s">
        <v>247</v>
      </c>
      <c r="D297" s="415">
        <f t="shared" ref="D297:D300" si="49">SUM(E297:G297)</f>
      </c>
      <c r="E297" s="416">
        <v>2155.87</v>
      </c>
      <c r="F297" s="417">
        <v>817.66</v>
      </c>
      <c r="G297" s="401">
        <v>0</v>
      </c>
      <c r="H297" s="418">
        <v>9</v>
      </c>
      <c r="I297" s="417">
        <v>4004.8199999999997</v>
      </c>
      <c r="J297" s="419">
        <f t="shared" si="94"/>
      </c>
      <c r="K297" s="419">
        <f t="shared" si="155"/>
      </c>
      <c r="L297" s="419">
        <f t="shared" si="174"/>
      </c>
      <c r="M297" s="420">
        <f t="shared" si="117"/>
      </c>
      <c r="N297" s="421">
        <f t="shared" si="136"/>
      </c>
      <c r="O297" s="422">
        <f t="shared" si="75"/>
      </c>
      <c r="P297" s="407" t="s">
        <v>262</v>
      </c>
      <c r="Q297" s="423" t="s">
        <v>234</v>
      </c>
      <c r="R297" s="453">
        <v>23077</v>
      </c>
      <c r="S297" s="426">
        <v>1416</v>
      </c>
      <c r="T297" s="426">
        <v>9</v>
      </c>
      <c r="U297" s="426">
        <v>34</v>
      </c>
    </row>
    <row r="298">
      <c r="A298" s="397"/>
      <c r="B298" s="413" t="s">
        <v>253</v>
      </c>
      <c r="C298" s="417" t="s">
        <v>249</v>
      </c>
      <c r="D298" s="415">
        <f t="shared" si="49"/>
      </c>
      <c r="E298" s="416">
        <v>1961.84</v>
      </c>
      <c r="F298" s="417">
        <v>566.11</v>
      </c>
      <c r="G298" s="401">
        <v>0</v>
      </c>
      <c r="H298" s="418">
        <v>0</v>
      </c>
      <c r="I298" s="417">
        <v>0</v>
      </c>
      <c r="J298" s="419">
        <f t="shared" si="94"/>
      </c>
      <c r="K298" s="419">
        <f t="shared" si="155"/>
      </c>
      <c r="L298" s="419">
        <f t="shared" si="174"/>
      </c>
      <c r="M298" s="420">
        <f t="shared" si="117"/>
      </c>
      <c r="N298" s="421">
        <f t="shared" si="136"/>
      </c>
      <c r="O298" s="422">
        <f t="shared" si="75"/>
      </c>
      <c r="P298" s="407" t="s">
        <v>262</v>
      </c>
      <c r="Q298" s="423" t="s">
        <v>234</v>
      </c>
      <c r="R298" s="453">
        <v>16641</v>
      </c>
      <c r="S298" s="426">
        <v>1014</v>
      </c>
      <c r="T298" s="426">
        <v>2</v>
      </c>
      <c r="U298" s="426">
        <v>28</v>
      </c>
    </row>
    <row customHeight="true" ht="16.666666666666668" r="299">
      <c r="A299" s="397"/>
      <c r="B299" s="413" t="s">
        <v>253</v>
      </c>
      <c r="C299" s="414" t="s">
        <v>250</v>
      </c>
      <c r="D299" s="415">
        <f t="shared" si="49"/>
      </c>
      <c r="E299" s="416">
        <v>876.76</v>
      </c>
      <c r="F299" s="417">
        <v>462.07</v>
      </c>
      <c r="G299" s="401">
        <v>0</v>
      </c>
      <c r="H299" s="418">
        <v>4</v>
      </c>
      <c r="I299" s="417">
        <v>1889.760000000002</v>
      </c>
      <c r="J299" s="419">
        <f t="shared" si="94"/>
      </c>
      <c r="K299" s="419">
        <f t="shared" si="155"/>
      </c>
      <c r="L299" s="419">
        <f t="shared" si="174"/>
      </c>
      <c r="M299" s="420">
        <f t="shared" si="117"/>
      </c>
      <c r="N299" s="421">
        <f t="shared" si="136"/>
      </c>
      <c r="O299" s="422">
        <f t="shared" si="75"/>
      </c>
      <c r="P299" s="407" t="s">
        <v>262</v>
      </c>
      <c r="Q299" s="423" t="s">
        <v>234</v>
      </c>
      <c r="R299" s="453">
        <v>10062</v>
      </c>
      <c r="S299" s="426">
        <v>676</v>
      </c>
      <c r="T299" s="426">
        <v>4</v>
      </c>
      <c r="U299" s="426">
        <v>20</v>
      </c>
    </row>
    <row r="300">
      <c r="A300" s="397"/>
      <c r="B300" s="413" t="s">
        <v>253</v>
      </c>
      <c r="C300" s="399" t="s">
        <v>232</v>
      </c>
      <c r="D300" s="415">
        <f t="shared" si="49"/>
      </c>
      <c r="E300" s="416">
        <v>1515.87</v>
      </c>
      <c r="F300" s="417">
        <v>1020.56</v>
      </c>
      <c r="G300" s="417">
        <v>0</v>
      </c>
      <c r="H300" s="418">
        <v>3</v>
      </c>
      <c r="I300" s="417">
        <v>709.9199999999983</v>
      </c>
      <c r="J300" s="419">
        <f t="shared" si="94"/>
      </c>
      <c r="K300" s="419">
        <f t="shared" si="155"/>
      </c>
      <c r="L300" s="419">
        <f t="shared" si="174"/>
      </c>
      <c r="M300" s="420">
        <f t="shared" si="117"/>
      </c>
      <c r="N300" s="421">
        <f t="shared" si="136"/>
      </c>
      <c r="O300" s="422">
        <f t="shared" si="75"/>
      </c>
      <c r="P300" s="407" t="s">
        <v>262</v>
      </c>
      <c r="Q300" s="423" t="s">
        <v>234</v>
      </c>
      <c r="R300" s="453">
        <v>18246</v>
      </c>
      <c r="S300" s="426">
        <v>1054</v>
      </c>
      <c r="T300" s="426">
        <v>3</v>
      </c>
      <c r="U300" s="426">
        <v>30</v>
      </c>
    </row>
    <row r="301">
      <c r="A301" s="397"/>
      <c r="B301" s="427" t="s">
        <v>239</v>
      </c>
      <c r="C301" s="427"/>
      <c r="D301" s="428">
        <f>SUM(D297:D300)</f>
      </c>
      <c r="E301" s="428">
        <f>SUM(E297:E300)</f>
      </c>
      <c r="F301" s="428">
        <f>SUM(F297:F300)</f>
      </c>
      <c r="G301" s="428">
        <f>SUM(G297:G300)</f>
      </c>
      <c r="H301" s="429">
        <f>SUM(H297:H300)</f>
      </c>
      <c r="I301" s="428">
        <f>SUM(I297:I300)</f>
      </c>
      <c r="J301" s="430">
        <f t="shared" si="94"/>
      </c>
      <c r="K301" s="431">
        <f t="shared" si="155"/>
      </c>
      <c r="L301" s="432">
        <f t="shared" si="174"/>
      </c>
      <c r="M301" s="433">
        <f t="shared" si="117"/>
      </c>
      <c r="N301" s="433">
        <f t="shared" si="136"/>
      </c>
      <c r="O301" s="434">
        <f t="shared" si="75"/>
      </c>
      <c r="P301" s="434"/>
      <c r="Q301" s="434"/>
      <c r="R301" s="429">
        <f>SUM(R297:R300)</f>
      </c>
      <c r="S301" s="429">
        <f>SUM(S297:S300)</f>
      </c>
      <c r="T301" s="429">
        <f>SUM(T297:T300)</f>
      </c>
      <c r="U301" s="429">
        <f>SUM(U297:U300)</f>
      </c>
    </row>
    <row r="302">
      <c r="A302" s="397"/>
      <c r="B302" s="413" t="s">
        <v>251</v>
      </c>
      <c r="C302" s="401" t="s">
        <v>235</v>
      </c>
      <c r="D302" s="399">
        <f t="shared" ref="D302:D305" si="50">SUM(E302:G302)</f>
      </c>
      <c r="E302" s="400">
        <v>1748.81</v>
      </c>
      <c r="F302" s="401">
        <v>840.08</v>
      </c>
      <c r="G302" s="399">
        <v>0</v>
      </c>
      <c r="H302" s="402">
        <v>7</v>
      </c>
      <c r="I302" s="399">
        <v>4135.760000000002</v>
      </c>
      <c r="J302" s="403">
        <f t="shared" si="94"/>
      </c>
      <c r="K302" s="403">
        <f t="shared" si="155"/>
      </c>
      <c r="L302" s="403">
        <f t="shared" si="174"/>
      </c>
      <c r="M302" s="404">
        <f t="shared" si="117"/>
      </c>
      <c r="N302" s="405">
        <f t="shared" si="136"/>
      </c>
      <c r="O302" s="406">
        <f t="shared" si="75"/>
      </c>
      <c r="P302" s="456" t="s">
        <v>262</v>
      </c>
      <c r="Q302" s="408" t="s">
        <v>234</v>
      </c>
      <c r="R302" s="424">
        <v>19025</v>
      </c>
      <c r="S302" s="425">
        <v>1177</v>
      </c>
      <c r="T302" s="426">
        <v>2</v>
      </c>
      <c r="U302" s="426">
        <v>41</v>
      </c>
    </row>
    <row r="303">
      <c r="A303" s="397"/>
      <c r="B303" s="413" t="s">
        <v>251</v>
      </c>
      <c r="C303" s="414" t="s">
        <v>236</v>
      </c>
      <c r="D303" s="415">
        <f t="shared" si="50"/>
      </c>
      <c r="E303" s="416">
        <v>2094.73</v>
      </c>
      <c r="F303" s="417">
        <v>852.49</v>
      </c>
      <c r="G303" s="401">
        <v>0</v>
      </c>
      <c r="H303" s="418">
        <v>8</v>
      </c>
      <c r="I303" s="417">
        <v>5116.32</v>
      </c>
      <c r="J303" s="419">
        <f t="shared" si="94"/>
      </c>
      <c r="K303" s="419">
        <f t="shared" si="155"/>
      </c>
      <c r="L303" s="419">
        <f t="shared" si="174"/>
      </c>
      <c r="M303" s="420">
        <f t="shared" si="117"/>
      </c>
      <c r="N303" s="421">
        <f t="shared" si="136"/>
      </c>
      <c r="O303" s="422">
        <f t="shared" si="75"/>
      </c>
      <c r="P303" s="407" t="s">
        <v>262</v>
      </c>
      <c r="Q303" s="423" t="s">
        <v>234</v>
      </c>
      <c r="R303" s="453">
        <v>24006</v>
      </c>
      <c r="S303" s="426">
        <v>1559</v>
      </c>
      <c r="T303" s="426">
        <v>4</v>
      </c>
      <c r="U303" s="426">
        <v>51</v>
      </c>
    </row>
    <row r="304">
      <c r="A304" s="397"/>
      <c r="B304" s="413" t="s">
        <v>251</v>
      </c>
      <c r="C304" s="414" t="s">
        <v>237</v>
      </c>
      <c r="D304" s="415">
        <f t="shared" si="50"/>
      </c>
      <c r="E304" s="416">
        <v>2133.82</v>
      </c>
      <c r="F304" s="417">
        <v>805.55</v>
      </c>
      <c r="G304" s="401">
        <v>0</v>
      </c>
      <c r="H304" s="418">
        <v>11</v>
      </c>
      <c r="I304" s="417">
        <v>6666.5999999999985</v>
      </c>
      <c r="J304" s="419">
        <f t="shared" si="94"/>
      </c>
      <c r="K304" s="419">
        <f t="shared" si="155"/>
      </c>
      <c r="L304" s="419">
        <f t="shared" si="174"/>
      </c>
      <c r="M304" s="420">
        <f t="shared" si="117"/>
      </c>
      <c r="N304" s="421">
        <f t="shared" si="136"/>
      </c>
      <c r="O304" s="422">
        <f t="shared" si="75"/>
      </c>
      <c r="P304" s="407" t="s">
        <v>262</v>
      </c>
      <c r="Q304" s="423" t="s">
        <v>234</v>
      </c>
      <c r="R304" s="453">
        <v>27585</v>
      </c>
      <c r="S304" s="426">
        <v>1591</v>
      </c>
      <c r="T304" s="426">
        <v>4</v>
      </c>
      <c r="U304" s="426">
        <v>48</v>
      </c>
    </row>
    <row r="305">
      <c r="A305" s="397"/>
      <c r="B305" s="413" t="s">
        <v>251</v>
      </c>
      <c r="C305" s="414" t="s">
        <v>238</v>
      </c>
      <c r="D305" s="415">
        <f t="shared" si="50"/>
      </c>
      <c r="E305" s="416">
        <v>1279</v>
      </c>
      <c r="F305" s="417">
        <v>537.45</v>
      </c>
      <c r="G305" s="417">
        <v>0</v>
      </c>
      <c r="H305" s="418">
        <v>7</v>
      </c>
      <c r="I305" s="417">
        <v>2130.480000000003</v>
      </c>
      <c r="J305" s="419">
        <f t="shared" si="94"/>
      </c>
      <c r="K305" s="419">
        <f t="shared" si="155"/>
      </c>
      <c r="L305" s="419">
        <f t="shared" si="174"/>
      </c>
      <c r="M305" s="420">
        <f t="shared" si="117"/>
      </c>
      <c r="N305" s="421">
        <f t="shared" si="136"/>
      </c>
      <c r="O305" s="422">
        <f t="shared" si="75"/>
      </c>
      <c r="P305" s="407" t="s">
        <v>262</v>
      </c>
      <c r="Q305" s="423" t="s">
        <v>234</v>
      </c>
      <c r="R305" s="453">
        <v>17861</v>
      </c>
      <c r="S305" s="426">
        <v>987</v>
      </c>
      <c r="T305" s="426">
        <v>3</v>
      </c>
      <c r="U305" s="426">
        <v>21</v>
      </c>
    </row>
    <row r="306">
      <c r="A306" s="397"/>
      <c r="B306" s="427" t="s">
        <v>239</v>
      </c>
      <c r="C306" s="427"/>
      <c r="D306" s="428">
        <f>SUM(D302:D305)</f>
      </c>
      <c r="E306" s="428">
        <f>SUM(E302:E305)</f>
      </c>
      <c r="F306" s="428">
        <f>SUM(F302:F305)</f>
      </c>
      <c r="G306" s="428">
        <f>SUM(G302:G305)</f>
      </c>
      <c r="H306" s="428">
        <f>SUM(H302:H305)</f>
      </c>
      <c r="I306" s="428">
        <f>SUM(I302:I305)</f>
      </c>
      <c r="J306" s="430">
        <f t="shared" si="94"/>
      </c>
      <c r="K306" s="431">
        <f t="shared" si="155"/>
      </c>
      <c r="L306" s="432">
        <f t="shared" si="174"/>
      </c>
      <c r="M306" s="433">
        <f t="shared" si="117"/>
      </c>
      <c r="N306" s="433">
        <f t="shared" si="136"/>
      </c>
      <c r="O306" s="434">
        <f t="shared" si="75"/>
      </c>
      <c r="P306" s="434"/>
      <c r="Q306" s="434"/>
      <c r="R306" s="429">
        <f>SUM(R302:R305)</f>
      </c>
      <c r="S306" s="429">
        <f>SUM(S302:S305)</f>
      </c>
      <c r="T306" s="429">
        <f>SUM(T302:T305)</f>
      </c>
      <c r="U306" s="429">
        <f>SUM(U302:U305)</f>
      </c>
    </row>
    <row r="307">
      <c r="A307" s="397"/>
      <c r="B307" s="435" t="s">
        <v>240</v>
      </c>
      <c r="C307" s="435"/>
      <c r="D307" s="436">
        <f>D296+D301+D306</f>
      </c>
      <c r="E307" s="436">
        <f>E296+E301+E306</f>
      </c>
      <c r="F307" s="436">
        <f>F296+F301+F306</f>
      </c>
      <c r="G307" s="436">
        <f>G296+G301+G306</f>
      </c>
      <c r="H307" s="437">
        <f>H296+H301+H306</f>
      </c>
      <c r="I307" s="436">
        <f>I296+I301+I306</f>
      </c>
      <c r="J307" s="438">
        <f t="shared" si="94"/>
      </c>
      <c r="K307" s="438">
        <f t="shared" si="155"/>
      </c>
      <c r="L307" s="438">
        <f t="shared" si="174"/>
      </c>
      <c r="M307" s="439">
        <f t="shared" si="117"/>
      </c>
      <c r="N307" s="439">
        <f t="shared" si="136"/>
      </c>
      <c r="O307" s="438">
        <f t="shared" si="75"/>
      </c>
      <c r="P307" s="440"/>
      <c r="Q307" s="440"/>
      <c r="R307" s="437">
        <f>R296+R301+R306</f>
      </c>
      <c r="S307" s="437">
        <f>S296+S301+S306</f>
      </c>
      <c r="T307" s="437">
        <f>T296+T301+T306</f>
      </c>
      <c r="U307" s="437">
        <f>U296+U301+U306</f>
      </c>
    </row>
    <row r="308">
      <c r="A308" s="444" t="s">
        <v>205</v>
      </c>
      <c r="B308" s="444"/>
      <c r="C308" s="444"/>
      <c r="D308" s="445" t="s">
        <v>206</v>
      </c>
      <c r="E308" s="445"/>
      <c r="F308" s="445"/>
      <c r="G308" s="445"/>
      <c r="H308" s="445"/>
      <c r="I308" s="445"/>
      <c r="J308" s="445"/>
      <c r="K308" s="445"/>
      <c r="L308" s="445"/>
      <c r="M308" s="446" t="s">
        <v>207</v>
      </c>
      <c r="N308" s="446"/>
      <c r="O308" s="446"/>
      <c r="P308" s="446"/>
      <c r="Q308" s="446"/>
      <c r="R308" s="447" t="s">
        <v>208</v>
      </c>
      <c r="S308" s="447"/>
      <c r="T308" s="447"/>
      <c r="U308" s="447"/>
    </row>
    <row r="309">
      <c r="A309" s="467" t="s">
        <v>209</v>
      </c>
      <c r="B309" s="444" t="s">
        <v>210</v>
      </c>
      <c r="C309" s="444" t="s">
        <v>211</v>
      </c>
      <c r="D309" s="445" t="s">
        <v>212</v>
      </c>
      <c r="E309" s="445" t="s">
        <v>213</v>
      </c>
      <c r="F309" s="445" t="s">
        <v>214</v>
      </c>
      <c r="G309" s="445" t="s">
        <v>215</v>
      </c>
      <c r="H309" s="449" t="s">
        <v>216</v>
      </c>
      <c r="I309" s="445" t="s">
        <v>217</v>
      </c>
      <c r="J309" s="450" t="s">
        <v>218</v>
      </c>
      <c r="K309" s="451" t="s">
        <v>219</v>
      </c>
      <c r="L309" s="445" t="s">
        <v>220</v>
      </c>
      <c r="M309" s="446" t="s">
        <v>221</v>
      </c>
      <c r="N309" s="446" t="s">
        <v>222</v>
      </c>
      <c r="O309" s="446" t="s">
        <v>223</v>
      </c>
      <c r="P309" s="452" t="s">
        <v>224</v>
      </c>
      <c r="Q309" s="452" t="s">
        <v>225</v>
      </c>
      <c r="R309" s="447" t="s">
        <v>226</v>
      </c>
      <c r="S309" s="447" t="s">
        <v>227</v>
      </c>
      <c r="T309" s="447" t="s">
        <v>228</v>
      </c>
      <c r="U309" s="447" t="s">
        <v>230</v>
      </c>
    </row>
    <row r="310">
      <c r="A310" s="397">
        <v>46312</v>
      </c>
      <c r="B310" s="413" t="s">
        <v>241</v>
      </c>
      <c r="C310" s="441" t="s">
        <v>242</v>
      </c>
      <c r="D310" s="399">
        <f t="shared" ref="D310:D313" si="51">SUM(E310:G310)</f>
      </c>
      <c r="E310" s="400">
        <v>1561.43</v>
      </c>
      <c r="F310" s="401">
        <v>730.74</v>
      </c>
      <c r="G310" s="401">
        <v>0</v>
      </c>
      <c r="H310" s="443">
        <v>7</v>
      </c>
      <c r="I310" s="401">
        <v>3078.48</v>
      </c>
      <c r="J310" s="403">
        <f t="shared" ref="J310:J323" si="95">I310/D310</f>
      </c>
      <c r="K310" s="403">
        <f t="shared" ref="K310:K323" si="156">D310/H310</f>
      </c>
      <c r="L310" s="403">
        <f t="shared" ref="L310:L323" si="175">I310/H310</f>
      </c>
      <c r="M310" s="404">
        <f t="shared" ref="M310:M323" si="118">S310/R310</f>
      </c>
      <c r="N310" s="405">
        <f t="shared" ref="N310:N323" si="137">H310/(T310+H310)</f>
      </c>
      <c r="O310" s="406">
        <f t="shared" ref="O310:O323" si="76">(U310*1000)/D310</f>
      </c>
      <c r="P310" s="407" t="s">
        <v>233</v>
      </c>
      <c r="Q310" s="423" t="s">
        <v>264</v>
      </c>
      <c r="R310" s="466">
        <v>15442</v>
      </c>
      <c r="S310" s="411">
        <v>1153</v>
      </c>
      <c r="T310" s="411">
        <v>3</v>
      </c>
      <c r="U310" s="411">
        <v>33</v>
      </c>
    </row>
    <row r="311">
      <c r="A311" s="397"/>
      <c r="B311" s="413" t="s">
        <v>241</v>
      </c>
      <c r="C311" s="441" t="s">
        <v>243</v>
      </c>
      <c r="D311" s="399">
        <f t="shared" si="51"/>
      </c>
      <c r="E311" s="400">
        <v>1168.8</v>
      </c>
      <c r="F311" s="401">
        <v>598.52</v>
      </c>
      <c r="G311" s="399">
        <v>0</v>
      </c>
      <c r="H311" s="443">
        <v>1</v>
      </c>
      <c r="I311" s="401">
        <v>710.6399999999999</v>
      </c>
      <c r="J311" s="403">
        <f t="shared" si="95"/>
      </c>
      <c r="K311" s="403">
        <f t="shared" si="156"/>
      </c>
      <c r="L311" s="403">
        <f t="shared" si="175"/>
      </c>
      <c r="M311" s="404">
        <f t="shared" si="118"/>
      </c>
      <c r="N311" s="405">
        <f t="shared" si="137"/>
      </c>
      <c r="O311" s="406">
        <f t="shared" si="76"/>
      </c>
      <c r="P311" s="407" t="s">
        <v>233</v>
      </c>
      <c r="Q311" s="423" t="s">
        <v>264</v>
      </c>
      <c r="R311" s="466">
        <v>12568</v>
      </c>
      <c r="S311" s="411">
        <v>1098</v>
      </c>
      <c r="T311" s="411">
        <v>3</v>
      </c>
      <c r="U311" s="411">
        <v>29</v>
      </c>
    </row>
    <row r="312">
      <c r="A312" s="397"/>
      <c r="B312" s="413" t="s">
        <v>241</v>
      </c>
      <c r="C312" s="441" t="s">
        <v>244</v>
      </c>
      <c r="D312" s="415">
        <f t="shared" si="51"/>
      </c>
      <c r="E312" s="416">
        <v>1048.1</v>
      </c>
      <c r="F312" s="417">
        <v>486.33</v>
      </c>
      <c r="G312" s="399">
        <v>0</v>
      </c>
      <c r="H312" s="418">
        <v>3</v>
      </c>
      <c r="I312" s="417">
        <v>1183.92</v>
      </c>
      <c r="J312" s="419">
        <f t="shared" si="95"/>
      </c>
      <c r="K312" s="419">
        <f t="shared" si="156"/>
      </c>
      <c r="L312" s="419">
        <f t="shared" si="175"/>
      </c>
      <c r="M312" s="420">
        <f t="shared" si="118"/>
      </c>
      <c r="N312" s="421">
        <f t="shared" si="137"/>
      </c>
      <c r="O312" s="422">
        <f t="shared" si="76"/>
      </c>
      <c r="P312" s="407" t="s">
        <v>233</v>
      </c>
      <c r="Q312" s="423" t="s">
        <v>264</v>
      </c>
      <c r="R312" s="453">
        <v>9295</v>
      </c>
      <c r="S312" s="426">
        <v>861</v>
      </c>
      <c r="T312" s="426">
        <v>9</v>
      </c>
      <c r="U312" s="426">
        <v>39</v>
      </c>
    </row>
    <row r="313">
      <c r="A313" s="397"/>
      <c r="B313" s="413" t="s">
        <v>241</v>
      </c>
      <c r="C313" s="441" t="s">
        <v>245</v>
      </c>
      <c r="D313" s="415">
        <f t="shared" si="51"/>
      </c>
      <c r="E313" s="416">
        <v>1243.75</v>
      </c>
      <c r="F313" s="417">
        <v>432.28</v>
      </c>
      <c r="G313" s="417">
        <v>0</v>
      </c>
      <c r="H313" s="418">
        <v>2</v>
      </c>
      <c r="I313" s="417">
        <v>473.27999999999975</v>
      </c>
      <c r="J313" s="419">
        <f t="shared" si="95"/>
      </c>
      <c r="K313" s="419">
        <f t="shared" si="156"/>
      </c>
      <c r="L313" s="419">
        <f t="shared" si="175"/>
      </c>
      <c r="M313" s="420">
        <f t="shared" si="118"/>
      </c>
      <c r="N313" s="421">
        <f t="shared" si="137"/>
      </c>
      <c r="O313" s="422">
        <f t="shared" si="76"/>
      </c>
      <c r="P313" s="407" t="s">
        <v>233</v>
      </c>
      <c r="Q313" s="423" t="s">
        <v>264</v>
      </c>
      <c r="R313" s="424">
        <v>11576</v>
      </c>
      <c r="S313" s="425">
        <v>914</v>
      </c>
      <c r="T313" s="426">
        <v>5</v>
      </c>
      <c r="U313" s="426">
        <v>29</v>
      </c>
    </row>
    <row r="314">
      <c r="A314" s="397"/>
      <c r="B314" s="427" t="s">
        <v>239</v>
      </c>
      <c r="C314" s="427"/>
      <c r="D314" s="428">
        <f>SUM(D310:D313)</f>
      </c>
      <c r="E314" s="428">
        <f>SUM(E310:E313)</f>
      </c>
      <c r="F314" s="428">
        <f>SUM(F310:F313)</f>
      </c>
      <c r="G314" s="428">
        <f>SUM(G310:G313)</f>
      </c>
      <c r="H314" s="429">
        <f>SUM(H310:H313)</f>
      </c>
      <c r="I314" s="428">
        <f>SUM(I310:I313)</f>
      </c>
      <c r="J314" s="430">
        <f t="shared" si="95"/>
      </c>
      <c r="K314" s="431">
        <f t="shared" si="156"/>
      </c>
      <c r="L314" s="432">
        <f t="shared" si="175"/>
      </c>
      <c r="M314" s="433">
        <f t="shared" si="118"/>
      </c>
      <c r="N314" s="433">
        <f t="shared" si="137"/>
      </c>
      <c r="O314" s="434">
        <f t="shared" si="76"/>
      </c>
      <c r="P314" s="434"/>
      <c r="Q314" s="434"/>
      <c r="R314" s="429">
        <f>SUM(R310:R313)</f>
      </c>
      <c r="S314" s="429">
        <f>SUM(S310:S313)</f>
      </c>
      <c r="T314" s="429">
        <f>SUM(T310:T313)</f>
      </c>
      <c r="U314" s="429">
        <f>SUM(U310:U313)</f>
      </c>
    </row>
    <row r="315">
      <c r="A315" s="397"/>
      <c r="B315" s="413" t="s">
        <v>253</v>
      </c>
      <c r="C315" s="441" t="s">
        <v>247</v>
      </c>
      <c r="D315" s="399">
        <f t="shared" ref="D315:D318" si="52">SUM(E315:G315)</f>
      </c>
      <c r="E315" s="400">
        <v>863.63</v>
      </c>
      <c r="F315" s="401">
        <v>425.49</v>
      </c>
      <c r="G315" s="401">
        <v>0</v>
      </c>
      <c r="H315" s="443">
        <v>2</v>
      </c>
      <c r="I315" s="417">
        <v>473.28000000000065</v>
      </c>
      <c r="J315" s="419">
        <f t="shared" si="95"/>
      </c>
      <c r="K315" s="419">
        <f t="shared" si="156"/>
      </c>
      <c r="L315" s="419">
        <f t="shared" si="175"/>
      </c>
      <c r="M315" s="420">
        <f t="shared" si="118"/>
      </c>
      <c r="N315" s="421">
        <f t="shared" si="137"/>
      </c>
      <c r="O315" s="422">
        <f t="shared" si="76"/>
      </c>
      <c r="P315" s="407" t="s">
        <v>262</v>
      </c>
      <c r="Q315" s="423" t="s">
        <v>234</v>
      </c>
      <c r="R315" s="466">
        <v>9186</v>
      </c>
      <c r="S315" s="411">
        <v>660</v>
      </c>
      <c r="T315" s="411">
        <v>1</v>
      </c>
      <c r="U315" s="411">
        <v>20</v>
      </c>
    </row>
    <row r="316">
      <c r="A316" s="397"/>
      <c r="B316" s="413" t="s">
        <v>253</v>
      </c>
      <c r="C316" s="417" t="s">
        <v>249</v>
      </c>
      <c r="D316" s="399">
        <f t="shared" si="52"/>
      </c>
      <c r="E316" s="400">
        <v>908.78</v>
      </c>
      <c r="F316" s="401">
        <v>320.63</v>
      </c>
      <c r="G316" s="399">
        <v>0</v>
      </c>
      <c r="H316" s="443">
        <v>1</v>
      </c>
      <c r="I316" s="417">
        <v>1568.6399999999994</v>
      </c>
      <c r="J316" s="419">
        <f t="shared" si="95"/>
      </c>
      <c r="K316" s="419">
        <f t="shared" si="156"/>
      </c>
      <c r="L316" s="419">
        <f t="shared" si="175"/>
      </c>
      <c r="M316" s="420">
        <f t="shared" si="118"/>
      </c>
      <c r="N316" s="421">
        <f t="shared" si="137"/>
      </c>
      <c r="O316" s="422">
        <f t="shared" si="76"/>
      </c>
      <c r="P316" s="407" t="s">
        <v>262</v>
      </c>
      <c r="Q316" s="423" t="s">
        <v>234</v>
      </c>
      <c r="R316" s="466">
        <v>9857</v>
      </c>
      <c r="S316" s="411">
        <v>718</v>
      </c>
      <c r="T316" s="411">
        <v>2</v>
      </c>
      <c r="U316" s="411">
        <v>21</v>
      </c>
    </row>
    <row r="317">
      <c r="A317" s="397"/>
      <c r="B317" s="413" t="s">
        <v>253</v>
      </c>
      <c r="C317" s="414" t="s">
        <v>250</v>
      </c>
      <c r="D317" s="415">
        <f t="shared" si="52"/>
      </c>
      <c r="E317" s="416">
        <v>1252.17</v>
      </c>
      <c r="F317" s="417">
        <v>301.24</v>
      </c>
      <c r="G317" s="399">
        <v>0</v>
      </c>
      <c r="H317" s="418">
        <v>6</v>
      </c>
      <c r="I317" s="417">
        <v>2331.2000000000007</v>
      </c>
      <c r="J317" s="419">
        <f t="shared" si="95"/>
      </c>
      <c r="K317" s="419">
        <f t="shared" si="156"/>
      </c>
      <c r="L317" s="419">
        <f t="shared" si="175"/>
      </c>
      <c r="M317" s="420">
        <f t="shared" si="118"/>
      </c>
      <c r="N317" s="421">
        <f t="shared" si="137"/>
      </c>
      <c r="O317" s="422">
        <f t="shared" si="76"/>
      </c>
      <c r="P317" s="407" t="s">
        <v>262</v>
      </c>
      <c r="Q317" s="423" t="s">
        <v>234</v>
      </c>
      <c r="R317" s="453">
        <v>12932</v>
      </c>
      <c r="S317" s="426">
        <v>812</v>
      </c>
      <c r="T317" s="426">
        <v>6</v>
      </c>
      <c r="U317" s="426">
        <v>39</v>
      </c>
    </row>
    <row r="318">
      <c r="A318" s="397"/>
      <c r="B318" s="413" t="s">
        <v>253</v>
      </c>
      <c r="C318" s="399" t="s">
        <v>232</v>
      </c>
      <c r="D318" s="415">
        <f t="shared" si="52"/>
      </c>
      <c r="E318" s="416">
        <v>2074</v>
      </c>
      <c r="F318" s="417">
        <v>419.94</v>
      </c>
      <c r="G318" s="417">
        <v>0</v>
      </c>
      <c r="H318" s="418">
        <v>11</v>
      </c>
      <c r="I318" s="417">
        <v>6666.6</v>
      </c>
      <c r="J318" s="419">
        <f t="shared" si="95"/>
      </c>
      <c r="K318" s="419">
        <f t="shared" si="156"/>
      </c>
      <c r="L318" s="419">
        <f t="shared" si="175"/>
      </c>
      <c r="M318" s="420">
        <f t="shared" si="118"/>
      </c>
      <c r="N318" s="421">
        <f t="shared" si="137"/>
      </c>
      <c r="O318" s="422">
        <f t="shared" si="76"/>
      </c>
      <c r="P318" s="407" t="s">
        <v>262</v>
      </c>
      <c r="Q318" s="423" t="s">
        <v>234</v>
      </c>
      <c r="R318" s="424">
        <v>18088</v>
      </c>
      <c r="S318" s="425">
        <v>1284</v>
      </c>
      <c r="T318" s="426">
        <v>1</v>
      </c>
      <c r="U318" s="426">
        <v>36</v>
      </c>
    </row>
    <row r="319">
      <c r="A319" s="397"/>
      <c r="B319" s="427" t="s">
        <v>239</v>
      </c>
      <c r="C319" s="427"/>
      <c r="D319" s="428">
        <f>SUM(D315:D318)</f>
      </c>
      <c r="E319" s="428">
        <f>SUM(E315:E318)</f>
      </c>
      <c r="F319" s="428">
        <f>SUM(F315:F318)</f>
      </c>
      <c r="G319" s="428">
        <f>SUM(G315:G318)</f>
      </c>
      <c r="H319" s="429">
        <f>SUM(H315:H318)</f>
      </c>
      <c r="I319" s="428">
        <f>SUM(I315:I318)</f>
      </c>
      <c r="J319" s="430">
        <f t="shared" si="95"/>
      </c>
      <c r="K319" s="431">
        <f t="shared" si="156"/>
      </c>
      <c r="L319" s="432">
        <f t="shared" si="175"/>
      </c>
      <c r="M319" s="433">
        <f t="shared" si="118"/>
      </c>
      <c r="N319" s="433">
        <f t="shared" si="137"/>
      </c>
      <c r="O319" s="434">
        <f t="shared" si="76"/>
      </c>
      <c r="P319" s="434"/>
      <c r="Q319" s="434"/>
      <c r="R319" s="429">
        <f>SUM(R315:R318)</f>
      </c>
      <c r="S319" s="429">
        <f>SUM(S315:S318)</f>
      </c>
      <c r="T319" s="429">
        <f>SUM(T315:T318)</f>
      </c>
      <c r="U319" s="429">
        <f>SUM(U315:U318)</f>
      </c>
    </row>
    <row r="320">
      <c r="A320" s="397"/>
      <c r="B320" s="413" t="s">
        <v>251</v>
      </c>
      <c r="C320" s="401" t="s">
        <v>235</v>
      </c>
      <c r="D320" s="399">
        <f t="shared" ref="D320:D321" si="53">SUM(E320:G320)</f>
      </c>
      <c r="E320" s="400">
        <v>2769.39</v>
      </c>
      <c r="F320" s="401">
        <v>654.67</v>
      </c>
      <c r="G320" s="401">
        <v>0</v>
      </c>
      <c r="H320" s="443">
        <v>6</v>
      </c>
      <c r="I320" s="399">
        <v>2350.2000000000007</v>
      </c>
      <c r="J320" s="403">
        <f t="shared" si="95"/>
      </c>
      <c r="K320" s="403">
        <f t="shared" si="156"/>
      </c>
      <c r="L320" s="403">
        <f t="shared" si="175"/>
      </c>
      <c r="M320" s="404">
        <f t="shared" si="118"/>
      </c>
      <c r="N320" s="405">
        <f t="shared" si="137"/>
      </c>
      <c r="O320" s="406">
        <f t="shared" si="76"/>
      </c>
      <c r="P320" s="456" t="s">
        <v>262</v>
      </c>
      <c r="Q320" s="408" t="s">
        <v>234</v>
      </c>
      <c r="R320" s="466">
        <v>28093</v>
      </c>
      <c r="S320" s="411">
        <v>1910</v>
      </c>
      <c r="T320" s="411">
        <v>7</v>
      </c>
      <c r="U320" s="411">
        <v>48</v>
      </c>
    </row>
    <row r="321">
      <c r="A321" s="397"/>
      <c r="B321" s="413" t="s">
        <v>251</v>
      </c>
      <c r="C321" s="414" t="s">
        <v>236</v>
      </c>
      <c r="D321" s="399">
        <f t="shared" si="53"/>
      </c>
      <c r="E321" s="400">
        <v>1449.53</v>
      </c>
      <c r="F321" s="401">
        <v>423.26</v>
      </c>
      <c r="G321" s="399">
        <v>0</v>
      </c>
      <c r="H321" s="443">
        <v>8</v>
      </c>
      <c r="I321" s="417">
        <v>3634.279999999999</v>
      </c>
      <c r="J321" s="419">
        <f t="shared" si="95"/>
      </c>
      <c r="K321" s="419">
        <f t="shared" si="156"/>
      </c>
      <c r="L321" s="419">
        <f t="shared" si="175"/>
      </c>
      <c r="M321" s="420">
        <f t="shared" si="118"/>
      </c>
      <c r="N321" s="421">
        <f t="shared" si="137"/>
      </c>
      <c r="O321" s="422">
        <f t="shared" si="76"/>
      </c>
      <c r="P321" s="407" t="s">
        <v>262</v>
      </c>
      <c r="Q321" s="423" t="s">
        <v>234</v>
      </c>
      <c r="R321" s="466">
        <v>16034</v>
      </c>
      <c r="S321" s="411">
        <v>1055</v>
      </c>
      <c r="T321" s="411">
        <v>2</v>
      </c>
      <c r="U321" s="411">
        <v>28</v>
      </c>
    </row>
    <row r="322">
      <c r="A322" s="397"/>
      <c r="B322" s="427" t="s">
        <v>239</v>
      </c>
      <c r="C322" s="427"/>
      <c r="D322" s="428">
        <f>SUM(D320:D321)</f>
      </c>
      <c r="E322" s="428">
        <f>SUM(E320:E321)</f>
      </c>
      <c r="F322" s="428">
        <f>SUM(F320:F321)</f>
      </c>
      <c r="G322" s="428">
        <f>SUM(G320:G321)</f>
      </c>
      <c r="H322" s="428">
        <f>SUM(H320:H321)</f>
      </c>
      <c r="I322" s="428">
        <f>SUM(I320:I321)</f>
      </c>
      <c r="J322" s="430">
        <f t="shared" si="95"/>
      </c>
      <c r="K322" s="431">
        <f t="shared" si="156"/>
      </c>
      <c r="L322" s="432">
        <f t="shared" si="175"/>
      </c>
      <c r="M322" s="433">
        <f t="shared" si="118"/>
      </c>
      <c r="N322" s="433">
        <f t="shared" si="137"/>
      </c>
      <c r="O322" s="434">
        <f t="shared" si="76"/>
      </c>
      <c r="P322" s="434"/>
      <c r="Q322" s="434"/>
      <c r="R322" s="429">
        <f>SUM(R320:R321)</f>
      </c>
      <c r="S322" s="429">
        <f>SUM(S320:S321)</f>
      </c>
      <c r="T322" s="429">
        <f>SUM(T320:T321)</f>
      </c>
      <c r="U322" s="429">
        <f>SUM(U320:U321)</f>
      </c>
    </row>
    <row r="323">
      <c r="A323" s="397"/>
      <c r="B323" s="435" t="s">
        <v>240</v>
      </c>
      <c r="C323" s="435"/>
      <c r="D323" s="436">
        <f>D314+D319+D322</f>
      </c>
      <c r="E323" s="436">
        <f>E314+E319+E322</f>
      </c>
      <c r="F323" s="436">
        <f>F314+F319+F322</f>
      </c>
      <c r="G323" s="436">
        <f>G314+G319+G322</f>
      </c>
      <c r="H323" s="437">
        <f>H314+H319+H322</f>
      </c>
      <c r="I323" s="436">
        <f>I314+I319+I322</f>
      </c>
      <c r="J323" s="438">
        <f t="shared" si="95"/>
      </c>
      <c r="K323" s="438">
        <f t="shared" si="156"/>
      </c>
      <c r="L323" s="438">
        <f t="shared" si="175"/>
      </c>
      <c r="M323" s="439">
        <f t="shared" si="118"/>
      </c>
      <c r="N323" s="439">
        <f t="shared" si="137"/>
      </c>
      <c r="O323" s="438">
        <f t="shared" si="76"/>
      </c>
      <c r="P323" s="440"/>
      <c r="Q323" s="440"/>
      <c r="R323" s="437">
        <f>R314+R319+R322</f>
      </c>
      <c r="S323" s="437">
        <f>S314+S319+S322</f>
      </c>
      <c r="T323" s="437">
        <f>T314+T319+T322</f>
      </c>
      <c r="U323" s="437">
        <f>U314+U319+U322</f>
      </c>
    </row>
    <row r="324">
      <c r="A324" s="444" t="s">
        <v>205</v>
      </c>
      <c r="B324" s="444"/>
      <c r="C324" s="444"/>
      <c r="D324" s="445" t="s">
        <v>206</v>
      </c>
      <c r="E324" s="445"/>
      <c r="F324" s="445"/>
      <c r="G324" s="445"/>
      <c r="H324" s="445"/>
      <c r="I324" s="445"/>
      <c r="J324" s="445"/>
      <c r="K324" s="445"/>
      <c r="L324" s="445"/>
      <c r="M324" s="446" t="s">
        <v>207</v>
      </c>
      <c r="N324" s="446"/>
      <c r="O324" s="446"/>
      <c r="P324" s="446"/>
      <c r="Q324" s="446"/>
      <c r="R324" s="447" t="s">
        <v>208</v>
      </c>
      <c r="S324" s="447"/>
      <c r="T324" s="447"/>
      <c r="U324" s="447"/>
    </row>
    <row r="325">
      <c r="A325" s="467" t="s">
        <v>209</v>
      </c>
      <c r="B325" s="444" t="s">
        <v>210</v>
      </c>
      <c r="C325" s="444" t="s">
        <v>211</v>
      </c>
      <c r="D325" s="445" t="s">
        <v>212</v>
      </c>
      <c r="E325" s="445" t="s">
        <v>213</v>
      </c>
      <c r="F325" s="445" t="s">
        <v>214</v>
      </c>
      <c r="G325" s="445" t="s">
        <v>215</v>
      </c>
      <c r="H325" s="449" t="s">
        <v>216</v>
      </c>
      <c r="I325" s="445" t="s">
        <v>217</v>
      </c>
      <c r="J325" s="450" t="s">
        <v>218</v>
      </c>
      <c r="K325" s="451" t="s">
        <v>219</v>
      </c>
      <c r="L325" s="445" t="s">
        <v>220</v>
      </c>
      <c r="M325" s="446" t="s">
        <v>221</v>
      </c>
      <c r="N325" s="446" t="s">
        <v>222</v>
      </c>
      <c r="O325" s="446" t="s">
        <v>223</v>
      </c>
      <c r="P325" s="452" t="s">
        <v>224</v>
      </c>
      <c r="Q325" s="452" t="s">
        <v>225</v>
      </c>
      <c r="R325" s="447" t="s">
        <v>226</v>
      </c>
      <c r="S325" s="447" t="s">
        <v>227</v>
      </c>
      <c r="T325" s="447" t="s">
        <v>228</v>
      </c>
      <c r="U325" s="447" t="s">
        <v>230</v>
      </c>
    </row>
    <row r="326">
      <c r="A326" s="397">
        <v>46313</v>
      </c>
      <c r="B326" s="413" t="s">
        <v>256</v>
      </c>
      <c r="C326" s="441" t="s">
        <v>242</v>
      </c>
      <c r="D326" s="399">
        <f t="shared" ref="D326:D328" si="54">SUM(E326:G326)</f>
      </c>
      <c r="E326" s="400">
        <v>1947.9</v>
      </c>
      <c r="F326" s="401">
        <v>662.25</v>
      </c>
      <c r="G326" s="401">
        <v>0</v>
      </c>
      <c r="H326" s="443">
        <v>8</v>
      </c>
      <c r="I326" s="401">
        <v>4727.52</v>
      </c>
      <c r="J326" s="403">
        <f t="shared" ref="J326:J341" si="96">I326/D326</f>
      </c>
      <c r="K326" s="403">
        <f t="shared" ref="K326:K341" si="157">D326/H326</f>
      </c>
      <c r="L326" s="403">
        <f t="shared" ref="L326:L341" si="176">I326/H326</f>
      </c>
      <c r="M326" s="404">
        <f t="shared" ref="M326:M341" si="119">S326/R326</f>
      </c>
      <c r="N326" s="405">
        <f t="shared" ref="N326:N341" si="138">H326/(T326+H326)</f>
      </c>
      <c r="O326" s="406">
        <f t="shared" ref="O326:O341" si="77">(U326*1000)/D326</f>
      </c>
      <c r="P326" s="407" t="s">
        <v>233</v>
      </c>
      <c r="Q326" s="423" t="s">
        <v>264</v>
      </c>
      <c r="R326" s="466">
        <v>19101</v>
      </c>
      <c r="S326" s="411">
        <v>1102</v>
      </c>
      <c r="T326" s="411">
        <v>3</v>
      </c>
      <c r="U326" s="411">
        <v>51</v>
      </c>
    </row>
    <row r="327">
      <c r="A327" s="397"/>
      <c r="B327" s="413" t="s">
        <v>256</v>
      </c>
      <c r="C327" s="441" t="s">
        <v>243</v>
      </c>
      <c r="D327" s="399">
        <f t="shared" si="54"/>
      </c>
      <c r="E327" s="400">
        <v>2240.53</v>
      </c>
      <c r="F327" s="401">
        <v>804.34</v>
      </c>
      <c r="G327" s="399">
        <v>0</v>
      </c>
      <c r="H327" s="443">
        <v>6</v>
      </c>
      <c r="I327" s="401">
        <v>1377.9599999999991</v>
      </c>
      <c r="J327" s="403">
        <f t="shared" si="96"/>
      </c>
      <c r="K327" s="403">
        <f t="shared" si="157"/>
      </c>
      <c r="L327" s="403">
        <f t="shared" si="176"/>
      </c>
      <c r="M327" s="404">
        <f t="shared" si="119"/>
      </c>
      <c r="N327" s="405">
        <f t="shared" si="138"/>
      </c>
      <c r="O327" s="406">
        <f t="shared" si="77"/>
      </c>
      <c r="P327" s="407" t="s">
        <v>233</v>
      </c>
      <c r="Q327" s="423" t="s">
        <v>264</v>
      </c>
      <c r="R327" s="466">
        <v>22850</v>
      </c>
      <c r="S327" s="411">
        <v>1594</v>
      </c>
      <c r="T327" s="411">
        <v>9</v>
      </c>
      <c r="U327" s="411">
        <v>43</v>
      </c>
    </row>
    <row r="328">
      <c r="A328" s="397"/>
      <c r="B328" s="413" t="s">
        <v>256</v>
      </c>
      <c r="C328" s="457" t="s">
        <v>244</v>
      </c>
      <c r="D328" s="415">
        <f t="shared" si="54"/>
      </c>
      <c r="E328" s="416">
        <v>2258.11</v>
      </c>
      <c r="F328" s="417">
        <v>522.55</v>
      </c>
      <c r="G328" s="417">
        <v>0</v>
      </c>
      <c r="H328" s="418">
        <v>9</v>
      </c>
      <c r="I328" s="417">
        <v>6210.960000000001</v>
      </c>
      <c r="J328" s="419">
        <f t="shared" si="96"/>
      </c>
      <c r="K328" s="419">
        <f t="shared" si="157"/>
      </c>
      <c r="L328" s="419">
        <f t="shared" si="176"/>
      </c>
      <c r="M328" s="420">
        <f t="shared" si="119"/>
      </c>
      <c r="N328" s="421">
        <f t="shared" si="138"/>
      </c>
      <c r="O328" s="422">
        <f t="shared" si="77"/>
      </c>
      <c r="P328" s="407" t="s">
        <v>233</v>
      </c>
      <c r="Q328" s="423" t="s">
        <v>264</v>
      </c>
      <c r="R328" s="424">
        <v>27523</v>
      </c>
      <c r="S328" s="425">
        <v>1847</v>
      </c>
      <c r="T328" s="426">
        <v>1</v>
      </c>
      <c r="U328" s="426">
        <v>28</v>
      </c>
    </row>
    <row r="329">
      <c r="A329" s="397"/>
      <c r="B329" s="427" t="s">
        <v>239</v>
      </c>
      <c r="C329" s="427"/>
      <c r="D329" s="428">
        <f>SUM(D326:D328)</f>
      </c>
      <c r="E329" s="428">
        <f>SUM(E326:E328)</f>
      </c>
      <c r="F329" s="428">
        <f>SUM(F326:F328)</f>
      </c>
      <c r="G329" s="428">
        <f>SUM(G326:G328)</f>
      </c>
      <c r="H329" s="429">
        <f>SUM(H326:H328)</f>
      </c>
      <c r="I329" s="428">
        <f>SUM(I326:I328)</f>
      </c>
      <c r="J329" s="430">
        <f t="shared" si="96"/>
      </c>
      <c r="K329" s="431">
        <f t="shared" si="157"/>
      </c>
      <c r="L329" s="432">
        <f t="shared" si="176"/>
      </c>
      <c r="M329" s="433">
        <f t="shared" si="119"/>
      </c>
      <c r="N329" s="433">
        <f t="shared" si="138"/>
      </c>
      <c r="O329" s="434">
        <f t="shared" si="77"/>
      </c>
      <c r="P329" s="434"/>
      <c r="Q329" s="434"/>
      <c r="R329" s="429">
        <f>SUM(R326:R328)</f>
      </c>
      <c r="S329" s="429">
        <f>SUM(S326:S328)</f>
      </c>
      <c r="T329" s="429">
        <f>SUM(T326:T328)</f>
      </c>
      <c r="U329" s="429">
        <f>SUM(U326:U328)</f>
      </c>
    </row>
    <row r="330">
      <c r="A330" s="397"/>
      <c r="B330" s="413" t="s">
        <v>253</v>
      </c>
      <c r="C330" s="457" t="s">
        <v>245</v>
      </c>
      <c r="D330" s="415">
        <f t="shared" ref="D330:D334" si="55">SUM(E330:G330)</f>
      </c>
      <c r="E330" s="416">
        <v>2609.63</v>
      </c>
      <c r="F330" s="417">
        <v>493.11</v>
      </c>
      <c r="G330" s="401">
        <v>0</v>
      </c>
      <c r="H330" s="418">
        <v>7</v>
      </c>
      <c r="I330" s="417">
        <v>3462.4799999999996</v>
      </c>
      <c r="J330" s="419">
        <f t="shared" si="96"/>
      </c>
      <c r="K330" s="419">
        <f t="shared" si="157"/>
      </c>
      <c r="L330" s="419">
        <f t="shared" si="176"/>
      </c>
      <c r="M330" s="420">
        <f t="shared" si="119"/>
      </c>
      <c r="N330" s="421">
        <f t="shared" si="138"/>
      </c>
      <c r="O330" s="422">
        <f t="shared" si="77"/>
      </c>
      <c r="P330" s="407" t="s">
        <v>262</v>
      </c>
      <c r="Q330" s="423" t="s">
        <v>264</v>
      </c>
      <c r="R330" s="453">
        <v>31428</v>
      </c>
      <c r="S330" s="426">
        <v>2152</v>
      </c>
      <c r="T330" s="426">
        <v>6</v>
      </c>
      <c r="U330" s="426">
        <v>42</v>
      </c>
    </row>
    <row r="331">
      <c r="A331" s="397"/>
      <c r="B331" s="413" t="s">
        <v>253</v>
      </c>
      <c r="C331" s="441" t="s">
        <v>247</v>
      </c>
      <c r="D331" s="415">
        <f t="shared" si="55"/>
      </c>
      <c r="E331" s="416">
        <v>3518.65</v>
      </c>
      <c r="F331" s="417">
        <v>535.71</v>
      </c>
      <c r="G331" s="401">
        <v>0</v>
      </c>
      <c r="H331" s="418">
        <v>15</v>
      </c>
      <c r="I331" s="417">
        <v>7086.3200000000015</v>
      </c>
      <c r="J331" s="419">
        <f t="shared" si="96"/>
      </c>
      <c r="K331" s="419">
        <f t="shared" si="157"/>
      </c>
      <c r="L331" s="419">
        <f t="shared" si="176"/>
      </c>
      <c r="M331" s="420">
        <f t="shared" si="119"/>
      </c>
      <c r="N331" s="421">
        <f t="shared" si="138"/>
      </c>
      <c r="O331" s="422">
        <f t="shared" si="77"/>
      </c>
      <c r="P331" s="407" t="s">
        <v>262</v>
      </c>
      <c r="Q331" s="423" t="s">
        <v>234</v>
      </c>
      <c r="R331" s="453">
        <v>37253</v>
      </c>
      <c r="S331" s="426">
        <v>2208</v>
      </c>
      <c r="T331" s="426">
        <v>1</v>
      </c>
      <c r="U331" s="426">
        <v>54</v>
      </c>
    </row>
    <row customHeight="true" ht="16.666666666666668" r="332">
      <c r="A332" s="397"/>
      <c r="B332" s="413" t="s">
        <v>253</v>
      </c>
      <c r="C332" s="417" t="s">
        <v>249</v>
      </c>
      <c r="D332" s="415">
        <f t="shared" si="55"/>
      </c>
      <c r="E332" s="416">
        <v>2543.86</v>
      </c>
      <c r="F332" s="417">
        <v>324.77</v>
      </c>
      <c r="G332" s="401">
        <v>0</v>
      </c>
      <c r="H332" s="418">
        <v>5</v>
      </c>
      <c r="I332" s="417">
        <v>3463.199999999997</v>
      </c>
      <c r="J332" s="419">
        <f t="shared" si="96"/>
      </c>
      <c r="K332" s="419">
        <f t="shared" si="157"/>
      </c>
      <c r="L332" s="419">
        <f t="shared" si="176"/>
      </c>
      <c r="M332" s="420">
        <f t="shared" si="119"/>
      </c>
      <c r="N332" s="421">
        <f t="shared" si="138"/>
      </c>
      <c r="O332" s="422">
        <f t="shared" si="77"/>
      </c>
      <c r="P332" s="407" t="s">
        <v>262</v>
      </c>
      <c r="Q332" s="423" t="s">
        <v>234</v>
      </c>
      <c r="R332" s="453">
        <v>28918</v>
      </c>
      <c r="S332" s="426">
        <v>1708</v>
      </c>
      <c r="T332" s="426">
        <v>5</v>
      </c>
      <c r="U332" s="426">
        <v>37</v>
      </c>
    </row>
    <row r="333">
      <c r="A333" s="397"/>
      <c r="B333" s="413" t="s">
        <v>253</v>
      </c>
      <c r="C333" s="414" t="s">
        <v>250</v>
      </c>
      <c r="D333" s="415">
        <f t="shared" si="55"/>
      </c>
      <c r="E333" s="416">
        <v>2104.63</v>
      </c>
      <c r="F333" s="417">
        <v>329.63</v>
      </c>
      <c r="G333" s="401">
        <v>0</v>
      </c>
      <c r="H333" s="418">
        <v>5</v>
      </c>
      <c r="I333" s="417">
        <v>1657.2000000000007</v>
      </c>
      <c r="J333" s="419">
        <f t="shared" si="96"/>
      </c>
      <c r="K333" s="419">
        <f t="shared" si="157"/>
      </c>
      <c r="L333" s="419">
        <f t="shared" si="176"/>
      </c>
      <c r="M333" s="420">
        <f t="shared" si="119"/>
      </c>
      <c r="N333" s="421">
        <f t="shared" si="138"/>
      </c>
      <c r="O333" s="422">
        <f t="shared" si="77"/>
      </c>
      <c r="P333" s="407" t="s">
        <v>262</v>
      </c>
      <c r="Q333" s="423" t="s">
        <v>234</v>
      </c>
      <c r="R333" s="453">
        <v>24192</v>
      </c>
      <c r="S333" s="426">
        <v>1515</v>
      </c>
      <c r="T333" s="426">
        <v>2</v>
      </c>
      <c r="U333" s="426">
        <v>40</v>
      </c>
    </row>
    <row r="334">
      <c r="A334" s="397"/>
      <c r="B334" s="413" t="s">
        <v>253</v>
      </c>
      <c r="C334" s="399" t="s">
        <v>232</v>
      </c>
      <c r="D334" s="415">
        <f t="shared" si="55"/>
      </c>
      <c r="E334" s="416">
        <v>2372.19</v>
      </c>
      <c r="F334" s="417">
        <v>386.1</v>
      </c>
      <c r="G334" s="417">
        <v>0</v>
      </c>
      <c r="H334" s="418">
        <v>11</v>
      </c>
      <c r="I334" s="417">
        <v>7135.800000000003</v>
      </c>
      <c r="J334" s="419">
        <f t="shared" si="96"/>
      </c>
      <c r="K334" s="419">
        <f t="shared" si="157"/>
      </c>
      <c r="L334" s="419">
        <f t="shared" si="176"/>
      </c>
      <c r="M334" s="420">
        <f t="shared" si="119"/>
      </c>
      <c r="N334" s="421">
        <f t="shared" si="138"/>
      </c>
      <c r="O334" s="422">
        <f t="shared" si="77"/>
      </c>
      <c r="P334" s="407" t="s">
        <v>262</v>
      </c>
      <c r="Q334" s="423" t="s">
        <v>234</v>
      </c>
      <c r="R334" s="453">
        <v>26368</v>
      </c>
      <c r="S334" s="426">
        <v>1656</v>
      </c>
      <c r="T334" s="426">
        <v>10</v>
      </c>
      <c r="U334" s="426">
        <v>43</v>
      </c>
    </row>
    <row r="335">
      <c r="A335" s="397"/>
      <c r="B335" s="427" t="s">
        <v>239</v>
      </c>
      <c r="C335" s="427"/>
      <c r="D335" s="428">
        <f>SUM(D330:D334)</f>
      </c>
      <c r="E335" s="428">
        <f>SUM(E330:E334)</f>
      </c>
      <c r="F335" s="428">
        <f>SUM(F330:F334)</f>
      </c>
      <c r="G335" s="428">
        <f>SUM(G330:G334)</f>
      </c>
      <c r="H335" s="429">
        <f>SUM(H330:H334)</f>
      </c>
      <c r="I335" s="428">
        <f>SUM(I330:I334)</f>
      </c>
      <c r="J335" s="430">
        <f t="shared" si="96"/>
      </c>
      <c r="K335" s="431">
        <f t="shared" si="157"/>
      </c>
      <c r="L335" s="432">
        <f t="shared" si="176"/>
      </c>
      <c r="M335" s="433">
        <f t="shared" si="119"/>
      </c>
      <c r="N335" s="433">
        <f t="shared" si="138"/>
      </c>
      <c r="O335" s="434">
        <f t="shared" si="77"/>
      </c>
      <c r="P335" s="434"/>
      <c r="Q335" s="434"/>
      <c r="R335" s="429">
        <f>SUM(R330:R334)</f>
      </c>
      <c r="S335" s="429">
        <f>SUM(S330:S334)</f>
      </c>
      <c r="T335" s="429">
        <f>SUM(T330:T334)</f>
      </c>
      <c r="U335" s="429">
        <f>SUM(U330:U334)</f>
      </c>
    </row>
    <row r="336">
      <c r="A336" s="397"/>
      <c r="B336" s="413" t="s">
        <v>265</v>
      </c>
      <c r="C336" s="401" t="s">
        <v>235</v>
      </c>
      <c r="D336" s="399">
        <f t="shared" ref="D336:D339" si="56">SUM(E336:G336)</f>
      </c>
      <c r="E336" s="400">
        <v>2355.4</v>
      </c>
      <c r="F336" s="401">
        <v>538.38</v>
      </c>
      <c r="G336" s="399">
        <v>0</v>
      </c>
      <c r="H336" s="402">
        <v>2</v>
      </c>
      <c r="I336" s="399">
        <v>473.27999999999884</v>
      </c>
      <c r="J336" s="403">
        <f t="shared" si="96"/>
      </c>
      <c r="K336" s="403">
        <f t="shared" si="157"/>
      </c>
      <c r="L336" s="403">
        <f t="shared" si="176"/>
      </c>
      <c r="M336" s="404">
        <f t="shared" si="119"/>
      </c>
      <c r="N336" s="405">
        <f t="shared" si="138"/>
      </c>
      <c r="O336" s="406">
        <f t="shared" si="77"/>
      </c>
      <c r="P336" s="456" t="s">
        <v>262</v>
      </c>
      <c r="Q336" s="408" t="s">
        <v>234</v>
      </c>
      <c r="R336" s="424">
        <v>25083</v>
      </c>
      <c r="S336" s="425">
        <v>1648</v>
      </c>
      <c r="T336" s="426">
        <v>5</v>
      </c>
      <c r="U336" s="426">
        <v>42</v>
      </c>
    </row>
    <row r="337">
      <c r="A337" s="397"/>
      <c r="B337" s="413" t="s">
        <v>265</v>
      </c>
      <c r="C337" s="414" t="s">
        <v>236</v>
      </c>
      <c r="D337" s="415">
        <f t="shared" si="56"/>
      </c>
      <c r="E337" s="416">
        <v>2541.32</v>
      </c>
      <c r="F337" s="417">
        <v>551.48</v>
      </c>
      <c r="G337" s="401">
        <v>0</v>
      </c>
      <c r="H337" s="418">
        <v>8</v>
      </c>
      <c r="I337" s="417">
        <v>4173.119999999995</v>
      </c>
      <c r="J337" s="419">
        <f t="shared" si="96"/>
      </c>
      <c r="K337" s="419">
        <f t="shared" si="157"/>
      </c>
      <c r="L337" s="419">
        <f t="shared" si="176"/>
      </c>
      <c r="M337" s="420">
        <f t="shared" si="119"/>
      </c>
      <c r="N337" s="421">
        <f t="shared" si="138"/>
      </c>
      <c r="O337" s="422">
        <f t="shared" si="77"/>
      </c>
      <c r="P337" s="407" t="s">
        <v>262</v>
      </c>
      <c r="Q337" s="423" t="s">
        <v>234</v>
      </c>
      <c r="R337" s="453">
        <v>26177</v>
      </c>
      <c r="S337" s="426">
        <v>1925</v>
      </c>
      <c r="T337" s="426">
        <v>5</v>
      </c>
      <c r="U337" s="426">
        <v>67</v>
      </c>
    </row>
    <row r="338">
      <c r="A338" s="397"/>
      <c r="B338" s="413" t="s">
        <v>265</v>
      </c>
      <c r="C338" s="414" t="s">
        <v>237</v>
      </c>
      <c r="D338" s="415">
        <f t="shared" si="56"/>
      </c>
      <c r="E338" s="416">
        <v>2051.49</v>
      </c>
      <c r="F338" s="417">
        <v>858.63</v>
      </c>
      <c r="G338" s="401">
        <v>0</v>
      </c>
      <c r="H338" s="418">
        <v>4</v>
      </c>
      <c r="I338" s="417">
        <v>2752.560000000005</v>
      </c>
      <c r="J338" s="419">
        <f t="shared" si="96"/>
      </c>
      <c r="K338" s="419">
        <f t="shared" si="157"/>
      </c>
      <c r="L338" s="419">
        <f t="shared" si="176"/>
      </c>
      <c r="M338" s="420">
        <f t="shared" si="119"/>
      </c>
      <c r="N338" s="421">
        <f t="shared" si="138"/>
      </c>
      <c r="O338" s="422">
        <f t="shared" si="77"/>
      </c>
      <c r="P338" s="407" t="s">
        <v>262</v>
      </c>
      <c r="Q338" s="423" t="s">
        <v>234</v>
      </c>
      <c r="R338" s="453">
        <v>20680</v>
      </c>
      <c r="S338" s="426">
        <v>1490</v>
      </c>
      <c r="T338" s="426">
        <v>6</v>
      </c>
      <c r="U338" s="426">
        <v>61</v>
      </c>
    </row>
    <row r="339">
      <c r="A339" s="397"/>
      <c r="B339" s="413" t="s">
        <v>265</v>
      </c>
      <c r="C339" s="414" t="s">
        <v>238</v>
      </c>
      <c r="D339" s="415">
        <f t="shared" si="56"/>
      </c>
      <c r="E339" s="416">
        <v>902.21</v>
      </c>
      <c r="F339" s="417">
        <v>227.31</v>
      </c>
      <c r="G339" s="417">
        <v>0</v>
      </c>
      <c r="H339" s="418">
        <v>5</v>
      </c>
      <c r="I339" s="417">
        <v>2330.479999999996</v>
      </c>
      <c r="J339" s="419">
        <f t="shared" si="96"/>
      </c>
      <c r="K339" s="419">
        <f t="shared" si="157"/>
      </c>
      <c r="L339" s="419">
        <f t="shared" si="176"/>
      </c>
      <c r="M339" s="420">
        <f t="shared" si="119"/>
      </c>
      <c r="N339" s="421">
        <f t="shared" si="138"/>
      </c>
      <c r="O339" s="422">
        <f t="shared" si="77"/>
      </c>
      <c r="P339" s="407" t="s">
        <v>262</v>
      </c>
      <c r="Q339" s="423" t="s">
        <v>234</v>
      </c>
      <c r="R339" s="453">
        <v>10927</v>
      </c>
      <c r="S339" s="426">
        <v>704</v>
      </c>
      <c r="T339" s="426">
        <v>2</v>
      </c>
      <c r="U339" s="426">
        <v>17</v>
      </c>
    </row>
    <row r="340">
      <c r="A340" s="397"/>
      <c r="B340" s="427" t="s">
        <v>239</v>
      </c>
      <c r="C340" s="427"/>
      <c r="D340" s="428">
        <f>SUM(D336:D339)</f>
      </c>
      <c r="E340" s="428">
        <f>SUM(E336:E339)</f>
      </c>
      <c r="F340" s="428">
        <f>SUM(F336:F339)</f>
      </c>
      <c r="G340" s="428">
        <f>SUM(G336:G339)</f>
      </c>
      <c r="H340" s="428">
        <f>SUM(H336:H339)</f>
      </c>
      <c r="I340" s="428">
        <f>SUM(I336:I339)</f>
      </c>
      <c r="J340" s="430">
        <f t="shared" si="96"/>
      </c>
      <c r="K340" s="431">
        <f t="shared" si="157"/>
      </c>
      <c r="L340" s="432">
        <f t="shared" si="176"/>
      </c>
      <c r="M340" s="433">
        <f t="shared" si="119"/>
      </c>
      <c r="N340" s="433">
        <f t="shared" si="138"/>
      </c>
      <c r="O340" s="434">
        <f t="shared" si="77"/>
      </c>
      <c r="P340" s="434"/>
      <c r="Q340" s="434"/>
      <c r="R340" s="429">
        <f>SUM(R336:R339)</f>
      </c>
      <c r="S340" s="429">
        <f>SUM(S336:S339)</f>
      </c>
      <c r="T340" s="429">
        <f>SUM(T336:T339)</f>
      </c>
      <c r="U340" s="429">
        <f>SUM(U336:U339)</f>
      </c>
    </row>
    <row r="341">
      <c r="A341" s="397"/>
      <c r="B341" s="435" t="s">
        <v>240</v>
      </c>
      <c r="C341" s="435"/>
      <c r="D341" s="436">
        <f>D329+D335+D340</f>
      </c>
      <c r="E341" s="436">
        <f>E329+E335+E340</f>
      </c>
      <c r="F341" s="436">
        <f>F329+F335+F340</f>
      </c>
      <c r="G341" s="436">
        <f>G329+G335+G340</f>
      </c>
      <c r="H341" s="437">
        <f>H329+H335+H340</f>
      </c>
      <c r="I341" s="436">
        <f>I329+I335+I340</f>
      </c>
      <c r="J341" s="438">
        <f t="shared" si="96"/>
      </c>
      <c r="K341" s="438">
        <f t="shared" si="157"/>
      </c>
      <c r="L341" s="438">
        <f t="shared" si="176"/>
      </c>
      <c r="M341" s="439">
        <f t="shared" si="119"/>
      </c>
      <c r="N341" s="439">
        <f t="shared" si="138"/>
      </c>
      <c r="O341" s="438">
        <f t="shared" si="77"/>
      </c>
      <c r="P341" s="440"/>
      <c r="Q341" s="440"/>
      <c r="R341" s="437">
        <f>R329+R335+R340</f>
      </c>
      <c r="S341" s="437">
        <f>S329+S335+S340</f>
      </c>
      <c r="T341" s="437">
        <f>T329+T335+T340</f>
      </c>
      <c r="U341" s="437">
        <f>U329+U335+U340</f>
      </c>
    </row>
    <row r="342">
      <c r="A342" s="444" t="s">
        <v>205</v>
      </c>
      <c r="B342" s="444"/>
      <c r="C342" s="444"/>
      <c r="D342" s="445" t="s">
        <v>206</v>
      </c>
      <c r="E342" s="445"/>
      <c r="F342" s="445"/>
      <c r="G342" s="445"/>
      <c r="H342" s="445"/>
      <c r="I342" s="445"/>
      <c r="J342" s="445"/>
      <c r="K342" s="445"/>
      <c r="L342" s="445"/>
      <c r="M342" s="446" t="s">
        <v>207</v>
      </c>
      <c r="N342" s="446"/>
      <c r="O342" s="446"/>
      <c r="P342" s="446"/>
      <c r="Q342" s="446"/>
      <c r="R342" s="447" t="s">
        <v>208</v>
      </c>
      <c r="S342" s="447"/>
      <c r="T342" s="447"/>
      <c r="U342" s="447"/>
    </row>
    <row r="343">
      <c r="A343" s="467" t="s">
        <v>209</v>
      </c>
      <c r="B343" s="444" t="s">
        <v>210</v>
      </c>
      <c r="C343" s="444" t="s">
        <v>211</v>
      </c>
      <c r="D343" s="445" t="s">
        <v>212</v>
      </c>
      <c r="E343" s="445" t="s">
        <v>213</v>
      </c>
      <c r="F343" s="445" t="s">
        <v>214</v>
      </c>
      <c r="G343" s="445" t="s">
        <v>215</v>
      </c>
      <c r="H343" s="449" t="s">
        <v>216</v>
      </c>
      <c r="I343" s="445" t="s">
        <v>217</v>
      </c>
      <c r="J343" s="450" t="s">
        <v>218</v>
      </c>
      <c r="K343" s="451" t="s">
        <v>219</v>
      </c>
      <c r="L343" s="445" t="s">
        <v>220</v>
      </c>
      <c r="M343" s="446" t="s">
        <v>221</v>
      </c>
      <c r="N343" s="446" t="s">
        <v>222</v>
      </c>
      <c r="O343" s="446" t="s">
        <v>223</v>
      </c>
      <c r="P343" s="452" t="s">
        <v>224</v>
      </c>
      <c r="Q343" s="452" t="s">
        <v>225</v>
      </c>
      <c r="R343" s="447" t="s">
        <v>226</v>
      </c>
      <c r="S343" s="447" t="s">
        <v>227</v>
      </c>
      <c r="T343" s="447" t="s">
        <v>228</v>
      </c>
      <c r="U343" s="447" t="s">
        <v>230</v>
      </c>
    </row>
    <row r="344">
      <c r="A344" s="397">
        <v>46314</v>
      </c>
      <c r="B344" s="413" t="s">
        <v>253</v>
      </c>
      <c r="C344" s="441" t="s">
        <v>242</v>
      </c>
      <c r="D344" s="399">
        <f t="shared" ref="D344:D347" si="57">SUM(E344:G344)</f>
      </c>
      <c r="E344" s="400">
        <v>1254.38</v>
      </c>
      <c r="F344" s="401">
        <v>692.88</v>
      </c>
      <c r="G344" s="401">
        <v>0</v>
      </c>
      <c r="H344" s="443">
        <v>6</v>
      </c>
      <c r="I344" s="401">
        <v>4151.4</v>
      </c>
      <c r="J344" s="403">
        <f t="shared" ref="J344:J359" si="97">I344/D344</f>
      </c>
      <c r="K344" s="403">
        <f t="shared" ref="K344:K359" si="158">D344/H344</f>
      </c>
      <c r="L344" s="403">
        <f t="shared" ref="L344:L359" si="177">I344/H344</f>
      </c>
      <c r="M344" s="404">
        <f t="shared" ref="M344:M359" si="120">S344/R344</f>
      </c>
      <c r="N344" s="405">
        <f t="shared" ref="N344:N359" si="139">H344/(T344+H344)</f>
      </c>
      <c r="O344" s="406">
        <f t="shared" ref="O344:O359" si="78">(U344*1000)/D344</f>
      </c>
      <c r="P344" s="407" t="s">
        <v>233</v>
      </c>
      <c r="Q344" s="423" t="s">
        <v>234</v>
      </c>
      <c r="R344" s="466">
        <v>13641</v>
      </c>
      <c r="S344" s="411">
        <v>807</v>
      </c>
      <c r="T344" s="411">
        <v>2</v>
      </c>
      <c r="U344" s="411">
        <v>18</v>
      </c>
    </row>
    <row r="345">
      <c r="A345" s="397"/>
      <c r="B345" s="413" t="s">
        <v>253</v>
      </c>
      <c r="C345" s="441" t="s">
        <v>243</v>
      </c>
      <c r="D345" s="399">
        <f t="shared" si="57"/>
      </c>
      <c r="E345" s="400">
        <v>1085.38</v>
      </c>
      <c r="F345" s="401">
        <v>954.25</v>
      </c>
      <c r="G345" s="401">
        <v>0</v>
      </c>
      <c r="H345" s="443">
        <v>4</v>
      </c>
      <c r="I345" s="401">
        <v>4942.5599999999995</v>
      </c>
      <c r="J345" s="403">
        <f t="shared" si="97"/>
      </c>
      <c r="K345" s="403">
        <f t="shared" si="158"/>
      </c>
      <c r="L345" s="403">
        <f t="shared" si="177"/>
      </c>
      <c r="M345" s="404">
        <f t="shared" si="120"/>
      </c>
      <c r="N345" s="405">
        <f t="shared" si="139"/>
      </c>
      <c r="O345" s="406">
        <f t="shared" si="78"/>
      </c>
      <c r="P345" s="407" t="s">
        <v>233</v>
      </c>
      <c r="Q345" s="423" t="s">
        <v>234</v>
      </c>
      <c r="R345" s="466">
        <v>14242</v>
      </c>
      <c r="S345" s="411">
        <v>886</v>
      </c>
      <c r="T345" s="411">
        <v>3</v>
      </c>
      <c r="U345" s="411">
        <v>42</v>
      </c>
    </row>
    <row r="346">
      <c r="A346" s="397"/>
      <c r="B346" s="413" t="s">
        <v>253</v>
      </c>
      <c r="C346" s="457" t="s">
        <v>244</v>
      </c>
      <c r="D346" s="415">
        <f t="shared" si="57"/>
      </c>
      <c r="E346" s="468">
        <v>785.5</v>
      </c>
      <c r="F346" s="469">
        <v>550.85</v>
      </c>
      <c r="G346" s="417">
        <v>0</v>
      </c>
      <c r="H346" s="470">
        <v>4</v>
      </c>
      <c r="I346" s="469">
        <v>1889.7600000000002</v>
      </c>
      <c r="J346" s="419">
        <f t="shared" si="97"/>
      </c>
      <c r="K346" s="419">
        <f t="shared" si="158"/>
      </c>
      <c r="L346" s="419">
        <f t="shared" si="177"/>
      </c>
      <c r="M346" s="420">
        <f t="shared" si="120"/>
      </c>
      <c r="N346" s="421">
        <f t="shared" si="139"/>
      </c>
      <c r="O346" s="422">
        <f t="shared" si="78"/>
      </c>
      <c r="P346" s="407" t="s">
        <v>233</v>
      </c>
      <c r="Q346" s="423" t="s">
        <v>234</v>
      </c>
      <c r="R346" s="471">
        <v>9689</v>
      </c>
      <c r="S346" s="472">
        <v>724</v>
      </c>
      <c r="T346" s="473">
        <v>2</v>
      </c>
      <c r="U346" s="473">
        <v>18</v>
      </c>
    </row>
    <row customHeight="true" ht="16.666666666666668" r="347">
      <c r="A347" s="397"/>
      <c r="B347" s="413" t="s">
        <v>253</v>
      </c>
      <c r="C347" s="457" t="s">
        <v>245</v>
      </c>
      <c r="D347" s="415">
        <f t="shared" si="57"/>
      </c>
      <c r="E347" s="416"/>
      <c r="F347" s="417"/>
      <c r="G347" s="401">
        <v>0</v>
      </c>
      <c r="H347" s="418"/>
      <c r="I347" s="417"/>
      <c r="J347" s="419">
        <f t="shared" si="97"/>
      </c>
      <c r="K347" s="419">
        <f t="shared" si="158"/>
      </c>
      <c r="L347" s="419">
        <f t="shared" si="177"/>
      </c>
      <c r="M347" s="420">
        <f t="shared" si="120"/>
      </c>
      <c r="N347" s="421">
        <f t="shared" si="139"/>
      </c>
      <c r="O347" s="422">
        <f t="shared" si="78"/>
      </c>
      <c r="P347" s="407" t="s">
        <v>262</v>
      </c>
      <c r="Q347" s="423" t="s">
        <v>234</v>
      </c>
      <c r="R347" s="453"/>
      <c r="S347" s="426"/>
      <c r="T347" s="426"/>
      <c r="U347" s="426"/>
    </row>
    <row r="348">
      <c r="A348" s="397"/>
      <c r="B348" s="427" t="s">
        <v>239</v>
      </c>
      <c r="C348" s="427"/>
      <c r="D348" s="428">
        <f>SUM(D344:D346)</f>
      </c>
      <c r="E348" s="428">
        <f>SUM(E344:E346)</f>
      </c>
      <c r="F348" s="428">
        <f>SUM(F344:F346)</f>
      </c>
      <c r="G348" s="428">
        <f>SUM(G344:G346)</f>
      </c>
      <c r="H348" s="429">
        <f>SUM(H344:H346)</f>
      </c>
      <c r="I348" s="428">
        <f>SUM(I344:I346)</f>
      </c>
      <c r="J348" s="430">
        <f t="shared" si="97"/>
      </c>
      <c r="K348" s="431">
        <f t="shared" si="158"/>
      </c>
      <c r="L348" s="432">
        <f t="shared" si="177"/>
      </c>
      <c r="M348" s="433">
        <f t="shared" si="120"/>
      </c>
      <c r="N348" s="433">
        <f t="shared" si="139"/>
      </c>
      <c r="O348" s="434">
        <f t="shared" si="78"/>
      </c>
      <c r="P348" s="434"/>
      <c r="Q348" s="434"/>
      <c r="R348" s="429">
        <f>SUM(R344:R346)</f>
      </c>
      <c r="S348" s="429">
        <f>SUM(S344:S346)</f>
      </c>
      <c r="T348" s="429">
        <f>SUM(T344:T346)</f>
      </c>
      <c r="U348" s="429">
        <f>SUM(U344:U346)</f>
      </c>
    </row>
    <row r="349">
      <c r="A349" s="397"/>
      <c r="B349" s="413" t="s">
        <v>251</v>
      </c>
      <c r="C349" s="441" t="s">
        <v>247</v>
      </c>
      <c r="D349" s="415">
        <f t="shared" ref="D349:D352" si="58">SUM(E349:G349)</f>
      </c>
      <c r="E349" s="416"/>
      <c r="F349" s="417"/>
      <c r="G349" s="401"/>
      <c r="H349" s="418"/>
      <c r="I349" s="417"/>
      <c r="J349" s="419">
        <f t="shared" si="97"/>
      </c>
      <c r="K349" s="419">
        <f t="shared" si="158"/>
      </c>
      <c r="L349" s="419">
        <f t="shared" si="177"/>
      </c>
      <c r="M349" s="420">
        <f t="shared" si="120"/>
      </c>
      <c r="N349" s="421">
        <f t="shared" si="139"/>
      </c>
      <c r="O349" s="422">
        <f t="shared" si="78"/>
      </c>
      <c r="P349" s="407" t="s">
        <v>262</v>
      </c>
      <c r="Q349" s="423" t="s">
        <v>252</v>
      </c>
      <c r="R349" s="453"/>
      <c r="S349" s="426"/>
      <c r="T349" s="426"/>
      <c r="U349" s="426"/>
    </row>
    <row r="350">
      <c r="A350" s="397"/>
      <c r="B350" s="413" t="s">
        <v>251</v>
      </c>
      <c r="C350" s="417" t="s">
        <v>249</v>
      </c>
      <c r="D350" s="415">
        <f t="shared" si="58"/>
      </c>
      <c r="E350" s="416"/>
      <c r="F350" s="417"/>
      <c r="G350" s="401"/>
      <c r="H350" s="418"/>
      <c r="I350" s="417"/>
      <c r="J350" s="419">
        <f t="shared" si="97"/>
      </c>
      <c r="K350" s="419">
        <f t="shared" si="158"/>
      </c>
      <c r="L350" s="419">
        <f t="shared" si="177"/>
      </c>
      <c r="M350" s="420">
        <f t="shared" si="120"/>
      </c>
      <c r="N350" s="421">
        <f t="shared" si="139"/>
      </c>
      <c r="O350" s="422">
        <f t="shared" si="78"/>
      </c>
      <c r="P350" s="407" t="s">
        <v>262</v>
      </c>
      <c r="Q350" s="423" t="s">
        <v>252</v>
      </c>
      <c r="R350" s="453"/>
      <c r="S350" s="426"/>
      <c r="T350" s="426"/>
      <c r="U350" s="426"/>
    </row>
    <row r="351">
      <c r="A351" s="397"/>
      <c r="B351" s="413" t="s">
        <v>251</v>
      </c>
      <c r="C351" s="414" t="s">
        <v>250</v>
      </c>
      <c r="D351" s="415">
        <f t="shared" si="58"/>
      </c>
      <c r="E351" s="416"/>
      <c r="F351" s="417"/>
      <c r="G351" s="401"/>
      <c r="H351" s="418"/>
      <c r="I351" s="417"/>
      <c r="J351" s="419">
        <f t="shared" si="97"/>
      </c>
      <c r="K351" s="419">
        <f t="shared" si="158"/>
      </c>
      <c r="L351" s="419">
        <f t="shared" si="177"/>
      </c>
      <c r="M351" s="420">
        <f t="shared" si="120"/>
      </c>
      <c r="N351" s="421">
        <f t="shared" si="139"/>
      </c>
      <c r="O351" s="422">
        <f t="shared" si="78"/>
      </c>
      <c r="P351" s="407" t="s">
        <v>262</v>
      </c>
      <c r="Q351" s="423" t="s">
        <v>252</v>
      </c>
      <c r="R351" s="453"/>
      <c r="S351" s="426"/>
      <c r="T351" s="426"/>
      <c r="U351" s="426"/>
    </row>
    <row r="352">
      <c r="A352" s="397"/>
      <c r="B352" s="413" t="s">
        <v>251</v>
      </c>
      <c r="C352" s="399" t="s">
        <v>232</v>
      </c>
      <c r="D352" s="415">
        <f t="shared" si="58"/>
      </c>
      <c r="E352" s="416"/>
      <c r="F352" s="417"/>
      <c r="G352" s="417"/>
      <c r="H352" s="418"/>
      <c r="I352" s="417"/>
      <c r="J352" s="419">
        <f t="shared" si="97"/>
      </c>
      <c r="K352" s="419">
        <f t="shared" si="158"/>
      </c>
      <c r="L352" s="419">
        <f t="shared" si="177"/>
      </c>
      <c r="M352" s="420">
        <f t="shared" si="120"/>
      </c>
      <c r="N352" s="421">
        <f t="shared" si="139"/>
      </c>
      <c r="O352" s="422">
        <f t="shared" si="78"/>
      </c>
      <c r="P352" s="407" t="s">
        <v>262</v>
      </c>
      <c r="Q352" s="423" t="s">
        <v>252</v>
      </c>
      <c r="R352" s="453"/>
      <c r="S352" s="426"/>
      <c r="T352" s="426"/>
      <c r="U352" s="426"/>
    </row>
    <row r="353">
      <c r="A353" s="397"/>
      <c r="B353" s="427" t="s">
        <v>239</v>
      </c>
      <c r="C353" s="427"/>
      <c r="D353" s="428">
        <f>SUM(D349:D352)</f>
      </c>
      <c r="E353" s="428">
        <f>SUM(E349:E352)</f>
      </c>
      <c r="F353" s="428">
        <f>SUM(F349:F352)</f>
      </c>
      <c r="G353" s="428">
        <f>SUM(G349:G352)</f>
      </c>
      <c r="H353" s="429">
        <f>SUM(H349:H352)</f>
      </c>
      <c r="I353" s="428">
        <f>SUM(I349:I352)</f>
      </c>
      <c r="J353" s="430">
        <f t="shared" si="97"/>
      </c>
      <c r="K353" s="431">
        <f t="shared" si="158"/>
      </c>
      <c r="L353" s="432">
        <f t="shared" si="177"/>
      </c>
      <c r="M353" s="433">
        <f t="shared" si="120"/>
      </c>
      <c r="N353" s="433">
        <f t="shared" si="139"/>
      </c>
      <c r="O353" s="434">
        <f t="shared" si="78"/>
      </c>
      <c r="P353" s="434"/>
      <c r="Q353" s="434"/>
      <c r="R353" s="429">
        <f>SUM(R349:R352)</f>
      </c>
      <c r="S353" s="429">
        <f>SUM(S349:S352)</f>
      </c>
      <c r="T353" s="429">
        <f>SUM(T349:T352)</f>
      </c>
      <c r="U353" s="429">
        <f>SUM(U349:U352)</f>
      </c>
    </row>
    <row r="354">
      <c r="A354" s="397"/>
      <c r="B354" s="413" t="s">
        <v>265</v>
      </c>
      <c r="C354" s="401" t="s">
        <v>235</v>
      </c>
      <c r="D354" s="399">
        <f t="shared" ref="D354:D357" si="59">SUM(E354:G354)</f>
      </c>
      <c r="E354" s="400"/>
      <c r="F354" s="401"/>
      <c r="G354" s="399"/>
      <c r="H354" s="402"/>
      <c r="I354" s="399"/>
      <c r="J354" s="403">
        <f t="shared" si="97"/>
      </c>
      <c r="K354" s="403">
        <f t="shared" si="158"/>
      </c>
      <c r="L354" s="403">
        <f t="shared" si="177"/>
      </c>
      <c r="M354" s="404">
        <f t="shared" si="120"/>
      </c>
      <c r="N354" s="405">
        <f t="shared" si="139"/>
      </c>
      <c r="O354" s="406">
        <f t="shared" si="78"/>
      </c>
      <c r="P354" s="456" t="s">
        <v>262</v>
      </c>
      <c r="Q354" s="423" t="s">
        <v>252</v>
      </c>
      <c r="R354" s="424"/>
      <c r="S354" s="425"/>
      <c r="T354" s="426"/>
      <c r="U354" s="426"/>
    </row>
    <row r="355">
      <c r="A355" s="397"/>
      <c r="B355" s="413" t="s">
        <v>265</v>
      </c>
      <c r="C355" s="414" t="s">
        <v>236</v>
      </c>
      <c r="D355" s="415">
        <f t="shared" si="59"/>
      </c>
      <c r="E355" s="416"/>
      <c r="F355" s="417"/>
      <c r="G355" s="401"/>
      <c r="H355" s="418"/>
      <c r="I355" s="417"/>
      <c r="J355" s="419">
        <f t="shared" si="97"/>
      </c>
      <c r="K355" s="419">
        <f t="shared" si="158"/>
      </c>
      <c r="L355" s="419">
        <f t="shared" si="177"/>
      </c>
      <c r="M355" s="420">
        <f t="shared" si="120"/>
      </c>
      <c r="N355" s="421">
        <f t="shared" si="139"/>
      </c>
      <c r="O355" s="422">
        <f t="shared" si="78"/>
      </c>
      <c r="P355" s="407" t="s">
        <v>262</v>
      </c>
      <c r="Q355" s="423" t="s">
        <v>252</v>
      </c>
      <c r="R355" s="453"/>
      <c r="S355" s="426"/>
      <c r="T355" s="426"/>
      <c r="U355" s="426"/>
    </row>
    <row r="356">
      <c r="A356" s="397"/>
      <c r="B356" s="413" t="s">
        <v>265</v>
      </c>
      <c r="C356" s="414" t="s">
        <v>237</v>
      </c>
      <c r="D356" s="415">
        <f t="shared" si="59"/>
      </c>
      <c r="E356" s="416"/>
      <c r="F356" s="417"/>
      <c r="G356" s="401"/>
      <c r="H356" s="418"/>
      <c r="I356" s="417"/>
      <c r="J356" s="419">
        <f t="shared" si="97"/>
      </c>
      <c r="K356" s="419">
        <f t="shared" si="158"/>
      </c>
      <c r="L356" s="419">
        <f t="shared" si="177"/>
      </c>
      <c r="M356" s="420">
        <f t="shared" si="120"/>
      </c>
      <c r="N356" s="421">
        <f t="shared" si="139"/>
      </c>
      <c r="O356" s="422">
        <f t="shared" si="78"/>
      </c>
      <c r="P356" s="407" t="s">
        <v>262</v>
      </c>
      <c r="Q356" s="423" t="s">
        <v>252</v>
      </c>
      <c r="R356" s="453"/>
      <c r="S356" s="426"/>
      <c r="T356" s="426"/>
      <c r="U356" s="426"/>
    </row>
    <row r="357">
      <c r="A357" s="397"/>
      <c r="B357" s="413" t="s">
        <v>265</v>
      </c>
      <c r="C357" s="414" t="s">
        <v>238</v>
      </c>
      <c r="D357" s="415">
        <f t="shared" si="59"/>
      </c>
      <c r="E357" s="416"/>
      <c r="F357" s="417"/>
      <c r="G357" s="417"/>
      <c r="H357" s="418"/>
      <c r="I357" s="417"/>
      <c r="J357" s="419">
        <f t="shared" si="97"/>
      </c>
      <c r="K357" s="419">
        <f t="shared" si="158"/>
      </c>
      <c r="L357" s="419">
        <f t="shared" si="177"/>
      </c>
      <c r="M357" s="420">
        <f t="shared" si="120"/>
      </c>
      <c r="N357" s="421">
        <f t="shared" si="139"/>
      </c>
      <c r="O357" s="422">
        <f t="shared" si="78"/>
      </c>
      <c r="P357" s="407" t="s">
        <v>262</v>
      </c>
      <c r="Q357" s="423" t="s">
        <v>252</v>
      </c>
      <c r="R357" s="453"/>
      <c r="S357" s="426"/>
      <c r="T357" s="426"/>
      <c r="U357" s="426"/>
    </row>
    <row r="358">
      <c r="A358" s="397"/>
      <c r="B358" s="427" t="s">
        <v>239</v>
      </c>
      <c r="C358" s="427"/>
      <c r="D358" s="428">
        <f>SUM(D354:D357)</f>
      </c>
      <c r="E358" s="428">
        <f>SUM(E354:E357)</f>
      </c>
      <c r="F358" s="428">
        <f>SUM(F354:F357)</f>
      </c>
      <c r="G358" s="428">
        <f>SUM(G354:G357)</f>
      </c>
      <c r="H358" s="428">
        <f>SUM(H354:H357)</f>
      </c>
      <c r="I358" s="428">
        <f>SUM(I354:I357)</f>
      </c>
      <c r="J358" s="430">
        <f t="shared" si="97"/>
      </c>
      <c r="K358" s="431">
        <f t="shared" si="158"/>
      </c>
      <c r="L358" s="432">
        <f t="shared" si="177"/>
      </c>
      <c r="M358" s="433">
        <f t="shared" si="120"/>
      </c>
      <c r="N358" s="433">
        <f t="shared" si="139"/>
      </c>
      <c r="O358" s="434">
        <f t="shared" si="78"/>
      </c>
      <c r="P358" s="434"/>
      <c r="Q358" s="434"/>
      <c r="R358" s="429">
        <f>SUM(R354:R357)</f>
      </c>
      <c r="S358" s="429">
        <f>SUM(S354:S357)</f>
      </c>
      <c r="T358" s="429">
        <f>SUM(T354:T357)</f>
      </c>
      <c r="U358" s="429">
        <f>SUM(U354:U357)</f>
      </c>
    </row>
    <row r="359">
      <c r="A359" s="397"/>
      <c r="B359" s="435" t="s">
        <v>240</v>
      </c>
      <c r="C359" s="435"/>
      <c r="D359" s="436">
        <f>D348+D353+D358</f>
      </c>
      <c r="E359" s="436">
        <f>E348+E353+E358</f>
      </c>
      <c r="F359" s="436">
        <f>F348+F353+F358</f>
      </c>
      <c r="G359" s="436">
        <f>G348+G353+G358</f>
      </c>
      <c r="H359" s="437">
        <f>H348+H353+H358</f>
      </c>
      <c r="I359" s="436">
        <f>I348+I353+I358</f>
      </c>
      <c r="J359" s="438">
        <f t="shared" si="97"/>
      </c>
      <c r="K359" s="438">
        <f t="shared" si="158"/>
      </c>
      <c r="L359" s="438">
        <f t="shared" si="177"/>
      </c>
      <c r="M359" s="439">
        <f t="shared" si="120"/>
      </c>
      <c r="N359" s="439">
        <f t="shared" si="139"/>
      </c>
      <c r="O359" s="438">
        <f t="shared" si="78"/>
      </c>
      <c r="P359" s="440"/>
      <c r="Q359" s="440"/>
      <c r="R359" s="437">
        <f>R348+R353+R358</f>
      </c>
      <c r="S359" s="437">
        <f>S348+S353+S358</f>
      </c>
      <c r="T359" s="437">
        <f>T348+T353+T358</f>
      </c>
      <c r="U359" s="437">
        <f>U348+U353+U358</f>
      </c>
    </row>
    <row r="360">
      <c r="A360" s="448"/>
      <c r="B360" s="448"/>
      <c r="C360" s="474"/>
      <c r="D360" s="475"/>
      <c r="E360" s="476"/>
      <c r="F360" s="448"/>
      <c r="G360" s="477"/>
      <c r="H360" s="478">
        <f>H361-H359</f>
      </c>
      <c r="I360" s="479">
        <f>I361-I359</f>
      </c>
      <c r="J360" s="448"/>
      <c r="K360" s="480"/>
      <c r="L360" s="448"/>
      <c r="M360" s="481"/>
      <c r="N360" s="448"/>
      <c r="O360" s="448"/>
      <c r="P360" s="448"/>
      <c r="Q360" s="448"/>
      <c r="R360" s="482"/>
      <c r="S360" s="482"/>
      <c r="T360" s="483">
        <f>T361-T359</f>
      </c>
      <c r="U360" s="483">
        <f>U361-U359</f>
      </c>
    </row>
    <row r="361">
      <c r="A361" s="448"/>
      <c r="B361" s="448"/>
      <c r="C361" s="474"/>
      <c r="D361" s="475"/>
      <c r="E361" s="448"/>
      <c r="F361" s="448"/>
      <c r="G361" s="476">
        <v>21903.87</v>
      </c>
      <c r="H361" s="484">
        <v>14</v>
      </c>
      <c r="I361" s="485">
        <v>10983.72</v>
      </c>
      <c r="J361" s="448">
        <f>G361/H361</f>
      </c>
      <c r="K361" s="474"/>
      <c r="L361" s="448"/>
      <c r="M361" s="481"/>
      <c r="N361" s="448"/>
      <c r="O361" s="448"/>
      <c r="P361" s="448"/>
      <c r="Q361" s="448"/>
      <c r="R361" s="482"/>
      <c r="S361" s="482"/>
      <c r="T361" s="486">
        <v>7</v>
      </c>
      <c r="U361" s="487">
        <v>78</v>
      </c>
    </row>
    <row r="362">
      <c r="A362" s="448"/>
      <c r="B362" s="448"/>
      <c r="C362" s="474"/>
      <c r="D362" s="475"/>
      <c r="E362" s="448"/>
      <c r="F362" s="448"/>
      <c r="G362" s="477"/>
      <c r="H362" s="478"/>
      <c r="I362" s="481"/>
      <c r="J362" s="448"/>
      <c r="K362" s="480"/>
      <c r="L362" s="448"/>
      <c r="M362" s="481"/>
      <c r="N362" s="448"/>
      <c r="O362" s="448"/>
      <c r="P362" s="448"/>
      <c r="Q362" s="448"/>
      <c r="R362" s="482"/>
      <c r="S362" s="482"/>
      <c r="T362" s="483"/>
      <c r="U362" s="474"/>
    </row>
    <row r="363">
      <c r="A363" s="448"/>
      <c r="B363" s="448"/>
      <c r="C363" s="474"/>
      <c r="D363" s="475"/>
      <c r="E363" s="448"/>
      <c r="F363" s="448"/>
      <c r="G363" s="477"/>
      <c r="H363" s="478"/>
      <c r="I363" s="481"/>
      <c r="J363" s="448"/>
      <c r="K363" s="480"/>
      <c r="L363" s="448"/>
      <c r="M363" s="481"/>
      <c r="N363" s="448"/>
      <c r="O363" s="448"/>
      <c r="P363" s="448"/>
      <c r="Q363" s="448"/>
      <c r="R363" s="482"/>
      <c r="S363" s="482"/>
      <c r="T363" s="483"/>
      <c r="U363" s="474"/>
    </row>
    <row r="364">
      <c r="A364" s="448"/>
      <c r="B364" s="448"/>
      <c r="C364" s="474"/>
      <c r="D364" s="475"/>
      <c r="E364" s="448"/>
      <c r="F364" s="448"/>
      <c r="G364" s="477"/>
      <c r="H364" s="478"/>
      <c r="I364" s="481"/>
      <c r="J364" s="448"/>
      <c r="K364" s="480"/>
      <c r="L364" s="448"/>
      <c r="M364" s="481"/>
      <c r="N364" s="448"/>
      <c r="O364" s="448"/>
      <c r="P364" s="448"/>
      <c r="Q364" s="448"/>
      <c r="R364" s="482"/>
      <c r="S364" s="482"/>
      <c r="T364" s="483"/>
      <c r="U364" s="474"/>
    </row>
    <row r="365">
      <c r="A365" s="448"/>
      <c r="B365" s="448"/>
      <c r="C365" s="474"/>
      <c r="D365" s="475"/>
      <c r="E365" s="448"/>
      <c r="F365" s="448"/>
      <c r="G365" s="477"/>
      <c r="H365" s="478"/>
      <c r="I365" s="481"/>
      <c r="J365" s="448"/>
      <c r="K365" s="480"/>
      <c r="L365" s="448"/>
      <c r="M365" s="481"/>
      <c r="N365" s="448"/>
      <c r="O365" s="448"/>
      <c r="P365" s="448"/>
      <c r="Q365" s="448"/>
      <c r="R365" s="482"/>
      <c r="S365" s="482"/>
      <c r="T365" s="483"/>
      <c r="U365" s="474"/>
    </row>
    <row r="366">
      <c r="A366" s="448"/>
      <c r="B366" s="448"/>
      <c r="C366" s="474"/>
      <c r="D366" s="475"/>
      <c r="E366" s="448"/>
      <c r="F366" s="448"/>
      <c r="G366" s="477"/>
      <c r="H366" s="478"/>
      <c r="I366" s="481"/>
      <c r="J366" s="448"/>
      <c r="K366" s="480"/>
      <c r="L366" s="448"/>
      <c r="M366" s="481"/>
      <c r="N366" s="448"/>
      <c r="O366" s="448"/>
      <c r="P366" s="448"/>
      <c r="Q366" s="448"/>
      <c r="R366" s="482"/>
      <c r="S366" s="482"/>
      <c r="T366" s="483"/>
      <c r="U366" s="474"/>
    </row>
    <row r="367">
      <c r="A367" s="448"/>
      <c r="B367" s="448"/>
      <c r="C367" s="474"/>
      <c r="D367" s="475"/>
      <c r="E367" s="448"/>
      <c r="F367" s="448"/>
      <c r="G367" s="477"/>
      <c r="H367" s="478"/>
      <c r="I367" s="481"/>
      <c r="J367" s="448"/>
      <c r="K367" s="480"/>
      <c r="L367" s="448"/>
      <c r="M367" s="481"/>
      <c r="N367" s="448"/>
      <c r="O367" s="448"/>
      <c r="P367" s="448"/>
      <c r="Q367" s="448"/>
      <c r="R367" s="482"/>
      <c r="S367" s="482"/>
      <c r="T367" s="483"/>
      <c r="U367" s="474"/>
    </row>
    <row r="368">
      <c r="A368" s="448"/>
      <c r="B368" s="448"/>
      <c r="C368" s="474"/>
      <c r="D368" s="475"/>
      <c r="E368" s="448"/>
      <c r="F368" s="448"/>
      <c r="G368" s="477"/>
      <c r="H368" s="478"/>
      <c r="I368" s="481"/>
      <c r="J368" s="448"/>
      <c r="K368" s="480"/>
      <c r="L368" s="448"/>
      <c r="M368" s="481"/>
      <c r="N368" s="448"/>
      <c r="O368" s="448"/>
      <c r="P368" s="448"/>
      <c r="Q368" s="448"/>
      <c r="R368" s="482"/>
      <c r="S368" s="482"/>
      <c r="T368" s="483"/>
      <c r="U368" s="474"/>
    </row>
    <row r="369">
      <c r="A369" s="448"/>
      <c r="B369" s="448"/>
      <c r="C369" s="474"/>
      <c r="D369" s="475"/>
      <c r="E369" s="448"/>
      <c r="F369" s="448"/>
      <c r="G369" s="477"/>
      <c r="H369" s="478"/>
      <c r="I369" s="481"/>
      <c r="J369" s="448"/>
      <c r="K369" s="480"/>
      <c r="L369" s="448"/>
      <c r="M369" s="481"/>
      <c r="N369" s="448"/>
      <c r="O369" s="448"/>
      <c r="P369" s="448"/>
      <c r="Q369" s="448"/>
      <c r="R369" s="482"/>
      <c r="S369" s="482"/>
      <c r="T369" s="483"/>
      <c r="U369" s="474"/>
    </row>
    <row r="370">
      <c r="A370" s="448"/>
      <c r="B370" s="448"/>
      <c r="C370" s="474"/>
      <c r="D370" s="475"/>
      <c r="E370" s="448"/>
      <c r="F370" s="448"/>
      <c r="G370" s="477"/>
      <c r="H370" s="478"/>
      <c r="I370" s="481"/>
      <c r="J370" s="448"/>
      <c r="K370" s="480"/>
      <c r="L370" s="448"/>
      <c r="M370" s="481"/>
      <c r="N370" s="448"/>
      <c r="O370" s="448"/>
      <c r="P370" s="448"/>
      <c r="Q370" s="448"/>
      <c r="R370" s="482"/>
      <c r="S370" s="482"/>
      <c r="T370" s="483"/>
      <c r="U370" s="474"/>
    </row>
    <row r="371">
      <c r="A371" s="448"/>
      <c r="B371" s="448"/>
      <c r="C371" s="474"/>
      <c r="D371" s="475"/>
      <c r="E371" s="448"/>
      <c r="F371" s="448"/>
      <c r="G371" s="477"/>
      <c r="H371" s="478"/>
      <c r="I371" s="481"/>
      <c r="J371" s="448"/>
      <c r="K371" s="480"/>
      <c r="L371" s="448"/>
      <c r="M371" s="481"/>
      <c r="N371" s="448"/>
      <c r="O371" s="448"/>
      <c r="P371" s="448"/>
      <c r="Q371" s="448"/>
      <c r="R371" s="482"/>
      <c r="S371" s="482"/>
      <c r="T371" s="483"/>
      <c r="U371" s="474"/>
    </row>
    <row r="372">
      <c r="A372" s="448"/>
      <c r="B372" s="448"/>
      <c r="C372" s="474"/>
      <c r="D372" s="475"/>
      <c r="E372" s="448"/>
      <c r="F372" s="448"/>
      <c r="G372" s="477"/>
      <c r="H372" s="478"/>
      <c r="I372" s="481"/>
      <c r="J372" s="448"/>
      <c r="K372" s="480"/>
      <c r="L372" s="448"/>
      <c r="M372" s="481"/>
      <c r="N372" s="448"/>
      <c r="O372" s="448"/>
      <c r="P372" s="448"/>
      <c r="Q372" s="448"/>
      <c r="R372" s="482"/>
      <c r="S372" s="482"/>
      <c r="T372" s="483"/>
      <c r="U372" s="474"/>
    </row>
    <row r="373">
      <c r="A373" s="448"/>
      <c r="B373" s="448"/>
      <c r="C373" s="474"/>
      <c r="D373" s="475"/>
      <c r="E373" s="448"/>
      <c r="F373" s="448"/>
      <c r="G373" s="477"/>
      <c r="H373" s="478"/>
      <c r="I373" s="481"/>
      <c r="J373" s="448"/>
      <c r="K373" s="480"/>
      <c r="L373" s="448"/>
      <c r="M373" s="481"/>
      <c r="N373" s="448"/>
      <c r="O373" s="448"/>
      <c r="P373" s="448"/>
      <c r="Q373" s="448"/>
      <c r="R373" s="482"/>
      <c r="S373" s="482"/>
      <c r="T373" s="483"/>
      <c r="U373" s="474"/>
    </row>
    <row r="374">
      <c r="A374" s="448"/>
      <c r="B374" s="448"/>
      <c r="C374" s="474"/>
      <c r="D374" s="475"/>
      <c r="E374" s="448"/>
      <c r="F374" s="448"/>
      <c r="G374" s="477"/>
      <c r="H374" s="478"/>
      <c r="I374" s="481"/>
      <c r="J374" s="448"/>
      <c r="K374" s="480"/>
      <c r="L374" s="448"/>
      <c r="M374" s="481"/>
      <c r="N374" s="448"/>
      <c r="O374" s="448"/>
      <c r="P374" s="448"/>
      <c r="Q374" s="448"/>
      <c r="R374" s="482"/>
      <c r="S374" s="482"/>
      <c r="T374" s="483"/>
      <c r="U374" s="474"/>
    </row>
    <row r="375">
      <c r="A375" s="448"/>
      <c r="B375" s="448"/>
      <c r="C375" s="474"/>
      <c r="D375" s="475"/>
      <c r="E375" s="448"/>
      <c r="F375" s="448"/>
      <c r="G375" s="477"/>
      <c r="H375" s="478"/>
      <c r="I375" s="481"/>
      <c r="J375" s="448"/>
      <c r="K375" s="480"/>
      <c r="L375" s="448"/>
      <c r="M375" s="481"/>
      <c r="N375" s="448"/>
      <c r="O375" s="448"/>
      <c r="P375" s="448"/>
      <c r="Q375" s="448"/>
      <c r="R375" s="482"/>
      <c r="S375" s="482"/>
      <c r="T375" s="483"/>
      <c r="U375" s="474"/>
    </row>
    <row r="376">
      <c r="A376" s="448"/>
      <c r="B376" s="448"/>
      <c r="C376" s="474"/>
      <c r="D376" s="475"/>
      <c r="E376" s="448"/>
      <c r="F376" s="448"/>
      <c r="G376" s="477"/>
      <c r="H376" s="478"/>
      <c r="I376" s="481"/>
      <c r="J376" s="448"/>
      <c r="K376" s="480"/>
      <c r="L376" s="448"/>
      <c r="M376" s="481"/>
      <c r="N376" s="448"/>
      <c r="O376" s="448"/>
      <c r="P376" s="448"/>
      <c r="Q376" s="448"/>
      <c r="R376" s="482"/>
      <c r="S376" s="482"/>
      <c r="T376" s="483"/>
      <c r="U376" s="474"/>
    </row>
    <row r="377">
      <c r="A377" s="448"/>
      <c r="B377" s="448"/>
      <c r="C377" s="474"/>
      <c r="D377" s="475"/>
      <c r="E377" s="448"/>
      <c r="F377" s="448"/>
      <c r="G377" s="477"/>
      <c r="H377" s="478"/>
      <c r="I377" s="481"/>
      <c r="J377" s="448"/>
      <c r="K377" s="480"/>
      <c r="L377" s="448"/>
      <c r="M377" s="481"/>
      <c r="N377" s="448"/>
      <c r="O377" s="448"/>
      <c r="P377" s="448"/>
      <c r="Q377" s="448"/>
      <c r="R377" s="482"/>
      <c r="S377" s="482"/>
      <c r="T377" s="483"/>
      <c r="U377" s="474"/>
    </row>
    <row r="378">
      <c r="A378" s="448"/>
      <c r="B378" s="448"/>
      <c r="C378" s="474"/>
      <c r="D378" s="475"/>
      <c r="E378" s="448"/>
      <c r="F378" s="448"/>
      <c r="G378" s="477"/>
      <c r="H378" s="478"/>
      <c r="I378" s="481"/>
      <c r="J378" s="448"/>
      <c r="K378" s="480"/>
      <c r="L378" s="448"/>
      <c r="M378" s="481"/>
      <c r="N378" s="448"/>
      <c r="O378" s="448"/>
      <c r="P378" s="448"/>
      <c r="Q378" s="448"/>
      <c r="R378" s="482"/>
      <c r="S378" s="482"/>
      <c r="T378" s="483"/>
      <c r="U378" s="474"/>
    </row>
    <row r="379">
      <c r="A379" s="448"/>
      <c r="B379" s="448"/>
      <c r="C379" s="474"/>
      <c r="D379" s="475"/>
      <c r="E379" s="448"/>
      <c r="F379" s="448"/>
      <c r="G379" s="477"/>
      <c r="H379" s="478"/>
      <c r="I379" s="481"/>
      <c r="J379" s="448"/>
      <c r="K379" s="480"/>
      <c r="L379" s="448"/>
      <c r="M379" s="481"/>
      <c r="N379" s="448"/>
      <c r="O379" s="448"/>
      <c r="P379" s="448"/>
      <c r="Q379" s="448"/>
      <c r="R379" s="482"/>
      <c r="S379" s="482"/>
      <c r="T379" s="483"/>
      <c r="U379" s="474"/>
    </row>
    <row r="380">
      <c r="A380" s="448"/>
      <c r="B380" s="448"/>
      <c r="C380" s="474"/>
      <c r="D380" s="475"/>
      <c r="E380" s="448"/>
      <c r="F380" s="448"/>
      <c r="G380" s="477"/>
      <c r="H380" s="478"/>
      <c r="I380" s="481"/>
      <c r="J380" s="448"/>
      <c r="K380" s="480"/>
      <c r="L380" s="448"/>
      <c r="M380" s="481"/>
      <c r="N380" s="448"/>
      <c r="O380" s="448"/>
      <c r="P380" s="448"/>
      <c r="Q380" s="448"/>
      <c r="R380" s="482"/>
      <c r="S380" s="482"/>
      <c r="T380" s="483"/>
      <c r="U380" s="474"/>
    </row>
    <row r="381">
      <c r="A381" s="448"/>
      <c r="B381" s="448"/>
      <c r="C381" s="474"/>
      <c r="D381" s="475"/>
      <c r="E381" s="448"/>
      <c r="F381" s="448"/>
      <c r="G381" s="477"/>
      <c r="H381" s="478"/>
      <c r="I381" s="481"/>
      <c r="J381" s="448"/>
      <c r="K381" s="480"/>
      <c r="L381" s="448"/>
      <c r="M381" s="481"/>
      <c r="N381" s="448"/>
      <c r="O381" s="448"/>
      <c r="P381" s="448"/>
      <c r="Q381" s="448"/>
      <c r="R381" s="482"/>
      <c r="S381" s="482"/>
      <c r="T381" s="483"/>
      <c r="U381" s="474"/>
    </row>
    <row r="382">
      <c r="A382" s="448"/>
      <c r="B382" s="448"/>
      <c r="C382" s="474"/>
      <c r="D382" s="475"/>
      <c r="E382" s="448"/>
      <c r="F382" s="448"/>
      <c r="G382" s="477"/>
      <c r="H382" s="478"/>
      <c r="I382" s="481"/>
      <c r="J382" s="448"/>
      <c r="K382" s="480"/>
      <c r="L382" s="448"/>
      <c r="M382" s="481"/>
      <c r="N382" s="448"/>
      <c r="O382" s="448"/>
      <c r="P382" s="448"/>
      <c r="Q382" s="448"/>
      <c r="R382" s="482"/>
      <c r="S382" s="482"/>
      <c r="T382" s="483"/>
      <c r="U382" s="474"/>
    </row>
    <row r="383">
      <c r="A383" s="448"/>
      <c r="B383" s="448"/>
      <c r="C383" s="474"/>
      <c r="D383" s="475"/>
      <c r="E383" s="448"/>
      <c r="F383" s="448"/>
      <c r="G383" s="477"/>
      <c r="H383" s="478"/>
      <c r="I383" s="481"/>
      <c r="J383" s="448"/>
      <c r="K383" s="480"/>
      <c r="L383" s="448"/>
      <c r="M383" s="481"/>
      <c r="N383" s="448"/>
      <c r="O383" s="448"/>
      <c r="P383" s="448"/>
      <c r="Q383" s="448"/>
      <c r="R383" s="482"/>
      <c r="S383" s="482"/>
      <c r="T383" s="483"/>
      <c r="U383" s="474"/>
    </row>
    <row r="384">
      <c r="A384" s="448"/>
      <c r="B384" s="448"/>
      <c r="C384" s="474"/>
      <c r="D384" s="475"/>
      <c r="E384" s="448"/>
      <c r="F384" s="448"/>
      <c r="G384" s="477"/>
      <c r="H384" s="478"/>
      <c r="I384" s="481"/>
      <c r="J384" s="448"/>
      <c r="K384" s="480"/>
      <c r="L384" s="448"/>
      <c r="M384" s="481"/>
      <c r="N384" s="448"/>
      <c r="O384" s="448"/>
      <c r="P384" s="448"/>
      <c r="Q384" s="448"/>
      <c r="R384" s="482"/>
      <c r="S384" s="482"/>
      <c r="T384" s="483"/>
      <c r="U384" s="474"/>
    </row>
    <row r="385">
      <c r="A385" s="448"/>
      <c r="B385" s="448"/>
      <c r="C385" s="474"/>
      <c r="D385" s="475"/>
      <c r="E385" s="448"/>
      <c r="F385" s="448"/>
      <c r="G385" s="477"/>
      <c r="H385" s="478"/>
      <c r="I385" s="481"/>
      <c r="J385" s="448"/>
      <c r="K385" s="480"/>
      <c r="L385" s="448"/>
      <c r="M385" s="481"/>
      <c r="N385" s="448"/>
      <c r="O385" s="448"/>
      <c r="P385" s="448"/>
      <c r="Q385" s="448"/>
      <c r="R385" s="482"/>
      <c r="S385" s="482"/>
      <c r="T385" s="483"/>
      <c r="U385" s="474"/>
    </row>
    <row r="386">
      <c r="A386" s="448"/>
      <c r="B386" s="448"/>
      <c r="C386" s="474"/>
      <c r="D386" s="475"/>
      <c r="E386" s="448"/>
      <c r="F386" s="448"/>
      <c r="G386" s="477"/>
      <c r="H386" s="478"/>
      <c r="I386" s="481"/>
      <c r="J386" s="448"/>
      <c r="K386" s="480"/>
      <c r="L386" s="448"/>
      <c r="M386" s="481"/>
      <c r="N386" s="448"/>
      <c r="O386" s="448"/>
      <c r="P386" s="448"/>
      <c r="Q386" s="448"/>
      <c r="R386" s="482"/>
      <c r="S386" s="482"/>
      <c r="T386" s="483"/>
      <c r="U386" s="474"/>
    </row>
    <row r="387">
      <c r="A387" s="448"/>
      <c r="B387" s="448"/>
      <c r="C387" s="474"/>
      <c r="D387" s="475"/>
      <c r="E387" s="448"/>
      <c r="F387" s="448"/>
      <c r="G387" s="477"/>
      <c r="H387" s="478"/>
      <c r="I387" s="481"/>
      <c r="J387" s="448"/>
      <c r="K387" s="480"/>
      <c r="L387" s="448"/>
      <c r="M387" s="481"/>
      <c r="N387" s="448"/>
      <c r="O387" s="448"/>
      <c r="P387" s="448"/>
      <c r="Q387" s="448"/>
      <c r="R387" s="482"/>
      <c r="S387" s="482"/>
      <c r="T387" s="483"/>
      <c r="U387" s="474"/>
    </row>
    <row r="388">
      <c r="A388" s="448"/>
      <c r="B388" s="448"/>
      <c r="C388" s="474"/>
      <c r="D388" s="475"/>
      <c r="E388" s="448"/>
      <c r="F388" s="448"/>
      <c r="G388" s="477"/>
      <c r="H388" s="478"/>
      <c r="I388" s="481"/>
      <c r="J388" s="448"/>
      <c r="K388" s="480"/>
      <c r="L388" s="448"/>
      <c r="M388" s="481"/>
      <c r="N388" s="448"/>
      <c r="O388" s="448"/>
      <c r="P388" s="448"/>
      <c r="Q388" s="448"/>
      <c r="R388" s="482"/>
      <c r="S388" s="482"/>
      <c r="T388" s="483"/>
      <c r="U388" s="474"/>
    </row>
    <row r="389">
      <c r="A389" s="448"/>
      <c r="B389" s="448"/>
      <c r="C389" s="474"/>
      <c r="D389" s="475"/>
      <c r="E389" s="448"/>
      <c r="F389" s="448"/>
      <c r="G389" s="477"/>
      <c r="H389" s="478"/>
      <c r="I389" s="481"/>
      <c r="J389" s="448"/>
      <c r="K389" s="480"/>
      <c r="L389" s="448"/>
      <c r="M389" s="481"/>
      <c r="N389" s="448"/>
      <c r="O389" s="448"/>
      <c r="P389" s="448"/>
      <c r="Q389" s="448"/>
      <c r="R389" s="482"/>
      <c r="S389" s="482"/>
      <c r="T389" s="483"/>
      <c r="U389" s="474"/>
    </row>
    <row r="390">
      <c r="A390" s="448"/>
      <c r="B390" s="448"/>
      <c r="C390" s="474"/>
      <c r="D390" s="475"/>
      <c r="E390" s="448"/>
      <c r="F390" s="448"/>
      <c r="G390" s="477"/>
      <c r="H390" s="478"/>
      <c r="I390" s="481"/>
      <c r="J390" s="448"/>
      <c r="K390" s="480"/>
      <c r="L390" s="448"/>
      <c r="M390" s="481"/>
      <c r="N390" s="448"/>
      <c r="O390" s="448"/>
      <c r="P390" s="448"/>
      <c r="Q390" s="448"/>
      <c r="R390" s="482"/>
      <c r="S390" s="482"/>
      <c r="T390" s="483"/>
      <c r="U390" s="474"/>
    </row>
    <row r="391">
      <c r="A391" s="448"/>
      <c r="B391" s="448"/>
      <c r="C391" s="474"/>
      <c r="D391" s="475"/>
      <c r="E391" s="448"/>
      <c r="F391" s="448"/>
      <c r="G391" s="477"/>
      <c r="H391" s="478"/>
      <c r="I391" s="481"/>
      <c r="J391" s="448"/>
      <c r="K391" s="480"/>
      <c r="L391" s="448"/>
      <c r="M391" s="481"/>
      <c r="N391" s="448"/>
      <c r="O391" s="448"/>
      <c r="P391" s="448"/>
      <c r="Q391" s="448"/>
      <c r="R391" s="482"/>
      <c r="S391" s="482"/>
      <c r="T391" s="483"/>
      <c r="U391" s="474"/>
    </row>
    <row r="392">
      <c r="A392" s="448"/>
      <c r="B392" s="448"/>
      <c r="C392" s="474"/>
      <c r="D392" s="475"/>
      <c r="E392" s="448"/>
      <c r="F392" s="448"/>
      <c r="G392" s="477"/>
      <c r="H392" s="478"/>
      <c r="I392" s="481"/>
      <c r="J392" s="448"/>
      <c r="K392" s="480"/>
      <c r="L392" s="448"/>
      <c r="M392" s="481"/>
      <c r="N392" s="448"/>
      <c r="O392" s="448"/>
      <c r="P392" s="448"/>
      <c r="Q392" s="448"/>
      <c r="R392" s="482"/>
      <c r="S392" s="482"/>
      <c r="T392" s="483"/>
      <c r="U392" s="474"/>
    </row>
    <row r="393">
      <c r="A393" s="448"/>
      <c r="B393" s="448"/>
      <c r="C393" s="474"/>
      <c r="D393" s="475"/>
      <c r="E393" s="448"/>
      <c r="F393" s="448"/>
      <c r="G393" s="477"/>
      <c r="H393" s="478"/>
      <c r="I393" s="481"/>
      <c r="J393" s="448"/>
      <c r="K393" s="480"/>
      <c r="L393" s="448"/>
      <c r="M393" s="481"/>
      <c r="N393" s="448"/>
      <c r="O393" s="448"/>
      <c r="P393" s="448"/>
      <c r="Q393" s="448"/>
      <c r="R393" s="482"/>
      <c r="S393" s="482"/>
      <c r="T393" s="483"/>
      <c r="U393" s="474"/>
    </row>
    <row r="394">
      <c r="A394" s="448"/>
      <c r="B394" s="448"/>
      <c r="C394" s="474"/>
      <c r="D394" s="475"/>
      <c r="E394" s="448"/>
      <c r="F394" s="448"/>
      <c r="G394" s="477"/>
      <c r="H394" s="478"/>
      <c r="I394" s="481"/>
      <c r="J394" s="448"/>
      <c r="K394" s="480"/>
      <c r="L394" s="448"/>
      <c r="M394" s="481"/>
      <c r="N394" s="448"/>
      <c r="O394" s="448"/>
      <c r="P394" s="448"/>
      <c r="Q394" s="448"/>
      <c r="R394" s="482"/>
      <c r="S394" s="482"/>
      <c r="T394" s="483"/>
      <c r="U394" s="474"/>
    </row>
    <row r="395">
      <c r="A395" s="448"/>
      <c r="B395" s="448"/>
      <c r="C395" s="474"/>
      <c r="D395" s="475"/>
      <c r="E395" s="448"/>
      <c r="F395" s="448"/>
      <c r="G395" s="477"/>
      <c r="H395" s="478"/>
      <c r="I395" s="481"/>
      <c r="J395" s="448"/>
      <c r="K395" s="480"/>
      <c r="L395" s="448"/>
      <c r="M395" s="481"/>
      <c r="N395" s="448"/>
      <c r="O395" s="448"/>
      <c r="P395" s="448"/>
      <c r="Q395" s="448"/>
      <c r="R395" s="482"/>
      <c r="S395" s="482"/>
      <c r="T395" s="483"/>
      <c r="U395" s="474"/>
    </row>
    <row r="396">
      <c r="A396" s="448"/>
      <c r="B396" s="448"/>
      <c r="C396" s="474"/>
      <c r="D396" s="475"/>
      <c r="E396" s="448"/>
      <c r="F396" s="448"/>
      <c r="G396" s="477"/>
      <c r="H396" s="478"/>
      <c r="I396" s="481"/>
      <c r="J396" s="448"/>
      <c r="K396" s="480"/>
      <c r="L396" s="448"/>
      <c r="M396" s="481"/>
      <c r="N396" s="448"/>
      <c r="O396" s="448"/>
      <c r="P396" s="448"/>
      <c r="Q396" s="448"/>
      <c r="R396" s="482"/>
      <c r="S396" s="482"/>
      <c r="T396" s="483"/>
      <c r="U396" s="474"/>
    </row>
    <row r="397">
      <c r="A397" s="448"/>
      <c r="B397" s="448"/>
      <c r="C397" s="474"/>
      <c r="D397" s="475"/>
      <c r="E397" s="448"/>
      <c r="F397" s="448"/>
      <c r="G397" s="477"/>
      <c r="H397" s="478"/>
      <c r="I397" s="481"/>
      <c r="J397" s="448"/>
      <c r="K397" s="480"/>
      <c r="L397" s="448"/>
      <c r="M397" s="481"/>
      <c r="N397" s="448"/>
      <c r="O397" s="448"/>
      <c r="P397" s="448"/>
      <c r="Q397" s="448"/>
      <c r="R397" s="482"/>
      <c r="S397" s="482"/>
      <c r="T397" s="483"/>
      <c r="U397" s="474"/>
    </row>
    <row r="398">
      <c r="A398" s="448"/>
      <c r="B398" s="448"/>
      <c r="C398" s="474"/>
      <c r="D398" s="475"/>
      <c r="E398" s="448"/>
      <c r="F398" s="448"/>
      <c r="G398" s="477"/>
      <c r="H398" s="478"/>
      <c r="I398" s="481"/>
      <c r="J398" s="448"/>
      <c r="K398" s="480"/>
      <c r="L398" s="448"/>
      <c r="M398" s="481"/>
      <c r="N398" s="448"/>
      <c r="O398" s="448"/>
      <c r="P398" s="448"/>
      <c r="Q398" s="448"/>
      <c r="R398" s="482"/>
      <c r="S398" s="482"/>
      <c r="T398" s="483"/>
      <c r="U398" s="474"/>
    </row>
    <row r="399">
      <c r="A399" s="448"/>
      <c r="B399" s="448"/>
      <c r="C399" s="474"/>
      <c r="D399" s="475"/>
      <c r="E399" s="448"/>
      <c r="F399" s="448"/>
      <c r="G399" s="477"/>
      <c r="H399" s="478"/>
      <c r="I399" s="481"/>
      <c r="J399" s="448"/>
      <c r="K399" s="480"/>
      <c r="L399" s="448"/>
      <c r="M399" s="481"/>
      <c r="N399" s="448"/>
      <c r="O399" s="448"/>
      <c r="P399" s="448"/>
      <c r="Q399" s="448"/>
      <c r="R399" s="482"/>
      <c r="S399" s="482"/>
      <c r="T399" s="483"/>
      <c r="U399" s="474"/>
    </row>
    <row r="400">
      <c r="A400" s="448"/>
      <c r="B400" s="448"/>
      <c r="C400" s="474"/>
      <c r="D400" s="475"/>
      <c r="E400" s="448"/>
      <c r="F400" s="448"/>
      <c r="G400" s="477"/>
      <c r="H400" s="478"/>
      <c r="I400" s="481"/>
      <c r="J400" s="448"/>
      <c r="K400" s="480"/>
      <c r="L400" s="448"/>
      <c r="M400" s="481"/>
      <c r="N400" s="448"/>
      <c r="O400" s="448"/>
      <c r="P400" s="448"/>
      <c r="Q400" s="448"/>
      <c r="R400" s="482"/>
      <c r="S400" s="482"/>
      <c r="T400" s="483"/>
      <c r="U400" s="474"/>
    </row>
    <row r="401">
      <c r="A401" s="448"/>
      <c r="B401" s="448"/>
      <c r="C401" s="474"/>
      <c r="D401" s="475"/>
      <c r="E401" s="448"/>
      <c r="F401" s="448"/>
      <c r="G401" s="477"/>
      <c r="H401" s="478"/>
      <c r="I401" s="481"/>
      <c r="J401" s="448"/>
      <c r="K401" s="480"/>
      <c r="L401" s="448"/>
      <c r="M401" s="481"/>
      <c r="N401" s="448"/>
      <c r="O401" s="448"/>
      <c r="P401" s="448"/>
      <c r="Q401" s="448"/>
      <c r="R401" s="482"/>
      <c r="S401" s="482"/>
      <c r="T401" s="483"/>
      <c r="U401" s="474"/>
    </row>
    <row r="402">
      <c r="A402" s="448"/>
      <c r="B402" s="448"/>
      <c r="C402" s="474"/>
      <c r="D402" s="475"/>
      <c r="E402" s="448"/>
      <c r="F402" s="448"/>
      <c r="G402" s="477"/>
      <c r="H402" s="478"/>
      <c r="I402" s="481"/>
      <c r="J402" s="448"/>
      <c r="K402" s="480"/>
      <c r="L402" s="448"/>
      <c r="M402" s="481"/>
      <c r="N402" s="448"/>
      <c r="O402" s="448"/>
      <c r="P402" s="448"/>
      <c r="Q402" s="448"/>
      <c r="R402" s="482"/>
      <c r="S402" s="482"/>
      <c r="T402" s="483"/>
      <c r="U402" s="474"/>
    </row>
    <row r="403">
      <c r="A403" s="448"/>
      <c r="B403" s="448"/>
      <c r="C403" s="474"/>
      <c r="D403" s="475"/>
      <c r="E403" s="448"/>
      <c r="F403" s="448"/>
      <c r="G403" s="477"/>
      <c r="H403" s="478"/>
      <c r="I403" s="481"/>
      <c r="J403" s="448"/>
      <c r="K403" s="480"/>
      <c r="L403" s="448"/>
      <c r="M403" s="481"/>
      <c r="N403" s="448"/>
      <c r="O403" s="448"/>
      <c r="P403" s="448"/>
      <c r="Q403" s="448"/>
      <c r="R403" s="482"/>
      <c r="S403" s="482"/>
      <c r="T403" s="483"/>
      <c r="U403" s="474"/>
    </row>
    <row r="404">
      <c r="A404" s="448"/>
      <c r="B404" s="448"/>
      <c r="C404" s="474"/>
      <c r="D404" s="475"/>
      <c r="E404" s="448"/>
      <c r="F404" s="448"/>
      <c r="G404" s="477"/>
      <c r="H404" s="478"/>
      <c r="I404" s="481"/>
      <c r="J404" s="448"/>
      <c r="K404" s="480"/>
      <c r="L404" s="448"/>
      <c r="M404" s="481"/>
      <c r="N404" s="448"/>
      <c r="O404" s="448"/>
      <c r="P404" s="448"/>
      <c r="Q404" s="448"/>
      <c r="R404" s="482"/>
      <c r="S404" s="482"/>
      <c r="T404" s="483"/>
      <c r="U404" s="474"/>
    </row>
    <row r="405">
      <c r="A405" s="448"/>
      <c r="B405" s="448"/>
      <c r="C405" s="474"/>
      <c r="D405" s="475"/>
      <c r="E405" s="448"/>
      <c r="F405" s="448"/>
      <c r="G405" s="477"/>
      <c r="H405" s="478"/>
      <c r="I405" s="481"/>
      <c r="J405" s="448"/>
      <c r="K405" s="480"/>
      <c r="L405" s="448"/>
      <c r="M405" s="481"/>
      <c r="N405" s="448"/>
      <c r="O405" s="448"/>
      <c r="P405" s="448"/>
      <c r="Q405" s="448"/>
      <c r="R405" s="482"/>
      <c r="S405" s="482"/>
      <c r="T405" s="483"/>
      <c r="U405" s="474"/>
    </row>
    <row r="406">
      <c r="A406" s="448"/>
      <c r="B406" s="448"/>
      <c r="C406" s="474"/>
      <c r="D406" s="475"/>
      <c r="E406" s="448"/>
      <c r="F406" s="448"/>
      <c r="G406" s="477"/>
      <c r="H406" s="478"/>
      <c r="I406" s="481"/>
      <c r="J406" s="448"/>
      <c r="K406" s="480"/>
      <c r="L406" s="448"/>
      <c r="M406" s="481"/>
      <c r="N406" s="448"/>
      <c r="O406" s="448"/>
      <c r="P406" s="448"/>
      <c r="Q406" s="448"/>
      <c r="R406" s="482"/>
      <c r="S406" s="482"/>
      <c r="T406" s="483"/>
      <c r="U406" s="474"/>
    </row>
    <row r="407">
      <c r="A407" s="448"/>
      <c r="B407" s="448"/>
      <c r="C407" s="474"/>
      <c r="D407" s="475"/>
      <c r="E407" s="448"/>
      <c r="F407" s="448"/>
      <c r="G407" s="477"/>
      <c r="H407" s="478"/>
      <c r="I407" s="481"/>
      <c r="J407" s="448"/>
      <c r="K407" s="480"/>
      <c r="L407" s="448"/>
      <c r="M407" s="481"/>
      <c r="N407" s="448"/>
      <c r="O407" s="448"/>
      <c r="P407" s="448"/>
      <c r="Q407" s="448"/>
      <c r="R407" s="482"/>
      <c r="S407" s="482"/>
      <c r="T407" s="483"/>
      <c r="U407" s="474"/>
    </row>
    <row r="408">
      <c r="A408" s="448"/>
      <c r="B408" s="448"/>
      <c r="C408" s="474"/>
      <c r="D408" s="475"/>
      <c r="E408" s="448"/>
      <c r="F408" s="448"/>
      <c r="G408" s="477"/>
      <c r="H408" s="478"/>
      <c r="I408" s="481"/>
      <c r="J408" s="448"/>
      <c r="K408" s="480"/>
      <c r="L408" s="448"/>
      <c r="M408" s="481"/>
      <c r="N408" s="448"/>
      <c r="O408" s="448"/>
      <c r="P408" s="448"/>
      <c r="Q408" s="448"/>
      <c r="R408" s="482"/>
      <c r="S408" s="482"/>
      <c r="T408" s="483"/>
      <c r="U408" s="474"/>
    </row>
    <row r="409">
      <c r="A409" s="448"/>
      <c r="B409" s="448"/>
      <c r="C409" s="474"/>
      <c r="D409" s="475"/>
      <c r="E409" s="448"/>
      <c r="F409" s="448"/>
      <c r="G409" s="477"/>
      <c r="H409" s="478"/>
      <c r="I409" s="481"/>
      <c r="J409" s="448"/>
      <c r="K409" s="480"/>
      <c r="L409" s="448"/>
      <c r="M409" s="481"/>
      <c r="N409" s="448"/>
      <c r="O409" s="448"/>
      <c r="P409" s="448"/>
      <c r="Q409" s="448"/>
      <c r="R409" s="482"/>
      <c r="S409" s="482"/>
      <c r="T409" s="483"/>
      <c r="U409" s="474"/>
    </row>
    <row r="410">
      <c r="A410" s="448"/>
      <c r="B410" s="448"/>
      <c r="C410" s="474"/>
      <c r="D410" s="475"/>
      <c r="E410" s="448"/>
      <c r="F410" s="448"/>
      <c r="G410" s="477"/>
      <c r="H410" s="478"/>
      <c r="I410" s="481"/>
      <c r="J410" s="448"/>
      <c r="K410" s="480"/>
      <c r="L410" s="448"/>
      <c r="M410" s="481"/>
      <c r="N410" s="448"/>
      <c r="O410" s="448"/>
      <c r="P410" s="448"/>
      <c r="Q410" s="448"/>
      <c r="R410" s="482"/>
      <c r="S410" s="482"/>
      <c r="T410" s="483"/>
      <c r="U410" s="474"/>
    </row>
    <row r="411">
      <c r="A411" s="448"/>
      <c r="B411" s="448"/>
      <c r="C411" s="474"/>
      <c r="D411" s="475"/>
      <c r="E411" s="448"/>
      <c r="F411" s="448"/>
      <c r="G411" s="477"/>
      <c r="H411" s="478"/>
      <c r="I411" s="481"/>
      <c r="J411" s="448"/>
      <c r="K411" s="480"/>
      <c r="L411" s="448"/>
      <c r="M411" s="481"/>
      <c r="N411" s="448"/>
      <c r="O411" s="448"/>
      <c r="P411" s="448"/>
      <c r="Q411" s="448"/>
      <c r="R411" s="482"/>
      <c r="S411" s="482"/>
      <c r="T411" s="483"/>
      <c r="U411" s="474"/>
    </row>
    <row r="412">
      <c r="A412" s="448"/>
      <c r="B412" s="448"/>
      <c r="C412" s="474"/>
      <c r="D412" s="475"/>
      <c r="E412" s="448"/>
      <c r="F412" s="448"/>
      <c r="G412" s="477"/>
      <c r="H412" s="478"/>
      <c r="I412" s="481"/>
      <c r="J412" s="448"/>
      <c r="K412" s="480"/>
      <c r="L412" s="448"/>
      <c r="M412" s="481"/>
      <c r="N412" s="448"/>
      <c r="O412" s="448"/>
      <c r="P412" s="448"/>
      <c r="Q412" s="448"/>
      <c r="R412" s="482"/>
      <c r="S412" s="482"/>
      <c r="T412" s="483"/>
      <c r="U412" s="474"/>
    </row>
    <row r="413">
      <c r="A413" s="448"/>
      <c r="B413" s="448"/>
      <c r="C413" s="474"/>
      <c r="D413" s="475"/>
      <c r="E413" s="448"/>
      <c r="F413" s="448"/>
      <c r="G413" s="477"/>
      <c r="H413" s="478"/>
      <c r="I413" s="481"/>
      <c r="J413" s="448"/>
      <c r="K413" s="480"/>
      <c r="L413" s="448"/>
      <c r="M413" s="481"/>
      <c r="N413" s="448"/>
      <c r="O413" s="448"/>
      <c r="P413" s="448"/>
      <c r="Q413" s="448"/>
      <c r="R413" s="482"/>
      <c r="S413" s="482"/>
      <c r="T413" s="483"/>
      <c r="U413" s="474"/>
    </row>
    <row r="414">
      <c r="A414" s="448"/>
      <c r="B414" s="448"/>
      <c r="C414" s="474"/>
      <c r="D414" s="475"/>
      <c r="E414" s="448"/>
      <c r="F414" s="448"/>
      <c r="G414" s="477"/>
      <c r="H414" s="478"/>
      <c r="I414" s="481"/>
      <c r="J414" s="448"/>
      <c r="K414" s="480"/>
      <c r="L414" s="448"/>
      <c r="M414" s="481"/>
      <c r="N414" s="448"/>
      <c r="O414" s="448"/>
      <c r="P414" s="448"/>
      <c r="Q414" s="448"/>
      <c r="R414" s="482"/>
      <c r="S414" s="482"/>
      <c r="T414" s="483"/>
      <c r="U414" s="474"/>
    </row>
    <row r="415">
      <c r="A415" s="448"/>
      <c r="B415" s="448"/>
      <c r="C415" s="474"/>
      <c r="D415" s="475"/>
      <c r="E415" s="448"/>
      <c r="F415" s="448"/>
      <c r="G415" s="477"/>
      <c r="H415" s="478"/>
      <c r="I415" s="481"/>
      <c r="J415" s="448"/>
      <c r="K415" s="480"/>
      <c r="L415" s="448"/>
      <c r="M415" s="481"/>
      <c r="N415" s="448"/>
      <c r="O415" s="448"/>
      <c r="P415" s="448"/>
      <c r="Q415" s="448"/>
      <c r="R415" s="482"/>
      <c r="S415" s="482"/>
      <c r="T415" s="483"/>
      <c r="U415" s="474"/>
    </row>
    <row r="416">
      <c r="A416" s="448"/>
      <c r="B416" s="448"/>
      <c r="C416" s="474"/>
      <c r="D416" s="475"/>
      <c r="E416" s="448"/>
      <c r="F416" s="448"/>
      <c r="G416" s="477"/>
      <c r="H416" s="478"/>
      <c r="I416" s="481"/>
      <c r="J416" s="448"/>
      <c r="K416" s="480"/>
      <c r="L416" s="448"/>
      <c r="M416" s="481"/>
      <c r="N416" s="448"/>
      <c r="O416" s="448"/>
      <c r="P416" s="448"/>
      <c r="Q416" s="448"/>
      <c r="R416" s="482"/>
      <c r="S416" s="482"/>
      <c r="T416" s="483"/>
      <c r="U416" s="474"/>
    </row>
    <row r="417">
      <c r="A417" s="448"/>
      <c r="B417" s="448"/>
      <c r="C417" s="474"/>
      <c r="D417" s="475"/>
      <c r="E417" s="448"/>
      <c r="F417" s="448"/>
      <c r="G417" s="477"/>
      <c r="H417" s="478"/>
      <c r="I417" s="481"/>
      <c r="J417" s="448"/>
      <c r="K417" s="480"/>
      <c r="L417" s="448"/>
      <c r="M417" s="481"/>
      <c r="N417" s="448"/>
      <c r="O417" s="448"/>
      <c r="P417" s="448"/>
      <c r="Q417" s="448"/>
      <c r="R417" s="482"/>
      <c r="S417" s="482"/>
      <c r="T417" s="483"/>
      <c r="U417" s="474"/>
    </row>
    <row r="418">
      <c r="A418" s="448"/>
      <c r="B418" s="448"/>
      <c r="C418" s="474"/>
      <c r="D418" s="475"/>
      <c r="E418" s="448"/>
      <c r="F418" s="448"/>
      <c r="G418" s="477"/>
      <c r="H418" s="478"/>
      <c r="I418" s="481"/>
      <c r="J418" s="448"/>
      <c r="K418" s="480"/>
      <c r="L418" s="448"/>
      <c r="M418" s="481"/>
      <c r="N418" s="448"/>
      <c r="O418" s="448"/>
      <c r="P418" s="448"/>
      <c r="Q418" s="448"/>
      <c r="R418" s="482"/>
      <c r="S418" s="482"/>
      <c r="T418" s="483"/>
      <c r="U418" s="474"/>
    </row>
    <row r="419">
      <c r="A419" s="448"/>
      <c r="B419" s="448"/>
      <c r="C419" s="474"/>
      <c r="D419" s="475"/>
      <c r="E419" s="448"/>
      <c r="F419" s="448"/>
      <c r="G419" s="477"/>
      <c r="H419" s="478"/>
      <c r="I419" s="481"/>
      <c r="J419" s="448"/>
      <c r="K419" s="480"/>
      <c r="L419" s="448"/>
      <c r="M419" s="481"/>
      <c r="N419" s="448"/>
      <c r="O419" s="448"/>
      <c r="P419" s="448"/>
      <c r="Q419" s="448"/>
      <c r="R419" s="482"/>
      <c r="S419" s="482"/>
      <c r="T419" s="483"/>
      <c r="U419" s="474"/>
    </row>
    <row r="420">
      <c r="A420" s="448"/>
      <c r="B420" s="448"/>
      <c r="C420" s="474"/>
      <c r="D420" s="475"/>
      <c r="E420" s="448"/>
      <c r="F420" s="448"/>
      <c r="G420" s="477"/>
      <c r="H420" s="478"/>
      <c r="I420" s="481"/>
      <c r="J420" s="448"/>
      <c r="K420" s="480"/>
      <c r="L420" s="448"/>
      <c r="M420" s="481"/>
      <c r="N420" s="448"/>
      <c r="O420" s="448"/>
      <c r="P420" s="448"/>
      <c r="Q420" s="448"/>
      <c r="R420" s="482"/>
      <c r="S420" s="482"/>
      <c r="T420" s="483"/>
      <c r="U420" s="474"/>
    </row>
    <row r="421">
      <c r="A421" s="448"/>
      <c r="B421" s="448"/>
      <c r="C421" s="474"/>
      <c r="D421" s="475"/>
      <c r="E421" s="448"/>
      <c r="F421" s="448"/>
      <c r="G421" s="477"/>
      <c r="H421" s="478"/>
      <c r="I421" s="481"/>
      <c r="J421" s="448"/>
      <c r="K421" s="480"/>
      <c r="L421" s="448"/>
      <c r="M421" s="481"/>
      <c r="N421" s="448"/>
      <c r="O421" s="448"/>
      <c r="P421" s="448"/>
      <c r="Q421" s="448"/>
      <c r="R421" s="482"/>
      <c r="S421" s="482"/>
      <c r="T421" s="483"/>
      <c r="U421" s="474"/>
    </row>
    <row r="422">
      <c r="A422" s="448"/>
      <c r="B422" s="448"/>
      <c r="C422" s="474"/>
      <c r="D422" s="475"/>
      <c r="E422" s="448"/>
      <c r="F422" s="448"/>
      <c r="G422" s="477"/>
      <c r="H422" s="478"/>
      <c r="I422" s="481"/>
      <c r="J422" s="448"/>
      <c r="K422" s="480"/>
      <c r="L422" s="448"/>
      <c r="M422" s="481"/>
      <c r="N422" s="448"/>
      <c r="O422" s="448"/>
      <c r="P422" s="448"/>
      <c r="Q422" s="448"/>
      <c r="R422" s="482"/>
      <c r="S422" s="482"/>
      <c r="T422" s="483"/>
      <c r="U422" s="474"/>
    </row>
    <row r="423">
      <c r="A423" s="448"/>
      <c r="B423" s="448"/>
      <c r="C423" s="474"/>
      <c r="D423" s="475"/>
      <c r="E423" s="448"/>
      <c r="F423" s="448"/>
      <c r="G423" s="477"/>
      <c r="H423" s="478"/>
      <c r="I423" s="481"/>
      <c r="J423" s="448"/>
      <c r="K423" s="480"/>
      <c r="L423" s="448"/>
      <c r="M423" s="481"/>
      <c r="N423" s="448"/>
      <c r="O423" s="448"/>
      <c r="P423" s="448"/>
      <c r="Q423" s="448"/>
      <c r="R423" s="482"/>
      <c r="S423" s="482"/>
      <c r="T423" s="483"/>
      <c r="U423" s="474"/>
    </row>
    <row r="424">
      <c r="A424" s="448"/>
      <c r="B424" s="448"/>
      <c r="C424" s="474"/>
      <c r="D424" s="475"/>
      <c r="E424" s="448"/>
      <c r="F424" s="448"/>
      <c r="G424" s="477"/>
      <c r="H424" s="478"/>
      <c r="I424" s="481"/>
      <c r="J424" s="448"/>
      <c r="K424" s="480"/>
      <c r="L424" s="448"/>
      <c r="M424" s="481"/>
      <c r="N424" s="448"/>
      <c r="O424" s="448"/>
      <c r="P424" s="448"/>
      <c r="Q424" s="448"/>
      <c r="R424" s="482"/>
      <c r="S424" s="482"/>
      <c r="T424" s="483"/>
      <c r="U424" s="474"/>
    </row>
    <row r="425">
      <c r="A425" s="448"/>
      <c r="B425" s="448"/>
      <c r="C425" s="474"/>
      <c r="D425" s="475"/>
      <c r="E425" s="448"/>
      <c r="F425" s="448"/>
      <c r="G425" s="477"/>
      <c r="H425" s="478"/>
      <c r="I425" s="481"/>
      <c r="J425" s="448"/>
      <c r="K425" s="480"/>
      <c r="L425" s="448"/>
      <c r="M425" s="481"/>
      <c r="N425" s="448"/>
      <c r="O425" s="448"/>
      <c r="P425" s="448"/>
      <c r="Q425" s="448"/>
      <c r="R425" s="482"/>
      <c r="S425" s="482"/>
      <c r="T425" s="483"/>
      <c r="U425" s="474"/>
    </row>
    <row r="426">
      <c r="A426" s="448"/>
      <c r="B426" s="448"/>
      <c r="C426" s="474"/>
      <c r="D426" s="475"/>
      <c r="E426" s="448"/>
      <c r="F426" s="448"/>
      <c r="G426" s="477"/>
      <c r="H426" s="478"/>
      <c r="I426" s="481"/>
      <c r="J426" s="448"/>
      <c r="K426" s="480"/>
      <c r="L426" s="448"/>
      <c r="M426" s="481"/>
      <c r="N426" s="448"/>
      <c r="O426" s="448"/>
      <c r="P426" s="448"/>
      <c r="Q426" s="448"/>
      <c r="R426" s="482"/>
      <c r="S426" s="482"/>
      <c r="T426" s="483"/>
      <c r="U426" s="474"/>
    </row>
    <row r="427">
      <c r="A427" s="448"/>
      <c r="B427" s="448"/>
      <c r="C427" s="474"/>
      <c r="D427" s="475"/>
      <c r="E427" s="448"/>
      <c r="F427" s="448"/>
      <c r="G427" s="477"/>
      <c r="H427" s="478"/>
      <c r="I427" s="481"/>
      <c r="J427" s="448"/>
      <c r="K427" s="480"/>
      <c r="L427" s="448"/>
      <c r="M427" s="481"/>
      <c r="N427" s="448"/>
      <c r="O427" s="448"/>
      <c r="P427" s="448"/>
      <c r="Q427" s="448"/>
      <c r="R427" s="482"/>
      <c r="S427" s="482"/>
      <c r="T427" s="483"/>
      <c r="U427" s="474"/>
    </row>
    <row r="428">
      <c r="A428" s="448"/>
      <c r="B428" s="448"/>
      <c r="C428" s="474"/>
      <c r="D428" s="475"/>
      <c r="E428" s="448"/>
      <c r="F428" s="448"/>
      <c r="G428" s="477"/>
      <c r="H428" s="478"/>
      <c r="I428" s="481"/>
      <c r="J428" s="448"/>
      <c r="K428" s="480"/>
      <c r="L428" s="448"/>
      <c r="M428" s="481"/>
      <c r="N428" s="448"/>
      <c r="O428" s="448"/>
      <c r="P428" s="448"/>
      <c r="Q428" s="448"/>
      <c r="R428" s="482"/>
      <c r="S428" s="482"/>
      <c r="T428" s="483"/>
      <c r="U428" s="474"/>
    </row>
    <row r="429">
      <c r="A429" s="448"/>
      <c r="B429" s="448"/>
      <c r="C429" s="474"/>
      <c r="D429" s="475"/>
      <c r="E429" s="448"/>
      <c r="F429" s="448"/>
      <c r="G429" s="477"/>
      <c r="H429" s="478"/>
      <c r="I429" s="481"/>
      <c r="J429" s="448"/>
      <c r="K429" s="480"/>
      <c r="L429" s="448"/>
      <c r="M429" s="481"/>
      <c r="N429" s="448"/>
      <c r="O429" s="448"/>
      <c r="P429" s="448"/>
      <c r="Q429" s="448"/>
      <c r="R429" s="482"/>
      <c r="S429" s="482"/>
      <c r="T429" s="483"/>
      <c r="U429" s="474"/>
    </row>
    <row r="430">
      <c r="A430" s="448"/>
      <c r="B430" s="448"/>
      <c r="C430" s="474"/>
      <c r="D430" s="475"/>
      <c r="E430" s="448"/>
      <c r="F430" s="448"/>
      <c r="G430" s="477"/>
      <c r="H430" s="478"/>
      <c r="I430" s="481"/>
      <c r="J430" s="448"/>
      <c r="K430" s="480"/>
      <c r="L430" s="448"/>
      <c r="M430" s="481"/>
      <c r="N430" s="448"/>
      <c r="O430" s="448"/>
      <c r="P430" s="448"/>
      <c r="Q430" s="448"/>
      <c r="R430" s="482"/>
      <c r="S430" s="482"/>
      <c r="T430" s="483"/>
      <c r="U430" s="474"/>
    </row>
    <row r="431">
      <c r="A431" s="448"/>
      <c r="B431" s="448"/>
      <c r="C431" s="474"/>
      <c r="D431" s="475"/>
      <c r="E431" s="448"/>
      <c r="F431" s="448"/>
      <c r="G431" s="477"/>
      <c r="H431" s="478"/>
      <c r="I431" s="481"/>
      <c r="J431" s="448"/>
      <c r="K431" s="480"/>
      <c r="L431" s="448"/>
      <c r="M431" s="481"/>
      <c r="N431" s="448"/>
      <c r="O431" s="448"/>
      <c r="P431" s="448"/>
      <c r="Q431" s="448"/>
      <c r="R431" s="482"/>
      <c r="S431" s="482"/>
      <c r="T431" s="483"/>
      <c r="U431" s="474"/>
    </row>
    <row r="432">
      <c r="A432" s="448"/>
      <c r="B432" s="448"/>
      <c r="C432" s="474"/>
      <c r="D432" s="475"/>
      <c r="E432" s="448"/>
      <c r="F432" s="448"/>
      <c r="G432" s="477"/>
      <c r="H432" s="478"/>
      <c r="I432" s="481"/>
      <c r="J432" s="448"/>
      <c r="K432" s="480"/>
      <c r="L432" s="448"/>
      <c r="M432" s="481"/>
      <c r="N432" s="448"/>
      <c r="O432" s="448"/>
      <c r="P432" s="448"/>
      <c r="Q432" s="448"/>
      <c r="R432" s="482"/>
      <c r="S432" s="482"/>
      <c r="T432" s="483"/>
      <c r="U432" s="474"/>
    </row>
    <row r="433">
      <c r="A433" s="448"/>
      <c r="B433" s="448"/>
      <c r="C433" s="474"/>
      <c r="D433" s="475"/>
      <c r="E433" s="448"/>
      <c r="F433" s="448"/>
      <c r="G433" s="477"/>
      <c r="H433" s="478"/>
      <c r="I433" s="481"/>
      <c r="J433" s="448"/>
      <c r="K433" s="480"/>
      <c r="L433" s="448"/>
      <c r="M433" s="481"/>
      <c r="N433" s="448"/>
      <c r="O433" s="448"/>
      <c r="P433" s="448"/>
      <c r="Q433" s="448"/>
      <c r="R433" s="482"/>
      <c r="S433" s="482"/>
      <c r="T433" s="483"/>
      <c r="U433" s="474"/>
    </row>
    <row r="434">
      <c r="A434" s="448"/>
      <c r="B434" s="448"/>
      <c r="C434" s="474"/>
      <c r="D434" s="475"/>
      <c r="E434" s="448"/>
      <c r="F434" s="448"/>
      <c r="G434" s="477"/>
      <c r="H434" s="478"/>
      <c r="I434" s="481"/>
      <c r="J434" s="448"/>
      <c r="K434" s="480"/>
      <c r="L434" s="448"/>
      <c r="M434" s="481"/>
      <c r="N434" s="448"/>
      <c r="O434" s="448"/>
      <c r="P434" s="448"/>
      <c r="Q434" s="448"/>
      <c r="R434" s="482"/>
      <c r="S434" s="482"/>
      <c r="T434" s="483"/>
      <c r="U434" s="474"/>
    </row>
    <row r="435">
      <c r="A435" s="448"/>
      <c r="B435" s="448"/>
      <c r="C435" s="474"/>
      <c r="D435" s="475"/>
      <c r="E435" s="448"/>
      <c r="F435" s="448"/>
      <c r="G435" s="477"/>
      <c r="H435" s="478"/>
      <c r="I435" s="481"/>
      <c r="J435" s="448"/>
      <c r="K435" s="480"/>
      <c r="L435" s="448"/>
      <c r="M435" s="481"/>
      <c r="N435" s="448"/>
      <c r="O435" s="448"/>
      <c r="P435" s="448"/>
      <c r="Q435" s="448"/>
      <c r="R435" s="482"/>
      <c r="S435" s="482"/>
      <c r="T435" s="483"/>
      <c r="U435" s="474"/>
    </row>
    <row r="436">
      <c r="A436" s="448"/>
      <c r="B436" s="448"/>
      <c r="C436" s="474"/>
      <c r="D436" s="475"/>
      <c r="E436" s="448"/>
      <c r="F436" s="448"/>
      <c r="G436" s="477"/>
      <c r="H436" s="478"/>
      <c r="I436" s="481"/>
      <c r="J436" s="448"/>
      <c r="K436" s="480"/>
      <c r="L436" s="448"/>
      <c r="M436" s="481"/>
      <c r="N436" s="448"/>
      <c r="O436" s="448"/>
      <c r="P436" s="448"/>
      <c r="Q436" s="448"/>
      <c r="R436" s="482"/>
      <c r="S436" s="482"/>
      <c r="T436" s="483"/>
      <c r="U436" s="474"/>
    </row>
    <row r="437">
      <c r="A437" s="448"/>
      <c r="B437" s="448"/>
      <c r="C437" s="474"/>
      <c r="D437" s="475"/>
      <c r="E437" s="448"/>
      <c r="F437" s="448"/>
      <c r="G437" s="477"/>
      <c r="H437" s="478"/>
      <c r="I437" s="481"/>
      <c r="J437" s="448"/>
      <c r="K437" s="480"/>
      <c r="L437" s="448"/>
      <c r="M437" s="481"/>
      <c r="N437" s="448"/>
      <c r="O437" s="448"/>
      <c r="P437" s="448"/>
      <c r="Q437" s="448"/>
      <c r="R437" s="482"/>
      <c r="S437" s="482"/>
      <c r="T437" s="483"/>
      <c r="U437" s="474"/>
    </row>
    <row r="438">
      <c r="A438" s="448"/>
      <c r="B438" s="448"/>
      <c r="C438" s="474"/>
      <c r="D438" s="475"/>
      <c r="E438" s="448"/>
      <c r="F438" s="448"/>
      <c r="G438" s="477"/>
      <c r="H438" s="478"/>
      <c r="I438" s="481"/>
      <c r="J438" s="448"/>
      <c r="K438" s="480"/>
      <c r="L438" s="448"/>
      <c r="M438" s="481"/>
      <c r="N438" s="448"/>
      <c r="O438" s="448"/>
      <c r="P438" s="448"/>
      <c r="Q438" s="448"/>
      <c r="R438" s="482"/>
      <c r="S438" s="482"/>
      <c r="T438" s="483"/>
      <c r="U438" s="474"/>
    </row>
    <row r="439">
      <c r="A439" s="448"/>
      <c r="B439" s="448"/>
      <c r="C439" s="474"/>
      <c r="D439" s="475"/>
      <c r="E439" s="448"/>
      <c r="F439" s="448"/>
      <c r="G439" s="477"/>
      <c r="H439" s="478"/>
      <c r="I439" s="481"/>
      <c r="J439" s="448"/>
      <c r="K439" s="480"/>
      <c r="L439" s="448"/>
      <c r="M439" s="481"/>
      <c r="N439" s="448"/>
      <c r="O439" s="448"/>
      <c r="P439" s="448"/>
      <c r="Q439" s="448"/>
      <c r="R439" s="482"/>
      <c r="S439" s="482"/>
      <c r="T439" s="483"/>
      <c r="U439" s="474"/>
    </row>
    <row r="440">
      <c r="A440" s="448"/>
      <c r="B440" s="448"/>
      <c r="C440" s="474"/>
      <c r="D440" s="475"/>
      <c r="E440" s="448"/>
      <c r="F440" s="448"/>
      <c r="G440" s="477"/>
      <c r="H440" s="478"/>
      <c r="I440" s="481"/>
      <c r="J440" s="448"/>
      <c r="K440" s="480"/>
      <c r="L440" s="448"/>
      <c r="M440" s="481"/>
      <c r="N440" s="448"/>
      <c r="O440" s="448"/>
      <c r="P440" s="448"/>
      <c r="Q440" s="448"/>
      <c r="R440" s="482"/>
      <c r="S440" s="482"/>
      <c r="T440" s="483"/>
      <c r="U440" s="474"/>
    </row>
    <row r="441">
      <c r="A441" s="448"/>
      <c r="B441" s="448"/>
      <c r="C441" s="474"/>
      <c r="D441" s="475"/>
      <c r="E441" s="448"/>
      <c r="F441" s="448"/>
      <c r="G441" s="477"/>
      <c r="H441" s="478"/>
      <c r="I441" s="481"/>
      <c r="J441" s="448"/>
      <c r="K441" s="480"/>
      <c r="L441" s="448"/>
      <c r="M441" s="481"/>
      <c r="N441" s="448"/>
      <c r="O441" s="448"/>
      <c r="P441" s="448"/>
      <c r="Q441" s="448"/>
      <c r="R441" s="482"/>
      <c r="S441" s="482"/>
      <c r="T441" s="483"/>
      <c r="U441" s="474"/>
    </row>
    <row r="442">
      <c r="A442" s="448"/>
      <c r="B442" s="448"/>
      <c r="C442" s="474"/>
      <c r="D442" s="475"/>
      <c r="E442" s="448"/>
      <c r="F442" s="448"/>
      <c r="G442" s="477"/>
      <c r="H442" s="478"/>
      <c r="I442" s="481"/>
      <c r="J442" s="448"/>
      <c r="K442" s="480"/>
      <c r="L442" s="448"/>
      <c r="M442" s="481"/>
      <c r="N442" s="448"/>
      <c r="O442" s="448"/>
      <c r="P442" s="448"/>
      <c r="Q442" s="448"/>
      <c r="R442" s="482"/>
      <c r="S442" s="482"/>
      <c r="T442" s="483"/>
      <c r="U442" s="474"/>
    </row>
    <row r="443">
      <c r="A443" s="448"/>
      <c r="B443" s="448"/>
      <c r="C443" s="474"/>
      <c r="D443" s="475"/>
      <c r="E443" s="448"/>
      <c r="F443" s="448"/>
      <c r="G443" s="477"/>
      <c r="H443" s="478"/>
      <c r="I443" s="481"/>
      <c r="J443" s="448"/>
      <c r="K443" s="480"/>
      <c r="L443" s="448"/>
      <c r="M443" s="481"/>
      <c r="N443" s="448"/>
      <c r="O443" s="448"/>
      <c r="P443" s="448"/>
      <c r="Q443" s="448"/>
      <c r="R443" s="482"/>
      <c r="S443" s="482"/>
      <c r="T443" s="483"/>
      <c r="U443" s="474"/>
    </row>
    <row r="444">
      <c r="A444" s="448"/>
      <c r="B444" s="448"/>
      <c r="C444" s="474"/>
      <c r="D444" s="475"/>
      <c r="E444" s="448"/>
      <c r="F444" s="448"/>
      <c r="G444" s="477"/>
      <c r="H444" s="478"/>
      <c r="I444" s="481"/>
      <c r="J444" s="448"/>
      <c r="K444" s="480"/>
      <c r="L444" s="448"/>
      <c r="M444" s="481"/>
      <c r="N444" s="448"/>
      <c r="O444" s="448"/>
      <c r="P444" s="448"/>
      <c r="Q444" s="448"/>
      <c r="R444" s="482"/>
      <c r="S444" s="482"/>
      <c r="T444" s="483"/>
      <c r="U444" s="474"/>
    </row>
    <row r="445">
      <c r="A445" s="448"/>
      <c r="B445" s="448"/>
      <c r="C445" s="474"/>
      <c r="D445" s="475"/>
      <c r="E445" s="448"/>
      <c r="F445" s="448"/>
      <c r="G445" s="477"/>
      <c r="H445" s="478"/>
      <c r="I445" s="481"/>
      <c r="J445" s="448"/>
      <c r="K445" s="480"/>
      <c r="L445" s="448"/>
      <c r="M445" s="481"/>
      <c r="N445" s="448"/>
      <c r="O445" s="448"/>
      <c r="P445" s="448"/>
      <c r="Q445" s="448"/>
      <c r="R445" s="482"/>
      <c r="S445" s="482"/>
      <c r="T445" s="483"/>
      <c r="U445" s="474"/>
    </row>
    <row r="446">
      <c r="A446" s="448"/>
      <c r="B446" s="448"/>
      <c r="C446" s="474"/>
      <c r="D446" s="475"/>
      <c r="E446" s="448"/>
      <c r="F446" s="448"/>
      <c r="G446" s="477"/>
      <c r="H446" s="478"/>
      <c r="I446" s="481"/>
      <c r="J446" s="448"/>
      <c r="K446" s="480"/>
      <c r="L446" s="448"/>
      <c r="M446" s="481"/>
      <c r="N446" s="448"/>
      <c r="O446" s="448"/>
      <c r="P446" s="448"/>
      <c r="Q446" s="448"/>
      <c r="R446" s="482"/>
      <c r="S446" s="482"/>
      <c r="T446" s="483"/>
      <c r="U446" s="474"/>
    </row>
    <row r="447">
      <c r="A447" s="448"/>
      <c r="B447" s="448"/>
      <c r="C447" s="474"/>
      <c r="D447" s="475"/>
      <c r="E447" s="448"/>
      <c r="F447" s="448"/>
      <c r="G447" s="477"/>
      <c r="H447" s="478"/>
      <c r="I447" s="481"/>
      <c r="J447" s="448"/>
      <c r="K447" s="480"/>
      <c r="L447" s="448"/>
      <c r="M447" s="481"/>
      <c r="N447" s="448"/>
      <c r="O447" s="448"/>
      <c r="P447" s="448"/>
      <c r="Q447" s="448"/>
      <c r="R447" s="482"/>
      <c r="S447" s="482"/>
      <c r="T447" s="483"/>
      <c r="U447" s="474"/>
    </row>
    <row r="448">
      <c r="A448" s="448"/>
      <c r="B448" s="448"/>
      <c r="C448" s="474"/>
      <c r="D448" s="475"/>
      <c r="E448" s="448"/>
      <c r="F448" s="448"/>
      <c r="G448" s="477"/>
      <c r="H448" s="478"/>
      <c r="I448" s="481"/>
      <c r="J448" s="448"/>
      <c r="K448" s="480"/>
      <c r="L448" s="448"/>
      <c r="M448" s="481"/>
      <c r="N448" s="448"/>
      <c r="O448" s="448"/>
      <c r="P448" s="448"/>
      <c r="Q448" s="448"/>
      <c r="R448" s="482"/>
      <c r="S448" s="482"/>
      <c r="T448" s="483"/>
      <c r="U448" s="474"/>
    </row>
    <row r="449">
      <c r="A449" s="448"/>
      <c r="B449" s="448"/>
      <c r="C449" s="474"/>
      <c r="D449" s="475"/>
      <c r="E449" s="448"/>
      <c r="F449" s="448"/>
      <c r="G449" s="477"/>
      <c r="H449" s="478"/>
      <c r="I449" s="481"/>
      <c r="J449" s="448"/>
      <c r="K449" s="480"/>
      <c r="L449" s="448"/>
      <c r="M449" s="481"/>
      <c r="N449" s="448"/>
      <c r="O449" s="448"/>
      <c r="P449" s="448"/>
      <c r="Q449" s="448"/>
      <c r="R449" s="482"/>
      <c r="S449" s="482"/>
      <c r="T449" s="483"/>
      <c r="U449" s="474"/>
    </row>
    <row r="450">
      <c r="A450" s="448"/>
      <c r="B450" s="448"/>
      <c r="C450" s="474"/>
      <c r="D450" s="475"/>
      <c r="E450" s="448"/>
      <c r="F450" s="448"/>
      <c r="G450" s="477"/>
      <c r="H450" s="478"/>
      <c r="I450" s="481"/>
      <c r="J450" s="448"/>
      <c r="K450" s="480"/>
      <c r="L450" s="448"/>
      <c r="M450" s="481"/>
      <c r="N450" s="448"/>
      <c r="O450" s="448"/>
      <c r="P450" s="448"/>
      <c r="Q450" s="448"/>
      <c r="R450" s="482"/>
      <c r="S450" s="482"/>
      <c r="T450" s="483"/>
      <c r="U450" s="474"/>
    </row>
    <row r="451">
      <c r="A451" s="448"/>
      <c r="B451" s="448"/>
      <c r="C451" s="474"/>
      <c r="D451" s="475"/>
      <c r="E451" s="448"/>
      <c r="F451" s="448"/>
      <c r="G451" s="477"/>
      <c r="H451" s="478"/>
      <c r="I451" s="481"/>
      <c r="J451" s="448"/>
      <c r="K451" s="480"/>
      <c r="L451" s="448"/>
      <c r="M451" s="481"/>
      <c r="N451" s="448"/>
      <c r="O451" s="448"/>
      <c r="P451" s="448"/>
      <c r="Q451" s="448"/>
      <c r="R451" s="482"/>
      <c r="S451" s="482"/>
      <c r="T451" s="483"/>
      <c r="U451" s="474"/>
    </row>
    <row r="452">
      <c r="A452" s="448"/>
      <c r="B452" s="448"/>
      <c r="C452" s="474"/>
      <c r="D452" s="475"/>
      <c r="E452" s="448"/>
      <c r="F452" s="448"/>
      <c r="G452" s="477"/>
      <c r="H452" s="478"/>
      <c r="I452" s="481"/>
      <c r="J452" s="448"/>
      <c r="K452" s="480"/>
      <c r="L452" s="448"/>
      <c r="M452" s="481"/>
      <c r="N452" s="448"/>
      <c r="O452" s="448"/>
      <c r="P452" s="448"/>
      <c r="Q452" s="448"/>
      <c r="R452" s="482"/>
      <c r="S452" s="482"/>
      <c r="T452" s="483"/>
      <c r="U452" s="474"/>
    </row>
    <row r="453">
      <c r="A453" s="448"/>
      <c r="B453" s="448"/>
      <c r="C453" s="474"/>
      <c r="D453" s="475"/>
      <c r="E453" s="448"/>
      <c r="F453" s="448"/>
      <c r="G453" s="477"/>
      <c r="H453" s="478"/>
      <c r="I453" s="481"/>
      <c r="J453" s="448"/>
      <c r="K453" s="480"/>
      <c r="L453" s="448"/>
      <c r="M453" s="481"/>
      <c r="N453" s="448"/>
      <c r="O453" s="448"/>
      <c r="P453" s="448"/>
      <c r="Q453" s="448"/>
      <c r="R453" s="482"/>
      <c r="S453" s="482"/>
      <c r="T453" s="483"/>
      <c r="U453" s="474"/>
    </row>
    <row r="454">
      <c r="A454" s="448"/>
      <c r="B454" s="448"/>
      <c r="C454" s="474"/>
      <c r="D454" s="475"/>
      <c r="E454" s="448"/>
      <c r="F454" s="448"/>
      <c r="G454" s="477"/>
      <c r="H454" s="478"/>
      <c r="I454" s="481"/>
      <c r="J454" s="448"/>
      <c r="K454" s="480"/>
      <c r="L454" s="448"/>
      <c r="M454" s="481"/>
      <c r="N454" s="448"/>
      <c r="O454" s="448"/>
      <c r="P454" s="448"/>
      <c r="Q454" s="448"/>
      <c r="R454" s="482"/>
      <c r="S454" s="482"/>
      <c r="T454" s="483"/>
      <c r="U454" s="474"/>
    </row>
    <row r="455">
      <c r="A455" s="448"/>
      <c r="B455" s="448"/>
      <c r="C455" s="474"/>
      <c r="D455" s="475"/>
      <c r="E455" s="448"/>
      <c r="F455" s="448"/>
      <c r="G455" s="477"/>
      <c r="H455" s="478"/>
      <c r="I455" s="481"/>
      <c r="J455" s="448"/>
      <c r="K455" s="480"/>
      <c r="L455" s="448"/>
      <c r="M455" s="481"/>
      <c r="N455" s="448"/>
      <c r="O455" s="448"/>
      <c r="P455" s="448"/>
      <c r="Q455" s="448"/>
      <c r="R455" s="482"/>
      <c r="S455" s="482"/>
      <c r="T455" s="483"/>
      <c r="U455" s="474"/>
    </row>
    <row r="456">
      <c r="A456" s="448"/>
      <c r="B456" s="448"/>
      <c r="C456" s="474"/>
      <c r="D456" s="475"/>
      <c r="E456" s="448"/>
      <c r="F456" s="448"/>
      <c r="G456" s="477"/>
      <c r="H456" s="478"/>
      <c r="I456" s="481"/>
      <c r="J456" s="448"/>
      <c r="K456" s="480"/>
      <c r="L456" s="448"/>
      <c r="M456" s="481"/>
      <c r="N456" s="448"/>
      <c r="O456" s="448"/>
      <c r="P456" s="448"/>
      <c r="Q456" s="448"/>
      <c r="R456" s="482"/>
      <c r="S456" s="482"/>
      <c r="T456" s="483"/>
      <c r="U456" s="474"/>
    </row>
    <row r="457">
      <c r="A457" s="448"/>
      <c r="B457" s="448"/>
      <c r="C457" s="474"/>
      <c r="D457" s="475"/>
      <c r="E457" s="448"/>
      <c r="F457" s="448"/>
      <c r="G457" s="477"/>
      <c r="H457" s="478"/>
      <c r="I457" s="481"/>
      <c r="J457" s="448"/>
      <c r="K457" s="480"/>
      <c r="L457" s="448"/>
      <c r="M457" s="481"/>
      <c r="N457" s="448"/>
      <c r="O457" s="448"/>
      <c r="P457" s="448"/>
      <c r="Q457" s="448"/>
      <c r="R457" s="482"/>
      <c r="S457" s="482"/>
      <c r="T457" s="483"/>
      <c r="U457" s="474"/>
    </row>
    <row r="458">
      <c r="A458" s="448"/>
      <c r="B458" s="448"/>
      <c r="C458" s="474"/>
      <c r="D458" s="475"/>
      <c r="E458" s="448"/>
      <c r="F458" s="448"/>
      <c r="G458" s="477"/>
      <c r="H458" s="478"/>
      <c r="I458" s="481"/>
      <c r="J458" s="448"/>
      <c r="K458" s="480"/>
      <c r="L458" s="448"/>
      <c r="M458" s="481"/>
      <c r="N458" s="448"/>
      <c r="O458" s="448"/>
      <c r="P458" s="448"/>
      <c r="Q458" s="448"/>
      <c r="R458" s="482"/>
      <c r="S458" s="482"/>
      <c r="T458" s="483"/>
      <c r="U458" s="474"/>
    </row>
    <row r="459">
      <c r="A459" s="448"/>
      <c r="B459" s="448"/>
      <c r="C459" s="474"/>
      <c r="D459" s="475"/>
      <c r="E459" s="448"/>
      <c r="F459" s="448"/>
      <c r="G459" s="477"/>
      <c r="H459" s="478"/>
      <c r="I459" s="481"/>
      <c r="J459" s="448"/>
      <c r="K459" s="480"/>
      <c r="L459" s="448"/>
      <c r="M459" s="481"/>
      <c r="N459" s="448"/>
      <c r="O459" s="448"/>
      <c r="P459" s="448"/>
      <c r="Q459" s="448"/>
      <c r="R459" s="482"/>
      <c r="S459" s="482"/>
      <c r="T459" s="483"/>
      <c r="U459" s="474"/>
    </row>
    <row r="460">
      <c r="A460" s="448"/>
      <c r="B460" s="448"/>
      <c r="C460" s="474"/>
      <c r="D460" s="475"/>
      <c r="E460" s="448"/>
      <c r="F460" s="448"/>
      <c r="G460" s="477"/>
      <c r="H460" s="478"/>
      <c r="I460" s="481"/>
      <c r="J460" s="448"/>
      <c r="K460" s="480"/>
      <c r="L460" s="448"/>
      <c r="M460" s="481"/>
      <c r="N460" s="448"/>
      <c r="O460" s="448"/>
      <c r="P460" s="448"/>
      <c r="Q460" s="448"/>
      <c r="R460" s="482"/>
      <c r="S460" s="482"/>
      <c r="T460" s="483"/>
      <c r="U460" s="474"/>
    </row>
    <row r="461">
      <c r="A461" s="448"/>
      <c r="B461" s="448"/>
      <c r="C461" s="474"/>
      <c r="D461" s="475"/>
      <c r="E461" s="448"/>
      <c r="F461" s="448"/>
      <c r="G461" s="477"/>
      <c r="H461" s="478"/>
      <c r="I461" s="481"/>
      <c r="J461" s="448"/>
      <c r="K461" s="480"/>
      <c r="L461" s="448"/>
      <c r="M461" s="481"/>
      <c r="N461" s="448"/>
      <c r="O461" s="448"/>
      <c r="P461" s="448"/>
      <c r="Q461" s="448"/>
      <c r="R461" s="482"/>
      <c r="S461" s="482"/>
      <c r="T461" s="483"/>
      <c r="U461" s="474"/>
    </row>
    <row r="462">
      <c r="A462" s="448"/>
      <c r="B462" s="448"/>
      <c r="C462" s="474"/>
      <c r="D462" s="475"/>
      <c r="E462" s="448"/>
      <c r="F462" s="448"/>
      <c r="G462" s="477"/>
      <c r="H462" s="478"/>
      <c r="I462" s="481"/>
      <c r="J462" s="448"/>
      <c r="K462" s="480"/>
      <c r="L462" s="448"/>
      <c r="M462" s="481"/>
      <c r="N462" s="448"/>
      <c r="O462" s="448"/>
      <c r="P462" s="448"/>
      <c r="Q462" s="448"/>
      <c r="R462" s="482"/>
      <c r="S462" s="482"/>
      <c r="T462" s="483"/>
      <c r="U462" s="474"/>
    </row>
    <row r="463">
      <c r="A463" s="448"/>
      <c r="B463" s="448"/>
      <c r="C463" s="474"/>
      <c r="D463" s="475"/>
      <c r="E463" s="448"/>
      <c r="F463" s="448"/>
      <c r="G463" s="477"/>
      <c r="H463" s="478"/>
      <c r="I463" s="481"/>
      <c r="J463" s="448"/>
      <c r="K463" s="480"/>
      <c r="L463" s="448"/>
      <c r="M463" s="481"/>
      <c r="N463" s="448"/>
      <c r="O463" s="448"/>
      <c r="P463" s="448"/>
      <c r="Q463" s="448"/>
      <c r="R463" s="482"/>
      <c r="S463" s="482"/>
      <c r="T463" s="483"/>
      <c r="U463" s="474"/>
    </row>
    <row r="464">
      <c r="A464" s="448"/>
      <c r="B464" s="448"/>
      <c r="C464" s="474"/>
      <c r="D464" s="475"/>
      <c r="E464" s="448"/>
      <c r="F464" s="448"/>
      <c r="G464" s="477"/>
      <c r="H464" s="478"/>
      <c r="I464" s="481"/>
      <c r="J464" s="448"/>
      <c r="K464" s="480"/>
      <c r="L464" s="448"/>
      <c r="M464" s="481"/>
      <c r="N464" s="448"/>
      <c r="O464" s="448"/>
      <c r="P464" s="448"/>
      <c r="Q464" s="448"/>
      <c r="R464" s="482"/>
      <c r="S464" s="482"/>
      <c r="T464" s="483"/>
      <c r="U464" s="474"/>
    </row>
    <row r="465">
      <c r="A465" s="448"/>
      <c r="B465" s="448"/>
      <c r="C465" s="474"/>
      <c r="D465" s="475"/>
      <c r="E465" s="448"/>
      <c r="F465" s="448"/>
      <c r="G465" s="477"/>
      <c r="H465" s="478"/>
      <c r="I465" s="481"/>
      <c r="J465" s="448"/>
      <c r="K465" s="480"/>
      <c r="L465" s="448"/>
      <c r="M465" s="481"/>
      <c r="N465" s="448"/>
      <c r="O465" s="448"/>
      <c r="P465" s="448"/>
      <c r="Q465" s="448"/>
      <c r="R465" s="482"/>
      <c r="S465" s="482"/>
      <c r="T465" s="483"/>
      <c r="U465" s="474"/>
    </row>
    <row r="466">
      <c r="A466" s="448"/>
      <c r="B466" s="448"/>
      <c r="C466" s="474"/>
      <c r="D466" s="475"/>
      <c r="E466" s="448"/>
      <c r="F466" s="448"/>
      <c r="G466" s="477"/>
      <c r="H466" s="478"/>
      <c r="I466" s="481"/>
      <c r="J466" s="448"/>
      <c r="K466" s="480"/>
      <c r="L466" s="448"/>
      <c r="M466" s="481"/>
      <c r="N466" s="448"/>
      <c r="O466" s="448"/>
      <c r="P466" s="448"/>
      <c r="Q466" s="448"/>
      <c r="R466" s="482"/>
      <c r="S466" s="482"/>
      <c r="T466" s="483"/>
      <c r="U466" s="474"/>
    </row>
    <row r="467">
      <c r="A467" s="448"/>
      <c r="B467" s="448"/>
      <c r="C467" s="474"/>
      <c r="D467" s="475"/>
      <c r="E467" s="448"/>
      <c r="F467" s="448"/>
      <c r="G467" s="477"/>
      <c r="H467" s="478"/>
      <c r="I467" s="481"/>
      <c r="J467" s="448"/>
      <c r="K467" s="480"/>
      <c r="L467" s="448"/>
      <c r="M467" s="481"/>
      <c r="N467" s="448"/>
      <c r="O467" s="448"/>
      <c r="P467" s="448"/>
      <c r="Q467" s="448"/>
      <c r="R467" s="482"/>
      <c r="S467" s="482"/>
      <c r="T467" s="483"/>
      <c r="U467" s="474"/>
    </row>
    <row r="468">
      <c r="A468" s="448"/>
      <c r="B468" s="448"/>
      <c r="C468" s="474"/>
      <c r="D468" s="475"/>
      <c r="E468" s="448"/>
      <c r="F468" s="448"/>
      <c r="G468" s="477"/>
      <c r="H468" s="478"/>
      <c r="I468" s="481"/>
      <c r="J468" s="448"/>
      <c r="K468" s="480"/>
      <c r="L468" s="448"/>
      <c r="M468" s="481"/>
      <c r="N468" s="448"/>
      <c r="O468" s="448"/>
      <c r="P468" s="448"/>
      <c r="Q468" s="448"/>
      <c r="R468" s="482"/>
      <c r="S468" s="482"/>
      <c r="T468" s="483"/>
      <c r="U468" s="474"/>
    </row>
    <row r="469">
      <c r="A469" s="448"/>
      <c r="B469" s="448"/>
      <c r="C469" s="474"/>
      <c r="D469" s="475"/>
      <c r="E469" s="448"/>
      <c r="F469" s="448"/>
      <c r="G469" s="477"/>
      <c r="H469" s="478"/>
      <c r="I469" s="481"/>
      <c r="J469" s="448"/>
      <c r="K469" s="480"/>
      <c r="L469" s="448"/>
      <c r="M469" s="481"/>
      <c r="N469" s="448"/>
      <c r="O469" s="448"/>
      <c r="P469" s="448"/>
      <c r="Q469" s="448"/>
      <c r="R469" s="482"/>
      <c r="S469" s="482"/>
      <c r="T469" s="483"/>
      <c r="U469" s="474"/>
    </row>
    <row r="470">
      <c r="A470" s="448"/>
      <c r="B470" s="448"/>
      <c r="C470" s="474"/>
      <c r="D470" s="475"/>
      <c r="E470" s="448"/>
      <c r="F470" s="448"/>
      <c r="G470" s="477"/>
      <c r="H470" s="478"/>
      <c r="I470" s="481"/>
      <c r="J470" s="448"/>
      <c r="K470" s="480"/>
      <c r="L470" s="448"/>
      <c r="M470" s="481"/>
      <c r="N470" s="448"/>
      <c r="O470" s="448"/>
      <c r="P470" s="448"/>
      <c r="Q470" s="448"/>
      <c r="R470" s="482"/>
      <c r="S470" s="482"/>
      <c r="T470" s="483"/>
      <c r="U470" s="474"/>
    </row>
    <row r="471">
      <c r="A471" s="448"/>
      <c r="B471" s="448"/>
      <c r="C471" s="474"/>
      <c r="D471" s="475"/>
      <c r="E471" s="448"/>
      <c r="F471" s="448"/>
      <c r="G471" s="477"/>
      <c r="H471" s="478"/>
      <c r="I471" s="481"/>
      <c r="J471" s="448"/>
      <c r="K471" s="480"/>
      <c r="L471" s="448"/>
      <c r="M471" s="481"/>
      <c r="N471" s="448"/>
      <c r="O471" s="448"/>
      <c r="P471" s="448"/>
      <c r="Q471" s="448"/>
      <c r="R471" s="482"/>
      <c r="S471" s="482"/>
      <c r="T471" s="483"/>
      <c r="U471" s="474"/>
    </row>
    <row r="472">
      <c r="A472" s="448"/>
      <c r="B472" s="448"/>
      <c r="C472" s="474"/>
      <c r="D472" s="475"/>
      <c r="E472" s="448"/>
      <c r="F472" s="448"/>
      <c r="G472" s="477"/>
      <c r="H472" s="478"/>
      <c r="I472" s="481"/>
      <c r="J472" s="448"/>
      <c r="K472" s="480"/>
      <c r="L472" s="448"/>
      <c r="M472" s="481"/>
      <c r="N472" s="448"/>
      <c r="O472" s="448"/>
      <c r="P472" s="448"/>
      <c r="Q472" s="448"/>
      <c r="R472" s="482"/>
      <c r="S472" s="482"/>
      <c r="T472" s="483"/>
      <c r="U472" s="474"/>
    </row>
    <row r="473">
      <c r="A473" s="448"/>
      <c r="B473" s="448"/>
      <c r="C473" s="474"/>
      <c r="D473" s="475"/>
      <c r="E473" s="448"/>
      <c r="F473" s="448"/>
      <c r="G473" s="477"/>
      <c r="H473" s="478"/>
      <c r="I473" s="481"/>
      <c r="J473" s="448"/>
      <c r="K473" s="480"/>
      <c r="L473" s="448"/>
      <c r="M473" s="481"/>
      <c r="N473" s="448"/>
      <c r="O473" s="448"/>
      <c r="P473" s="448"/>
      <c r="Q473" s="448"/>
      <c r="R473" s="482"/>
      <c r="S473" s="482"/>
      <c r="T473" s="483"/>
      <c r="U473" s="474"/>
    </row>
    <row r="474">
      <c r="A474" s="448"/>
      <c r="B474" s="448"/>
      <c r="C474" s="474"/>
      <c r="D474" s="475"/>
      <c r="E474" s="448"/>
      <c r="F474" s="448"/>
      <c r="G474" s="477"/>
      <c r="H474" s="478"/>
      <c r="I474" s="481"/>
      <c r="J474" s="448"/>
      <c r="K474" s="480"/>
      <c r="L474" s="448"/>
      <c r="M474" s="481"/>
      <c r="N474" s="448"/>
      <c r="O474" s="448"/>
      <c r="P474" s="448"/>
      <c r="Q474" s="448"/>
      <c r="R474" s="482"/>
      <c r="S474" s="482"/>
      <c r="T474" s="483"/>
      <c r="U474" s="474"/>
    </row>
    <row r="475">
      <c r="A475" s="448"/>
      <c r="B475" s="448"/>
      <c r="C475" s="474"/>
      <c r="D475" s="475"/>
      <c r="E475" s="448"/>
      <c r="F475" s="448"/>
      <c r="G475" s="477"/>
      <c r="H475" s="478"/>
      <c r="I475" s="481"/>
      <c r="J475" s="448"/>
      <c r="K475" s="480"/>
      <c r="L475" s="448"/>
      <c r="M475" s="481"/>
      <c r="N475" s="448"/>
      <c r="O475" s="448"/>
      <c r="P475" s="448"/>
      <c r="Q475" s="448"/>
      <c r="R475" s="482"/>
      <c r="S475" s="482"/>
      <c r="T475" s="483"/>
      <c r="U475" s="474"/>
    </row>
    <row r="476">
      <c r="A476" s="448"/>
      <c r="B476" s="448"/>
      <c r="C476" s="474"/>
      <c r="D476" s="475"/>
      <c r="E476" s="448"/>
      <c r="F476" s="448"/>
      <c r="G476" s="477"/>
      <c r="H476" s="478"/>
      <c r="I476" s="481"/>
      <c r="J476" s="448"/>
      <c r="K476" s="480"/>
      <c r="L476" s="448"/>
      <c r="M476" s="481"/>
      <c r="N476" s="448"/>
      <c r="O476" s="448"/>
      <c r="P476" s="448"/>
      <c r="Q476" s="448"/>
      <c r="R476" s="482"/>
      <c r="S476" s="482"/>
      <c r="T476" s="483"/>
      <c r="U476" s="474"/>
    </row>
    <row r="477">
      <c r="A477" s="448"/>
      <c r="B477" s="448"/>
      <c r="C477" s="474"/>
      <c r="D477" s="475"/>
      <c r="E477" s="448"/>
      <c r="F477" s="448"/>
      <c r="G477" s="477"/>
      <c r="H477" s="478"/>
      <c r="I477" s="481"/>
      <c r="J477" s="448"/>
      <c r="K477" s="480"/>
      <c r="L477" s="448"/>
      <c r="M477" s="481"/>
      <c r="N477" s="448"/>
      <c r="O477" s="448"/>
      <c r="P477" s="448"/>
      <c r="Q477" s="448"/>
      <c r="R477" s="482"/>
      <c r="S477" s="482"/>
      <c r="T477" s="483"/>
      <c r="U477" s="474"/>
    </row>
    <row r="478">
      <c r="A478" s="448"/>
      <c r="B478" s="448"/>
      <c r="C478" s="474"/>
      <c r="D478" s="475"/>
      <c r="E478" s="448"/>
      <c r="F478" s="448"/>
      <c r="G478" s="477"/>
      <c r="H478" s="478"/>
      <c r="I478" s="481"/>
      <c r="J478" s="448"/>
      <c r="K478" s="480"/>
      <c r="L478" s="448"/>
      <c r="M478" s="481"/>
      <c r="N478" s="448"/>
      <c r="O478" s="448"/>
      <c r="P478" s="448"/>
      <c r="Q478" s="448"/>
      <c r="R478" s="482"/>
      <c r="S478" s="482"/>
      <c r="T478" s="483"/>
      <c r="U478" s="474"/>
    </row>
    <row r="479">
      <c r="A479" s="448"/>
      <c r="B479" s="448"/>
      <c r="C479" s="474"/>
      <c r="D479" s="475"/>
      <c r="E479" s="448"/>
      <c r="F479" s="448"/>
      <c r="G479" s="477"/>
      <c r="H479" s="478"/>
      <c r="I479" s="481"/>
      <c r="J479" s="448"/>
      <c r="K479" s="480"/>
      <c r="L479" s="448"/>
      <c r="M479" s="481"/>
      <c r="N479" s="448"/>
      <c r="O479" s="448"/>
      <c r="P479" s="448"/>
      <c r="Q479" s="448"/>
      <c r="R479" s="482"/>
      <c r="S479" s="482"/>
      <c r="T479" s="483"/>
      <c r="U479" s="474"/>
    </row>
    <row r="480">
      <c r="A480" s="448"/>
      <c r="B480" s="448"/>
      <c r="C480" s="474"/>
      <c r="D480" s="475"/>
      <c r="E480" s="448"/>
      <c r="F480" s="448"/>
      <c r="G480" s="477"/>
      <c r="H480" s="478"/>
      <c r="I480" s="481"/>
      <c r="J480" s="448"/>
      <c r="K480" s="480"/>
      <c r="L480" s="448"/>
      <c r="M480" s="481"/>
      <c r="N480" s="448"/>
      <c r="O480" s="448"/>
      <c r="P480" s="448"/>
      <c r="Q480" s="448"/>
      <c r="R480" s="482"/>
      <c r="S480" s="482"/>
      <c r="T480" s="483"/>
      <c r="U480" s="474"/>
    </row>
    <row r="481">
      <c r="A481" s="448"/>
      <c r="B481" s="448"/>
      <c r="C481" s="474"/>
      <c r="D481" s="475"/>
      <c r="E481" s="448"/>
      <c r="F481" s="448"/>
      <c r="G481" s="477"/>
      <c r="H481" s="478"/>
      <c r="I481" s="481"/>
      <c r="J481" s="448"/>
      <c r="K481" s="480"/>
      <c r="L481" s="448"/>
      <c r="M481" s="481"/>
      <c r="N481" s="448"/>
      <c r="O481" s="448"/>
      <c r="P481" s="448"/>
      <c r="Q481" s="448"/>
      <c r="R481" s="482"/>
      <c r="S481" s="482"/>
      <c r="T481" s="483"/>
      <c r="U481" s="474"/>
    </row>
    <row r="482">
      <c r="A482" s="448"/>
      <c r="B482" s="448"/>
      <c r="C482" s="474"/>
      <c r="D482" s="475"/>
      <c r="E482" s="448"/>
      <c r="F482" s="448"/>
      <c r="G482" s="477"/>
      <c r="H482" s="478"/>
      <c r="I482" s="481"/>
      <c r="J482" s="448"/>
      <c r="K482" s="480"/>
      <c r="L482" s="448"/>
      <c r="M482" s="481"/>
      <c r="N482" s="448"/>
      <c r="O482" s="448"/>
      <c r="P482" s="448"/>
      <c r="Q482" s="448"/>
      <c r="R482" s="482"/>
      <c r="S482" s="482"/>
      <c r="T482" s="483"/>
      <c r="U482" s="474"/>
    </row>
    <row r="483">
      <c r="A483" s="448"/>
      <c r="B483" s="448"/>
      <c r="C483" s="474"/>
      <c r="D483" s="475"/>
      <c r="E483" s="448"/>
      <c r="F483" s="448"/>
      <c r="G483" s="477"/>
      <c r="H483" s="478"/>
      <c r="I483" s="481"/>
      <c r="J483" s="448"/>
      <c r="K483" s="480"/>
      <c r="L483" s="448"/>
      <c r="M483" s="481"/>
      <c r="N483" s="448"/>
      <c r="O483" s="448"/>
      <c r="P483" s="448"/>
      <c r="Q483" s="448"/>
      <c r="R483" s="482"/>
      <c r="S483" s="482"/>
      <c r="T483" s="483"/>
      <c r="U483" s="474"/>
    </row>
    <row r="484">
      <c r="A484" s="448"/>
      <c r="B484" s="448"/>
      <c r="C484" s="474"/>
      <c r="D484" s="475"/>
      <c r="E484" s="448"/>
      <c r="F484" s="448"/>
      <c r="G484" s="477"/>
      <c r="H484" s="478"/>
      <c r="I484" s="481"/>
      <c r="J484" s="448"/>
      <c r="K484" s="480"/>
      <c r="L484" s="448"/>
      <c r="M484" s="481"/>
      <c r="N484" s="448"/>
      <c r="O484" s="448"/>
      <c r="P484" s="448"/>
      <c r="Q484" s="448"/>
      <c r="R484" s="482"/>
      <c r="S484" s="482"/>
      <c r="T484" s="483"/>
      <c r="U484" s="474"/>
    </row>
    <row r="485">
      <c r="A485" s="448"/>
      <c r="B485" s="448"/>
      <c r="C485" s="474"/>
      <c r="D485" s="475"/>
      <c r="E485" s="448"/>
      <c r="F485" s="448"/>
      <c r="G485" s="477"/>
      <c r="H485" s="478"/>
      <c r="I485" s="481"/>
      <c r="J485" s="448"/>
      <c r="K485" s="480"/>
      <c r="L485" s="448"/>
      <c r="M485" s="481"/>
      <c r="N485" s="448"/>
      <c r="O485" s="448"/>
      <c r="P485" s="448"/>
      <c r="Q485" s="448"/>
      <c r="R485" s="482"/>
      <c r="S485" s="482"/>
      <c r="T485" s="483"/>
      <c r="U485" s="474"/>
    </row>
    <row r="486">
      <c r="A486" s="448"/>
      <c r="B486" s="448"/>
      <c r="C486" s="474"/>
      <c r="D486" s="475"/>
      <c r="E486" s="448"/>
      <c r="F486" s="448"/>
      <c r="G486" s="477"/>
      <c r="H486" s="478"/>
      <c r="I486" s="481"/>
      <c r="J486" s="448"/>
      <c r="K486" s="480"/>
      <c r="L486" s="448"/>
      <c r="M486" s="481"/>
      <c r="N486" s="448"/>
      <c r="O486" s="448"/>
      <c r="P486" s="448"/>
      <c r="Q486" s="448"/>
      <c r="R486" s="482"/>
      <c r="S486" s="482"/>
      <c r="T486" s="483"/>
      <c r="U486" s="474"/>
    </row>
    <row r="487">
      <c r="A487" s="448"/>
      <c r="B487" s="448"/>
      <c r="C487" s="474"/>
      <c r="D487" s="475"/>
      <c r="E487" s="448"/>
      <c r="F487" s="448"/>
      <c r="G487" s="477"/>
      <c r="H487" s="478"/>
      <c r="I487" s="481"/>
      <c r="J487" s="448"/>
      <c r="K487" s="480"/>
      <c r="L487" s="448"/>
      <c r="M487" s="481"/>
      <c r="N487" s="448"/>
      <c r="O487" s="448"/>
      <c r="P487" s="448"/>
      <c r="Q487" s="448"/>
      <c r="R487" s="482"/>
      <c r="S487" s="482"/>
      <c r="T487" s="483"/>
      <c r="U487" s="474"/>
    </row>
    <row r="488">
      <c r="A488" s="448"/>
      <c r="B488" s="448"/>
      <c r="C488" s="474"/>
      <c r="D488" s="475"/>
      <c r="E488" s="448"/>
      <c r="F488" s="448"/>
      <c r="G488" s="477"/>
      <c r="H488" s="478"/>
      <c r="I488" s="481"/>
      <c r="J488" s="448"/>
      <c r="K488" s="480"/>
      <c r="L488" s="448"/>
      <c r="M488" s="481"/>
      <c r="N488" s="448"/>
      <c r="O488" s="448"/>
      <c r="P488" s="448"/>
      <c r="Q488" s="448"/>
      <c r="R488" s="482"/>
      <c r="S488" s="482"/>
      <c r="T488" s="483"/>
      <c r="U488" s="474"/>
    </row>
    <row r="489">
      <c r="A489" s="448"/>
      <c r="B489" s="448"/>
      <c r="C489" s="474"/>
      <c r="D489" s="475"/>
      <c r="E489" s="448"/>
      <c r="F489" s="448"/>
      <c r="G489" s="477"/>
      <c r="H489" s="478"/>
      <c r="I489" s="481"/>
      <c r="J489" s="448"/>
      <c r="K489" s="480"/>
      <c r="L489" s="448"/>
      <c r="M489" s="481"/>
      <c r="N489" s="448"/>
      <c r="O489" s="448"/>
      <c r="P489" s="448"/>
      <c r="Q489" s="448"/>
      <c r="R489" s="482"/>
      <c r="S489" s="482"/>
      <c r="T489" s="483"/>
      <c r="U489" s="474"/>
    </row>
    <row r="490">
      <c r="A490" s="448"/>
      <c r="B490" s="448"/>
      <c r="C490" s="474"/>
      <c r="D490" s="475"/>
      <c r="E490" s="448"/>
      <c r="F490" s="448"/>
      <c r="G490" s="477"/>
      <c r="H490" s="478"/>
      <c r="I490" s="481"/>
      <c r="J490" s="448"/>
      <c r="K490" s="480"/>
      <c r="L490" s="448"/>
      <c r="M490" s="481"/>
      <c r="N490" s="448"/>
      <c r="O490" s="448"/>
      <c r="P490" s="448"/>
      <c r="Q490" s="448"/>
      <c r="R490" s="482"/>
      <c r="S490" s="482"/>
      <c r="T490" s="483"/>
      <c r="U490" s="474"/>
    </row>
  </sheetData>
  <mergeCells>
    <mergeCell ref="B348:C348"/>
    <mergeCell ref="B353:C353"/>
    <mergeCell ref="B358:C358"/>
    <mergeCell ref="B359:C359"/>
    <mergeCell ref="R342:U342"/>
    <mergeCell ref="M342:Q342"/>
    <mergeCell ref="D342:L342"/>
    <mergeCell ref="A342:C342"/>
    <mergeCell ref="A326:A341"/>
    <mergeCell ref="B335:C335"/>
    <mergeCell ref="B340:C340"/>
    <mergeCell ref="B341:C341"/>
    <mergeCell ref="B329:C329"/>
    <mergeCell ref="R324:U324"/>
    <mergeCell ref="M324:Q324"/>
    <mergeCell ref="D324:L324"/>
    <mergeCell ref="A324:C324"/>
    <mergeCell ref="A310:A323"/>
    <mergeCell ref="A292:A307"/>
    <mergeCell ref="B301:C301"/>
    <mergeCell ref="B306:C306"/>
    <mergeCell ref="B307:C307"/>
    <mergeCell ref="B296:C296"/>
    <mergeCell ref="R290:U290"/>
    <mergeCell ref="M290:Q290"/>
    <mergeCell ref="D290:L290"/>
    <mergeCell ref="A290:C290"/>
    <mergeCell ref="A274:A289"/>
    <mergeCell ref="A3:A9"/>
    <mergeCell ref="R1:V1"/>
    <mergeCell ref="M1:Q1"/>
    <mergeCell ref="D1:L1"/>
    <mergeCell ref="A1:C1"/>
    <mergeCell ref="B9:C9"/>
    <mergeCell ref="B8:C8"/>
    <mergeCell ref="R27:U27"/>
    <mergeCell ref="A27:C27"/>
    <mergeCell ref="D27:L27"/>
    <mergeCell ref="M27:Q27"/>
    <mergeCell ref="R117:U117"/>
    <mergeCell ref="A117:C117"/>
    <mergeCell ref="D117:L117"/>
    <mergeCell ref="M117:Q117"/>
    <mergeCell ref="R141:U141"/>
    <mergeCell ref="A141:C141"/>
    <mergeCell ref="D141:L141"/>
    <mergeCell ref="M141:Q141"/>
    <mergeCell ref="R165:U165"/>
    <mergeCell ref="A165:C165"/>
    <mergeCell ref="D165:L165"/>
    <mergeCell ref="M165:Q165"/>
    <mergeCell ref="R189:U189"/>
    <mergeCell ref="A189:C189"/>
    <mergeCell ref="D189:L189"/>
    <mergeCell ref="M189:Q189"/>
    <mergeCell ref="A143:A164"/>
    <mergeCell ref="B148:C148"/>
    <mergeCell ref="B153:C153"/>
    <mergeCell ref="B158:C158"/>
    <mergeCell ref="B163:C163"/>
    <mergeCell ref="B164:C164"/>
    <mergeCell ref="A191:A212"/>
    <mergeCell ref="B196:C196"/>
    <mergeCell ref="B201:C201"/>
    <mergeCell ref="B206:C206"/>
    <mergeCell ref="B211:C211"/>
    <mergeCell ref="B212:C212"/>
    <mergeCell ref="B219:C219"/>
    <mergeCell ref="A215:A236"/>
    <mergeCell ref="B225:C225"/>
    <mergeCell ref="B230:C230"/>
    <mergeCell ref="B235:C235"/>
    <mergeCell ref="B236:C236"/>
    <mergeCell ref="R213:U213"/>
    <mergeCell ref="A213:C213"/>
    <mergeCell ref="D213:L213"/>
    <mergeCell ref="M213:Q213"/>
    <mergeCell ref="B188:C188"/>
    <mergeCell ref="B187:C187"/>
    <mergeCell ref="B182:C182"/>
    <mergeCell ref="B177:C177"/>
    <mergeCell ref="B172:C172"/>
    <mergeCell ref="A167:A188"/>
    <mergeCell ref="B140:C140"/>
    <mergeCell ref="B139:C139"/>
    <mergeCell ref="B134:C134"/>
    <mergeCell ref="B129:C129"/>
    <mergeCell ref="B124:C124"/>
    <mergeCell ref="A119:A140"/>
    <mergeCell ref="R99:U99"/>
    <mergeCell ref="M99:Q99"/>
    <mergeCell ref="D99:L99"/>
    <mergeCell ref="A99:C99"/>
    <mergeCell ref="A101:A116"/>
    <mergeCell ref="B105:C105"/>
    <mergeCell ref="B110:C110"/>
    <mergeCell ref="B115:C115"/>
    <mergeCell ref="B116:C116"/>
    <mergeCell ref="R81:U81"/>
    <mergeCell ref="M81:Q81"/>
    <mergeCell ref="D81:L81"/>
    <mergeCell ref="A81:C81"/>
    <mergeCell ref="B98:C98"/>
    <mergeCell ref="B97:C97"/>
    <mergeCell ref="B92:C92"/>
    <mergeCell ref="B87:C87"/>
    <mergeCell ref="A83:A98"/>
    <mergeCell ref="R63:U63"/>
    <mergeCell ref="M63:Q63"/>
    <mergeCell ref="D63:L63"/>
    <mergeCell ref="A63:C63"/>
    <mergeCell ref="A65:A80"/>
    <mergeCell ref="B69:C69"/>
    <mergeCell ref="B74:C74"/>
    <mergeCell ref="B79:C79"/>
    <mergeCell ref="B80:C80"/>
    <mergeCell ref="R45:U45"/>
    <mergeCell ref="M45:Q45"/>
    <mergeCell ref="D45:L45"/>
    <mergeCell ref="A45:C45"/>
    <mergeCell ref="B62:C62"/>
    <mergeCell ref="B61:C61"/>
    <mergeCell ref="B56:C56"/>
    <mergeCell ref="B51:C51"/>
    <mergeCell ref="A47:A62"/>
    <mergeCell ref="B38:C38"/>
    <mergeCell ref="B33:C33"/>
    <mergeCell ref="A29:A44"/>
    <mergeCell ref="B44:C44"/>
    <mergeCell ref="B43:C43"/>
    <mergeCell ref="A12:A26"/>
    <mergeCell ref="B16:C16"/>
    <mergeCell ref="B21:C21"/>
    <mergeCell ref="B26:C26"/>
    <mergeCell ref="B25:C25"/>
    <mergeCell ref="R10:V10"/>
    <mergeCell ref="M10:Q10"/>
    <mergeCell ref="D10:L10"/>
    <mergeCell ref="A10:C10"/>
    <mergeCell ref="R237:U237"/>
    <mergeCell ref="A237:C237"/>
    <mergeCell ref="D237:L237"/>
    <mergeCell ref="M237:Q237"/>
    <mergeCell ref="B243:C243"/>
    <mergeCell ref="B249:C249"/>
    <mergeCell ref="B252:C252"/>
    <mergeCell ref="B253:C253"/>
    <mergeCell ref="A239:A253"/>
    <mergeCell ref="R254:U254"/>
    <mergeCell ref="M254:Q254"/>
    <mergeCell ref="D254:L254"/>
    <mergeCell ref="A254:C254"/>
    <mergeCell ref="A256:A271"/>
    <mergeCell ref="B260:C260"/>
    <mergeCell ref="B265:C265"/>
    <mergeCell ref="B270:C270"/>
    <mergeCell ref="B271:C271"/>
    <mergeCell ref="R272:U272"/>
    <mergeCell ref="M272:Q272"/>
    <mergeCell ref="D272:L272"/>
    <mergeCell ref="A272:C272"/>
    <mergeCell ref="B278:C278"/>
    <mergeCell ref="B282:C282"/>
    <mergeCell ref="B289:C289"/>
    <mergeCell ref="B288:C288"/>
    <mergeCell ref="R308:U308"/>
    <mergeCell ref="M308:Q308"/>
    <mergeCell ref="D308:L308"/>
    <mergeCell ref="A308:C308"/>
    <mergeCell ref="B314:C314"/>
    <mergeCell ref="B319:C319"/>
    <mergeCell ref="B322:C322"/>
    <mergeCell ref="B323:C323"/>
    <mergeCell ref="A344:A359"/>
  </mergeCells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2" min="2" style="0" width="15.380281690140846"/>
  </cols>
  <sheetData>
    <row customHeight="true" ht="31.547619047619047" r="1">
      <c r="A1" s="488" t="s">
        <v>266</v>
      </c>
      <c r="B1" s="489"/>
      <c r="C1" s="489"/>
      <c r="D1" s="489"/>
      <c r="E1" s="489"/>
      <c r="F1" s="489"/>
      <c r="G1" s="489"/>
    </row>
    <row r="2">
      <c r="A2" s="490" t="s">
        <v>267</v>
      </c>
      <c r="B2" s="490" t="s">
        <v>268</v>
      </c>
      <c r="C2" s="490" t="s">
        <v>269</v>
      </c>
      <c r="D2" s="490" t="s">
        <v>270</v>
      </c>
      <c r="E2" s="490" t="s">
        <v>271</v>
      </c>
      <c r="F2" s="490" t="s">
        <v>272</v>
      </c>
      <c r="G2" s="490" t="s">
        <v>273</v>
      </c>
    </row>
    <row r="3">
      <c r="A3" s="491">
        <v>46304</v>
      </c>
      <c r="B3" s="492" t="s">
        <v>274</v>
      </c>
      <c r="C3" s="492">
        <v>91608250997</v>
      </c>
      <c r="D3" s="493" t="s">
        <v>275</v>
      </c>
      <c r="E3" s="492" t="s">
        <v>276</v>
      </c>
      <c r="F3" s="492" t="s">
        <v>277</v>
      </c>
      <c r="G3" s="492" t="s">
        <v>278</v>
      </c>
    </row>
    <row r="4">
      <c r="A4" s="491">
        <v>46305</v>
      </c>
      <c r="B4" s="492" t="s">
        <v>274</v>
      </c>
      <c r="C4" s="492">
        <v>91608250997</v>
      </c>
      <c r="D4" s="493" t="s">
        <v>275</v>
      </c>
      <c r="E4" s="492" t="s">
        <v>276</v>
      </c>
      <c r="F4" s="492" t="s">
        <v>279</v>
      </c>
      <c r="G4" s="492" t="s">
        <v>278</v>
      </c>
    </row>
    <row r="5">
      <c r="A5" s="491">
        <v>46306</v>
      </c>
      <c r="B5" s="492" t="s">
        <v>274</v>
      </c>
      <c r="C5" s="492">
        <v>91608250997</v>
      </c>
      <c r="D5" s="493" t="s">
        <v>275</v>
      </c>
      <c r="E5" s="492" t="s">
        <v>276</v>
      </c>
      <c r="F5" s="492" t="s">
        <v>279</v>
      </c>
      <c r="G5" s="492" t="s">
        <v>278</v>
      </c>
    </row>
  </sheetData>
  <mergeCells>
    <mergeCell ref="A1:G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