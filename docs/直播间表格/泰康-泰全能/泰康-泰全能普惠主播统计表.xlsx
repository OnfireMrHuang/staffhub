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6" sheetId="2" r:id="rId5"/>
    <sheet name="2026.7" sheetId="3" r:id="rId7"/>
    <sheet name="2026.8" sheetId="4" r:id="rId8"/>
    <sheet name="2026.9" sheetId="5" r:id="rId10"/>
    <sheet name="2026.10" sheetId="6" r:id="rId12"/>
  </sheets>
  <calcPr calcMode="auto"/>
  <pivotCaches>
    <pivotCache cacheId="1" r:id="rId6"/>
    <pivotCache cacheId="2" r:id="rId9"/>
    <pivotCache cacheId="3" r:id="rId11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<sst xmlns="http://schemas.openxmlformats.org/spreadsheetml/2006/main" count="189" uniqueCount="189">
  <si>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</si>
  <si>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</si>
  <si>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</si>
  <si>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</si>
  <si>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</si>
  <si>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</si>
  <si>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</si>
  <si>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</si>
  <si>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</si>
  <si>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</si>
  <si>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</si>
  <si>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</si>
  <si>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</si>
  <si>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</si>
  <si>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2026.6.9</t>
  </si>
  <si>
    <t xml:space="preserve">王忆琳</t>
  </si>
  <si>
    <t xml:space="preserve">18:00-21:00</t>
  </si>
  <si>
    <t xml:space="preserve">何彩樱双</t>
  </si>
  <si>
    <t xml:space="preserve">陈梓栩</t>
  </si>
  <si>
    <t xml:space="preserve">21:00-23:00</t>
  </si>
  <si>
    <t xml:space="preserve">何彩樱</t>
  </si>
  <si>
    <t xml:space="preserve">2026.6.11</t>
  </si>
  <si>
    <t xml:space="preserve">06:00-09:00</t>
  </si>
  <si>
    <t xml:space="preserve">董柯言双</t>
  </si>
  <si>
    <t xml:space="preserve">09:00-12:00</t>
  </si>
  <si>
    <t xml:space="preserve">2026.6.12</t>
  </si>
  <si>
    <t xml:space="preserve">06:00-10:00</t>
  </si>
  <si>
    <t xml:space="preserve">10:00-12:00</t>
  </si>
  <si>
    <t xml:space="preserve">2026.6.13</t>
  </si>
  <si>
    <t xml:space="preserve">董柯言</t>
  </si>
  <si>
    <t xml:space="preserve">王思佳</t>
  </si>
  <si>
    <t xml:space="preserve">2026.6.14</t>
  </si>
  <si>
    <t xml:space="preserve">07:00-10:00</t>
  </si>
  <si>
    <t xml:space="preserve">10:00-13:00</t>
  </si>
  <si>
    <t xml:space="preserve">2026.6.15</t>
  </si>
  <si>
    <t xml:space="preserve">07:00-11:00</t>
  </si>
  <si>
    <t xml:space="preserve">魏迪</t>
  </si>
  <si>
    <t xml:space="preserve">11:00-13:00</t>
  </si>
  <si>
    <t xml:space="preserve">魏迪双</t>
  </si>
  <si>
    <t xml:space="preserve">2026.6.19</t>
  </si>
  <si>
    <t xml:space="preserve">卢林琰</t>
  </si>
  <si>
    <t xml:space="preserve">2026.6.20</t>
  </si>
  <si>
    <t xml:space="preserve">2026.6.21</t>
  </si>
  <si>
    <t xml:space="preserve">2026.6.22</t>
  </si>
  <si>
    <t xml:space="preserve">2026.6.23</t>
  </si>
  <si>
    <t xml:space="preserve">07:00-13:00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</si>
  <si>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</si>
  <si>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</si>
  <si>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</si>
  <si>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</si>
  <si>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</si>
  <si>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</si>
  <si>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</si>
  <si>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</si>
  <si>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</si>
  <si>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</si>
  <si>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</si>
  <si>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</si>
  <si>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</si>
  <si>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2026.7.17</t>
  </si>
  <si>
    <t xml:space="preserve">高晓丽</t>
  </si>
  <si>
    <t xml:space="preserve">19:00-20:00</t>
  </si>
  <si>
    <t xml:space="preserve">罗丽洋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</si>
  <si>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</si>
  <si>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</si>
  <si>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</si>
  <si>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</si>
  <si>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</si>
  <si>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</si>
  <si>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</si>
  <si>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</si>
  <si>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</si>
  <si>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</si>
  <si>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</si>
  <si>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</si>
  <si>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</si>
  <si>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王恬</t>
  </si>
  <si>
    <t xml:space="preserve">19:00-20:00</t>
  </si>
  <si>
    <t xml:space="preserve">罗丽洋双</t>
  </si>
  <si>
    <t xml:space="preserve">日总</t>
  </si>
  <si>
    <t xml:space="preserve">何雅源</t>
  </si>
  <si>
    <t xml:space="preserve">18:00-21:00</t>
  </si>
  <si>
    <t xml:space="preserve">刘梦</t>
  </si>
  <si>
    <t xml:space="preserve">21:00-22:30</t>
  </si>
  <si>
    <t xml:space="preserve">李子健双</t>
  </si>
  <si>
    <t xml:space="preserve">18:00-22:00</t>
  </si>
  <si>
    <t xml:space="preserve">李子健</t>
  </si>
  <si>
    <t xml:space="preserve">22:00-01:00</t>
  </si>
  <si>
    <t xml:space="preserve">21:00-23:30</t>
  </si>
  <si>
    <t xml:space="preserve">张滋怡双</t>
  </si>
  <si>
    <t xml:space="preserve">21:00-24:00</t>
  </si>
  <si>
    <t xml:space="preserve">22:00-23:00</t>
  </si>
  <si>
    <t xml:space="preserve">张怡棣双</t>
  </si>
  <si>
    <t xml:space="preserve">22:00-24:00</t>
  </si>
  <si>
    <t xml:space="preserve">李凯丽</t>
  </si>
  <si>
    <t xml:space="preserve">18:00-23:00</t>
  </si>
  <si>
    <t xml:space="preserve">23:00-24:00</t>
  </si>
  <si>
    <t xml:space="preserve">曹颖慧双</t>
  </si>
  <si>
    <t xml:space="preserve">roi</t>
  </si>
  <si>
    <t xml:space="preserve">保本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</si>
  <si>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</si>
  <si>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</si>
  <si>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</si>
  <si>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</si>
  <si>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</si>
  <si>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</si>
  <si>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</si>
  <si>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</si>
  <si>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</si>
  <si>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</si>
  <si>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</si>
  <si>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</si>
  <si>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</si>
  <si>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何雅源</t>
  </si>
  <si>
    <t xml:space="preserve">18:00-22:00</t>
  </si>
  <si>
    <t xml:space="preserve">曹颖慧双</t>
  </si>
  <si>
    <t xml:space="preserve">刘梦</t>
  </si>
  <si>
    <t xml:space="preserve">22:00-24:00</t>
  </si>
  <si>
    <t xml:space="preserve">日总</t>
  </si>
  <si>
    <t xml:space="preserve">李子健双</t>
  </si>
  <si>
    <t xml:space="preserve">李子健</t>
  </si>
  <si>
    <t xml:space="preserve">张滋怡双</t>
  </si>
  <si>
    <t xml:space="preserve">17:00-21:00</t>
  </si>
  <si>
    <t xml:space="preserve">武周帅双</t>
  </si>
  <si>
    <t xml:space="preserve">孟璐瑶</t>
  </si>
  <si>
    <t xml:space="preserve">21:00-23:00</t>
  </si>
  <si>
    <t xml:space="preserve">21:00-24:00</t>
  </si>
  <si>
    <t xml:space="preserve">21:00-23:30</t>
  </si>
  <si>
    <t xml:space="preserve">李凯丽</t>
  </si>
  <si>
    <t xml:space="preserve">21:00-01:00</t>
  </si>
  <si>
    <t xml:space="preserve">21:00-00:00</t>
  </si>
  <si>
    <t xml:space="preserve">董柯言双</t>
  </si>
  <si>
    <t xml:space="preserve">17:00-20:00</t>
  </si>
  <si>
    <t xml:space="preserve">20:00-23:30</t>
  </si>
  <si>
    <t xml:space="preserve">18:00-23:00</t>
  </si>
  <si>
    <t xml:space="preserve">18:00-19:30</t>
  </si>
  <si>
    <t xml:space="preserve">19:30-23:00</t>
  </si>
  <si>
    <t xml:space="preserve">王笑荣</t>
  </si>
  <si>
    <t xml:space="preserve">20:00-24:00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</si>
  <si>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</si>
  <si>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</si>
  <si>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</si>
  <si>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</si>
  <si>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</si>
  <si>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</si>
  <si>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</si>
  <si>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</si>
  <si>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</si>
  <si>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</si>
  <si>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</si>
  <si>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</si>
  <si>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</si>
  <si>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</si>
  <si>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</si>
  <si>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备注</t>
  </si>
  <si>
    <t xml:space="preserve">王笑荣</t>
  </si>
  <si>
    <t xml:space="preserve">19:00-24:00</t>
  </si>
  <si>
    <t xml:space="preserve">李子健双</t>
  </si>
  <si>
    <t xml:space="preserve">日总</t>
  </si>
  <si>
    <t xml:space="preserve">李佳怡</t>
  </si>
  <si>
    <t xml:space="preserve">12:00-16:00</t>
  </si>
  <si>
    <t xml:space="preserve">李子健</t>
  </si>
  <si>
    <t xml:space="preserve">郭玉龙</t>
  </si>
  <si>
    <t xml:space="preserve">16:00-20:00</t>
  </si>
  <si>
    <t xml:space="preserve">刘梦</t>
  </si>
  <si>
    <t xml:space="preserve">20:00-23:00</t>
  </si>
  <si>
    <t xml:space="preserve">李寒玉</t>
  </si>
  <si>
    <t xml:space="preserve">何雅源</t>
  </si>
  <si>
    <t xml:space="preserve">何彩樱双</t>
  </si>
  <si>
    <t xml:space="preserve">何彩樱</t>
  </si>
  <si>
    <t xml:space="preserve">李凯丽</t>
  </si>
  <si>
    <t xml:space="preserve">张欣颖</t>
  </si>
  <si>
    <t xml:space="preserve">7:00-12:00</t>
  </si>
  <si>
    <t xml:space="preserve">20:00-24:00</t>
  </si>
  <si>
    <t xml:space="preserve">7:00-11:00</t>
  </si>
  <si>
    <t xml:space="preserve">11:00-16:00</t>
  </si>
  <si>
    <t xml:space="preserve">07-24</t>
  </si>
  <si>
    <t xml:space="preserve">16:00-18:00</t>
  </si>
  <si>
    <t xml:space="preserve">07-18</t>
  </si>
  <si>
    <t xml:space="preserve">12-24</t>
  </si>
  <si>
    <t xml:space="preserve">董柯言双</t>
  </si>
  <si>
    <t xml:space="preserve">16:00-19:00</t>
  </si>
  <si>
    <t xml:space="preserve">郝泽晗双</t>
  </si>
  <si>
    <t xml:space="preserve">20:00-22:00</t>
  </si>
  <si>
    <t xml:space="preserve">12-22</t>
  </si>
  <si>
    <t xml:space="preserve">12:00-15:00</t>
  </si>
  <si>
    <t xml:space="preserve">15:00-20:00</t>
  </si>
  <si>
    <t xml:space="preserve">张保林</t>
  </si>
  <si>
    <t xml:space="preserve"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</si>
</sst>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0.00_);[Red](0.00)"/>
    <numFmt numFmtId="165" formatCode="#,##0.00"/>
    <numFmt numFmtId="166" formatCode="0.00_);[Red](0.00)"/>
    <numFmt numFmtId="167" formatCode="0.00_);(0.00)"/>
    <numFmt numFmtId="168" formatCode="#,##0.00"/>
    <numFmt numFmtId="169" formatCode="0.00_);[Red](0.00)"/>
    <numFmt numFmtId="170" formatCode="yyyy/m/d"/>
    <numFmt numFmtId="171" formatCode="0.00_);(0.00)"/>
    <numFmt numFmtId="172" formatCode="#,##0.00"/>
    <numFmt numFmtId="173" formatCode="0.00_);[Red](0.00)"/>
    <numFmt numFmtId="174" formatCode="yyyy/m/d"/>
    <numFmt numFmtId="175" formatCode="0.00_);(0.00)"/>
    <numFmt numFmtId="176" formatCode="#,##0.00"/>
    <numFmt numFmtId="177" formatCode="0.00_);[Red](0.00)"/>
    <numFmt numFmtId="178" formatCode="yyyy/m/d"/>
    <numFmt numFmtId="179" formatCode="#,##0.00"/>
    <numFmt numFmtId="180" formatCode="@"/>
  </numFmts>
  <fonts count="5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D8393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bottom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top"/>
    </xf>
    <xf applyAlignment="true" applyBorder="false" applyFill="true" applyFont="true" applyNumberFormat="false" applyProtection="false" borderId="1" fillId="3" fontId="2" numFmtId="0" xfId="0">
      <alignment horizontal="center" vertical="center"/>
    </xf>
    <xf applyAlignment="true" applyBorder="false" applyFill="true" applyFont="true" applyNumberFormat="true" applyProtection="false" borderId="1" fillId="3" fontId="2" numFmtId="164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top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bottom"/>
    </xf>
    <xf applyAlignment="true" applyBorder="false" applyFill="true" applyFont="true" applyNumberFormat="false" applyProtection="false" borderId="2" fillId="4" fontId="1" numFmtId="0" xfId="0">
      <alignment horizontal="center" vertical="center"/>
    </xf>
    <xf applyAlignment="true" applyBorder="false" applyFill="true" applyFont="true" applyNumberFormat="true" applyProtection="false" borderId="2" fillId="4" fontId="1" numFmtId="166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3" numFmtId="167" xfId="0">
      <alignment horizontal="center" vertical="center"/>
    </xf>
    <xf applyAlignment="true" applyBorder="false" applyFill="false" applyFont="true" applyNumberFormat="true" applyProtection="false" borderId="2" fillId="0" fontId="1" numFmtId="168" xfId="0">
      <alignment horizontal="center" vertical="center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bottom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2" fillId="5" fontId="2" numFmtId="0" xfId="0">
      <alignment horizontal="center" vertical="top"/>
    </xf>
    <xf applyAlignment="true" applyBorder="false" applyFill="true" applyFont="true" applyNumberFormat="false" applyProtection="false" borderId="2" fillId="5" fontId="2" numFmtId="0" xfId="0">
      <alignment horizontal="center" vertical="center"/>
    </xf>
    <xf applyAlignment="true" applyBorder="false" applyFill="true" applyFont="true" applyNumberFormat="true" applyProtection="false" borderId="2" fillId="5" fontId="2" numFmtId="166" xfId="0">
      <alignment horizontal="center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true" applyProtection="false" borderId="3" fillId="6" fontId="1" numFmtId="169" xfId="0">
      <alignment horizontal="center" vertical="center"/>
    </xf>
    <xf applyAlignment="true" applyBorder="false" applyFill="false" applyFont="true" applyNumberFormat="true" applyProtection="false" borderId="3" fillId="0" fontId="1" numFmtId="17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3" numFmtId="171" xfId="0">
      <alignment horizontal="center" vertical="center"/>
    </xf>
    <xf applyAlignment="true" applyBorder="false" applyFill="false" applyFont="true" applyNumberFormat="true" applyProtection="false" borderId="3" fillId="0" fontId="1" numFmtId="172" xfId="0">
      <alignment horizontal="center" vertical="center"/>
    </xf>
    <xf applyAlignment="true" applyBorder="false" applyFill="false" applyFont="true" applyNumberFormat="true" applyProtection="false" borderId="3" fillId="0" fontId="1" numFmtId="169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bottom"/>
    </xf>
    <xf applyAlignment="true" applyBorder="false" applyFill="true" applyFont="true" applyNumberFormat="true" applyProtection="false" borderId="3" fillId="7" fontId="2" numFmtId="170" xfId="0">
      <alignment horizontal="center" vertical="top"/>
    </xf>
    <xf applyAlignment="true" applyBorder="false" applyFill="true" applyFont="true" applyNumberFormat="false" applyProtection="false" borderId="3" fillId="7" fontId="2" numFmtId="0" xfId="0">
      <alignment horizontal="center" vertical="center"/>
    </xf>
    <xf applyAlignment="true" applyBorder="false" applyFill="true" applyFont="true" applyNumberFormat="false" applyProtection="false" borderId="3" fillId="7" fontId="2" numFmtId="0" xfId="0">
      <alignment horizontal="center" vertical="center"/>
    </xf>
    <xf applyAlignment="true" applyBorder="false" applyFill="true" applyFont="true" applyNumberFormat="true" applyProtection="false" borderId="3" fillId="7" fontId="2" numFmtId="169" xfId="0">
      <alignment horizontal="center" vertical="center"/>
    </xf>
    <xf applyAlignment="true" applyBorder="false" applyFill="false" applyFont="true" applyNumberFormat="true" applyProtection="false" borderId="3" fillId="0" fontId="3" numFmtId="171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2" xfId="0">
      <alignment vertical="center"/>
    </xf>
    <xf applyAlignment="true" applyBorder="false" applyFill="true" applyFont="true" applyNumberFormat="false" applyProtection="false" borderId="4" fillId="8" fontId="1" numFmtId="0" xfId="0">
      <alignment horizontal="center" vertical="center"/>
    </xf>
    <xf applyAlignment="true" applyBorder="false" applyFill="true" applyFont="true" applyNumberFormat="true" applyProtection="false" borderId="4" fillId="8" fontId="1" numFmtId="173" xfId="0">
      <alignment horizontal="center" vertical="center"/>
    </xf>
    <xf applyAlignment="true" applyBorder="false" applyFill="false" applyFont="true" applyNumberFormat="true" applyProtection="false" borderId="4" fillId="0" fontId="1" numFmtId="174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3" numFmtId="175" xfId="0">
      <alignment horizontal="center" vertical="center"/>
    </xf>
    <xf applyAlignment="true" applyBorder="false" applyFill="false" applyFont="true" applyNumberFormat="true" applyProtection="false" borderId="4" fillId="0" fontId="1" numFmtId="176" xfId="0">
      <alignment horizontal="center" vertical="center"/>
    </xf>
    <xf applyAlignment="true" applyBorder="false" applyFill="false" applyFont="true" applyNumberFormat="true" applyProtection="false" borderId="4" fillId="0" fontId="1" numFmtId="173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bottom"/>
    </xf>
    <xf applyAlignment="true" applyBorder="false" applyFill="true" applyFont="true" applyNumberFormat="true" applyProtection="false" borderId="4" fillId="9" fontId="2" numFmtId="174" xfId="0">
      <alignment horizontal="center" vertical="top"/>
    </xf>
    <xf applyAlignment="true" applyBorder="false" applyFill="true" applyFont="true" applyNumberFormat="false" applyProtection="false" borderId="4" fillId="9" fontId="2" numFmtId="0" xfId="0">
      <alignment horizontal="center" vertical="center"/>
    </xf>
    <xf applyAlignment="true" applyBorder="false" applyFill="true" applyFont="true" applyNumberFormat="false" applyProtection="false" borderId="4" fillId="9" fontId="2" numFmtId="0" xfId="0">
      <alignment horizontal="center" vertical="center"/>
    </xf>
    <xf applyAlignment="true" applyBorder="false" applyFill="true" applyFont="true" applyNumberFormat="true" applyProtection="false" borderId="4" fillId="9" fontId="2" numFmtId="173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true" applyProtection="false" borderId="4" fillId="9" fontId="2" numFmtId="176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6" xfId="0">
      <alignment horizontal="center" vertical="center"/>
    </xf>
    <xf applyAlignment="true" applyBorder="false" applyFill="true" applyFont="true" applyNumberFormat="false" applyProtection="false" borderId="5" fillId="10" fontId="1" numFmtId="0" xfId="0">
      <alignment horizontal="center" vertical="center"/>
    </xf>
    <xf applyAlignment="true" applyBorder="false" applyFill="true" applyFont="true" applyNumberFormat="true" applyProtection="false" borderId="5" fillId="10" fontId="1" numFmtId="177" xfId="0">
      <alignment horizontal="center" vertical="center"/>
    </xf>
    <xf applyAlignment="true" applyBorder="false" applyFill="false" applyFont="true" applyNumberFormat="true" applyProtection="false" borderId="5" fillId="0" fontId="1" numFmtId="178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79" xfId="0">
      <alignment horizontal="center" vertical="center"/>
    </xf>
    <xf applyAlignment="true" applyBorder="false" applyFill="false" applyFont="true" applyNumberFormat="true" applyProtection="false" borderId="5" fillId="0" fontId="1" numFmtId="177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bottom"/>
    </xf>
    <xf applyAlignment="true" applyBorder="false" applyFill="true" applyFont="true" applyNumberFormat="true" applyProtection="false" borderId="5" fillId="11" fontId="2" numFmtId="178" xfId="0">
      <alignment horizontal="center" vertical="top"/>
    </xf>
    <xf applyAlignment="true" applyBorder="false" applyFill="true" applyFont="true" applyNumberFormat="false" applyProtection="false" borderId="5" fillId="11" fontId="2" numFmtId="0" xfId="0">
      <alignment horizontal="center" vertical="center"/>
    </xf>
    <xf applyAlignment="true" applyBorder="false" applyFill="true" applyFont="true" applyNumberFormat="false" applyProtection="false" borderId="5" fillId="11" fontId="2" numFmtId="0" xfId="0">
      <alignment horizontal="center" vertical="center"/>
    </xf>
    <xf applyAlignment="true" applyBorder="false" applyFill="true" applyFont="true" applyNumberFormat="true" applyProtection="false" borderId="5" fillId="11" fontId="2" numFmtId="177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true" applyProtection="false" borderId="5" fillId="11" fontId="2" numFmtId="180" xfId="0">
      <alignment horizontal="center" vertical="center"/>
    </xf>
    <xf applyAlignment="true" applyBorder="false" applyFill="false" applyFont="true" applyNumberFormat="true" applyProtection="false" borderId="0" fillId="0" fontId="4" numFmtId="179" xfId="0">
      <alignment horizontal="center" vertical="center"/>
    </xf>
    <xf applyAlignment="true" applyBorder="false" applyFill="false" applyFont="true" applyNumberFormat="true" applyProtection="false" borderId="0" fillId="0" fontId="4" numFmtId="179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worksheets/sheet6.xml" Type="http://schemas.openxmlformats.org/officeDocument/2006/relationships/worksheet"></Relationship><Relationship Id="rId13" Target="/xl/pivotCache/pivotCacheDefinition4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33" sheet="2026.6"/>
  </cacheSource>
  <cacheFields count="13">
    <cacheField name="日期" numFmtId="0">
      <sharedItems count="0"/>
    </cacheField>
    <cacheField name="主播" numFmtId="0">
      <sharedItems containsBlank="true" count="5">
        <s v="王忆琳"/>
        <s v="陈梓栩"/>
        <m/>
        <s v="王思佳"/>
        <s v="卢林琰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2" maxValue="6" count="5">
        <n v="3"/>
        <n v="2"/>
        <n v="5"/>
        <n v="6"/>
        <n v="4"/>
      </sharedItems>
    </cacheField>
    <cacheField name="保单数量" numFmtId="0">
      <sharedItems containsSemiMixedTypes="false" containsString="false" containsNumber="true" containsInteger="true" minValue="0" maxValue="32" count="0"/>
    </cacheField>
    <cacheField name="家庭单" numFmtId="0">
      <sharedItems containsSemiMixedTypes="false" containsString="false" containsNumber="true" containsInteger="true" minValue="0" maxValue="6" count="0"/>
    </cacheField>
    <cacheField name="年化保费" numFmtId="0">
      <sharedItems containsSemiMixedTypes="false" containsString="false" containsNumber="true" minValue="0" maxValue="20998.5" count="30">
        <n v="473.28"/>
        <n v="0"/>
        <n v="4084.56"/>
        <n v="1162.98"/>
        <n v="5247.54"/>
        <n v="7700.58"/>
        <n v="2342.8199999999997"/>
        <n v="10043.4"/>
        <n v="5124.4"/>
        <n v="2087.8200000000006"/>
        <n v="7212.22"/>
        <n v="2544.96"/>
        <n v="8573.64"/>
        <n v="11118.599999999999"/>
        <n v="7818.6"/>
        <n v="1183.92"/>
        <n v="9002.52"/>
        <n v="7009.64"/>
        <n v="1119.08"/>
        <n v="8128.72"/>
        <n v="14132.52"/>
        <n v="2588.779999999999"/>
        <n v="16721.3"/>
        <n v="8816.3"/>
        <n v="1568.6400000000012"/>
        <n v="10384.94"/>
        <n v="13211.68"/>
        <n v="1073.1000000000004"/>
        <n v="14284.78"/>
        <n v="20998.5"/>
      </sharedItems>
    </cacheField>
    <cacheField name="投流消耗" numFmtId="0">
      <sharedItems containsSemiMixedTypes="false" containsString="false" containsNumber="true" minValue="92.21000000000001" maxValue="21000.52" count="31">
        <n v="92.21000000000001"/>
        <n v="172.68"/>
        <n v="264.89"/>
        <n v="1167.05"/>
        <n v="3079.25"/>
        <n v="4246.3"/>
        <n v="6842.030000000001"/>
        <n v="2712.5299999999997"/>
        <n v="9554.560000000001"/>
        <n v="10276.329999999998"/>
        <n v="1760.9299999999998"/>
        <n v="12037.259999999998"/>
        <n v="4567.16"/>
        <n v="12501.33"/>
        <n v="17068.489999999998"/>
        <n v="8288.72"/>
        <n v="3675.46"/>
        <n v="11964.18"/>
        <n v="6434.25"/>
        <n v="2700.39"/>
        <n v="9134.64"/>
        <n v="16955.489999999998"/>
        <n v="2476.04"/>
        <n v="19431.53"/>
        <n v="5170.46"/>
        <n v="1654.16"/>
        <n v="6824.62"/>
        <n v="10226.83"/>
        <n v="2810.67"/>
        <n v="13037.5"/>
        <n v="21000.52"/>
      </sharedItems>
    </cacheField>
    <cacheField name="ROI" numFmtId="0">
      <sharedItems containsSemiMixedTypes="false" containsString="false" containsNumber="true" minValue="0" maxValue="5.132632035570978" count="0"/>
    </cacheField>
    <cacheField name="单均" numFmtId="0">
      <sharedItems containsMixedTypes="true" containsNumber="true" minValue="236.64" maxValue="1568.6400000000012" count="0"/>
    </cacheField>
    <cacheField name="保单成本" numFmtId="0">
      <sharedItems containsMixedTypes="true" containsNumber="true" minValue="46.105000000000004" maxValue="2810.6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1" maxValue="6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46" sheet="2026.8"/>
  </cacheSource>
  <cacheFields count="13">
    <cacheField name="日期" numFmtId="0">
      <sharedItems containsSemiMixedTypes="false" containsNonDate="false" containsDate="true" containsString="false" minDate="2026-08-07T00:00:00.000Z" maxDate="2026-08-27T00:00:00.000Z" count="15">
        <d v="2026-08-07T00:00:00.000Z"/>
        <d v="2026-08-14T00:00:00.000Z"/>
        <d v="2026-08-15T00:00:00.000Z"/>
        <d v="2026-08-16T00:00:00.000Z"/>
        <d v="2026-08-17T00:00:00.000Z"/>
        <d v="2026-08-18T00:00:00.000Z"/>
        <d v="2026-08-19T00:00:00.000Z"/>
        <d v="2026-08-20T00:00:00.000Z"/>
        <d v="2026-08-21T00:00:00.000Z"/>
        <d v="2026-08-22T00:00:00.000Z"/>
        <d v="2026-08-23T00:00:00.000Z"/>
        <d v="2026-08-24T00:00:00.000Z"/>
        <d v="2026-08-25T00:00:00.000Z"/>
        <d v="2026-08-26T00:00:00.000Z"/>
        <d v="2026-08-27T00:00:00.000Z"/>
      </sharedItems>
    </cacheField>
    <cacheField name="主播" numFmtId="0">
      <sharedItems containsBlank="true" count="6">
        <s v="王恬"/>
        <s v="日总"/>
        <s v="何雅源"/>
        <s v="刘梦"/>
        <m/>
        <s v="李凯丽"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1" maxValue="7" count="12">
        <n v="1"/>
        <n v="3"/>
        <n v="1.5"/>
        <n v="4.5"/>
        <n v="4"/>
        <n v="7"/>
        <n v="2.5"/>
        <n v="5.5"/>
        <m/>
        <n v="6"/>
        <n v="5"/>
        <n v="2"/>
      </sharedItems>
    </cacheField>
    <cacheField name="保单数量" numFmtId="0">
      <sharedItems containsString="false" containsBlank="true" containsNumber="true" containsInteger="true" minValue="0" maxValue="56" count="31">
        <n v="2"/>
        <n v="0"/>
        <n v="1"/>
        <n v="19"/>
        <n v="20"/>
        <n v="39"/>
        <n v="17"/>
        <n v="6"/>
        <n v="23"/>
        <m/>
        <n v="24"/>
        <n v="7"/>
        <n v="14"/>
        <n v="13"/>
        <n v="27"/>
        <n v="15"/>
        <n v="16"/>
        <n v="31"/>
        <n v="22"/>
        <n v="5"/>
        <n v="11"/>
        <n v="28"/>
        <n v="29"/>
        <n v="34"/>
        <n v="10"/>
        <n v="56"/>
        <n v="32"/>
        <n v="12"/>
        <n v="44"/>
        <n v="8"/>
        <n v="42"/>
      </sharedItems>
    </cacheField>
    <cacheField name="家庭单" numFmtId="0">
      <sharedItems containsString="false" containsBlank="true" containsNumber="true" containsInteger="true" minValue="0" maxValue="14" count="0"/>
    </cacheField>
    <cacheField name="年化保费" numFmtId="0">
      <sharedItems containsString="false" containsBlank="true" containsNumber="true" minValue="0" maxValue="52412.08" count="41">
        <n v="1805.28"/>
        <n v="0"/>
        <n v="710.64"/>
        <n v="9991.7"/>
        <n v="10646.58"/>
        <n v="20638.28"/>
        <n v="11591.72"/>
        <n v="3062.06"/>
        <n v="14653.779999999999"/>
        <n v="236.64"/>
        <m/>
        <n v="12462.42"/>
        <n v="12699.06"/>
        <n v="4220.96"/>
        <n v="12059.86"/>
        <n v="5825.52"/>
        <n v="17885.38"/>
        <n v="10503.1"/>
        <n v="12363.12"/>
        <n v="22866.22"/>
        <n v="10739.76"/>
        <n v="4519.88"/>
        <n v="15259.64"/>
        <n v="12425.48"/>
        <n v="5634.32"/>
        <n v="18059.8"/>
        <n v="18876.42"/>
        <n v="4321.200000000001"/>
        <n v="23197.62"/>
        <n v="2962.86"/>
        <n v="4321.2"/>
        <n v="7284.0599999999995"/>
        <n v="25229.86"/>
        <n v="27182.22"/>
        <n v="52412.08"/>
        <n v="29450"/>
        <n v="7558.88"/>
        <n v="37008.88"/>
        <n v="30168.58"/>
        <n v="4518.54"/>
        <n v="34687.12"/>
      </sharedItems>
    </cacheField>
    <cacheField name="投流消耗" numFmtId="0">
      <sharedItems containsString="false" containsBlank="true" containsNumber="true" minValue="30.46" maxValue="30895.78" count="44">
        <n v="30.46"/>
        <n v="397.98"/>
        <n v="469.76"/>
        <n v="867.74"/>
        <n v="12998.21"/>
        <n v="17897.57"/>
        <n v="30895.78"/>
        <n v="12858.32"/>
        <n v="7685.31"/>
        <n v="20543.63"/>
        <n v="4047.75"/>
        <m/>
        <n v="9429.12"/>
        <n v="13476.87"/>
        <n v="8839.17"/>
        <n v="2375.17"/>
        <n v="11214.34"/>
        <n v="4076.58"/>
        <n v="8253.76"/>
        <n v="12330.34"/>
        <n v="8600.17"/>
        <n v="9360.41"/>
        <n v="17960.58"/>
        <n v="9465.83"/>
        <n v="4459.09"/>
        <n v="13924.92"/>
        <n v="5293.2699999999995"/>
        <n v="5723.61"/>
        <n v="11016.88"/>
        <n v="10340.01"/>
        <n v="2495.97"/>
        <n v="12835.98"/>
        <n v="5132.12"/>
        <n v="2341.45"/>
        <n v="7473.57"/>
        <n v="8914.49"/>
        <n v="7333.52"/>
        <n v="16248.01"/>
        <n v="13487.72"/>
        <n v="4874.94"/>
        <n v="18362.66"/>
        <n v="11163.83"/>
        <n v="4477.87"/>
        <n v="15641.7"/>
      </sharedItems>
    </cacheField>
    <cacheField name="ROI" numFmtId="0">
      <sharedItems containsString="false" containsBlank="true" containsNumber="true" minValue="0" maxValue="59.267235718975705" count="0"/>
    </cacheField>
    <cacheField name="单均" numFmtId="0">
      <sharedItems containsBlank="true" containsMixedTypes="true" containsNumber="true" minValue="236.64" maxValue="937.3179310344829" count="0"/>
    </cacheField>
    <cacheField name="保单成本" numFmtId="0">
      <sharedItems containsBlank="true" containsMixedTypes="true" containsNumber="true" minValue="15.23" maxValue="4047.75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7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87" sheet="2026.9"/>
  </cacheSource>
  <cacheFields count="13">
    <cacheField name="日期" numFmtId="0">
      <sharedItems containsSemiMixedTypes="false" containsNonDate="false" containsDate="true" containsString="false" minDate="2026-09-01T00:00:00.000Z" maxDate="2026-09-30T00:00:00.000Z" count="0"/>
    </cacheField>
    <cacheField name="主播" numFmtId="0">
      <sharedItems count="6">
        <s v="何雅源"/>
        <s v="刘梦"/>
        <s v="日总"/>
        <s v="孟璐瑶"/>
        <s v="李凯丽"/>
        <s v="王笑荣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5" maxValue="8" count="11">
        <n v="4"/>
        <n v="2"/>
        <n v="6"/>
        <n v="3"/>
        <n v="7"/>
        <n v="2.5"/>
        <n v="6.5"/>
        <n v="8"/>
        <n v="3.5"/>
        <n v="5"/>
        <n v="1.5"/>
      </sharedItems>
    </cacheField>
    <cacheField name="保单数量" numFmtId="0">
      <sharedItems containsSemiMixedTypes="false" containsString="false" containsNumber="true" containsInteger="true" minValue="2" maxValue="69" count="0"/>
    </cacheField>
    <cacheField name="家庭单" numFmtId="0">
      <sharedItems containsSemiMixedTypes="false" containsString="false" containsNumber="true" containsInteger="true" minValue="0" maxValue="17" count="0"/>
    </cacheField>
    <cacheField name="年化保费" numFmtId="0">
      <sharedItems containsSemiMixedTypes="false" containsString="false" containsNumber="true" minValue="861.5" maxValue="55307.72" count="82">
        <n v="2091.9"/>
        <n v="11153.3"/>
        <n v="13245.199999999999"/>
        <n v="13397.12"/>
        <n v="861.5"/>
        <n v="14258.62"/>
        <n v="23974.52"/>
        <n v="6518.58"/>
        <n v="30493.1"/>
        <n v="23864.94"/>
        <n v="8799.74"/>
        <n v="32664.68"/>
        <n v="10045.24"/>
        <n v="14205.22"/>
        <n v="7463.66"/>
        <n v="21668.879999999997"/>
        <n v="18349.22"/>
        <n v="12093.1"/>
        <n v="30442.32"/>
        <n v="21465.52"/>
        <n v="6420.999999999998"/>
        <n v="27886.519999999997"/>
        <n v="6062.1"/>
        <n v="1162.9799999999996"/>
        <n v="7225.08"/>
        <n v="5563.8"/>
        <n v="17895.36"/>
        <n v="23459.16"/>
        <n v="12493.1"/>
        <n v="14074.9"/>
        <n v="26568"/>
        <n v="18232.36"/>
        <n v="18501.9"/>
        <n v="36734.26"/>
        <n v="24013.94"/>
        <n v="1593.08"/>
        <n v="25607.019999999997"/>
        <n v="32608.02"/>
        <n v="10674.7"/>
        <n v="43282.72"/>
        <n v="8982.58"/>
        <n v="1894.56"/>
        <n v="10877.14"/>
        <n v="18223.92"/>
        <n v="12848.64"/>
        <n v="31072.559999999998"/>
        <n v="18284.58"/>
        <n v="12624.78"/>
        <n v="30909.36"/>
        <n v="4321.2"/>
        <n v="12133.94"/>
        <n v="6430.74"/>
        <n v="18564.68"/>
        <n v="15210.58"/>
        <n v="16369.339999999998"/>
        <n v="31579.92"/>
        <n v="3961.64"/>
        <n v="6175.86"/>
        <n v="10137.5"/>
        <n v="8691.8"/>
        <n v="10584.86"/>
        <n v="19276.66"/>
        <n v="18816.96"/>
        <n v="13037.36"/>
        <n v="31854.32"/>
        <n v="17065.28"/>
        <n v="10061.6"/>
        <n v="27126.879999999997"/>
        <n v="36349.94"/>
        <n v="5010.9"/>
        <n v="38576"/>
        <n v="43586.9"/>
        <n v="18996.76"/>
        <n v="20680.9"/>
        <n v="8929.78"/>
        <n v="29610.68"/>
        <n v="14202.08"/>
        <n v="19929.52"/>
        <n v="34131.6"/>
        <n v="21191.58"/>
        <n v="34116.14"/>
        <n v="55307.72"/>
      </sharedItems>
    </cacheField>
    <cacheField name="投流消耗" numFmtId="0">
      <sharedItems containsSemiMixedTypes="false" containsString="false" containsNumber="true" minValue="2284.9" maxValue="22966.33" count="82">
        <n v="5078.719999999999"/>
        <n v="3547.91"/>
        <n v="8626.63"/>
        <n v="8816.12"/>
        <n v="3124.75"/>
        <n v="11940.87"/>
        <n v="9301.1"/>
        <n v="3703.85"/>
        <n v="13004.95"/>
        <n v="6738.49"/>
        <n v="6626.85"/>
        <n v="13365.34"/>
        <n v="7923.3"/>
        <n v="8889.45"/>
        <n v="5479.96"/>
        <n v="14369.41"/>
        <n v="7306.79"/>
        <n v="5761.41"/>
        <n v="13068.2"/>
        <n v="10093.73"/>
        <n v="6398.16"/>
        <n v="16491.89"/>
        <n v="6375.13"/>
        <n v="2691.47"/>
        <n v="9066.6"/>
        <n v="3694.61"/>
        <n v="7115.08"/>
        <n v="10809.69"/>
        <n v="6719.88"/>
        <n v="8787.55"/>
        <n v="15507.43"/>
        <n v="10177.76"/>
        <n v="11374.29"/>
        <n v="21552.050000000003"/>
        <n v="11512.23"/>
        <n v="5534.27"/>
        <n v="17046.5"/>
        <n v="11244.88"/>
        <n v="8845.38"/>
        <n v="20090.26"/>
        <n v="8132.84"/>
        <n v="2284.9"/>
        <n v="10417.74"/>
        <n v="7614.33"/>
        <n v="7749.96"/>
        <n v="15364.29"/>
        <n v="7254.53"/>
        <n v="7254.54"/>
        <n v="14509.07"/>
        <n v="4282.18"/>
        <n v="4860.86"/>
        <n v="4721.85"/>
        <n v="9582.71"/>
        <n v="9831.289999999999"/>
        <n v="9362.66"/>
        <n v="19193.949999999997"/>
        <n v="5426.55"/>
        <n v="4874.99"/>
        <n v="10301.54"/>
        <n v="5206.37"/>
        <n v="6682.95"/>
        <n v="11889.32"/>
        <n v="7960.14"/>
        <n v="8594.2"/>
        <n v="16554.34"/>
        <n v="7884.11"/>
        <n v="4721.63"/>
        <n v="12605.74"/>
        <n v="16685.34"/>
        <n v="5030.84"/>
        <n v="12272.599999999999"/>
        <n v="17303.44"/>
        <n v="14074.18"/>
        <n v="12267.9"/>
        <n v="4949.45"/>
        <n v="17217.35"/>
        <n v="8877.47"/>
        <n v="14088.86"/>
        <n v="22966.33"/>
        <n v="9050.4"/>
        <n v="13589.1"/>
        <n v="22639.5"/>
      </sharedItems>
    </cacheField>
    <cacheField name="ROI" numFmtId="0">
      <sharedItems containsSemiMixedTypes="false" containsString="false" containsNumber="true" minValue="0.27570205616449317" maxValue="3.5415857261790102" count="0"/>
    </cacheField>
    <cacheField name="单均" numFmtId="0">
      <sharedItems containsSemiMixedTypes="false" containsString="false" containsNumber="true" minValue="298.84285714285716" maxValue="1012.4399999999999" count="0"/>
    </cacheField>
    <cacheField name="保单成本" numFmtId="0">
      <sharedItems containsSemiMixedTypes="false" containsString="false" containsNumber="true" minValue="215.60848484848484" maxValue="1844.75666666666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8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K$76" sheet="2026.10"/>
  </cacheSource>
  <cacheFields count="11">
    <cacheField name="日期" numFmtId="0">
      <sharedItems containsSemiMixedTypes="false" containsNonDate="false" containsDate="true" containsString="false" minDate="2026-10-01T00:00:00.000Z" maxDate="2026-10-18T00:00:00.000Z" count="18">
        <d v="2026-10-01T00:00:00.000Z"/>
        <d v="2026-10-02T00:00:00.000Z"/>
        <d v="2026-10-03T00:00:00.000Z"/>
        <d v="2026-10-04T00:00:00.000Z"/>
        <d v="2026-10-05T00:00:00.000Z"/>
        <d v="2026-10-06T00:00:00.000Z"/>
        <d v="2026-10-07T00:00:00.000Z"/>
        <d v="2026-10-08T00:00:00.000Z"/>
        <d v="2026-10-09T00:00:00.000Z"/>
        <d v="2026-10-10T00:00:00.000Z"/>
        <d v="2026-10-11T00:00:00.000Z"/>
        <d v="2026-10-12T00:00:00.000Z"/>
        <d v="2026-10-13T00:00:00.000Z"/>
        <d v="2026-10-14T00:00:00.000Z"/>
        <d v="2026-10-15T00:00:00.000Z"/>
        <d v="2026-10-16T00:00:00.000Z"/>
        <d v="2026-10-17T00:00:00.000Z"/>
        <d v="2026-10-18T00:00:00.000Z"/>
      </sharedItems>
    </cacheField>
    <cacheField name="主播" numFmtId="0">
      <sharedItems count="9">
        <s v="王笑荣"/>
        <s v="日总"/>
        <s v="李佳怡"/>
        <s v="郭玉龙"/>
        <s v="刘梦"/>
        <s v="何雅源"/>
        <s v="李凯丽"/>
        <s v="张欣颖"/>
        <s v="张保林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2" maxValue="17" count="8">
        <n v="5"/>
        <n v="4"/>
        <n v="3"/>
        <n v="11"/>
        <n v="12"/>
        <n v="17"/>
        <n v="2"/>
        <n v="10"/>
      </sharedItems>
    </cacheField>
    <cacheField name="保单数量" numFmtId="0">
      <sharedItems containsSemiMixedTypes="false" containsString="false" containsNumber="true" containsInteger="true" minValue="8" maxValue="233" count="56">
        <n v="125"/>
        <n v="26"/>
        <n v="39"/>
        <n v="17"/>
        <n v="82"/>
        <n v="32"/>
        <n v="45"/>
        <n v="116"/>
        <n v="28"/>
        <n v="65"/>
        <n v="104"/>
        <n v="197"/>
        <n v="24"/>
        <n v="51"/>
        <n v="60"/>
        <n v="135"/>
        <n v="44"/>
        <n v="139"/>
        <n v="50"/>
        <n v="56"/>
        <n v="127"/>
        <n v="233"/>
        <n v="49"/>
        <n v="25"/>
        <n v="21"/>
        <n v="47"/>
        <n v="34"/>
        <n v="54"/>
        <n v="91"/>
        <n v="226"/>
        <n v="71"/>
        <n v="57"/>
        <n v="30"/>
        <n v="42"/>
        <n v="200"/>
        <n v="88"/>
        <n v="55"/>
        <n v="115"/>
        <n v="31"/>
        <n v="27"/>
        <n v="8"/>
        <n v="66"/>
        <n v="29"/>
        <n v="35"/>
        <n v="61"/>
        <n v="33"/>
        <n v="23"/>
        <n v="69"/>
        <n v="16"/>
        <n v="93"/>
        <n v="13"/>
        <n v="20"/>
        <n v="14"/>
        <n v="43"/>
        <n v="19"/>
        <n v="85"/>
      </sharedItems>
    </cacheField>
    <cacheField name="家庭单" numFmtId="0">
      <sharedItems containsSemiMixedTypes="false" containsString="false" containsNumber="true" containsInteger="true" minValue="0" maxValue="46" count="0"/>
    </cacheField>
    <cacheField name="年化保费" numFmtId="0">
      <sharedItems containsSemiMixedTypes="false" containsString="false" containsNumber="true" minValue="4539.48" maxValue="144178.26" count="74">
        <n v="81258.94"/>
        <n v="17794.02"/>
        <n v="33785.44"/>
        <n v="8150.7"/>
        <n v="59730.16"/>
        <n v="19913.6"/>
        <n v="25521.26"/>
        <n v="23104.72"/>
        <n v="68539.58"/>
        <n v="20489"/>
        <n v="43367.26"/>
        <n v="56364.3"/>
        <n v="120220.56"/>
        <n v="15242.82"/>
        <n v="34465.2"/>
        <n v="34471.52"/>
        <n v="84179.54"/>
        <n v="23439.6"/>
        <n v="30250.86"/>
        <n v="18531.18"/>
        <n v="72221.64"/>
        <n v="29563.78"/>
        <n v="42388.58"/>
        <n v="72225.9"/>
        <n v="144178.26"/>
        <n v="26436.84"/>
        <n v="27283.32"/>
        <n v="14129.82"/>
        <n v="14308.16"/>
        <n v="82158.14000000001"/>
        <n v="24383.4"/>
        <n v="20165.38"/>
        <n v="28192.54"/>
        <n v="48325.16"/>
        <n v="121066.48000000001"/>
        <n v="43585.34"/>
        <n v="27158.76"/>
        <n v="14945.16"/>
        <n v="26746.14"/>
        <n v="112435.4"/>
        <n v="38492.54"/>
        <n v="41973.68"/>
        <n v="19312.34"/>
        <n v="28085.22"/>
        <n v="127863.78"/>
        <n v="15122.78"/>
        <n v="15574.08"/>
        <n v="18058.2"/>
        <n v="17617.52"/>
        <n v="66372.58"/>
        <n v="15124.22"/>
        <n v="11871.54"/>
        <n v="4539.48"/>
        <n v="31535.24"/>
        <n v="15013.56"/>
        <n v="14715.9"/>
        <n v="37534.939999999995"/>
        <n v="67264.4"/>
        <n v="20046.56"/>
        <n v="9588.18"/>
        <n v="34774.2"/>
        <n v="64408.94"/>
        <n v="26852.64"/>
        <n v="6604.5"/>
        <n v="18049.16"/>
        <n v="51506.3"/>
        <n v="5446.32"/>
        <n v="11039.72"/>
        <n v="5984.48"/>
        <n v="22470.52"/>
        <n v="12316.44"/>
        <n v="22805"/>
        <n v="9729.44"/>
        <n v="44850.880000000005"/>
      </sharedItems>
    </cacheField>
    <cacheField name="投流消耗" numFmtId="0">
      <sharedItems containsSemiMixedTypes="false" containsString="false" containsNumber="true" minValue="3703.02" maxValue="70586.88" count="74">
        <n v="22626.64"/>
        <n v="12967.53"/>
        <n v="14281.06"/>
        <n v="11769.48"/>
        <n v="39018.07"/>
        <n v="13949.36"/>
        <n v="16713.7"/>
        <n v="15202.9"/>
        <n v="45865.96"/>
        <n v="10308.43"/>
        <n v="17136.83"/>
        <n v="34079.13"/>
        <n v="61524.39"/>
        <n v="12444.6"/>
        <n v="13361.83"/>
        <n v="18886.7"/>
        <n v="44693.130000000005"/>
        <n v="13472.14"/>
        <n v="18201.59"/>
        <n v="16570.07"/>
        <n v="48243.8"/>
        <n v="13726.08"/>
        <n v="16714"/>
        <n v="30216.78"/>
        <n v="60656.86"/>
        <n v="18753.24"/>
        <n v="12108.65"/>
        <n v="10740.55"/>
        <n v="8315.66"/>
        <n v="49918.100000000006"/>
        <n v="13333.580000000002"/>
        <n v="14168"/>
        <n v="14245.9"/>
        <n v="27345.7"/>
        <n v="69093.18000000001"/>
        <n v="19772.66"/>
        <n v="20699.54"/>
        <n v="11586.19"/>
        <n v="14514.35"/>
        <n v="66572.74"/>
        <n v="19880.21"/>
        <n v="19940.49"/>
        <n v="15264.43"/>
        <n v="15501.75"/>
        <n v="70586.88"/>
        <n v="10948.19"/>
        <n v="11265.17"/>
        <n v="11179.01"/>
        <n v="11141.61"/>
        <n v="44533.98"/>
        <n v="9555"/>
        <n v="12503.27"/>
        <n v="3703.02"/>
        <n v="25761.29"/>
        <n v="11580.9"/>
        <n v="10967.619999999999"/>
        <n v="17257.93"/>
        <n v="39806.45"/>
        <n v="13618.37"/>
        <n v="9042.02"/>
        <n v="20414.48"/>
        <n v="43074.869999999995"/>
        <n v="16752.76"/>
        <n v="9376.74"/>
        <n v="10291.93"/>
        <n v="36421.43"/>
        <n v="7269.95"/>
        <n v="6565.88"/>
        <n v="5296.85"/>
        <n v="19132.68"/>
        <n v="8435.68"/>
        <n v="15218.28"/>
        <n v="10026.22"/>
        <n v="33680.18"/>
      </sharedItems>
    </cacheField>
    <cacheField name="ROI" numFmtId="0">
      <sharedItems containsSemiMixedTypes="false" containsString="false" containsNumber="true" minValue="0.6925284719460842" maxValue="3.5912950398291574" count="0"/>
    </cacheField>
    <cacheField name="单均" numFmtId="0">
      <sharedItems containsSemiMixedTypes="false" containsString="false" containsNumber="true" minValue="412.78125" maxValue="866.2933333333334" count="0"/>
    </cacheField>
    <cacheField name="保单成本" numFmtId="0">
      <sharedItems containsSemiMixedTypes="false" containsString="false" containsNumber="true" minValue="181.01312" maxValue="692.3223529411764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36:$F$41" firstHeaderRow="1" firstDataRow="1" firstDataCol="1"/>
  <pivotFields count="13">
    <pivotField compact="false" outline="false" showAll="false"/>
    <pivotField axis="axisRow" compact="false" outline="false" showAll="false">
      <items count="6">
        <item x="0"/>
        <item x="1"/>
        <item h="true"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true" compact="false" outline="false" showAll="false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A$163:$E$167" firstHeaderRow="1" firstDataRow="1" firstDataCol="1" rowPageCount="1" colPageCount="2"/>
  <pivotFields count="13">
    <pivotField axis="axisPag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false" outline="false" showAll="false">
      <items count="7">
        <item x="0"/>
        <item h="true" x="1"/>
        <item x="2"/>
        <item x="3"/>
        <item h="true" x="4"/>
        <item h="true" x="5"/>
        <item t="default"/>
      </items>
    </pivotField>
    <pivotField compact="false" outline="false" showAll="false"/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true" compact="false" outline="false" showAll="false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false" outline="false" showAll="false"/>
    <pivotField dataField="true" compact="false" outline="false" showAll="false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true" compact="false" outline="false" showAll="false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0"/>
  </pageFields>
  <dataFields count="4">
    <dataField name="求和项:直播时长" fld="3" subtotal="sum"/>
    <dataField name="求和项:保单数量" fld="4" subtotal="sum"/>
    <dataField name="求和项:投流消耗" fld="7" subtotal="sum"/>
    <dataField name="求和项:年化保费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94:$F$100" firstHeaderRow="1" firstDataRow="1" firstDataCol="1"/>
  <pivotFields count="13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true" compact="false" outline="false" showAll="false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A$104:$E$111" firstHeaderRow="1" firstDataRow="1" firstDataCol="1" rowPageCount="1" colPageCount="2"/>
  <pivotFields count="11">
    <pivotField axis="axisPage" compact="false" outline="false" showAll="false">
      <items count="19">
        <item h="true" x="0"/>
        <item h="true" x="1"/>
        <item h="true" x="2"/>
        <item h="true" x="3"/>
        <item h="true" x="4"/>
        <item h="true" x="5"/>
        <item h="true" x="6"/>
        <item h="true" x="7"/>
        <item h="true" x="8"/>
        <item h="true" x="9"/>
        <item h="true" x="10"/>
        <item x="11"/>
        <item x="12"/>
        <item x="13"/>
        <item x="14"/>
        <item x="15"/>
        <item x="16"/>
        <item x="17"/>
        <item t="default"/>
      </items>
    </pivotField>
    <pivotField axis="axisRow" compact="false" outline="false" showAll="false">
      <items count="10">
        <item x="0"/>
        <item h="true"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false" outline="false" showAll="false"/>
    <pivotField dataField="true" compact="false" outline="false" showAll="false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dataField="true" compact="false" outline="false" showAll="false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0"/>
  </pageFields>
  <dataFields count="4">
    <dataField name="求和项:直播时长" fld="3" subtotal="sum"/>
    <dataField name="求和项:保单数量" fld="4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N2" xSplit="13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1" t="s">
        <v>13</v>
      </c>
    </row>
    <row r="2">
      <c r="A2" s="3" t="s">
        <v>14</v>
      </c>
      <c r="B2" s="3" t="s">
        <v>15</v>
      </c>
      <c r="C2" s="3" t="s">
        <v>16</v>
      </c>
      <c r="D2" s="3">
        <v>3</v>
      </c>
      <c r="E2" s="3">
        <v>2</v>
      </c>
      <c r="F2" s="3">
        <v>1</v>
      </c>
      <c r="G2" s="4">
        <v>473.28</v>
      </c>
      <c r="H2" s="4">
        <v>92.21000000000001</v>
      </c>
      <c r="I2" s="5">
        <f t="shared" ref="I2:I33" si="2">G2/H2</f>
      </c>
      <c r="J2" s="5">
        <f t="shared" ref="J2:J33" si="0">G2/E2</f>
      </c>
      <c r="K2" s="5">
        <f t="shared" ref="K2:K33" si="1">H2/E2</f>
      </c>
      <c r="L2" s="6" t="s">
        <v>17</v>
      </c>
      <c r="M2" s="3">
        <v>4</v>
      </c>
    </row>
    <row r="3">
      <c r="A3" s="3" t="s">
        <v>14</v>
      </c>
      <c r="B3" s="7" t="s">
        <v>18</v>
      </c>
      <c r="C3" s="3" t="s">
        <v>19</v>
      </c>
      <c r="D3" s="3">
        <v>2</v>
      </c>
      <c r="E3" s="3">
        <v>0</v>
      </c>
      <c r="F3" s="3">
        <v>0</v>
      </c>
      <c r="G3" s="8">
        <v>0</v>
      </c>
      <c r="H3" s="4">
        <v>172.68</v>
      </c>
      <c r="I3" s="5">
        <f t="shared" si="2"/>
      </c>
      <c r="J3" s="5">
        <f t="shared" si="0"/>
      </c>
      <c r="K3" s="5">
        <f t="shared" si="1"/>
      </c>
      <c r="L3" s="6" t="s">
        <v>20</v>
      </c>
      <c r="M3" s="3">
        <v>1</v>
      </c>
    </row>
    <row r="4">
      <c r="A4" s="9" t="s">
        <v>14</v>
      </c>
      <c r="B4" s="10"/>
      <c r="C4" s="10"/>
      <c r="D4" s="10">
        <f>SUM(D2:D3)</f>
      </c>
      <c r="E4" s="10">
        <f>SUM(E2:E3)</f>
      </c>
      <c r="F4" s="10">
        <f>SUM(F2:F3)</f>
      </c>
      <c r="G4" s="10">
        <f>SUM(G2:G3)</f>
      </c>
      <c r="H4" s="10">
        <f>SUM(H2:H3)</f>
      </c>
      <c r="I4" s="11">
        <f t="shared" si="2"/>
      </c>
      <c r="J4" s="11">
        <f t="shared" si="0"/>
      </c>
      <c r="K4" s="11">
        <f t="shared" si="1"/>
      </c>
      <c r="L4" s="11"/>
      <c r="M4" s="10">
        <f>SUM(M2:M3)</f>
      </c>
    </row>
    <row r="5">
      <c r="A5" s="3" t="s">
        <v>21</v>
      </c>
      <c r="B5" s="7" t="s">
        <v>18</v>
      </c>
      <c r="C5" s="3" t="s">
        <v>22</v>
      </c>
      <c r="D5" s="3">
        <v>3</v>
      </c>
      <c r="E5" s="3">
        <v>4</v>
      </c>
      <c r="F5" s="3">
        <v>1</v>
      </c>
      <c r="G5" s="4">
        <v>4084.56</v>
      </c>
      <c r="H5" s="4">
        <v>1167.05</v>
      </c>
      <c r="I5" s="5">
        <f t="shared" si="2"/>
      </c>
      <c r="J5" s="5">
        <f t="shared" si="0"/>
      </c>
      <c r="K5" s="5">
        <f t="shared" si="1"/>
      </c>
      <c r="L5" s="6" t="s">
        <v>23</v>
      </c>
      <c r="M5" s="3">
        <v>6</v>
      </c>
    </row>
    <row r="6">
      <c r="A6" s="3" t="s">
        <v>21</v>
      </c>
      <c r="B6" s="3" t="s">
        <v>15</v>
      </c>
      <c r="C6" s="3" t="s">
        <v>24</v>
      </c>
      <c r="D6" s="3">
        <v>3</v>
      </c>
      <c r="E6" s="3">
        <v>3</v>
      </c>
      <c r="F6" s="3">
        <v>0</v>
      </c>
      <c r="G6" s="8">
        <v>1162.98</v>
      </c>
      <c r="H6" s="4">
        <v>3079.25</v>
      </c>
      <c r="I6" s="5">
        <f t="shared" si="2"/>
      </c>
      <c r="J6" s="5">
        <f t="shared" si="0"/>
      </c>
      <c r="K6" s="5">
        <f t="shared" si="1"/>
      </c>
      <c r="L6" s="6"/>
      <c r="M6" s="3"/>
    </row>
    <row r="7">
      <c r="A7" s="9" t="s">
        <v>21</v>
      </c>
      <c r="B7" s="10"/>
      <c r="C7" s="10"/>
      <c r="D7" s="10">
        <f>SUM(D5:D6)</f>
      </c>
      <c r="E7" s="10">
        <f>SUM(E5:E6)</f>
      </c>
      <c r="F7" s="10">
        <f>SUM(F5:F6)</f>
      </c>
      <c r="G7" s="10">
        <f>SUM(G5:G6)</f>
      </c>
      <c r="H7" s="10">
        <f>SUM(H5:H6)</f>
      </c>
      <c r="I7" s="11">
        <f t="shared" si="2"/>
      </c>
      <c r="J7" s="11">
        <f t="shared" si="0"/>
      </c>
      <c r="K7" s="11">
        <f t="shared" si="1"/>
      </c>
      <c r="L7" s="11"/>
      <c r="M7" s="10">
        <f>SUM(M5:M6)</f>
      </c>
    </row>
    <row r="8">
      <c r="A8" s="3" t="s">
        <v>25</v>
      </c>
      <c r="B8" s="7" t="s">
        <v>18</v>
      </c>
      <c r="C8" s="3" t="s">
        <v>26</v>
      </c>
      <c r="D8" s="3">
        <v>4</v>
      </c>
      <c r="E8" s="3">
        <v>13</v>
      </c>
      <c r="F8" s="3">
        <v>1</v>
      </c>
      <c r="G8" s="4">
        <v>7700.58</v>
      </c>
      <c r="H8" s="4">
        <v>6842.030000000001</v>
      </c>
      <c r="I8" s="5">
        <f t="shared" si="2"/>
      </c>
      <c r="J8" s="5">
        <f t="shared" si="0"/>
      </c>
      <c r="K8" s="5">
        <f t="shared" si="1"/>
      </c>
      <c r="L8" s="6" t="s">
        <v>23</v>
      </c>
      <c r="M8" s="3">
        <v>6</v>
      </c>
    </row>
    <row r="9">
      <c r="A9" s="3" t="s">
        <v>25</v>
      </c>
      <c r="B9" s="3" t="s">
        <v>15</v>
      </c>
      <c r="C9" s="3" t="s">
        <v>27</v>
      </c>
      <c r="D9" s="3">
        <v>2</v>
      </c>
      <c r="E9" s="3">
        <v>4</v>
      </c>
      <c r="F9" s="3">
        <v>0</v>
      </c>
      <c r="G9" s="8">
        <v>2342.8199999999997</v>
      </c>
      <c r="H9" s="4">
        <v>2712.5299999999997</v>
      </c>
      <c r="I9" s="5">
        <f t="shared" si="2"/>
      </c>
      <c r="J9" s="5">
        <f t="shared" si="0"/>
      </c>
      <c r="K9" s="5">
        <f t="shared" si="1"/>
      </c>
      <c r="L9" s="6"/>
      <c r="M9" s="3"/>
    </row>
    <row r="10">
      <c r="A10" s="9" t="s">
        <v>25</v>
      </c>
      <c r="B10" s="10"/>
      <c r="C10" s="10"/>
      <c r="D10" s="10">
        <f>SUM(D8:D9)</f>
      </c>
      <c r="E10" s="10">
        <f>SUM(E8:E9)</f>
      </c>
      <c r="F10" s="10">
        <f>SUM(F8:F9)</f>
      </c>
      <c r="G10" s="10">
        <f>SUM(G8:G9)</f>
      </c>
      <c r="H10" s="10">
        <f>SUM(H8:H9)</f>
      </c>
      <c r="I10" s="11">
        <f t="shared" si="2"/>
      </c>
      <c r="J10" s="11">
        <f t="shared" si="0"/>
      </c>
      <c r="K10" s="11">
        <f t="shared" si="1"/>
      </c>
      <c r="L10" s="11"/>
      <c r="M10" s="10">
        <f>SUM(M8:M9)</f>
      </c>
    </row>
    <row r="11">
      <c r="A11" s="3" t="s">
        <v>28</v>
      </c>
      <c r="B11" s="7" t="s">
        <v>18</v>
      </c>
      <c r="C11" s="3" t="s">
        <v>26</v>
      </c>
      <c r="D11" s="3">
        <v>4</v>
      </c>
      <c r="E11" s="3">
        <v>9</v>
      </c>
      <c r="F11" s="3">
        <v>0</v>
      </c>
      <c r="G11" s="4">
        <v>5124.4</v>
      </c>
      <c r="H11" s="4">
        <v>10276.329999999998</v>
      </c>
      <c r="I11" s="5">
        <f t="shared" si="2"/>
      </c>
      <c r="J11" s="5">
        <f t="shared" si="0"/>
      </c>
      <c r="K11" s="5">
        <f t="shared" si="1"/>
      </c>
      <c r="L11" s="6" t="s">
        <v>29</v>
      </c>
      <c r="M11" s="3">
        <v>6</v>
      </c>
    </row>
    <row r="12">
      <c r="A12" s="3" t="s">
        <v>28</v>
      </c>
      <c r="B12" s="3" t="s">
        <v>30</v>
      </c>
      <c r="C12" s="3" t="s">
        <v>27</v>
      </c>
      <c r="D12" s="3">
        <v>2</v>
      </c>
      <c r="E12" s="3">
        <v>5</v>
      </c>
      <c r="F12" s="3">
        <v>2</v>
      </c>
      <c r="G12" s="8">
        <v>2087.8200000000006</v>
      </c>
      <c r="H12" s="4">
        <v>1760.9299999999998</v>
      </c>
      <c r="I12" s="5">
        <f t="shared" si="2"/>
      </c>
      <c r="J12" s="5">
        <f t="shared" si="0"/>
      </c>
      <c r="K12" s="5">
        <f t="shared" si="1"/>
      </c>
      <c r="L12" s="6"/>
      <c r="M12" s="3"/>
    </row>
    <row r="13">
      <c r="A13" s="9" t="s">
        <v>28</v>
      </c>
      <c r="B13" s="10"/>
      <c r="C13" s="10"/>
      <c r="D13" s="10">
        <f>SUM(D11:D12)</f>
      </c>
      <c r="E13" s="10">
        <f>SUM(E11:E12)</f>
      </c>
      <c r="F13" s="10">
        <f>SUM(F11:F12)</f>
      </c>
      <c r="G13" s="10">
        <f>SUM(G11:G12)</f>
      </c>
      <c r="H13" s="10">
        <f>SUM(H11:H12)</f>
      </c>
      <c r="I13" s="11">
        <f t="shared" si="2"/>
      </c>
      <c r="J13" s="11">
        <f t="shared" si="0"/>
      </c>
      <c r="K13" s="11">
        <f t="shared" si="1"/>
      </c>
      <c r="L13" s="11"/>
      <c r="M13" s="10">
        <f>SUM(M11:M12)</f>
      </c>
    </row>
    <row r="14">
      <c r="A14" s="3" t="s">
        <v>31</v>
      </c>
      <c r="B14" s="7" t="s">
        <v>18</v>
      </c>
      <c r="C14" s="3" t="s">
        <v>32</v>
      </c>
      <c r="D14" s="3">
        <v>3</v>
      </c>
      <c r="E14" s="3">
        <v>7</v>
      </c>
      <c r="F14" s="3">
        <v>0</v>
      </c>
      <c r="G14" s="4">
        <v>2544.96</v>
      </c>
      <c r="H14" s="4">
        <v>4567.16</v>
      </c>
      <c r="I14" s="5">
        <f t="shared" si="2"/>
      </c>
      <c r="J14" s="5">
        <f t="shared" si="0"/>
      </c>
      <c r="K14" s="5">
        <f t="shared" si="1"/>
      </c>
      <c r="L14" s="6" t="s">
        <v>23</v>
      </c>
      <c r="M14" s="3">
        <v>6</v>
      </c>
    </row>
    <row r="15">
      <c r="A15" s="3" t="s">
        <v>31</v>
      </c>
      <c r="B15" s="3" t="s">
        <v>15</v>
      </c>
      <c r="C15" s="3" t="s">
        <v>33</v>
      </c>
      <c r="D15" s="3">
        <v>3</v>
      </c>
      <c r="E15" s="3">
        <v>22</v>
      </c>
      <c r="F15" s="3">
        <v>3</v>
      </c>
      <c r="G15" s="8">
        <v>8573.64</v>
      </c>
      <c r="H15" s="4">
        <v>12501.33</v>
      </c>
      <c r="I15" s="5">
        <f t="shared" si="2"/>
      </c>
      <c r="J15" s="5">
        <f t="shared" si="0"/>
      </c>
      <c r="K15" s="5">
        <f t="shared" si="1"/>
      </c>
      <c r="L15" s="6"/>
      <c r="M15" s="3"/>
    </row>
    <row r="16">
      <c r="A16" s="9" t="s">
        <v>31</v>
      </c>
      <c r="B16" s="10"/>
      <c r="C16" s="10"/>
      <c r="D16" s="10">
        <f>SUM(D14:D15)</f>
      </c>
      <c r="E16" s="10">
        <f>SUM(E14:E15)</f>
      </c>
      <c r="F16" s="10">
        <f>SUM(F14:F15)</f>
      </c>
      <c r="G16" s="10">
        <f>SUM(G14:G15)</f>
      </c>
      <c r="H16" s="10">
        <f>SUM(H14:H15)</f>
      </c>
      <c r="I16" s="11">
        <f t="shared" si="2"/>
      </c>
      <c r="J16" s="11">
        <f t="shared" si="0"/>
      </c>
      <c r="K16" s="11">
        <f t="shared" si="1"/>
      </c>
      <c r="L16" s="11"/>
      <c r="M16" s="10">
        <f>SUM(M14:M15)</f>
      </c>
    </row>
    <row r="17">
      <c r="A17" s="3" t="s">
        <v>34</v>
      </c>
      <c r="B17" s="3" t="s">
        <v>15</v>
      </c>
      <c r="C17" s="3" t="s">
        <v>35</v>
      </c>
      <c r="D17" s="3">
        <v>4</v>
      </c>
      <c r="E17" s="3">
        <v>8</v>
      </c>
      <c r="F17" s="3">
        <v>0</v>
      </c>
      <c r="G17" s="8">
        <v>7818.6</v>
      </c>
      <c r="H17" s="8">
        <v>8288.72</v>
      </c>
      <c r="I17" s="5">
        <f t="shared" si="2"/>
      </c>
      <c r="J17" s="5">
        <f t="shared" si="0"/>
      </c>
      <c r="K17" s="5">
        <f t="shared" si="1"/>
      </c>
      <c r="L17" s="6" t="s">
        <v>36</v>
      </c>
      <c r="M17" s="3">
        <v>1</v>
      </c>
    </row>
    <row r="18">
      <c r="A18" s="3" t="s">
        <v>34</v>
      </c>
      <c r="B18" s="3" t="s">
        <v>30</v>
      </c>
      <c r="C18" s="3" t="s">
        <v>37</v>
      </c>
      <c r="D18" s="3">
        <v>2</v>
      </c>
      <c r="E18" s="3">
        <v>3</v>
      </c>
      <c r="F18" s="3">
        <v>0</v>
      </c>
      <c r="G18" s="8">
        <v>1183.92</v>
      </c>
      <c r="H18" s="8">
        <v>3675.46</v>
      </c>
      <c r="I18" s="5">
        <f t="shared" si="2"/>
      </c>
      <c r="J18" s="5">
        <f t="shared" si="0"/>
      </c>
      <c r="K18" s="5">
        <f t="shared" si="1"/>
      </c>
      <c r="L18" s="6" t="s">
        <v>38</v>
      </c>
      <c r="M18" s="3">
        <v>5</v>
      </c>
    </row>
    <row r="19">
      <c r="A19" s="12" t="s">
        <v>34</v>
      </c>
      <c r="B19" s="10"/>
      <c r="C19" s="10"/>
      <c r="D19" s="10">
        <f>SUM(D17:D18)</f>
      </c>
      <c r="E19" s="10">
        <f>SUM(E17:E18)</f>
      </c>
      <c r="F19" s="10">
        <f>SUM(F17:F18)</f>
      </c>
      <c r="G19" s="10">
        <f>SUM(G17:G18)</f>
      </c>
      <c r="H19" s="10">
        <f>SUM(H17:H18)</f>
      </c>
      <c r="I19" s="11">
        <f t="shared" si="2"/>
      </c>
      <c r="J19" s="11">
        <f t="shared" si="0"/>
      </c>
      <c r="K19" s="11">
        <f t="shared" si="1"/>
      </c>
      <c r="L19" s="11"/>
      <c r="M19" s="10">
        <f>SUM(M17:M18)</f>
      </c>
    </row>
    <row r="20">
      <c r="A20" s="3" t="s">
        <v>39</v>
      </c>
      <c r="B20" s="3" t="s">
        <v>40</v>
      </c>
      <c r="C20" s="3" t="s">
        <v>35</v>
      </c>
      <c r="D20" s="3">
        <v>4</v>
      </c>
      <c r="E20" s="3">
        <v>7</v>
      </c>
      <c r="F20" s="3">
        <v>0</v>
      </c>
      <c r="G20" s="8">
        <v>7009.64</v>
      </c>
      <c r="H20" s="8">
        <v>6434.25</v>
      </c>
      <c r="I20" s="5">
        <f t="shared" si="2"/>
      </c>
      <c r="J20" s="5">
        <f t="shared" si="0"/>
      </c>
      <c r="K20" s="5">
        <f t="shared" si="1"/>
      </c>
      <c r="L20" s="6" t="s">
        <v>29</v>
      </c>
      <c r="M20" s="3">
        <v>6</v>
      </c>
    </row>
    <row r="21">
      <c r="A21" s="3" t="s">
        <v>39</v>
      </c>
      <c r="B21" s="7" t="s">
        <v>18</v>
      </c>
      <c r="C21" s="3" t="s">
        <v>37</v>
      </c>
      <c r="D21" s="3">
        <v>2</v>
      </c>
      <c r="E21" s="3">
        <v>3</v>
      </c>
      <c r="F21" s="3">
        <v>0</v>
      </c>
      <c r="G21" s="8">
        <v>1119.08</v>
      </c>
      <c r="H21" s="8">
        <v>2700.39</v>
      </c>
      <c r="I21" s="5">
        <f t="shared" si="2"/>
      </c>
      <c r="J21" s="5">
        <f t="shared" si="0"/>
      </c>
      <c r="K21" s="5">
        <f t="shared" si="1"/>
      </c>
      <c r="L21" s="6"/>
      <c r="M21" s="3"/>
    </row>
    <row r="22">
      <c r="A22" s="12" t="s">
        <v>39</v>
      </c>
      <c r="B22" s="10"/>
      <c r="C22" s="10"/>
      <c r="D22" s="10">
        <f>SUM(D20:D21)</f>
      </c>
      <c r="E22" s="10">
        <f>SUM(E20:E21)</f>
      </c>
      <c r="F22" s="10">
        <f>SUM(F20:F21)</f>
      </c>
      <c r="G22" s="10">
        <f>SUM(G20:G21)</f>
      </c>
      <c r="H22" s="10">
        <f>SUM(H20:H21)</f>
      </c>
      <c r="I22" s="11">
        <f t="shared" si="2"/>
      </c>
      <c r="J22" s="11">
        <f t="shared" si="0"/>
      </c>
      <c r="K22" s="11">
        <f t="shared" si="1"/>
      </c>
      <c r="L22" s="11"/>
      <c r="M22" s="10">
        <f>SUM(M20:M21)</f>
      </c>
    </row>
    <row r="23">
      <c r="A23" s="3" t="s">
        <v>41</v>
      </c>
      <c r="B23" s="3" t="s">
        <v>40</v>
      </c>
      <c r="C23" s="3" t="s">
        <v>35</v>
      </c>
      <c r="D23" s="3">
        <v>4</v>
      </c>
      <c r="E23" s="3">
        <v>25</v>
      </c>
      <c r="F23" s="3">
        <v>0</v>
      </c>
      <c r="G23" s="8">
        <v>14132.52</v>
      </c>
      <c r="H23" s="8">
        <v>16955.489999999998</v>
      </c>
      <c r="I23" s="5">
        <f t="shared" si="2"/>
      </c>
      <c r="J23" s="5">
        <f t="shared" si="0"/>
      </c>
      <c r="K23" s="5">
        <f t="shared" si="1"/>
      </c>
      <c r="L23" s="6" t="s">
        <v>29</v>
      </c>
      <c r="M23" s="3">
        <v>6</v>
      </c>
    </row>
    <row r="24">
      <c r="A24" s="3" t="s">
        <v>41</v>
      </c>
      <c r="B24" s="7" t="s">
        <v>18</v>
      </c>
      <c r="C24" s="3" t="s">
        <v>37</v>
      </c>
      <c r="D24" s="3">
        <v>2</v>
      </c>
      <c r="E24" s="3">
        <v>4</v>
      </c>
      <c r="F24" s="3">
        <v>0</v>
      </c>
      <c r="G24" s="8">
        <v>2588.779999999999</v>
      </c>
      <c r="H24" s="8">
        <v>2476.04</v>
      </c>
      <c r="I24" s="5">
        <f t="shared" si="2"/>
      </c>
      <c r="J24" s="5">
        <f t="shared" si="0"/>
      </c>
      <c r="K24" s="5">
        <f t="shared" si="1"/>
      </c>
      <c r="L24" s="6"/>
      <c r="M24" s="3"/>
    </row>
    <row r="25">
      <c r="A25" s="12" t="s">
        <v>41</v>
      </c>
      <c r="B25" s="10"/>
      <c r="C25" s="10"/>
      <c r="D25" s="10">
        <f>SUM(D23:D24)</f>
      </c>
      <c r="E25" s="10">
        <f>SUM(E23:E24)</f>
      </c>
      <c r="F25" s="10">
        <f>SUM(F23:F24)</f>
      </c>
      <c r="G25" s="10">
        <f>SUM(G23:G24)</f>
      </c>
      <c r="H25" s="10">
        <f>SUM(H23:H24)</f>
      </c>
      <c r="I25" s="11">
        <f t="shared" si="2"/>
      </c>
      <c r="J25" s="11">
        <f t="shared" si="0"/>
      </c>
      <c r="K25" s="11">
        <f t="shared" si="1"/>
      </c>
      <c r="L25" s="11"/>
      <c r="M25" s="10">
        <f>SUM(M23:M24)</f>
      </c>
    </row>
    <row r="26">
      <c r="A26" s="3" t="s">
        <v>42</v>
      </c>
      <c r="B26" s="7" t="s">
        <v>40</v>
      </c>
      <c r="C26" s="7" t="s">
        <v>35</v>
      </c>
      <c r="D26" s="7">
        <v>4</v>
      </c>
      <c r="E26" s="3">
        <v>12</v>
      </c>
      <c r="F26" s="3">
        <v>2</v>
      </c>
      <c r="G26" s="4">
        <v>8816.3</v>
      </c>
      <c r="H26" s="4">
        <v>5170.46</v>
      </c>
      <c r="I26" s="5">
        <f t="shared" si="2"/>
      </c>
      <c r="J26" s="5">
        <f t="shared" si="0"/>
      </c>
      <c r="K26" s="5">
        <f t="shared" si="1"/>
      </c>
      <c r="L26" s="6" t="s">
        <v>23</v>
      </c>
      <c r="M26" s="7">
        <v>6</v>
      </c>
      <c r="N26" s="13"/>
      <c r="O26" s="13"/>
      <c r="P26" s="13"/>
      <c r="Q26" s="13"/>
      <c r="R26" s="13"/>
      <c r="S26" s="13"/>
      <c r="T26" s="13"/>
    </row>
    <row r="27">
      <c r="A27" s="7" t="s">
        <v>42</v>
      </c>
      <c r="B27" s="7" t="s">
        <v>18</v>
      </c>
      <c r="C27" s="7" t="s">
        <v>37</v>
      </c>
      <c r="D27" s="7">
        <v>2</v>
      </c>
      <c r="E27" s="3">
        <v>1</v>
      </c>
      <c r="F27" s="3">
        <v>0</v>
      </c>
      <c r="G27" s="4">
        <v>1568.6400000000012</v>
      </c>
      <c r="H27" s="4">
        <v>1654.16</v>
      </c>
      <c r="I27" s="5">
        <f t="shared" si="2"/>
      </c>
      <c r="J27" s="5">
        <f t="shared" si="0"/>
      </c>
      <c r="K27" s="5">
        <f t="shared" si="1"/>
      </c>
      <c r="L27" s="14"/>
      <c r="M27" s="7"/>
      <c r="N27" s="13"/>
      <c r="O27" s="13"/>
      <c r="P27" s="13"/>
      <c r="Q27" s="13"/>
      <c r="R27" s="13"/>
      <c r="S27" s="13"/>
      <c r="T27" s="13"/>
    </row>
    <row r="28">
      <c r="A28" s="9" t="s">
        <v>42</v>
      </c>
      <c r="B28" s="10"/>
      <c r="C28" s="10"/>
      <c r="D28" s="10">
        <f>SUM(D26:D27)</f>
      </c>
      <c r="E28" s="10">
        <f>SUM(E26:E27)</f>
      </c>
      <c r="F28" s="10">
        <f>SUM(F26:F27)</f>
      </c>
      <c r="G28" s="10">
        <f>SUM(G26:G27)</f>
      </c>
      <c r="H28" s="10">
        <f>SUM(H26:H27)</f>
      </c>
      <c r="I28" s="11">
        <f t="shared" si="2"/>
      </c>
      <c r="J28" s="11">
        <f t="shared" si="0"/>
      </c>
      <c r="K28" s="11">
        <f t="shared" si="1"/>
      </c>
      <c r="L28" s="11"/>
      <c r="M28" s="10">
        <f>SUM(M26:M27)</f>
      </c>
      <c r="N28" s="13"/>
      <c r="O28" s="13"/>
      <c r="P28" s="13"/>
      <c r="Q28" s="13"/>
      <c r="R28" s="13"/>
      <c r="S28" s="13"/>
      <c r="T28" s="13"/>
    </row>
    <row r="29">
      <c r="A29" s="3" t="s">
        <v>43</v>
      </c>
      <c r="B29" s="7" t="s">
        <v>40</v>
      </c>
      <c r="C29" s="7" t="s">
        <v>35</v>
      </c>
      <c r="D29" s="7">
        <v>4</v>
      </c>
      <c r="E29" s="3">
        <v>19</v>
      </c>
      <c r="F29" s="3">
        <v>4</v>
      </c>
      <c r="G29" s="4">
        <v>13211.68</v>
      </c>
      <c r="H29" s="4">
        <v>10226.83</v>
      </c>
      <c r="I29" s="5">
        <f t="shared" si="2"/>
      </c>
      <c r="J29" s="5">
        <f t="shared" si="0"/>
      </c>
      <c r="K29" s="5">
        <f t="shared" si="1"/>
      </c>
      <c r="L29" s="6" t="s">
        <v>29</v>
      </c>
      <c r="M29" s="7">
        <v>6</v>
      </c>
      <c r="N29" s="13"/>
      <c r="O29" s="13"/>
      <c r="P29" s="13"/>
      <c r="Q29" s="13"/>
      <c r="R29" s="13"/>
      <c r="S29" s="13"/>
      <c r="T29" s="13"/>
    </row>
    <row r="30">
      <c r="A30" s="7" t="s">
        <v>43</v>
      </c>
      <c r="B30" s="7" t="s">
        <v>18</v>
      </c>
      <c r="C30" s="7" t="s">
        <v>37</v>
      </c>
      <c r="D30" s="7">
        <v>2</v>
      </c>
      <c r="E30" s="3">
        <v>1</v>
      </c>
      <c r="F30" s="3">
        <v>0</v>
      </c>
      <c r="G30" s="4">
        <v>1073.1000000000004</v>
      </c>
      <c r="H30" s="4">
        <v>2810.67</v>
      </c>
      <c r="I30" s="5">
        <f t="shared" si="2"/>
      </c>
      <c r="J30" s="5">
        <f t="shared" si="0"/>
      </c>
      <c r="K30" s="5">
        <f t="shared" si="1"/>
      </c>
      <c r="L30" s="14"/>
      <c r="M30" s="7"/>
      <c r="N30" s="13"/>
      <c r="O30" s="13"/>
      <c r="P30" s="13"/>
      <c r="Q30" s="13"/>
      <c r="R30" s="13"/>
      <c r="S30" s="13"/>
      <c r="T30" s="13"/>
    </row>
    <row r="31">
      <c r="A31" s="9" t="s">
        <v>43</v>
      </c>
      <c r="B31" s="10"/>
      <c r="C31" s="10"/>
      <c r="D31" s="10">
        <f>SUM(D29:D30)</f>
      </c>
      <c r="E31" s="10">
        <f>SUM(E29:E30)</f>
      </c>
      <c r="F31" s="10">
        <f>SUM(F29:F30)</f>
      </c>
      <c r="G31" s="10">
        <f>SUM(G29:G30)</f>
      </c>
      <c r="H31" s="10">
        <f>SUM(H29:H30)</f>
      </c>
      <c r="I31" s="11">
        <f t="shared" si="2"/>
      </c>
      <c r="J31" s="11">
        <f t="shared" si="0"/>
      </c>
      <c r="K31" s="11">
        <f t="shared" si="1"/>
      </c>
      <c r="L31" s="11"/>
      <c r="M31" s="10">
        <f>SUM(M29:M30)</f>
      </c>
      <c r="N31" s="13"/>
      <c r="O31" s="13"/>
      <c r="P31" s="13"/>
      <c r="Q31" s="13"/>
      <c r="R31" s="13"/>
      <c r="S31" s="13"/>
      <c r="T31" s="13"/>
    </row>
    <row r="32">
      <c r="A32" s="3" t="s">
        <v>44</v>
      </c>
      <c r="B32" s="7" t="s">
        <v>40</v>
      </c>
      <c r="C32" s="3" t="s">
        <v>45</v>
      </c>
      <c r="D32" s="3">
        <v>6</v>
      </c>
      <c r="E32" s="3">
        <v>32</v>
      </c>
      <c r="F32" s="3">
        <v>6</v>
      </c>
      <c r="G32" s="4">
        <v>20998.5</v>
      </c>
      <c r="H32" s="4">
        <v>21000.52</v>
      </c>
      <c r="I32" s="5">
        <f t="shared" si="2"/>
      </c>
      <c r="J32" s="5">
        <f t="shared" si="0"/>
      </c>
      <c r="K32" s="5">
        <f t="shared" si="1"/>
      </c>
      <c r="L32" s="6" t="s">
        <v>23</v>
      </c>
      <c r="M32" s="7">
        <v>6</v>
      </c>
      <c r="N32" s="13"/>
      <c r="O32" s="13"/>
      <c r="P32" s="13"/>
      <c r="Q32" s="13"/>
      <c r="R32" s="13"/>
      <c r="S32" s="13"/>
      <c r="T32" s="13"/>
    </row>
    <row r="33">
      <c r="A33" s="9" t="s">
        <v>44</v>
      </c>
      <c r="B33" s="10"/>
      <c r="C33" s="10"/>
      <c r="D33" s="10">
        <f>SUM(D32)</f>
      </c>
      <c r="E33" s="10">
        <f>SUM(E32)</f>
      </c>
      <c r="F33" s="10">
        <f>SUM(F32)</f>
      </c>
      <c r="G33" s="10">
        <f>SUM(G32)</f>
      </c>
      <c r="H33" s="10">
        <f>SUM(H32)</f>
      </c>
      <c r="I33" s="11">
        <f t="shared" si="2"/>
      </c>
      <c r="J33" s="11">
        <f t="shared" si="0"/>
      </c>
      <c r="K33" s="11">
        <f t="shared" si="1"/>
      </c>
      <c r="L33" s="11"/>
      <c r="M33" s="10">
        <f>SUM(M32)</f>
      </c>
      <c r="N33" s="13"/>
      <c r="O33" s="13"/>
      <c r="P33" s="13"/>
      <c r="Q33" s="13"/>
      <c r="R33" s="13"/>
      <c r="S33" s="13"/>
      <c r="T33" s="13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O53" s="13"/>
      <c r="P53" s="13"/>
      <c r="Q53" s="13"/>
      <c r="R53" s="13"/>
      <c r="S53" s="13"/>
      <c r="T53" s="13"/>
    </row>
    <row r="54">
      <c r="O54" s="13"/>
      <c r="P54" s="13"/>
      <c r="Q54" s="13"/>
      <c r="R54" s="13"/>
      <c r="S54" s="13"/>
      <c r="T54" s="13"/>
    </row>
    <row r="55"/>
    <row r="56"/>
    <row r="57"/>
    <row r="58">
      <c r="O58" s="13"/>
      <c r="P58" s="13"/>
      <c r="Q58" s="13"/>
      <c r="R58" s="13"/>
      <c r="S58" s="13"/>
      <c r="T58" s="13"/>
    </row>
    <row r="59">
      <c r="O59" s="13"/>
      <c r="P59" s="13"/>
      <c r="Q59" s="13"/>
      <c r="R59" s="13"/>
      <c r="S59" s="13"/>
      <c r="T59" s="13"/>
    </row>
    <row r="60">
      <c r="O60" s="13"/>
      <c r="P60" s="13"/>
      <c r="Q60" s="13"/>
      <c r="R60" s="13"/>
      <c r="S60" s="13"/>
      <c r="T60" s="13"/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>
      <c r="O76" s="13"/>
      <c r="P76" s="13"/>
      <c r="Q76" s="13"/>
      <c r="R76" s="13"/>
      <c r="S76" s="13"/>
      <c r="T76" s="13"/>
    </row>
    <row r="77">
      <c r="O77" s="13"/>
      <c r="P77" s="13"/>
      <c r="Q77" s="13"/>
      <c r="R77" s="13"/>
      <c r="S77" s="13"/>
      <c r="T77" s="13"/>
    </row>
    <row r="78">
      <c r="O78" s="13"/>
      <c r="P78" s="13"/>
      <c r="Q78" s="13"/>
      <c r="R78" s="13"/>
      <c r="S78" s="13"/>
      <c r="T78" s="13"/>
    </row>
  </sheetData>
  <autoFilter ref="A1:T1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customHeight="true" ht="16.071428571428573" r="1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5" t="s">
        <v>58</v>
      </c>
    </row>
    <row r="2">
      <c r="A2" s="17" t="s">
        <v>59</v>
      </c>
      <c r="B2" s="17" t="s">
        <v>60</v>
      </c>
      <c r="C2" s="17" t="s">
        <v>61</v>
      </c>
      <c r="D2" s="17">
        <v>1</v>
      </c>
      <c r="E2" s="17">
        <v>2</v>
      </c>
      <c r="F2" s="17">
        <v>0</v>
      </c>
      <c r="G2" s="18">
        <v>2041.92</v>
      </c>
      <c r="H2" s="19">
        <v>1497.41</v>
      </c>
      <c r="I2" s="20">
        <f t="shared" ref="I2:I3" si="2">G2/H2</f>
      </c>
      <c r="J2" s="20">
        <f t="shared" ref="J2:J3" si="0">G2/E2</f>
      </c>
      <c r="K2" s="20">
        <f t="shared" ref="K2:K3" si="1">H2/E2</f>
      </c>
      <c r="L2" s="21" t="s">
        <v>62</v>
      </c>
      <c r="M2" s="17">
        <v>1</v>
      </c>
      <c r="N2" s="22"/>
      <c r="O2" s="22"/>
      <c r="P2" s="22"/>
      <c r="Q2" s="22"/>
      <c r="R2" s="22"/>
      <c r="S2" s="22"/>
      <c r="T2" s="22"/>
    </row>
    <row r="3">
      <c r="A3" s="23" t="s">
        <v>59</v>
      </c>
      <c r="B3" s="24"/>
      <c r="C3" s="24"/>
      <c r="D3" s="24">
        <f>SUM(D2)</f>
      </c>
      <c r="E3" s="24">
        <f>SUM(E2)</f>
      </c>
      <c r="F3" s="24">
        <f>SUM(F2)</f>
      </c>
      <c r="G3" s="24">
        <f>SUM(G2)</f>
      </c>
      <c r="H3" s="24">
        <f>SUM(H2)</f>
      </c>
      <c r="I3" s="25">
        <f t="shared" si="2"/>
      </c>
      <c r="J3" s="25">
        <f t="shared" si="0"/>
      </c>
      <c r="K3" s="25">
        <f t="shared" si="1"/>
      </c>
      <c r="L3" s="25"/>
      <c r="M3" s="24">
        <f>SUM(M2)</f>
      </c>
      <c r="N3" s="22"/>
      <c r="O3" s="22"/>
      <c r="P3" s="22"/>
      <c r="Q3" s="22"/>
      <c r="R3" s="22"/>
      <c r="S3" s="22"/>
      <c r="T3" s="22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4" min="4" style="0" width="11.211267605633802"/>
    <col collapsed="false" customWidth="true" hidden="false" max="8" min="8" style="0" width="11.211267605633802"/>
  </cols>
  <sheetData>
    <row r="1">
      <c r="A1" s="26" t="s">
        <v>63</v>
      </c>
      <c r="B1" s="27" t="s">
        <v>64</v>
      </c>
      <c r="C1" s="26" t="s">
        <v>65</v>
      </c>
      <c r="D1" s="26" t="s">
        <v>66</v>
      </c>
      <c r="E1" s="26" t="s">
        <v>67</v>
      </c>
      <c r="F1" s="26" t="s">
        <v>68</v>
      </c>
      <c r="G1" s="26" t="s">
        <v>69</v>
      </c>
      <c r="H1" s="26" t="s">
        <v>70</v>
      </c>
      <c r="I1" s="28" t="s">
        <v>71</v>
      </c>
      <c r="J1" s="28" t="s">
        <v>72</v>
      </c>
      <c r="K1" s="28" t="s">
        <v>73</v>
      </c>
      <c r="L1" s="28" t="s">
        <v>74</v>
      </c>
      <c r="M1" s="26" t="s">
        <v>75</v>
      </c>
    </row>
    <row r="2">
      <c r="A2" s="29">
        <v>46241</v>
      </c>
      <c r="B2" s="30" t="s">
        <v>76</v>
      </c>
      <c r="C2" s="30" t="s">
        <v>77</v>
      </c>
      <c r="D2" s="30">
        <v>1</v>
      </c>
      <c r="E2" s="30">
        <v>2</v>
      </c>
      <c r="F2" s="30">
        <v>0</v>
      </c>
      <c r="G2" s="31">
        <v>1805.28</v>
      </c>
      <c r="H2" s="32">
        <v>30.46</v>
      </c>
      <c r="I2" s="33">
        <f t="shared" ref="I2:I13" si="0">G2/H2</f>
      </c>
      <c r="J2" s="33">
        <f t="shared" ref="J2:J13" si="5">G2/E2</f>
      </c>
      <c r="K2" s="33">
        <f t="shared" ref="K2:K13" si="2">H2/E2</f>
      </c>
      <c r="L2" s="34" t="s">
        <v>78</v>
      </c>
      <c r="M2" s="30">
        <v>1</v>
      </c>
    </row>
    <row r="3">
      <c r="A3" s="35">
        <v>46241</v>
      </c>
      <c r="B3" s="36" t="s">
        <v>79</v>
      </c>
      <c r="C3" s="37"/>
      <c r="D3" s="37">
        <f>SUM(D2)</f>
      </c>
      <c r="E3" s="37">
        <f>SUM(E2)</f>
      </c>
      <c r="F3" s="37">
        <f>SUM(F2)</f>
      </c>
      <c r="G3" s="37">
        <f>SUM(G2)</f>
      </c>
      <c r="H3" s="37">
        <f>SUM(H2)</f>
      </c>
      <c r="I3" s="38">
        <f t="shared" si="0"/>
      </c>
      <c r="J3" s="38">
        <f t="shared" si="5"/>
      </c>
      <c r="K3" s="38">
        <f t="shared" si="2"/>
      </c>
      <c r="L3" s="38"/>
      <c r="M3" s="37">
        <f>SUM(M2)</f>
      </c>
    </row>
    <row r="4">
      <c r="A4" s="29">
        <v>46248</v>
      </c>
      <c r="B4" s="30" t="s">
        <v>80</v>
      </c>
      <c r="C4" s="30" t="s">
        <v>81</v>
      </c>
      <c r="D4" s="30">
        <v>3</v>
      </c>
      <c r="E4" s="30">
        <v>0</v>
      </c>
      <c r="F4" s="30">
        <v>0</v>
      </c>
      <c r="G4" s="39">
        <v>0</v>
      </c>
      <c r="H4" s="32">
        <v>397.98</v>
      </c>
      <c r="I4" s="33">
        <f t="shared" si="0"/>
      </c>
      <c r="J4" s="33">
        <f t="shared" si="5"/>
      </c>
      <c r="K4" s="33">
        <f t="shared" si="2"/>
      </c>
      <c r="L4" s="34"/>
      <c r="M4" s="30"/>
    </row>
    <row customHeight="true" ht="16.666666666666668" r="5">
      <c r="A5" s="29">
        <v>46248</v>
      </c>
      <c r="B5" s="30" t="s">
        <v>82</v>
      </c>
      <c r="C5" s="30" t="s">
        <v>83</v>
      </c>
      <c r="D5" s="30">
        <v>1.5</v>
      </c>
      <c r="E5" s="30">
        <v>1</v>
      </c>
      <c r="F5" s="30">
        <v>0</v>
      </c>
      <c r="G5" s="39">
        <v>710.64</v>
      </c>
      <c r="H5" s="32">
        <v>469.76</v>
      </c>
      <c r="I5" s="33">
        <f t="shared" si="0"/>
      </c>
      <c r="J5" s="33">
        <f t="shared" si="5"/>
      </c>
      <c r="K5" s="33">
        <f t="shared" si="2"/>
      </c>
      <c r="L5" s="34" t="s">
        <v>84</v>
      </c>
      <c r="M5" s="30">
        <v>4.5</v>
      </c>
      <c r="N5" s="40"/>
      <c r="O5" s="40"/>
      <c r="P5" s="40"/>
      <c r="Q5" s="40"/>
      <c r="R5" s="40"/>
      <c r="S5" s="40"/>
      <c r="T5" s="40"/>
    </row>
    <row r="6">
      <c r="A6" s="35">
        <v>46248</v>
      </c>
      <c r="B6" s="36" t="s">
        <v>79</v>
      </c>
      <c r="C6" s="37"/>
      <c r="D6" s="37">
        <f>SUM(D4:D5)</f>
      </c>
      <c r="E6" s="37">
        <f>SUM(E4:E5)</f>
      </c>
      <c r="F6" s="37">
        <f>SUM(F4:F5)</f>
      </c>
      <c r="G6" s="37">
        <f>SUM(G4:G5)</f>
      </c>
      <c r="H6" s="37">
        <f>SUM(H4:H5)</f>
      </c>
      <c r="I6" s="38">
        <f t="shared" si="0"/>
      </c>
      <c r="J6" s="38">
        <f t="shared" si="5"/>
      </c>
      <c r="K6" s="38">
        <f t="shared" si="2"/>
      </c>
      <c r="L6" s="38"/>
      <c r="M6" s="37">
        <f>SUM(M4:M5)</f>
      </c>
    </row>
    <row r="7">
      <c r="A7" s="29">
        <v>46249</v>
      </c>
      <c r="B7" s="30" t="s">
        <v>82</v>
      </c>
      <c r="C7" s="30" t="s">
        <v>85</v>
      </c>
      <c r="D7" s="30">
        <v>4</v>
      </c>
      <c r="E7" s="30">
        <v>19</v>
      </c>
      <c r="F7" s="30">
        <v>3</v>
      </c>
      <c r="G7" s="39">
        <v>9991.7</v>
      </c>
      <c r="H7" s="32">
        <v>12998.21</v>
      </c>
      <c r="I7" s="33">
        <f t="shared" si="0"/>
      </c>
      <c r="J7" s="33">
        <f t="shared" si="5"/>
      </c>
      <c r="K7" s="33">
        <f t="shared" si="2"/>
      </c>
      <c r="L7" s="34" t="s">
        <v>86</v>
      </c>
      <c r="M7" s="30">
        <v>2</v>
      </c>
    </row>
    <row r="8">
      <c r="A8" s="29">
        <v>46249</v>
      </c>
      <c r="B8" s="30" t="s">
        <v>80</v>
      </c>
      <c r="C8" s="30" t="s">
        <v>87</v>
      </c>
      <c r="D8" s="30">
        <v>3</v>
      </c>
      <c r="E8" s="30">
        <v>20</v>
      </c>
      <c r="F8" s="30">
        <v>2</v>
      </c>
      <c r="G8" s="39">
        <v>10646.58</v>
      </c>
      <c r="H8" s="32">
        <v>17897.57</v>
      </c>
      <c r="I8" s="33">
        <f t="shared" si="0"/>
      </c>
      <c r="J8" s="33">
        <f t="shared" si="5"/>
      </c>
      <c r="K8" s="33">
        <f t="shared" si="2"/>
      </c>
      <c r="L8" s="34" t="s">
        <v>84</v>
      </c>
      <c r="M8" s="30">
        <v>5</v>
      </c>
      <c r="N8" s="40"/>
      <c r="O8" s="40"/>
      <c r="P8" s="40"/>
      <c r="Q8" s="40"/>
      <c r="R8" s="40"/>
      <c r="S8" s="40"/>
      <c r="T8" s="40"/>
    </row>
    <row r="9">
      <c r="A9" s="35">
        <v>46249</v>
      </c>
      <c r="B9" s="36" t="s">
        <v>79</v>
      </c>
      <c r="C9" s="37"/>
      <c r="D9" s="37">
        <f>SUM(D7:D8)</f>
      </c>
      <c r="E9" s="37">
        <f>SUM(E7:E8)</f>
      </c>
      <c r="F9" s="37">
        <f>SUM(F7:F8)</f>
      </c>
      <c r="G9" s="37">
        <f>SUM(G7:G8)</f>
      </c>
      <c r="H9" s="37">
        <f>SUM(H7:H8)</f>
      </c>
      <c r="I9" s="38">
        <f t="shared" si="0"/>
      </c>
      <c r="J9" s="38">
        <f t="shared" si="5"/>
      </c>
      <c r="K9" s="38">
        <f t="shared" si="2"/>
      </c>
      <c r="L9" s="38"/>
      <c r="M9" s="37">
        <f>SUM(M7:M8)</f>
      </c>
    </row>
    <row r="10">
      <c r="A10" s="29">
        <v>46250</v>
      </c>
      <c r="B10" s="30" t="s">
        <v>82</v>
      </c>
      <c r="C10" s="30" t="s">
        <v>81</v>
      </c>
      <c r="D10" s="30">
        <v>3</v>
      </c>
      <c r="E10" s="30">
        <v>17</v>
      </c>
      <c r="F10" s="30">
        <v>1</v>
      </c>
      <c r="G10" s="39">
        <v>11591.72</v>
      </c>
      <c r="H10" s="32">
        <v>12858.32</v>
      </c>
      <c r="I10" s="33">
        <f t="shared" si="0"/>
      </c>
      <c r="J10" s="33">
        <f t="shared" si="5"/>
      </c>
      <c r="K10" s="33">
        <f t="shared" si="2"/>
      </c>
      <c r="L10" s="34" t="s">
        <v>84</v>
      </c>
      <c r="M10" s="30">
        <v>5.5</v>
      </c>
    </row>
    <row r="11">
      <c r="A11" s="29">
        <v>46250</v>
      </c>
      <c r="B11" s="30" t="s">
        <v>80</v>
      </c>
      <c r="C11" s="30" t="s">
        <v>88</v>
      </c>
      <c r="D11" s="30">
        <v>2.5</v>
      </c>
      <c r="E11" s="30">
        <v>6</v>
      </c>
      <c r="F11" s="30">
        <v>0</v>
      </c>
      <c r="G11" s="39">
        <v>3062.06</v>
      </c>
      <c r="H11" s="32">
        <v>7685.31</v>
      </c>
      <c r="I11" s="33">
        <f t="shared" si="0"/>
      </c>
      <c r="J11" s="33">
        <f t="shared" si="5"/>
      </c>
      <c r="K11" s="33">
        <f t="shared" si="2"/>
      </c>
      <c r="L11" s="34"/>
      <c r="M11" s="30"/>
      <c r="N11" s="40"/>
      <c r="O11" s="40"/>
      <c r="P11" s="40"/>
      <c r="Q11" s="40"/>
      <c r="R11" s="40"/>
      <c r="S11" s="40"/>
      <c r="T11" s="40"/>
    </row>
    <row r="12">
      <c r="A12" s="35">
        <v>46250</v>
      </c>
      <c r="B12" s="36" t="s">
        <v>79</v>
      </c>
      <c r="C12" s="37"/>
      <c r="D12" s="37">
        <f>SUM(D10:D11)</f>
      </c>
      <c r="E12" s="37">
        <f>SUM(E10:E11)</f>
      </c>
      <c r="F12" s="37">
        <f>SUM(F10:F11)</f>
      </c>
      <c r="G12" s="37">
        <f>SUM(G10:G11)</f>
      </c>
      <c r="H12" s="37">
        <f>SUM(H10:H11)</f>
      </c>
      <c r="I12" s="38">
        <f t="shared" si="0"/>
      </c>
      <c r="J12" s="38">
        <f t="shared" si="5"/>
      </c>
      <c r="K12" s="38">
        <f t="shared" si="2"/>
      </c>
      <c r="L12" s="38"/>
      <c r="M12" s="37">
        <f>SUM(M10:M11)</f>
      </c>
    </row>
    <row r="13">
      <c r="A13" s="29">
        <v>46251</v>
      </c>
      <c r="B13" s="30" t="s">
        <v>82</v>
      </c>
      <c r="C13" s="30" t="s">
        <v>81</v>
      </c>
      <c r="D13" s="30">
        <v>3</v>
      </c>
      <c r="E13" s="30">
        <v>1</v>
      </c>
      <c r="F13" s="30">
        <v>0</v>
      </c>
      <c r="G13" s="39">
        <v>236.64</v>
      </c>
      <c r="H13" s="32">
        <v>4047.75</v>
      </c>
      <c r="I13" s="33">
        <f t="shared" si="0"/>
      </c>
      <c r="J13" s="33">
        <f t="shared" si="5"/>
      </c>
      <c r="K13" s="33">
        <f t="shared" si="2"/>
      </c>
      <c r="L13" s="34" t="s">
        <v>89</v>
      </c>
      <c r="M13" s="30">
        <v>2</v>
      </c>
    </row>
    <row r="14">
      <c r="A14" s="29">
        <v>46251</v>
      </c>
      <c r="B14" s="30"/>
      <c r="C14" s="30"/>
      <c r="D14" s="30"/>
      <c r="E14" s="30"/>
      <c r="F14" s="30"/>
      <c r="G14" s="39"/>
      <c r="H14" s="32"/>
      <c r="I14" s="33"/>
      <c r="J14" s="33"/>
      <c r="K14" s="33"/>
      <c r="L14" s="34" t="s">
        <v>84</v>
      </c>
      <c r="M14" s="30">
        <v>3</v>
      </c>
      <c r="N14" s="40"/>
      <c r="O14" s="40"/>
      <c r="P14" s="40"/>
      <c r="Q14" s="40"/>
      <c r="R14" s="40"/>
      <c r="S14" s="40"/>
      <c r="T14" s="40"/>
    </row>
    <row customHeight="true" ht="16.071428571428573" r="15">
      <c r="A15" s="29">
        <v>46251</v>
      </c>
      <c r="B15" s="30" t="s">
        <v>80</v>
      </c>
      <c r="C15" s="30" t="s">
        <v>90</v>
      </c>
      <c r="D15" s="30">
        <v>3</v>
      </c>
      <c r="E15" s="30">
        <v>23</v>
      </c>
      <c r="F15" s="30">
        <v>5</v>
      </c>
      <c r="G15" s="39">
        <v>12462.42</v>
      </c>
      <c r="H15" s="32">
        <v>9429.12</v>
      </c>
      <c r="I15" s="33">
        <f t="shared" ref="I15:I57" si="1">G15/H15</f>
      </c>
      <c r="J15" s="33">
        <f t="shared" ref="J15:J57" si="6">G15/E15</f>
      </c>
      <c r="K15" s="33">
        <f t="shared" ref="K15:K57" si="3">H15/E15</f>
      </c>
      <c r="L15" s="34" t="s">
        <v>86</v>
      </c>
      <c r="M15" s="30">
        <v>1</v>
      </c>
      <c r="N15" s="40"/>
      <c r="O15" s="40"/>
      <c r="P15" s="40"/>
      <c r="Q15" s="40"/>
      <c r="R15" s="40"/>
      <c r="S15" s="40"/>
      <c r="T15" s="40"/>
    </row>
    <row r="16">
      <c r="A16" s="35">
        <v>46251</v>
      </c>
      <c r="B16" s="36" t="s">
        <v>79</v>
      </c>
      <c r="C16" s="37"/>
      <c r="D16" s="37">
        <f>SUM(D13:D15)</f>
      </c>
      <c r="E16" s="37">
        <f>SUM(E13:E15)</f>
      </c>
      <c r="F16" s="37">
        <f>SUM(F13:F15)</f>
      </c>
      <c r="G16" s="37">
        <f>SUM(G13:G15)</f>
      </c>
      <c r="H16" s="37">
        <f>SUM(H13:H15)</f>
      </c>
      <c r="I16" s="38">
        <f t="shared" si="1"/>
      </c>
      <c r="J16" s="38">
        <f t="shared" si="6"/>
      </c>
      <c r="K16" s="38">
        <f t="shared" si="3"/>
      </c>
      <c r="L16" s="38"/>
      <c r="M16" s="37">
        <f>SUM(M13:M14)</f>
      </c>
    </row>
    <row r="17">
      <c r="A17" s="29">
        <v>46252</v>
      </c>
      <c r="B17" s="30" t="s">
        <v>82</v>
      </c>
      <c r="C17" s="30" t="s">
        <v>85</v>
      </c>
      <c r="D17" s="30">
        <v>4</v>
      </c>
      <c r="E17" s="30">
        <v>7</v>
      </c>
      <c r="F17" s="30">
        <v>1</v>
      </c>
      <c r="G17" s="39">
        <v>4220.96</v>
      </c>
      <c r="H17" s="32">
        <v>8839.17</v>
      </c>
      <c r="I17" s="33">
        <f t="shared" si="1"/>
      </c>
      <c r="J17" s="33">
        <f t="shared" si="6"/>
      </c>
      <c r="K17" s="33">
        <f t="shared" si="3"/>
      </c>
      <c r="L17" s="34" t="s">
        <v>86</v>
      </c>
      <c r="M17" s="30">
        <v>5</v>
      </c>
    </row>
    <row r="18">
      <c r="A18" s="29">
        <v>46252</v>
      </c>
      <c r="B18" s="30" t="s">
        <v>76</v>
      </c>
      <c r="C18" s="30" t="s">
        <v>91</v>
      </c>
      <c r="D18" s="30">
        <v>1</v>
      </c>
      <c r="E18" s="30">
        <v>0</v>
      </c>
      <c r="F18" s="30">
        <v>0</v>
      </c>
      <c r="G18" s="39">
        <v>0</v>
      </c>
      <c r="H18" s="32">
        <v>2375.17</v>
      </c>
      <c r="I18" s="33">
        <f t="shared" si="1"/>
      </c>
      <c r="J18" s="33">
        <f t="shared" si="6"/>
      </c>
      <c r="K18" s="33">
        <f t="shared" si="3"/>
      </c>
      <c r="L18" s="34"/>
      <c r="M18" s="30"/>
    </row>
    <row r="19">
      <c r="A19" s="35">
        <v>46252</v>
      </c>
      <c r="B19" s="36" t="s">
        <v>79</v>
      </c>
      <c r="C19" s="37"/>
      <c r="D19" s="37">
        <f>SUM(D17:D18)</f>
      </c>
      <c r="E19" s="37">
        <f>SUM(E17:E18)</f>
      </c>
      <c r="F19" s="37">
        <f>SUM(F17:F18)</f>
      </c>
      <c r="G19" s="37">
        <f>SUM(G17:G18)</f>
      </c>
      <c r="H19" s="37">
        <f>SUM(H17:H18)</f>
      </c>
      <c r="I19" s="38">
        <f t="shared" si="1"/>
      </c>
      <c r="J19" s="38">
        <f t="shared" si="6"/>
      </c>
      <c r="K19" s="38">
        <f t="shared" si="3"/>
      </c>
      <c r="L19" s="38"/>
      <c r="M19" s="37">
        <f>SUM(M17:M18)</f>
      </c>
    </row>
    <row r="20">
      <c r="A20" s="29">
        <v>46253</v>
      </c>
      <c r="B20" s="30" t="s">
        <v>80</v>
      </c>
      <c r="C20" s="30" t="s">
        <v>81</v>
      </c>
      <c r="D20" s="30">
        <v>3</v>
      </c>
      <c r="E20" s="30">
        <v>14</v>
      </c>
      <c r="F20" s="30">
        <v>5</v>
      </c>
      <c r="G20" s="39">
        <v>12059.86</v>
      </c>
      <c r="H20" s="32">
        <v>4076.58</v>
      </c>
      <c r="I20" s="33">
        <f t="shared" si="1"/>
      </c>
      <c r="J20" s="33">
        <f t="shared" si="6"/>
      </c>
      <c r="K20" s="33">
        <f t="shared" si="3"/>
      </c>
      <c r="L20" s="34" t="s">
        <v>86</v>
      </c>
      <c r="M20" s="30">
        <v>6</v>
      </c>
    </row>
    <row r="21">
      <c r="A21" s="29">
        <v>46253</v>
      </c>
      <c r="B21" s="30" t="s">
        <v>82</v>
      </c>
      <c r="C21" s="30" t="s">
        <v>90</v>
      </c>
      <c r="D21" s="30">
        <v>3</v>
      </c>
      <c r="E21" s="30">
        <v>13</v>
      </c>
      <c r="F21" s="30">
        <v>0</v>
      </c>
      <c r="G21" s="39">
        <v>5825.52</v>
      </c>
      <c r="H21" s="32">
        <v>8253.76</v>
      </c>
      <c r="I21" s="33">
        <f t="shared" si="1"/>
      </c>
      <c r="J21" s="33">
        <f t="shared" si="6"/>
      </c>
      <c r="K21" s="33">
        <f t="shared" si="3"/>
      </c>
      <c r="L21" s="34"/>
      <c r="M21" s="30"/>
    </row>
    <row r="22">
      <c r="A22" s="35">
        <v>46253</v>
      </c>
      <c r="B22" s="36" t="s">
        <v>79</v>
      </c>
      <c r="C22" s="37"/>
      <c r="D22" s="37">
        <f>SUM(D20:D21)</f>
      </c>
      <c r="E22" s="37">
        <f>SUM(E20:E21)</f>
      </c>
      <c r="F22" s="37">
        <f>SUM(F20:F21)</f>
      </c>
      <c r="G22" s="37">
        <f>SUM(G20:G21)</f>
      </c>
      <c r="H22" s="37">
        <f>SUM(H20:H21)</f>
      </c>
      <c r="I22" s="38">
        <f t="shared" si="1"/>
      </c>
      <c r="J22" s="38">
        <f t="shared" si="6"/>
      </c>
      <c r="K22" s="38">
        <f t="shared" si="3"/>
      </c>
      <c r="L22" s="38"/>
      <c r="M22" s="37">
        <f>SUM(M20:M21)</f>
      </c>
    </row>
    <row r="23">
      <c r="A23" s="29">
        <v>46254</v>
      </c>
      <c r="B23" s="30" t="s">
        <v>80</v>
      </c>
      <c r="C23" s="30" t="s">
        <v>81</v>
      </c>
      <c r="D23" s="30">
        <v>3</v>
      </c>
      <c r="E23" s="30">
        <v>15</v>
      </c>
      <c r="F23" s="30">
        <v>2</v>
      </c>
      <c r="G23" s="39">
        <v>10503.1</v>
      </c>
      <c r="H23" s="32">
        <v>8600.17</v>
      </c>
      <c r="I23" s="33">
        <f t="shared" si="1"/>
      </c>
      <c r="J23" s="33">
        <f t="shared" si="6"/>
      </c>
      <c r="K23" s="33">
        <f t="shared" si="3"/>
      </c>
      <c r="L23" s="34" t="s">
        <v>86</v>
      </c>
      <c r="M23" s="30">
        <v>6</v>
      </c>
    </row>
    <row r="24">
      <c r="A24" s="29">
        <v>46254</v>
      </c>
      <c r="B24" s="30" t="s">
        <v>82</v>
      </c>
      <c r="C24" s="30" t="s">
        <v>90</v>
      </c>
      <c r="D24" s="30">
        <v>3</v>
      </c>
      <c r="E24" s="30">
        <v>16</v>
      </c>
      <c r="F24" s="30">
        <v>5</v>
      </c>
      <c r="G24" s="39">
        <v>12363.12</v>
      </c>
      <c r="H24" s="32">
        <v>9360.41</v>
      </c>
      <c r="I24" s="33">
        <f t="shared" si="1"/>
      </c>
      <c r="J24" s="33">
        <f t="shared" si="6"/>
      </c>
      <c r="K24" s="33">
        <f t="shared" si="3"/>
      </c>
      <c r="L24" s="34"/>
      <c r="M24" s="30"/>
    </row>
    <row r="25">
      <c r="A25" s="35">
        <v>46254</v>
      </c>
      <c r="B25" s="36" t="s">
        <v>79</v>
      </c>
      <c r="C25" s="37"/>
      <c r="D25" s="37">
        <f>SUM(D23:D24)</f>
      </c>
      <c r="E25" s="37">
        <f>SUM(E23:E24)</f>
      </c>
      <c r="F25" s="37">
        <f>SUM(F23:F24)</f>
      </c>
      <c r="G25" s="37">
        <f>SUM(G23:G24)</f>
      </c>
      <c r="H25" s="37">
        <f>SUM(H23:H24)</f>
      </c>
      <c r="I25" s="38">
        <f t="shared" si="1"/>
      </c>
      <c r="J25" s="38">
        <f t="shared" si="6"/>
      </c>
      <c r="K25" s="38">
        <f t="shared" si="3"/>
      </c>
      <c r="L25" s="38"/>
      <c r="M25" s="37">
        <f>SUM(M23:M24)</f>
      </c>
    </row>
    <row r="26">
      <c r="A26" s="29">
        <v>46255</v>
      </c>
      <c r="B26" s="30" t="s">
        <v>80</v>
      </c>
      <c r="C26" s="30" t="s">
        <v>81</v>
      </c>
      <c r="D26" s="30">
        <v>3</v>
      </c>
      <c r="E26" s="30">
        <v>22</v>
      </c>
      <c r="F26" s="30">
        <v>3</v>
      </c>
      <c r="G26" s="39">
        <v>10739.76</v>
      </c>
      <c r="H26" s="32">
        <v>9465.83</v>
      </c>
      <c r="I26" s="33">
        <f t="shared" si="1"/>
      </c>
      <c r="J26" s="33">
        <f t="shared" si="6"/>
      </c>
      <c r="K26" s="33">
        <f t="shared" si="3"/>
      </c>
      <c r="L26" s="34" t="s">
        <v>86</v>
      </c>
      <c r="M26" s="30">
        <v>6</v>
      </c>
    </row>
    <row r="27">
      <c r="A27" s="29">
        <v>46255</v>
      </c>
      <c r="B27" s="30" t="s">
        <v>76</v>
      </c>
      <c r="C27" s="30" t="s">
        <v>90</v>
      </c>
      <c r="D27" s="30">
        <v>3</v>
      </c>
      <c r="E27" s="30">
        <v>5</v>
      </c>
      <c r="F27" s="30">
        <v>1</v>
      </c>
      <c r="G27" s="39">
        <v>4519.88</v>
      </c>
      <c r="H27" s="32">
        <v>4459.09</v>
      </c>
      <c r="I27" s="33">
        <f t="shared" si="1"/>
      </c>
      <c r="J27" s="33">
        <f t="shared" si="6"/>
      </c>
      <c r="K27" s="33">
        <f t="shared" si="3"/>
      </c>
      <c r="L27" s="34"/>
      <c r="M27" s="30"/>
    </row>
    <row r="28">
      <c r="A28" s="35">
        <v>46255</v>
      </c>
      <c r="B28" s="36" t="s">
        <v>79</v>
      </c>
      <c r="C28" s="37"/>
      <c r="D28" s="37">
        <f>SUM(D26:D27)</f>
      </c>
      <c r="E28" s="37">
        <f>SUM(E26:E27)</f>
      </c>
      <c r="F28" s="37">
        <f>SUM(F26:F27)</f>
      </c>
      <c r="G28" s="37">
        <f>SUM(G26:G27)</f>
      </c>
      <c r="H28" s="37">
        <f>SUM(H26:H27)</f>
      </c>
      <c r="I28" s="38">
        <f t="shared" si="1"/>
      </c>
      <c r="J28" s="38">
        <f t="shared" si="6"/>
      </c>
      <c r="K28" s="38">
        <f t="shared" si="3"/>
      </c>
      <c r="L28" s="38"/>
      <c r="M28" s="37">
        <f>SUM(M26:M27)</f>
      </c>
    </row>
    <row r="29">
      <c r="A29" s="29">
        <v>46256</v>
      </c>
      <c r="B29" s="30" t="s">
        <v>80</v>
      </c>
      <c r="C29" s="30" t="s">
        <v>81</v>
      </c>
      <c r="D29" s="30">
        <v>3</v>
      </c>
      <c r="E29" s="30">
        <v>17</v>
      </c>
      <c r="F29" s="30">
        <v>3</v>
      </c>
      <c r="G29" s="39">
        <v>12425.48</v>
      </c>
      <c r="H29" s="32">
        <v>5293.2699999999995</v>
      </c>
      <c r="I29" s="33">
        <f t="shared" si="1"/>
      </c>
      <c r="J29" s="33">
        <f t="shared" si="6"/>
      </c>
      <c r="K29" s="33">
        <f t="shared" si="3"/>
      </c>
      <c r="L29" s="34" t="s">
        <v>92</v>
      </c>
      <c r="M29" s="30">
        <v>6</v>
      </c>
    </row>
    <row r="30">
      <c r="A30" s="29">
        <v>46256</v>
      </c>
      <c r="B30" s="30" t="s">
        <v>82</v>
      </c>
      <c r="C30" s="30" t="s">
        <v>90</v>
      </c>
      <c r="D30" s="30">
        <v>3</v>
      </c>
      <c r="E30" s="30">
        <v>11</v>
      </c>
      <c r="F30" s="30">
        <v>1</v>
      </c>
      <c r="G30" s="39">
        <v>5634.32</v>
      </c>
      <c r="H30" s="32">
        <v>5723.61</v>
      </c>
      <c r="I30" s="33">
        <f t="shared" si="1"/>
      </c>
      <c r="J30" s="33">
        <f t="shared" si="6"/>
      </c>
      <c r="K30" s="33">
        <f t="shared" si="3"/>
      </c>
      <c r="L30" s="34"/>
      <c r="M30" s="30"/>
    </row>
    <row r="31">
      <c r="A31" s="35">
        <v>46256</v>
      </c>
      <c r="B31" s="36" t="s">
        <v>79</v>
      </c>
      <c r="C31" s="37"/>
      <c r="D31" s="37">
        <f>SUM(D29:D30)</f>
      </c>
      <c r="E31" s="37">
        <f>SUM(E29:E30)</f>
      </c>
      <c r="F31" s="37">
        <f>SUM(F29:F30)</f>
      </c>
      <c r="G31" s="37">
        <f>SUM(G29:G30)</f>
      </c>
      <c r="H31" s="37">
        <f>SUM(H29:H30)</f>
      </c>
      <c r="I31" s="38">
        <f t="shared" si="1"/>
      </c>
      <c r="J31" s="38">
        <f t="shared" si="6"/>
      </c>
      <c r="K31" s="38">
        <f t="shared" si="3"/>
      </c>
      <c r="L31" s="38"/>
      <c r="M31" s="37">
        <f>SUM(M29:M30)</f>
      </c>
    </row>
    <row r="32">
      <c r="A32" s="29">
        <v>46257</v>
      </c>
      <c r="B32" s="30" t="s">
        <v>80</v>
      </c>
      <c r="C32" s="30" t="s">
        <v>85</v>
      </c>
      <c r="D32" s="30">
        <v>4</v>
      </c>
      <c r="E32" s="30">
        <v>29</v>
      </c>
      <c r="F32" s="30">
        <v>3</v>
      </c>
      <c r="G32" s="39">
        <v>18876.42</v>
      </c>
      <c r="H32" s="32">
        <v>10340.01</v>
      </c>
      <c r="I32" s="33">
        <f t="shared" si="1"/>
      </c>
      <c r="J32" s="33">
        <f t="shared" si="6"/>
      </c>
      <c r="K32" s="33">
        <f t="shared" si="3"/>
      </c>
      <c r="L32" s="34" t="s">
        <v>92</v>
      </c>
      <c r="M32" s="30">
        <v>6</v>
      </c>
    </row>
    <row r="33">
      <c r="A33" s="29">
        <v>46257</v>
      </c>
      <c r="B33" s="30" t="s">
        <v>76</v>
      </c>
      <c r="C33" s="30" t="s">
        <v>93</v>
      </c>
      <c r="D33" s="30">
        <v>2</v>
      </c>
      <c r="E33" s="30">
        <v>5</v>
      </c>
      <c r="F33" s="30">
        <v>1</v>
      </c>
      <c r="G33" s="39">
        <v>4321.200000000001</v>
      </c>
      <c r="H33" s="32">
        <v>2495.97</v>
      </c>
      <c r="I33" s="33">
        <f t="shared" si="1"/>
      </c>
      <c r="J33" s="33">
        <f t="shared" si="6"/>
      </c>
      <c r="K33" s="33">
        <f t="shared" si="3"/>
      </c>
      <c r="L33" s="34"/>
      <c r="M33" s="30"/>
    </row>
    <row r="34">
      <c r="A34" s="35">
        <v>46257</v>
      </c>
      <c r="B34" s="36" t="s">
        <v>79</v>
      </c>
      <c r="C34" s="37"/>
      <c r="D34" s="37">
        <f>SUM(D32:D33)</f>
      </c>
      <c r="E34" s="37">
        <f>SUM(E32:E33)</f>
      </c>
      <c r="F34" s="37">
        <f>SUM(F32:F33)</f>
      </c>
      <c r="G34" s="37">
        <f>SUM(G32:G33)</f>
      </c>
      <c r="H34" s="37">
        <f>SUM(H32:H33)</f>
      </c>
      <c r="I34" s="38">
        <f t="shared" si="1"/>
      </c>
      <c r="J34" s="38">
        <f t="shared" si="6"/>
      </c>
      <c r="K34" s="38">
        <f t="shared" si="3"/>
      </c>
      <c r="L34" s="38"/>
      <c r="M34" s="37">
        <f>SUM(M32:M33)</f>
      </c>
    </row>
    <row r="35">
      <c r="A35" s="29">
        <v>46258</v>
      </c>
      <c r="B35" s="30" t="s">
        <v>80</v>
      </c>
      <c r="C35" s="30" t="s">
        <v>85</v>
      </c>
      <c r="D35" s="30">
        <v>4</v>
      </c>
      <c r="E35" s="30">
        <v>5</v>
      </c>
      <c r="F35" s="30">
        <v>0</v>
      </c>
      <c r="G35" s="39">
        <v>2962.86</v>
      </c>
      <c r="H35" s="32">
        <v>5132.12</v>
      </c>
      <c r="I35" s="33">
        <f t="shared" si="1"/>
      </c>
      <c r="J35" s="33">
        <f t="shared" si="6"/>
      </c>
      <c r="K35" s="33">
        <f t="shared" si="3"/>
      </c>
      <c r="L35" s="34" t="s">
        <v>84</v>
      </c>
      <c r="M35" s="30">
        <v>5</v>
      </c>
    </row>
    <row r="36">
      <c r="A36" s="29">
        <v>46258</v>
      </c>
      <c r="B36" s="30" t="s">
        <v>76</v>
      </c>
      <c r="C36" s="30" t="s">
        <v>93</v>
      </c>
      <c r="D36" s="30">
        <v>2</v>
      </c>
      <c r="E36" s="30">
        <v>5</v>
      </c>
      <c r="F36" s="30">
        <v>1</v>
      </c>
      <c r="G36" s="39">
        <v>4321.2</v>
      </c>
      <c r="H36" s="32">
        <v>2341.45</v>
      </c>
      <c r="I36" s="33">
        <f t="shared" si="1"/>
      </c>
      <c r="J36" s="33">
        <f t="shared" si="6"/>
      </c>
      <c r="K36" s="33">
        <f t="shared" si="3"/>
      </c>
      <c r="L36" s="34" t="s">
        <v>86</v>
      </c>
      <c r="M36" s="30">
        <v>1</v>
      </c>
    </row>
    <row r="37">
      <c r="A37" s="35">
        <v>46258</v>
      </c>
      <c r="B37" s="36" t="s">
        <v>79</v>
      </c>
      <c r="C37" s="37"/>
      <c r="D37" s="37">
        <f>SUM(D35:D36)</f>
      </c>
      <c r="E37" s="37">
        <f>SUM(E35:E36)</f>
      </c>
      <c r="F37" s="37">
        <f>SUM(F35:F36)</f>
      </c>
      <c r="G37" s="37">
        <f>SUM(G35:G36)</f>
      </c>
      <c r="H37" s="37">
        <f>SUM(H35:H36)</f>
      </c>
      <c r="I37" s="38">
        <f t="shared" si="1"/>
      </c>
      <c r="J37" s="38">
        <f t="shared" si="6"/>
      </c>
      <c r="K37" s="38">
        <f t="shared" si="3"/>
      </c>
      <c r="L37" s="38"/>
      <c r="M37" s="37">
        <f>SUM(M35:M36)</f>
      </c>
    </row>
    <row r="38">
      <c r="A38" s="29">
        <v>46259</v>
      </c>
      <c r="B38" s="30" t="s">
        <v>80</v>
      </c>
      <c r="C38" s="30" t="s">
        <v>85</v>
      </c>
      <c r="D38" s="30">
        <v>4</v>
      </c>
      <c r="E38" s="30">
        <v>27</v>
      </c>
      <c r="F38" s="30">
        <v>6</v>
      </c>
      <c r="G38" s="39">
        <v>25229.86</v>
      </c>
      <c r="H38" s="32">
        <v>8914.49</v>
      </c>
      <c r="I38" s="33">
        <f t="shared" si="1"/>
      </c>
      <c r="J38" s="33">
        <f t="shared" si="6"/>
      </c>
      <c r="K38" s="33">
        <f t="shared" si="3"/>
      </c>
      <c r="L38" s="34" t="s">
        <v>84</v>
      </c>
      <c r="M38" s="30">
        <v>5</v>
      </c>
    </row>
    <row r="39">
      <c r="A39" s="29">
        <v>46259</v>
      </c>
      <c r="B39" s="30" t="s">
        <v>76</v>
      </c>
      <c r="C39" s="30" t="s">
        <v>93</v>
      </c>
      <c r="D39" s="30">
        <v>2</v>
      </c>
      <c r="E39" s="30">
        <v>29</v>
      </c>
      <c r="F39" s="30">
        <v>6</v>
      </c>
      <c r="G39" s="39">
        <v>27182.22</v>
      </c>
      <c r="H39" s="32">
        <v>7333.52</v>
      </c>
      <c r="I39" s="33">
        <f t="shared" si="1"/>
      </c>
      <c r="J39" s="33">
        <f t="shared" si="6"/>
      </c>
      <c r="K39" s="33">
        <f t="shared" si="3"/>
      </c>
      <c r="L39" s="34" t="s">
        <v>86</v>
      </c>
      <c r="M39" s="30">
        <v>1</v>
      </c>
    </row>
    <row customHeight="true" ht="16.071428571428573" r="40">
      <c r="A40" s="35">
        <v>46259</v>
      </c>
      <c r="B40" s="36" t="s">
        <v>79</v>
      </c>
      <c r="C40" s="37"/>
      <c r="D40" s="37">
        <f>SUM(D38:D39)</f>
      </c>
      <c r="E40" s="37">
        <f>SUM(E38:E39)</f>
      </c>
      <c r="F40" s="37">
        <f>SUM(F38:F39)</f>
      </c>
      <c r="G40" s="37">
        <f>SUM(G38:G39)</f>
      </c>
      <c r="H40" s="37">
        <f>SUM(H38:H39)</f>
      </c>
      <c r="I40" s="38">
        <f t="shared" si="1"/>
      </c>
      <c r="J40" s="38">
        <f t="shared" si="6"/>
      </c>
      <c r="K40" s="38">
        <f t="shared" si="3"/>
      </c>
      <c r="L40" s="38"/>
      <c r="M40" s="37">
        <f>SUM(M38:M39)</f>
      </c>
    </row>
    <row customHeight="true" ht="16.071428571428573" r="41">
      <c r="A41" s="29">
        <v>46260</v>
      </c>
      <c r="B41" s="30" t="s">
        <v>80</v>
      </c>
      <c r="C41" s="30" t="s">
        <v>85</v>
      </c>
      <c r="D41" s="30">
        <v>4</v>
      </c>
      <c r="E41" s="30">
        <v>32</v>
      </c>
      <c r="F41" s="30">
        <v>8</v>
      </c>
      <c r="G41" s="39">
        <v>29450</v>
      </c>
      <c r="H41" s="32">
        <v>13487.72</v>
      </c>
      <c r="I41" s="33">
        <f t="shared" si="1"/>
      </c>
      <c r="J41" s="33">
        <f t="shared" si="6"/>
      </c>
      <c r="K41" s="33">
        <f t="shared" si="3"/>
      </c>
      <c r="L41" s="34" t="s">
        <v>84</v>
      </c>
      <c r="M41" s="30">
        <v>5</v>
      </c>
    </row>
    <row customHeight="true" ht="16.071428571428573" r="42">
      <c r="A42" s="29">
        <v>46260</v>
      </c>
      <c r="B42" s="30" t="s">
        <v>94</v>
      </c>
      <c r="C42" s="30" t="s">
        <v>93</v>
      </c>
      <c r="D42" s="30">
        <v>2</v>
      </c>
      <c r="E42" s="30">
        <v>12</v>
      </c>
      <c r="F42" s="30">
        <v>4</v>
      </c>
      <c r="G42" s="39">
        <v>7558.88</v>
      </c>
      <c r="H42" s="32">
        <v>4874.94</v>
      </c>
      <c r="I42" s="33">
        <f t="shared" si="1"/>
      </c>
      <c r="J42" s="33">
        <f t="shared" si="6"/>
      </c>
      <c r="K42" s="33">
        <f t="shared" si="3"/>
      </c>
      <c r="L42" s="34" t="s">
        <v>86</v>
      </c>
      <c r="M42" s="30">
        <v>1</v>
      </c>
    </row>
    <row customHeight="true" ht="16.071428571428573" r="43">
      <c r="A43" s="35">
        <v>46260</v>
      </c>
      <c r="B43" s="36" t="s">
        <v>79</v>
      </c>
      <c r="C43" s="37"/>
      <c r="D43" s="37">
        <f>SUM(D41:D42)</f>
      </c>
      <c r="E43" s="37">
        <f>SUM(E41:E42)</f>
      </c>
      <c r="F43" s="37">
        <f>SUM(F41:F42)</f>
      </c>
      <c r="G43" s="37">
        <f>SUM(G41:G42)</f>
      </c>
      <c r="H43" s="37">
        <f>SUM(H41:H42)</f>
      </c>
      <c r="I43" s="38">
        <f t="shared" si="1"/>
      </c>
      <c r="J43" s="38">
        <f t="shared" si="6"/>
      </c>
      <c r="K43" s="38">
        <f t="shared" si="3"/>
      </c>
      <c r="L43" s="38"/>
      <c r="M43" s="37">
        <f>SUM(M41:M42)</f>
      </c>
    </row>
    <row customHeight="true" ht="16.071428571428573" r="44">
      <c r="A44" s="29">
        <v>46261</v>
      </c>
      <c r="B44" s="30" t="s">
        <v>80</v>
      </c>
      <c r="C44" s="30" t="s">
        <v>85</v>
      </c>
      <c r="D44" s="30">
        <v>4</v>
      </c>
      <c r="E44" s="30">
        <v>34</v>
      </c>
      <c r="F44" s="30">
        <v>12</v>
      </c>
      <c r="G44" s="39">
        <v>30168.58</v>
      </c>
      <c r="H44" s="32">
        <v>11163.83</v>
      </c>
      <c r="I44" s="33">
        <f t="shared" si="1"/>
      </c>
      <c r="J44" s="33">
        <f t="shared" si="6"/>
      </c>
      <c r="K44" s="33">
        <f t="shared" si="3"/>
      </c>
      <c r="L44" s="34" t="s">
        <v>84</v>
      </c>
      <c r="M44" s="30">
        <v>5</v>
      </c>
    </row>
    <row r="45">
      <c r="A45" s="29">
        <v>46261</v>
      </c>
      <c r="B45" s="30" t="s">
        <v>76</v>
      </c>
      <c r="C45" s="30" t="s">
        <v>93</v>
      </c>
      <c r="D45" s="30">
        <v>2</v>
      </c>
      <c r="E45" s="30">
        <v>8</v>
      </c>
      <c r="F45" s="30">
        <v>2</v>
      </c>
      <c r="G45" s="39">
        <v>4518.54</v>
      </c>
      <c r="H45" s="32">
        <v>4477.87</v>
      </c>
      <c r="I45" s="33">
        <f t="shared" si="1"/>
      </c>
      <c r="J45" s="33">
        <f t="shared" si="6"/>
      </c>
      <c r="K45" s="33">
        <f t="shared" si="3"/>
      </c>
      <c r="L45" s="34" t="s">
        <v>86</v>
      </c>
      <c r="M45" s="30">
        <v>1</v>
      </c>
    </row>
    <row r="46">
      <c r="A46" s="35">
        <v>46261</v>
      </c>
      <c r="B46" s="36" t="s">
        <v>79</v>
      </c>
      <c r="C46" s="37"/>
      <c r="D46" s="37">
        <f>SUM(D44:D45)</f>
      </c>
      <c r="E46" s="37">
        <f>SUM(E44:E45)</f>
      </c>
      <c r="F46" s="37">
        <f>SUM(F44:F45)</f>
      </c>
      <c r="G46" s="37">
        <f>SUM(G44:G45)</f>
      </c>
      <c r="H46" s="37">
        <f>SUM(H44:H45)</f>
      </c>
      <c r="I46" s="38">
        <f t="shared" si="1"/>
      </c>
      <c r="J46" s="38">
        <f t="shared" si="6"/>
      </c>
      <c r="K46" s="38">
        <f t="shared" si="3"/>
      </c>
      <c r="L46" s="38"/>
      <c r="M46" s="37">
        <f>SUM(M44:M45)</f>
      </c>
    </row>
    <row r="47">
      <c r="A47" s="29">
        <v>46262</v>
      </c>
      <c r="B47" s="30" t="s">
        <v>80</v>
      </c>
      <c r="C47" s="30" t="s">
        <v>95</v>
      </c>
      <c r="D47" s="30">
        <v>5</v>
      </c>
      <c r="E47" s="30">
        <v>37</v>
      </c>
      <c r="F47" s="30">
        <v>9</v>
      </c>
      <c r="G47" s="39">
        <v>27162.96</v>
      </c>
      <c r="H47" s="32">
        <v>13470.86</v>
      </c>
      <c r="I47" s="33">
        <f t="shared" si="1"/>
      </c>
      <c r="J47" s="33">
        <f t="shared" si="6"/>
      </c>
      <c r="K47" s="33">
        <f t="shared" si="3"/>
      </c>
      <c r="L47" s="34" t="s">
        <v>84</v>
      </c>
      <c r="M47" s="30">
        <v>4</v>
      </c>
    </row>
    <row r="48">
      <c r="A48" s="29">
        <v>46262</v>
      </c>
      <c r="B48" s="30" t="s">
        <v>76</v>
      </c>
      <c r="C48" s="30" t="s">
        <v>96</v>
      </c>
      <c r="D48" s="30">
        <v>1</v>
      </c>
      <c r="E48" s="30">
        <v>5</v>
      </c>
      <c r="F48" s="30">
        <v>1</v>
      </c>
      <c r="G48" s="39">
        <v>2478.56</v>
      </c>
      <c r="H48" s="32">
        <v>3137.13</v>
      </c>
      <c r="I48" s="33">
        <f t="shared" si="1"/>
      </c>
      <c r="J48" s="33">
        <f t="shared" si="6"/>
      </c>
      <c r="K48" s="33">
        <f t="shared" si="3"/>
      </c>
      <c r="L48" s="34" t="s">
        <v>86</v>
      </c>
      <c r="M48" s="30">
        <v>2</v>
      </c>
    </row>
    <row r="49">
      <c r="A49" s="35">
        <v>46262</v>
      </c>
      <c r="B49" s="36" t="s">
        <v>79</v>
      </c>
      <c r="C49" s="37"/>
      <c r="D49" s="37">
        <f>SUM(D47:D48)</f>
      </c>
      <c r="E49" s="37">
        <f>SUM(E47:E48)</f>
      </c>
      <c r="F49" s="37">
        <f>SUM(F47:F48)</f>
      </c>
      <c r="G49" s="37">
        <f>SUM(G47:G48)</f>
      </c>
      <c r="H49" s="37">
        <f>SUM(H47:H48)</f>
      </c>
      <c r="I49" s="38">
        <f t="shared" si="1"/>
      </c>
      <c r="J49" s="38">
        <f t="shared" si="6"/>
      </c>
      <c r="K49" s="38">
        <f t="shared" si="3"/>
      </c>
      <c r="L49" s="38"/>
      <c r="M49" s="37">
        <f>SUM(M47:M48)</f>
      </c>
    </row>
    <row r="50">
      <c r="A50" s="29">
        <v>46263</v>
      </c>
      <c r="B50" s="30" t="s">
        <v>80</v>
      </c>
      <c r="C50" s="30" t="s">
        <v>95</v>
      </c>
      <c r="D50" s="30">
        <v>5</v>
      </c>
      <c r="E50" s="30">
        <v>26</v>
      </c>
      <c r="F50" s="30">
        <v>9</v>
      </c>
      <c r="G50" s="39">
        <v>21948.2</v>
      </c>
      <c r="H50" s="32">
        <v>8660.69</v>
      </c>
      <c r="I50" s="33">
        <f t="shared" si="1"/>
      </c>
      <c r="J50" s="33">
        <f t="shared" si="6"/>
      </c>
      <c r="K50" s="33">
        <f t="shared" si="3"/>
      </c>
      <c r="L50" s="34" t="s">
        <v>97</v>
      </c>
      <c r="M50" s="30">
        <v>5</v>
      </c>
    </row>
    <row r="51">
      <c r="A51" s="35">
        <v>46263</v>
      </c>
      <c r="B51" s="36" t="s">
        <v>79</v>
      </c>
      <c r="C51" s="37"/>
      <c r="D51" s="37">
        <f>SUM(D50)</f>
      </c>
      <c r="E51" s="37">
        <f>SUM(E50)</f>
      </c>
      <c r="F51" s="37">
        <f>SUM(F50)</f>
      </c>
      <c r="G51" s="37">
        <f>SUM(G50)</f>
      </c>
      <c r="H51" s="37">
        <f>SUM(H50)</f>
      </c>
      <c r="I51" s="38">
        <f t="shared" si="1"/>
      </c>
      <c r="J51" s="38">
        <f t="shared" si="6"/>
      </c>
      <c r="K51" s="38">
        <f t="shared" si="3"/>
      </c>
      <c r="L51" s="38"/>
      <c r="M51" s="37">
        <f>SUM(M50)</f>
      </c>
    </row>
    <row r="52">
      <c r="A52" s="29">
        <v>46264</v>
      </c>
      <c r="B52" s="30" t="s">
        <v>80</v>
      </c>
      <c r="C52" s="30" t="s">
        <v>85</v>
      </c>
      <c r="D52" s="30">
        <v>4</v>
      </c>
      <c r="E52" s="30">
        <v>20</v>
      </c>
      <c r="F52" s="30">
        <v>1</v>
      </c>
      <c r="G52" s="39">
        <v>12450.02</v>
      </c>
      <c r="H52" s="32">
        <v>9662.989999999998</v>
      </c>
      <c r="I52" s="33">
        <f t="shared" si="1"/>
      </c>
      <c r="J52" s="33">
        <f t="shared" si="6"/>
      </c>
      <c r="K52" s="33">
        <f t="shared" si="3"/>
      </c>
      <c r="L52" s="34" t="s">
        <v>97</v>
      </c>
      <c r="M52" s="30">
        <v>6</v>
      </c>
    </row>
    <row r="53">
      <c r="A53" s="29">
        <v>46264</v>
      </c>
      <c r="B53" s="30" t="s">
        <v>82</v>
      </c>
      <c r="C53" s="30" t="s">
        <v>93</v>
      </c>
      <c r="D53" s="30">
        <v>2</v>
      </c>
      <c r="E53" s="30">
        <v>12</v>
      </c>
      <c r="F53" s="30">
        <v>4</v>
      </c>
      <c r="G53" s="39">
        <v>9010.54</v>
      </c>
      <c r="H53" s="32">
        <v>3141.17</v>
      </c>
      <c r="I53" s="33">
        <f t="shared" si="1"/>
      </c>
      <c r="J53" s="33">
        <f t="shared" si="6"/>
      </c>
      <c r="K53" s="33">
        <f t="shared" si="3"/>
      </c>
      <c r="L53" s="34"/>
      <c r="M53" s="30"/>
    </row>
    <row r="54">
      <c r="A54" s="35">
        <v>46264</v>
      </c>
      <c r="B54" s="36" t="s">
        <v>79</v>
      </c>
      <c r="C54" s="37"/>
      <c r="D54" s="37">
        <f>SUM(D52:D53)</f>
      </c>
      <c r="E54" s="37">
        <f>SUM(E52:E53)</f>
      </c>
      <c r="F54" s="37">
        <f>SUM(F52:F53)</f>
      </c>
      <c r="G54" s="37">
        <f>SUM(G52:G53)</f>
      </c>
      <c r="H54" s="37">
        <f>SUM(H52:H53)</f>
      </c>
      <c r="I54" s="38">
        <f t="shared" si="1"/>
      </c>
      <c r="J54" s="38">
        <f t="shared" si="6"/>
      </c>
      <c r="K54" s="38">
        <f t="shared" si="3"/>
      </c>
      <c r="L54" s="38"/>
      <c r="M54" s="37">
        <f>SUM(M52:M53)</f>
      </c>
    </row>
    <row customHeight="true" ht="16.071428571428573" r="55">
      <c r="A55" s="29">
        <v>46265</v>
      </c>
      <c r="B55" s="30" t="s">
        <v>80</v>
      </c>
      <c r="C55" s="30" t="s">
        <v>85</v>
      </c>
      <c r="D55" s="30">
        <v>4</v>
      </c>
      <c r="E55" s="30">
        <v>8</v>
      </c>
      <c r="F55" s="30">
        <v>1</v>
      </c>
      <c r="G55" s="39">
        <v>3165</v>
      </c>
      <c r="H55" s="32">
        <v>8115.77</v>
      </c>
      <c r="I55" s="33">
        <f t="shared" si="1"/>
      </c>
      <c r="J55" s="33">
        <f t="shared" si="6"/>
      </c>
      <c r="K55" s="33">
        <f t="shared" si="3"/>
      </c>
      <c r="L55" s="34" t="s">
        <v>97</v>
      </c>
      <c r="M55" s="30">
        <v>6</v>
      </c>
    </row>
    <row r="56">
      <c r="A56" s="29">
        <v>46265</v>
      </c>
      <c r="B56" s="30" t="s">
        <v>82</v>
      </c>
      <c r="C56" s="30" t="s">
        <v>93</v>
      </c>
      <c r="D56" s="30">
        <v>2</v>
      </c>
      <c r="E56" s="30">
        <v>5</v>
      </c>
      <c r="F56" s="30">
        <v>0</v>
      </c>
      <c r="G56" s="39">
        <v>1550.4799999999996</v>
      </c>
      <c r="H56" s="32">
        <v>3024.68</v>
      </c>
      <c r="I56" s="33">
        <f t="shared" si="1"/>
      </c>
      <c r="J56" s="33">
        <f t="shared" si="6"/>
      </c>
      <c r="K56" s="33">
        <f t="shared" si="3"/>
      </c>
      <c r="L56" s="34"/>
      <c r="M56" s="30"/>
    </row>
    <row customHeight="true" ht="16.071428571428573" r="57">
      <c r="A57" s="35">
        <v>46265</v>
      </c>
      <c r="B57" s="36" t="s">
        <v>79</v>
      </c>
      <c r="C57" s="37"/>
      <c r="D57" s="37">
        <f>SUM(D55:D56)</f>
      </c>
      <c r="E57" s="37">
        <f>SUM(E55:E56)</f>
      </c>
      <c r="F57" s="37">
        <f>SUM(F55:F56)</f>
      </c>
      <c r="G57" s="37">
        <f>SUM(G55:G56)</f>
      </c>
      <c r="H57" s="37">
        <f>SUM(H55:H56)</f>
      </c>
      <c r="I57" s="38">
        <f t="shared" si="1"/>
      </c>
      <c r="J57" s="38">
        <f t="shared" si="6"/>
      </c>
      <c r="K57" s="38">
        <f t="shared" si="3"/>
      </c>
      <c r="L57" s="38"/>
      <c r="M57" s="37">
        <f>SUM(M55:M56)</f>
      </c>
    </row>
    <row customHeight="true" ht="16.071428571428573" r="58"/>
    <row customHeight="true" ht="16.071428571428573" r="59"/>
    <row customHeight="true" ht="16.071428571428573" r="60"/>
    <row customHeight="true" ht="16.071428571428573" r="61"/>
    <row customHeight="true" ht="16.071428571428573" r="62"/>
    <row customHeight="true" ht="16.071428571428573" r="63"/>
    <row customHeight="true" ht="16.071428571428573" r="64">
      <c r="B64" s="41"/>
    </row>
    <row customHeight="true" ht="16.071428571428573" r="65"/>
    <row customHeight="true" ht="16.071428571428573" r="66"/>
    <row customHeight="true" ht="16.071428571428573" r="67"/>
    <row customHeight="true" ht="16.071428571428573" r="68"/>
    <row customHeight="true" ht="16.071428571428573" r="69"/>
    <row customHeight="true" ht="16.071428571428573" r="70"/>
    <row customHeight="true" ht="16.071428571428573" r="71"/>
    <row customHeight="true" ht="16.071428571428573" r="72"/>
    <row customHeight="true" ht="16.071428571428573" r="73"/>
    <row customHeight="true" ht="16.071428571428573" r="74"/>
    <row customHeight="true" ht="16.071428571428573" r="75"/>
    <row customHeight="true" ht="16.071428571428573" r="76"/>
    <row customHeight="true" ht="16.071428571428573" r="77"/>
    <row customHeight="true" ht="16.071428571428573" r="78"/>
    <row customHeight="true" ht="16.071428571428573" r="79"/>
    <row customHeight="true" ht="16.071428571428573" r="80"/>
    <row customHeight="true" ht="16.071428571428573" r="81"/>
    <row customHeight="true" ht="16.071428571428573" r="82"/>
    <row customHeight="true" ht="16.071428571428573" r="83"/>
    <row customHeight="true" ht="16.071428571428573" r="84"/>
    <row customHeight="true" ht="16.071428571428573" r="85"/>
    <row customHeight="true" ht="16.071428571428573" r="86"/>
    <row customHeight="true" ht="16.071428571428573" r="87"/>
    <row customHeight="true" ht="16.071428571428573" r="88"/>
    <row customHeight="true" ht="16.071428571428573" r="89"/>
    <row customHeight="true" ht="16.071428571428573" r="90"/>
    <row customHeight="true" ht="16.071428571428573" r="91"/>
    <row customHeight="true" ht="16.071428571428573" r="92"/>
    <row customHeight="true" ht="16.071428571428573" r="93"/>
    <row customHeight="true" ht="16.071428571428573" r="94"/>
    <row customHeight="true" ht="16.071428571428573" r="95"/>
    <row customHeight="true" ht="16.071428571428573" r="96"/>
    <row customHeight="true" ht="16.071428571428573" r="97"/>
    <row customHeight="true" ht="16.071428571428573" r="98"/>
    <row customHeight="true" ht="16.071428571428573" r="99"/>
    <row customHeight="true" ht="16.071428571428573" r="100"/>
    <row customHeight="true" ht="16.071428571428573" r="101"/>
    <row customHeight="true" ht="16.071428571428573" r="102"/>
    <row customHeight="true" ht="16.071428571428573" r="103"/>
    <row customHeight="true" ht="16.071428571428573" r="104"/>
    <row customHeight="true" ht="16.071428571428573" r="105"/>
    <row customHeight="true" ht="16.071428571428573" r="106"/>
    <row customHeight="true" ht="16.071428571428573" r="107"/>
    <row customHeight="true" ht="16.071428571428573" r="108"/>
    <row customHeight="true" ht="16.071428571428573" r="109"/>
    <row customHeight="true" ht="16.071428571428573" r="110"/>
    <row customHeight="true" ht="16.071428571428573" r="111"/>
    <row customHeight="true" ht="16.071428571428573" r="112"/>
    <row customHeight="true" ht="16.071428571428573" r="113"/>
    <row customHeight="true" ht="16.071428571428573" r="114"/>
    <row customHeight="true" ht="16.071428571428573" r="115"/>
    <row customHeight="true" ht="16.071428571428573" r="116"/>
    <row customHeight="true" ht="16.071428571428573" r="117"/>
    <row customHeight="true" ht="16.071428571428573" r="118"/>
    <row customHeight="true" ht="16.071428571428573" r="119"/>
    <row customHeight="true" ht="16.071428571428573" r="120"/>
    <row customHeight="true" ht="16.071428571428573" r="121"/>
    <row customHeight="true" ht="16.071428571428573" r="122"/>
    <row customHeight="true" ht="16.071428571428573" r="123"/>
    <row customHeight="true" ht="16.071428571428573" r="124"/>
    <row customHeight="true" ht="16.071428571428573" r="125"/>
    <row customHeight="true" ht="16.071428571428573" r="126"/>
    <row customHeight="true" ht="16.071428571428573" r="127"/>
    <row customHeight="true" ht="16.071428571428573" r="128"/>
    <row customHeight="true" ht="16.071428571428573" r="129"/>
    <row customHeight="true" ht="16.071428571428573" r="130"/>
    <row customHeight="true" ht="16.071428571428573" r="131"/>
    <row customHeight="true" ht="16.071428571428573" r="132"/>
    <row customHeight="true" ht="16.071428571428573" r="133"/>
    <row customHeight="true" ht="16.071428571428573" r="134"/>
    <row customHeight="true" ht="16.071428571428573" r="135"/>
    <row customHeight="true" ht="16.071428571428573" r="136"/>
    <row customHeight="true" ht="16.071428571428573" r="137"/>
    <row customHeight="true" ht="16.071428571428573" r="138"/>
    <row customHeight="true" ht="16.071428571428573" r="139"/>
    <row customHeight="true" ht="16.071428571428573" r="140"/>
    <row customHeight="true" ht="16.071428571428573" r="141"/>
    <row customHeight="true" ht="16.071428571428573" r="142"/>
    <row customHeight="true" ht="16.071428571428573" r="143"/>
    <row customHeight="true" ht="16.071428571428573" r="144"/>
    <row customHeight="true" ht="16.071428571428573" r="145"/>
    <row customHeight="true" ht="16.071428571428573" r="146"/>
    <row customHeight="true" ht="16.071428571428573" r="147"/>
    <row customHeight="true" ht="16.071428571428573" r="148"/>
    <row customHeight="true" ht="16.071428571428573" r="149"/>
    <row customHeight="true" ht="16.071428571428573" r="150"/>
    <row customHeight="true" ht="16.071428571428573" r="151"/>
    <row customHeight="true" ht="16.071428571428573" r="152"/>
    <row customHeight="true" ht="16.071428571428573" r="153"/>
    <row customHeight="true" ht="16.071428571428573" r="154"/>
    <row customHeight="true" ht="16.071428571428573" r="155"/>
    <row customHeight="true" ht="16.071428571428573" r="156"/>
    <row r="157"/>
    <row r="158"/>
    <row r="159"/>
    <row r="160"/>
    <row r="161"/>
    <row r="162"/>
    <row r="163">
      <c r="F163" s="42" t="s">
        <v>98</v>
      </c>
      <c r="G163" s="42" t="s">
        <v>99</v>
      </c>
    </row>
    <row r="164">
      <c r="F164" s="43">
        <f t="shared" ref="F164:F167" si="7">E164/D164</f>
      </c>
      <c r="G164" s="43">
        <f t="shared" ref="G164:G167" si="4">D164/C164</f>
      </c>
    </row>
    <row r="165">
      <c r="F165" s="43">
        <f t="shared" si="7"/>
      </c>
      <c r="G165" s="43">
        <f t="shared" si="4"/>
      </c>
    </row>
    <row r="166">
      <c r="F166" s="43">
        <f t="shared" si="7"/>
      </c>
      <c r="G166" s="43">
        <f t="shared" si="4"/>
      </c>
    </row>
    <row r="167">
      <c r="F167" s="43">
        <f t="shared" si="7"/>
      </c>
      <c r="G167" s="43">
        <f t="shared" si="4"/>
      </c>
    </row>
  </sheetData>
  <autoFilter ref="A1:M6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</cols>
  <sheetData>
    <row r="1">
      <c r="A1" s="44" t="s">
        <v>100</v>
      </c>
      <c r="B1" s="44" t="s">
        <v>101</v>
      </c>
      <c r="C1" s="44" t="s">
        <v>102</v>
      </c>
      <c r="D1" s="44" t="s">
        <v>103</v>
      </c>
      <c r="E1" s="44" t="s">
        <v>104</v>
      </c>
      <c r="F1" s="44" t="s">
        <v>105</v>
      </c>
      <c r="G1" s="44" t="s">
        <v>106</v>
      </c>
      <c r="H1" s="44" t="s">
        <v>107</v>
      </c>
      <c r="I1" s="45" t="s">
        <v>108</v>
      </c>
      <c r="J1" s="45" t="s">
        <v>109</v>
      </c>
      <c r="K1" s="45" t="s">
        <v>110</v>
      </c>
      <c r="L1" s="45" t="s">
        <v>111</v>
      </c>
      <c r="M1" s="44" t="s">
        <v>112</v>
      </c>
    </row>
    <row r="2">
      <c r="A2" s="46">
        <v>46266</v>
      </c>
      <c r="B2" s="47" t="s">
        <v>113</v>
      </c>
      <c r="C2" s="47" t="s">
        <v>114</v>
      </c>
      <c r="D2" s="47">
        <v>4</v>
      </c>
      <c r="E2" s="47">
        <v>7</v>
      </c>
      <c r="F2" s="47">
        <v>2</v>
      </c>
      <c r="G2" s="48">
        <v>2091.9</v>
      </c>
      <c r="H2" s="49">
        <v>5078.719999999999</v>
      </c>
      <c r="I2" s="50">
        <f t="shared" ref="I2:I87" si="0">G2/H2</f>
      </c>
      <c r="J2" s="50">
        <f t="shared" ref="J2:J87" si="1">G2/E2</f>
      </c>
      <c r="K2" s="50">
        <f t="shared" ref="K2:K87" si="2">H2/E2</f>
      </c>
      <c r="L2" s="51" t="s">
        <v>115</v>
      </c>
      <c r="M2" s="47">
        <v>6</v>
      </c>
    </row>
    <row r="3">
      <c r="A3" s="46">
        <v>46266</v>
      </c>
      <c r="B3" s="47" t="s">
        <v>116</v>
      </c>
      <c r="C3" s="47" t="s">
        <v>117</v>
      </c>
      <c r="D3" s="47">
        <v>2</v>
      </c>
      <c r="E3" s="47">
        <v>16</v>
      </c>
      <c r="F3" s="47">
        <v>5</v>
      </c>
      <c r="G3" s="48">
        <v>11153.3</v>
      </c>
      <c r="H3" s="49">
        <v>3547.91</v>
      </c>
      <c r="I3" s="50">
        <f t="shared" si="0"/>
      </c>
      <c r="J3" s="50">
        <f t="shared" si="1"/>
      </c>
      <c r="K3" s="50">
        <f t="shared" si="2"/>
      </c>
      <c r="L3" s="51"/>
      <c r="M3" s="47"/>
    </row>
    <row r="4">
      <c r="A4" s="52">
        <v>46266</v>
      </c>
      <c r="B4" s="53" t="s">
        <v>118</v>
      </c>
      <c r="C4" s="54"/>
      <c r="D4" s="54">
        <f>SUM(D2:D3)</f>
      </c>
      <c r="E4" s="54">
        <f>SUM(E2:E3)</f>
      </c>
      <c r="F4" s="54">
        <f>SUM(F2:F3)</f>
      </c>
      <c r="G4" s="54">
        <f>SUM(G2:G3)</f>
      </c>
      <c r="H4" s="54">
        <f>SUM(H2:H3)</f>
      </c>
      <c r="I4" s="55">
        <f t="shared" si="0"/>
      </c>
      <c r="J4" s="55">
        <f t="shared" si="1"/>
      </c>
      <c r="K4" s="55">
        <f t="shared" si="2"/>
      </c>
      <c r="L4" s="55"/>
      <c r="M4" s="54">
        <f>SUM(M2:M3)</f>
      </c>
    </row>
    <row r="5">
      <c r="A5" s="46">
        <v>46267</v>
      </c>
      <c r="B5" s="47" t="s">
        <v>113</v>
      </c>
      <c r="C5" s="47" t="s">
        <v>114</v>
      </c>
      <c r="D5" s="47">
        <v>4</v>
      </c>
      <c r="E5" s="47">
        <v>25</v>
      </c>
      <c r="F5" s="47">
        <v>6</v>
      </c>
      <c r="G5" s="48">
        <v>13397.12</v>
      </c>
      <c r="H5" s="49">
        <v>8816.12</v>
      </c>
      <c r="I5" s="50">
        <f t="shared" si="0"/>
      </c>
      <c r="J5" s="50">
        <f t="shared" si="1"/>
      </c>
      <c r="K5" s="50">
        <f t="shared" si="2"/>
      </c>
      <c r="L5" s="51" t="s">
        <v>119</v>
      </c>
      <c r="M5" s="47">
        <v>6</v>
      </c>
    </row>
    <row r="6">
      <c r="A6" s="46">
        <v>46267</v>
      </c>
      <c r="B6" s="47" t="s">
        <v>116</v>
      </c>
      <c r="C6" s="47" t="s">
        <v>117</v>
      </c>
      <c r="D6" s="47">
        <v>2</v>
      </c>
      <c r="E6" s="47">
        <v>2</v>
      </c>
      <c r="F6" s="47">
        <v>0</v>
      </c>
      <c r="G6" s="48">
        <v>861.5</v>
      </c>
      <c r="H6" s="49">
        <v>3124.75</v>
      </c>
      <c r="I6" s="50">
        <f t="shared" si="0"/>
      </c>
      <c r="J6" s="50">
        <f t="shared" si="1"/>
      </c>
      <c r="K6" s="50">
        <f t="shared" si="2"/>
      </c>
      <c r="L6" s="51"/>
      <c r="M6" s="47"/>
    </row>
    <row r="7">
      <c r="A7" s="52">
        <v>46267</v>
      </c>
      <c r="B7" s="53" t="s">
        <v>118</v>
      </c>
      <c r="C7" s="54"/>
      <c r="D7" s="54">
        <f>SUM(D5:D6)</f>
      </c>
      <c r="E7" s="54">
        <f>SUM(E5:E6)</f>
      </c>
      <c r="F7" s="54">
        <f>SUM(F5:F6)</f>
      </c>
      <c r="G7" s="54">
        <f>SUM(G5:G6)</f>
      </c>
      <c r="H7" s="54">
        <f>SUM(H5:H6)</f>
      </c>
      <c r="I7" s="55">
        <f t="shared" si="0"/>
      </c>
      <c r="J7" s="55">
        <f t="shared" si="1"/>
      </c>
      <c r="K7" s="55">
        <f t="shared" si="2"/>
      </c>
      <c r="L7" s="55"/>
      <c r="M7" s="54">
        <f>SUM(M5:M6)</f>
      </c>
    </row>
    <row r="8">
      <c r="A8" s="46">
        <v>46268</v>
      </c>
      <c r="B8" s="47" t="s">
        <v>113</v>
      </c>
      <c r="C8" s="47" t="s">
        <v>114</v>
      </c>
      <c r="D8" s="47">
        <v>4</v>
      </c>
      <c r="E8" s="47">
        <v>28</v>
      </c>
      <c r="F8" s="47">
        <v>6</v>
      </c>
      <c r="G8" s="48">
        <v>23974.52</v>
      </c>
      <c r="H8" s="49">
        <v>9301.1</v>
      </c>
      <c r="I8" s="50">
        <f t="shared" si="0"/>
      </c>
      <c r="J8" s="50">
        <f t="shared" si="1"/>
      </c>
      <c r="K8" s="50">
        <f t="shared" si="2"/>
      </c>
      <c r="L8" s="51" t="s">
        <v>120</v>
      </c>
      <c r="M8" s="47">
        <v>5</v>
      </c>
      <c r="O8" s="56"/>
    </row>
    <row r="9">
      <c r="A9" s="46">
        <v>46268</v>
      </c>
      <c r="B9" s="47" t="s">
        <v>116</v>
      </c>
      <c r="C9" s="47" t="s">
        <v>117</v>
      </c>
      <c r="D9" s="47">
        <v>2</v>
      </c>
      <c r="E9" s="47">
        <v>11</v>
      </c>
      <c r="F9" s="47">
        <v>3</v>
      </c>
      <c r="G9" s="48">
        <v>6518.58</v>
      </c>
      <c r="H9" s="49">
        <v>3703.85</v>
      </c>
      <c r="I9" s="50">
        <f t="shared" si="0"/>
      </c>
      <c r="J9" s="50">
        <f t="shared" si="1"/>
      </c>
      <c r="K9" s="50">
        <f t="shared" si="2"/>
      </c>
      <c r="L9" s="51" t="s">
        <v>119</v>
      </c>
      <c r="M9" s="47">
        <v>1</v>
      </c>
      <c r="O9" s="56"/>
    </row>
    <row r="10">
      <c r="A10" s="52">
        <v>46268</v>
      </c>
      <c r="B10" s="53" t="s">
        <v>118</v>
      </c>
      <c r="C10" s="54"/>
      <c r="D10" s="54">
        <f>SUM(D8:D9)</f>
      </c>
      <c r="E10" s="54">
        <f>SUM(E8:E9)</f>
      </c>
      <c r="F10" s="54">
        <f>SUM(F8:F9)</f>
      </c>
      <c r="G10" s="54">
        <f>SUM(G8:G9)</f>
      </c>
      <c r="H10" s="54">
        <f>SUM(H8:H9)</f>
      </c>
      <c r="I10" s="55">
        <f t="shared" si="0"/>
      </c>
      <c r="J10" s="55">
        <f t="shared" si="1"/>
      </c>
      <c r="K10" s="55">
        <f t="shared" si="2"/>
      </c>
      <c r="L10" s="55"/>
      <c r="M10" s="54">
        <f>SUM(M8:M9)</f>
      </c>
    </row>
    <row r="11">
      <c r="A11" s="46">
        <v>46269</v>
      </c>
      <c r="B11" s="47" t="s">
        <v>113</v>
      </c>
      <c r="C11" s="47" t="s">
        <v>114</v>
      </c>
      <c r="D11" s="47">
        <v>4</v>
      </c>
      <c r="E11" s="47">
        <v>28</v>
      </c>
      <c r="F11" s="47">
        <v>7</v>
      </c>
      <c r="G11" s="48">
        <v>23864.94</v>
      </c>
      <c r="H11" s="49">
        <v>6738.49</v>
      </c>
      <c r="I11" s="50">
        <f t="shared" si="0"/>
      </c>
      <c r="J11" s="50">
        <f t="shared" si="1"/>
      </c>
      <c r="K11" s="50">
        <f t="shared" si="2"/>
      </c>
      <c r="L11" s="51" t="s">
        <v>120</v>
      </c>
      <c r="M11" s="47">
        <v>6</v>
      </c>
    </row>
    <row r="12">
      <c r="A12" s="46">
        <v>46269</v>
      </c>
      <c r="B12" s="47" t="s">
        <v>116</v>
      </c>
      <c r="C12" s="47" t="s">
        <v>117</v>
      </c>
      <c r="D12" s="47">
        <v>2</v>
      </c>
      <c r="E12" s="47">
        <v>13</v>
      </c>
      <c r="F12" s="47">
        <v>4</v>
      </c>
      <c r="G12" s="48">
        <f>7373.94+1425.8</f>
      </c>
      <c r="H12" s="49">
        <v>6626.85</v>
      </c>
      <c r="I12" s="50">
        <f t="shared" si="0"/>
      </c>
      <c r="J12" s="50">
        <f t="shared" si="1"/>
      </c>
      <c r="K12" s="50">
        <f t="shared" si="2"/>
      </c>
      <c r="L12" s="51"/>
      <c r="M12" s="47"/>
    </row>
    <row r="13">
      <c r="A13" s="52">
        <v>46269</v>
      </c>
      <c r="B13" s="53" t="s">
        <v>118</v>
      </c>
      <c r="C13" s="54"/>
      <c r="D13" s="54">
        <f>SUM(D11:D12)</f>
      </c>
      <c r="E13" s="54">
        <f>SUM(E11:E12)</f>
      </c>
      <c r="F13" s="54">
        <f>SUM(F11:F12)</f>
      </c>
      <c r="G13" s="54">
        <f>SUM(G11:G12)</f>
      </c>
      <c r="H13" s="54">
        <f>SUM(H11:H12)</f>
      </c>
      <c r="I13" s="55">
        <f t="shared" si="0"/>
      </c>
      <c r="J13" s="55">
        <f t="shared" si="1"/>
      </c>
      <c r="K13" s="55">
        <f t="shared" si="2"/>
      </c>
      <c r="L13" s="55"/>
      <c r="M13" s="54">
        <f>SUM(M11:M12)</f>
      </c>
    </row>
    <row r="14">
      <c r="A14" s="46">
        <v>46270</v>
      </c>
      <c r="B14" s="47" t="s">
        <v>113</v>
      </c>
      <c r="C14" s="47" t="s">
        <v>114</v>
      </c>
      <c r="D14" s="47">
        <v>4</v>
      </c>
      <c r="E14" s="47">
        <v>15</v>
      </c>
      <c r="F14" s="47">
        <v>5</v>
      </c>
      <c r="G14" s="48">
        <v>10045.24</v>
      </c>
      <c r="H14" s="49">
        <v>7923.3</v>
      </c>
      <c r="I14" s="50">
        <f t="shared" si="0"/>
      </c>
      <c r="J14" s="50">
        <f t="shared" si="1"/>
      </c>
      <c r="K14" s="50">
        <f t="shared" si="2"/>
      </c>
      <c r="L14" s="51" t="s">
        <v>120</v>
      </c>
      <c r="M14" s="47">
        <v>4</v>
      </c>
    </row>
    <row r="15">
      <c r="A15" s="52">
        <v>46270</v>
      </c>
      <c r="B15" s="53" t="s">
        <v>118</v>
      </c>
      <c r="C15" s="54"/>
      <c r="D15" s="54">
        <f>SUM(D14)</f>
      </c>
      <c r="E15" s="54">
        <f>SUM(E14)</f>
      </c>
      <c r="F15" s="54">
        <f>SUM(F14)</f>
      </c>
      <c r="G15" s="54">
        <f>SUM(G14)</f>
      </c>
      <c r="H15" s="54">
        <f>SUM(H14)</f>
      </c>
      <c r="I15" s="55">
        <f t="shared" si="0"/>
      </c>
      <c r="J15" s="55">
        <f t="shared" si="1"/>
      </c>
      <c r="K15" s="55">
        <f t="shared" si="2"/>
      </c>
      <c r="L15" s="55"/>
      <c r="M15" s="54">
        <f>SUM(M14)</f>
      </c>
    </row>
    <row r="16">
      <c r="A16" s="46">
        <v>46271</v>
      </c>
      <c r="B16" s="47" t="s">
        <v>113</v>
      </c>
      <c r="C16" s="47" t="s">
        <v>114</v>
      </c>
      <c r="D16" s="47">
        <v>4</v>
      </c>
      <c r="E16" s="47">
        <v>18</v>
      </c>
      <c r="F16" s="47">
        <v>1</v>
      </c>
      <c r="G16" s="48">
        <v>14205.22</v>
      </c>
      <c r="H16" s="49">
        <v>8889.45</v>
      </c>
      <c r="I16" s="50">
        <f t="shared" si="0"/>
      </c>
      <c r="J16" s="50">
        <f t="shared" si="1"/>
      </c>
      <c r="K16" s="50">
        <f t="shared" si="2"/>
      </c>
      <c r="L16" s="51" t="s">
        <v>121</v>
      </c>
      <c r="M16" s="47">
        <v>6</v>
      </c>
    </row>
    <row r="17">
      <c r="A17" s="46">
        <v>46271</v>
      </c>
      <c r="B17" s="47" t="s">
        <v>116</v>
      </c>
      <c r="C17" s="47" t="s">
        <v>117</v>
      </c>
      <c r="D17" s="47">
        <v>2</v>
      </c>
      <c r="E17" s="47">
        <v>11</v>
      </c>
      <c r="F17" s="47">
        <v>2</v>
      </c>
      <c r="G17" s="48">
        <v>7463.66</v>
      </c>
      <c r="H17" s="49">
        <v>5479.96</v>
      </c>
      <c r="I17" s="50">
        <f t="shared" si="0"/>
      </c>
      <c r="J17" s="50">
        <f t="shared" si="1"/>
      </c>
      <c r="K17" s="50">
        <f t="shared" si="2"/>
      </c>
      <c r="L17" s="51"/>
      <c r="M17" s="47"/>
    </row>
    <row r="18">
      <c r="A18" s="52">
        <v>46271</v>
      </c>
      <c r="B18" s="53" t="s">
        <v>118</v>
      </c>
      <c r="C18" s="54"/>
      <c r="D18" s="54">
        <f>SUM(D16:D17)</f>
      </c>
      <c r="E18" s="54">
        <f>SUM(E16:E17)</f>
      </c>
      <c r="F18" s="54">
        <f>SUM(F16:F17)</f>
      </c>
      <c r="G18" s="54">
        <f>SUM(G16:G17)</f>
      </c>
      <c r="H18" s="54">
        <f>SUM(H16:H17)</f>
      </c>
      <c r="I18" s="55">
        <f t="shared" si="0"/>
      </c>
      <c r="J18" s="55">
        <f t="shared" si="1"/>
      </c>
      <c r="K18" s="55">
        <f t="shared" si="2"/>
      </c>
      <c r="L18" s="55"/>
      <c r="M18" s="54">
        <f>SUM(M16:M17)</f>
      </c>
    </row>
    <row r="19">
      <c r="A19" s="46">
        <v>46272</v>
      </c>
      <c r="B19" s="47" t="s">
        <v>113</v>
      </c>
      <c r="C19" s="47" t="s">
        <v>114</v>
      </c>
      <c r="D19" s="47">
        <v>4</v>
      </c>
      <c r="E19" s="47">
        <v>25</v>
      </c>
      <c r="F19" s="47">
        <v>12</v>
      </c>
      <c r="G19" s="48">
        <v>18349.22</v>
      </c>
      <c r="H19" s="49">
        <v>7306.79</v>
      </c>
      <c r="I19" s="50">
        <f t="shared" si="0"/>
      </c>
      <c r="J19" s="50">
        <f t="shared" si="1"/>
      </c>
      <c r="K19" s="50">
        <f t="shared" si="2"/>
      </c>
      <c r="L19" s="51" t="s">
        <v>119</v>
      </c>
      <c r="M19" s="47">
        <v>6</v>
      </c>
    </row>
    <row r="20">
      <c r="A20" s="46">
        <v>46272</v>
      </c>
      <c r="B20" s="47" t="s">
        <v>116</v>
      </c>
      <c r="C20" s="47" t="s">
        <v>117</v>
      </c>
      <c r="D20" s="47">
        <v>2</v>
      </c>
      <c r="E20" s="47">
        <v>24</v>
      </c>
      <c r="F20" s="47">
        <v>2</v>
      </c>
      <c r="G20" s="48">
        <v>12093.1</v>
      </c>
      <c r="H20" s="49">
        <v>5761.41</v>
      </c>
      <c r="I20" s="50">
        <f t="shared" si="0"/>
      </c>
      <c r="J20" s="50">
        <f t="shared" si="1"/>
      </c>
      <c r="K20" s="50">
        <f t="shared" si="2"/>
      </c>
      <c r="L20" s="51"/>
      <c r="M20" s="47"/>
    </row>
    <row r="21">
      <c r="A21" s="52">
        <v>46272</v>
      </c>
      <c r="B21" s="53" t="s">
        <v>118</v>
      </c>
      <c r="C21" s="54"/>
      <c r="D21" s="54">
        <f>SUM(D19:D20)</f>
      </c>
      <c r="E21" s="54">
        <f>SUM(E19:E20)</f>
      </c>
      <c r="F21" s="54">
        <f>SUM(F19:F20)</f>
      </c>
      <c r="G21" s="54">
        <f>SUM(G19:G20)</f>
      </c>
      <c r="H21" s="54">
        <f>SUM(H19:H20)</f>
      </c>
      <c r="I21" s="55">
        <f t="shared" si="0"/>
      </c>
      <c r="J21" s="55">
        <f t="shared" si="1"/>
      </c>
      <c r="K21" s="55">
        <f t="shared" si="2"/>
      </c>
      <c r="L21" s="55"/>
      <c r="M21" s="54">
        <f>SUM(M19:M20)</f>
      </c>
    </row>
    <row r="22">
      <c r="A22" s="46">
        <v>46273</v>
      </c>
      <c r="B22" s="47" t="s">
        <v>113</v>
      </c>
      <c r="C22" s="47" t="s">
        <v>122</v>
      </c>
      <c r="D22" s="47">
        <v>4</v>
      </c>
      <c r="E22" s="47">
        <v>30</v>
      </c>
      <c r="F22" s="47">
        <v>5</v>
      </c>
      <c r="G22" s="48">
        <v>21465.52</v>
      </c>
      <c r="H22" s="49">
        <v>10093.73</v>
      </c>
      <c r="I22" s="50">
        <f t="shared" si="0"/>
      </c>
      <c r="J22" s="50">
        <f t="shared" si="1"/>
      </c>
      <c r="K22" s="50">
        <f t="shared" si="2"/>
      </c>
      <c r="L22" s="51" t="s">
        <v>123</v>
      </c>
      <c r="M22" s="47">
        <v>6</v>
      </c>
    </row>
    <row r="23">
      <c r="A23" s="46">
        <v>46273</v>
      </c>
      <c r="B23" s="47" t="s">
        <v>124</v>
      </c>
      <c r="C23" s="47" t="s">
        <v>125</v>
      </c>
      <c r="D23" s="47">
        <v>2</v>
      </c>
      <c r="E23" s="47">
        <v>14</v>
      </c>
      <c r="F23" s="47">
        <v>2</v>
      </c>
      <c r="G23" s="48">
        <v>6420.999999999998</v>
      </c>
      <c r="H23" s="49">
        <v>6398.16</v>
      </c>
      <c r="I23" s="50">
        <f t="shared" si="0"/>
      </c>
      <c r="J23" s="50">
        <f t="shared" si="1"/>
      </c>
      <c r="K23" s="50">
        <f t="shared" si="2"/>
      </c>
      <c r="L23" s="51"/>
      <c r="M23" s="47"/>
    </row>
    <row r="24">
      <c r="A24" s="52">
        <v>46273</v>
      </c>
      <c r="B24" s="53" t="s">
        <v>118</v>
      </c>
      <c r="C24" s="54"/>
      <c r="D24" s="54">
        <f>SUM(D22:D23)</f>
      </c>
      <c r="E24" s="54">
        <f>SUM(E22:E23)</f>
      </c>
      <c r="F24" s="54">
        <f>SUM(F22:F23)</f>
      </c>
      <c r="G24" s="54">
        <f>SUM(G22:G23)</f>
      </c>
      <c r="H24" s="54">
        <f>SUM(H22:H23)</f>
      </c>
      <c r="I24" s="55">
        <f t="shared" si="0"/>
      </c>
      <c r="J24" s="55">
        <f t="shared" si="1"/>
      </c>
      <c r="K24" s="55">
        <f t="shared" si="2"/>
      </c>
      <c r="L24" s="55"/>
      <c r="M24" s="54">
        <f>SUM(M22:M23)</f>
      </c>
    </row>
    <row r="25">
      <c r="A25" s="46">
        <v>46274</v>
      </c>
      <c r="B25" s="47" t="s">
        <v>113</v>
      </c>
      <c r="C25" s="47" t="s">
        <v>122</v>
      </c>
      <c r="D25" s="47">
        <v>4</v>
      </c>
      <c r="E25" s="47">
        <v>14</v>
      </c>
      <c r="F25" s="47">
        <v>5</v>
      </c>
      <c r="G25" s="48">
        <v>6062.1</v>
      </c>
      <c r="H25" s="49">
        <v>6375.13</v>
      </c>
      <c r="I25" s="50">
        <f t="shared" si="0"/>
      </c>
      <c r="J25" s="50">
        <f t="shared" si="1"/>
      </c>
      <c r="K25" s="50">
        <f t="shared" si="2"/>
      </c>
      <c r="L25" s="51" t="s">
        <v>123</v>
      </c>
      <c r="M25" s="47">
        <v>6</v>
      </c>
    </row>
    <row customHeight="true" ht="16.071428571428573" r="26">
      <c r="A26" s="46">
        <v>46274</v>
      </c>
      <c r="B26" s="47" t="s">
        <v>124</v>
      </c>
      <c r="C26" s="47" t="s">
        <v>125</v>
      </c>
      <c r="D26" s="47">
        <v>2</v>
      </c>
      <c r="E26" s="47">
        <v>3</v>
      </c>
      <c r="F26" s="47">
        <v>0</v>
      </c>
      <c r="G26" s="48">
        <v>1162.9799999999996</v>
      </c>
      <c r="H26" s="49">
        <v>2691.47</v>
      </c>
      <c r="I26" s="50">
        <f t="shared" si="0"/>
      </c>
      <c r="J26" s="50">
        <f t="shared" si="1"/>
      </c>
      <c r="K26" s="50">
        <f t="shared" si="2"/>
      </c>
      <c r="L26" s="51"/>
      <c r="M26" s="47"/>
    </row>
    <row customHeight="true" ht="16.071428571428573" r="27">
      <c r="A27" s="52">
        <v>46274</v>
      </c>
      <c r="B27" s="53" t="s">
        <v>118</v>
      </c>
      <c r="C27" s="54"/>
      <c r="D27" s="54">
        <f>SUM(D25:D26)</f>
      </c>
      <c r="E27" s="54">
        <f>SUM(E25:E26)</f>
      </c>
      <c r="F27" s="54">
        <f>SUM(F25:F26)</f>
      </c>
      <c r="G27" s="54">
        <f>SUM(G25:G26)</f>
      </c>
      <c r="H27" s="54">
        <f>SUM(H25:H26)</f>
      </c>
      <c r="I27" s="55">
        <f t="shared" si="0"/>
      </c>
      <c r="J27" s="55">
        <f t="shared" si="1"/>
      </c>
      <c r="K27" s="55">
        <f t="shared" si="2"/>
      </c>
      <c r="L27" s="55"/>
      <c r="M27" s="54">
        <f>SUM(M25:M26)</f>
      </c>
    </row>
    <row customHeight="true" ht="16.071428571428573" r="28">
      <c r="A28" s="46">
        <v>46275</v>
      </c>
      <c r="B28" s="47" t="s">
        <v>113</v>
      </c>
      <c r="C28" s="47" t="s">
        <v>122</v>
      </c>
      <c r="D28" s="47">
        <v>4</v>
      </c>
      <c r="E28" s="47">
        <v>6</v>
      </c>
      <c r="F28" s="47">
        <v>2</v>
      </c>
      <c r="G28" s="48">
        <v>5563.8</v>
      </c>
      <c r="H28" s="49">
        <v>3694.61</v>
      </c>
      <c r="I28" s="50">
        <f t="shared" si="0"/>
      </c>
      <c r="J28" s="50">
        <f t="shared" si="1"/>
      </c>
      <c r="K28" s="50">
        <f t="shared" si="2"/>
      </c>
      <c r="L28" s="51" t="s">
        <v>119</v>
      </c>
      <c r="M28" s="47">
        <v>7</v>
      </c>
    </row>
    <row customHeight="true" ht="16.071428571428573" r="29">
      <c r="A29" s="46">
        <v>46275</v>
      </c>
      <c r="B29" s="47" t="s">
        <v>116</v>
      </c>
      <c r="C29" s="47" t="s">
        <v>126</v>
      </c>
      <c r="D29" s="47">
        <v>3</v>
      </c>
      <c r="E29" s="47">
        <v>33</v>
      </c>
      <c r="F29" s="47">
        <v>10</v>
      </c>
      <c r="G29" s="48">
        <v>17895.36</v>
      </c>
      <c r="H29" s="49">
        <v>7115.08</v>
      </c>
      <c r="I29" s="50">
        <f t="shared" si="0"/>
      </c>
      <c r="J29" s="50">
        <f t="shared" si="1"/>
      </c>
      <c r="K29" s="50">
        <f t="shared" si="2"/>
      </c>
      <c r="L29" s="51"/>
      <c r="M29" s="47"/>
    </row>
    <row customHeight="true" ht="16.071428571428573" r="30">
      <c r="A30" s="52">
        <v>46275</v>
      </c>
      <c r="B30" s="53" t="s">
        <v>118</v>
      </c>
      <c r="C30" s="54"/>
      <c r="D30" s="54">
        <f>SUM(D28:D29)</f>
      </c>
      <c r="E30" s="54">
        <f>SUM(E28:E29)</f>
      </c>
      <c r="F30" s="54">
        <f>SUM(F28:F29)</f>
      </c>
      <c r="G30" s="54">
        <f>SUM(G28:G29)</f>
      </c>
      <c r="H30" s="54">
        <f>SUM(H28:H29)</f>
      </c>
      <c r="I30" s="55">
        <f t="shared" si="0"/>
      </c>
      <c r="J30" s="55">
        <f t="shared" si="1"/>
      </c>
      <c r="K30" s="55">
        <f t="shared" si="2"/>
      </c>
      <c r="L30" s="55"/>
      <c r="M30" s="54">
        <f>SUM(M28:M29)</f>
      </c>
    </row>
    <row customHeight="true" ht="16.071428571428573" r="31">
      <c r="A31" s="46">
        <v>46276</v>
      </c>
      <c r="B31" s="47" t="s">
        <v>113</v>
      </c>
      <c r="C31" s="47" t="s">
        <v>122</v>
      </c>
      <c r="D31" s="47">
        <v>4</v>
      </c>
      <c r="E31" s="47">
        <v>21</v>
      </c>
      <c r="F31" s="47">
        <v>6</v>
      </c>
      <c r="G31" s="48">
        <v>12493.1</v>
      </c>
      <c r="H31" s="49">
        <v>6719.88</v>
      </c>
      <c r="I31" s="50">
        <f t="shared" si="0"/>
      </c>
      <c r="J31" s="50">
        <f t="shared" si="1"/>
      </c>
      <c r="K31" s="50">
        <f t="shared" si="2"/>
      </c>
      <c r="L31" s="51" t="s">
        <v>119</v>
      </c>
      <c r="M31" s="47">
        <v>7</v>
      </c>
    </row>
    <row customHeight="true" ht="16.071428571428573" r="32">
      <c r="A32" s="46">
        <v>46276</v>
      </c>
      <c r="B32" s="47" t="s">
        <v>116</v>
      </c>
      <c r="C32" s="47" t="s">
        <v>126</v>
      </c>
      <c r="D32" s="47">
        <v>3</v>
      </c>
      <c r="E32" s="47">
        <v>20</v>
      </c>
      <c r="F32" s="47">
        <v>2</v>
      </c>
      <c r="G32" s="48">
        <v>14074.9</v>
      </c>
      <c r="H32" s="49">
        <v>8787.55</v>
      </c>
      <c r="I32" s="50">
        <f t="shared" si="0"/>
      </c>
      <c r="J32" s="50">
        <f t="shared" si="1"/>
      </c>
      <c r="K32" s="50">
        <f t="shared" si="2"/>
      </c>
      <c r="L32" s="51"/>
      <c r="M32" s="47"/>
    </row>
    <row customHeight="true" ht="16.071428571428573" r="33">
      <c r="A33" s="52">
        <v>46276</v>
      </c>
      <c r="B33" s="53" t="s">
        <v>118</v>
      </c>
      <c r="C33" s="54"/>
      <c r="D33" s="54">
        <f>SUM(D31:D32)</f>
      </c>
      <c r="E33" s="54">
        <f>SUM(E31:E32)</f>
      </c>
      <c r="F33" s="54">
        <f>SUM(F31:F32)</f>
      </c>
      <c r="G33" s="54">
        <f>SUM(G31:G32)</f>
      </c>
      <c r="H33" s="54">
        <f>SUM(H31:H32)</f>
      </c>
      <c r="I33" s="55">
        <f t="shared" si="0"/>
      </c>
      <c r="J33" s="55">
        <f t="shared" si="1"/>
      </c>
      <c r="K33" s="55">
        <f t="shared" si="2"/>
      </c>
      <c r="L33" s="55"/>
      <c r="M33" s="54">
        <f>SUM(M31:M32)</f>
      </c>
    </row>
    <row customHeight="true" ht="16.071428571428573" r="34">
      <c r="A34" s="46">
        <v>46277</v>
      </c>
      <c r="B34" s="47" t="s">
        <v>113</v>
      </c>
      <c r="C34" s="47" t="s">
        <v>122</v>
      </c>
      <c r="D34" s="47">
        <v>4</v>
      </c>
      <c r="E34" s="47">
        <v>28</v>
      </c>
      <c r="F34" s="47">
        <v>6</v>
      </c>
      <c r="G34" s="48">
        <v>18232.36</v>
      </c>
      <c r="H34" s="49">
        <v>10177.76</v>
      </c>
      <c r="I34" s="50">
        <f t="shared" si="0"/>
      </c>
      <c r="J34" s="50">
        <f t="shared" si="1"/>
      </c>
      <c r="K34" s="50">
        <f t="shared" si="2"/>
      </c>
      <c r="L34" s="51" t="s">
        <v>119</v>
      </c>
      <c r="M34" s="47">
        <v>7</v>
      </c>
    </row>
    <row customHeight="true" ht="16.071428571428573" r="35">
      <c r="A35" s="46">
        <v>46277</v>
      </c>
      <c r="B35" s="47" t="s">
        <v>116</v>
      </c>
      <c r="C35" s="47" t="s">
        <v>126</v>
      </c>
      <c r="D35" s="47">
        <v>3</v>
      </c>
      <c r="E35" s="47">
        <v>24</v>
      </c>
      <c r="F35" s="47">
        <v>7</v>
      </c>
      <c r="G35" s="48">
        <v>18501.9</v>
      </c>
      <c r="H35" s="49">
        <v>11374.29</v>
      </c>
      <c r="I35" s="50">
        <f t="shared" si="0"/>
      </c>
      <c r="J35" s="50">
        <f t="shared" si="1"/>
      </c>
      <c r="K35" s="50">
        <f t="shared" si="2"/>
      </c>
      <c r="L35" s="51"/>
      <c r="M35" s="47"/>
    </row>
    <row r="36">
      <c r="A36" s="52">
        <v>46277</v>
      </c>
      <c r="B36" s="53" t="s">
        <v>118</v>
      </c>
      <c r="C36" s="54"/>
      <c r="D36" s="54">
        <f>SUM(D34:D35)</f>
      </c>
      <c r="E36" s="54">
        <f>SUM(E34:E35)</f>
      </c>
      <c r="F36" s="54">
        <f>SUM(F34:F35)</f>
      </c>
      <c r="G36" s="54">
        <f>SUM(G34:G35)</f>
      </c>
      <c r="H36" s="54">
        <f>SUM(H34:H35)</f>
      </c>
      <c r="I36" s="55">
        <f t="shared" si="0"/>
      </c>
      <c r="J36" s="55">
        <f t="shared" si="1"/>
      </c>
      <c r="K36" s="55">
        <f t="shared" si="2"/>
      </c>
      <c r="L36" s="55"/>
      <c r="M36" s="54">
        <f>SUM(M34:M35)</f>
      </c>
    </row>
    <row customHeight="true" ht="16.071428571428573" r="37">
      <c r="A37" s="46">
        <v>46278</v>
      </c>
      <c r="B37" s="47" t="s">
        <v>113</v>
      </c>
      <c r="C37" s="47" t="s">
        <v>122</v>
      </c>
      <c r="D37" s="47">
        <v>4</v>
      </c>
      <c r="E37" s="47">
        <v>35</v>
      </c>
      <c r="F37" s="47">
        <v>8</v>
      </c>
      <c r="G37" s="48">
        <v>24013.94</v>
      </c>
      <c r="H37" s="49">
        <v>11512.23</v>
      </c>
      <c r="I37" s="50">
        <f t="shared" si="0"/>
      </c>
      <c r="J37" s="50">
        <f t="shared" si="1"/>
      </c>
      <c r="K37" s="50">
        <f t="shared" si="2"/>
      </c>
      <c r="L37" s="51" t="s">
        <v>119</v>
      </c>
      <c r="M37" s="47">
        <v>6</v>
      </c>
    </row>
    <row customHeight="true" ht="16.071428571428573" r="38">
      <c r="A38" s="46">
        <v>46278</v>
      </c>
      <c r="B38" s="47" t="s">
        <v>116</v>
      </c>
      <c r="C38" s="47" t="s">
        <v>125</v>
      </c>
      <c r="D38" s="47">
        <v>2</v>
      </c>
      <c r="E38" s="47">
        <v>3</v>
      </c>
      <c r="F38" s="47">
        <v>0</v>
      </c>
      <c r="G38" s="48">
        <v>1593.08</v>
      </c>
      <c r="H38" s="49">
        <v>5534.27</v>
      </c>
      <c r="I38" s="50">
        <f t="shared" si="0"/>
      </c>
      <c r="J38" s="50">
        <f t="shared" si="1"/>
      </c>
      <c r="K38" s="50">
        <f t="shared" si="2"/>
      </c>
      <c r="L38" s="51"/>
      <c r="M38" s="47"/>
    </row>
    <row customHeight="true" ht="16.071428571428573" r="39">
      <c r="A39" s="52">
        <v>46278</v>
      </c>
      <c r="B39" s="53" t="s">
        <v>118</v>
      </c>
      <c r="C39" s="54"/>
      <c r="D39" s="54">
        <f>SUM(D37:D38)</f>
      </c>
      <c r="E39" s="54">
        <f>SUM(E37:E38)</f>
      </c>
      <c r="F39" s="54">
        <f>SUM(F37:F38)</f>
      </c>
      <c r="G39" s="54">
        <f>SUM(G37:G38)</f>
      </c>
      <c r="H39" s="54">
        <f>SUM(H37:H38)</f>
      </c>
      <c r="I39" s="55">
        <f t="shared" si="0"/>
      </c>
      <c r="J39" s="55">
        <f t="shared" si="1"/>
      </c>
      <c r="K39" s="55">
        <f t="shared" si="2"/>
      </c>
      <c r="L39" s="55"/>
      <c r="M39" s="54">
        <f>SUM(M37:M38)</f>
      </c>
    </row>
    <row customHeight="true" ht="16.071428571428573" r="40">
      <c r="A40" s="46">
        <v>46279</v>
      </c>
      <c r="B40" s="47" t="s">
        <v>113</v>
      </c>
      <c r="C40" s="47" t="s">
        <v>122</v>
      </c>
      <c r="D40" s="47">
        <v>4</v>
      </c>
      <c r="E40" s="47">
        <v>44</v>
      </c>
      <c r="F40" s="47">
        <v>12</v>
      </c>
      <c r="G40" s="48">
        <v>32608.02</v>
      </c>
      <c r="H40" s="49">
        <v>11244.88</v>
      </c>
      <c r="I40" s="50">
        <f t="shared" si="0"/>
      </c>
      <c r="J40" s="50">
        <f t="shared" si="1"/>
      </c>
      <c r="K40" s="50">
        <f t="shared" si="2"/>
      </c>
      <c r="L40" s="51" t="s">
        <v>119</v>
      </c>
      <c r="M40" s="47">
        <v>7</v>
      </c>
    </row>
    <row customHeight="true" ht="16.071428571428573" r="41">
      <c r="A41" s="46">
        <v>46279</v>
      </c>
      <c r="B41" s="47" t="s">
        <v>124</v>
      </c>
      <c r="C41" s="47" t="s">
        <v>126</v>
      </c>
      <c r="D41" s="47">
        <v>3</v>
      </c>
      <c r="E41" s="47">
        <v>14</v>
      </c>
      <c r="F41" s="47">
        <v>1</v>
      </c>
      <c r="G41" s="48">
        <v>10674.7</v>
      </c>
      <c r="H41" s="49">
        <v>8845.38</v>
      </c>
      <c r="I41" s="50">
        <f t="shared" si="0"/>
      </c>
      <c r="J41" s="50">
        <f t="shared" si="1"/>
      </c>
      <c r="K41" s="50">
        <f t="shared" si="2"/>
      </c>
      <c r="L41" s="51"/>
      <c r="M41" s="47"/>
    </row>
    <row customHeight="true" ht="16.071428571428573" r="42">
      <c r="A42" s="52">
        <v>46279</v>
      </c>
      <c r="B42" s="53" t="s">
        <v>118</v>
      </c>
      <c r="C42" s="54"/>
      <c r="D42" s="54">
        <f>SUM(D40:D41)</f>
      </c>
      <c r="E42" s="54">
        <f>SUM(E40:E41)</f>
      </c>
      <c r="F42" s="54">
        <f>SUM(F40:F41)</f>
      </c>
      <c r="G42" s="54">
        <f>SUM(G40:G41)</f>
      </c>
      <c r="H42" s="54">
        <f>SUM(H40:H41)</f>
      </c>
      <c r="I42" s="55">
        <f t="shared" si="0"/>
      </c>
      <c r="J42" s="55">
        <f t="shared" si="1"/>
      </c>
      <c r="K42" s="55">
        <f t="shared" si="2"/>
      </c>
      <c r="L42" s="55"/>
      <c r="M42" s="54">
        <f>SUM(M40:M41)</f>
      </c>
    </row>
    <row customHeight="true" ht="16.071428571428573" r="43">
      <c r="A43" s="46">
        <v>46280</v>
      </c>
      <c r="B43" s="47" t="s">
        <v>116</v>
      </c>
      <c r="C43" s="47" t="s">
        <v>122</v>
      </c>
      <c r="D43" s="47">
        <v>4</v>
      </c>
      <c r="E43" s="47">
        <v>15</v>
      </c>
      <c r="F43" s="47">
        <v>3</v>
      </c>
      <c r="G43" s="48">
        <v>8982.58</v>
      </c>
      <c r="H43" s="49">
        <v>8132.84</v>
      </c>
      <c r="I43" s="50">
        <f t="shared" si="0"/>
      </c>
      <c r="J43" s="50">
        <f t="shared" si="1"/>
      </c>
      <c r="K43" s="50">
        <f t="shared" si="2"/>
      </c>
      <c r="L43" s="51" t="s">
        <v>119</v>
      </c>
      <c r="M43" s="47">
        <v>6.5</v>
      </c>
    </row>
    <row customHeight="true" ht="16.071428571428573" r="44">
      <c r="A44" s="46">
        <v>46280</v>
      </c>
      <c r="B44" s="47" t="s">
        <v>113</v>
      </c>
      <c r="C44" s="47" t="s">
        <v>127</v>
      </c>
      <c r="D44" s="47">
        <v>2.5</v>
      </c>
      <c r="E44" s="47">
        <v>4</v>
      </c>
      <c r="F44" s="47">
        <v>0</v>
      </c>
      <c r="G44" s="48">
        <v>1894.56</v>
      </c>
      <c r="H44" s="49">
        <v>2284.9</v>
      </c>
      <c r="I44" s="50">
        <f t="shared" si="0"/>
      </c>
      <c r="J44" s="50">
        <f t="shared" si="1"/>
      </c>
      <c r="K44" s="50">
        <f t="shared" si="2"/>
      </c>
      <c r="L44" s="51"/>
      <c r="M44" s="47"/>
    </row>
    <row customHeight="true" ht="16.071428571428573" r="45">
      <c r="A45" s="52">
        <v>46280</v>
      </c>
      <c r="B45" s="53" t="s">
        <v>118</v>
      </c>
      <c r="C45" s="54"/>
      <c r="D45" s="54">
        <f>SUM(D43:D44)</f>
      </c>
      <c r="E45" s="54">
        <f>SUM(E43:E44)</f>
      </c>
      <c r="F45" s="54">
        <f>SUM(F43:F44)</f>
      </c>
      <c r="G45" s="54">
        <f>SUM(G43:G44)</f>
      </c>
      <c r="H45" s="54">
        <f>SUM(H43:H44)</f>
      </c>
      <c r="I45" s="55">
        <f t="shared" si="0"/>
      </c>
      <c r="J45" s="55">
        <f t="shared" si="1"/>
      </c>
      <c r="K45" s="55">
        <f t="shared" si="2"/>
      </c>
      <c r="L45" s="55"/>
      <c r="M45" s="54">
        <f>SUM(M43:M44)</f>
      </c>
    </row>
    <row customHeight="true" ht="16.071428571428573" r="46">
      <c r="A46" s="46">
        <v>46281</v>
      </c>
      <c r="B46" s="47" t="s">
        <v>113</v>
      </c>
      <c r="C46" s="47" t="s">
        <v>122</v>
      </c>
      <c r="D46" s="47">
        <v>4</v>
      </c>
      <c r="E46" s="47">
        <v>18</v>
      </c>
      <c r="F46" s="47">
        <v>5</v>
      </c>
      <c r="G46" s="48">
        <v>18223.92</v>
      </c>
      <c r="H46" s="49">
        <v>7614.33</v>
      </c>
      <c r="I46" s="50">
        <f t="shared" si="0"/>
      </c>
      <c r="J46" s="50">
        <f t="shared" si="1"/>
      </c>
      <c r="K46" s="50">
        <f t="shared" si="2"/>
      </c>
      <c r="L46" s="51" t="s">
        <v>119</v>
      </c>
      <c r="M46" s="47">
        <v>7</v>
      </c>
    </row>
    <row customHeight="true" ht="16.071428571428573" r="47">
      <c r="A47" s="46">
        <v>46281</v>
      </c>
      <c r="B47" s="47" t="s">
        <v>128</v>
      </c>
      <c r="C47" s="47" t="s">
        <v>129</v>
      </c>
      <c r="D47" s="47">
        <v>4</v>
      </c>
      <c r="E47" s="47">
        <v>28</v>
      </c>
      <c r="F47" s="47">
        <v>4</v>
      </c>
      <c r="G47" s="48">
        <v>12848.64</v>
      </c>
      <c r="H47" s="49">
        <v>7749.96</v>
      </c>
      <c r="I47" s="50">
        <f t="shared" si="0"/>
      </c>
      <c r="J47" s="50">
        <f t="shared" si="1"/>
      </c>
      <c r="K47" s="50">
        <f t="shared" si="2"/>
      </c>
      <c r="L47" s="51" t="s">
        <v>120</v>
      </c>
      <c r="M47" s="47">
        <v>1</v>
      </c>
    </row>
    <row customHeight="true" ht="16.071428571428573" r="48">
      <c r="A48" s="52">
        <v>46281</v>
      </c>
      <c r="B48" s="53" t="s">
        <v>118</v>
      </c>
      <c r="C48" s="54"/>
      <c r="D48" s="54">
        <f>SUM(D46:D47)</f>
      </c>
      <c r="E48" s="54">
        <f>SUM(E46:E47)</f>
      </c>
      <c r="F48" s="54">
        <f>SUM(F46:F47)</f>
      </c>
      <c r="G48" s="54">
        <f>SUM(G46:G47)</f>
      </c>
      <c r="H48" s="54">
        <f>SUM(H46:H47)</f>
      </c>
      <c r="I48" s="55">
        <f t="shared" si="0"/>
      </c>
      <c r="J48" s="55">
        <f t="shared" si="1"/>
      </c>
      <c r="K48" s="55">
        <f t="shared" si="2"/>
      </c>
      <c r="L48" s="55"/>
      <c r="M48" s="54">
        <f>SUM(M46:M47)</f>
      </c>
    </row>
    <row customHeight="true" ht="16.071428571428573" r="49">
      <c r="A49" s="46">
        <v>46282</v>
      </c>
      <c r="B49" s="47" t="s">
        <v>128</v>
      </c>
      <c r="C49" s="47" t="s">
        <v>122</v>
      </c>
      <c r="D49" s="47">
        <v>4</v>
      </c>
      <c r="E49" s="47">
        <v>28</v>
      </c>
      <c r="F49" s="47">
        <v>12</v>
      </c>
      <c r="G49" s="48">
        <v>18284.58</v>
      </c>
      <c r="H49" s="49">
        <v>7254.53</v>
      </c>
      <c r="I49" s="50">
        <f t="shared" si="0"/>
      </c>
      <c r="J49" s="50">
        <f t="shared" si="1"/>
      </c>
      <c r="K49" s="50">
        <f t="shared" si="2"/>
      </c>
      <c r="L49" s="51" t="s">
        <v>119</v>
      </c>
      <c r="M49" s="47">
        <v>7</v>
      </c>
    </row>
    <row customHeight="true" ht="16.071428571428573" r="50">
      <c r="A50" s="46">
        <v>46282</v>
      </c>
      <c r="B50" s="47" t="s">
        <v>116</v>
      </c>
      <c r="C50" s="47" t="s">
        <v>130</v>
      </c>
      <c r="D50" s="47">
        <v>3</v>
      </c>
      <c r="E50" s="47">
        <v>19</v>
      </c>
      <c r="F50" s="47">
        <v>5</v>
      </c>
      <c r="G50" s="48">
        <v>12624.78</v>
      </c>
      <c r="H50" s="49">
        <v>7254.54</v>
      </c>
      <c r="I50" s="50">
        <f t="shared" si="0"/>
      </c>
      <c r="J50" s="50">
        <f t="shared" si="1"/>
      </c>
      <c r="K50" s="50">
        <f t="shared" si="2"/>
      </c>
      <c r="L50" s="51"/>
      <c r="M50" s="47"/>
    </row>
    <row customHeight="true" ht="16.071428571428573" r="51">
      <c r="A51" s="52">
        <v>46282</v>
      </c>
      <c r="B51" s="53" t="s">
        <v>118</v>
      </c>
      <c r="C51" s="54"/>
      <c r="D51" s="54">
        <f>SUM(D49:D50)</f>
      </c>
      <c r="E51" s="54">
        <f>SUM(E49:E50)</f>
      </c>
      <c r="F51" s="54">
        <f>SUM(F49:F50)</f>
      </c>
      <c r="G51" s="54">
        <f>SUM(G49:G50)</f>
      </c>
      <c r="H51" s="54">
        <f>SUM(H49:H50)</f>
      </c>
      <c r="I51" s="55">
        <f t="shared" si="0"/>
      </c>
      <c r="J51" s="55">
        <f t="shared" si="1"/>
      </c>
      <c r="K51" s="55">
        <f t="shared" si="2"/>
      </c>
      <c r="L51" s="55"/>
      <c r="M51" s="54">
        <f>SUM(M49:M50)</f>
      </c>
    </row>
    <row customHeight="true" ht="16.071428571428573" r="52">
      <c r="A52" s="46">
        <v>46283</v>
      </c>
      <c r="B52" s="47" t="s">
        <v>128</v>
      </c>
      <c r="C52" s="47" t="s">
        <v>122</v>
      </c>
      <c r="D52" s="47">
        <v>4</v>
      </c>
      <c r="E52" s="47">
        <v>5</v>
      </c>
      <c r="F52" s="47">
        <v>0</v>
      </c>
      <c r="G52" s="48">
        <v>4321.2</v>
      </c>
      <c r="H52" s="49">
        <v>4282.18</v>
      </c>
      <c r="I52" s="50">
        <f t="shared" si="0"/>
      </c>
      <c r="J52" s="50">
        <f t="shared" si="1"/>
      </c>
      <c r="K52" s="50">
        <f t="shared" si="2"/>
      </c>
      <c r="L52" s="51" t="s">
        <v>119</v>
      </c>
      <c r="M52" s="47">
        <v>4</v>
      </c>
    </row>
    <row customHeight="true" ht="16.071428571428573" r="53">
      <c r="A53" s="52">
        <v>46283</v>
      </c>
      <c r="B53" s="53" t="s">
        <v>118</v>
      </c>
      <c r="C53" s="54"/>
      <c r="D53" s="54">
        <f>SUM(D52)</f>
      </c>
      <c r="E53" s="54">
        <f>SUM(E52)</f>
      </c>
      <c r="F53" s="54">
        <f>SUM(F52)</f>
      </c>
      <c r="G53" s="54">
        <f>SUM(G52)</f>
      </c>
      <c r="H53" s="54">
        <f>SUM(H52)</f>
      </c>
      <c r="I53" s="55">
        <f t="shared" si="0"/>
      </c>
      <c r="J53" s="55">
        <f t="shared" si="1"/>
      </c>
      <c r="K53" s="55">
        <f t="shared" si="2"/>
      </c>
      <c r="L53" s="55"/>
      <c r="M53" s="54">
        <f>SUM(M52)</f>
      </c>
    </row>
    <row customHeight="true" ht="16.071428571428573" r="54">
      <c r="A54" s="46">
        <v>46284</v>
      </c>
      <c r="B54" s="47" t="s">
        <v>113</v>
      </c>
      <c r="C54" s="47" t="s">
        <v>122</v>
      </c>
      <c r="D54" s="47">
        <v>4</v>
      </c>
      <c r="E54" s="47">
        <v>12</v>
      </c>
      <c r="F54" s="47">
        <v>2</v>
      </c>
      <c r="G54" s="47">
        <v>12133.94</v>
      </c>
      <c r="H54" s="49">
        <v>4860.86</v>
      </c>
      <c r="I54" s="50">
        <f t="shared" si="0"/>
      </c>
      <c r="J54" s="50">
        <f t="shared" si="1"/>
      </c>
      <c r="K54" s="50">
        <f t="shared" si="2"/>
      </c>
      <c r="L54" s="51" t="s">
        <v>119</v>
      </c>
      <c r="M54" s="47">
        <v>7</v>
      </c>
    </row>
    <row customHeight="true" ht="16.071428571428573" r="55">
      <c r="A55" s="46">
        <v>46284</v>
      </c>
      <c r="B55" s="47" t="s">
        <v>128</v>
      </c>
      <c r="C55" s="47" t="s">
        <v>126</v>
      </c>
      <c r="D55" s="47">
        <v>3</v>
      </c>
      <c r="E55" s="47">
        <v>12</v>
      </c>
      <c r="F55" s="47">
        <v>3</v>
      </c>
      <c r="G55" s="47">
        <v>6430.74</v>
      </c>
      <c r="H55" s="49">
        <v>4721.85</v>
      </c>
      <c r="I55" s="50">
        <f t="shared" si="0"/>
      </c>
      <c r="J55" s="50">
        <f t="shared" si="1"/>
      </c>
      <c r="K55" s="50">
        <f t="shared" si="2"/>
      </c>
      <c r="L55" s="51"/>
      <c r="M55" s="47"/>
    </row>
    <row customHeight="true" ht="16.071428571428573" r="56">
      <c r="A56" s="52">
        <v>46284</v>
      </c>
      <c r="B56" s="53" t="s">
        <v>118</v>
      </c>
      <c r="C56" s="54"/>
      <c r="D56" s="54">
        <f>SUM(D54:D55)</f>
      </c>
      <c r="E56" s="54">
        <f>SUM(E54:E55)</f>
      </c>
      <c r="F56" s="54">
        <f>SUM(F54:F55)</f>
      </c>
      <c r="G56" s="54">
        <f>SUM(G54:G55)</f>
      </c>
      <c r="H56" s="54">
        <f>SUM(H54:H55)</f>
      </c>
      <c r="I56" s="55">
        <f t="shared" si="0"/>
      </c>
      <c r="J56" s="55">
        <f t="shared" si="1"/>
      </c>
      <c r="K56" s="55">
        <f t="shared" si="2"/>
      </c>
      <c r="L56" s="55"/>
      <c r="M56" s="54">
        <f>SUM(M54)</f>
      </c>
    </row>
    <row customHeight="true" ht="16.071428571428573" r="57">
      <c r="A57" s="46">
        <v>46285</v>
      </c>
      <c r="B57" s="47" t="s">
        <v>128</v>
      </c>
      <c r="C57" s="47" t="s">
        <v>122</v>
      </c>
      <c r="D57" s="47">
        <v>4</v>
      </c>
      <c r="E57" s="47">
        <v>23</v>
      </c>
      <c r="F57" s="47">
        <v>3</v>
      </c>
      <c r="G57" s="47">
        <v>15210.58</v>
      </c>
      <c r="H57" s="49">
        <v>9831.289999999999</v>
      </c>
      <c r="I57" s="50">
        <f t="shared" si="0"/>
      </c>
      <c r="J57" s="50">
        <f t="shared" si="1"/>
      </c>
      <c r="K57" s="50">
        <f t="shared" si="2"/>
      </c>
      <c r="L57" s="51" t="s">
        <v>131</v>
      </c>
      <c r="M57" s="47">
        <v>7</v>
      </c>
    </row>
    <row customHeight="true" ht="16.071428571428573" r="58">
      <c r="A58" s="46">
        <v>46285</v>
      </c>
      <c r="B58" s="47" t="s">
        <v>113</v>
      </c>
      <c r="C58" s="47" t="s">
        <v>126</v>
      </c>
      <c r="D58" s="47">
        <v>3</v>
      </c>
      <c r="E58" s="47">
        <v>24</v>
      </c>
      <c r="F58" s="47">
        <v>2</v>
      </c>
      <c r="G58" s="47">
        <v>16369.339999999998</v>
      </c>
      <c r="H58" s="49">
        <v>9362.66</v>
      </c>
      <c r="I58" s="50">
        <f t="shared" si="0"/>
      </c>
      <c r="J58" s="50">
        <f t="shared" si="1"/>
      </c>
      <c r="K58" s="50">
        <f t="shared" si="2"/>
      </c>
      <c r="L58" s="51"/>
      <c r="M58" s="47"/>
    </row>
    <row customHeight="true" ht="16.071428571428573" r="59">
      <c r="A59" s="52">
        <v>46285</v>
      </c>
      <c r="B59" s="53" t="s">
        <v>118</v>
      </c>
      <c r="C59" s="54"/>
      <c r="D59" s="54">
        <f>SUM(D57:D58)</f>
      </c>
      <c r="E59" s="54">
        <f>SUM(E57:E58)</f>
      </c>
      <c r="F59" s="54">
        <f>SUM(F57:F58)</f>
      </c>
      <c r="G59" s="54">
        <f>SUM(G57:G58)</f>
      </c>
      <c r="H59" s="54">
        <f>SUM(H57:H58)</f>
      </c>
      <c r="I59" s="55">
        <f t="shared" si="0"/>
      </c>
      <c r="J59" s="55">
        <f t="shared" si="1"/>
      </c>
      <c r="K59" s="55">
        <f t="shared" si="2"/>
      </c>
      <c r="L59" s="55"/>
      <c r="M59" s="54">
        <f>SUM(M57)</f>
      </c>
    </row>
    <row customHeight="true" ht="16.071428571428573" r="60">
      <c r="A60" s="46">
        <v>46286</v>
      </c>
      <c r="B60" s="47" t="s">
        <v>113</v>
      </c>
      <c r="C60" s="47" t="s">
        <v>132</v>
      </c>
      <c r="D60" s="47">
        <v>3</v>
      </c>
      <c r="E60" s="47">
        <v>7</v>
      </c>
      <c r="F60" s="47">
        <v>0</v>
      </c>
      <c r="G60" s="49">
        <v>3961.64</v>
      </c>
      <c r="H60" s="47">
        <v>5426.55</v>
      </c>
      <c r="I60" s="50">
        <f t="shared" si="0"/>
      </c>
      <c r="J60" s="50">
        <f t="shared" si="1"/>
      </c>
      <c r="K60" s="50">
        <f t="shared" si="2"/>
      </c>
      <c r="L60" s="51" t="s">
        <v>119</v>
      </c>
      <c r="M60" s="47">
        <v>6.5</v>
      </c>
    </row>
    <row customHeight="true" ht="16.071428571428573" r="61">
      <c r="A61" s="46">
        <v>46286</v>
      </c>
      <c r="B61" s="47" t="s">
        <v>116</v>
      </c>
      <c r="C61" s="47" t="s">
        <v>133</v>
      </c>
      <c r="D61" s="47">
        <v>3.5</v>
      </c>
      <c r="E61" s="47">
        <v>11</v>
      </c>
      <c r="F61" s="47">
        <v>4</v>
      </c>
      <c r="G61" s="47">
        <v>6175.86</v>
      </c>
      <c r="H61" s="49">
        <v>4874.99</v>
      </c>
      <c r="I61" s="50">
        <f t="shared" si="0"/>
      </c>
      <c r="J61" s="50">
        <f t="shared" si="1"/>
      </c>
      <c r="K61" s="50">
        <f t="shared" si="2"/>
      </c>
      <c r="L61" s="51"/>
      <c r="M61" s="47"/>
    </row>
    <row customHeight="true" ht="16.071428571428573" r="62">
      <c r="A62" s="52">
        <v>46286</v>
      </c>
      <c r="B62" s="53" t="s">
        <v>118</v>
      </c>
      <c r="C62" s="54"/>
      <c r="D62" s="54">
        <f>SUM(D60:D61)</f>
      </c>
      <c r="E62" s="54">
        <f>SUM(E60:E61)</f>
      </c>
      <c r="F62" s="54">
        <f>SUM(F60:F61)</f>
      </c>
      <c r="G62" s="54">
        <f>SUM(G60:G61)</f>
      </c>
      <c r="H62" s="54">
        <f>SUM(H60:H61)</f>
      </c>
      <c r="I62" s="55">
        <f t="shared" si="0"/>
      </c>
      <c r="J62" s="55">
        <f t="shared" si="1"/>
      </c>
      <c r="K62" s="55">
        <f t="shared" si="2"/>
      </c>
      <c r="L62" s="55"/>
      <c r="M62" s="54">
        <f>SUM(M60)</f>
      </c>
    </row>
    <row customHeight="true" ht="16.071428571428573" r="63">
      <c r="A63" s="46">
        <v>46287</v>
      </c>
      <c r="B63" s="47" t="s">
        <v>113</v>
      </c>
      <c r="C63" s="47" t="s">
        <v>122</v>
      </c>
      <c r="D63" s="47">
        <v>4</v>
      </c>
      <c r="E63" s="47">
        <v>14</v>
      </c>
      <c r="F63" s="47">
        <v>3</v>
      </c>
      <c r="G63" s="49">
        <v>8691.8</v>
      </c>
      <c r="H63" s="47">
        <v>5206.37</v>
      </c>
      <c r="I63" s="50">
        <f t="shared" si="0"/>
      </c>
      <c r="J63" s="50">
        <f t="shared" si="1"/>
      </c>
      <c r="K63" s="50">
        <f t="shared" si="2"/>
      </c>
      <c r="L63" s="51" t="s">
        <v>119</v>
      </c>
      <c r="M63" s="47">
        <v>7</v>
      </c>
    </row>
    <row customHeight="true" ht="16.071428571428573" r="64">
      <c r="A64" s="46">
        <v>46287</v>
      </c>
      <c r="B64" s="47" t="s">
        <v>128</v>
      </c>
      <c r="C64" s="47" t="s">
        <v>126</v>
      </c>
      <c r="D64" s="47">
        <v>3</v>
      </c>
      <c r="E64" s="47">
        <v>18</v>
      </c>
      <c r="F64" s="47">
        <v>7</v>
      </c>
      <c r="G64" s="47">
        <v>10584.86</v>
      </c>
      <c r="H64" s="49">
        <v>6682.95</v>
      </c>
      <c r="I64" s="50">
        <f t="shared" si="0"/>
      </c>
      <c r="J64" s="50">
        <f t="shared" si="1"/>
      </c>
      <c r="K64" s="50">
        <f t="shared" si="2"/>
      </c>
      <c r="L64" s="51"/>
      <c r="M64" s="47"/>
    </row>
    <row customHeight="true" ht="16.071428571428573" r="65">
      <c r="A65" s="52">
        <v>46287</v>
      </c>
      <c r="B65" s="53" t="s">
        <v>118</v>
      </c>
      <c r="C65" s="54"/>
      <c r="D65" s="54">
        <f>SUM(D63:D64)</f>
      </c>
      <c r="E65" s="54">
        <f>SUM(E63:E64)</f>
      </c>
      <c r="F65" s="54">
        <f>SUM(F63:F64)</f>
      </c>
      <c r="G65" s="54">
        <f>SUM(G63:G64)</f>
      </c>
      <c r="H65" s="54">
        <f>SUM(H63:H64)</f>
      </c>
      <c r="I65" s="55">
        <f t="shared" si="0"/>
      </c>
      <c r="J65" s="55">
        <f t="shared" si="1"/>
      </c>
      <c r="K65" s="55">
        <f t="shared" si="2"/>
      </c>
      <c r="L65" s="55"/>
      <c r="M65" s="54">
        <f>SUM(M63)</f>
      </c>
    </row>
    <row customHeight="true" ht="16.071428571428573" r="66">
      <c r="A66" s="46">
        <v>46288</v>
      </c>
      <c r="B66" s="47" t="s">
        <v>113</v>
      </c>
      <c r="C66" s="47" t="s">
        <v>122</v>
      </c>
      <c r="D66" s="47">
        <v>4</v>
      </c>
      <c r="E66" s="47">
        <v>24</v>
      </c>
      <c r="F66" s="47">
        <v>8</v>
      </c>
      <c r="G66" s="49">
        <v>18816.96</v>
      </c>
      <c r="H66" s="47">
        <v>7960.14</v>
      </c>
      <c r="I66" s="50">
        <f t="shared" si="0"/>
      </c>
      <c r="J66" s="50">
        <f t="shared" si="1"/>
      </c>
      <c r="K66" s="50">
        <f t="shared" si="2"/>
      </c>
      <c r="L66" s="51" t="s">
        <v>119</v>
      </c>
      <c r="M66" s="47">
        <v>7</v>
      </c>
    </row>
    <row customHeight="true" ht="16.071428571428573" r="67">
      <c r="A67" s="46">
        <v>46288</v>
      </c>
      <c r="B67" s="47" t="s">
        <v>128</v>
      </c>
      <c r="C67" s="47" t="s">
        <v>126</v>
      </c>
      <c r="D67" s="47">
        <v>3</v>
      </c>
      <c r="E67" s="47">
        <v>22</v>
      </c>
      <c r="F67" s="47">
        <v>2</v>
      </c>
      <c r="G67" s="47">
        <v>13037.36</v>
      </c>
      <c r="H67" s="49">
        <v>8594.2</v>
      </c>
      <c r="I67" s="50">
        <f t="shared" si="0"/>
      </c>
      <c r="J67" s="50">
        <f t="shared" si="1"/>
      </c>
      <c r="K67" s="50">
        <f t="shared" si="2"/>
      </c>
      <c r="L67" s="51"/>
      <c r="M67" s="47"/>
    </row>
    <row r="68">
      <c r="A68" s="52">
        <v>46288</v>
      </c>
      <c r="B68" s="53" t="s">
        <v>118</v>
      </c>
      <c r="C68" s="54"/>
      <c r="D68" s="54">
        <f>SUM(D66:D67)</f>
      </c>
      <c r="E68" s="54">
        <f>SUM(E66:E67)</f>
      </c>
      <c r="F68" s="54">
        <f>SUM(F66:F67)</f>
      </c>
      <c r="G68" s="54">
        <f>SUM(G66:G67)</f>
      </c>
      <c r="H68" s="54">
        <f>SUM(H66:H67)</f>
      </c>
      <c r="I68" s="55">
        <f t="shared" si="0"/>
      </c>
      <c r="J68" s="55">
        <f t="shared" si="1"/>
      </c>
      <c r="K68" s="55">
        <f t="shared" si="2"/>
      </c>
      <c r="L68" s="55"/>
      <c r="M68" s="54">
        <f>SUM(M66)</f>
      </c>
    </row>
    <row r="69">
      <c r="A69" s="46">
        <v>46289</v>
      </c>
      <c r="B69" s="47" t="s">
        <v>113</v>
      </c>
      <c r="C69" s="47" t="s">
        <v>122</v>
      </c>
      <c r="D69" s="47">
        <v>4</v>
      </c>
      <c r="E69" s="47">
        <v>20</v>
      </c>
      <c r="F69" s="47">
        <v>5</v>
      </c>
      <c r="G69" s="49">
        <v>17065.28</v>
      </c>
      <c r="H69" s="47">
        <v>7884.11</v>
      </c>
      <c r="I69" s="50">
        <f t="shared" si="0"/>
      </c>
      <c r="J69" s="50">
        <f t="shared" si="1"/>
      </c>
      <c r="K69" s="50">
        <f t="shared" si="2"/>
      </c>
      <c r="L69" s="51" t="s">
        <v>119</v>
      </c>
      <c r="M69" s="47">
        <v>7</v>
      </c>
    </row>
    <row r="70">
      <c r="A70" s="46">
        <v>46289</v>
      </c>
      <c r="B70" s="47" t="s">
        <v>116</v>
      </c>
      <c r="C70" s="47" t="s">
        <v>126</v>
      </c>
      <c r="D70" s="47">
        <v>3</v>
      </c>
      <c r="E70" s="47">
        <v>11</v>
      </c>
      <c r="F70" s="47">
        <v>6</v>
      </c>
      <c r="G70" s="47">
        <v>10061.6</v>
      </c>
      <c r="H70" s="49">
        <v>4721.63</v>
      </c>
      <c r="I70" s="50">
        <f t="shared" si="0"/>
      </c>
      <c r="J70" s="50">
        <f t="shared" si="1"/>
      </c>
      <c r="K70" s="50">
        <f t="shared" si="2"/>
      </c>
      <c r="L70" s="51"/>
      <c r="M70" s="47"/>
    </row>
    <row r="71">
      <c r="A71" s="52">
        <v>46289</v>
      </c>
      <c r="B71" s="53" t="s">
        <v>118</v>
      </c>
      <c r="C71" s="54"/>
      <c r="D71" s="54">
        <f>SUM(D69:D70)</f>
      </c>
      <c r="E71" s="54">
        <f>SUM(E69:E70)</f>
      </c>
      <c r="F71" s="54">
        <f>SUM(F69:F70)</f>
      </c>
      <c r="G71" s="54">
        <f>SUM(G69:G70)</f>
      </c>
      <c r="H71" s="54">
        <f>SUM(H69:H70)</f>
      </c>
      <c r="I71" s="55">
        <f t="shared" si="0"/>
      </c>
      <c r="J71" s="55">
        <f t="shared" si="1"/>
      </c>
      <c r="K71" s="55">
        <f t="shared" si="2"/>
      </c>
      <c r="L71" s="55"/>
      <c r="M71" s="54">
        <f>SUM(M69)</f>
      </c>
      <c r="N71" s="56"/>
      <c r="O71" s="56"/>
    </row>
    <row r="72">
      <c r="A72" s="46">
        <v>46290</v>
      </c>
      <c r="B72" s="47" t="s">
        <v>113</v>
      </c>
      <c r="C72" s="47" t="s">
        <v>134</v>
      </c>
      <c r="D72" s="47">
        <v>5</v>
      </c>
      <c r="E72" s="47">
        <v>45</v>
      </c>
      <c r="F72" s="47">
        <v>8</v>
      </c>
      <c r="G72" s="49">
        <v>36349.94</v>
      </c>
      <c r="H72" s="47">
        <v>16685.34</v>
      </c>
      <c r="I72" s="50">
        <f t="shared" si="0"/>
      </c>
      <c r="J72" s="50">
        <f t="shared" si="1"/>
      </c>
      <c r="K72" s="50">
        <f t="shared" si="2"/>
      </c>
      <c r="L72" s="51" t="s">
        <v>119</v>
      </c>
      <c r="M72" s="47">
        <v>5</v>
      </c>
      <c r="P72" s="56"/>
    </row>
    <row r="73">
      <c r="A73" s="52">
        <v>46290</v>
      </c>
      <c r="B73" s="53" t="s">
        <v>118</v>
      </c>
      <c r="C73" s="54"/>
      <c r="D73" s="54">
        <f>SUM(D72)</f>
      </c>
      <c r="E73" s="54">
        <f>SUM(E72)</f>
      </c>
      <c r="F73" s="54">
        <f>SUM(F72)</f>
      </c>
      <c r="G73" s="54">
        <f>SUM(G72)</f>
      </c>
      <c r="H73" s="54">
        <f>SUM(H72)</f>
      </c>
      <c r="I73" s="55">
        <f t="shared" si="0"/>
      </c>
      <c r="J73" s="55">
        <f t="shared" si="1"/>
      </c>
      <c r="K73" s="55">
        <f t="shared" si="2"/>
      </c>
      <c r="L73" s="55"/>
      <c r="M73" s="54">
        <f>SUM(M72)</f>
      </c>
      <c r="N73" s="56"/>
      <c r="O73" s="56"/>
    </row>
    <row r="74">
      <c r="A74" s="46">
        <v>46291</v>
      </c>
      <c r="B74" s="47" t="s">
        <v>116</v>
      </c>
      <c r="C74" s="47" t="s">
        <v>135</v>
      </c>
      <c r="D74" s="47">
        <v>1.5</v>
      </c>
      <c r="E74" s="47">
        <v>6</v>
      </c>
      <c r="F74" s="47">
        <v>1</v>
      </c>
      <c r="G74" s="49">
        <v>5010.9</v>
      </c>
      <c r="H74" s="47">
        <v>5030.84</v>
      </c>
      <c r="I74" s="50">
        <f t="shared" si="0"/>
      </c>
      <c r="J74" s="50">
        <f t="shared" si="1"/>
      </c>
      <c r="K74" s="50">
        <f t="shared" si="2"/>
      </c>
      <c r="L74" s="51" t="s">
        <v>123</v>
      </c>
      <c r="M74" s="47">
        <v>5</v>
      </c>
    </row>
    <row customHeight="true" ht="16.071428571428573" r="75">
      <c r="A75" s="46">
        <v>46291</v>
      </c>
      <c r="B75" s="47" t="s">
        <v>113</v>
      </c>
      <c r="C75" s="47" t="s">
        <v>136</v>
      </c>
      <c r="D75" s="47">
        <v>3.5</v>
      </c>
      <c r="E75" s="47">
        <v>45</v>
      </c>
      <c r="F75" s="47">
        <v>13</v>
      </c>
      <c r="G75" s="49">
        <v>38576</v>
      </c>
      <c r="H75" s="47">
        <v>12272.599999999999</v>
      </c>
      <c r="I75" s="50">
        <f t="shared" si="0"/>
      </c>
      <c r="J75" s="50">
        <f t="shared" si="1"/>
      </c>
      <c r="K75" s="50">
        <f t="shared" si="2"/>
      </c>
      <c r="L75" s="51"/>
      <c r="M75" s="47"/>
    </row>
    <row customHeight="true" ht="16.071428571428573" r="76">
      <c r="A76" s="52">
        <v>46291</v>
      </c>
      <c r="B76" s="53" t="s">
        <v>118</v>
      </c>
      <c r="C76" s="54"/>
      <c r="D76" s="54">
        <f>SUM(D74:D75)</f>
      </c>
      <c r="E76" s="54">
        <f>SUM(E74:E75)</f>
      </c>
      <c r="F76" s="54">
        <f>SUM(F74:F75)</f>
      </c>
      <c r="G76" s="54">
        <f>SUM(G74:G75)</f>
      </c>
      <c r="H76" s="54">
        <f>SUM(H74:H75)</f>
      </c>
      <c r="I76" s="55">
        <f t="shared" si="0"/>
      </c>
      <c r="J76" s="55">
        <f t="shared" si="1"/>
      </c>
      <c r="K76" s="55">
        <f t="shared" si="2"/>
      </c>
      <c r="L76" s="55"/>
      <c r="M76" s="54">
        <f>SUM(M74)</f>
      </c>
    </row>
    <row customHeight="true" ht="16.071428571428573" r="77">
      <c r="A77" s="46">
        <v>46292</v>
      </c>
      <c r="B77" s="47" t="s">
        <v>113</v>
      </c>
      <c r="C77" s="47" t="s">
        <v>134</v>
      </c>
      <c r="D77" s="47">
        <v>5</v>
      </c>
      <c r="E77" s="47">
        <v>28</v>
      </c>
      <c r="F77" s="47">
        <v>3</v>
      </c>
      <c r="G77" s="49">
        <v>18996.76</v>
      </c>
      <c r="H77" s="47">
        <v>14074.18</v>
      </c>
      <c r="I77" s="50">
        <f t="shared" si="0"/>
      </c>
      <c r="J77" s="50">
        <f t="shared" si="1"/>
      </c>
      <c r="K77" s="50">
        <f t="shared" si="2"/>
      </c>
      <c r="L77" s="51" t="s">
        <v>123</v>
      </c>
      <c r="M77" s="47">
        <v>5</v>
      </c>
    </row>
    <row customHeight="true" ht="16.071428571428573" r="78">
      <c r="A78" s="52">
        <v>46292</v>
      </c>
      <c r="B78" s="53" t="s">
        <v>118</v>
      </c>
      <c r="C78" s="54"/>
      <c r="D78" s="54">
        <f>SUM(D77)</f>
      </c>
      <c r="E78" s="54">
        <f>SUM(E77)</f>
      </c>
      <c r="F78" s="54">
        <f>SUM(F77)</f>
      </c>
      <c r="G78" s="54">
        <f>SUM(G77)</f>
      </c>
      <c r="H78" s="54">
        <f>SUM(H77)</f>
      </c>
      <c r="I78" s="55">
        <f t="shared" si="0"/>
      </c>
      <c r="J78" s="55">
        <f t="shared" si="1"/>
      </c>
      <c r="K78" s="55">
        <f t="shared" si="2"/>
      </c>
      <c r="L78" s="55"/>
      <c r="M78" s="54">
        <f>SUM(M77)</f>
      </c>
    </row>
    <row customHeight="true" ht="16.071428571428573" r="79">
      <c r="A79" s="46">
        <v>46293</v>
      </c>
      <c r="B79" s="47" t="s">
        <v>113</v>
      </c>
      <c r="C79" s="47" t="s">
        <v>122</v>
      </c>
      <c r="D79" s="47">
        <v>4</v>
      </c>
      <c r="E79" s="47">
        <v>23</v>
      </c>
      <c r="F79" s="47">
        <v>7</v>
      </c>
      <c r="G79" s="49">
        <v>20680.9</v>
      </c>
      <c r="H79" s="47">
        <v>12267.9</v>
      </c>
      <c r="I79" s="50">
        <f t="shared" si="0"/>
      </c>
      <c r="J79" s="50">
        <f t="shared" si="1"/>
      </c>
      <c r="K79" s="50">
        <f t="shared" si="2"/>
      </c>
      <c r="L79" s="51" t="s">
        <v>119</v>
      </c>
      <c r="M79" s="47">
        <v>7</v>
      </c>
    </row>
    <row customHeight="true" ht="16.071428571428573" r="80">
      <c r="A80" s="46">
        <v>46293</v>
      </c>
      <c r="B80" s="47" t="s">
        <v>137</v>
      </c>
      <c r="C80" s="47" t="s">
        <v>126</v>
      </c>
      <c r="D80" s="47">
        <v>3</v>
      </c>
      <c r="E80" s="47">
        <v>12</v>
      </c>
      <c r="F80" s="47">
        <v>3</v>
      </c>
      <c r="G80" s="47">
        <v>8929.78</v>
      </c>
      <c r="H80" s="49">
        <v>4949.45</v>
      </c>
      <c r="I80" s="50">
        <f t="shared" si="0"/>
      </c>
      <c r="J80" s="50">
        <f t="shared" si="1"/>
      </c>
      <c r="K80" s="50">
        <f t="shared" si="2"/>
      </c>
      <c r="L80" s="51"/>
      <c r="M80" s="47"/>
    </row>
    <row customHeight="true" ht="16.071428571428573" r="81">
      <c r="A81" s="52">
        <v>46293</v>
      </c>
      <c r="B81" s="53" t="s">
        <v>118</v>
      </c>
      <c r="C81" s="54"/>
      <c r="D81" s="54">
        <f>SUM(D79:D80)</f>
      </c>
      <c r="E81" s="54">
        <f>SUM(E79:E80)</f>
      </c>
      <c r="F81" s="54">
        <f>SUM(F79:F80)</f>
      </c>
      <c r="G81" s="54">
        <f>SUM(G79:G80)</f>
      </c>
      <c r="H81" s="57">
        <f>SUM(H79:H80)</f>
      </c>
      <c r="I81" s="55">
        <f t="shared" si="0"/>
      </c>
      <c r="J81" s="55">
        <f t="shared" si="1"/>
      </c>
      <c r="K81" s="55">
        <f t="shared" si="2"/>
      </c>
      <c r="L81" s="55"/>
      <c r="M81" s="54">
        <f>SUM(M79)</f>
      </c>
    </row>
    <row r="82">
      <c r="A82" s="46">
        <v>46294</v>
      </c>
      <c r="B82" s="47" t="s">
        <v>113</v>
      </c>
      <c r="C82" s="47" t="s">
        <v>132</v>
      </c>
      <c r="D82" s="47">
        <v>3</v>
      </c>
      <c r="E82" s="47">
        <v>25</v>
      </c>
      <c r="F82" s="47">
        <v>7</v>
      </c>
      <c r="G82" s="49">
        <v>14202.08</v>
      </c>
      <c r="H82" s="47">
        <v>8877.47</v>
      </c>
      <c r="I82" s="50">
        <f t="shared" si="0"/>
      </c>
      <c r="J82" s="50">
        <f t="shared" si="1"/>
      </c>
      <c r="K82" s="50">
        <f t="shared" si="2"/>
      </c>
      <c r="L82" s="51" t="s">
        <v>119</v>
      </c>
      <c r="M82" s="47">
        <v>7</v>
      </c>
    </row>
    <row customHeight="true" ht="16.071428571428573" r="83">
      <c r="A83" s="46">
        <v>46294</v>
      </c>
      <c r="B83" s="47" t="s">
        <v>137</v>
      </c>
      <c r="C83" s="47" t="s">
        <v>138</v>
      </c>
      <c r="D83" s="47">
        <v>4</v>
      </c>
      <c r="E83" s="47">
        <v>25</v>
      </c>
      <c r="F83" s="47">
        <v>5</v>
      </c>
      <c r="G83" s="47">
        <v>19929.52</v>
      </c>
      <c r="H83" s="49">
        <v>14088.86</v>
      </c>
      <c r="I83" s="50">
        <f t="shared" si="0"/>
      </c>
      <c r="J83" s="50">
        <f t="shared" si="1"/>
      </c>
      <c r="K83" s="50">
        <f t="shared" si="2"/>
      </c>
      <c r="L83" s="51"/>
      <c r="M83" s="47"/>
    </row>
    <row customHeight="true" ht="16.071428571428573" r="84">
      <c r="A84" s="52">
        <v>46294</v>
      </c>
      <c r="B84" s="53" t="s">
        <v>118</v>
      </c>
      <c r="C84" s="54"/>
      <c r="D84" s="54">
        <f>SUM(D82:D83)</f>
      </c>
      <c r="E84" s="54">
        <f>SUM(E82:E83)</f>
      </c>
      <c r="F84" s="54">
        <f>SUM(F82:F83)</f>
      </c>
      <c r="G84" s="54">
        <f>SUM(G82:G83)</f>
      </c>
      <c r="H84" s="57">
        <f>SUM(H82:H83)</f>
      </c>
      <c r="I84" s="55">
        <f t="shared" si="0"/>
      </c>
      <c r="J84" s="55">
        <f t="shared" si="1"/>
      </c>
      <c r="K84" s="55">
        <f t="shared" si="2"/>
      </c>
      <c r="L84" s="55"/>
      <c r="M84" s="54">
        <f>SUM(M82)</f>
      </c>
    </row>
    <row customHeight="true" ht="16.071428571428573" r="85">
      <c r="A85" s="46">
        <v>46295</v>
      </c>
      <c r="B85" s="47" t="s">
        <v>113</v>
      </c>
      <c r="C85" s="47" t="s">
        <v>132</v>
      </c>
      <c r="D85" s="47">
        <v>3</v>
      </c>
      <c r="E85" s="47">
        <v>23</v>
      </c>
      <c r="F85" s="47">
        <v>4</v>
      </c>
      <c r="G85" s="49">
        <v>21191.58</v>
      </c>
      <c r="H85" s="47">
        <v>9050.4</v>
      </c>
      <c r="I85" s="50">
        <f t="shared" si="0"/>
      </c>
      <c r="J85" s="50">
        <f t="shared" si="1"/>
      </c>
      <c r="K85" s="50">
        <f t="shared" si="2"/>
      </c>
      <c r="L85" s="51" t="s">
        <v>119</v>
      </c>
      <c r="M85" s="47">
        <v>7</v>
      </c>
    </row>
    <row customHeight="true" ht="16.071428571428573" r="86">
      <c r="A86" s="46">
        <v>46295</v>
      </c>
      <c r="B86" s="47" t="s">
        <v>137</v>
      </c>
      <c r="C86" s="47" t="s">
        <v>138</v>
      </c>
      <c r="D86" s="47">
        <v>4</v>
      </c>
      <c r="E86" s="47">
        <v>46</v>
      </c>
      <c r="F86" s="47">
        <v>10</v>
      </c>
      <c r="G86" s="47">
        <v>34116.14</v>
      </c>
      <c r="H86" s="49">
        <v>13589.1</v>
      </c>
      <c r="I86" s="50">
        <f t="shared" si="0"/>
      </c>
      <c r="J86" s="50">
        <f t="shared" si="1"/>
      </c>
      <c r="K86" s="50">
        <f t="shared" si="2"/>
      </c>
      <c r="L86" s="51"/>
      <c r="M86" s="47"/>
    </row>
    <row customHeight="true" ht="16.071428571428573" r="87">
      <c r="A87" s="52">
        <v>46295</v>
      </c>
      <c r="B87" s="53" t="s">
        <v>118</v>
      </c>
      <c r="C87" s="54"/>
      <c r="D87" s="54">
        <f>SUM(D85:D86)</f>
      </c>
      <c r="E87" s="54">
        <f>SUM(E85:E86)</f>
      </c>
      <c r="F87" s="54">
        <f>SUM(F85:F86)</f>
      </c>
      <c r="G87" s="54">
        <f>SUM(G85:G86)</f>
      </c>
      <c r="H87" s="57">
        <f>SUM(H85:H86)</f>
      </c>
      <c r="I87" s="55">
        <f t="shared" si="0"/>
      </c>
      <c r="J87" s="55">
        <f t="shared" si="1"/>
      </c>
      <c r="K87" s="55">
        <f t="shared" si="2"/>
      </c>
      <c r="L87" s="55"/>
      <c r="M87" s="54">
        <f>SUM(M85)</f>
      </c>
    </row>
    <row customHeight="true" ht="16.071428571428573" r="88">
      <c r="C88" s="58"/>
    </row>
    <row customHeight="true" ht="16.071428571428573" r="89">
      <c r="C89" s="58"/>
    </row>
    <row customHeight="true" ht="16.071428571428573" r="90">
      <c r="C90" s="58"/>
    </row>
    <row customHeight="true" ht="16.071428571428573" r="91">
      <c r="C91" s="58"/>
    </row>
    <row customHeight="true" ht="16.071428571428573" r="92">
      <c r="C92" s="58"/>
    </row>
    <row r="93">
      <c r="C93" s="58"/>
    </row>
    <row r="94">
      <c r="C94" s="58"/>
      <c r="K94" t="s">
        <v>111</v>
      </c>
      <c r="L94" t="s">
        <v>139</v>
      </c>
    </row>
    <row r="95">
      <c r="C95" s="58"/>
      <c r="G95" s="59"/>
      <c r="H95" s="59"/>
      <c r="K95" t="s">
        <v>115</v>
      </c>
      <c r="L95">
        <v>6</v>
      </c>
    </row>
    <row r="96">
      <c r="G96" s="60"/>
      <c r="H96" s="60"/>
      <c r="K96" t="s">
        <v>131</v>
      </c>
      <c r="L96">
        <v>7</v>
      </c>
    </row>
    <row r="97">
      <c r="G97" s="60"/>
      <c r="H97" s="60"/>
      <c r="K97" t="s">
        <v>120</v>
      </c>
      <c r="L97">
        <v>16</v>
      </c>
    </row>
    <row r="98">
      <c r="G98" s="60"/>
      <c r="H98" s="60"/>
      <c r="K98" t="s">
        <v>119</v>
      </c>
      <c r="L98">
        <v>132</v>
      </c>
    </row>
    <row r="99">
      <c r="G99" s="60"/>
      <c r="H99" s="60"/>
      <c r="K99" t="s">
        <v>123</v>
      </c>
      <c r="L99">
        <v>22</v>
      </c>
    </row>
    <row r="100">
      <c r="G100" s="60"/>
      <c r="H100" s="60"/>
      <c r="K100" t="s">
        <v>121</v>
      </c>
      <c r="L100">
        <v>6</v>
      </c>
    </row>
    <row r="101">
      <c r="G101" s="60"/>
      <c r="H101" s="60"/>
      <c r="K101" t="s">
        <v>140</v>
      </c>
      <c r="L101">
        <v>189</v>
      </c>
    </row>
    <row r="102">
      <c r="E102" s="56"/>
    </row>
    <row r="103"/>
    <row r="104"/>
    <row r="105"/>
    <row r="106"/>
    <row r="107">
      <c r="D107" s="56"/>
    </row>
  </sheetData>
  <autoFilter ref="A1:N87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</cols>
  <sheetData>
    <row customHeight="true" ht="16.071428571428573" r="1">
      <c r="A1" s="61" t="s">
        <v>141</v>
      </c>
      <c r="B1" s="61" t="s">
        <v>142</v>
      </c>
      <c r="C1" s="61" t="s">
        <v>143</v>
      </c>
      <c r="D1" s="61" t="s">
        <v>144</v>
      </c>
      <c r="E1" s="61" t="s">
        <v>145</v>
      </c>
      <c r="F1" s="61" t="s">
        <v>146</v>
      </c>
      <c r="G1" s="61" t="s">
        <v>147</v>
      </c>
      <c r="H1" s="61" t="s">
        <v>148</v>
      </c>
      <c r="I1" s="62" t="s">
        <v>149</v>
      </c>
      <c r="J1" s="62" t="s">
        <v>150</v>
      </c>
      <c r="K1" s="62" t="s">
        <v>151</v>
      </c>
      <c r="L1" s="62" t="s">
        <v>152</v>
      </c>
      <c r="M1" s="61" t="s">
        <v>153</v>
      </c>
      <c r="N1" s="61" t="s">
        <v>154</v>
      </c>
    </row>
    <row hidden="true" r="2">
      <c r="A2" s="63">
        <v>46296</v>
      </c>
      <c r="B2" s="64" t="s">
        <v>155</v>
      </c>
      <c r="C2" s="64" t="s">
        <v>156</v>
      </c>
      <c r="D2" s="64">
        <v>5</v>
      </c>
      <c r="E2" s="64">
        <v>125</v>
      </c>
      <c r="F2" s="64">
        <v>41</v>
      </c>
      <c r="G2" s="64">
        <v>81258.94</v>
      </c>
      <c r="H2" s="65">
        <v>22626.64</v>
      </c>
      <c r="I2" s="66">
        <f t="shared" ref="I2:I80" si="1">G2/H2</f>
      </c>
      <c r="J2" s="66">
        <f t="shared" ref="J2:J80" si="2">G2/E2</f>
      </c>
      <c r="K2" s="66">
        <f t="shared" ref="K2:K80" si="3">H2/E2</f>
      </c>
      <c r="L2" s="67" t="s">
        <v>157</v>
      </c>
      <c r="M2" s="64">
        <v>5</v>
      </c>
      <c r="N2" s="64"/>
    </row>
    <row hidden="true" r="3">
      <c r="A3" s="68">
        <v>46296</v>
      </c>
      <c r="B3" s="69" t="s">
        <v>158</v>
      </c>
      <c r="C3" s="70"/>
      <c r="D3" s="70">
        <f>SUM(D2)</f>
      </c>
      <c r="E3" s="70">
        <f>SUM(E2)</f>
      </c>
      <c r="F3" s="70">
        <f>SUM(F2)</f>
      </c>
      <c r="G3" s="70">
        <f>SUM(G2)</f>
      </c>
      <c r="H3" s="70">
        <f>SUM(H2)</f>
      </c>
      <c r="I3" s="71">
        <f t="shared" si="1"/>
      </c>
      <c r="J3" s="71">
        <f t="shared" si="2"/>
      </c>
      <c r="K3" s="71">
        <f t="shared" si="3"/>
      </c>
      <c r="L3" s="71"/>
      <c r="M3" s="70">
        <f>SUM(M1:M2)</f>
      </c>
      <c r="N3" s="71"/>
    </row>
    <row hidden="true" r="4">
      <c r="A4" s="63">
        <v>46297</v>
      </c>
      <c r="B4" s="64" t="s">
        <v>159</v>
      </c>
      <c r="C4" s="64" t="s">
        <v>160</v>
      </c>
      <c r="D4" s="64">
        <v>4</v>
      </c>
      <c r="E4" s="64">
        <v>26</v>
      </c>
      <c r="F4" s="64">
        <v>6</v>
      </c>
      <c r="G4" s="64">
        <v>17794.02</v>
      </c>
      <c r="H4" s="65">
        <v>12967.53</v>
      </c>
      <c r="I4" s="66">
        <f t="shared" si="1"/>
      </c>
      <c r="J4" s="66">
        <f t="shared" si="2"/>
      </c>
      <c r="K4" s="66">
        <f t="shared" si="3"/>
      </c>
      <c r="L4" s="67" t="s">
        <v>161</v>
      </c>
      <c r="M4" s="64">
        <v>4</v>
      </c>
      <c r="N4" s="64"/>
    </row>
    <row customHeight="true" hidden="true" ht="16.071428571428573" r="5">
      <c r="A5" s="63">
        <v>46297</v>
      </c>
      <c r="B5" s="64" t="s">
        <v>162</v>
      </c>
      <c r="C5" s="64" t="s">
        <v>163</v>
      </c>
      <c r="D5" s="64">
        <v>4</v>
      </c>
      <c r="E5" s="64">
        <v>39</v>
      </c>
      <c r="F5" s="64">
        <v>5</v>
      </c>
      <c r="G5" s="64">
        <v>33785.44</v>
      </c>
      <c r="H5" s="65">
        <v>14281.06</v>
      </c>
      <c r="I5" s="66">
        <f t="shared" si="1"/>
      </c>
      <c r="J5" s="66">
        <f t="shared" si="2"/>
      </c>
      <c r="K5" s="66">
        <f t="shared" si="3"/>
      </c>
      <c r="L5" s="67" t="s">
        <v>157</v>
      </c>
      <c r="M5" s="64">
        <v>7</v>
      </c>
      <c r="N5" s="64"/>
    </row>
    <row customHeight="true" hidden="true" ht="16.071428571428573" r="6">
      <c r="A6" s="63">
        <v>46297</v>
      </c>
      <c r="B6" s="64" t="s">
        <v>164</v>
      </c>
      <c r="C6" s="64" t="s">
        <v>165</v>
      </c>
      <c r="D6" s="64">
        <v>3</v>
      </c>
      <c r="E6" s="64">
        <v>17</v>
      </c>
      <c r="F6" s="64">
        <v>4</v>
      </c>
      <c r="G6" s="64">
        <v>8150.7</v>
      </c>
      <c r="H6" s="65">
        <v>11769.48</v>
      </c>
      <c r="I6" s="66">
        <f t="shared" si="1"/>
      </c>
      <c r="J6" s="66">
        <f t="shared" si="2"/>
      </c>
      <c r="K6" s="66">
        <f t="shared" si="3"/>
      </c>
      <c r="L6" s="67"/>
      <c r="M6" s="64"/>
      <c r="N6" s="64"/>
    </row>
    <row hidden="true" r="7">
      <c r="A7" s="68">
        <v>46297</v>
      </c>
      <c r="B7" s="69" t="s">
        <v>158</v>
      </c>
      <c r="C7" s="70"/>
      <c r="D7" s="70">
        <f>SUM(D4:D6)</f>
      </c>
      <c r="E7" s="70">
        <f>SUM(E4:E6)</f>
      </c>
      <c r="F7" s="70">
        <f>SUM(F4:F6)</f>
      </c>
      <c r="G7" s="70">
        <f>SUM(G4:G6)</f>
      </c>
      <c r="H7" s="70">
        <f>SUM(H4:H6)</f>
      </c>
      <c r="I7" s="71">
        <f t="shared" si="1"/>
      </c>
      <c r="J7" s="71">
        <f t="shared" si="2"/>
      </c>
      <c r="K7" s="71">
        <f t="shared" si="3"/>
      </c>
      <c r="L7" s="71"/>
      <c r="M7" s="70">
        <f>SUM(M4:M6)</f>
      </c>
      <c r="N7" s="71"/>
    </row>
    <row hidden="true" r="8">
      <c r="A8" s="63">
        <v>46298</v>
      </c>
      <c r="B8" s="64" t="s">
        <v>159</v>
      </c>
      <c r="C8" s="64" t="s">
        <v>160</v>
      </c>
      <c r="D8" s="64">
        <v>4</v>
      </c>
      <c r="E8" s="64">
        <v>32</v>
      </c>
      <c r="F8" s="64">
        <v>3</v>
      </c>
      <c r="G8" s="64">
        <v>19913.6</v>
      </c>
      <c r="H8" s="65">
        <v>13949.36</v>
      </c>
      <c r="I8" s="66">
        <f t="shared" si="1"/>
      </c>
      <c r="J8" s="66">
        <f t="shared" si="2"/>
      </c>
      <c r="K8" s="66">
        <f t="shared" si="3"/>
      </c>
      <c r="L8" s="67" t="s">
        <v>166</v>
      </c>
      <c r="M8" s="64">
        <v>12</v>
      </c>
      <c r="N8" s="64"/>
    </row>
    <row hidden="true" r="9">
      <c r="A9" s="63">
        <v>46298</v>
      </c>
      <c r="B9" s="64" t="s">
        <v>162</v>
      </c>
      <c r="C9" s="64" t="s">
        <v>163</v>
      </c>
      <c r="D9" s="64">
        <v>4</v>
      </c>
      <c r="E9" s="64">
        <v>45</v>
      </c>
      <c r="F9" s="64">
        <v>4</v>
      </c>
      <c r="G9" s="64">
        <v>25521.26</v>
      </c>
      <c r="H9" s="65">
        <v>16713.7</v>
      </c>
      <c r="I9" s="66">
        <f t="shared" si="1"/>
      </c>
      <c r="J9" s="66">
        <f t="shared" si="2"/>
      </c>
      <c r="K9" s="66">
        <f t="shared" si="3"/>
      </c>
      <c r="L9" s="67"/>
      <c r="M9" s="64"/>
      <c r="N9" s="64"/>
    </row>
    <row hidden="true" r="10">
      <c r="A10" s="63">
        <v>46298</v>
      </c>
      <c r="B10" s="64" t="s">
        <v>164</v>
      </c>
      <c r="C10" s="64" t="s">
        <v>165</v>
      </c>
      <c r="D10" s="64">
        <v>4</v>
      </c>
      <c r="E10" s="64">
        <v>39</v>
      </c>
      <c r="F10" s="64">
        <v>3</v>
      </c>
      <c r="G10" s="64">
        <v>23104.72</v>
      </c>
      <c r="H10" s="65">
        <v>15202.9</v>
      </c>
      <c r="I10" s="66">
        <f t="shared" si="1"/>
      </c>
      <c r="J10" s="66">
        <f t="shared" si="2"/>
      </c>
      <c r="K10" s="66">
        <f t="shared" si="3"/>
      </c>
      <c r="L10" s="67"/>
      <c r="M10" s="64"/>
      <c r="N10" s="64"/>
    </row>
    <row hidden="true" r="11">
      <c r="A11" s="68">
        <v>46298</v>
      </c>
      <c r="B11" s="69" t="s">
        <v>158</v>
      </c>
      <c r="C11" s="70"/>
      <c r="D11" s="70">
        <f>SUM(D8:D10)</f>
      </c>
      <c r="E11" s="70">
        <f>SUM(E8:E10)</f>
      </c>
      <c r="F11" s="70">
        <f>SUM(F8:F10)</f>
      </c>
      <c r="G11" s="70">
        <f>SUM(G8:G10)</f>
      </c>
      <c r="H11" s="70">
        <f>SUM(H8:H10)</f>
      </c>
      <c r="I11" s="71">
        <f t="shared" si="1"/>
      </c>
      <c r="J11" s="71">
        <f t="shared" si="2"/>
      </c>
      <c r="K11" s="71">
        <f t="shared" si="3"/>
      </c>
      <c r="L11" s="71"/>
      <c r="M11" s="70">
        <f>SUM(M8:M10)</f>
      </c>
      <c r="N11" s="71"/>
    </row>
    <row hidden="true" r="12">
      <c r="A12" s="63">
        <v>46299</v>
      </c>
      <c r="B12" s="64" t="s">
        <v>167</v>
      </c>
      <c r="C12" s="64" t="s">
        <v>160</v>
      </c>
      <c r="D12" s="64">
        <v>4</v>
      </c>
      <c r="E12" s="64">
        <v>28</v>
      </c>
      <c r="F12" s="64">
        <v>6</v>
      </c>
      <c r="G12" s="64">
        <v>20489</v>
      </c>
      <c r="H12" s="65">
        <v>10308.43</v>
      </c>
      <c r="I12" s="66">
        <f t="shared" si="1"/>
      </c>
      <c r="J12" s="66">
        <f t="shared" si="2"/>
      </c>
      <c r="K12" s="66">
        <f t="shared" si="3"/>
      </c>
      <c r="L12" s="67" t="s">
        <v>166</v>
      </c>
      <c r="M12" s="64">
        <v>12</v>
      </c>
      <c r="N12" s="64"/>
    </row>
    <row hidden="true" r="13">
      <c r="A13" s="63">
        <v>46299</v>
      </c>
      <c r="B13" s="64" t="s">
        <v>155</v>
      </c>
      <c r="C13" s="64" t="s">
        <v>163</v>
      </c>
      <c r="D13" s="64">
        <v>4</v>
      </c>
      <c r="E13" s="64">
        <v>65</v>
      </c>
      <c r="F13" s="64">
        <v>11</v>
      </c>
      <c r="G13" s="64">
        <v>43367.26</v>
      </c>
      <c r="H13" s="65">
        <v>17136.83</v>
      </c>
      <c r="I13" s="66">
        <f t="shared" si="1"/>
      </c>
      <c r="J13" s="66">
        <f t="shared" si="2"/>
      </c>
      <c r="K13" s="66">
        <f t="shared" si="3"/>
      </c>
      <c r="L13" s="67"/>
      <c r="M13" s="64"/>
      <c r="N13" s="64"/>
    </row>
    <row hidden="true" r="14">
      <c r="A14" s="63">
        <v>46299</v>
      </c>
      <c r="B14" s="64" t="s">
        <v>162</v>
      </c>
      <c r="C14" s="64" t="s">
        <v>165</v>
      </c>
      <c r="D14" s="64">
        <v>4</v>
      </c>
      <c r="E14" s="64">
        <v>104</v>
      </c>
      <c r="F14" s="64">
        <v>21</v>
      </c>
      <c r="G14" s="64">
        <v>56364.3</v>
      </c>
      <c r="H14" s="65">
        <v>34079.13</v>
      </c>
      <c r="I14" s="66">
        <f t="shared" si="1"/>
      </c>
      <c r="J14" s="66">
        <f t="shared" si="2"/>
      </c>
      <c r="K14" s="66">
        <f t="shared" si="3"/>
      </c>
      <c r="L14" s="67"/>
      <c r="M14" s="64"/>
      <c r="N14" s="64"/>
    </row>
    <row hidden="true" r="15">
      <c r="A15" s="68">
        <v>46299</v>
      </c>
      <c r="B15" s="69" t="s">
        <v>158</v>
      </c>
      <c r="C15" s="70"/>
      <c r="D15" s="70">
        <f>SUM(D12:D14)</f>
      </c>
      <c r="E15" s="70">
        <f>SUM(E12:E14)</f>
      </c>
      <c r="F15" s="70">
        <f>SUM(F12:F14)</f>
      </c>
      <c r="G15" s="70">
        <f>SUM(G12:G14)</f>
      </c>
      <c r="H15" s="70">
        <f>SUM(H12:H14)</f>
      </c>
      <c r="I15" s="71">
        <f t="shared" si="1"/>
      </c>
      <c r="J15" s="71">
        <f t="shared" si="2"/>
      </c>
      <c r="K15" s="71">
        <f t="shared" si="3"/>
      </c>
      <c r="L15" s="71"/>
      <c r="M15" s="70">
        <f>SUM(M12:M14)</f>
      </c>
      <c r="N15" s="71"/>
    </row>
    <row hidden="true" r="16">
      <c r="A16" s="63">
        <v>46300</v>
      </c>
      <c r="B16" s="64" t="s">
        <v>167</v>
      </c>
      <c r="C16" s="64" t="s">
        <v>160</v>
      </c>
      <c r="D16" s="64">
        <v>4</v>
      </c>
      <c r="E16" s="64">
        <v>24</v>
      </c>
      <c r="F16" s="64">
        <v>5</v>
      </c>
      <c r="G16" s="64">
        <v>15242.82</v>
      </c>
      <c r="H16" s="65">
        <v>12444.6</v>
      </c>
      <c r="I16" s="66">
        <f t="shared" si="1"/>
      </c>
      <c r="J16" s="66">
        <f t="shared" si="2"/>
      </c>
      <c r="K16" s="66">
        <f t="shared" si="3"/>
      </c>
      <c r="L16" s="72" t="s">
        <v>168</v>
      </c>
      <c r="M16" s="72">
        <v>3</v>
      </c>
      <c r="N16" s="64"/>
    </row>
    <row hidden="true" r="17">
      <c r="A17" s="63">
        <v>46300</v>
      </c>
      <c r="B17" s="64" t="s">
        <v>155</v>
      </c>
      <c r="C17" s="64" t="s">
        <v>163</v>
      </c>
      <c r="D17" s="64">
        <v>4</v>
      </c>
      <c r="E17" s="64">
        <v>51</v>
      </c>
      <c r="F17" s="64">
        <v>10</v>
      </c>
      <c r="G17" s="64">
        <v>34465.2</v>
      </c>
      <c r="H17" s="65">
        <v>13361.83</v>
      </c>
      <c r="I17" s="66">
        <f t="shared" si="1"/>
      </c>
      <c r="J17" s="66">
        <f t="shared" si="2"/>
      </c>
      <c r="K17" s="66">
        <f t="shared" si="3"/>
      </c>
      <c r="L17" s="67" t="s">
        <v>169</v>
      </c>
      <c r="M17" s="64">
        <v>1</v>
      </c>
      <c r="N17" s="64"/>
    </row>
    <row hidden="true" r="18">
      <c r="A18" s="63">
        <v>46300</v>
      </c>
      <c r="B18" s="64" t="s">
        <v>170</v>
      </c>
      <c r="C18" s="64" t="s">
        <v>165</v>
      </c>
      <c r="D18" s="64">
        <v>4</v>
      </c>
      <c r="E18" s="64">
        <v>60</v>
      </c>
      <c r="F18" s="64">
        <v>8</v>
      </c>
      <c r="G18" s="64">
        <v>34471.52</v>
      </c>
      <c r="H18" s="65">
        <v>18886.7</v>
      </c>
      <c r="I18" s="66">
        <f t="shared" si="1"/>
      </c>
      <c r="J18" s="66">
        <f t="shared" si="2"/>
      </c>
      <c r="K18" s="66">
        <f t="shared" si="3"/>
      </c>
      <c r="L18" s="67" t="s">
        <v>166</v>
      </c>
      <c r="M18" s="64">
        <v>8</v>
      </c>
      <c r="N18" s="64"/>
    </row>
    <row hidden="true" r="19">
      <c r="A19" s="68">
        <v>46300</v>
      </c>
      <c r="B19" s="69" t="s">
        <v>158</v>
      </c>
      <c r="C19" s="70"/>
      <c r="D19" s="70">
        <f>SUM(D16:D18)</f>
      </c>
      <c r="E19" s="70">
        <f>SUM(E16:E18)</f>
      </c>
      <c r="F19" s="70">
        <f>SUM(F16:F18)</f>
      </c>
      <c r="G19" s="70">
        <f>SUM(G16:G18)</f>
      </c>
      <c r="H19" s="70">
        <f>SUM(H16:H18)</f>
      </c>
      <c r="I19" s="71">
        <f t="shared" si="1"/>
      </c>
      <c r="J19" s="71">
        <f t="shared" si="2"/>
      </c>
      <c r="K19" s="71">
        <f t="shared" si="3"/>
      </c>
      <c r="L19" s="71"/>
      <c r="M19" s="70">
        <f>SUM(M16:M18)</f>
      </c>
      <c r="N19" s="71"/>
    </row>
    <row hidden="true" r="20">
      <c r="A20" s="63">
        <v>46301</v>
      </c>
      <c r="B20" s="64" t="s">
        <v>155</v>
      </c>
      <c r="C20" s="64" t="s">
        <v>160</v>
      </c>
      <c r="D20" s="64">
        <v>4</v>
      </c>
      <c r="E20" s="64">
        <v>44</v>
      </c>
      <c r="F20" s="64">
        <v>6</v>
      </c>
      <c r="G20" s="65">
        <v>23439.6</v>
      </c>
      <c r="H20" s="65">
        <v>13472.14</v>
      </c>
      <c r="I20" s="66">
        <f t="shared" si="1"/>
      </c>
      <c r="J20" s="66">
        <f t="shared" si="2"/>
      </c>
      <c r="K20" s="66">
        <f t="shared" si="3"/>
      </c>
      <c r="L20" s="72" t="s">
        <v>157</v>
      </c>
      <c r="M20" s="72">
        <v>4</v>
      </c>
      <c r="N20" s="64"/>
    </row>
    <row hidden="true" r="21">
      <c r="A21" s="63">
        <v>46301</v>
      </c>
      <c r="B21" s="64" t="s">
        <v>167</v>
      </c>
      <c r="C21" s="64" t="s">
        <v>163</v>
      </c>
      <c r="D21" s="64">
        <v>4</v>
      </c>
      <c r="E21" s="64">
        <v>51</v>
      </c>
      <c r="F21" s="64">
        <v>10</v>
      </c>
      <c r="G21" s="64">
        <v>30250.86</v>
      </c>
      <c r="H21" s="65">
        <v>18201.59</v>
      </c>
      <c r="I21" s="66">
        <f t="shared" si="1"/>
      </c>
      <c r="J21" s="66">
        <f t="shared" si="2"/>
      </c>
      <c r="K21" s="66">
        <f t="shared" si="3"/>
      </c>
      <c r="L21" s="67"/>
      <c r="M21" s="64"/>
      <c r="N21" s="64"/>
    </row>
    <row hidden="true" r="22">
      <c r="A22" s="63">
        <v>46301</v>
      </c>
      <c r="B22" s="64" t="s">
        <v>170</v>
      </c>
      <c r="C22" s="64" t="s">
        <v>165</v>
      </c>
      <c r="D22" s="64">
        <v>4</v>
      </c>
      <c r="E22" s="64">
        <v>44</v>
      </c>
      <c r="F22" s="64">
        <v>5</v>
      </c>
      <c r="G22" s="64">
        <v>18531.18</v>
      </c>
      <c r="H22" s="65">
        <v>16570.07</v>
      </c>
      <c r="I22" s="66">
        <f t="shared" si="1"/>
      </c>
      <c r="J22" s="66">
        <f t="shared" si="2"/>
      </c>
      <c r="K22" s="66">
        <f t="shared" si="3"/>
      </c>
      <c r="L22" s="67" t="s">
        <v>166</v>
      </c>
      <c r="M22" s="64">
        <v>8</v>
      </c>
      <c r="N22" s="64"/>
    </row>
    <row hidden="true" r="23">
      <c r="A23" s="68">
        <v>46301</v>
      </c>
      <c r="B23" s="69" t="s">
        <v>158</v>
      </c>
      <c r="C23" s="70"/>
      <c r="D23" s="70">
        <f>SUM(D20:D22)</f>
      </c>
      <c r="E23" s="70">
        <f>SUM(E20:E22)</f>
      </c>
      <c r="F23" s="70">
        <f>SUM(F20:F22)</f>
      </c>
      <c r="G23" s="70">
        <f>SUM(G20:G22)</f>
      </c>
      <c r="H23" s="70">
        <f>SUM(H20:H22)</f>
      </c>
      <c r="I23" s="71">
        <f t="shared" si="1"/>
      </c>
      <c r="J23" s="71">
        <f t="shared" si="2"/>
      </c>
      <c r="K23" s="71">
        <f t="shared" si="3"/>
      </c>
      <c r="L23" s="71"/>
      <c r="M23" s="70">
        <f>SUM(M20:M22)</f>
      </c>
      <c r="N23" s="71"/>
    </row>
    <row hidden="true" r="24">
      <c r="A24" s="63">
        <v>46302</v>
      </c>
      <c r="B24" s="64" t="s">
        <v>155</v>
      </c>
      <c r="C24" s="64" t="s">
        <v>160</v>
      </c>
      <c r="D24" s="64">
        <v>4</v>
      </c>
      <c r="E24" s="64">
        <v>50</v>
      </c>
      <c r="F24" s="64">
        <v>9</v>
      </c>
      <c r="G24" s="65">
        <v>29563.78</v>
      </c>
      <c r="H24" s="65">
        <v>13726.08</v>
      </c>
      <c r="I24" s="66">
        <f t="shared" si="1"/>
      </c>
      <c r="J24" s="66">
        <f t="shared" si="2"/>
      </c>
      <c r="K24" s="66">
        <f t="shared" si="3"/>
      </c>
      <c r="L24" s="72" t="s">
        <v>157</v>
      </c>
      <c r="M24" s="72">
        <v>4</v>
      </c>
      <c r="N24" s="64"/>
    </row>
    <row hidden="true" r="25">
      <c r="A25" s="63">
        <v>46302</v>
      </c>
      <c r="B25" s="64" t="s">
        <v>171</v>
      </c>
      <c r="C25" s="64" t="s">
        <v>163</v>
      </c>
      <c r="D25" s="64">
        <v>4</v>
      </c>
      <c r="E25" s="64">
        <v>56</v>
      </c>
      <c r="F25" s="64">
        <v>11</v>
      </c>
      <c r="G25" s="64">
        <v>42388.58</v>
      </c>
      <c r="H25" s="65">
        <v>16714</v>
      </c>
      <c r="I25" s="66">
        <f t="shared" si="1"/>
      </c>
      <c r="J25" s="66">
        <f t="shared" si="2"/>
      </c>
      <c r="K25" s="66">
        <f t="shared" si="3"/>
      </c>
      <c r="L25" s="67"/>
      <c r="M25" s="64"/>
      <c r="N25" s="64"/>
    </row>
    <row hidden="true" r="26">
      <c r="A26" s="63">
        <v>46302</v>
      </c>
      <c r="B26" s="64" t="s">
        <v>162</v>
      </c>
      <c r="C26" s="64" t="s">
        <v>165</v>
      </c>
      <c r="D26" s="64">
        <v>4</v>
      </c>
      <c r="E26" s="64">
        <v>127</v>
      </c>
      <c r="F26" s="64">
        <v>26</v>
      </c>
      <c r="G26" s="64">
        <v>72225.9</v>
      </c>
      <c r="H26" s="65">
        <v>30216.78</v>
      </c>
      <c r="I26" s="66">
        <f t="shared" si="1"/>
      </c>
      <c r="J26" s="66">
        <f t="shared" si="2"/>
      </c>
      <c r="K26" s="66">
        <f t="shared" si="3"/>
      </c>
      <c r="L26" s="67" t="s">
        <v>166</v>
      </c>
      <c r="M26" s="64">
        <v>8</v>
      </c>
      <c r="N26" s="64"/>
    </row>
    <row hidden="true" r="27">
      <c r="A27" s="68">
        <v>46302</v>
      </c>
      <c r="B27" s="69" t="s">
        <v>158</v>
      </c>
      <c r="C27" s="70"/>
      <c r="D27" s="70">
        <f>SUM(D24:D26)</f>
      </c>
      <c r="E27" s="70">
        <f>SUM(E24:E26)</f>
      </c>
      <c r="F27" s="70">
        <f>SUM(F24:F26)</f>
      </c>
      <c r="G27" s="70">
        <f>SUM(G24:G26)</f>
      </c>
      <c r="H27" s="70">
        <f>SUM(H24:H26)</f>
      </c>
      <c r="I27" s="71">
        <f t="shared" si="1"/>
      </c>
      <c r="J27" s="71">
        <f t="shared" si="2"/>
      </c>
      <c r="K27" s="71">
        <f t="shared" si="3"/>
      </c>
      <c r="L27" s="71"/>
      <c r="M27" s="70">
        <f>SUM(M24:M26)</f>
      </c>
      <c r="N27" s="71"/>
    </row>
    <row hidden="true" r="28">
      <c r="A28" s="63">
        <v>46303</v>
      </c>
      <c r="B28" s="64" t="s">
        <v>155</v>
      </c>
      <c r="C28" s="64" t="s">
        <v>172</v>
      </c>
      <c r="D28" s="64">
        <v>5</v>
      </c>
      <c r="E28" s="64">
        <v>49</v>
      </c>
      <c r="F28" s="64">
        <v>5</v>
      </c>
      <c r="G28" s="65">
        <v>26436.84</v>
      </c>
      <c r="H28" s="65">
        <v>18753.24</v>
      </c>
      <c r="I28" s="66">
        <f t="shared" si="1"/>
      </c>
      <c r="J28" s="66">
        <f t="shared" si="2"/>
      </c>
      <c r="K28" s="66">
        <f t="shared" si="3"/>
      </c>
      <c r="L28" s="72" t="s">
        <v>168</v>
      </c>
      <c r="M28" s="72">
        <v>8</v>
      </c>
      <c r="N28" s="64"/>
    </row>
    <row customHeight="true" hidden="true" ht="16.071428571428573" r="29">
      <c r="A29" s="63">
        <v>46303</v>
      </c>
      <c r="B29" s="64" t="s">
        <v>171</v>
      </c>
      <c r="C29" s="64" t="s">
        <v>160</v>
      </c>
      <c r="D29" s="64">
        <v>4</v>
      </c>
      <c r="E29" s="64">
        <v>44</v>
      </c>
      <c r="F29" s="64">
        <v>7</v>
      </c>
      <c r="G29" s="65">
        <v>27283.32</v>
      </c>
      <c r="H29" s="65">
        <v>12108.65</v>
      </c>
      <c r="I29" s="66">
        <f t="shared" si="1"/>
      </c>
      <c r="J29" s="66">
        <f t="shared" si="2"/>
      </c>
      <c r="K29" s="66">
        <f t="shared" si="3"/>
      </c>
      <c r="L29" s="72" t="s">
        <v>169</v>
      </c>
      <c r="M29" s="72">
        <v>1</v>
      </c>
      <c r="N29" s="64"/>
    </row>
    <row hidden="true" r="30">
      <c r="A30" s="63">
        <v>46303</v>
      </c>
      <c r="B30" s="64" t="s">
        <v>170</v>
      </c>
      <c r="C30" s="64" t="s">
        <v>163</v>
      </c>
      <c r="D30" s="64">
        <v>4</v>
      </c>
      <c r="E30" s="64">
        <v>25</v>
      </c>
      <c r="F30" s="64">
        <v>2</v>
      </c>
      <c r="G30" s="64">
        <v>14129.82</v>
      </c>
      <c r="H30" s="65">
        <v>10740.55</v>
      </c>
      <c r="I30" s="66">
        <f t="shared" si="1"/>
      </c>
      <c r="J30" s="66">
        <f t="shared" si="2"/>
      </c>
      <c r="K30" s="66">
        <f t="shared" si="3"/>
      </c>
      <c r="L30" s="67"/>
      <c r="M30" s="64"/>
      <c r="N30" s="64"/>
    </row>
    <row hidden="true" r="31">
      <c r="A31" s="63">
        <v>46303</v>
      </c>
      <c r="B31" s="64" t="s">
        <v>164</v>
      </c>
      <c r="C31" s="64" t="s">
        <v>173</v>
      </c>
      <c r="D31" s="64">
        <v>4</v>
      </c>
      <c r="E31" s="64">
        <v>21</v>
      </c>
      <c r="F31" s="64">
        <v>4</v>
      </c>
      <c r="G31" s="64">
        <v>14308.16</v>
      </c>
      <c r="H31" s="65">
        <v>8315.66</v>
      </c>
      <c r="I31" s="66">
        <f t="shared" si="1"/>
      </c>
      <c r="J31" s="66">
        <f t="shared" si="2"/>
      </c>
      <c r="K31" s="66">
        <f t="shared" si="3"/>
      </c>
      <c r="L31" s="67" t="s">
        <v>166</v>
      </c>
      <c r="M31" s="64">
        <v>8</v>
      </c>
      <c r="N31" s="64"/>
    </row>
    <row hidden="true" r="32">
      <c r="A32" s="68">
        <v>46303</v>
      </c>
      <c r="B32" s="69" t="s">
        <v>158</v>
      </c>
      <c r="C32" s="70"/>
      <c r="D32" s="70">
        <f>SUM(D28:D31)</f>
      </c>
      <c r="E32" s="70">
        <f>SUM(E28:E31)</f>
      </c>
      <c r="F32" s="70">
        <f>SUM(F28:F31)</f>
      </c>
      <c r="G32" s="70">
        <f>SUM(G28:G31)</f>
      </c>
      <c r="H32" s="70">
        <f>SUM(H28:H31)</f>
      </c>
      <c r="I32" s="71">
        <f t="shared" si="1"/>
      </c>
      <c r="J32" s="71">
        <f t="shared" si="2"/>
      </c>
      <c r="K32" s="71">
        <f t="shared" si="3"/>
      </c>
      <c r="L32" s="71"/>
      <c r="M32" s="70">
        <f>SUM(M28:M31)</f>
      </c>
      <c r="N32" s="71"/>
    </row>
    <row hidden="true" r="33">
      <c r="A33" s="63">
        <v>46304</v>
      </c>
      <c r="B33" s="64" t="s">
        <v>171</v>
      </c>
      <c r="C33" s="64" t="s">
        <v>172</v>
      </c>
      <c r="D33" s="64">
        <v>5</v>
      </c>
      <c r="E33" s="64">
        <v>47</v>
      </c>
      <c r="F33" s="64">
        <v>3</v>
      </c>
      <c r="G33" s="65">
        <v>24383.4</v>
      </c>
      <c r="H33" s="65">
        <v>13333.580000000002</v>
      </c>
      <c r="I33" s="66">
        <f t="shared" si="1"/>
      </c>
      <c r="J33" s="66">
        <f t="shared" si="2"/>
      </c>
      <c r="K33" s="66">
        <f t="shared" si="3"/>
      </c>
      <c r="L33" s="72" t="s">
        <v>168</v>
      </c>
      <c r="M33" s="72">
        <v>8</v>
      </c>
      <c r="N33" s="64"/>
    </row>
    <row hidden="true" r="34">
      <c r="A34" s="63">
        <v>46304</v>
      </c>
      <c r="B34" s="64" t="s">
        <v>162</v>
      </c>
      <c r="C34" s="64" t="s">
        <v>160</v>
      </c>
      <c r="D34" s="64">
        <v>4</v>
      </c>
      <c r="E34" s="64">
        <v>34</v>
      </c>
      <c r="F34" s="64">
        <v>6</v>
      </c>
      <c r="G34" s="65">
        <v>20165.38</v>
      </c>
      <c r="H34" s="65">
        <v>14168</v>
      </c>
      <c r="I34" s="66">
        <f t="shared" si="1"/>
      </c>
      <c r="J34" s="66">
        <f t="shared" si="2"/>
      </c>
      <c r="K34" s="66">
        <f t="shared" si="3"/>
      </c>
      <c r="L34" s="72" t="s">
        <v>169</v>
      </c>
      <c r="M34" s="72">
        <v>1</v>
      </c>
      <c r="N34" s="64"/>
    </row>
    <row hidden="true" r="35">
      <c r="A35" s="63">
        <v>46304</v>
      </c>
      <c r="B35" s="64" t="s">
        <v>170</v>
      </c>
      <c r="C35" s="64" t="s">
        <v>163</v>
      </c>
      <c r="D35" s="64">
        <v>4</v>
      </c>
      <c r="E35" s="64">
        <v>54</v>
      </c>
      <c r="F35" s="64">
        <v>8</v>
      </c>
      <c r="G35" s="64">
        <v>28192.54</v>
      </c>
      <c r="H35" s="65">
        <v>14245.9</v>
      </c>
      <c r="I35" s="66">
        <f t="shared" si="1"/>
      </c>
      <c r="J35" s="66">
        <f t="shared" si="2"/>
      </c>
      <c r="K35" s="66">
        <f t="shared" si="3"/>
      </c>
      <c r="L35" s="67"/>
      <c r="M35" s="64"/>
      <c r="N35" s="64"/>
    </row>
    <row hidden="true" r="36">
      <c r="A36" s="63">
        <v>46304</v>
      </c>
      <c r="B36" s="64" t="s">
        <v>167</v>
      </c>
      <c r="C36" s="64" t="s">
        <v>173</v>
      </c>
      <c r="D36" s="64">
        <v>4</v>
      </c>
      <c r="E36" s="64">
        <v>91</v>
      </c>
      <c r="F36" s="64">
        <v>14</v>
      </c>
      <c r="G36" s="64">
        <v>48325.16</v>
      </c>
      <c r="H36" s="65">
        <v>27345.7</v>
      </c>
      <c r="I36" s="66">
        <f t="shared" si="1"/>
      </c>
      <c r="J36" s="66">
        <f t="shared" si="2"/>
      </c>
      <c r="K36" s="66">
        <f t="shared" si="3"/>
      </c>
      <c r="L36" s="67" t="s">
        <v>166</v>
      </c>
      <c r="M36" s="64">
        <v>8</v>
      </c>
      <c r="N36" s="64"/>
    </row>
    <row hidden="true" r="37">
      <c r="A37" s="68">
        <v>46304</v>
      </c>
      <c r="B37" s="69" t="s">
        <v>158</v>
      </c>
      <c r="C37" s="70"/>
      <c r="D37" s="70">
        <f>SUM(D33:D36)</f>
      </c>
      <c r="E37" s="70">
        <f>SUM(E33:E36)</f>
      </c>
      <c r="F37" s="70">
        <f>SUM(F33:F36)</f>
      </c>
      <c r="G37" s="70">
        <f>SUM(G33:G36)</f>
      </c>
      <c r="H37" s="70">
        <f>SUM(H33:H36)</f>
      </c>
      <c r="I37" s="71">
        <f t="shared" si="1"/>
      </c>
      <c r="J37" s="71">
        <f t="shared" si="2"/>
      </c>
      <c r="K37" s="71">
        <f t="shared" si="3"/>
      </c>
      <c r="L37" s="71"/>
      <c r="M37" s="70">
        <f>SUM(M33:M36)</f>
      </c>
      <c r="N37" s="71"/>
    </row>
    <row hidden="true" r="38">
      <c r="A38" s="63">
        <v>46305</v>
      </c>
      <c r="B38" s="64" t="s">
        <v>171</v>
      </c>
      <c r="C38" s="64" t="s">
        <v>172</v>
      </c>
      <c r="D38" s="64">
        <v>5</v>
      </c>
      <c r="E38" s="64">
        <v>71</v>
      </c>
      <c r="F38" s="64">
        <v>8</v>
      </c>
      <c r="G38" s="65">
        <v>43585.34</v>
      </c>
      <c r="H38" s="65">
        <v>19772.66</v>
      </c>
      <c r="I38" s="66">
        <f t="shared" si="1"/>
      </c>
      <c r="J38" s="66">
        <f t="shared" si="2"/>
      </c>
      <c r="K38" s="66">
        <f t="shared" si="3"/>
      </c>
      <c r="L38" s="72" t="s">
        <v>168</v>
      </c>
      <c r="M38" s="72">
        <v>9</v>
      </c>
      <c r="N38" s="64"/>
    </row>
    <row hidden="true" r="39">
      <c r="A39" s="63">
        <v>46305</v>
      </c>
      <c r="B39" s="64" t="s">
        <v>162</v>
      </c>
      <c r="C39" s="64" t="s">
        <v>160</v>
      </c>
      <c r="D39" s="64">
        <v>4</v>
      </c>
      <c r="E39" s="64">
        <v>57</v>
      </c>
      <c r="F39" s="64">
        <v>5</v>
      </c>
      <c r="G39" s="65">
        <v>27158.76</v>
      </c>
      <c r="H39" s="65">
        <v>20699.54</v>
      </c>
      <c r="I39" s="66">
        <f t="shared" si="1"/>
      </c>
      <c r="J39" s="66">
        <f t="shared" si="2"/>
      </c>
      <c r="K39" s="66">
        <f t="shared" si="3"/>
      </c>
      <c r="L39" s="72"/>
      <c r="M39" s="72"/>
      <c r="N39" s="64"/>
    </row>
    <row hidden="true" r="40">
      <c r="A40" s="63">
        <v>46305</v>
      </c>
      <c r="B40" s="64" t="s">
        <v>167</v>
      </c>
      <c r="C40" s="64" t="s">
        <v>163</v>
      </c>
      <c r="D40" s="64">
        <v>4</v>
      </c>
      <c r="E40" s="64">
        <v>30</v>
      </c>
      <c r="F40" s="64">
        <v>1</v>
      </c>
      <c r="G40" s="64">
        <v>14945.16</v>
      </c>
      <c r="H40" s="65">
        <v>11586.19</v>
      </c>
      <c r="I40" s="66">
        <f t="shared" si="1"/>
      </c>
      <c r="J40" s="66">
        <f t="shared" si="2"/>
      </c>
      <c r="K40" s="66">
        <f t="shared" si="3"/>
      </c>
      <c r="L40" s="67"/>
      <c r="M40" s="64"/>
      <c r="N40" s="64"/>
    </row>
    <row hidden="true" r="41">
      <c r="A41" s="63">
        <v>46305</v>
      </c>
      <c r="B41" s="64" t="s">
        <v>164</v>
      </c>
      <c r="C41" s="64" t="s">
        <v>173</v>
      </c>
      <c r="D41" s="64">
        <v>4</v>
      </c>
      <c r="E41" s="64">
        <v>42</v>
      </c>
      <c r="F41" s="64">
        <v>7</v>
      </c>
      <c r="G41" s="64">
        <v>26746.14</v>
      </c>
      <c r="H41" s="65">
        <v>14514.35</v>
      </c>
      <c r="I41" s="66">
        <f t="shared" si="1"/>
      </c>
      <c r="J41" s="66">
        <f t="shared" si="2"/>
      </c>
      <c r="K41" s="66">
        <f t="shared" si="3"/>
      </c>
      <c r="L41" s="67" t="s">
        <v>161</v>
      </c>
      <c r="M41" s="64">
        <v>8</v>
      </c>
      <c r="N41" s="64"/>
    </row>
    <row hidden="true" r="42">
      <c r="A42" s="68">
        <v>46305</v>
      </c>
      <c r="B42" s="69" t="s">
        <v>158</v>
      </c>
      <c r="C42" s="70"/>
      <c r="D42" s="70">
        <f>SUM(D38:D41)</f>
      </c>
      <c r="E42" s="70">
        <f>SUM(E38:E41)</f>
      </c>
      <c r="F42" s="70">
        <f>SUM(F38:F41)</f>
      </c>
      <c r="G42" s="70">
        <f>SUM(G38:G41)</f>
      </c>
      <c r="H42" s="70">
        <f>SUM(H38:H41)</f>
      </c>
      <c r="I42" s="71">
        <f t="shared" si="1"/>
      </c>
      <c r="J42" s="71">
        <f t="shared" si="2"/>
      </c>
      <c r="K42" s="71">
        <f t="shared" si="3"/>
      </c>
      <c r="L42" s="71"/>
      <c r="M42" s="70">
        <f>SUM(M38:M41)</f>
      </c>
      <c r="N42" s="71"/>
    </row>
    <row hidden="true" r="43">
      <c r="A43" s="63">
        <v>46306</v>
      </c>
      <c r="B43" s="64" t="s">
        <v>162</v>
      </c>
      <c r="C43" s="64" t="s">
        <v>172</v>
      </c>
      <c r="D43" s="64">
        <v>5</v>
      </c>
      <c r="E43" s="64">
        <v>60</v>
      </c>
      <c r="F43" s="64">
        <v>1</v>
      </c>
      <c r="G43" s="65">
        <v>38492.54</v>
      </c>
      <c r="H43" s="65">
        <v>19880.21</v>
      </c>
      <c r="I43" s="66">
        <f t="shared" si="1"/>
      </c>
      <c r="J43" s="66">
        <f t="shared" si="2"/>
      </c>
      <c r="K43" s="66">
        <f t="shared" si="3"/>
      </c>
      <c r="L43" s="72" t="s">
        <v>168</v>
      </c>
      <c r="M43" s="72">
        <v>9</v>
      </c>
      <c r="N43" s="64"/>
    </row>
    <row hidden="true" r="44">
      <c r="A44" s="63">
        <v>46306</v>
      </c>
      <c r="B44" s="64" t="s">
        <v>171</v>
      </c>
      <c r="C44" s="64" t="s">
        <v>160</v>
      </c>
      <c r="D44" s="64">
        <v>4</v>
      </c>
      <c r="E44" s="64">
        <v>88</v>
      </c>
      <c r="F44" s="64">
        <v>8</v>
      </c>
      <c r="G44" s="65">
        <v>41973.68</v>
      </c>
      <c r="H44" s="65">
        <v>19940.49</v>
      </c>
      <c r="I44" s="66">
        <f t="shared" si="1"/>
      </c>
      <c r="J44" s="66">
        <f t="shared" si="2"/>
      </c>
      <c r="K44" s="66">
        <f t="shared" si="3"/>
      </c>
      <c r="L44" s="72"/>
      <c r="M44" s="72"/>
      <c r="N44" s="64"/>
    </row>
    <row hidden="true" r="45">
      <c r="A45" s="63">
        <v>46306</v>
      </c>
      <c r="B45" s="64" t="s">
        <v>170</v>
      </c>
      <c r="C45" s="64" t="s">
        <v>163</v>
      </c>
      <c r="D45" s="64">
        <v>4</v>
      </c>
      <c r="E45" s="64">
        <v>30</v>
      </c>
      <c r="F45" s="64">
        <v>3</v>
      </c>
      <c r="G45" s="64">
        <v>19312.34</v>
      </c>
      <c r="H45" s="65">
        <v>15264.43</v>
      </c>
      <c r="I45" s="66">
        <f t="shared" si="1"/>
      </c>
      <c r="J45" s="66">
        <f t="shared" si="2"/>
      </c>
      <c r="K45" s="66">
        <f t="shared" si="3"/>
      </c>
      <c r="L45" s="67"/>
      <c r="M45" s="64"/>
      <c r="N45" s="64"/>
    </row>
    <row hidden="true" r="46">
      <c r="A46" s="63">
        <v>46306</v>
      </c>
      <c r="B46" s="64" t="s">
        <v>164</v>
      </c>
      <c r="C46" s="64" t="s">
        <v>173</v>
      </c>
      <c r="D46" s="64">
        <v>4</v>
      </c>
      <c r="E46" s="64">
        <v>55</v>
      </c>
      <c r="F46" s="64">
        <v>6</v>
      </c>
      <c r="G46" s="64">
        <v>28085.22</v>
      </c>
      <c r="H46" s="65">
        <v>15501.75</v>
      </c>
      <c r="I46" s="66">
        <f t="shared" si="1"/>
      </c>
      <c r="J46" s="66">
        <f t="shared" si="2"/>
      </c>
      <c r="K46" s="66">
        <f t="shared" si="3"/>
      </c>
      <c r="L46" s="67" t="s">
        <v>161</v>
      </c>
      <c r="M46" s="64">
        <v>8</v>
      </c>
      <c r="N46" s="64"/>
    </row>
    <row hidden="true" r="47">
      <c r="A47" s="68">
        <v>46306</v>
      </c>
      <c r="B47" s="69" t="s">
        <v>158</v>
      </c>
      <c r="C47" s="70"/>
      <c r="D47" s="70">
        <f>SUM(D43:D46)</f>
      </c>
      <c r="E47" s="70">
        <f>SUM(E43:E46)</f>
      </c>
      <c r="F47" s="70">
        <f>SUM(F43:F46)</f>
      </c>
      <c r="G47" s="70">
        <f>SUM(G43:G46)</f>
      </c>
      <c r="H47" s="70">
        <f>SUM(H43:H46)</f>
      </c>
      <c r="I47" s="71">
        <f t="shared" si="1"/>
      </c>
      <c r="J47" s="71">
        <f t="shared" si="2"/>
      </c>
      <c r="K47" s="71">
        <f t="shared" si="3"/>
      </c>
      <c r="L47" s="71"/>
      <c r="M47" s="70">
        <f>SUM(M43:M46)</f>
      </c>
      <c r="N47" s="71"/>
    </row>
    <row hidden="true" r="48">
      <c r="A48" s="63">
        <v>46307</v>
      </c>
      <c r="B48" s="64" t="s">
        <v>171</v>
      </c>
      <c r="C48" s="64" t="s">
        <v>174</v>
      </c>
      <c r="D48" s="64">
        <v>4</v>
      </c>
      <c r="E48" s="64">
        <v>32</v>
      </c>
      <c r="F48" s="64">
        <v>3</v>
      </c>
      <c r="G48" s="65">
        <v>15122.78</v>
      </c>
      <c r="H48" s="65">
        <v>10948.19</v>
      </c>
      <c r="I48" s="66">
        <f t="shared" si="1"/>
      </c>
      <c r="J48" s="66">
        <f t="shared" si="2"/>
      </c>
      <c r="K48" s="66">
        <f t="shared" si="3"/>
      </c>
      <c r="L48" s="72" t="s">
        <v>166</v>
      </c>
      <c r="M48" s="72">
        <v>9</v>
      </c>
      <c r="N48" s="64"/>
    </row>
    <row hidden="true" r="49">
      <c r="A49" s="63">
        <v>46307</v>
      </c>
      <c r="B49" s="64" t="s">
        <v>167</v>
      </c>
      <c r="C49" s="64" t="s">
        <v>175</v>
      </c>
      <c r="D49" s="64">
        <v>5</v>
      </c>
      <c r="E49" s="64">
        <v>26</v>
      </c>
      <c r="F49" s="64">
        <v>3</v>
      </c>
      <c r="G49" s="65">
        <v>15574.08</v>
      </c>
      <c r="H49" s="65">
        <v>11265.17</v>
      </c>
      <c r="I49" s="66">
        <f t="shared" si="1"/>
      </c>
      <c r="J49" s="66">
        <f t="shared" si="2"/>
      </c>
      <c r="K49" s="66">
        <f t="shared" si="3"/>
      </c>
      <c r="L49" s="72"/>
      <c r="M49" s="72"/>
      <c r="N49" s="64"/>
    </row>
    <row hidden="true" r="50">
      <c r="A50" s="63">
        <v>46307</v>
      </c>
      <c r="B50" s="64" t="s">
        <v>171</v>
      </c>
      <c r="C50" s="64" t="s">
        <v>163</v>
      </c>
      <c r="D50" s="64">
        <v>4</v>
      </c>
      <c r="E50" s="64">
        <v>32</v>
      </c>
      <c r="F50" s="64">
        <v>3</v>
      </c>
      <c r="G50" s="64">
        <v>18058.2</v>
      </c>
      <c r="H50" s="65">
        <v>11179.01</v>
      </c>
      <c r="I50" s="66">
        <f t="shared" si="1"/>
      </c>
      <c r="J50" s="66">
        <f t="shared" si="2"/>
      </c>
      <c r="K50" s="66">
        <f t="shared" si="3"/>
      </c>
      <c r="L50" s="67"/>
      <c r="M50" s="64"/>
      <c r="N50" s="64"/>
    </row>
    <row r="51">
      <c r="A51" s="63">
        <v>46307</v>
      </c>
      <c r="B51" s="64" t="s">
        <v>164</v>
      </c>
      <c r="C51" s="64" t="s">
        <v>173</v>
      </c>
      <c r="D51" s="64">
        <v>4</v>
      </c>
      <c r="E51" s="64">
        <v>25</v>
      </c>
      <c r="F51" s="64">
        <v>2</v>
      </c>
      <c r="G51" s="64">
        <v>17617.52</v>
      </c>
      <c r="H51" s="65">
        <v>11141.61</v>
      </c>
      <c r="I51" s="66">
        <f t="shared" si="1"/>
      </c>
      <c r="J51" s="66">
        <f t="shared" si="2"/>
      </c>
      <c r="K51" s="66">
        <f t="shared" si="3"/>
      </c>
      <c r="L51" s="67" t="s">
        <v>161</v>
      </c>
      <c r="M51" s="64">
        <v>8</v>
      </c>
      <c r="N51" s="64"/>
    </row>
    <row hidden="true" r="52">
      <c r="A52" s="68">
        <v>46307</v>
      </c>
      <c r="B52" s="69" t="s">
        <v>158</v>
      </c>
      <c r="C52" s="73" t="s">
        <v>176</v>
      </c>
      <c r="D52" s="70">
        <f>SUM(D48:D51)</f>
      </c>
      <c r="E52" s="70">
        <f>SUM(E48:E51)</f>
      </c>
      <c r="F52" s="70">
        <f>SUM(F48:F51)</f>
      </c>
      <c r="G52" s="70">
        <f>SUM(G48:G51)</f>
      </c>
      <c r="H52" s="70">
        <f>SUM(H48:H51)</f>
      </c>
      <c r="I52" s="71">
        <f t="shared" si="1"/>
      </c>
      <c r="J52" s="71">
        <f t="shared" si="2"/>
      </c>
      <c r="K52" s="71">
        <f t="shared" si="3"/>
      </c>
      <c r="L52" s="71"/>
      <c r="M52" s="70">
        <f>SUM(M48:M51)</f>
      </c>
      <c r="N52" s="71"/>
    </row>
    <row hidden="true" r="53">
      <c r="A53" s="63">
        <v>46308</v>
      </c>
      <c r="B53" s="64" t="s">
        <v>171</v>
      </c>
      <c r="C53" s="64" t="s">
        <v>174</v>
      </c>
      <c r="D53" s="64">
        <v>4</v>
      </c>
      <c r="E53" s="64">
        <v>31</v>
      </c>
      <c r="F53" s="64">
        <v>4</v>
      </c>
      <c r="G53" s="65">
        <v>15124.22</v>
      </c>
      <c r="H53" s="65">
        <v>9555</v>
      </c>
      <c r="I53" s="66">
        <f t="shared" si="1"/>
      </c>
      <c r="J53" s="66">
        <f t="shared" si="2"/>
      </c>
      <c r="K53" s="66">
        <f t="shared" si="3"/>
      </c>
      <c r="L53" s="72" t="s">
        <v>166</v>
      </c>
      <c r="M53" s="72">
        <v>9</v>
      </c>
      <c r="N53" s="64"/>
    </row>
    <row hidden="true" r="54">
      <c r="A54" s="63">
        <v>46308</v>
      </c>
      <c r="B54" s="64" t="s">
        <v>167</v>
      </c>
      <c r="C54" s="64" t="s">
        <v>175</v>
      </c>
      <c r="D54" s="64">
        <v>5</v>
      </c>
      <c r="E54" s="64">
        <v>27</v>
      </c>
      <c r="F54" s="64">
        <v>2</v>
      </c>
      <c r="G54" s="65">
        <v>11871.54</v>
      </c>
      <c r="H54" s="65">
        <v>12503.27</v>
      </c>
      <c r="I54" s="66">
        <f t="shared" si="1"/>
      </c>
      <c r="J54" s="66">
        <f t="shared" si="2"/>
      </c>
      <c r="K54" s="66">
        <f t="shared" si="3"/>
      </c>
      <c r="L54" s="72"/>
      <c r="M54" s="72"/>
      <c r="N54" s="64"/>
    </row>
    <row hidden="true" r="55">
      <c r="A55" s="63">
        <v>46308</v>
      </c>
      <c r="B55" s="64" t="s">
        <v>171</v>
      </c>
      <c r="C55" s="64" t="s">
        <v>177</v>
      </c>
      <c r="D55" s="64">
        <v>2</v>
      </c>
      <c r="E55" s="64">
        <v>8</v>
      </c>
      <c r="F55" s="64">
        <v>0</v>
      </c>
      <c r="G55" s="64">
        <v>4539.48</v>
      </c>
      <c r="H55" s="65">
        <v>3703.02</v>
      </c>
      <c r="I55" s="66">
        <f t="shared" si="1"/>
      </c>
      <c r="J55" s="66">
        <f t="shared" si="2"/>
      </c>
      <c r="K55" s="66">
        <f t="shared" si="3"/>
      </c>
      <c r="L55" s="67" t="s">
        <v>161</v>
      </c>
      <c r="M55" s="64">
        <v>2</v>
      </c>
      <c r="N55" s="64"/>
    </row>
    <row hidden="true" r="56">
      <c r="A56" s="68">
        <v>46308</v>
      </c>
      <c r="B56" s="69" t="s">
        <v>158</v>
      </c>
      <c r="C56" s="73" t="s">
        <v>178</v>
      </c>
      <c r="D56" s="70">
        <f>SUM(D53:D55)</f>
      </c>
      <c r="E56" s="70">
        <f>SUM(E53:E55)</f>
      </c>
      <c r="F56" s="70">
        <f>SUM(F53:F55)</f>
      </c>
      <c r="G56" s="70">
        <f>SUM(G53:G55)</f>
      </c>
      <c r="H56" s="70">
        <f>SUM(H53:H55)</f>
      </c>
      <c r="I56" s="71">
        <f t="shared" si="1"/>
      </c>
      <c r="J56" s="71">
        <f t="shared" si="2"/>
      </c>
      <c r="K56" s="71">
        <f t="shared" si="3"/>
      </c>
      <c r="L56" s="71"/>
      <c r="M56" s="70">
        <f>SUM(M53:M55)</f>
      </c>
      <c r="N56" s="71"/>
    </row>
    <row hidden="true" r="57">
      <c r="A57" s="63">
        <v>46309</v>
      </c>
      <c r="B57" s="64" t="s">
        <v>167</v>
      </c>
      <c r="C57" s="64" t="s">
        <v>160</v>
      </c>
      <c r="D57" s="64">
        <v>4</v>
      </c>
      <c r="E57" s="64">
        <v>29</v>
      </c>
      <c r="F57" s="64">
        <v>2</v>
      </c>
      <c r="G57" s="65">
        <v>15013.56</v>
      </c>
      <c r="H57" s="65">
        <v>11580.9</v>
      </c>
      <c r="I57" s="66">
        <f t="shared" si="1"/>
      </c>
      <c r="J57" s="66">
        <f t="shared" si="2"/>
      </c>
      <c r="K57" s="66">
        <f t="shared" si="3"/>
      </c>
      <c r="L57" s="72" t="s">
        <v>166</v>
      </c>
      <c r="M57" s="72">
        <v>4</v>
      </c>
      <c r="N57" s="64"/>
    </row>
    <row hidden="true" r="58">
      <c r="A58" s="63">
        <v>46309</v>
      </c>
      <c r="B58" s="64" t="s">
        <v>171</v>
      </c>
      <c r="C58" s="64" t="s">
        <v>163</v>
      </c>
      <c r="D58" s="64">
        <v>4</v>
      </c>
      <c r="E58" s="64">
        <v>35</v>
      </c>
      <c r="F58" s="64">
        <v>2</v>
      </c>
      <c r="G58" s="65">
        <v>14715.9</v>
      </c>
      <c r="H58" s="65">
        <v>10967.619999999999</v>
      </c>
      <c r="I58" s="66">
        <f t="shared" si="1"/>
      </c>
      <c r="J58" s="66">
        <f t="shared" si="2"/>
      </c>
      <c r="K58" s="66">
        <f t="shared" si="3"/>
      </c>
      <c r="L58" s="72" t="s">
        <v>157</v>
      </c>
      <c r="M58" s="72">
        <v>7</v>
      </c>
      <c r="N58" s="64"/>
    </row>
    <row r="59">
      <c r="A59" s="63">
        <v>46309</v>
      </c>
      <c r="B59" s="64" t="s">
        <v>164</v>
      </c>
      <c r="C59" s="64" t="s">
        <v>173</v>
      </c>
      <c r="D59" s="64">
        <v>4</v>
      </c>
      <c r="E59" s="64">
        <v>61</v>
      </c>
      <c r="F59" s="64">
        <v>4</v>
      </c>
      <c r="G59" s="64">
        <v>37534.939999999995</v>
      </c>
      <c r="H59" s="65">
        <v>17257.93</v>
      </c>
      <c r="I59" s="66">
        <f t="shared" si="1"/>
      </c>
      <c r="J59" s="66">
        <f t="shared" si="2"/>
      </c>
      <c r="K59" s="66">
        <f t="shared" si="3"/>
      </c>
      <c r="L59" s="67" t="s">
        <v>161</v>
      </c>
      <c r="M59" s="64">
        <v>1</v>
      </c>
      <c r="N59" s="64"/>
    </row>
    <row hidden="true" r="60">
      <c r="A60" s="68">
        <v>46309</v>
      </c>
      <c r="B60" s="69" t="s">
        <v>158</v>
      </c>
      <c r="C60" s="73" t="s">
        <v>179</v>
      </c>
      <c r="D60" s="70">
        <f>SUM(D57:D59)</f>
      </c>
      <c r="E60" s="70">
        <f>SUM(E57:E59)</f>
      </c>
      <c r="F60" s="70">
        <f>SUM(F57:F59)</f>
      </c>
      <c r="G60" s="70">
        <f>SUM(G57:G59)</f>
      </c>
      <c r="H60" s="70">
        <f>SUM(H57:H59)</f>
      </c>
      <c r="I60" s="71">
        <f t="shared" si="1"/>
      </c>
      <c r="J60" s="71">
        <f t="shared" si="2"/>
      </c>
      <c r="K60" s="71">
        <f t="shared" si="3"/>
      </c>
      <c r="L60" s="71"/>
      <c r="M60" s="70">
        <f>SUM(M57:M59)</f>
      </c>
      <c r="N60" s="71"/>
    </row>
    <row hidden="true" r="61">
      <c r="A61" s="63">
        <v>46310</v>
      </c>
      <c r="B61" s="64" t="s">
        <v>167</v>
      </c>
      <c r="C61" s="64" t="s">
        <v>160</v>
      </c>
      <c r="D61" s="64">
        <v>4</v>
      </c>
      <c r="E61" s="64">
        <v>33</v>
      </c>
      <c r="F61" s="64">
        <v>4</v>
      </c>
      <c r="G61" s="65">
        <v>20046.56</v>
      </c>
      <c r="H61" s="65">
        <v>13618.37</v>
      </c>
      <c r="I61" s="66">
        <f t="shared" si="1"/>
      </c>
      <c r="J61" s="66">
        <f t="shared" si="2"/>
      </c>
      <c r="K61" s="66">
        <f t="shared" si="3"/>
      </c>
      <c r="L61" s="72" t="s">
        <v>180</v>
      </c>
      <c r="M61" s="72">
        <v>4</v>
      </c>
      <c r="N61" s="64"/>
    </row>
    <row hidden="true" r="62">
      <c r="A62" s="63">
        <v>46310</v>
      </c>
      <c r="B62" s="64" t="s">
        <v>171</v>
      </c>
      <c r="C62" s="64" t="s">
        <v>181</v>
      </c>
      <c r="D62" s="64">
        <v>3</v>
      </c>
      <c r="E62" s="64">
        <v>23</v>
      </c>
      <c r="F62" s="64">
        <v>1</v>
      </c>
      <c r="G62" s="65">
        <v>9588.18</v>
      </c>
      <c r="H62" s="65">
        <v>9042.02</v>
      </c>
      <c r="I62" s="66">
        <f t="shared" si="1"/>
      </c>
      <c r="J62" s="66">
        <f t="shared" si="2"/>
      </c>
      <c r="K62" s="66">
        <f t="shared" si="3"/>
      </c>
      <c r="L62" s="72" t="s">
        <v>157</v>
      </c>
      <c r="M62" s="72">
        <v>7</v>
      </c>
      <c r="N62" s="64"/>
    </row>
    <row r="63">
      <c r="A63" s="63">
        <v>46310</v>
      </c>
      <c r="B63" s="64" t="s">
        <v>164</v>
      </c>
      <c r="C63" s="64" t="s">
        <v>156</v>
      </c>
      <c r="D63" s="64">
        <v>5</v>
      </c>
      <c r="E63" s="64">
        <v>69</v>
      </c>
      <c r="F63" s="64">
        <v>7</v>
      </c>
      <c r="G63" s="64">
        <v>34774.2</v>
      </c>
      <c r="H63" s="65">
        <v>20414.48</v>
      </c>
      <c r="I63" s="66">
        <f t="shared" si="1"/>
      </c>
      <c r="J63" s="66">
        <f t="shared" si="2"/>
      </c>
      <c r="K63" s="66">
        <f t="shared" si="3"/>
      </c>
      <c r="L63" s="67" t="s">
        <v>161</v>
      </c>
      <c r="M63" s="64">
        <v>1</v>
      </c>
      <c r="N63" s="64"/>
    </row>
    <row hidden="true" r="64">
      <c r="A64" s="68">
        <v>46310</v>
      </c>
      <c r="B64" s="69" t="s">
        <v>158</v>
      </c>
      <c r="C64" s="73" t="s">
        <v>179</v>
      </c>
      <c r="D64" s="70">
        <f>SUM(D61:D63)</f>
      </c>
      <c r="E64" s="70">
        <f>SUM(E61:E63)</f>
      </c>
      <c r="F64" s="70">
        <f>SUM(F61:F63)</f>
      </c>
      <c r="G64" s="70">
        <f>SUM(G61:G63)</f>
      </c>
      <c r="H64" s="70">
        <f>SUM(H61:H63)</f>
      </c>
      <c r="I64" s="71">
        <f t="shared" si="1"/>
      </c>
      <c r="J64" s="71">
        <f t="shared" si="2"/>
      </c>
      <c r="K64" s="71">
        <f t="shared" si="3"/>
      </c>
      <c r="L64" s="71"/>
      <c r="M64" s="70">
        <f>SUM(M61:M63)</f>
      </c>
      <c r="N64" s="71"/>
    </row>
    <row hidden="true" r="65">
      <c r="A65" s="63">
        <v>46311</v>
      </c>
      <c r="B65" s="64" t="s">
        <v>170</v>
      </c>
      <c r="C65" s="64" t="s">
        <v>160</v>
      </c>
      <c r="D65" s="64">
        <v>4</v>
      </c>
      <c r="E65" s="64">
        <v>44</v>
      </c>
      <c r="F65" s="64">
        <v>3</v>
      </c>
      <c r="G65" s="65">
        <v>26852.64</v>
      </c>
      <c r="H65" s="65">
        <v>16752.76</v>
      </c>
      <c r="I65" s="66">
        <f t="shared" si="1"/>
      </c>
      <c r="J65" s="66">
        <f t="shared" si="2"/>
      </c>
      <c r="K65" s="66">
        <f t="shared" si="3"/>
      </c>
      <c r="L65" s="72" t="s">
        <v>182</v>
      </c>
      <c r="M65" s="72">
        <v>4</v>
      </c>
      <c r="N65" s="64"/>
    </row>
    <row hidden="true" r="66">
      <c r="A66" s="63">
        <v>46311</v>
      </c>
      <c r="B66" s="64" t="s">
        <v>167</v>
      </c>
      <c r="C66" s="64" t="s">
        <v>163</v>
      </c>
      <c r="D66" s="64">
        <v>4</v>
      </c>
      <c r="E66" s="64">
        <v>16</v>
      </c>
      <c r="F66" s="64">
        <v>1</v>
      </c>
      <c r="G66" s="65">
        <v>6604.5</v>
      </c>
      <c r="H66" s="65">
        <v>9376.74</v>
      </c>
      <c r="I66" s="66">
        <f t="shared" si="1"/>
      </c>
      <c r="J66" s="66">
        <f t="shared" si="2"/>
      </c>
      <c r="K66" s="66">
        <f t="shared" si="3"/>
      </c>
      <c r="L66" s="72"/>
      <c r="M66" s="72"/>
      <c r="N66" s="64"/>
    </row>
    <row r="67">
      <c r="A67" s="63">
        <v>46311</v>
      </c>
      <c r="B67" s="64" t="s">
        <v>164</v>
      </c>
      <c r="C67" s="64" t="s">
        <v>173</v>
      </c>
      <c r="D67" s="64">
        <v>4</v>
      </c>
      <c r="E67" s="64">
        <v>33</v>
      </c>
      <c r="F67" s="64">
        <v>3</v>
      </c>
      <c r="G67" s="64">
        <v>18049.16</v>
      </c>
      <c r="H67" s="65">
        <v>10291.93</v>
      </c>
      <c r="I67" s="66">
        <f t="shared" si="1"/>
      </c>
      <c r="J67" s="66">
        <f t="shared" si="2"/>
      </c>
      <c r="K67" s="66">
        <f t="shared" si="3"/>
      </c>
      <c r="L67" s="67" t="s">
        <v>161</v>
      </c>
      <c r="M67" s="64">
        <v>8</v>
      </c>
      <c r="N67" s="64"/>
    </row>
    <row hidden="true" r="68">
      <c r="A68" s="68">
        <v>46311</v>
      </c>
      <c r="B68" s="69" t="s">
        <v>158</v>
      </c>
      <c r="C68" s="73" t="s">
        <v>179</v>
      </c>
      <c r="D68" s="70">
        <f>SUM(D65:D67)</f>
      </c>
      <c r="E68" s="70">
        <f>SUM(E65:E67)</f>
      </c>
      <c r="F68" s="70">
        <f>SUM(F65:F67)</f>
      </c>
      <c r="G68" s="70">
        <f>SUM(G65:G67)</f>
      </c>
      <c r="H68" s="70">
        <f>SUM(H65:H67)</f>
      </c>
      <c r="I68" s="71">
        <f t="shared" si="1"/>
      </c>
      <c r="J68" s="71">
        <f t="shared" si="2"/>
      </c>
      <c r="K68" s="71">
        <f t="shared" si="3"/>
      </c>
      <c r="L68" s="71"/>
      <c r="M68" s="70">
        <f>SUM(M65:M67)</f>
      </c>
      <c r="N68" s="71"/>
    </row>
    <row hidden="true" r="69">
      <c r="A69" s="63">
        <v>46312</v>
      </c>
      <c r="B69" s="64" t="s">
        <v>159</v>
      </c>
      <c r="C69" s="64" t="s">
        <v>160</v>
      </c>
      <c r="D69" s="64">
        <v>4</v>
      </c>
      <c r="E69" s="64">
        <v>13</v>
      </c>
      <c r="F69" s="64">
        <v>2</v>
      </c>
      <c r="G69" s="65">
        <v>5446.32</v>
      </c>
      <c r="H69" s="65">
        <v>7269.95</v>
      </c>
      <c r="I69" s="66">
        <f t="shared" si="1"/>
      </c>
      <c r="J69" s="66">
        <f t="shared" si="2"/>
      </c>
      <c r="K69" s="66">
        <f t="shared" si="3"/>
      </c>
      <c r="L69" s="72" t="s">
        <v>182</v>
      </c>
      <c r="M69" s="72">
        <v>4</v>
      </c>
      <c r="N69" s="64"/>
    </row>
    <row hidden="true" r="70">
      <c r="A70" s="63">
        <v>46312</v>
      </c>
      <c r="B70" s="64" t="s">
        <v>167</v>
      </c>
      <c r="C70" s="64" t="s">
        <v>163</v>
      </c>
      <c r="D70" s="64">
        <v>4</v>
      </c>
      <c r="E70" s="64">
        <v>20</v>
      </c>
      <c r="F70" s="64">
        <v>1</v>
      </c>
      <c r="G70" s="65">
        <v>11039.72</v>
      </c>
      <c r="H70" s="65">
        <v>6565.88</v>
      </c>
      <c r="I70" s="66">
        <f t="shared" si="1"/>
      </c>
      <c r="J70" s="66">
        <f t="shared" si="2"/>
      </c>
      <c r="K70" s="66">
        <f t="shared" si="3"/>
      </c>
      <c r="L70" s="72"/>
      <c r="M70" s="72"/>
      <c r="N70" s="64"/>
    </row>
    <row r="71">
      <c r="A71" s="63">
        <v>46312</v>
      </c>
      <c r="B71" s="64" t="s">
        <v>164</v>
      </c>
      <c r="C71" s="64" t="s">
        <v>183</v>
      </c>
      <c r="D71" s="64">
        <v>2</v>
      </c>
      <c r="E71" s="64">
        <v>14</v>
      </c>
      <c r="F71" s="64">
        <v>1</v>
      </c>
      <c r="G71" s="64">
        <v>5984.48</v>
      </c>
      <c r="H71" s="65">
        <v>5296.85</v>
      </c>
      <c r="I71" s="66">
        <f t="shared" si="1"/>
      </c>
      <c r="J71" s="66">
        <f t="shared" si="2"/>
      </c>
      <c r="K71" s="66">
        <f t="shared" si="3"/>
      </c>
      <c r="L71" s="67" t="s">
        <v>161</v>
      </c>
      <c r="M71" s="64">
        <v>6</v>
      </c>
      <c r="N71" s="64"/>
    </row>
    <row hidden="true" r="72">
      <c r="A72" s="68">
        <v>46312</v>
      </c>
      <c r="B72" s="69" t="s">
        <v>158</v>
      </c>
      <c r="C72" s="73" t="s">
        <v>184</v>
      </c>
      <c r="D72" s="70">
        <f>SUM(D69:D71)</f>
      </c>
      <c r="E72" s="70">
        <f>SUM(E69:E71)</f>
      </c>
      <c r="F72" s="70">
        <f>SUM(F69:F71)</f>
      </c>
      <c r="G72" s="70">
        <f>SUM(G69:G71)</f>
      </c>
      <c r="H72" s="70">
        <f>SUM(H69:H71)</f>
      </c>
      <c r="I72" s="71">
        <f t="shared" si="1"/>
      </c>
      <c r="J72" s="71">
        <f t="shared" si="2"/>
      </c>
      <c r="K72" s="71">
        <f t="shared" si="3"/>
      </c>
      <c r="L72" s="71"/>
      <c r="M72" s="70">
        <f>SUM(M69:M71)</f>
      </c>
      <c r="N72" s="71"/>
    </row>
    <row hidden="true" r="73">
      <c r="A73" s="63">
        <v>46313</v>
      </c>
      <c r="B73" s="64" t="s">
        <v>171</v>
      </c>
      <c r="C73" s="64" t="s">
        <v>185</v>
      </c>
      <c r="D73" s="64">
        <v>3</v>
      </c>
      <c r="E73" s="64">
        <v>23</v>
      </c>
      <c r="F73" s="64">
        <v>1</v>
      </c>
      <c r="G73" s="65">
        <v>12316.44</v>
      </c>
      <c r="H73" s="65">
        <v>8435.68</v>
      </c>
      <c r="I73" s="66">
        <f t="shared" si="1"/>
      </c>
      <c r="J73" s="66">
        <f t="shared" si="2"/>
      </c>
      <c r="K73" s="66">
        <f t="shared" si="3"/>
      </c>
      <c r="L73" s="72" t="s">
        <v>182</v>
      </c>
      <c r="M73" s="72">
        <v>4</v>
      </c>
      <c r="N73" s="64"/>
    </row>
    <row hidden="true" r="74">
      <c r="A74" s="63">
        <v>46313</v>
      </c>
      <c r="B74" s="64" t="s">
        <v>167</v>
      </c>
      <c r="C74" s="64" t="s">
        <v>186</v>
      </c>
      <c r="D74" s="64">
        <v>5</v>
      </c>
      <c r="E74" s="64">
        <v>43</v>
      </c>
      <c r="F74" s="64">
        <v>6</v>
      </c>
      <c r="G74" s="65">
        <v>22805</v>
      </c>
      <c r="H74" s="65">
        <v>15218.28</v>
      </c>
      <c r="I74" s="66">
        <f t="shared" si="1"/>
      </c>
      <c r="J74" s="66">
        <f t="shared" si="2"/>
      </c>
      <c r="K74" s="66">
        <f t="shared" si="3"/>
      </c>
      <c r="L74" s="72"/>
      <c r="M74" s="72"/>
      <c r="N74" s="64"/>
    </row>
    <row hidden="true" r="75">
      <c r="A75" s="63">
        <v>46313</v>
      </c>
      <c r="B75" s="64" t="s">
        <v>187</v>
      </c>
      <c r="C75" s="64" t="s">
        <v>173</v>
      </c>
      <c r="D75" s="64">
        <v>4</v>
      </c>
      <c r="E75" s="64">
        <v>19</v>
      </c>
      <c r="F75" s="64">
        <v>1</v>
      </c>
      <c r="G75" s="64">
        <v>9729.44</v>
      </c>
      <c r="H75" s="65">
        <v>10026.22</v>
      </c>
      <c r="I75" s="66">
        <f t="shared" si="1"/>
      </c>
      <c r="J75" s="66">
        <f t="shared" si="2"/>
      </c>
      <c r="K75" s="66">
        <f t="shared" si="3"/>
      </c>
      <c r="L75" s="67" t="s">
        <v>161</v>
      </c>
      <c r="M75" s="64">
        <v>8</v>
      </c>
      <c r="N75" s="64"/>
    </row>
    <row hidden="true" r="76">
      <c r="A76" s="68">
        <v>46313</v>
      </c>
      <c r="B76" s="69" t="s">
        <v>158</v>
      </c>
      <c r="C76" s="73" t="s">
        <v>179</v>
      </c>
      <c r="D76" s="70">
        <f>SUM(D73:D75)</f>
      </c>
      <c r="E76" s="70">
        <f>SUM(E73:E75)</f>
      </c>
      <c r="F76" s="70">
        <f>SUM(F73:F75)</f>
      </c>
      <c r="G76" s="70">
        <f>SUM(G73:G75)</f>
      </c>
      <c r="H76" s="70">
        <f>SUM(H73:H75)</f>
      </c>
      <c r="I76" s="71">
        <f t="shared" si="1"/>
      </c>
      <c r="J76" s="71">
        <f t="shared" si="2"/>
      </c>
      <c r="K76" s="71">
        <f t="shared" si="3"/>
      </c>
      <c r="L76" s="71"/>
      <c r="M76" s="70">
        <f>SUM(M73:M75)</f>
      </c>
      <c r="N76" s="71"/>
    </row>
    <row hidden="true" r="77">
      <c r="A77" s="63">
        <v>46314</v>
      </c>
      <c r="B77" s="64" t="s">
        <v>167</v>
      </c>
      <c r="C77" s="64" t="s">
        <v>160</v>
      </c>
      <c r="D77" s="64">
        <v>4</v>
      </c>
      <c r="E77" s="64"/>
      <c r="F77" s="64"/>
      <c r="G77" s="65"/>
      <c r="H77" s="65"/>
      <c r="I77" s="66">
        <f t="shared" si="1"/>
      </c>
      <c r="J77" s="66">
        <f t="shared" si="2"/>
      </c>
      <c r="K77" s="66">
        <f t="shared" si="3"/>
      </c>
      <c r="L77" s="67" t="s">
        <v>157</v>
      </c>
      <c r="M77" s="72">
        <v>4</v>
      </c>
      <c r="N77" s="64"/>
    </row>
    <row hidden="true" r="78">
      <c r="A78" s="63">
        <v>46314</v>
      </c>
      <c r="B78" s="64" t="s">
        <v>164</v>
      </c>
      <c r="C78" s="64" t="s">
        <v>163</v>
      </c>
      <c r="D78" s="64">
        <v>4</v>
      </c>
      <c r="E78" s="64"/>
      <c r="F78" s="64"/>
      <c r="G78" s="65"/>
      <c r="H78" s="65"/>
      <c r="I78" s="66">
        <f t="shared" si="1"/>
      </c>
      <c r="J78" s="66">
        <f t="shared" si="2"/>
      </c>
      <c r="K78" s="66">
        <f t="shared" si="3"/>
      </c>
      <c r="L78" s="72"/>
      <c r="M78" s="72"/>
      <c r="N78" s="64"/>
    </row>
    <row hidden="true" r="79">
      <c r="A79" s="63">
        <v>46314</v>
      </c>
      <c r="B79" s="64" t="s">
        <v>187</v>
      </c>
      <c r="C79" s="64" t="s">
        <v>173</v>
      </c>
      <c r="D79" s="64">
        <v>4</v>
      </c>
      <c r="E79" s="64"/>
      <c r="F79" s="64"/>
      <c r="G79" s="64"/>
      <c r="H79" s="65"/>
      <c r="I79" s="66">
        <f t="shared" si="1"/>
      </c>
      <c r="J79" s="66">
        <f t="shared" si="2"/>
      </c>
      <c r="K79" s="66">
        <f t="shared" si="3"/>
      </c>
      <c r="L79" s="67" t="s">
        <v>166</v>
      </c>
      <c r="M79" s="64">
        <v>8</v>
      </c>
      <c r="N79" s="64"/>
    </row>
    <row hidden="true" r="80">
      <c r="A80" s="68">
        <v>46314</v>
      </c>
      <c r="B80" s="69" t="s">
        <v>158</v>
      </c>
      <c r="C80" s="70"/>
      <c r="D80" s="70">
        <f>SUM(D77:D79)</f>
      </c>
      <c r="E80" s="70">
        <f>SUM(E77:E79)</f>
      </c>
      <c r="F80" s="70">
        <f>SUM(F77:F79)</f>
      </c>
      <c r="G80" s="70">
        <f>SUM(G77:G79)</f>
      </c>
      <c r="H80" s="70">
        <f>SUM(H77:H79)</f>
      </c>
      <c r="I80" s="71">
        <f t="shared" si="1"/>
      </c>
      <c r="J80" s="71">
        <f t="shared" si="2"/>
      </c>
      <c r="K80" s="71">
        <f t="shared" si="3"/>
      </c>
      <c r="L80" s="71"/>
      <c r="M80" s="70">
        <f>SUM(M77:M79)</f>
      </c>
      <c r="N80" s="71"/>
    </row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>
      <c r="F102" s="72"/>
    </row>
    <row r="103">
      <c r="F103" s="74"/>
    </row>
    <row r="104">
      <c r="F104" s="75" t="s">
        <v>188</v>
      </c>
    </row>
    <row r="105">
      <c r="F105" s="74">
        <f t="shared" ref="F105:F111" si="0">D105/E105</f>
      </c>
    </row>
    <row r="106">
      <c r="F106" s="74">
        <f t="shared" si="0"/>
      </c>
    </row>
    <row r="107">
      <c r="F107" s="74">
        <f t="shared" si="0"/>
      </c>
    </row>
    <row r="108">
      <c r="F108" s="74">
        <f t="shared" si="0"/>
      </c>
    </row>
    <row r="109">
      <c r="F109" s="74">
        <f t="shared" si="0"/>
      </c>
    </row>
    <row r="110">
      <c r="F110" s="74">
        <f t="shared" si="0"/>
      </c>
    </row>
    <row r="111">
      <c r="F111" s="74">
        <f t="shared" si="0"/>
      </c>
    </row>
    <row r="112">
      <c r="F112" s="74"/>
    </row>
  </sheetData>
  <autoFilter ref="A1:N80">
    <filterColumn colId="0">
      <filters>
        <dateGroupItem dateTimeGrouping="day" day="12" month="10" year="2026"/>
        <dateGroupItem dateTimeGrouping="day" day="13" month="10" year="2026"/>
        <dateGroupItem dateTimeGrouping="day" day="14" month="10" year="2026"/>
        <dateGroupItem dateTimeGrouping="day" day="15" month="10" year="2026"/>
        <dateGroupItem dateTimeGrouping="day" day="16" month="10" year="2026"/>
        <dateGroupItem dateTimeGrouping="day" day="17" month="10" year="2026"/>
        <dateGroupItem dateTimeGrouping="day" day="18" month="10" year="2026"/>
      </filters>
    </filterColumn>
    <filterColumn colId="1">
      <filters>
        <filter val="刘梦"/>
      </filters>
    </filterColumn>
  </autoFil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