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5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Override PartName="/xl/worksheets/sheet6.xml" ContentType="application/vnd.openxmlformats-officedocument.spreadsheetml.worksheet+xml"/>
  <Override PartName="/xl/pivotTables/pivotTable5.xml" ContentType="application/vnd.openxmlformats-officedocument.spreadsheetml.pivotTable+xml"/>
  <Override PartName="/xl/pivotCache/pivotCacheDefinition5.xml" ContentType="application/vnd.openxmlformats-officedocument.spreadsheetml.pivotCacheDefinitio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6.xml" ContentType="application/vnd.openxmlformats-officedocument.spreadsheetml.pivotTable+xml"/>
  <Override PartName="/xl/pivotCache/pivotCacheDefinition6.xml" ContentType="application/vnd.openxmlformats-officedocument.spreadsheetml.pivotCacheDefinition+xml"/>
  <Override PartName="/xl/worksheets/sheet9.xml" ContentType="application/vnd.openxmlformats-officedocument.spreadsheetml.worksheet+xml"/>
  <Override PartName="/xl/pivotTables/pivotTable7.xml" ContentType="application/vnd.openxmlformats-officedocument.spreadsheetml.pivotTable+xml"/>
  <Override PartName="/xl/pivotCache/pivotCacheDefinition7.xml" ContentType="application/vnd.openxmlformats-officedocument.spreadsheetml.pivotCacheDefinition+xml"/>
  <Override PartName="/xl/worksheets/sheet10.xml" ContentType="application/vnd.openxmlformats-officedocument.spreadsheetml.worksheet+xml"/>
  <Override PartName="/xl/pivotTables/pivotTable8.xml" ContentType="application/vnd.openxmlformats-officedocument.spreadsheetml.pivotTable+xml"/>
  <Override PartName="/xl/pivotCache/pivotCacheDefinition8.xml" ContentType="application/vnd.openxmlformats-officedocument.spreadsheetml.pivotCacheDefinitio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9.xml" ContentType="application/vnd.openxmlformats-officedocument.spreadsheetml.pivotTable+xml"/>
  <Override PartName="/xl/pivotCache/pivotCacheDefinition9.xml" ContentType="application/vnd.openxmlformats-officedocument.spreadsheetml.pivotCacheDefinition+xml"/>
  <Override PartName="/xl/worksheets/sheet1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" sheetId="2" r:id="rId5"/>
    <sheet name="2026.2" sheetId="3" r:id="rId6"/>
    <sheet name="2026.3" sheetId="4" r:id="rId8"/>
    <sheet name="2026.4" sheetId="5" r:id="rId10"/>
    <sheet name="2026.5" sheetId="6" r:id="rId13"/>
    <sheet name="2026.6" sheetId="7" r:id="rId15"/>
    <sheet name="2026.7" sheetId="8" r:id="rId16"/>
    <sheet name="2026.8" sheetId="9" r:id="rId18"/>
    <sheet name="2026.9" sheetId="10" r:id="rId20"/>
    <sheet name="2026.10" sheetId="11" r:id="rId22"/>
    <sheet name="Sheet11" sheetId="12" r:id="rId23"/>
    <sheet name="Sheet12" sheetId="13" r:id="rId25"/>
  </sheets>
  <calcPr calcMode="auto"/>
  <pivotCaches>
    <pivotCache cacheId="1" r:id="rId7"/>
    <pivotCache cacheId="2" r:id="rId9"/>
    <pivotCache cacheId="3" r:id="rId11"/>
    <pivotCache cacheId="4" r:id="rId12"/>
    <pivotCache cacheId="5" r:id="rId14"/>
    <pivotCache cacheId="6" r:id="rId17"/>
    <pivotCache cacheId="7" r:id="rId19"/>
    <pivotCache cacheId="8" r:id="rId21"/>
    <pivotCache cacheId="9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<sst xmlns="http://schemas.openxmlformats.org/spreadsheetml/2006/main" count="705" uniqueCount="705">
  <si>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</si>
  <si>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</si>
  <si>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</si>
  <si>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</si>
  <si>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</si>
  <si>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</si>
  <si>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</si>
  <si>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</si>
  <si>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</si>
  <si>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</si>
  <si>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</si>
  <si>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</si>
  <si>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</si>
  <si>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</si>
  <si>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张保林</t>
  </si>
  <si>
    <t xml:space="preserve">18:00-18:30；19:30-21:00</t>
  </si>
  <si>
    <t xml:space="preserve">李哲</t>
  </si>
  <si>
    <t xml:space="preserve">郭璐琪</t>
  </si>
  <si>
    <t xml:space="preserve">21:00-24:00</t>
  </si>
  <si>
    <t xml:space="preserve">安宁</t>
  </si>
  <si>
    <t xml:space="preserve">16:00-19:00</t>
  </si>
  <si>
    <t xml:space="preserve">张滋怡</t>
  </si>
  <si>
    <t xml:space="preserve">19:00-22:00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</si>
  <si>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</si>
  <si>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</si>
  <si>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</si>
  <si>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</si>
  <si>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</si>
  <si>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</si>
  <si>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</si>
  <si>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</si>
  <si>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</si>
  <si>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</si>
  <si>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</si>
  <si>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</si>
  <si>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</si>
  <si>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郭璐琪</t>
  </si>
  <si>
    <t xml:space="preserve">18:00-21:00</t>
  </si>
  <si>
    <t xml:space="preserve">张滋怡</t>
  </si>
  <si>
    <t xml:space="preserve">张保林</t>
  </si>
  <si>
    <t xml:space="preserve">21:00-24:00</t>
  </si>
  <si>
    <t xml:space="preserve">张楠</t>
  </si>
  <si>
    <t xml:space="preserve">张滋怡双</t>
  </si>
  <si>
    <t xml:space="preserve">15:00-19:00</t>
  </si>
  <si>
    <t xml:space="preserve">邢佳熙</t>
  </si>
  <si>
    <t xml:space="preserve">19:00-21:00</t>
  </si>
  <si>
    <t xml:space="preserve">15:00-18:00</t>
  </si>
  <si>
    <t xml:space="preserve">18:00-22:00</t>
  </si>
  <si>
    <t xml:space="preserve">孟彦波</t>
  </si>
  <si>
    <t xml:space="preserve">22:00-24:00</t>
  </si>
  <si>
    <t xml:space="preserve">17:00-22:00</t>
  </si>
  <si>
    <t xml:space="preserve">19:00-22:00</t>
  </si>
  <si>
    <t xml:space="preserve">11:00-16:00</t>
  </si>
  <si>
    <t xml:space="preserve">高琎梅双</t>
  </si>
  <si>
    <t xml:space="preserve">19:00-24:00</t>
  </si>
  <si>
    <t xml:space="preserve">15:00-20:00</t>
  </si>
  <si>
    <t xml:space="preserve">闫小姗三</t>
  </si>
  <si>
    <t xml:space="preserve">20:00-24:00</t>
  </si>
  <si>
    <t xml:space="preserve">闫小姗双</t>
  </si>
  <si>
    <t xml:space="preserve">高琎梅</t>
  </si>
  <si>
    <t xml:space="preserve">12:00-13:00</t>
  </si>
  <si>
    <t xml:space="preserve">13:00-17:00</t>
  </si>
  <si>
    <t xml:space="preserve">17:00-20:00</t>
  </si>
  <si>
    <t xml:space="preserve">12:00-16:00</t>
  </si>
  <si>
    <t xml:space="preserve">16:00-20:00</t>
  </si>
  <si>
    <t xml:space="preserve">12:00-17:00</t>
  </si>
  <si>
    <t xml:space="preserve">日期</t>
  </si>
  <si>
    <t xml:space="preserve">主播</t>
  </si>
  <si>
    <t xml:space="preserve">直播时段</t>
  </si>
  <si>
    <t xml:space="preserve">直播时长</t>
  </si>
  <si>
    <t xml:space="preserve">年缴保单数</t>
  </si>
  <si>
    <t xml:space="preserve">订单数</t>
  </si>
  <si>
    <t xml:space="preserve">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</si>
  <si>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</si>
  <si>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</si>
  <si>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</si>
  <si>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</si>
  <si>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</si>
  <si>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年缴占比</t>
  </si>
  <si>
    <t xml:space="preserve">家庭单</t>
  </si>
  <si>
    <t xml:space="preserve">家庭单占比</t>
  </si>
  <si>
    <t xml:space="preserve">助播</t>
  </si>
  <si>
    <t xml:space="preserve">助播时长</t>
  </si>
  <si>
    <t xml:space="preserve">张保林</t>
  </si>
  <si>
    <t xml:space="preserve">12:00-16:00</t>
  </si>
  <si>
    <t xml:space="preserve">杨得草</t>
  </si>
  <si>
    <t xml:space="preserve">邢佳熙</t>
  </si>
  <si>
    <t xml:space="preserve">16:00-20:00</t>
  </si>
  <si>
    <t xml:space="preserve">孟彦波</t>
  </si>
  <si>
    <t xml:space="preserve">20:00-24:00</t>
  </si>
  <si>
    <t xml:space="preserve">16:00-18:00</t>
  </si>
  <si>
    <t xml:space="preserve">郭璐琪</t>
  </si>
  <si>
    <t xml:space="preserve">李哲</t>
  </si>
  <si>
    <t xml:space="preserve">12:00-15:00</t>
  </si>
  <si>
    <t xml:space="preserve">15:00-20:00</t>
  </si>
  <si>
    <t xml:space="preserve">张滋怡</t>
  </si>
  <si>
    <t xml:space="preserve">12:00-17:00</t>
  </si>
  <si>
    <t xml:space="preserve">17:00-19:00</t>
  </si>
  <si>
    <t xml:space="preserve">19:00-24:00</t>
  </si>
  <si>
    <t xml:space="preserve">杨文</t>
  </si>
  <si>
    <t xml:space="preserve">闫小姗双</t>
  </si>
  <si>
    <t xml:space="preserve">16:00-19:00</t>
  </si>
  <si>
    <t xml:space="preserve">张滋怡双</t>
  </si>
  <si>
    <t xml:space="preserve">12:00-13:30/14:00-16:00</t>
  </si>
  <si>
    <t xml:space="preserve">断博30分钟</t>
  </si>
  <si>
    <t xml:space="preserve">任子硕</t>
  </si>
  <si>
    <t xml:space="preserve">高雨辰</t>
  </si>
  <si>
    <t xml:space="preserve">8:00-13:00</t>
  </si>
  <si>
    <t xml:space="preserve">闫晓萱</t>
  </si>
  <si>
    <t xml:space="preserve">13:00-15:00</t>
  </si>
  <si>
    <t xml:space="preserve">8:00-12:00</t>
  </si>
  <si>
    <t xml:space="preserve">13:00-18:00</t>
  </si>
  <si>
    <t xml:space="preserve">闫雪儒</t>
  </si>
  <si>
    <t xml:space="preserve">18:00-20:00</t>
  </si>
  <si>
    <t xml:space="preserve">杨博</t>
  </si>
  <si>
    <t xml:space="preserve">13:00-17:00</t>
  </si>
  <si>
    <t xml:space="preserve">17:00-20:00</t>
  </si>
  <si>
    <t xml:space="preserve">任子硕双</t>
  </si>
  <si>
    <t xml:space="preserve">杨博双</t>
  </si>
  <si>
    <t xml:space="preserve">董柯言</t>
  </si>
  <si>
    <t xml:space="preserve">每天生成视频！！</t>
  </si>
  <si>
    <t xml:space="preserve">做完表自己检查一下对了再发</t>
  </si>
  <si>
    <t xml:space="preserve">！！！！</t>
  </si>
  <si>
    <t xml:space="preserve">把表做全！！！！！</t>
  </si>
  <si>
    <t xml:space="preserve">roi</t>
  </si>
  <si>
    <t xml:space="preserve">日期</t>
  </si>
  <si>
    <t xml:space="preserve">主播</t>
  </si>
  <si>
    <t xml:space="preserve">直播时段</t>
  </si>
  <si>
    <t xml:space="preserve">直播时长</t>
  </si>
  <si>
    <t xml:space="preserve">年缴保单数</t>
  </si>
  <si>
    <t xml:space="preserve">订单数</t>
  </si>
  <si>
    <t xml:space="preserve">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</si>
  <si>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</si>
  <si>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</si>
  <si>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</si>
  <si>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</si>
  <si>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</si>
  <si>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年缴占比</t>
  </si>
  <si>
    <t xml:space="preserve">家庭单</t>
  </si>
  <si>
    <t xml:space="preserve">家庭单占比</t>
  </si>
  <si>
    <t xml:space="preserve">助播</t>
  </si>
  <si>
    <t xml:space="preserve">助播时长</t>
  </si>
  <si>
    <t xml:space="preserve">张保林</t>
  </si>
  <si>
    <t xml:space="preserve">8:00-12:00</t>
  </si>
  <si>
    <t xml:space="preserve">郭璐琪</t>
  </si>
  <si>
    <t xml:space="preserve">12:00-16:00</t>
  </si>
  <si>
    <t xml:space="preserve">张滋怡</t>
  </si>
  <si>
    <t xml:space="preserve">闫晓萱</t>
  </si>
  <si>
    <t xml:space="preserve">16:00-19:00</t>
  </si>
  <si>
    <t xml:space="preserve">杨文</t>
  </si>
  <si>
    <t xml:space="preserve">19:00-24:00</t>
  </si>
  <si>
    <t xml:space="preserve">任子硕双</t>
  </si>
  <si>
    <t xml:space="preserve">高雨辰</t>
  </si>
  <si>
    <t xml:space="preserve">16:00-20:00</t>
  </si>
  <si>
    <t xml:space="preserve">20:00-24:00</t>
  </si>
  <si>
    <t xml:space="preserve">任子硕</t>
  </si>
  <si>
    <t xml:space="preserve">8:00-13:00</t>
  </si>
  <si>
    <t xml:space="preserve">郭一笑</t>
  </si>
  <si>
    <t xml:space="preserve">13:00-15:00</t>
  </si>
  <si>
    <t xml:space="preserve">15:00-19:00</t>
  </si>
  <si>
    <t xml:space="preserve">周舒馨</t>
  </si>
  <si>
    <t xml:space="preserve">王忆琳</t>
  </si>
  <si>
    <t xml:space="preserve">15:00-20:00</t>
  </si>
  <si>
    <t xml:space="preserve">11:00-16:00</t>
  </si>
  <si>
    <t xml:space="preserve">董柯言双</t>
  </si>
  <si>
    <t xml:space="preserve">12:00-15:00</t>
  </si>
  <si>
    <t xml:space="preserve">董柯言</t>
  </si>
  <si>
    <t xml:space="preserve">08:00-13:00</t>
  </si>
  <si>
    <t xml:space="preserve">08:00-12:00</t>
  </si>
  <si>
    <t xml:space="preserve">13:00-17:00</t>
  </si>
  <si>
    <t xml:space="preserve">17:00-19:00</t>
  </si>
  <si>
    <t xml:space="preserve">姜晓</t>
  </si>
  <si>
    <t xml:space="preserve">21:00-24:00</t>
  </si>
  <si>
    <t xml:space="preserve">06:00-11:00</t>
  </si>
  <si>
    <t xml:space="preserve">11:00-14:00</t>
  </si>
  <si>
    <t xml:space="preserve">李子健早</t>
  </si>
  <si>
    <t xml:space="preserve">14:00-18:00</t>
  </si>
  <si>
    <t xml:space="preserve">18:00-22:00</t>
  </si>
  <si>
    <t xml:space="preserve">06:00-10:00</t>
  </si>
  <si>
    <t xml:space="preserve">10:00-14:00</t>
  </si>
  <si>
    <t xml:space="preserve">06:00-9:00</t>
  </si>
  <si>
    <t xml:space="preserve">18:00-22：00</t>
  </si>
  <si>
    <t xml:space="preserve">李子健</t>
  </si>
  <si>
    <t xml:space="preserve">22:00-2:00</t>
  </si>
  <si>
    <t xml:space="preserve">张滋怡双</t>
  </si>
  <si>
    <t xml:space="preserve">13:00-16:00</t>
  </si>
  <si>
    <t xml:space="preserve">9:00-14:00</t>
  </si>
  <si>
    <t xml:space="preserve">18:00-21:00</t>
  </si>
  <si>
    <t xml:space="preserve">何彩樱双</t>
  </si>
  <si>
    <t xml:space="preserve">21:00-01:00</t>
  </si>
  <si>
    <t xml:space="preserve">何彩樱</t>
  </si>
  <si>
    <t xml:space="preserve">17:00-20:00</t>
  </si>
  <si>
    <t xml:space="preserve">8:00-9:00</t>
  </si>
  <si>
    <t xml:space="preserve">9:00-13:00</t>
  </si>
  <si>
    <t xml:space="preserve">李子健双</t>
  </si>
  <si>
    <t xml:space="preserve">闫雪儒</t>
  </si>
  <si>
    <t xml:space="preserve">21:30-1:00</t>
  </si>
  <si>
    <t xml:space="preserve">roi</t>
  </si>
  <si>
    <t xml:space="preserve">日期</t>
  </si>
  <si>
    <t xml:space="preserve">主播</t>
  </si>
  <si>
    <t xml:space="preserve">直播时段</t>
  </si>
  <si>
    <t xml:space="preserve">直播时长</t>
  </si>
  <si>
    <t xml:space="preserve">年缴保单数</t>
  </si>
  <si>
    <t xml:space="preserve">订单数</t>
  </si>
  <si>
    <t xml:space="preserve">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</si>
  <si>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</si>
  <si>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</si>
  <si>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</si>
  <si>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</si>
  <si>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</si>
  <si>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年缴占比</t>
  </si>
  <si>
    <t xml:space="preserve">家庭单</t>
  </si>
  <si>
    <t xml:space="preserve">家庭单占比</t>
  </si>
  <si>
    <t xml:space="preserve">助播</t>
  </si>
  <si>
    <t xml:space="preserve">助播时长</t>
  </si>
  <si>
    <t xml:space="preserve">郭璐琪</t>
  </si>
  <si>
    <t xml:space="preserve">8:00-12:00</t>
  </si>
  <si>
    <t xml:space="preserve">李子健双</t>
  </si>
  <si>
    <t xml:space="preserve">高雨辰</t>
  </si>
  <si>
    <t xml:space="preserve">12:00-16:00</t>
  </si>
  <si>
    <t xml:space="preserve">李子健</t>
  </si>
  <si>
    <t xml:space="preserve">郭一笑</t>
  </si>
  <si>
    <t xml:space="preserve">16:00-20:00</t>
  </si>
  <si>
    <t xml:space="preserve">杨文</t>
  </si>
  <si>
    <t xml:space="preserve">20:00-24:00</t>
  </si>
  <si>
    <t xml:space="preserve">张滋怡</t>
  </si>
  <si>
    <t xml:space="preserve">董柯言双</t>
  </si>
  <si>
    <t xml:space="preserve">姜晓双</t>
  </si>
  <si>
    <t xml:space="preserve">姜晓</t>
  </si>
  <si>
    <t xml:space="preserve">董柯言</t>
  </si>
  <si>
    <t xml:space="preserve">张保林</t>
  </si>
  <si>
    <t xml:space="preserve">12:00-15:00</t>
  </si>
  <si>
    <t xml:space="preserve">15:00-20:00</t>
  </si>
  <si>
    <t xml:space="preserve">8:00-13:00</t>
  </si>
  <si>
    <t xml:space="preserve">13:00-18:00</t>
  </si>
  <si>
    <t xml:space="preserve">18:00-24:00</t>
  </si>
  <si>
    <t xml:space="preserve">16:00-19:00</t>
  </si>
  <si>
    <t xml:space="preserve">19:00-24:00</t>
  </si>
  <si>
    <t xml:space="preserve">8:00-11:00</t>
  </si>
  <si>
    <t xml:space="preserve">11:00-16:00</t>
  </si>
  <si>
    <t xml:space="preserve">张楠</t>
  </si>
  <si>
    <t xml:space="preserve">杨博双</t>
  </si>
  <si>
    <t xml:space="preserve">12:00-17:00</t>
  </si>
  <si>
    <t xml:space="preserve">17:00-19:00</t>
  </si>
  <si>
    <t xml:space="preserve">13:00-16:00</t>
  </si>
  <si>
    <t xml:space="preserve">17:00-20:00</t>
  </si>
  <si>
    <t xml:space="preserve">张滋怡双</t>
  </si>
  <si>
    <t xml:space="preserve">13:00-17:00</t>
  </si>
  <si>
    <t xml:space="preserve">8:00-14:00</t>
  </si>
  <si>
    <t xml:space="preserve">14:00-17:00</t>
  </si>
  <si>
    <t xml:space="preserve">陈思钰双</t>
  </si>
  <si>
    <t xml:space="preserve">张见森双</t>
  </si>
  <si>
    <t xml:space="preserve">10:00-14:00</t>
  </si>
  <si>
    <t xml:space="preserve">14:00-18:00</t>
  </si>
  <si>
    <t xml:space="preserve">18:00-22:00</t>
  </si>
  <si>
    <t xml:space="preserve">22:00-2:00</t>
  </si>
  <si>
    <t xml:space="preserve">·</t>
  </si>
  <si>
    <t xml:space="preserve">roi</t>
  </si>
  <si>
    <t xml:space="preserve">日期</t>
  </si>
  <si>
    <t xml:space="preserve">主播</t>
  </si>
  <si>
    <t xml:space="preserve">直播时段</t>
  </si>
  <si>
    <t xml:space="preserve">直播时长</t>
  </si>
  <si>
    <t xml:space="preserve">年缴保单数</t>
  </si>
  <si>
    <t xml:space="preserve">订单数</t>
  </si>
  <si>
    <t xml:space="preserve">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</si>
  <si>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</si>
  <si>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</si>
  <si>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</si>
  <si>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</si>
  <si>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</si>
  <si>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年缴占比</t>
  </si>
  <si>
    <t xml:space="preserve">家庭单</t>
  </si>
  <si>
    <t xml:space="preserve">家庭单占比</t>
  </si>
  <si>
    <t xml:space="preserve">助播</t>
  </si>
  <si>
    <t xml:space="preserve">助播时长</t>
  </si>
  <si>
    <t xml:space="preserve">杨文</t>
  </si>
  <si>
    <t xml:space="preserve">8:00-12:00</t>
  </si>
  <si>
    <t xml:space="preserve">姜晓</t>
  </si>
  <si>
    <t xml:space="preserve">郭一笑</t>
  </si>
  <si>
    <t xml:space="preserve">12:00-16:00</t>
  </si>
  <si>
    <t xml:space="preserve">张保林</t>
  </si>
  <si>
    <t xml:space="preserve">16:00-20:00</t>
  </si>
  <si>
    <t xml:space="preserve">郭璐琪</t>
  </si>
  <si>
    <t xml:space="preserve">20:00-24:00</t>
  </si>
  <si>
    <t xml:space="preserve">张滋怡</t>
  </si>
  <si>
    <t xml:space="preserve">日总</t>
  </si>
  <si>
    <t xml:space="preserve">高雨辰</t>
  </si>
  <si>
    <t xml:space="preserve">董柯言双</t>
  </si>
  <si>
    <t xml:space="preserve">12:00-15:00</t>
  </si>
  <si>
    <t xml:space="preserve">董柯言</t>
  </si>
  <si>
    <t xml:space="preserve">15:00-18:00</t>
  </si>
  <si>
    <t xml:space="preserve">崔红亚</t>
  </si>
  <si>
    <t xml:space="preserve">18:00-20:00</t>
  </si>
  <si>
    <t xml:space="preserve">魏迪</t>
  </si>
  <si>
    <t xml:space="preserve">杨博</t>
  </si>
  <si>
    <t xml:space="preserve">杨博双</t>
  </si>
  <si>
    <t xml:space="preserve">张滋怡双</t>
  </si>
  <si>
    <t xml:space="preserve">8:00-8:15</t>
  </si>
  <si>
    <t xml:space="preserve">8:00-13:00</t>
  </si>
  <si>
    <t xml:space="preserve">13:00-18:00</t>
  </si>
  <si>
    <t xml:space="preserve">李子健双</t>
  </si>
  <si>
    <t xml:space="preserve">何彩樱双</t>
  </si>
  <si>
    <t xml:space="preserve">李子健</t>
  </si>
  <si>
    <t xml:space="preserve">任子硕</t>
  </si>
  <si>
    <t xml:space="preserve">12:00-17:00</t>
  </si>
  <si>
    <t xml:space="preserve">17:00-20:00</t>
  </si>
  <si>
    <t xml:space="preserve">15:00-20:00</t>
  </si>
  <si>
    <t xml:space="preserve">张见森双</t>
  </si>
  <si>
    <t xml:space="preserve">崔志丹</t>
  </si>
  <si>
    <t xml:space="preserve">13:00-17:00</t>
  </si>
  <si>
    <t xml:space="preserve">贾占通双</t>
  </si>
  <si>
    <t xml:space="preserve">贾占通</t>
  </si>
  <si>
    <t xml:space="preserve">姜晓双</t>
  </si>
  <si>
    <t xml:space="preserve">18:00-23:00</t>
  </si>
  <si>
    <t xml:space="preserve">16:00-19:00</t>
  </si>
  <si>
    <t xml:space="preserve">19:00-23:00</t>
  </si>
  <si>
    <t xml:space="preserve">何莎</t>
  </si>
  <si>
    <t xml:space="preserve">17:00-19:00</t>
  </si>
  <si>
    <t xml:space="preserve">6:00-11:00</t>
  </si>
  <si>
    <t xml:space="preserve">李子健早</t>
  </si>
  <si>
    <t xml:space="preserve">李桐</t>
  </si>
  <si>
    <t xml:space="preserve">11:00-13:00</t>
  </si>
  <si>
    <t xml:space="preserve">17:00-21:00</t>
  </si>
  <si>
    <t xml:space="preserve">21:00-02:00</t>
  </si>
  <si>
    <t xml:space="preserve">13:00-16:00</t>
  </si>
  <si>
    <t xml:space="preserve">16:00-21:00</t>
  </si>
  <si>
    <t xml:space="preserve">11:00-14:00</t>
  </si>
  <si>
    <t xml:space="preserve">14:00-16:00</t>
  </si>
  <si>
    <t xml:space="preserve">魏迪双</t>
  </si>
  <si>
    <t xml:space="preserve">姜晓早</t>
  </si>
  <si>
    <t xml:space="preserve">11:00-16:00</t>
  </si>
  <si>
    <t xml:space="preserve">21:00-23:00</t>
  </si>
  <si>
    <t xml:space="preserve">宁凯静</t>
  </si>
  <si>
    <t xml:space="preserve">roi</t>
  </si>
  <si>
    <t xml:space="preserve">日期</t>
  </si>
  <si>
    <t xml:space="preserve">主播</t>
  </si>
  <si>
    <t xml:space="preserve">直播时段</t>
  </si>
  <si>
    <t xml:space="preserve">直播时长</t>
  </si>
  <si>
    <t xml:space="preserve">年缴保单数</t>
  </si>
  <si>
    <t xml:space="preserve">订单数</t>
  </si>
  <si>
    <t xml:space="preserve">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</si>
  <si>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</si>
  <si>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</si>
  <si>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</si>
  <si>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</si>
  <si>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</si>
  <si>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年缴占比</t>
  </si>
  <si>
    <t xml:space="preserve">家庭单</t>
  </si>
  <si>
    <t xml:space="preserve">家庭单占比</t>
  </si>
  <si>
    <t xml:space="preserve">助播</t>
  </si>
  <si>
    <t xml:space="preserve">助播时长</t>
  </si>
  <si>
    <t xml:space="preserve">高雨辰</t>
  </si>
  <si>
    <t xml:space="preserve">11:00-16:00</t>
  </si>
  <si>
    <t xml:space="preserve">姜晓</t>
  </si>
  <si>
    <t xml:space="preserve">何莎</t>
  </si>
  <si>
    <t xml:space="preserve">16:00-21:00</t>
  </si>
  <si>
    <t xml:space="preserve">郭璐琪</t>
  </si>
  <si>
    <t xml:space="preserve">21:00-02:00</t>
  </si>
  <si>
    <t xml:space="preserve">宁凯静晚</t>
  </si>
  <si>
    <t xml:space="preserve">日总</t>
  </si>
  <si>
    <t xml:space="preserve">6:00-11:00</t>
  </si>
  <si>
    <t xml:space="preserve">姜晓早</t>
  </si>
  <si>
    <t xml:space="preserve">杨文</t>
  </si>
  <si>
    <t xml:space="preserve">刘晓坤</t>
  </si>
  <si>
    <t xml:space="preserve">11:00-13:00</t>
  </si>
  <si>
    <t xml:space="preserve">李桐</t>
  </si>
  <si>
    <t xml:space="preserve">13:00-17:00</t>
  </si>
  <si>
    <t xml:space="preserve">17:00-22:00</t>
  </si>
  <si>
    <t xml:space="preserve">22:00-02:00</t>
  </si>
  <si>
    <t xml:space="preserve">16:00-18:00</t>
  </si>
  <si>
    <t xml:space="preserve">崔红亚</t>
  </si>
  <si>
    <t xml:space="preserve">18:00-21:00</t>
  </si>
  <si>
    <t xml:space="preserve">11:00-15:00</t>
  </si>
  <si>
    <t xml:space="preserve">15:00-17:00</t>
  </si>
  <si>
    <t xml:space="preserve">17:00-21:00</t>
  </si>
  <si>
    <t xml:space="preserve">6:00-10:00</t>
  </si>
  <si>
    <t xml:space="preserve">10:00-14:00</t>
  </si>
  <si>
    <t xml:space="preserve">14:00-19:00</t>
  </si>
  <si>
    <t xml:space="preserve">19:00-20:00</t>
  </si>
  <si>
    <t xml:space="preserve">20:00-02:00</t>
  </si>
  <si>
    <t xml:space="preserve">10:00-13:00</t>
  </si>
  <si>
    <t xml:space="preserve">14:00-17:00</t>
  </si>
  <si>
    <t xml:space="preserve">姜晓双</t>
  </si>
  <si>
    <t xml:space="preserve">陈庆娴</t>
  </si>
  <si>
    <t xml:space="preserve">10:00-12:00</t>
  </si>
  <si>
    <t xml:space="preserve">12:00-17:00</t>
  </si>
  <si>
    <t xml:space="preserve">10:00-15:00</t>
  </si>
  <si>
    <t xml:space="preserve">15:00-19:00</t>
  </si>
  <si>
    <t xml:space="preserve">19:00-21:00</t>
  </si>
  <si>
    <t xml:space="preserve">14:00-18:00</t>
  </si>
  <si>
    <t xml:space="preserve">张保林</t>
  </si>
  <si>
    <t xml:space="preserve">13:00-16:00</t>
  </si>
  <si>
    <t xml:space="preserve">张见森双</t>
  </si>
  <si>
    <t xml:space="preserve">姜晓晚</t>
  </si>
  <si>
    <t xml:space="preserve">15:00-20:00</t>
  </si>
  <si>
    <t xml:space="preserve">20:00-22:00</t>
  </si>
  <si>
    <t xml:space="preserve">李子健双</t>
  </si>
  <si>
    <t xml:space="preserve">李子健晚</t>
  </si>
  <si>
    <t xml:space="preserve">杨博晚</t>
  </si>
  <si>
    <t xml:space="preserve">杨博双</t>
  </si>
  <si>
    <t xml:space="preserve">李哲双</t>
  </si>
  <si>
    <t xml:space="preserve">16:00-19:00</t>
  </si>
  <si>
    <t xml:space="preserve">21:00-01:00</t>
  </si>
  <si>
    <t xml:space="preserve">roi</t>
  </si>
  <si>
    <t xml:space="preserve">日期</t>
  </si>
  <si>
    <t xml:space="preserve">主播</t>
  </si>
  <si>
    <t xml:space="preserve">直播时段</t>
  </si>
  <si>
    <t xml:space="preserve">直播时长</t>
  </si>
  <si>
    <t xml:space="preserve">年缴保单数</t>
  </si>
  <si>
    <t xml:space="preserve">订单数</t>
  </si>
  <si>
    <t xml:space="preserve">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</si>
  <si>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</si>
  <si>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</si>
  <si>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</si>
  <si>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</si>
  <si>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</si>
  <si>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年缴占比</t>
  </si>
  <si>
    <t xml:space="preserve">家庭单</t>
  </si>
  <si>
    <t xml:space="preserve">家庭单占比</t>
  </si>
  <si>
    <t xml:space="preserve">助播</t>
  </si>
  <si>
    <t xml:space="preserve">助播时长</t>
  </si>
  <si>
    <t xml:space="preserve">杨文</t>
  </si>
  <si>
    <t xml:space="preserve">6:00-11:00</t>
  </si>
  <si>
    <t xml:space="preserve">李子健早</t>
  </si>
  <si>
    <t xml:space="preserve">何莎</t>
  </si>
  <si>
    <t xml:space="preserve">11:00-15:00</t>
  </si>
  <si>
    <t xml:space="preserve">陈庆娴</t>
  </si>
  <si>
    <t xml:space="preserve">15:00-17:00</t>
  </si>
  <si>
    <t xml:space="preserve">刘晓坤</t>
  </si>
  <si>
    <t xml:space="preserve">17:00-21:00</t>
  </si>
  <si>
    <t xml:space="preserve">高雨辰</t>
  </si>
  <si>
    <t xml:space="preserve">21:00-02:00</t>
  </si>
  <si>
    <t xml:space="preserve">杨博双</t>
  </si>
  <si>
    <t xml:space="preserve">日总</t>
  </si>
  <si>
    <t xml:space="preserve">张见森双</t>
  </si>
  <si>
    <t xml:space="preserve">郭璐琪</t>
  </si>
  <si>
    <t xml:space="preserve">11:00-16:00</t>
  </si>
  <si>
    <t xml:space="preserve">16:00-21:00</t>
  </si>
  <si>
    <t xml:space="preserve">姜晓晚</t>
  </si>
  <si>
    <t xml:space="preserve">6:00-8:30</t>
  </si>
  <si>
    <t xml:space="preserve">8:30-11:00</t>
  </si>
  <si>
    <t xml:space="preserve">6:00-10:00</t>
  </si>
  <si>
    <t xml:space="preserve">10:00-14:00</t>
  </si>
  <si>
    <t xml:space="preserve">左璐筠</t>
  </si>
  <si>
    <t xml:space="preserve">14:00-16:00</t>
  </si>
  <si>
    <t xml:space="preserve">魏迪双</t>
  </si>
  <si>
    <t xml:space="preserve">17:00-20:00</t>
  </si>
  <si>
    <t xml:space="preserve">20:00-02:00</t>
  </si>
  <si>
    <t xml:space="preserve">陈思钰双</t>
  </si>
  <si>
    <t xml:space="preserve">杨博早</t>
  </si>
  <si>
    <t xml:space="preserve">张见森晚</t>
  </si>
  <si>
    <t xml:space="preserve">李杜娟</t>
  </si>
  <si>
    <t xml:space="preserve">10:00-15:00</t>
  </si>
  <si>
    <t xml:space="preserve">田甜</t>
  </si>
  <si>
    <t xml:space="preserve">17:00-22:00</t>
  </si>
  <si>
    <t xml:space="preserve">22:00-02:00</t>
  </si>
  <si>
    <t xml:space="preserve">14:00-17:00</t>
  </si>
  <si>
    <t xml:space="preserve">宁凯静晚</t>
  </si>
  <si>
    <t xml:space="preserve">闫小姗双</t>
  </si>
  <si>
    <t xml:space="preserve">姜晓早</t>
  </si>
  <si>
    <t xml:space="preserve">15:00-21:00</t>
  </si>
  <si>
    <t xml:space="preserve">宁凯静早</t>
  </si>
  <si>
    <t xml:space="preserve">roi</t>
  </si>
  <si>
    <t xml:space="preserve">日期</t>
  </si>
  <si>
    <t xml:space="preserve">主播</t>
  </si>
  <si>
    <t xml:space="preserve">直播时段</t>
  </si>
  <si>
    <t xml:space="preserve">直播时长</t>
  </si>
  <si>
    <t xml:space="preserve">年缴保单数</t>
  </si>
  <si>
    <t xml:space="preserve">订单数</t>
  </si>
  <si>
    <t xml:space="preserve">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</si>
  <si>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</si>
  <si>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</si>
  <si>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</si>
  <si>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</si>
  <si>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</si>
  <si>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年缴占比</t>
  </si>
  <si>
    <t xml:space="preserve">家庭单</t>
  </si>
  <si>
    <t xml:space="preserve">家庭单占比</t>
  </si>
  <si>
    <t xml:space="preserve">助播</t>
  </si>
  <si>
    <t xml:space="preserve">助播时长</t>
  </si>
  <si>
    <t xml:space="preserve">2026/09/01</t>
  </si>
  <si>
    <t xml:space="preserve">何莎</t>
  </si>
  <si>
    <t xml:space="preserve">6:00-11:00</t>
  </si>
  <si>
    <t xml:space="preserve">姜晓早</t>
  </si>
  <si>
    <t xml:space="preserve">高雨辰</t>
  </si>
  <si>
    <t xml:space="preserve">11:00-16:00</t>
  </si>
  <si>
    <t xml:space="preserve">刘晓坤</t>
  </si>
  <si>
    <t xml:space="preserve">16:00-21:00</t>
  </si>
  <si>
    <t xml:space="preserve">张见森晚</t>
  </si>
  <si>
    <t xml:space="preserve">郭璐琪</t>
  </si>
  <si>
    <t xml:space="preserve">21:00-02:00</t>
  </si>
  <si>
    <t xml:space="preserve">日总</t>
  </si>
  <si>
    <t xml:space="preserve">2026/09/02</t>
  </si>
  <si>
    <t xml:space="preserve">2026/09/03</t>
  </si>
  <si>
    <t xml:space="preserve">2026/09/04</t>
  </si>
  <si>
    <t xml:space="preserve">2026/09/05</t>
  </si>
  <si>
    <t xml:space="preserve">高琎梅早</t>
  </si>
  <si>
    <t xml:space="preserve">杨文</t>
  </si>
  <si>
    <t xml:space="preserve">2026/09/06</t>
  </si>
  <si>
    <t xml:space="preserve">2026/09/07</t>
  </si>
  <si>
    <t xml:space="preserve">闫小姗双</t>
  </si>
  <si>
    <t xml:space="preserve">高琎梅晚</t>
  </si>
  <si>
    <t xml:space="preserve">2026/09/08</t>
  </si>
  <si>
    <t xml:space="preserve">李哲早</t>
  </si>
  <si>
    <t xml:space="preserve">2026/09/09</t>
  </si>
  <si>
    <t xml:space="preserve">16:00-18:30</t>
  </si>
  <si>
    <t xml:space="preserve">高琎梅双</t>
  </si>
  <si>
    <t xml:space="preserve">21:30-02:00</t>
  </si>
  <si>
    <t xml:space="preserve">2026/09/10</t>
  </si>
  <si>
    <t xml:space="preserve">2026/09/11</t>
  </si>
  <si>
    <t xml:space="preserve">张见森早</t>
  </si>
  <si>
    <t xml:space="preserve">2026/09/12</t>
  </si>
  <si>
    <t xml:space="preserve">2026/09/13</t>
  </si>
  <si>
    <t xml:space="preserve">11:00-15:00</t>
  </si>
  <si>
    <t xml:space="preserve">王恬</t>
  </si>
  <si>
    <t xml:space="preserve">15:00-17:00</t>
  </si>
  <si>
    <t xml:space="preserve">17:00-21:00</t>
  </si>
  <si>
    <t xml:space="preserve">2026/09/14</t>
  </si>
  <si>
    <t xml:space="preserve">6:00-10:00</t>
  </si>
  <si>
    <t xml:space="preserve">10:00-15:00</t>
  </si>
  <si>
    <t xml:space="preserve">宁凯静晚</t>
  </si>
  <si>
    <t xml:space="preserve">2026/09/15</t>
  </si>
  <si>
    <t xml:space="preserve">2026/09/16</t>
  </si>
  <si>
    <t xml:space="preserve">2026/09/17</t>
  </si>
  <si>
    <t xml:space="preserve">张滋怡双</t>
  </si>
  <si>
    <t xml:space="preserve">2026/09/18</t>
  </si>
  <si>
    <t xml:space="preserve">10:00-14:00</t>
  </si>
  <si>
    <t xml:space="preserve">14:00-18:00</t>
  </si>
  <si>
    <t xml:space="preserve">18:00-20:00/21:00-22:00</t>
  </si>
  <si>
    <t xml:space="preserve">22:00-02:00</t>
  </si>
  <si>
    <t xml:space="preserve">2026/09/19</t>
  </si>
  <si>
    <t xml:space="preserve">18:00-22:00</t>
  </si>
  <si>
    <t xml:space="preserve">2026/09/20</t>
  </si>
  <si>
    <t xml:space="preserve">18:00-21:00</t>
  </si>
  <si>
    <t xml:space="preserve">21:00-01:00</t>
  </si>
  <si>
    <t xml:space="preserve">2026/09/21</t>
  </si>
  <si>
    <t xml:space="preserve">任子硕早</t>
  </si>
  <si>
    <t xml:space="preserve">21:00-23:30</t>
  </si>
  <si>
    <t xml:space="preserve">李哲晚</t>
  </si>
  <si>
    <t xml:space="preserve">李杜娟</t>
  </si>
  <si>
    <t xml:space="preserve">23:30-02:00</t>
  </si>
  <si>
    <t xml:space="preserve">2026/09/22</t>
  </si>
  <si>
    <t xml:space="preserve">2026/09/23</t>
  </si>
  <si>
    <t xml:space="preserve">张滋怡早</t>
  </si>
  <si>
    <t xml:space="preserve">2026/09/24</t>
  </si>
  <si>
    <t xml:space="preserve">宁凯静早</t>
  </si>
  <si>
    <t xml:space="preserve">2026/09/25</t>
  </si>
  <si>
    <t xml:space="preserve">2026/09/26</t>
  </si>
  <si>
    <t xml:space="preserve">2026/09/27</t>
  </si>
  <si>
    <t xml:space="preserve">2026/09/28</t>
  </si>
  <si>
    <t xml:space="preserve">2026/09/29</t>
  </si>
  <si>
    <t xml:space="preserve">2026/09/30</t>
  </si>
  <si>
    <t xml:space="preserve">求和项:助播时长</t>
  </si>
  <si>
    <t xml:space="preserve">总计</t>
  </si>
  <si>
    <t xml:space="preserve">日期</t>
  </si>
  <si>
    <t xml:space="preserve">主播</t>
  </si>
  <si>
    <t xml:space="preserve">直播时段</t>
  </si>
  <si>
    <t xml:space="preserve">直播时长</t>
  </si>
  <si>
    <t xml:space="preserve">年缴保单数</t>
  </si>
  <si>
    <t xml:space="preserve">订单数</t>
  </si>
  <si>
    <t xml:space="preserve">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</si>
  <si>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</si>
  <si>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</si>
  <si>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</si>
  <si>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</si>
  <si>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</si>
  <si>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年缴占比</t>
  </si>
  <si>
    <t xml:space="preserve">家庭单</t>
  </si>
  <si>
    <t xml:space="preserve">家庭单占比</t>
  </si>
  <si>
    <t xml:space="preserve">助播</t>
  </si>
  <si>
    <t xml:space="preserve">助播时长</t>
  </si>
  <si>
    <t xml:space="preserve">2026/10/01</t>
  </si>
  <si>
    <t xml:space="preserve">杨文</t>
  </si>
  <si>
    <t xml:space="preserve">6:00-11:00</t>
  </si>
  <si>
    <t xml:space="preserve">宁凯静早</t>
  </si>
  <si>
    <t xml:space="preserve">郭璐琪</t>
  </si>
  <si>
    <t xml:space="preserve">11:00-16:00</t>
  </si>
  <si>
    <t xml:space="preserve">王恬</t>
  </si>
  <si>
    <t xml:space="preserve">16:00-21:00</t>
  </si>
  <si>
    <t xml:space="preserve">高雨辰</t>
  </si>
  <si>
    <t xml:space="preserve">21:00-02:00</t>
  </si>
  <si>
    <t xml:space="preserve">张见森晚</t>
  </si>
  <si>
    <t xml:space="preserve">日总</t>
  </si>
  <si>
    <t xml:space="preserve">2026/10/02</t>
  </si>
  <si>
    <t xml:space="preserve">何莎</t>
  </si>
  <si>
    <t xml:space="preserve">张滋怡双</t>
  </si>
  <si>
    <t xml:space="preserve">2026/10/03</t>
  </si>
  <si>
    <t xml:space="preserve">2026/10/04</t>
  </si>
  <si>
    <t xml:space="preserve">2026/10/05</t>
  </si>
  <si>
    <t xml:space="preserve">张见森早</t>
  </si>
  <si>
    <t xml:space="preserve">11:00-15:00</t>
  </si>
  <si>
    <t xml:space="preserve">15:00-20:00</t>
  </si>
  <si>
    <t xml:space="preserve">20:00-02:00</t>
  </si>
  <si>
    <t xml:space="preserve">宁凯静晚</t>
  </si>
  <si>
    <t xml:space="preserve">2026/10/06</t>
  </si>
  <si>
    <t xml:space="preserve">姜晓双</t>
  </si>
  <si>
    <t xml:space="preserve">2026/10/07</t>
  </si>
  <si>
    <t xml:space="preserve">2026/10/08</t>
  </si>
  <si>
    <t xml:space="preserve">2026/10/09</t>
  </si>
  <si>
    <t xml:space="preserve">2026/10/10</t>
  </si>
  <si>
    <t xml:space="preserve">张滋怡晚</t>
  </si>
  <si>
    <t xml:space="preserve">2026/10/11</t>
  </si>
  <si>
    <t xml:space="preserve">2026/10/12</t>
  </si>
  <si>
    <t xml:space="preserve">2026/10/13</t>
  </si>
  <si>
    <t xml:space="preserve">杨博晚</t>
  </si>
  <si>
    <t xml:space="preserve">2026/10/14</t>
  </si>
  <si>
    <t xml:space="preserve">2026/10/15</t>
  </si>
  <si>
    <t xml:space="preserve">2026/10/16</t>
  </si>
  <si>
    <t xml:space="preserve">2026/10/17</t>
  </si>
  <si>
    <t xml:space="preserve">2026/10/18</t>
  </si>
  <si>
    <t xml:space="preserve">2026/10/19</t>
  </si>
  <si>
    <t xml:space="preserve">日期</t>
  </si>
  <si>
    <t xml:space="preserve">主播</t>
  </si>
  <si>
    <t xml:space="preserve">直播时段</t>
  </si>
  <si>
    <t xml:space="preserve">直播时长</t>
  </si>
  <si>
    <t xml:space="preserve">年缴保单数</t>
  </si>
  <si>
    <t xml:space="preserve">订单数</t>
  </si>
  <si>
    <t xml:space="preserve">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</si>
  <si>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</si>
  <si>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</si>
  <si>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</si>
  <si>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</si>
  <si>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</si>
  <si>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年缴占比</t>
  </si>
  <si>
    <t xml:space="preserve">家庭单</t>
  </si>
  <si>
    <t xml:space="preserve">家庭单占比</t>
  </si>
  <si>
    <t xml:space="preserve">助播</t>
  </si>
  <si>
    <t xml:space="preserve">助播时长</t>
  </si>
  <si>
    <t xml:space="preserve">2026/10/01</t>
  </si>
  <si>
    <t xml:space="preserve">杨文</t>
  </si>
  <si>
    <t xml:space="preserve">6:00-11:00</t>
  </si>
  <si>
    <t xml:space="preserve">宁凯静早</t>
  </si>
  <si>
    <t xml:space="preserve">郭璐琪</t>
  </si>
  <si>
    <t xml:space="preserve">11:00-16:00</t>
  </si>
  <si>
    <t xml:space="preserve">王恬</t>
  </si>
  <si>
    <t xml:space="preserve">16:00-21:00</t>
  </si>
  <si>
    <t xml:space="preserve">高雨辰</t>
  </si>
  <si>
    <t xml:space="preserve">21:00-02:00</t>
  </si>
  <si>
    <t xml:space="preserve">张见森晚</t>
  </si>
  <si>
    <t xml:space="preserve">日总</t>
  </si>
  <si>
    <t xml:space="preserve">2026/10/02</t>
  </si>
  <si>
    <t xml:space="preserve">何莎</t>
  </si>
  <si>
    <t xml:space="preserve">张滋怡双</t>
  </si>
  <si>
    <t xml:space="preserve">2026/10/03</t>
  </si>
  <si>
    <t xml:space="preserve">2026/10/04</t>
  </si>
  <si>
    <t xml:space="preserve">2026/10/05</t>
  </si>
  <si>
    <t xml:space="preserve">张见森早</t>
  </si>
  <si>
    <t xml:space="preserve">11:00-15:00</t>
  </si>
  <si>
    <t xml:space="preserve">15:00-20:00</t>
  </si>
  <si>
    <t xml:space="preserve">20:00-02:00</t>
  </si>
  <si>
    <t xml:space="preserve">宁凯静晚</t>
  </si>
  <si>
    <t xml:space="preserve">2026/10/06</t>
  </si>
  <si>
    <t xml:space="preserve">姜晓双</t>
  </si>
  <si>
    <t xml:space="preserve">2026/10/07</t>
  </si>
  <si>
    <t xml:space="preserve">2026/10/08</t>
  </si>
  <si>
    <t xml:space="preserve">2026/10/09</t>
  </si>
  <si>
    <t xml:space="preserve">2026/10/10</t>
  </si>
  <si>
    <t xml:space="preserve">张滋怡晚</t>
  </si>
  <si>
    <t xml:space="preserve">2026/10/11</t>
  </si>
  <si>
    <t xml:space="preserve">2026/10/12</t>
  </si>
  <si>
    <t xml:space="preserve">2026/10/13</t>
  </si>
  <si>
    <t xml:space="preserve">杨博晚</t>
  </si>
  <si>
    <t xml:space="preserve">2026/10/14</t>
  </si>
  <si>
    <t xml:space="preserve">2026/10/15</t>
  </si>
  <si>
    <t xml:space="preserve">2026/10/16</t>
  </si>
  <si>
    <t xml:space="preserve">2026/10/17</t>
  </si>
  <si>
    <t xml:space="preserve">2026/10/18</t>
  </si>
  <si>
    <t xml:space="preserve">roi </t>
  </si>
  <si>
    <t xml:space="preserve">日期</t>
  </si>
  <si>
    <t xml:space="preserve">主播</t>
  </si>
  <si>
    <t xml:space="preserve">直播时段</t>
  </si>
  <si>
    <t xml:space="preserve">直播时长</t>
  </si>
  <si>
    <t xml:space="preserve">年缴保单数</t>
  </si>
  <si>
    <t xml:space="preserve">订单数</t>
  </si>
  <si>
    <t xml:space="preserve">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</si>
  <si>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</si>
  <si>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</si>
  <si>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</si>
  <si>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</si>
  <si>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</si>
  <si>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年缴占比</t>
  </si>
  <si>
    <t xml:space="preserve">家庭单</t>
  </si>
  <si>
    <t xml:space="preserve">家庭单占比</t>
  </si>
  <si>
    <t xml:space="preserve">助播</t>
  </si>
  <si>
    <t xml:space="preserve">助播时长</t>
  </si>
  <si>
    <t xml:space="preserve">2026/10/12</t>
  </si>
  <si>
    <t xml:space="preserve">何莎</t>
  </si>
  <si>
    <t xml:space="preserve">6:00-11:00</t>
  </si>
  <si>
    <t xml:space="preserve">宁凯静早</t>
  </si>
  <si>
    <t xml:space="preserve">郭璐琪</t>
  </si>
  <si>
    <t xml:space="preserve">11:00-16:00</t>
  </si>
  <si>
    <t xml:space="preserve">杨文</t>
  </si>
  <si>
    <t xml:space="preserve">16:00-21:00</t>
  </si>
  <si>
    <t xml:space="preserve">王恬</t>
  </si>
  <si>
    <t xml:space="preserve">21:00-02:00</t>
  </si>
  <si>
    <t xml:space="preserve">张滋怡晚</t>
  </si>
  <si>
    <t xml:space="preserve">日总</t>
  </si>
  <si>
    <t xml:space="preserve">2026/10/13</t>
  </si>
  <si>
    <t xml:space="preserve">高雨辰</t>
  </si>
  <si>
    <t xml:space="preserve">杨博晚</t>
  </si>
  <si>
    <t xml:space="preserve">2026/10/14</t>
  </si>
  <si>
    <t xml:space="preserve">2026/10/15</t>
  </si>
  <si>
    <t xml:space="preserve">2026/10/16</t>
  </si>
  <si>
    <t xml:space="preserve">2026/10/17</t>
  </si>
  <si>
    <t xml:space="preserve">2026/10/18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</si>
</sst>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3">
    <numFmt numFmtId="164" formatCode="yyyy/MM/dd"/>
    <numFmt numFmtId="165" formatCode="0.00_);[Red](0.00)"/>
    <numFmt numFmtId="166" formatCode="#,##0.00"/>
    <numFmt numFmtId="167" formatCode="0.00"/>
    <numFmt numFmtId="168" formatCode="h:mm;@"/>
    <numFmt numFmtId="169" formatCode="0.00_);[Red]\(0.00\)"/>
    <numFmt numFmtId="170" formatCode="yyyy/MM/dd"/>
    <numFmt numFmtId="171" formatCode="0.00_);[Red](0.00)"/>
    <numFmt numFmtId="172" formatCode="h:mm;@"/>
    <numFmt numFmtId="173" formatCode="#,##0.00"/>
    <numFmt numFmtId="174" formatCode="0.00"/>
    <numFmt numFmtId="175" formatCode="0.00_);[Red]\(0.00\)"/>
    <numFmt numFmtId="176" formatCode="0.00%"/>
    <numFmt numFmtId="177" formatCode="yyyy/MM/dd"/>
    <numFmt numFmtId="178" formatCode="0.00_);[Red](0.00)"/>
    <numFmt numFmtId="179" formatCode="h:mm;@"/>
    <numFmt numFmtId="180" formatCode="#,##0.00"/>
    <numFmt numFmtId="181" formatCode="0.00"/>
    <numFmt numFmtId="182" formatCode="0.00%"/>
    <numFmt numFmtId="183" formatCode="0.00_);[Red]\(0.00\)"/>
    <numFmt numFmtId="184" formatCode="0"/>
    <numFmt numFmtId="185" formatCode="0.00_);(0.00)"/>
    <numFmt numFmtId="186" formatCode="yyyy/MM/dd"/>
    <numFmt numFmtId="187" formatCode="0.00_);[Red](0.00)"/>
    <numFmt numFmtId="188" formatCode="h:mm;@"/>
    <numFmt numFmtId="189" formatCode="#,##0.00"/>
    <numFmt numFmtId="190" formatCode="0.00"/>
    <numFmt numFmtId="191" formatCode="0.00%"/>
    <numFmt numFmtId="192" formatCode="0"/>
    <numFmt numFmtId="193" formatCode="0.00_);[Red]\(0.00\)"/>
    <numFmt numFmtId="194" formatCode="0.0"/>
    <numFmt numFmtId="195" formatCode="0_);(0)"/>
    <numFmt numFmtId="196" formatCode="yyyy/MM/dd"/>
    <numFmt numFmtId="197" formatCode="0.00_);[Red](0.00)"/>
    <numFmt numFmtId="198" formatCode="h:mm;@"/>
    <numFmt numFmtId="199" formatCode="#,##0.00"/>
    <numFmt numFmtId="200" formatCode="0.00"/>
    <numFmt numFmtId="201" formatCode="0.00%"/>
    <numFmt numFmtId="202" formatCode="0"/>
    <numFmt numFmtId="203" formatCode="0.00_);[Red]\(0.00\)"/>
    <numFmt numFmtId="204" formatCode="General"/>
    <numFmt numFmtId="205" formatCode="yyyy/MM/dd"/>
    <numFmt numFmtId="206" formatCode="0.00_);[Red](0.00)"/>
    <numFmt numFmtId="207" formatCode="#,##0.00"/>
    <numFmt numFmtId="208" formatCode="0.00"/>
    <numFmt numFmtId="209" formatCode="0.00%"/>
    <numFmt numFmtId="210" formatCode="0"/>
    <numFmt numFmtId="211" formatCode="h:mm;@"/>
    <numFmt numFmtId="212" formatCode="0.00_);(0.00)"/>
    <numFmt numFmtId="213" formatCode="0.00_);[Red]\(0.00\)"/>
    <numFmt numFmtId="214" formatCode="yyyy/MM/dd"/>
    <numFmt numFmtId="215" formatCode="0.00_);[Red](0.00)"/>
    <numFmt numFmtId="216" formatCode="0"/>
    <numFmt numFmtId="217" formatCode="#,##0.00"/>
    <numFmt numFmtId="218" formatCode="0.00"/>
    <numFmt numFmtId="219" formatCode="0.00%"/>
    <numFmt numFmtId="220" formatCode="0.00_);[Red]\(0.00\)"/>
    <numFmt numFmtId="221" formatCode="General"/>
    <numFmt numFmtId="222" formatCode="0.00_);(0.00)"/>
    <numFmt numFmtId="223" formatCode="0_);(0)"/>
    <numFmt numFmtId="224" formatCode="yyyy/MM/dd"/>
    <numFmt numFmtId="225" formatCode="0.00_);[Red](0.00)"/>
    <numFmt numFmtId="226" formatCode="0"/>
    <numFmt numFmtId="227" formatCode="#,##0.00"/>
    <numFmt numFmtId="228" formatCode="0.00"/>
    <numFmt numFmtId="229" formatCode="0.00%"/>
    <numFmt numFmtId="230" formatCode="0.00_);[Red]\(0.00\)"/>
    <numFmt numFmtId="231" formatCode="@"/>
    <numFmt numFmtId="232" formatCode="0.00_);[Red](0.00)"/>
    <numFmt numFmtId="233" formatCode="0"/>
    <numFmt numFmtId="234" formatCode="#,##0.00"/>
    <numFmt numFmtId="235" formatCode="0.00"/>
    <numFmt numFmtId="236" formatCode="0.00%"/>
    <numFmt numFmtId="237" formatCode="0.00_);[Red]\(0.00\)"/>
    <numFmt numFmtId="238" formatCode="0.00_);(0.00)"/>
    <numFmt numFmtId="239" formatCode="0.0000_);(0.0000)"/>
    <numFmt numFmtId="240" formatCode="0.00000_);(0.00000)"/>
    <numFmt numFmtId="241" formatCode="@"/>
    <numFmt numFmtId="242" formatCode="0.00_);[Red](0.00)"/>
    <numFmt numFmtId="243" formatCode="0"/>
    <numFmt numFmtId="244" formatCode="#,##0.00"/>
    <numFmt numFmtId="245" formatCode="0.00"/>
    <numFmt numFmtId="246" formatCode="0.00%"/>
    <numFmt numFmtId="247" formatCode="0.00_);[Red]\(0.00\)"/>
    <numFmt numFmtId="248" formatCode="0_);(0)"/>
    <numFmt numFmtId="249" formatCode="0.00_);(0.00)"/>
    <numFmt numFmtId="250" formatCode="@"/>
    <numFmt numFmtId="251" formatCode="0.00_);[Red](0.00)"/>
    <numFmt numFmtId="252" formatCode="0"/>
    <numFmt numFmtId="253" formatCode="#,##0.00"/>
    <numFmt numFmtId="254" formatCode="0.00"/>
    <numFmt numFmtId="255" formatCode="0.00%"/>
    <numFmt numFmtId="256" formatCode="0.00_);[Red]\(0.00\)"/>
    <numFmt numFmtId="257" formatCode="0_);(0)"/>
    <numFmt numFmtId="258" formatCode="0.00_);(0.00)"/>
    <numFmt numFmtId="259" formatCode="@"/>
    <numFmt numFmtId="260" formatCode="0.00_);[Red](0.00)"/>
    <numFmt numFmtId="261" formatCode="0"/>
    <numFmt numFmtId="262" formatCode="#,##0.00"/>
    <numFmt numFmtId="263" formatCode="0.00"/>
    <numFmt numFmtId="264" formatCode="0.00%"/>
    <numFmt numFmtId="265" formatCode="0.00_);[Red]\(0.00\)"/>
    <numFmt numFmtId="266" formatCode="0.00_);(0.00)"/>
  </numFmts>
  <fonts count="1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DE3C36"/>
      <name val="Calibri"/>
      <family val="2"/>
      <scheme val="minor"/>
    </font>
    <font>
      <b val="true"/>
      <sz val="18"/>
      <color rgb="FFF54A45"/>
      <name val="Calibri"/>
      <family val="2"/>
      <scheme val="minor"/>
    </font>
    <font>
      <b val="true"/>
      <sz val="14"/>
      <color rgb="FFF01D94"/>
      <name val="Calibri"/>
      <family val="2"/>
      <scheme val="minor"/>
    </font>
    <font>
      <b val="true"/>
      <sz val="24"/>
      <color rgb="FF1F2329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b val="true"/>
      <sz val="10"/>
      <color rgb="FF1F2329"/>
      <name val="Calibri"/>
      <family val="2"/>
      <scheme val="minor"/>
    </font>
  </fonts>
  <fills count="5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FFF258"/>
        <bgColor/>
      </patternFill>
    </fill>
    <fill>
      <patternFill patternType="solid">
        <fgColor rgb="FFFED4A4"/>
        <bgColor/>
      </patternFill>
    </fill>
    <fill>
      <patternFill patternType="solid">
        <fgColor rgb="FFF01D94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FFF258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7EDAFB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FFFFFF"/>
        <bgColor/>
      </patternFill>
    </fill>
    <fill>
      <patternFill patternType="solid">
        <fgColor rgb="FF1C4CBA"/>
        <bgColor/>
      </patternFill>
    </fill>
    <fill>
      <patternFill patternType="solid">
        <fgColor rgb="FFF0F4FF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1C4CBA"/>
        <bgColor/>
      </patternFill>
    </fill>
    <fill>
      <patternFill patternType="solid">
        <fgColor rgb="FFF0F4FF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DEB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</fills>
  <borders count="9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/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C4CBA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C4CBA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2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4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2" fillId="0" fontId="3" numFmtId="0" xfId="0">
      <alignment horizontal="center" vertical="center"/>
    </xf>
    <xf applyAlignment="true" applyBorder="false" applyFill="false" applyFont="true" applyNumberFormat="true" applyProtection="false" borderId="1" fillId="0" fontId="2" numFmtId="166" xfId="0">
      <alignment horizontal="center" vertical="center"/>
    </xf>
    <xf applyAlignment="true" applyBorder="false" applyFill="false" applyFont="true" applyNumberFormat="true" applyProtection="false" borderId="1" fillId="0" fontId="2" numFmtId="167" xfId="0">
      <alignment horizontal="center" vertical="center"/>
    </xf>
    <xf applyAlignment="true" applyBorder="false" applyFill="false" applyFont="true" applyNumberFormat="true" applyProtection="false" borderId="2" fillId="0" fontId="3" numFmtId="168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true" applyFont="true" applyNumberFormat="true" applyProtection="false" borderId="1" fillId="3" fontId="1" numFmtId="164" xfId="0">
      <alignment horizontal="center" vertical="center"/>
    </xf>
    <xf applyAlignment="true" applyBorder="false" applyFill="true" applyFont="true" applyNumberFormat="false" applyProtection="false" borderId="1" fillId="4" fontId="4" numFmtId="0" xfId="0">
      <alignment horizontal="center" vertical="center"/>
    </xf>
    <xf applyAlignment="true" applyBorder="false" applyFill="true" applyFont="true" applyNumberFormat="false" applyProtection="false" borderId="1" fillId="4" fontId="4" numFmtId="0" xfId="0">
      <alignment horizontal="center" vertical="center"/>
    </xf>
    <xf applyAlignment="true" applyBorder="false" applyFill="true" applyFont="true" applyNumberFormat="true" applyProtection="false" borderId="1" fillId="4" fontId="4" numFmtId="166" xfId="0">
      <alignment horizontal="center" vertical="center"/>
    </xf>
    <xf applyAlignment="true" applyBorder="false" applyFill="true" applyFont="true" applyNumberFormat="true" applyProtection="false" borderId="1" fillId="4" fontId="4" numFmtId="167" xfId="0">
      <alignment horizontal="center" vertical="center"/>
    </xf>
    <xf applyAlignment="true" applyBorder="false" applyFill="true" applyFont="true" applyNumberFormat="true" applyProtection="false" borderId="1" fillId="4" fontId="4" numFmtId="169" xfId="0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true" applyFont="true" applyNumberFormat="true" applyProtection="false" borderId="3" fillId="5" fontId="1" numFmtId="170" xfId="0">
      <alignment horizontal="center" vertical="center"/>
    </xf>
    <xf applyAlignment="true" applyBorder="false" applyFill="true" applyFont="true" applyNumberFormat="false" applyProtection="false" borderId="3" fillId="5" fontId="1" numFmtId="0" xfId="0">
      <alignment horizontal="center" vertical="center"/>
    </xf>
    <xf applyAlignment="true" applyBorder="false" applyFill="true" applyFont="true" applyNumberFormat="true" applyProtection="false" borderId="3" fillId="5" fontId="1" numFmtId="171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3" fillId="0" fontId="2" numFmtId="170" xfId="0">
      <alignment horizontal="center" vertical="center"/>
    </xf>
    <xf applyAlignment="true" applyBorder="false" applyFill="false" applyFont="true" applyNumberFormat="true" applyProtection="false" borderId="4" fillId="0" fontId="3" numFmtId="172" xfId="0">
      <alignment horizontal="center" vertical="center"/>
    </xf>
    <xf applyAlignment="true" applyBorder="false" applyFill="false" applyFont="true" applyNumberFormat="false" applyProtection="false" borderId="4" fillId="0" fontId="3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true" applyProtection="false" borderId="3" fillId="0" fontId="2" numFmtId="173" xfId="0">
      <alignment horizontal="center" vertical="center"/>
    </xf>
    <xf applyAlignment="true" applyBorder="false" applyFill="false" applyFont="true" applyNumberFormat="true" applyProtection="false" borderId="3" fillId="0" fontId="2" numFmtId="174" xfId="0">
      <alignment horizontal="center" vertical="center"/>
    </xf>
    <xf applyAlignment="true" applyBorder="false" applyFill="false" applyFont="true" applyNumberFormat="true" applyProtection="false" borderId="4" fillId="0" fontId="3" numFmtId="172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true" applyFont="true" applyNumberFormat="true" applyProtection="false" borderId="3" fillId="6" fontId="1" numFmtId="170" xfId="0">
      <alignment horizontal="center" vertical="center"/>
    </xf>
    <xf applyAlignment="true" applyBorder="false" applyFill="true" applyFont="true" applyNumberFormat="false" applyProtection="false" borderId="3" fillId="7" fontId="4" numFmtId="0" xfId="0">
      <alignment horizontal="center" vertical="center"/>
    </xf>
    <xf applyAlignment="true" applyBorder="false" applyFill="true" applyFont="true" applyNumberFormat="false" applyProtection="false" borderId="3" fillId="7" fontId="4" numFmtId="0" xfId="0">
      <alignment horizontal="center" vertical="center"/>
    </xf>
    <xf applyAlignment="true" applyBorder="false" applyFill="true" applyFont="true" applyNumberFormat="true" applyProtection="false" borderId="3" fillId="7" fontId="4" numFmtId="173" xfId="0">
      <alignment horizontal="center" vertical="center"/>
    </xf>
    <xf applyAlignment="true" applyBorder="false" applyFill="true" applyFont="true" applyNumberFormat="true" applyProtection="false" borderId="3" fillId="7" fontId="4" numFmtId="174" xfId="0">
      <alignment horizontal="center" vertical="center"/>
    </xf>
    <xf applyAlignment="true" applyBorder="false" applyFill="true" applyFont="true" applyNumberFormat="true" applyProtection="false" borderId="3" fillId="7" fontId="4" numFmtId="17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76" xfId="0">
      <alignment vertical="center"/>
    </xf>
    <xf applyAlignment="true" applyBorder="false" applyFill="true" applyFont="true" applyNumberFormat="true" applyProtection="false" borderId="5" fillId="8" fontId="1" numFmtId="177" xfId="0">
      <alignment horizontal="center" vertical="center"/>
    </xf>
    <xf applyAlignment="true" applyBorder="false" applyFill="true" applyFont="true" applyNumberFormat="false" applyProtection="false" borderId="5" fillId="8" fontId="1" numFmtId="0" xfId="0">
      <alignment horizontal="center" vertical="center"/>
    </xf>
    <xf applyAlignment="true" applyBorder="false" applyFill="true" applyFont="true" applyNumberFormat="false" applyProtection="false" borderId="5" fillId="8" fontId="1" numFmtId="0" xfId="0">
      <alignment horizontal="center" vertical="center"/>
    </xf>
    <xf applyAlignment="true" applyBorder="false" applyFill="true" applyFont="true" applyNumberFormat="true" applyProtection="false" borderId="5" fillId="8" fontId="1" numFmtId="178" xfId="0">
      <alignment horizontal="center" vertical="center"/>
    </xf>
    <xf applyAlignment="true" applyBorder="false" applyFill="true" applyFont="true" applyNumberFormat="true" applyProtection="false" borderId="5" fillId="8" fontId="1" numFmtId="178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5" fillId="0" fontId="2" numFmtId="177" xfId="0">
      <alignment horizontal="center" vertical="center"/>
    </xf>
    <xf applyAlignment="true" applyBorder="false" applyFill="false" applyFont="true" applyNumberFormat="true" applyProtection="false" borderId="6" fillId="0" fontId="3" numFmtId="179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true" applyProtection="false" borderId="5" fillId="0" fontId="2" numFmtId="180" xfId="0">
      <alignment horizontal="center" vertical="center"/>
    </xf>
    <xf applyAlignment="true" applyBorder="false" applyFill="false" applyFont="true" applyNumberFormat="true" applyProtection="false" borderId="5" fillId="0" fontId="2" numFmtId="181" xfId="0">
      <alignment horizontal="center" vertical="center"/>
    </xf>
    <xf applyAlignment="true" applyBorder="false" applyFill="false" applyFont="true" applyNumberFormat="true" applyProtection="false" borderId="5" fillId="0" fontId="2" numFmtId="182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true" applyFont="true" applyNumberFormat="true" applyProtection="false" borderId="5" fillId="9" fontId="1" numFmtId="177" xfId="0">
      <alignment horizontal="center" vertical="center"/>
    </xf>
    <xf applyAlignment="true" applyBorder="false" applyFill="true" applyFont="true" applyNumberFormat="false" applyProtection="false" borderId="5" fillId="10" fontId="4" numFmtId="0" xfId="0">
      <alignment horizontal="center" vertical="center"/>
    </xf>
    <xf applyAlignment="true" applyBorder="false" applyFill="true" applyFont="true" applyNumberFormat="false" applyProtection="false" borderId="5" fillId="10" fontId="4" numFmtId="0" xfId="0">
      <alignment horizontal="center" vertical="center"/>
    </xf>
    <xf applyAlignment="true" applyBorder="false" applyFill="true" applyFont="true" applyNumberFormat="true" applyProtection="false" borderId="5" fillId="10" fontId="4" numFmtId="180" xfId="0">
      <alignment horizontal="center" vertical="center"/>
    </xf>
    <xf applyAlignment="true" applyBorder="false" applyFill="true" applyFont="true" applyNumberFormat="true" applyProtection="false" borderId="5" fillId="10" fontId="4" numFmtId="181" xfId="0">
      <alignment horizontal="center" vertical="center"/>
    </xf>
    <xf applyAlignment="true" applyBorder="false" applyFill="true" applyFont="true" applyNumberFormat="true" applyProtection="false" borderId="5" fillId="10" fontId="4" numFmtId="182" xfId="0">
      <alignment horizontal="center" vertical="center"/>
    </xf>
    <xf applyAlignment="true" applyBorder="false" applyFill="true" applyFont="true" applyNumberFormat="true" applyProtection="false" borderId="5" fillId="10" fontId="4" numFmtId="182" xfId="0">
      <alignment horizontal="center" vertical="center"/>
    </xf>
    <xf applyAlignment="true" applyBorder="false" applyFill="true" applyFont="true" applyNumberFormat="true" applyProtection="false" borderId="5" fillId="10" fontId="4" numFmtId="183" xfId="0">
      <alignment horizontal="center" vertical="center"/>
    </xf>
    <xf applyAlignment="true" applyBorder="false" applyFill="false" applyFont="true" applyNumberFormat="true" applyProtection="false" borderId="6" fillId="0" fontId="3" numFmtId="179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 wrapText="true"/>
    </xf>
    <xf applyAlignment="true" applyBorder="false" applyFill="true" applyFont="true" applyNumberFormat="false" applyProtection="false" borderId="0" fillId="11" fontId="2" numFmtId="0" xfId="0">
      <alignment vertical="center"/>
    </xf>
    <xf applyAlignment="true" applyBorder="false" applyFill="true" applyFont="true" applyNumberFormat="false" applyProtection="false" borderId="6" fillId="10" fontId="4" numFmtId="0" xfId="0">
      <alignment horizontal="center" vertical="center"/>
    </xf>
    <xf applyAlignment="true" applyBorder="false" applyFill="false" applyFont="true" applyNumberFormat="true" applyProtection="false" borderId="6" fillId="0" fontId="3" numFmtId="177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true" applyProtection="false" borderId="6" fillId="0" fontId="3" numFmtId="180" xfId="0">
      <alignment horizontal="center" vertical="center"/>
    </xf>
    <xf applyAlignment="true" applyBorder="false" applyFill="false" applyFont="true" applyNumberFormat="true" applyProtection="false" borderId="6" fillId="0" fontId="3" numFmtId="181" xfId="0">
      <alignment horizontal="center" vertical="center"/>
    </xf>
    <xf applyAlignment="true" applyBorder="false" applyFill="false" applyFont="true" applyNumberFormat="true" applyProtection="false" borderId="6" fillId="0" fontId="3" numFmtId="182" xfId="0">
      <alignment horizontal="center" vertical="center"/>
    </xf>
    <xf applyAlignment="true" applyBorder="false" applyFill="false" applyFont="true" applyNumberFormat="true" applyProtection="false" borderId="6" fillId="0" fontId="3" numFmtId="177" xfId="0">
      <alignment horizontal="center" vertical="center"/>
    </xf>
    <xf applyAlignment="true" applyBorder="false" applyFill="true" applyFont="true" applyNumberFormat="true" applyProtection="false" borderId="6" fillId="9" fontId="1" numFmtId="177" xfId="0">
      <alignment horizontal="center" vertical="center"/>
    </xf>
    <xf applyAlignment="true" applyBorder="false" applyFill="true" applyFont="true" applyNumberFormat="true" applyProtection="false" borderId="6" fillId="10" fontId="4" numFmtId="180" xfId="0">
      <alignment horizontal="center" vertical="center"/>
    </xf>
    <xf applyAlignment="true" applyBorder="false" applyFill="true" applyFont="true" applyNumberFormat="true" applyProtection="false" borderId="6" fillId="10" fontId="4" numFmtId="181" xfId="0">
      <alignment horizontal="center" vertical="center"/>
    </xf>
    <xf applyAlignment="true" applyBorder="false" applyFill="true" applyFont="true" applyNumberFormat="true" applyProtection="false" borderId="6" fillId="10" fontId="4" numFmtId="182" xfId="0">
      <alignment horizontal="center" vertical="center"/>
    </xf>
    <xf applyAlignment="true" applyBorder="false" applyFill="true" applyFont="true" applyNumberFormat="true" applyProtection="false" borderId="6" fillId="10" fontId="4" numFmtId="183" xfId="0">
      <alignment horizontal="center" vertical="center"/>
    </xf>
    <xf applyAlignment="true" applyBorder="false" applyFill="true" applyFont="true" applyNumberFormat="true" applyProtection="false" borderId="6" fillId="9" fontId="1" numFmtId="177" xfId="0">
      <alignment horizontal="center" vertical="center"/>
    </xf>
    <xf applyAlignment="true" applyBorder="false" applyFill="false" applyFont="true" applyNumberFormat="true" applyProtection="false" borderId="6" fillId="0" fontId="3" numFmtId="184" xfId="0">
      <alignment horizontal="center" vertical="center"/>
    </xf>
    <xf applyAlignment="true" applyBorder="false" applyFill="true" applyFont="true" applyNumberFormat="false" applyProtection="false" borderId="0" fillId="12" fontId="5" numFmtId="0" xfId="0">
      <alignment horizontal="center" vertical="center"/>
    </xf>
    <xf applyAlignment="true" applyBorder="false" applyFill="true" applyFont="true" applyNumberFormat="false" applyProtection="false" borderId="0" fillId="12" fontId="6" numFmtId="0" xfId="0">
      <alignment horizontal="center" vertical="center"/>
    </xf>
    <xf applyAlignment="true" applyBorder="false" applyFill="true" applyFont="true" applyNumberFormat="false" applyProtection="false" borderId="0" fillId="13" fontId="7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81" xfId="0">
      <alignment vertical="center"/>
    </xf>
    <xf applyAlignment="true" applyBorder="false" applyFill="false" applyFont="true" applyNumberFormat="true" applyProtection="false" borderId="0" fillId="0" fontId="2" numFmtId="185" xfId="0">
      <alignment vertical="center"/>
    </xf>
    <xf applyAlignment="true" applyBorder="false" applyFill="true" applyFont="true" applyNumberFormat="true" applyProtection="false" borderId="7" fillId="14" fontId="1" numFmtId="186" xfId="0">
      <alignment horizontal="center" vertical="center"/>
    </xf>
    <xf applyAlignment="true" applyBorder="false" applyFill="true" applyFont="true" applyNumberFormat="false" applyProtection="false" borderId="7" fillId="14" fontId="1" numFmtId="0" xfId="0">
      <alignment horizontal="center" vertical="center"/>
    </xf>
    <xf applyAlignment="true" applyBorder="false" applyFill="true" applyFont="true" applyNumberFormat="false" applyProtection="false" borderId="7" fillId="14" fontId="1" numFmtId="0" xfId="0">
      <alignment horizontal="center" vertical="center"/>
    </xf>
    <xf applyAlignment="true" applyBorder="false" applyFill="true" applyFont="true" applyNumberFormat="true" applyProtection="false" borderId="7" fillId="14" fontId="1" numFmtId="187" xfId="0">
      <alignment horizontal="center" vertical="center"/>
    </xf>
    <xf applyAlignment="true" applyBorder="false" applyFill="true" applyFont="true" applyNumberFormat="true" applyProtection="false" borderId="7" fillId="14" fontId="1" numFmtId="187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8" fillId="0" fontId="3" numFmtId="186" xfId="0">
      <alignment horizontal="center" vertical="center"/>
    </xf>
    <xf applyAlignment="true" applyBorder="false" applyFill="false" applyFont="true" applyNumberFormat="true" applyProtection="false" borderId="8" fillId="0" fontId="3" numFmtId="188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horizontal="center" vertical="center"/>
    </xf>
    <xf applyAlignment="true" applyBorder="false" applyFill="false" applyFont="true" applyNumberFormat="true" applyProtection="false" borderId="8" fillId="0" fontId="3" numFmtId="189" xfId="0">
      <alignment horizontal="center" vertical="center"/>
    </xf>
    <xf applyAlignment="true" applyBorder="false" applyFill="false" applyFont="true" applyNumberFormat="true" applyProtection="false" borderId="8" fillId="0" fontId="3" numFmtId="189" xfId="0">
      <alignment horizontal="center" vertical="center"/>
    </xf>
    <xf applyAlignment="true" applyBorder="false" applyFill="false" applyFont="true" applyNumberFormat="true" applyProtection="false" borderId="8" fillId="0" fontId="3" numFmtId="190" xfId="0">
      <alignment horizontal="center" vertical="center"/>
    </xf>
    <xf applyAlignment="true" applyBorder="false" applyFill="false" applyFont="true" applyNumberFormat="true" applyProtection="false" borderId="8" fillId="0" fontId="3" numFmtId="191" xfId="0">
      <alignment horizontal="center" vertical="center"/>
    </xf>
    <xf applyAlignment="true" applyBorder="false" applyFill="false" applyFont="true" applyNumberFormat="true" applyProtection="false" borderId="8" fillId="0" fontId="3" numFmtId="192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horizontal="center" vertical="center"/>
    </xf>
    <xf applyAlignment="true" applyBorder="false" applyFill="true" applyFont="true" applyNumberFormat="true" applyProtection="false" borderId="8" fillId="15" fontId="1" numFmtId="186" xfId="0">
      <alignment horizontal="center" vertical="center"/>
    </xf>
    <xf applyAlignment="true" applyBorder="false" applyFill="true" applyFont="true" applyNumberFormat="false" applyProtection="false" borderId="8" fillId="16" fontId="4" numFmtId="0" xfId="0">
      <alignment horizontal="center" vertical="center"/>
    </xf>
    <xf applyAlignment="true" applyBorder="false" applyFill="true" applyFont="true" applyNumberFormat="true" applyProtection="false" borderId="8" fillId="16" fontId="4" numFmtId="189" xfId="0">
      <alignment horizontal="center" vertical="center"/>
    </xf>
    <xf applyAlignment="true" applyBorder="false" applyFill="true" applyFont="true" applyNumberFormat="true" applyProtection="false" borderId="8" fillId="16" fontId="4" numFmtId="190" xfId="0">
      <alignment horizontal="center" vertical="center"/>
    </xf>
    <xf applyAlignment="true" applyBorder="false" applyFill="true" applyFont="true" applyNumberFormat="true" applyProtection="false" borderId="8" fillId="16" fontId="4" numFmtId="191" xfId="0">
      <alignment horizontal="center" vertical="center"/>
    </xf>
    <xf applyAlignment="true" applyBorder="false" applyFill="true" applyFont="true" applyNumberFormat="true" applyProtection="false" borderId="8" fillId="16" fontId="4" numFmtId="193" xfId="0">
      <alignment horizontal="center" vertical="center"/>
    </xf>
    <xf applyAlignment="true" applyBorder="false" applyFill="false" applyFont="true" applyNumberFormat="true" applyProtection="false" borderId="9" fillId="0" fontId="3" numFmtId="186" xfId="0">
      <alignment horizontal="center" vertical="center"/>
    </xf>
    <xf applyAlignment="true" applyBorder="false" applyFill="false" applyFont="true" applyNumberFormat="false" applyProtection="false" borderId="9" fillId="0" fontId="3" numFmtId="0" xfId="0">
      <alignment horizontal="center" vertical="center"/>
    </xf>
    <xf applyAlignment="true" applyBorder="false" applyFill="false" applyFont="true" applyNumberFormat="true" applyProtection="false" borderId="9" fillId="0" fontId="3" numFmtId="189" xfId="0">
      <alignment horizontal="center" vertical="center"/>
    </xf>
    <xf applyAlignment="true" applyBorder="false" applyFill="false" applyFont="true" applyNumberFormat="false" applyProtection="false" borderId="9" fillId="0" fontId="3" numFmtId="0" xfId="0">
      <alignment horizontal="center" vertical="center"/>
    </xf>
    <xf applyAlignment="true" applyBorder="false" applyFill="false" applyFont="true" applyNumberFormat="true" applyProtection="false" borderId="9" fillId="0" fontId="3" numFmtId="189" xfId="0">
      <alignment horizontal="center" vertical="center"/>
    </xf>
    <xf applyAlignment="true" applyBorder="false" applyFill="false" applyFont="true" applyNumberFormat="true" applyProtection="false" borderId="9" fillId="0" fontId="3" numFmtId="190" xfId="0">
      <alignment horizontal="center" vertical="center"/>
    </xf>
    <xf applyAlignment="true" applyBorder="false" applyFill="false" applyFont="true" applyNumberFormat="true" applyProtection="false" borderId="9" fillId="0" fontId="3" numFmtId="191" xfId="0">
      <alignment horizontal="center" vertical="center"/>
    </xf>
    <xf applyAlignment="true" applyBorder="false" applyFill="false" applyFont="true" applyNumberFormat="true" applyProtection="false" borderId="9" fillId="0" fontId="3" numFmtId="192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9" fillId="0" fontId="3" numFmtId="188" xfId="0">
      <alignment horizontal="center" vertical="center"/>
    </xf>
    <xf applyAlignment="true" applyBorder="false" applyFill="false" applyFont="true" applyNumberFormat="true" applyProtection="false" borderId="9" fillId="0" fontId="3" numFmtId="188" xfId="0">
      <alignment horizontal="center" vertical="center"/>
    </xf>
    <xf applyAlignment="true" applyBorder="false" applyFill="true" applyFont="true" applyNumberFormat="true" applyProtection="false" borderId="9" fillId="15" fontId="1" numFmtId="186" xfId="0">
      <alignment horizontal="center" vertical="center"/>
    </xf>
    <xf applyAlignment="true" applyBorder="false" applyFill="true" applyFont="true" applyNumberFormat="false" applyProtection="false" borderId="9" fillId="16" fontId="4" numFmtId="0" xfId="0">
      <alignment horizontal="center" vertical="center"/>
    </xf>
    <xf applyAlignment="true" applyBorder="false" applyFill="true" applyFont="true" applyNumberFormat="true" applyProtection="false" borderId="9" fillId="16" fontId="4" numFmtId="189" xfId="0">
      <alignment horizontal="center" vertical="center"/>
    </xf>
    <xf applyAlignment="true" applyBorder="false" applyFill="true" applyFont="true" applyNumberFormat="true" applyProtection="false" borderId="9" fillId="16" fontId="4" numFmtId="190" xfId="0">
      <alignment horizontal="center" vertical="center"/>
    </xf>
    <xf applyAlignment="true" applyBorder="false" applyFill="true" applyFont="true" applyNumberFormat="true" applyProtection="false" borderId="9" fillId="16" fontId="4" numFmtId="191" xfId="0">
      <alignment horizontal="center" vertical="center"/>
    </xf>
    <xf applyAlignment="true" applyBorder="false" applyFill="true" applyFont="true" applyNumberFormat="true" applyProtection="false" borderId="9" fillId="16" fontId="4" numFmtId="193" xfId="0">
      <alignment horizontal="center" vertical="center"/>
    </xf>
    <xf applyAlignment="true" applyBorder="false" applyFill="false" applyFont="true" applyNumberFormat="true" applyProtection="false" borderId="9" fillId="0" fontId="3" numFmtId="186" xfId="0">
      <alignment horizontal="center" vertical="center"/>
    </xf>
    <xf applyAlignment="true" applyBorder="false" applyFill="true" applyFont="true" applyNumberFormat="true" applyProtection="false" borderId="9" fillId="15" fontId="1" numFmtId="186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10" fillId="0" fontId="3" numFmtId="189" xfId="0">
      <alignment horizontal="center" vertical="center"/>
    </xf>
    <xf applyAlignment="true" applyBorder="false" applyFill="false" applyFont="true" applyNumberFormat="false" applyProtection="false" borderId="11" fillId="0" fontId="3" numFmtId="0" xfId="0">
      <alignment horizontal="center" vertical="center"/>
    </xf>
    <xf applyAlignment="true" applyBorder="false" applyFill="false" applyFont="true" applyNumberFormat="true" applyProtection="false" borderId="12" fillId="0" fontId="3" numFmtId="189" xfId="0">
      <alignment horizontal="center" vertical="center"/>
    </xf>
    <xf applyAlignment="true" applyBorder="false" applyFill="false" applyFont="true" applyNumberFormat="false" applyProtection="false" borderId="13" fillId="0" fontId="3" numFmtId="0" xfId="0">
      <alignment horizontal="center" vertical="center"/>
    </xf>
    <xf applyAlignment="true" applyBorder="false" applyFill="false" applyFont="true" applyNumberFormat="true" applyProtection="false" borderId="9" fillId="0" fontId="3" numFmtId="189" xfId="0">
      <alignment horizontal="center" vertical="center"/>
    </xf>
    <xf applyAlignment="true" applyBorder="false" applyFill="false" applyFont="true" applyNumberFormat="true" applyProtection="false" borderId="10" fillId="0" fontId="3" numFmtId="189" xfId="0">
      <alignment horizontal="center" vertical="center"/>
    </xf>
    <xf applyAlignment="true" applyBorder="false" applyFill="false" applyFont="true" applyNumberFormat="true" applyProtection="false" borderId="9" fillId="0" fontId="3" numFmtId="19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9" fillId="0" fontId="8" numFmtId="0" xfId="0">
      <alignment horizontal="center" vertical="center"/>
    </xf>
    <xf applyAlignment="true" applyBorder="false" applyFill="false" applyFont="true" applyNumberFormat="false" applyProtection="false" borderId="14" fillId="0" fontId="3" numFmtId="0" xfId="0">
      <alignment horizontal="center" vertical="center"/>
    </xf>
    <xf applyAlignment="true" applyBorder="false" applyFill="false" applyFont="true" applyNumberFormat="true" applyProtection="false" borderId="10" fillId="0" fontId="3" numFmtId="191" xfId="0">
      <alignment horizontal="center" vertical="center"/>
    </xf>
    <xf applyAlignment="true" applyBorder="false" applyFill="false" applyFont="true" applyNumberFormat="false" applyProtection="false" borderId="12" fillId="0" fontId="3" numFmtId="0" xfId="0">
      <alignment horizontal="center" vertical="center"/>
    </xf>
    <xf applyAlignment="true" applyBorder="false" applyFill="false" applyFont="true" applyNumberFormat="true" applyProtection="false" borderId="9" fillId="0" fontId="8" numFmtId="194" xfId="0">
      <alignment horizontal="center" vertical="center"/>
    </xf>
    <xf applyAlignment="true" applyBorder="false" applyFill="true" applyFont="true" applyNumberFormat="true" applyProtection="false" borderId="9" fillId="16" fontId="4" numFmtId="194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90" xfId="0">
      <alignment vertical="center"/>
    </xf>
    <xf applyAlignment="true" applyBorder="false" applyFill="false" applyFont="true" applyNumberFormat="true" applyProtection="false" borderId="0" fillId="0" fontId="2" numFmtId="195" xfId="0">
      <alignment vertical="center"/>
    </xf>
    <xf applyAlignment="true" applyBorder="false" applyFill="false" applyFont="true" applyNumberFormat="true" applyProtection="false" borderId="0" fillId="0" fontId="3" numFmtId="189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15" fillId="17" fontId="1" numFmtId="196" xfId="0">
      <alignment horizontal="center" vertical="center"/>
    </xf>
    <xf applyAlignment="true" applyBorder="false" applyFill="true" applyFont="true" applyNumberFormat="false" applyProtection="false" borderId="15" fillId="17" fontId="1" numFmtId="0" xfId="0">
      <alignment horizontal="center" vertical="center"/>
    </xf>
    <xf applyAlignment="true" applyBorder="false" applyFill="true" applyFont="true" applyNumberFormat="false" applyProtection="false" borderId="15" fillId="17" fontId="1" numFmtId="0" xfId="0">
      <alignment horizontal="center" vertical="center"/>
    </xf>
    <xf applyAlignment="true" applyBorder="false" applyFill="true" applyFont="true" applyNumberFormat="true" applyProtection="false" borderId="15" fillId="17" fontId="1" numFmtId="197" xfId="0">
      <alignment horizontal="center" vertical="center"/>
    </xf>
    <xf applyAlignment="true" applyBorder="false" applyFill="true" applyFont="true" applyNumberFormat="true" applyProtection="false" borderId="15" fillId="17" fontId="1" numFmtId="197" xfId="0">
      <alignment horizontal="center" vertical="center"/>
    </xf>
    <xf applyAlignment="true" applyBorder="false" applyFill="false" applyFont="true" applyNumberFormat="true" applyProtection="false" borderId="16" fillId="0" fontId="3" numFmtId="196" xfId="0">
      <alignment horizontal="center" vertical="center"/>
    </xf>
    <xf applyAlignment="true" applyBorder="false" applyFill="false" applyFont="true" applyNumberFormat="true" applyProtection="false" borderId="16" fillId="0" fontId="3" numFmtId="198" xfId="0">
      <alignment horizontal="center" vertical="center"/>
    </xf>
    <xf applyAlignment="true" applyBorder="false" applyFill="false" applyFont="true" applyNumberFormat="false" applyProtection="false" borderId="16" fillId="0" fontId="3" numFmtId="0" xfId="0">
      <alignment horizontal="center" vertical="center"/>
    </xf>
    <xf applyAlignment="true" applyBorder="false" applyFill="false" applyFont="true" applyNumberFormat="true" applyProtection="false" borderId="16" fillId="0" fontId="3" numFmtId="199" xfId="0">
      <alignment horizontal="center" vertical="center"/>
    </xf>
    <xf applyAlignment="true" applyBorder="false" applyFill="false" applyFont="true" applyNumberFormat="true" applyProtection="false" borderId="16" fillId="0" fontId="3" numFmtId="199" xfId="0">
      <alignment horizontal="center" vertical="center"/>
    </xf>
    <xf applyAlignment="true" applyBorder="false" applyFill="false" applyFont="true" applyNumberFormat="true" applyProtection="false" borderId="16" fillId="0" fontId="3" numFmtId="200" xfId="0">
      <alignment horizontal="center" vertical="center"/>
    </xf>
    <xf applyAlignment="true" applyBorder="false" applyFill="false" applyFont="true" applyNumberFormat="true" applyProtection="false" borderId="16" fillId="0" fontId="3" numFmtId="201" xfId="0">
      <alignment horizontal="center" vertical="center"/>
    </xf>
    <xf applyAlignment="true" applyBorder="false" applyFill="false" applyFont="true" applyNumberFormat="true" applyProtection="false" borderId="16" fillId="0" fontId="3" numFmtId="202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6" fillId="0" fontId="3" numFmtId="0" xfId="0">
      <alignment horizontal="center" vertical="center"/>
    </xf>
    <xf applyAlignment="true" applyBorder="false" applyFill="true" applyFont="true" applyNumberFormat="true" applyProtection="false" borderId="16" fillId="18" fontId="1" numFmtId="196" xfId="0">
      <alignment horizontal="center" vertical="center"/>
    </xf>
    <xf applyAlignment="true" applyBorder="false" applyFill="true" applyFont="true" applyNumberFormat="false" applyProtection="false" borderId="16" fillId="19" fontId="4" numFmtId="0" xfId="0">
      <alignment horizontal="center" vertical="center"/>
    </xf>
    <xf applyAlignment="true" applyBorder="false" applyFill="true" applyFont="true" applyNumberFormat="true" applyProtection="false" borderId="16" fillId="19" fontId="4" numFmtId="199" xfId="0">
      <alignment horizontal="center" vertical="center"/>
    </xf>
    <xf applyAlignment="true" applyBorder="false" applyFill="true" applyFont="true" applyNumberFormat="true" applyProtection="false" borderId="16" fillId="19" fontId="4" numFmtId="200" xfId="0">
      <alignment horizontal="center" vertical="center"/>
    </xf>
    <xf applyAlignment="true" applyBorder="false" applyFill="true" applyFont="true" applyNumberFormat="true" applyProtection="false" borderId="16" fillId="19" fontId="4" numFmtId="201" xfId="0">
      <alignment horizontal="center" vertical="center"/>
    </xf>
    <xf applyAlignment="true" applyBorder="false" applyFill="true" applyFont="true" applyNumberFormat="true" applyProtection="false" borderId="16" fillId="19" fontId="4" numFmtId="203" xfId="0">
      <alignment horizontal="center" vertical="center"/>
    </xf>
    <xf applyAlignment="true" applyBorder="false" applyFill="true" applyFont="true" applyNumberFormat="false" applyProtection="false" borderId="0" fillId="20" fontId="2" numFmtId="0" xfId="0">
      <alignment vertical="center"/>
    </xf>
    <xf applyAlignment="true" applyBorder="false" applyFill="false" applyFont="true" applyNumberFormat="false" applyProtection="false" borderId="17" fillId="0" fontId="3" numFmtId="0" xfId="0">
      <alignment horizontal="center" vertical="center"/>
    </xf>
    <xf applyAlignment="true" applyBorder="false" applyFill="false" applyFont="true" applyNumberFormat="true" applyProtection="false" borderId="18" fillId="0" fontId="3" numFmtId="201" xfId="0">
      <alignment horizontal="center" vertical="center"/>
    </xf>
    <xf applyAlignment="true" applyBorder="false" applyFill="false" applyFont="true" applyNumberFormat="false" applyProtection="false" borderId="19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20" fillId="0" fontId="3" numFmtId="0" xfId="0">
      <alignment horizontal="center" vertical="center"/>
    </xf>
    <xf applyAlignment="true" applyBorder="false" applyFill="false" applyFont="true" applyNumberFormat="false" applyProtection="false" borderId="20" fillId="0" fontId="3" numFmtId="0" xfId="0">
      <alignment horizontal="center" vertical="center"/>
    </xf>
    <xf applyAlignment="true" applyBorder="false" applyFill="true" applyFont="true" applyNumberFormat="true" applyProtection="false" borderId="21" fillId="19" fontId="4" numFmtId="203" xfId="0">
      <alignment horizontal="center" vertical="center"/>
    </xf>
    <xf applyAlignment="true" applyBorder="false" applyFill="true" applyFont="true" applyNumberFormat="false" applyProtection="false" borderId="21" fillId="19" fontId="4" numFmtId="0" xfId="0">
      <alignment horizontal="center" vertical="center"/>
    </xf>
    <xf applyAlignment="true" applyBorder="false" applyFill="false" applyFont="true" applyNumberFormat="false" applyProtection="false" borderId="19" fillId="0" fontId="2" numFmtId="0" xfId="0">
      <alignment horizontal="center" vertical="center"/>
    </xf>
    <xf applyAlignment="true" applyBorder="false" applyFill="false" applyFont="true" applyNumberFormat="false" applyProtection="false" borderId="18" fillId="0" fontId="3" numFmtId="0" xfId="0">
      <alignment horizontal="center" vertical="center"/>
    </xf>
    <xf applyAlignment="true" applyBorder="false" applyFill="false" applyFont="true" applyNumberFormat="true" applyProtection="false" borderId="19" fillId="0" fontId="3" numFmtId="199" xfId="0">
      <alignment horizontal="center" vertical="center"/>
    </xf>
    <xf applyAlignment="true" applyBorder="false" applyFill="false" applyFont="true" applyNumberFormat="true" applyProtection="false" borderId="19" fillId="0" fontId="3" numFmtId="199" xfId="0">
      <alignment horizontal="center" vertical="center"/>
    </xf>
    <xf applyAlignment="true" applyBorder="false" applyFill="false" applyFont="true" applyNumberFormat="true" applyProtection="false" borderId="22" fillId="0" fontId="3" numFmtId="199" xfId="0">
      <alignment horizontal="center" vertical="center"/>
    </xf>
    <xf applyAlignment="true" applyBorder="false" applyFill="false" applyFont="true" applyNumberFormat="false" applyProtection="false" borderId="21" fillId="0" fontId="3" numFmtId="0" xfId="0">
      <alignment horizontal="center" vertical="center"/>
    </xf>
    <xf applyAlignment="true" applyBorder="false" applyFill="false" applyFont="true" applyNumberFormat="true" applyProtection="false" borderId="17" fillId="0" fontId="3" numFmtId="198" xfId="0">
      <alignment horizontal="center" vertical="center"/>
    </xf>
    <xf applyAlignment="true" applyBorder="false" applyFill="false" applyFont="true" applyNumberFormat="true" applyProtection="false" borderId="18" fillId="0" fontId="3" numFmtId="196" xfId="0">
      <alignment horizontal="center" vertical="center"/>
    </xf>
    <xf applyAlignment="true" applyBorder="false" applyFill="false" applyFont="true" applyNumberFormat="false" applyProtection="false" borderId="22" fillId="0" fontId="3" numFmtId="0" xfId="0">
      <alignment horizontal="center" vertical="center"/>
    </xf>
    <xf applyAlignment="true" applyBorder="false" applyFill="false" applyFont="true" applyNumberFormat="true" applyProtection="false" borderId="16" fillId="0" fontId="3" numFmtId="200" xfId="0">
      <alignment horizontal="center" vertical="center"/>
    </xf>
    <xf applyAlignment="true" applyBorder="false" applyFill="false" applyFont="true" applyNumberFormat="false" applyProtection="false" borderId="23" fillId="0" fontId="2" numFmtId="0" xfId="0">
      <alignment horizontal="center" vertical="center"/>
    </xf>
    <xf applyAlignment="true" applyBorder="false" applyFill="false" applyFont="true" applyNumberFormat="false" applyProtection="false" borderId="24" fillId="0" fontId="2" numFmtId="0" xfId="0">
      <alignment horizontal="center" vertical="center"/>
    </xf>
    <xf applyAlignment="true" applyBorder="false" applyFill="true" applyFont="true" applyNumberFormat="true" applyProtection="false" borderId="17" fillId="18" fontId="1" numFmtId="196" xfId="0">
      <alignment horizontal="center" vertical="center"/>
    </xf>
    <xf applyAlignment="true" applyBorder="false" applyFill="true" applyFont="true" applyNumberFormat="false" applyProtection="false" borderId="20" fillId="19" fontId="4" numFmtId="0" xfId="0">
      <alignment horizontal="center" vertical="center"/>
    </xf>
    <xf applyAlignment="true" applyBorder="false" applyFill="true" applyFont="true" applyNumberFormat="false" applyProtection="false" borderId="17" fillId="19" fontId="4" numFmtId="0" xfId="0">
      <alignment horizontal="center" vertical="center"/>
    </xf>
    <xf applyAlignment="true" applyBorder="false" applyFill="false" applyFont="true" applyNumberFormat="true" applyProtection="false" borderId="19" fillId="0" fontId="3" numFmtId="196" xfId="0">
      <alignment horizontal="center" vertical="center"/>
    </xf>
    <xf applyAlignment="true" applyBorder="false" applyFill="false" applyFont="true" applyNumberFormat="true" applyProtection="false" borderId="19" fillId="0" fontId="3" numFmtId="198" xfId="0">
      <alignment horizontal="center" vertical="center"/>
    </xf>
    <xf applyAlignment="true" applyBorder="false" applyFill="false" applyFont="true" applyNumberFormat="false" applyProtection="false" borderId="19" fillId="0" fontId="3" numFmtId="0" xfId="0">
      <alignment horizontal="center" vertical="center"/>
    </xf>
    <xf applyAlignment="true" applyBorder="false" applyFill="false" applyFont="true" applyNumberFormat="true" applyProtection="false" borderId="22" fillId="0" fontId="3" numFmtId="199" xfId="0">
      <alignment horizontal="center" vertical="center"/>
    </xf>
    <xf applyAlignment="true" applyBorder="false" applyFill="false" applyFont="true" applyNumberFormat="false" applyProtection="false" borderId="25" fillId="0" fontId="3" numFmtId="0" xfId="0">
      <alignment horizontal="center" vertical="center"/>
    </xf>
    <xf applyAlignment="true" applyBorder="false" applyFill="true" applyFont="true" applyNumberFormat="true" applyProtection="false" borderId="19" fillId="18" fontId="1" numFmtId="196" xfId="0">
      <alignment horizontal="center" vertical="center"/>
    </xf>
    <xf applyAlignment="true" applyBorder="false" applyFill="true" applyFont="true" applyNumberFormat="false" applyProtection="false" borderId="19" fillId="19" fontId="4" numFmtId="0" xfId="0">
      <alignment horizontal="center" vertical="center"/>
    </xf>
    <xf applyAlignment="true" applyBorder="false" applyFill="true" applyFont="true" applyNumberFormat="false" applyProtection="false" borderId="22" fillId="19" fontId="4" numFmtId="0" xfId="0">
      <alignment horizontal="center" vertical="center"/>
    </xf>
    <xf applyAlignment="true" applyBorder="false" applyFill="false" applyFont="true" applyNumberFormat="true" applyProtection="false" borderId="22" fillId="0" fontId="3" numFmtId="200" xfId="0">
      <alignment horizontal="center" vertical="center"/>
    </xf>
    <xf applyAlignment="true" applyBorder="false" applyFill="true" applyFont="true" applyNumberFormat="false" applyProtection="false" borderId="23" fillId="19" fontId="4" numFmtId="0" xfId="0">
      <alignment horizontal="center" vertical="center"/>
    </xf>
    <xf applyAlignment="true" applyBorder="false" applyFill="false" applyFont="true" applyNumberFormat="true" applyProtection="false" borderId="26" fillId="0" fontId="3" numFmtId="196" xfId="0">
      <alignment horizontal="center" vertical="center"/>
    </xf>
    <xf applyAlignment="true" applyBorder="false" applyFill="false" applyFont="true" applyNumberFormat="false" applyProtection="false" borderId="27" fillId="0" fontId="3" numFmtId="0" xfId="0">
      <alignment horizontal="center" vertical="center"/>
    </xf>
    <xf applyAlignment="true" applyBorder="false" applyFill="true" applyFont="true" applyNumberFormat="false" applyProtection="false" borderId="24" fillId="19" fontId="4" numFmtId="0" xfId="0">
      <alignment horizontal="center" vertical="center"/>
    </xf>
    <xf applyAlignment="true" applyBorder="false" applyFill="false" applyFont="true" applyNumberFormat="true" applyProtection="false" borderId="25" fillId="0" fontId="3" numFmtId="199" xfId="0">
      <alignment horizontal="center" vertical="center"/>
    </xf>
    <xf applyAlignment="true" applyBorder="false" applyFill="false" applyFont="true" applyNumberFormat="false" applyProtection="false" borderId="19" fillId="0" fontId="8" numFmtId="0" xfId="0">
      <alignment horizontal="center" vertical="center"/>
    </xf>
    <xf applyAlignment="true" applyBorder="false" applyFill="false" applyFont="true" applyNumberFormat="false" applyProtection="false" borderId="16" fillId="0" fontId="8" numFmtId="0" xfId="0">
      <alignment horizontal="center" vertical="center"/>
    </xf>
    <xf applyAlignment="true" applyBorder="false" applyFill="false" applyFont="true" applyNumberFormat="true" applyProtection="false" borderId="0" fillId="0" fontId="2" numFmtId="202" xfId="0">
      <alignment vertical="center"/>
    </xf>
    <xf applyAlignment="true" applyBorder="false" applyFill="false" applyFont="true" applyNumberFormat="true" applyProtection="false" borderId="0" fillId="0" fontId="2" numFmtId="199" xfId="0">
      <alignment vertical="center"/>
    </xf>
    <xf applyAlignment="true" applyBorder="false" applyFill="false" applyFont="true" applyNumberFormat="true" applyProtection="false" borderId="28" fillId="0" fontId="9" numFmtId="204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29" fillId="21" fontId="1" numFmtId="205" xfId="0">
      <alignment horizontal="center" vertical="center"/>
    </xf>
    <xf applyAlignment="true" applyBorder="false" applyFill="true" applyFont="true" applyNumberFormat="false" applyProtection="false" borderId="29" fillId="21" fontId="1" numFmtId="0" xfId="0">
      <alignment horizontal="center" vertical="center"/>
    </xf>
    <xf applyAlignment="true" applyBorder="false" applyFill="true" applyFont="true" applyNumberFormat="false" applyProtection="false" borderId="29" fillId="21" fontId="1" numFmtId="0" xfId="0">
      <alignment horizontal="center" vertical="center"/>
    </xf>
    <xf applyAlignment="true" applyBorder="false" applyFill="true" applyFont="true" applyNumberFormat="true" applyProtection="false" borderId="29" fillId="21" fontId="1" numFmtId="206" xfId="0">
      <alignment horizontal="center" vertical="center"/>
    </xf>
    <xf applyAlignment="true" applyBorder="false" applyFill="true" applyFont="true" applyNumberFormat="true" applyProtection="false" borderId="29" fillId="21" fontId="1" numFmtId="206" xfId="0">
      <alignment horizontal="center" vertical="center"/>
    </xf>
    <xf applyAlignment="true" applyBorder="false" applyFill="false" applyFont="true" applyNumberFormat="true" applyProtection="false" borderId="30" fillId="0" fontId="3" numFmtId="205" xfId="0">
      <alignment horizontal="center" vertical="center"/>
    </xf>
    <xf applyAlignment="true" applyBorder="false" applyFill="false" applyFont="true" applyNumberFormat="false" applyProtection="false" borderId="31" fillId="0" fontId="2" numFmtId="0" xfId="0">
      <alignment horizontal="center" vertical="center"/>
    </xf>
    <xf applyAlignment="true" applyBorder="false" applyFill="false" applyFont="true" applyNumberFormat="false" applyProtection="false" borderId="32" fillId="0" fontId="3" numFmtId="0" xfId="0">
      <alignment horizontal="center" vertical="center"/>
    </xf>
    <xf applyAlignment="true" applyBorder="false" applyFill="false" applyFont="true" applyNumberFormat="false" applyProtection="false" borderId="31" fillId="0" fontId="3" numFmtId="0" xfId="0">
      <alignment horizontal="center" vertical="center"/>
    </xf>
    <xf applyAlignment="true" applyBorder="false" applyFill="false" applyFont="true" applyNumberFormat="false" applyProtection="false" borderId="33" fillId="0" fontId="3" numFmtId="0" xfId="0">
      <alignment horizontal="center" vertical="center"/>
    </xf>
    <xf applyAlignment="true" applyBorder="false" applyFill="false" applyFont="true" applyNumberFormat="true" applyProtection="false" borderId="33" fillId="0" fontId="3" numFmtId="207" xfId="0">
      <alignment horizontal="center" vertical="center"/>
    </xf>
    <xf applyAlignment="true" applyBorder="false" applyFill="false" applyFont="true" applyNumberFormat="true" applyProtection="false" borderId="32" fillId="0" fontId="3" numFmtId="207" xfId="0">
      <alignment horizontal="center" vertical="center"/>
    </xf>
    <xf applyAlignment="true" applyBorder="false" applyFill="false" applyFont="true" applyNumberFormat="true" applyProtection="false" borderId="32" fillId="0" fontId="3" numFmtId="208" xfId="0">
      <alignment horizontal="center" vertical="center"/>
    </xf>
    <xf applyAlignment="true" applyBorder="false" applyFill="false" applyFont="true" applyNumberFormat="true" applyProtection="false" borderId="32" fillId="0" fontId="3" numFmtId="209" xfId="0">
      <alignment horizontal="center" vertical="center"/>
    </xf>
    <xf applyAlignment="true" applyBorder="false" applyFill="false" applyFont="true" applyNumberFormat="true" applyProtection="false" borderId="32" fillId="0" fontId="3" numFmtId="210" xfId="0">
      <alignment horizontal="center" vertical="center"/>
    </xf>
    <xf applyAlignment="true" applyBorder="false" applyFill="false" applyFont="true" applyNumberFormat="false" applyProtection="false" borderId="34" fillId="0" fontId="3" numFmtId="0" xfId="0">
      <alignment horizontal="center" vertical="center"/>
    </xf>
    <xf applyAlignment="true" applyBorder="false" applyFill="false" applyFont="true" applyNumberFormat="true" applyProtection="false" borderId="35" fillId="0" fontId="3" numFmtId="209" xfId="0">
      <alignment horizontal="center" vertical="center"/>
    </xf>
    <xf applyAlignment="true" applyBorder="false" applyFill="false" applyFont="true" applyNumberFormat="true" applyProtection="false" borderId="31" fillId="0" fontId="3" numFmtId="211" xfId="0">
      <alignment horizontal="center" vertical="center"/>
    </xf>
    <xf applyAlignment="true" applyBorder="false" applyFill="false" applyFont="true" applyNumberFormat="false" applyProtection="false" borderId="36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212" xfId="0">
      <alignment horizontal="center" vertical="center"/>
    </xf>
    <xf applyAlignment="true" applyBorder="false" applyFill="true" applyFont="true" applyNumberFormat="true" applyProtection="false" borderId="31" fillId="22" fontId="1" numFmtId="205" xfId="0">
      <alignment horizontal="center" vertical="center"/>
    </xf>
    <xf applyAlignment="true" applyBorder="false" applyFill="true" applyFont="true" applyNumberFormat="false" applyProtection="false" borderId="37" fillId="23" fontId="4" numFmtId="0" xfId="0">
      <alignment horizontal="center" vertical="center"/>
    </xf>
    <xf applyAlignment="true" applyBorder="false" applyFill="true" applyFont="true" applyNumberFormat="false" applyProtection="false" borderId="31" fillId="23" fontId="4" numFmtId="0" xfId="0">
      <alignment horizontal="center" vertical="center"/>
    </xf>
    <xf applyAlignment="true" applyBorder="false" applyFill="true" applyFont="true" applyNumberFormat="false" applyProtection="false" borderId="33" fillId="23" fontId="4" numFmtId="0" xfId="0">
      <alignment horizontal="center" vertical="center"/>
    </xf>
    <xf applyAlignment="true" applyBorder="false" applyFill="true" applyFont="true" applyNumberFormat="false" applyProtection="false" borderId="32" fillId="23" fontId="4" numFmtId="0" xfId="0">
      <alignment horizontal="center" vertical="center"/>
    </xf>
    <xf applyAlignment="true" applyBorder="false" applyFill="true" applyFont="true" applyNumberFormat="true" applyProtection="false" borderId="32" fillId="23" fontId="4" numFmtId="207" xfId="0">
      <alignment horizontal="center" vertical="center"/>
    </xf>
    <xf applyAlignment="true" applyBorder="false" applyFill="true" applyFont="true" applyNumberFormat="true" applyProtection="false" borderId="32" fillId="23" fontId="4" numFmtId="208" xfId="0">
      <alignment horizontal="center" vertical="center"/>
    </xf>
    <xf applyAlignment="true" applyBorder="false" applyFill="true" applyFont="true" applyNumberFormat="true" applyProtection="false" borderId="32" fillId="23" fontId="4" numFmtId="209" xfId="0">
      <alignment horizontal="center" vertical="center"/>
    </xf>
    <xf applyAlignment="true" applyBorder="false" applyFill="true" applyFont="true" applyNumberFormat="true" applyProtection="false" borderId="38" fillId="23" fontId="4" numFmtId="213" xfId="0">
      <alignment horizontal="center" vertical="center"/>
    </xf>
    <xf applyAlignment="true" applyBorder="false" applyFill="true" applyFont="true" applyNumberFormat="false" applyProtection="false" borderId="38" fillId="23" fontId="4" numFmtId="0" xfId="0">
      <alignment horizontal="center" vertical="center"/>
    </xf>
    <xf applyAlignment="true" applyBorder="false" applyFill="false" applyFont="true" applyNumberFormat="false" applyProtection="false" borderId="39" fillId="0" fontId="3" numFmtId="0" xfId="0">
      <alignment horizontal="center" vertical="center"/>
    </xf>
    <xf applyAlignment="true" applyBorder="false" applyFill="true" applyFont="true" applyNumberFormat="false" applyProtection="false" borderId="32" fillId="24" fontId="3" numFmtId="0" xfId="0">
      <alignment horizontal="center" vertical="center"/>
    </xf>
    <xf applyAlignment="true" applyBorder="false" applyFill="true" applyFont="true" applyNumberFormat="false" applyProtection="false" borderId="31" fillId="24" fontId="3" numFmtId="0" xfId="0">
      <alignment horizontal="center" vertical="center"/>
    </xf>
    <xf applyAlignment="true" applyBorder="false" applyFill="true" applyFont="true" applyNumberFormat="false" applyProtection="false" borderId="33" fillId="24" fontId="3" numFmtId="0" xfId="0">
      <alignment horizontal="center" vertical="center"/>
    </xf>
    <xf applyAlignment="true" applyBorder="false" applyFill="true" applyFont="true" applyNumberFormat="false" applyProtection="false" borderId="32" fillId="23" fontId="4" numFmtId="0" xfId="0">
      <alignment horizontal="center" vertical="center"/>
    </xf>
    <xf applyAlignment="true" applyBorder="false" applyFill="true" applyFont="true" applyNumberFormat="false" applyProtection="false" borderId="38" fillId="23" fontId="4" numFmtId="0" xfId="0">
      <alignment horizontal="center" vertical="center"/>
    </xf>
    <xf applyAlignment="true" applyBorder="false" applyFill="false" applyFont="true" applyNumberFormat="true" applyProtection="false" borderId="39" fillId="0" fontId="3" numFmtId="20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37" fillId="23" fontId="4" numFmtId="0" xfId="0">
      <alignment horizontal="center" vertical="center"/>
    </xf>
    <xf applyAlignment="true" applyBorder="false" applyFill="false" applyFont="true" applyNumberFormat="true" applyProtection="false" borderId="32" fillId="0" fontId="3" numFmtId="207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208" xfId="0">
      <alignment vertical="center"/>
    </xf>
    <xf applyAlignment="true" applyBorder="false" applyFill="false" applyFont="true" applyNumberFormat="true" applyProtection="false" borderId="0" fillId="0" fontId="2" numFmtId="207" xfId="0">
      <alignment vertical="center"/>
    </xf>
    <xf applyAlignment="true" applyBorder="false" applyFill="true" applyFont="true" applyNumberFormat="true" applyProtection="false" borderId="40" fillId="25" fontId="1" numFmtId="214" xfId="0">
      <alignment horizontal="center" vertical="center"/>
    </xf>
    <xf applyAlignment="true" applyBorder="false" applyFill="true" applyFont="true" applyNumberFormat="false" applyProtection="false" borderId="40" fillId="25" fontId="1" numFmtId="0" xfId="0">
      <alignment horizontal="center" vertical="center"/>
    </xf>
    <xf applyAlignment="true" applyBorder="false" applyFill="true" applyFont="true" applyNumberFormat="false" applyProtection="false" borderId="40" fillId="25" fontId="1" numFmtId="0" xfId="0">
      <alignment horizontal="center" vertical="center"/>
    </xf>
    <xf applyAlignment="true" applyBorder="false" applyFill="true" applyFont="true" applyNumberFormat="true" applyProtection="false" borderId="40" fillId="25" fontId="1" numFmtId="215" xfId="0">
      <alignment horizontal="center" vertical="center"/>
    </xf>
    <xf applyAlignment="true" applyBorder="false" applyFill="true" applyFont="true" applyNumberFormat="true" applyProtection="false" borderId="40" fillId="25" fontId="1" numFmtId="215" xfId="0">
      <alignment horizontal="center" vertical="center"/>
    </xf>
    <xf applyAlignment="true" applyBorder="false" applyFill="false" applyFont="true" applyNumberFormat="true" applyProtection="false" borderId="41" fillId="0" fontId="3" numFmtId="214" xfId="0">
      <alignment horizontal="center" vertical="center"/>
    </xf>
    <xf applyAlignment="true" applyBorder="false" applyFill="false" applyFont="true" applyNumberFormat="false" applyProtection="false" borderId="42" fillId="0" fontId="2" numFmtId="0" xfId="0">
      <alignment horizontal="center" vertical="center"/>
    </xf>
    <xf applyAlignment="true" applyBorder="false" applyFill="false" applyFont="true" applyNumberFormat="false" applyProtection="false" borderId="43" fillId="0" fontId="3" numFmtId="0" xfId="0">
      <alignment horizontal="center" vertical="center"/>
    </xf>
    <xf applyAlignment="true" applyBorder="false" applyFill="false" applyFont="true" applyNumberFormat="true" applyProtection="false" borderId="42" fillId="0" fontId="3" numFmtId="216" xfId="0">
      <alignment horizontal="center" vertical="center"/>
    </xf>
    <xf applyAlignment="true" applyBorder="false" applyFill="false" applyFont="true" applyNumberFormat="false" applyProtection="false" borderId="42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44" fillId="0" fontId="3" numFmtId="0" xfId="0">
      <alignment horizontal="center" vertical="center"/>
    </xf>
    <xf applyAlignment="true" applyBorder="false" applyFill="false" applyFont="true" applyNumberFormat="true" applyProtection="false" borderId="44" fillId="0" fontId="3" numFmtId="217" xfId="0">
      <alignment horizontal="center" vertical="center"/>
    </xf>
    <xf applyAlignment="true" applyBorder="false" applyFill="false" applyFont="true" applyNumberFormat="true" applyProtection="false" borderId="43" fillId="0" fontId="3" numFmtId="217" xfId="0">
      <alignment horizontal="center" vertical="center"/>
    </xf>
    <xf applyAlignment="true" applyBorder="false" applyFill="false" applyFont="true" applyNumberFormat="true" applyProtection="false" borderId="43" fillId="0" fontId="3" numFmtId="218" xfId="0">
      <alignment horizontal="center" vertical="center"/>
    </xf>
    <xf applyAlignment="true" applyBorder="false" applyFill="false" applyFont="true" applyNumberFormat="true" applyProtection="false" borderId="43" fillId="0" fontId="3" numFmtId="219" xfId="0">
      <alignment horizontal="center" vertical="center"/>
    </xf>
    <xf applyAlignment="true" applyBorder="false" applyFill="false" applyFont="true" applyNumberFormat="true" applyProtection="false" borderId="43" fillId="0" fontId="3" numFmtId="216" xfId="0">
      <alignment horizontal="center" vertical="center"/>
    </xf>
    <xf applyAlignment="true" applyBorder="false" applyFill="false" applyFont="true" applyNumberFormat="true" applyProtection="false" borderId="45" fillId="0" fontId="3" numFmtId="219" xfId="0">
      <alignment horizontal="center" vertical="center"/>
    </xf>
    <xf applyAlignment="true" applyBorder="false" applyFill="false" applyFont="true" applyNumberFormat="false" applyProtection="false" borderId="46" fillId="0" fontId="3" numFmtId="0" xfId="0">
      <alignment horizontal="center" vertical="center"/>
    </xf>
    <xf applyAlignment="true" applyBorder="false" applyFill="true" applyFont="true" applyNumberFormat="true" applyProtection="false" borderId="42" fillId="26" fontId="1" numFmtId="214" xfId="0">
      <alignment horizontal="center" vertical="center"/>
    </xf>
    <xf applyAlignment="true" applyBorder="false" applyFill="true" applyFont="true" applyNumberFormat="false" applyProtection="false" borderId="47" fillId="27" fontId="4" numFmtId="0" xfId="0">
      <alignment horizontal="center" vertical="center"/>
    </xf>
    <xf applyAlignment="true" applyBorder="false" applyFill="true" applyFont="true" applyNumberFormat="false" applyProtection="false" borderId="42" fillId="27" fontId="4" numFmtId="0" xfId="0">
      <alignment horizontal="center" vertical="center"/>
    </xf>
    <xf applyAlignment="true" applyBorder="false" applyFill="true" applyFont="true" applyNumberFormat="false" applyProtection="false" borderId="48" fillId="27" fontId="4" numFmtId="0" xfId="0">
      <alignment horizontal="center" vertical="center"/>
    </xf>
    <xf applyAlignment="true" applyBorder="false" applyFill="true" applyFont="true" applyNumberFormat="true" applyProtection="false" borderId="43" fillId="27" fontId="4" numFmtId="217" xfId="0">
      <alignment horizontal="center" vertical="center"/>
    </xf>
    <xf applyAlignment="true" applyBorder="false" applyFill="true" applyFont="true" applyNumberFormat="true" applyProtection="false" borderId="43" fillId="27" fontId="4" numFmtId="218" xfId="0">
      <alignment horizontal="center" vertical="center"/>
    </xf>
    <xf applyAlignment="true" applyBorder="false" applyFill="true" applyFont="true" applyNumberFormat="true" applyProtection="false" borderId="43" fillId="27" fontId="4" numFmtId="219" xfId="0">
      <alignment horizontal="center" vertical="center"/>
    </xf>
    <xf applyAlignment="true" applyBorder="false" applyFill="true" applyFont="true" applyNumberFormat="false" applyProtection="false" borderId="43" fillId="27" fontId="4" numFmtId="0" xfId="0">
      <alignment horizontal="center" vertical="center"/>
    </xf>
    <xf applyAlignment="true" applyBorder="false" applyFill="true" applyFont="true" applyNumberFormat="true" applyProtection="false" borderId="49" fillId="27" fontId="4" numFmtId="220" xfId="0">
      <alignment horizontal="center" vertical="center"/>
    </xf>
    <xf applyAlignment="true" applyBorder="false" applyFill="true" applyFont="true" applyNumberFormat="false" applyProtection="false" borderId="49" fillId="27" fontId="4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41" fillId="0" fontId="3" numFmtId="0" xfId="0">
      <alignment horizontal="center" vertical="center"/>
    </xf>
    <xf applyAlignment="true" applyBorder="false" applyFill="false" applyFont="true" applyNumberFormat="false" applyProtection="false" borderId="47" fillId="0" fontId="3" numFmtId="0" xfId="0">
      <alignment horizontal="center" vertical="center"/>
    </xf>
    <xf applyAlignment="true" applyBorder="false" applyFill="false" applyFont="true" applyNumberFormat="true" applyProtection="false" borderId="46" fillId="0" fontId="3" numFmtId="217" xfId="0">
      <alignment horizontal="center" vertical="center"/>
    </xf>
    <xf applyAlignment="true" applyBorder="false" applyFill="false" applyFont="true" applyNumberFormat="false" applyProtection="false" borderId="50" fillId="0" fontId="3" numFmtId="0" xfId="0">
      <alignment horizontal="center" vertical="center"/>
    </xf>
    <xf applyAlignment="true" applyBorder="false" applyFill="false" applyFont="true" applyNumberFormat="true" applyProtection="false" borderId="42" fillId="0" fontId="3" numFmtId="218" xfId="0">
      <alignment horizontal="center" vertical="center"/>
    </xf>
    <xf applyAlignment="true" applyBorder="false" applyFill="false" applyFont="true" applyNumberFormat="false" applyProtection="false" borderId="48" fillId="0" fontId="3" numFmtId="0" xfId="0">
      <alignment horizontal="center" vertical="center"/>
    </xf>
    <xf applyAlignment="true" applyBorder="false" applyFill="false" applyFont="true" applyNumberFormat="true" applyProtection="false" borderId="42" fillId="0" fontId="3" numFmtId="216" xfId="0">
      <alignment horizontal="center" vertical="center"/>
    </xf>
    <xf applyAlignment="true" applyBorder="false" applyFill="false" applyFont="true" applyNumberFormat="false" applyProtection="false" borderId="42" fillId="0" fontId="3" numFmtId="0" xfId="0">
      <alignment horizontal="center" vertical="center"/>
    </xf>
    <xf applyAlignment="true" applyBorder="false" applyFill="false" applyFont="true" applyNumberFormat="true" applyProtection="false" borderId="43" fillId="0" fontId="3" numFmtId="216" xfId="0">
      <alignment horizontal="center" vertical="center"/>
    </xf>
    <xf applyAlignment="true" applyBorder="false" applyFill="false" applyFont="true" applyNumberFormat="true" applyProtection="false" borderId="42" fillId="0" fontId="10" numFmtId="221" xfId="0">
      <alignment horizontal="center" vertical="center"/>
    </xf>
    <xf applyAlignment="true" applyBorder="false" applyFill="false" applyFont="true" applyNumberFormat="false" applyProtection="false" borderId="51" fillId="0" fontId="3" numFmtId="0" xfId="0">
      <alignment horizontal="center" vertical="center"/>
    </xf>
    <xf applyAlignment="true" applyBorder="false" applyFill="false" applyFont="true" applyNumberFormat="true" applyProtection="false" borderId="41" fillId="0" fontId="3" numFmtId="216" xfId="0">
      <alignment horizontal="center" vertical="center"/>
    </xf>
    <xf applyAlignment="true" applyBorder="false" applyFill="false" applyFont="true" applyNumberFormat="false" applyProtection="false" borderId="52" fillId="0" fontId="3" numFmtId="0" xfId="0">
      <alignment horizontal="center" vertical="center"/>
    </xf>
    <xf applyAlignment="true" applyBorder="false" applyFill="false" applyFont="true" applyNumberFormat="false" applyProtection="false" borderId="53" fillId="0" fontId="3" numFmtId="0" xfId="0">
      <alignment horizontal="center" vertical="center"/>
    </xf>
    <xf applyAlignment="true" applyBorder="false" applyFill="false" applyFont="true" applyNumberFormat="true" applyProtection="false" borderId="54" fillId="0" fontId="3" numFmtId="214" xfId="0">
      <alignment horizontal="center" vertical="center"/>
    </xf>
    <xf applyAlignment="true" applyBorder="false" applyFill="false" applyFont="true" applyNumberFormat="false" applyProtection="false" borderId="55" fillId="0" fontId="3" numFmtId="0" xfId="0">
      <alignment horizontal="center" vertical="center"/>
    </xf>
    <xf applyAlignment="true" applyBorder="false" applyFill="false" applyFont="true" applyNumberFormat="false" applyProtection="false" borderId="55" fillId="0" fontId="3" numFmtId="0" xfId="0">
      <alignment horizontal="center" vertical="center"/>
    </xf>
    <xf applyAlignment="true" applyBorder="false" applyFill="false" applyFont="true" applyNumberFormat="true" applyProtection="false" borderId="55" fillId="0" fontId="3" numFmtId="216" xfId="0">
      <alignment horizontal="center" vertical="center"/>
    </xf>
    <xf applyAlignment="true" applyBorder="false" applyFill="false" applyFont="true" applyNumberFormat="false" applyProtection="false" borderId="54" fillId="0" fontId="3" numFmtId="0" xfId="0">
      <alignment horizontal="center" vertical="center"/>
    </xf>
    <xf applyAlignment="true" applyBorder="false" applyFill="false" applyFont="true" applyNumberFormat="false" applyProtection="false" borderId="56" fillId="0" fontId="3" numFmtId="0" xfId="0">
      <alignment horizontal="center" vertical="center"/>
    </xf>
    <xf applyAlignment="true" applyBorder="false" applyFill="false" applyFont="true" applyNumberFormat="true" applyProtection="false" borderId="57" fillId="0" fontId="3" numFmtId="217" xfId="0">
      <alignment horizontal="center" vertical="center"/>
    </xf>
    <xf applyAlignment="true" applyBorder="false" applyFill="false" applyFont="true" applyNumberFormat="true" applyProtection="false" borderId="58" fillId="0" fontId="3" numFmtId="217" xfId="0">
      <alignment horizontal="center" vertical="center"/>
    </xf>
    <xf applyAlignment="true" applyBorder="false" applyFill="false" applyFont="true" applyNumberFormat="true" applyProtection="false" borderId="55" fillId="0" fontId="3" numFmtId="217" xfId="0">
      <alignment horizontal="center" vertical="center"/>
    </xf>
    <xf applyAlignment="true" applyBorder="false" applyFill="false" applyFont="true" applyNumberFormat="true" applyProtection="false" borderId="55" fillId="0" fontId="3" numFmtId="218" xfId="0">
      <alignment horizontal="center" vertical="center"/>
    </xf>
    <xf applyAlignment="true" applyBorder="false" applyFill="false" applyFont="true" applyNumberFormat="true" applyProtection="false" borderId="55" fillId="0" fontId="3" numFmtId="219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58" fillId="0" fontId="3" numFmtId="217" xfId="0">
      <alignment horizontal="center" vertical="center"/>
    </xf>
    <xf applyAlignment="true" applyBorder="false" applyFill="false" applyFont="true" applyNumberFormat="false" applyProtection="false" borderId="59" fillId="0" fontId="3" numFmtId="0" xfId="0">
      <alignment horizontal="center" vertical="center"/>
    </xf>
    <xf applyAlignment="true" applyBorder="false" applyFill="false" applyFont="true" applyNumberFormat="true" applyProtection="false" borderId="60" fillId="0" fontId="3" numFmtId="222" xfId="0">
      <alignment horizontal="center" vertical="center"/>
    </xf>
    <xf applyAlignment="true" applyBorder="false" applyFill="false" applyFont="true" applyNumberFormat="true" applyProtection="false" borderId="57" fillId="0" fontId="3" numFmtId="217" xfId="0">
      <alignment horizontal="center" vertical="center"/>
    </xf>
    <xf applyAlignment="true" applyBorder="false" applyFill="false" applyFont="true" applyNumberFormat="true" applyProtection="false" borderId="54" fillId="0" fontId="3" numFmtId="216" xfId="0">
      <alignment horizontal="center" vertical="center"/>
    </xf>
    <xf applyAlignment="true" applyBorder="false" applyFill="false" applyFont="true" applyNumberFormat="false" applyProtection="false" borderId="61" fillId="0" fontId="3" numFmtId="0" xfId="0">
      <alignment horizontal="center" vertical="center"/>
    </xf>
    <xf applyAlignment="true" applyBorder="false" applyFill="true" applyFont="true" applyNumberFormat="true" applyProtection="false" borderId="55" fillId="26" fontId="1" numFmtId="214" xfId="0">
      <alignment horizontal="center" vertical="center"/>
    </xf>
    <xf applyAlignment="true" applyBorder="false" applyFill="true" applyFont="true" applyNumberFormat="false" applyProtection="false" borderId="62" fillId="27" fontId="4" numFmtId="0" xfId="0">
      <alignment horizontal="center" vertical="center"/>
    </xf>
    <xf applyAlignment="true" applyBorder="false" applyFill="true" applyFont="true" applyNumberFormat="false" applyProtection="false" borderId="55" fillId="27" fontId="4" numFmtId="0" xfId="0">
      <alignment horizontal="center" vertical="center"/>
    </xf>
    <xf applyAlignment="true" applyBorder="false" applyFill="true" applyFont="true" applyNumberFormat="true" applyProtection="false" borderId="55" fillId="27" fontId="4" numFmtId="217" xfId="0">
      <alignment horizontal="center" vertical="center"/>
    </xf>
    <xf applyAlignment="true" applyBorder="false" applyFill="true" applyFont="true" applyNumberFormat="true" applyProtection="false" borderId="55" fillId="27" fontId="4" numFmtId="218" xfId="0">
      <alignment horizontal="center" vertical="center"/>
    </xf>
    <xf applyAlignment="true" applyBorder="false" applyFill="true" applyFont="true" applyNumberFormat="true" applyProtection="false" borderId="55" fillId="27" fontId="4" numFmtId="219" xfId="0">
      <alignment horizontal="center" vertical="center"/>
    </xf>
    <xf applyAlignment="true" applyBorder="false" applyFill="true" applyFont="true" applyNumberFormat="true" applyProtection="false" borderId="62" fillId="27" fontId="4" numFmtId="220" xfId="0">
      <alignment horizontal="center" vertical="center"/>
    </xf>
    <xf applyAlignment="true" applyBorder="false" applyFill="false" applyFont="true" applyNumberFormat="false" applyProtection="false" borderId="43" fillId="0" fontId="8" numFmtId="0" xfId="0">
      <alignment horizontal="center" vertical="center"/>
    </xf>
    <xf applyAlignment="true" applyBorder="false" applyFill="false" applyFont="true" applyNumberFormat="true" applyProtection="false" borderId="42" fillId="0" fontId="3" numFmtId="217" xfId="0">
      <alignment horizontal="center" vertical="center"/>
    </xf>
    <xf applyAlignment="true" applyBorder="false" applyFill="false" applyFont="true" applyNumberFormat="true" applyProtection="false" borderId="0" fillId="0" fontId="3" numFmtId="223" xfId="0">
      <alignment vertical="center"/>
    </xf>
    <xf applyAlignment="true" applyBorder="false" applyFill="true" applyFont="true" applyNumberFormat="false" applyProtection="false" borderId="0" fillId="28" fontId="3" numFmtId="0" xfId="0">
      <alignment vertical="center"/>
    </xf>
    <xf applyAlignment="true" applyBorder="false" applyFill="true" applyFont="true" applyNumberFormat="false" applyProtection="false" borderId="0" fillId="29" fontId="11" numFmtId="0" xfId="0">
      <alignment horizontal="center" vertical="center"/>
    </xf>
    <xf applyAlignment="true" applyBorder="false" applyFill="false" applyFont="true" applyNumberFormat="true" applyProtection="false" borderId="0" fillId="0" fontId="2" numFmtId="217" xfId="0">
      <alignment vertical="center"/>
    </xf>
    <xf applyAlignment="true" applyBorder="false" applyFill="true" applyFont="true" applyNumberFormat="true" applyProtection="false" borderId="63" fillId="30" fontId="12" numFmtId="217" xfId="0">
      <alignment vertical="center"/>
    </xf>
    <xf applyAlignment="true" applyBorder="false" applyFill="false" applyFont="true" applyNumberFormat="true" applyProtection="false" borderId="0" fillId="0" fontId="2" numFmtId="222" xfId="0">
      <alignment vertical="center"/>
    </xf>
    <xf applyAlignment="true" applyBorder="false" applyFill="true" applyFont="true" applyNumberFormat="true" applyProtection="false" borderId="64" fillId="31" fontId="1" numFmtId="224" xfId="0">
      <alignment horizontal="center" vertical="center"/>
    </xf>
    <xf applyAlignment="true" applyBorder="false" applyFill="true" applyFont="true" applyNumberFormat="false" applyProtection="false" borderId="64" fillId="31" fontId="1" numFmtId="0" xfId="0">
      <alignment horizontal="center" vertical="center"/>
    </xf>
    <xf applyAlignment="true" applyBorder="false" applyFill="true" applyFont="true" applyNumberFormat="false" applyProtection="false" borderId="64" fillId="31" fontId="1" numFmtId="0" xfId="0">
      <alignment horizontal="center" vertical="center"/>
    </xf>
    <xf applyAlignment="true" applyBorder="false" applyFill="true" applyFont="true" applyNumberFormat="true" applyProtection="false" borderId="64" fillId="31" fontId="1" numFmtId="225" xfId="0">
      <alignment horizontal="center" vertical="center"/>
    </xf>
    <xf applyAlignment="true" applyBorder="false" applyFill="true" applyFont="true" applyNumberFormat="true" applyProtection="false" borderId="64" fillId="31" fontId="1" numFmtId="22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64" fillId="0" fontId="3" numFmtId="224" xfId="0">
      <alignment horizontal="center" vertical="center"/>
    </xf>
    <xf applyAlignment="true" applyBorder="false" applyFill="false" applyFont="true" applyNumberFormat="false" applyProtection="false" borderId="64" fillId="0" fontId="2" numFmtId="0" xfId="0">
      <alignment horizontal="center" vertical="center"/>
    </xf>
    <xf applyAlignment="true" applyBorder="false" applyFill="false" applyFont="true" applyNumberFormat="false" applyProtection="false" borderId="64" fillId="0" fontId="3" numFmtId="0" xfId="0">
      <alignment horizontal="center" vertical="center"/>
    </xf>
    <xf applyAlignment="true" applyBorder="false" applyFill="false" applyFont="true" applyNumberFormat="true" applyProtection="false" borderId="64" fillId="0" fontId="3" numFmtId="226" xfId="0">
      <alignment horizontal="center" vertical="center"/>
    </xf>
    <xf applyAlignment="true" applyBorder="false" applyFill="false" applyFont="true" applyNumberFormat="true" applyProtection="false" borderId="64" fillId="0" fontId="3" numFmtId="227" xfId="0">
      <alignment horizontal="center" vertical="center"/>
    </xf>
    <xf applyAlignment="true" applyBorder="false" applyFill="false" applyFont="true" applyNumberFormat="true" applyProtection="false" borderId="64" fillId="0" fontId="3" numFmtId="227" xfId="0">
      <alignment horizontal="center" vertical="center"/>
    </xf>
    <xf applyAlignment="true" applyBorder="false" applyFill="false" applyFont="true" applyNumberFormat="true" applyProtection="false" borderId="64" fillId="0" fontId="3" numFmtId="228" xfId="0">
      <alignment horizontal="center" vertical="center"/>
    </xf>
    <xf applyAlignment="true" applyBorder="false" applyFill="false" applyFont="true" applyNumberFormat="true" applyProtection="false" borderId="64" fillId="0" fontId="3" numFmtId="229" xfId="0">
      <alignment horizontal="center" vertical="center"/>
    </xf>
    <xf applyAlignment="true" applyBorder="false" applyFill="false" applyFont="true" applyNumberFormat="true" applyProtection="false" borderId="64" fillId="0" fontId="3" numFmtId="226" xfId="0">
      <alignment horizontal="center" vertical="center"/>
    </xf>
    <xf applyAlignment="true" applyBorder="false" applyFill="true" applyFont="true" applyNumberFormat="true" applyProtection="false" borderId="64" fillId="32" fontId="1" numFmtId="224" xfId="0">
      <alignment horizontal="center" vertical="center"/>
    </xf>
    <xf applyAlignment="true" applyBorder="false" applyFill="true" applyFont="true" applyNumberFormat="false" applyProtection="false" borderId="64" fillId="33" fontId="4" numFmtId="0" xfId="0">
      <alignment horizontal="center" vertical="center"/>
    </xf>
    <xf applyAlignment="true" applyBorder="false" applyFill="true" applyFont="true" applyNumberFormat="true" applyProtection="false" borderId="64" fillId="33" fontId="4" numFmtId="227" xfId="0">
      <alignment horizontal="center" vertical="center"/>
    </xf>
    <xf applyAlignment="true" applyBorder="false" applyFill="true" applyFont="true" applyNumberFormat="true" applyProtection="false" borderId="64" fillId="33" fontId="4" numFmtId="228" xfId="0">
      <alignment horizontal="center" vertical="center"/>
    </xf>
    <xf applyAlignment="true" applyBorder="false" applyFill="true" applyFont="true" applyNumberFormat="true" applyProtection="false" borderId="64" fillId="33" fontId="4" numFmtId="229" xfId="0">
      <alignment horizontal="center" vertical="center"/>
    </xf>
    <xf applyAlignment="true" applyBorder="false" applyFill="true" applyFont="true" applyNumberFormat="true" applyProtection="false" borderId="64" fillId="33" fontId="4" numFmtId="230" xfId="0">
      <alignment horizontal="center" vertical="center"/>
    </xf>
    <xf applyAlignment="true" applyBorder="false" applyFill="true" applyFont="true" applyNumberFormat="true" applyProtection="false" borderId="65" fillId="32" fontId="1" numFmtId="224" xfId="0">
      <alignment horizontal="center" vertical="center"/>
    </xf>
    <xf applyAlignment="true" applyBorder="false" applyFill="true" applyFont="true" applyNumberFormat="false" applyProtection="false" borderId="65" fillId="33" fontId="4" numFmtId="0" xfId="0">
      <alignment horizontal="center" vertical="center"/>
    </xf>
    <xf applyAlignment="true" applyBorder="false" applyFill="true" applyFont="true" applyNumberFormat="true" applyProtection="false" borderId="65" fillId="33" fontId="4" numFmtId="227" xfId="0">
      <alignment horizontal="center" vertical="center"/>
    </xf>
    <xf applyAlignment="true" applyBorder="false" applyFill="true" applyFont="true" applyNumberFormat="true" applyProtection="false" borderId="65" fillId="33" fontId="4" numFmtId="228" xfId="0">
      <alignment horizontal="center" vertical="center"/>
    </xf>
    <xf applyAlignment="true" applyBorder="false" applyFill="true" applyFont="true" applyNumberFormat="true" applyProtection="false" borderId="65" fillId="33" fontId="4" numFmtId="229" xfId="0">
      <alignment horizontal="center" vertical="center"/>
    </xf>
    <xf applyAlignment="true" applyBorder="false" applyFill="true" applyFont="true" applyNumberFormat="true" applyProtection="false" borderId="65" fillId="33" fontId="4" numFmtId="230" xfId="0">
      <alignment horizontal="center" vertical="center"/>
    </xf>
    <xf applyAlignment="true" applyBorder="false" applyFill="false" applyFont="true" applyNumberFormat="true" applyProtection="false" borderId="66" fillId="0" fontId="3" numFmtId="224" xfId="0">
      <alignment horizontal="center" vertical="center"/>
    </xf>
    <xf applyAlignment="true" applyBorder="false" applyFill="false" applyFont="true" applyNumberFormat="false" applyProtection="false" borderId="66" fillId="0" fontId="3" numFmtId="0" xfId="0">
      <alignment horizontal="center" vertical="center"/>
    </xf>
    <xf applyAlignment="true" applyBorder="false" applyFill="false" applyFont="true" applyNumberFormat="true" applyProtection="false" borderId="66" fillId="0" fontId="3" numFmtId="226" xfId="0">
      <alignment horizontal="center" vertical="center"/>
    </xf>
    <xf applyAlignment="true" applyBorder="false" applyFill="false" applyFont="true" applyNumberFormat="false" applyProtection="false" borderId="66" fillId="0" fontId="3" numFmtId="0" xfId="0">
      <alignment horizontal="center" vertical="center"/>
    </xf>
    <xf applyAlignment="true" applyBorder="false" applyFill="false" applyFont="true" applyNumberFormat="true" applyProtection="false" borderId="66" fillId="0" fontId="3" numFmtId="227" xfId="0">
      <alignment horizontal="center" vertical="center"/>
    </xf>
    <xf applyAlignment="true" applyBorder="false" applyFill="false" applyFont="true" applyNumberFormat="true" applyProtection="false" borderId="66" fillId="0" fontId="3" numFmtId="227" xfId="0">
      <alignment horizontal="center" vertical="center"/>
    </xf>
    <xf applyAlignment="true" applyBorder="false" applyFill="false" applyFont="true" applyNumberFormat="true" applyProtection="false" borderId="66" fillId="0" fontId="3" numFmtId="228" xfId="0">
      <alignment horizontal="center" vertical="center"/>
    </xf>
    <xf applyAlignment="true" applyBorder="false" applyFill="false" applyFont="true" applyNumberFormat="true" applyProtection="false" borderId="66" fillId="0" fontId="3" numFmtId="229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66" fillId="0" fontId="3" numFmtId="227" xfId="0">
      <alignment horizontal="center" vertical="center"/>
    </xf>
    <xf applyAlignment="true" applyBorder="false" applyFill="true" applyFont="true" applyNumberFormat="true" applyProtection="false" borderId="67" fillId="32" fontId="1" numFmtId="224" xfId="0">
      <alignment horizontal="center" vertical="center"/>
    </xf>
    <xf applyAlignment="true" applyBorder="false" applyFill="true" applyFont="true" applyNumberFormat="false" applyProtection="false" borderId="67" fillId="33" fontId="4" numFmtId="0" xfId="0">
      <alignment horizontal="center" vertical="center"/>
    </xf>
    <xf applyAlignment="true" applyBorder="false" applyFill="true" applyFont="true" applyNumberFormat="true" applyProtection="false" borderId="67" fillId="33" fontId="4" numFmtId="227" xfId="0">
      <alignment horizontal="center" vertical="center"/>
    </xf>
    <xf applyAlignment="true" applyBorder="false" applyFill="true" applyFont="true" applyNumberFormat="true" applyProtection="false" borderId="67" fillId="33" fontId="4" numFmtId="228" xfId="0">
      <alignment horizontal="center" vertical="center"/>
    </xf>
    <xf applyAlignment="true" applyBorder="false" applyFill="true" applyFont="true" applyNumberFormat="true" applyProtection="false" borderId="67" fillId="33" fontId="4" numFmtId="229" xfId="0">
      <alignment horizontal="center" vertical="center"/>
    </xf>
    <xf applyAlignment="true" applyBorder="false" applyFill="true" applyFont="true" applyNumberFormat="true" applyProtection="false" borderId="67" fillId="33" fontId="4" numFmtId="230" xfId="0">
      <alignment horizontal="center" vertical="center"/>
    </xf>
    <xf applyAlignment="true" applyBorder="false" applyFill="false" applyFont="true" applyNumberFormat="true" applyProtection="false" borderId="66" fillId="0" fontId="3" numFmtId="224" xfId="0">
      <alignment horizontal="center" vertical="center"/>
    </xf>
    <xf applyAlignment="true" applyBorder="false" applyFill="true" applyFont="true" applyNumberFormat="true" applyProtection="false" borderId="67" fillId="32" fontId="1" numFmtId="224" xfId="0">
      <alignment horizontal="center" vertical="center"/>
    </xf>
    <xf applyAlignment="true" applyBorder="false" applyFill="false" applyFont="true" applyNumberFormat="false" applyProtection="false" borderId="66" fillId="0" fontId="8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0" fillId="34" fontId="11" numFmtId="0" xfId="0">
      <alignment horizontal="center" vertical="center"/>
    </xf>
    <xf applyAlignment="true" applyBorder="false" applyFill="false" applyFont="true" applyNumberFormat="true" applyProtection="false" borderId="0" fillId="0" fontId="2" numFmtId="227" xfId="0">
      <alignment vertical="center"/>
    </xf>
    <xf applyAlignment="true" applyBorder="false" applyFill="true" applyFont="true" applyNumberFormat="true" applyProtection="false" borderId="68" fillId="35" fontId="12" numFmtId="227" xfId="0">
      <alignment vertical="center"/>
    </xf>
    <xf applyAlignment="true" applyBorder="false" applyFill="true" applyFont="true" applyNumberFormat="true" applyProtection="false" borderId="69" fillId="36" fontId="1" numFmtId="231" xfId="0">
      <alignment horizontal="center" vertical="center"/>
    </xf>
    <xf applyAlignment="true" applyBorder="false" applyFill="true" applyFont="true" applyNumberFormat="false" applyProtection="false" borderId="69" fillId="36" fontId="1" numFmtId="0" xfId="0">
      <alignment horizontal="center" vertical="center"/>
    </xf>
    <xf applyAlignment="true" applyBorder="false" applyFill="true" applyFont="true" applyNumberFormat="false" applyProtection="false" borderId="69" fillId="36" fontId="1" numFmtId="0" xfId="0">
      <alignment horizontal="center" vertical="center"/>
    </xf>
    <xf applyAlignment="true" applyBorder="false" applyFill="true" applyFont="true" applyNumberFormat="true" applyProtection="false" borderId="69" fillId="36" fontId="1" numFmtId="232" xfId="0">
      <alignment horizontal="center" vertical="center"/>
    </xf>
    <xf applyAlignment="true" applyBorder="false" applyFill="true" applyFont="true" applyNumberFormat="true" applyProtection="false" borderId="69" fillId="36" fontId="1" numFmtId="232" xfId="0">
      <alignment horizontal="center" vertical="center"/>
    </xf>
    <xf applyAlignment="true" applyBorder="false" applyFill="false" applyFont="true" applyNumberFormat="true" applyProtection="false" borderId="70" fillId="0" fontId="3" numFmtId="231" xfId="0">
      <alignment horizontal="center" vertical="center"/>
    </xf>
    <xf applyAlignment="true" applyBorder="false" applyFill="false" applyFont="true" applyNumberFormat="false" applyProtection="false" borderId="70" fillId="0" fontId="3" numFmtId="0" xfId="0">
      <alignment horizontal="center" vertical="center"/>
    </xf>
    <xf applyAlignment="true" applyBorder="false" applyFill="false" applyFont="true" applyNumberFormat="true" applyProtection="false" borderId="70" fillId="0" fontId="3" numFmtId="233" xfId="0">
      <alignment horizontal="center" vertical="center"/>
    </xf>
    <xf applyAlignment="true" applyBorder="false" applyFill="false" applyFont="true" applyNumberFormat="true" applyProtection="false" borderId="70" fillId="0" fontId="3" numFmtId="234" xfId="0">
      <alignment horizontal="center" vertical="center"/>
    </xf>
    <xf applyAlignment="true" applyBorder="false" applyFill="false" applyFont="true" applyNumberFormat="true" applyProtection="false" borderId="70" fillId="0" fontId="3" numFmtId="234" xfId="0">
      <alignment horizontal="center" vertical="center"/>
    </xf>
    <xf applyAlignment="true" applyBorder="false" applyFill="false" applyFont="true" applyNumberFormat="true" applyProtection="false" borderId="70" fillId="0" fontId="3" numFmtId="235" xfId="0">
      <alignment horizontal="center" vertical="center"/>
    </xf>
    <xf applyAlignment="true" applyBorder="false" applyFill="false" applyFont="true" applyNumberFormat="true" applyProtection="false" borderId="70" fillId="0" fontId="3" numFmtId="236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70" fillId="0" fontId="3" numFmtId="234" xfId="0">
      <alignment horizontal="center" vertical="center"/>
    </xf>
    <xf applyAlignment="true" applyBorder="false" applyFill="false" applyFont="true" applyNumberFormat="false" applyProtection="false" borderId="70" fillId="0" fontId="3" numFmtId="0" xfId="0">
      <alignment horizontal="center" vertical="center"/>
    </xf>
    <xf applyAlignment="true" applyBorder="false" applyFill="true" applyFont="true" applyNumberFormat="true" applyProtection="false" borderId="71" fillId="37" fontId="1" numFmtId="231" xfId="0">
      <alignment horizontal="center" vertical="center"/>
    </xf>
    <xf applyAlignment="true" applyBorder="false" applyFill="true" applyFont="true" applyNumberFormat="false" applyProtection="false" borderId="71" fillId="38" fontId="4" numFmtId="0" xfId="0">
      <alignment horizontal="center" vertical="center"/>
    </xf>
    <xf applyAlignment="true" applyBorder="false" applyFill="true" applyFont="true" applyNumberFormat="true" applyProtection="false" borderId="71" fillId="38" fontId="4" numFmtId="234" xfId="0">
      <alignment horizontal="center" vertical="center"/>
    </xf>
    <xf applyAlignment="true" applyBorder="false" applyFill="true" applyFont="true" applyNumberFormat="true" applyProtection="false" borderId="71" fillId="38" fontId="4" numFmtId="235" xfId="0">
      <alignment horizontal="center" vertical="center"/>
    </xf>
    <xf applyAlignment="true" applyBorder="false" applyFill="true" applyFont="true" applyNumberFormat="true" applyProtection="false" borderId="71" fillId="38" fontId="4" numFmtId="236" xfId="0">
      <alignment horizontal="center" vertical="center"/>
    </xf>
    <xf applyAlignment="true" applyBorder="false" applyFill="true" applyFont="true" applyNumberFormat="true" applyProtection="false" borderId="71" fillId="38" fontId="4" numFmtId="237" xfId="0">
      <alignment horizontal="center" vertical="center"/>
    </xf>
    <xf applyAlignment="true" applyBorder="false" applyFill="false" applyFont="true" applyNumberFormat="false" applyProtection="false" borderId="70" fillId="0" fontId="8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3" numFmtId="231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2" numFmtId="234" xfId="0">
      <alignment vertical="center"/>
    </xf>
    <xf applyAlignment="true" applyBorder="false" applyFill="false" applyFont="true" applyNumberFormat="true" applyProtection="false" borderId="0" fillId="0" fontId="2" numFmtId="231" xfId="0">
      <alignment vertical="center"/>
    </xf>
    <xf applyAlignment="true" applyBorder="false" applyFill="false" applyFont="true" applyNumberFormat="true" applyProtection="false" borderId="0" fillId="0" fontId="2" numFmtId="238" xfId="0">
      <alignment vertical="center"/>
    </xf>
    <xf applyAlignment="true" applyBorder="false" applyFill="false" applyFont="true" applyNumberFormat="true" applyProtection="false" borderId="0" fillId="0" fontId="2" numFmtId="239" xfId="0">
      <alignment vertical="center"/>
    </xf>
    <xf applyAlignment="true" applyBorder="false" applyFill="false" applyFont="true" applyNumberFormat="true" applyProtection="false" borderId="0" fillId="0" fontId="2" numFmtId="238" xfId="0">
      <alignment vertical="center"/>
    </xf>
    <xf applyAlignment="true" applyBorder="false" applyFill="false" applyFont="true" applyNumberFormat="true" applyProtection="false" borderId="0" fillId="0" fontId="2" numFmtId="240" xfId="0">
      <alignment vertical="center"/>
    </xf>
    <xf applyAlignment="true" applyBorder="false" applyFill="true" applyFont="true" applyNumberFormat="true" applyProtection="false" borderId="72" fillId="39" fontId="1" numFmtId="241" xfId="0">
      <alignment horizontal="center" vertical="center"/>
    </xf>
    <xf applyAlignment="true" applyBorder="false" applyFill="true" applyFont="true" applyNumberFormat="false" applyProtection="false" borderId="73" fillId="39" fontId="1" numFmtId="0" xfId="0">
      <alignment horizontal="center" vertical="center"/>
    </xf>
    <xf applyAlignment="true" applyBorder="false" applyFill="true" applyFont="true" applyNumberFormat="false" applyProtection="false" borderId="72" fillId="39" fontId="1" numFmtId="0" xfId="0">
      <alignment horizontal="center" vertical="center"/>
    </xf>
    <xf applyAlignment="true" applyBorder="false" applyFill="true" applyFont="true" applyNumberFormat="false" applyProtection="false" borderId="72" fillId="39" fontId="1" numFmtId="0" xfId="0">
      <alignment horizontal="center" vertical="center"/>
    </xf>
    <xf applyAlignment="true" applyBorder="false" applyFill="true" applyFont="true" applyNumberFormat="true" applyProtection="false" borderId="72" fillId="39" fontId="1" numFmtId="242" xfId="0">
      <alignment horizontal="center" vertical="center"/>
    </xf>
    <xf applyAlignment="true" applyBorder="false" applyFill="true" applyFont="true" applyNumberFormat="true" applyProtection="false" borderId="72" fillId="39" fontId="1" numFmtId="242" xfId="0">
      <alignment horizontal="center" vertical="center"/>
    </xf>
    <xf applyAlignment="true" applyBorder="false" applyFill="false" applyFont="true" applyNumberFormat="true" applyProtection="false" borderId="74" fillId="0" fontId="3" numFmtId="241" xfId="0">
      <alignment horizontal="center" vertical="center"/>
    </xf>
    <xf applyAlignment="true" applyBorder="false" applyFill="false" applyFont="true" applyNumberFormat="false" applyProtection="false" borderId="72" fillId="0" fontId="3" numFmtId="0" xfId="0">
      <alignment horizontal="center" vertical="center"/>
    </xf>
    <xf applyAlignment="true" applyBorder="false" applyFill="false" applyFont="true" applyNumberFormat="false" applyProtection="false" borderId="75" fillId="0" fontId="3" numFmtId="0" xfId="0">
      <alignment horizontal="center" vertical="center"/>
    </xf>
    <xf applyAlignment="true" applyBorder="false" applyFill="false" applyFont="true" applyNumberFormat="false" applyProtection="false" borderId="76" fillId="0" fontId="3" numFmtId="0" xfId="0">
      <alignment horizontal="center" vertical="center"/>
    </xf>
    <xf applyAlignment="true" applyBorder="false" applyFill="false" applyFont="true" applyNumberFormat="true" applyProtection="false" borderId="76" fillId="0" fontId="3" numFmtId="243" xfId="0">
      <alignment horizontal="center" vertical="center"/>
    </xf>
    <xf applyAlignment="true" applyBorder="false" applyFill="false" applyFont="true" applyNumberFormat="true" applyProtection="false" borderId="76" fillId="0" fontId="3" numFmtId="244" xfId="0">
      <alignment horizontal="center" vertical="center"/>
    </xf>
    <xf applyAlignment="true" applyBorder="false" applyFill="false" applyFont="true" applyNumberFormat="true" applyProtection="false" borderId="76" fillId="0" fontId="3" numFmtId="244" xfId="0">
      <alignment horizontal="center" vertical="center"/>
    </xf>
    <xf applyAlignment="true" applyBorder="false" applyFill="false" applyFont="true" applyNumberFormat="true" applyProtection="false" borderId="76" fillId="0" fontId="3" numFmtId="245" xfId="0">
      <alignment horizontal="center" vertical="center"/>
    </xf>
    <xf applyAlignment="true" applyBorder="false" applyFill="false" applyFont="true" applyNumberFormat="true" applyProtection="false" borderId="76" fillId="0" fontId="3" numFmtId="246" xfId="0">
      <alignment horizontal="center" vertical="center"/>
    </xf>
    <xf applyAlignment="true" applyBorder="false" applyFill="false" applyFont="true" applyNumberFormat="false" applyProtection="false" borderId="72" fillId="0" fontId="2" numFmtId="0" xfId="0">
      <alignment horizontal="center" vertical="center"/>
    </xf>
    <xf applyAlignment="true" applyBorder="false" applyFill="false" applyFont="true" applyNumberFormat="true" applyProtection="false" borderId="76" fillId="0" fontId="3" numFmtId="244" xfId="0">
      <alignment horizontal="center" vertical="center"/>
    </xf>
    <xf applyAlignment="true" applyBorder="false" applyFill="true" applyFont="true" applyNumberFormat="true" applyProtection="false" borderId="77" fillId="40" fontId="1" numFmtId="241" xfId="0">
      <alignment horizontal="center" vertical="center"/>
    </xf>
    <xf applyAlignment="true" applyBorder="false" applyFill="true" applyFont="true" applyNumberFormat="false" applyProtection="false" borderId="72" fillId="41" fontId="4" numFmtId="0" xfId="0">
      <alignment horizontal="center" vertical="center"/>
    </xf>
    <xf applyAlignment="true" applyBorder="false" applyFill="true" applyFont="true" applyNumberFormat="false" applyProtection="false" borderId="78" fillId="41" fontId="4" numFmtId="0" xfId="0">
      <alignment horizontal="center" vertical="center"/>
    </xf>
    <xf applyAlignment="true" applyBorder="false" applyFill="true" applyFont="true" applyNumberFormat="false" applyProtection="false" borderId="79" fillId="41" fontId="4" numFmtId="0" xfId="0">
      <alignment horizontal="center" vertical="center"/>
    </xf>
    <xf applyAlignment="true" applyBorder="false" applyFill="true" applyFont="true" applyNumberFormat="true" applyProtection="false" borderId="79" fillId="41" fontId="4" numFmtId="244" xfId="0">
      <alignment horizontal="center" vertical="center"/>
    </xf>
    <xf applyAlignment="true" applyBorder="false" applyFill="true" applyFont="true" applyNumberFormat="true" applyProtection="false" borderId="79" fillId="41" fontId="4" numFmtId="245" xfId="0">
      <alignment horizontal="center" vertical="center"/>
    </xf>
    <xf applyAlignment="true" applyBorder="false" applyFill="true" applyFont="true" applyNumberFormat="true" applyProtection="false" borderId="79" fillId="41" fontId="4" numFmtId="246" xfId="0">
      <alignment horizontal="center" vertical="center"/>
    </xf>
    <xf applyAlignment="true" applyBorder="false" applyFill="true" applyFont="true" applyNumberFormat="true" applyProtection="false" borderId="79" fillId="41" fontId="4" numFmtId="247" xfId="0">
      <alignment horizontal="center" vertical="center"/>
    </xf>
    <xf applyAlignment="true" applyBorder="false" applyFill="true" applyFont="true" applyNumberFormat="true" applyProtection="false" borderId="79" fillId="40" fontId="1" numFmtId="241" xfId="0">
      <alignment horizontal="center" vertical="center"/>
    </xf>
    <xf applyAlignment="true" applyBorder="false" applyFill="true" applyFont="true" applyNumberFormat="false" applyProtection="false" borderId="80" fillId="41" fontId="4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76" fillId="0" fontId="3" numFmtId="243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3" numFmtId="241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243" xfId="0">
      <alignment vertical="center"/>
    </xf>
    <xf applyAlignment="true" applyBorder="false" applyFill="true" applyFont="true" applyNumberFormat="false" applyProtection="false" borderId="0" fillId="42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248" xfId="0">
      <alignment vertical="center"/>
    </xf>
    <xf applyAlignment="true" applyBorder="false" applyFill="true" applyFont="true" applyNumberFormat="false" applyProtection="false" borderId="0" fillId="43" fontId="3" numFmtId="0" xfId="0">
      <alignment vertical="center"/>
    </xf>
    <xf applyAlignment="true" applyBorder="false" applyFill="true" applyFont="true" applyNumberFormat="true" applyProtection="false" borderId="0" fillId="43" fontId="3" numFmtId="244" xfId="0">
      <alignment vertical="center"/>
    </xf>
    <xf applyAlignment="true" applyBorder="false" applyFill="true" applyFont="true" applyNumberFormat="false" applyProtection="false" borderId="0" fillId="43" fontId="3" numFmtId="0" xfId="0">
      <alignment vertical="center"/>
    </xf>
    <xf applyAlignment="true" applyBorder="false" applyFill="false" applyFont="true" applyNumberFormat="true" applyProtection="false" borderId="0" fillId="0" fontId="2" numFmtId="249" xfId="0">
      <alignment vertical="center"/>
    </xf>
    <xf applyAlignment="true" applyBorder="false" applyFill="true" applyFont="true" applyNumberFormat="true" applyProtection="false" borderId="81" fillId="44" fontId="1" numFmtId="250" xfId="0">
      <alignment horizontal="center" vertical="center"/>
    </xf>
    <xf applyAlignment="true" applyBorder="false" applyFill="true" applyFont="true" applyNumberFormat="false" applyProtection="false" borderId="82" fillId="44" fontId="1" numFmtId="0" xfId="0">
      <alignment horizontal="center" vertical="center"/>
    </xf>
    <xf applyAlignment="true" applyBorder="false" applyFill="true" applyFont="true" applyNumberFormat="false" applyProtection="false" borderId="81" fillId="44" fontId="1" numFmtId="0" xfId="0">
      <alignment horizontal="center" vertical="center"/>
    </xf>
    <xf applyAlignment="true" applyBorder="false" applyFill="true" applyFont="true" applyNumberFormat="false" applyProtection="false" borderId="81" fillId="44" fontId="1" numFmtId="0" xfId="0">
      <alignment horizontal="center" vertical="center"/>
    </xf>
    <xf applyAlignment="true" applyBorder="false" applyFill="true" applyFont="true" applyNumberFormat="true" applyProtection="false" borderId="81" fillId="44" fontId="1" numFmtId="251" xfId="0">
      <alignment horizontal="center" vertical="center"/>
    </xf>
    <xf applyAlignment="true" applyBorder="false" applyFill="true" applyFont="true" applyNumberFormat="true" applyProtection="false" borderId="81" fillId="44" fontId="1" numFmtId="251" xfId="0">
      <alignment horizontal="center" vertical="center"/>
    </xf>
    <xf applyAlignment="true" applyBorder="false" applyFill="false" applyFont="true" applyNumberFormat="true" applyProtection="false" borderId="83" fillId="0" fontId="3" numFmtId="250" xfId="0">
      <alignment horizontal="center" vertical="center"/>
    </xf>
    <xf applyAlignment="true" applyBorder="false" applyFill="false" applyFont="true" applyNumberFormat="false" applyProtection="false" borderId="81" fillId="0" fontId="3" numFmtId="0" xfId="0">
      <alignment horizontal="center" vertical="center"/>
    </xf>
    <xf applyAlignment="true" applyBorder="false" applyFill="false" applyFont="true" applyNumberFormat="false" applyProtection="false" borderId="84" fillId="0" fontId="3" numFmtId="0" xfId="0">
      <alignment horizontal="center" vertical="center"/>
    </xf>
    <xf applyAlignment="true" applyBorder="false" applyFill="false" applyFont="true" applyNumberFormat="false" applyProtection="false" borderId="85" fillId="0" fontId="3" numFmtId="0" xfId="0">
      <alignment horizontal="center" vertical="center"/>
    </xf>
    <xf applyAlignment="true" applyBorder="false" applyFill="false" applyFont="true" applyNumberFormat="true" applyProtection="false" borderId="85" fillId="0" fontId="3" numFmtId="252" xfId="0">
      <alignment horizontal="center" vertical="center"/>
    </xf>
    <xf applyAlignment="true" applyBorder="false" applyFill="false" applyFont="true" applyNumberFormat="true" applyProtection="false" borderId="85" fillId="0" fontId="3" numFmtId="253" xfId="0">
      <alignment horizontal="center" vertical="center"/>
    </xf>
    <xf applyAlignment="true" applyBorder="false" applyFill="false" applyFont="true" applyNumberFormat="true" applyProtection="false" borderId="85" fillId="0" fontId="3" numFmtId="253" xfId="0">
      <alignment horizontal="center" vertical="center"/>
    </xf>
    <xf applyAlignment="true" applyBorder="false" applyFill="false" applyFont="true" applyNumberFormat="true" applyProtection="false" borderId="85" fillId="0" fontId="3" numFmtId="254" xfId="0">
      <alignment horizontal="center" vertical="center"/>
    </xf>
    <xf applyAlignment="true" applyBorder="false" applyFill="false" applyFont="true" applyNumberFormat="true" applyProtection="false" borderId="85" fillId="0" fontId="3" numFmtId="255" xfId="0">
      <alignment horizontal="center" vertical="center"/>
    </xf>
    <xf applyAlignment="true" applyBorder="false" applyFill="false" applyFont="true" applyNumberFormat="false" applyProtection="false" borderId="81" fillId="0" fontId="2" numFmtId="0" xfId="0">
      <alignment horizontal="center" vertical="center"/>
    </xf>
    <xf applyAlignment="true" applyBorder="false" applyFill="false" applyFont="true" applyNumberFormat="true" applyProtection="false" borderId="85" fillId="0" fontId="3" numFmtId="253" xfId="0">
      <alignment horizontal="center" vertical="center"/>
    </xf>
    <xf applyAlignment="true" applyBorder="false" applyFill="true" applyFont="true" applyNumberFormat="true" applyProtection="false" borderId="86" fillId="45" fontId="1" numFmtId="250" xfId="0">
      <alignment horizontal="center" vertical="center"/>
    </xf>
    <xf applyAlignment="true" applyBorder="false" applyFill="true" applyFont="true" applyNumberFormat="false" applyProtection="false" borderId="81" fillId="46" fontId="4" numFmtId="0" xfId="0">
      <alignment horizontal="center" vertical="center"/>
    </xf>
    <xf applyAlignment="true" applyBorder="false" applyFill="true" applyFont="true" applyNumberFormat="false" applyProtection="false" borderId="87" fillId="46" fontId="4" numFmtId="0" xfId="0">
      <alignment horizontal="center" vertical="center"/>
    </xf>
    <xf applyAlignment="true" applyBorder="false" applyFill="true" applyFont="true" applyNumberFormat="false" applyProtection="false" borderId="88" fillId="46" fontId="4" numFmtId="0" xfId="0">
      <alignment horizontal="center" vertical="center"/>
    </xf>
    <xf applyAlignment="true" applyBorder="false" applyFill="true" applyFont="true" applyNumberFormat="true" applyProtection="false" borderId="88" fillId="46" fontId="4" numFmtId="253" xfId="0">
      <alignment horizontal="center" vertical="center"/>
    </xf>
    <xf applyAlignment="true" applyBorder="false" applyFill="true" applyFont="true" applyNumberFormat="true" applyProtection="false" borderId="88" fillId="46" fontId="4" numFmtId="254" xfId="0">
      <alignment horizontal="center" vertical="center"/>
    </xf>
    <xf applyAlignment="true" applyBorder="false" applyFill="true" applyFont="true" applyNumberFormat="true" applyProtection="false" borderId="88" fillId="46" fontId="4" numFmtId="255" xfId="0">
      <alignment horizontal="center" vertical="center"/>
    </xf>
    <xf applyAlignment="true" applyBorder="false" applyFill="true" applyFont="true" applyNumberFormat="true" applyProtection="false" borderId="88" fillId="46" fontId="4" numFmtId="256" xfId="0">
      <alignment horizontal="center" vertical="center"/>
    </xf>
    <xf applyAlignment="true" applyBorder="false" applyFill="true" applyFont="true" applyNumberFormat="true" applyProtection="false" borderId="88" fillId="45" fontId="1" numFmtId="250" xfId="0">
      <alignment horizontal="center" vertical="center"/>
    </xf>
    <xf applyAlignment="true" applyBorder="false" applyFill="true" applyFont="true" applyNumberFormat="false" applyProtection="false" borderId="89" fillId="46" fontId="4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3" numFmtId="25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252" xfId="0">
      <alignment vertical="center"/>
    </xf>
    <xf applyAlignment="true" applyBorder="false" applyFill="true" applyFont="true" applyNumberFormat="false" applyProtection="false" borderId="0" fillId="47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257" xfId="0">
      <alignment vertical="center"/>
    </xf>
    <xf applyAlignment="true" applyBorder="false" applyFill="true" applyFont="true" applyNumberFormat="false" applyProtection="false" borderId="0" fillId="48" fontId="3" numFmtId="0" xfId="0">
      <alignment vertical="center"/>
    </xf>
    <xf applyAlignment="true" applyBorder="false" applyFill="true" applyFont="true" applyNumberFormat="true" applyProtection="false" borderId="0" fillId="48" fontId="3" numFmtId="253" xfId="0">
      <alignment vertical="center"/>
    </xf>
    <xf applyAlignment="true" applyBorder="false" applyFill="false" applyFont="true" applyNumberFormat="true" applyProtection="false" borderId="0" fillId="0" fontId="2" numFmtId="254" xfId="0">
      <alignment vertical="center"/>
    </xf>
    <xf applyAlignment="true" applyBorder="false" applyFill="false" applyFont="true" applyNumberFormat="true" applyProtection="false" borderId="0" fillId="0" fontId="2" numFmtId="258" xfId="0">
      <alignment vertical="center"/>
    </xf>
    <xf applyAlignment="true" applyBorder="false" applyFill="true" applyFont="true" applyNumberFormat="true" applyProtection="false" borderId="90" fillId="49" fontId="1" numFmtId="259" xfId="0">
      <alignment horizontal="center" vertical="center"/>
    </xf>
    <xf applyAlignment="true" applyBorder="false" applyFill="true" applyFont="true" applyNumberFormat="false" applyProtection="false" borderId="91" fillId="49" fontId="1" numFmtId="0" xfId="0">
      <alignment horizontal="center" vertical="center"/>
    </xf>
    <xf applyAlignment="true" applyBorder="false" applyFill="true" applyFont="true" applyNumberFormat="false" applyProtection="false" borderId="90" fillId="49" fontId="1" numFmtId="0" xfId="0">
      <alignment horizontal="center" vertical="center"/>
    </xf>
    <xf applyAlignment="true" applyBorder="false" applyFill="true" applyFont="true" applyNumberFormat="false" applyProtection="false" borderId="90" fillId="49" fontId="1" numFmtId="0" xfId="0">
      <alignment horizontal="center" vertical="center"/>
    </xf>
    <xf applyAlignment="true" applyBorder="false" applyFill="true" applyFont="true" applyNumberFormat="true" applyProtection="false" borderId="90" fillId="49" fontId="1" numFmtId="260" xfId="0">
      <alignment horizontal="center" vertical="center"/>
    </xf>
    <xf applyAlignment="true" applyBorder="false" applyFill="true" applyFont="true" applyNumberFormat="true" applyProtection="false" borderId="90" fillId="49" fontId="1" numFmtId="260" xfId="0">
      <alignment horizontal="center" vertical="center"/>
    </xf>
    <xf applyAlignment="true" applyBorder="false" applyFill="false" applyFont="true" applyNumberFormat="true" applyProtection="false" borderId="92" fillId="0" fontId="3" numFmtId="259" xfId="0">
      <alignment horizontal="center" vertical="center"/>
    </xf>
    <xf applyAlignment="true" applyBorder="false" applyFill="false" applyFont="true" applyNumberFormat="false" applyProtection="false" borderId="90" fillId="0" fontId="2" numFmtId="0" xfId="0">
      <alignment horizontal="center" vertical="center"/>
    </xf>
    <xf applyAlignment="true" applyBorder="false" applyFill="false" applyFont="true" applyNumberFormat="false" applyProtection="false" borderId="93" fillId="0" fontId="3" numFmtId="0" xfId="0">
      <alignment horizontal="center" vertical="center"/>
    </xf>
    <xf applyAlignment="true" applyBorder="false" applyFill="false" applyFont="true" applyNumberFormat="false" applyProtection="false" borderId="94" fillId="0" fontId="3" numFmtId="0" xfId="0">
      <alignment horizontal="center" vertical="center"/>
    </xf>
    <xf applyAlignment="true" applyBorder="false" applyFill="false" applyFont="true" applyNumberFormat="true" applyProtection="false" borderId="94" fillId="0" fontId="3" numFmtId="261" xfId="0">
      <alignment horizontal="center" vertical="center"/>
    </xf>
    <xf applyAlignment="true" applyBorder="false" applyFill="false" applyFont="true" applyNumberFormat="true" applyProtection="false" borderId="94" fillId="0" fontId="3" numFmtId="262" xfId="0">
      <alignment horizontal="center" vertical="center"/>
    </xf>
    <xf applyAlignment="true" applyBorder="false" applyFill="false" applyFont="true" applyNumberFormat="true" applyProtection="false" borderId="94" fillId="0" fontId="3" numFmtId="262" xfId="0">
      <alignment horizontal="center" vertical="center"/>
    </xf>
    <xf applyAlignment="true" applyBorder="false" applyFill="false" applyFont="true" applyNumberFormat="true" applyProtection="false" borderId="94" fillId="0" fontId="3" numFmtId="263" xfId="0">
      <alignment horizontal="center" vertical="center"/>
    </xf>
    <xf applyAlignment="true" applyBorder="false" applyFill="false" applyFont="true" applyNumberFormat="true" applyProtection="false" borderId="94" fillId="0" fontId="3" numFmtId="264" xfId="0">
      <alignment horizontal="center" vertical="center"/>
    </xf>
    <xf applyAlignment="true" applyBorder="false" applyFill="false" applyFont="true" applyNumberFormat="true" applyProtection="false" borderId="92" fillId="0" fontId="3" numFmtId="259" xfId="0">
      <alignment horizontal="center" vertical="center"/>
    </xf>
    <xf applyAlignment="true" applyBorder="false" applyFill="false" applyFont="true" applyNumberFormat="true" applyProtection="false" borderId="94" fillId="0" fontId="3" numFmtId="262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94" fillId="0" fontId="3" numFmtId="262" xfId="0">
      <alignment horizontal="center" vertical="center"/>
    </xf>
    <xf applyAlignment="true" applyBorder="false" applyFill="true" applyFont="true" applyNumberFormat="true" applyProtection="false" borderId="95" fillId="50" fontId="1" numFmtId="259" xfId="0">
      <alignment horizontal="center" vertical="center"/>
    </xf>
    <xf applyAlignment="true" applyBorder="false" applyFill="true" applyFont="true" applyNumberFormat="false" applyProtection="false" borderId="96" fillId="51" fontId="4" numFmtId="0" xfId="0">
      <alignment horizontal="center" vertical="center"/>
    </xf>
    <xf applyAlignment="true" applyBorder="false" applyFill="true" applyFont="true" applyNumberFormat="false" applyProtection="false" borderId="95" fillId="51" fontId="4" numFmtId="0" xfId="0">
      <alignment horizontal="center" vertical="center"/>
    </xf>
    <xf applyAlignment="true" applyBorder="false" applyFill="true" applyFont="true" applyNumberFormat="true" applyProtection="false" borderId="95" fillId="51" fontId="4" numFmtId="262" xfId="0">
      <alignment horizontal="center" vertical="center"/>
    </xf>
    <xf applyAlignment="true" applyBorder="false" applyFill="true" applyFont="true" applyNumberFormat="true" applyProtection="false" borderId="95" fillId="51" fontId="4" numFmtId="263" xfId="0">
      <alignment horizontal="center" vertical="center"/>
    </xf>
    <xf applyAlignment="true" applyBorder="false" applyFill="true" applyFont="true" applyNumberFormat="true" applyProtection="false" borderId="95" fillId="51" fontId="4" numFmtId="264" xfId="0">
      <alignment horizontal="center" vertical="center"/>
    </xf>
    <xf applyAlignment="true" applyBorder="false" applyFill="true" applyFont="true" applyNumberFormat="true" applyProtection="false" borderId="95" fillId="51" fontId="4" numFmtId="26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94" fillId="0" fontId="3" numFmtId="262" xfId="0">
      <alignment horizontal="center" vertical="center"/>
    </xf>
    <xf applyAlignment="true" applyBorder="false" applyFill="false" applyFont="true" applyNumberFormat="false" applyProtection="false" borderId="94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2" numFmtId="266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/xl/pivotCache/pivotCacheDefinition1.xml" Type="http://schemas.openxmlformats.org/officeDocument/2006/relationships/pivotCacheDefinition"></Relationship><Relationship Id="rId8" Target="worksheets/sheet4.xml" Type="http://schemas.openxmlformats.org/officeDocument/2006/relationships/worksheet"></Relationship><Relationship Id="rId9" Target="/xl/pivotCache/pivotCacheDefinition2.xml" Type="http://schemas.openxmlformats.org/officeDocument/2006/relationships/pivotCacheDefinition"></Relationship><Relationship Id="rId10" Target="worksheets/sheet5.xml" Type="http://schemas.openxmlformats.org/officeDocument/2006/relationships/worksheet"></Relationship><Relationship Id="rId11" Target="/xl/pivotCache/pivotCacheDefinition3.xml" Type="http://schemas.openxmlformats.org/officeDocument/2006/relationships/pivotCacheDefinition"></Relationship><Relationship Id="rId12" Target="/xl/pivotCache/pivotCacheDefinition4.xml" Type="http://schemas.openxmlformats.org/officeDocument/2006/relationships/pivotCacheDefinition"></Relationship><Relationship Id="rId13" Target="worksheets/sheet6.xml" Type="http://schemas.openxmlformats.org/officeDocument/2006/relationships/worksheet"></Relationship><Relationship Id="rId14" Target="/xl/pivotCache/pivotCacheDefinition5.xml" Type="http://schemas.openxmlformats.org/officeDocument/2006/relationships/pivotCacheDefinition"></Relationship><Relationship Id="rId15" Target="worksheets/sheet7.xml" Type="http://schemas.openxmlformats.org/officeDocument/2006/relationships/worksheet"></Relationship><Relationship Id="rId16" Target="worksheets/sheet8.xml" Type="http://schemas.openxmlformats.org/officeDocument/2006/relationships/worksheet"></Relationship><Relationship Id="rId17" Target="/xl/pivotCache/pivotCacheDefinition6.xml" Type="http://schemas.openxmlformats.org/officeDocument/2006/relationships/pivotCacheDefinition"></Relationship><Relationship Id="rId18" Target="worksheets/sheet9.xml" Type="http://schemas.openxmlformats.org/officeDocument/2006/relationships/worksheet"></Relationship><Relationship Id="rId19" Target="/xl/pivotCache/pivotCacheDefinition7.xml" Type="http://schemas.openxmlformats.org/officeDocument/2006/relationships/pivotCacheDefinition"></Relationship><Relationship Id="rId20" Target="worksheets/sheet10.xml" Type="http://schemas.openxmlformats.org/officeDocument/2006/relationships/worksheet"></Relationship><Relationship Id="rId21" Target="/xl/pivotCache/pivotCacheDefinition8.xml" Type="http://schemas.openxmlformats.org/officeDocument/2006/relationships/pivotCacheDefinition"></Relationship><Relationship Id="rId22" Target="worksheets/sheet11.xml" Type="http://schemas.openxmlformats.org/officeDocument/2006/relationships/worksheet"></Relationship><Relationship Id="rId23" Target="worksheets/sheet12.xml" Type="http://schemas.openxmlformats.org/officeDocument/2006/relationships/worksheet"></Relationship><Relationship Id="rId24" Target="/xl/pivotCache/pivotCacheDefinition9.xml" Type="http://schemas.openxmlformats.org/officeDocument/2006/relationships/pivotCacheDefinition"></Relationship><Relationship Id="rId25" Target="worksheets/sheet13.xml" Type="http://schemas.openxmlformats.org/officeDocument/2006/relationships/worksheet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M$84" sheet="2026.2"/>
  </cacheSource>
  <cacheFields count="13">
    <cacheField name="日期" numFmtId="0">
      <sharedItems containsSemiMixedTypes="false" containsNonDate="false" containsDate="true" containsString="false" minDate="2026-02-01T00:00:00.000Z" maxDate="2026-02-28T00:00:00.000Z" count="0"/>
    </cacheField>
    <cacheField name="主播" numFmtId="0">
      <sharedItems containsBlank="true" count="6">
        <s v="郭璐琪"/>
        <s v="张保林"/>
        <m/>
        <s v="张楠"/>
        <s v="邢佳熙"/>
        <s v="孟彦波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1" maxValue="12" count="10">
        <n v="3"/>
        <n v="6"/>
        <n v="4"/>
        <n v="2"/>
        <n v="9"/>
        <n v="5"/>
        <n v="7"/>
        <n v="1"/>
        <n v="12"/>
        <n v="10"/>
      </sharedItems>
    </cacheField>
    <cacheField name="订单数" numFmtId="0">
      <sharedItems containsSemiMixedTypes="false" containsString="false" containsNumber="true" containsInteger="true" minValue="2" maxValue="119" count="0"/>
    </cacheField>
    <cacheField name="保单数量" numFmtId="0">
      <sharedItems containsSemiMixedTypes="false" containsString="false" containsNumber="true" containsInteger="true" minValue="0" maxValue="71" count="36">
        <n v="8"/>
        <n v="10"/>
        <n v="18"/>
        <n v="7"/>
        <n v="9"/>
        <n v="16"/>
        <n v="11"/>
        <n v="19"/>
        <n v="6"/>
        <n v="17"/>
        <n v="14"/>
        <n v="4"/>
        <n v="13"/>
        <n v="32"/>
        <n v="12"/>
        <n v="23"/>
        <n v="37"/>
        <n v="20"/>
        <n v="41"/>
        <n v="39"/>
        <n v="21"/>
        <n v="42"/>
        <n v="24"/>
        <n v="26"/>
        <n v="50"/>
        <n v="28"/>
        <n v="27"/>
        <n v="36"/>
        <n v="45"/>
        <n v="0"/>
        <n v="22"/>
        <n v="5"/>
        <n v="59"/>
        <n v="25"/>
        <n v="48"/>
        <n v="71"/>
      </sharedItems>
    </cacheField>
    <cacheField name="年化保费" numFmtId="0">
      <sharedItems containsSemiMixedTypes="false" containsString="false" containsNumber="true" minValue="0" maxValue="22192.2" count="81">
        <n v="2328"/>
        <n v="2003.5"/>
        <n v="4331.5"/>
        <n v="3300"/>
        <n v="1956"/>
        <n v="5256"/>
        <n v="3566"/>
        <n v="2960"/>
        <n v="6526"/>
        <n v="4492.799999999999"/>
        <n v="1894.3"/>
        <n v="6387.099999999999"/>
        <n v="4242.4"/>
        <n v="2080"/>
        <n v="6322.4"/>
        <n v="4689.2"/>
        <n v="4065.9"/>
        <n v="8755.1"/>
        <n v="3712"/>
        <n v="1438.3"/>
        <n v="2721.2"/>
        <n v="7871.5"/>
        <n v="4600.8"/>
        <n v="8409.8"/>
        <n v="1500"/>
        <n v="14510.599999999999"/>
        <n v="2628.2"/>
        <n v="5425.6"/>
        <n v="5864.9"/>
        <n v="13918.7"/>
        <n v="5796.2"/>
        <n v="2072"/>
        <n v="6394.4"/>
        <n v="14262.599999999999"/>
        <n v="6573.6"/>
        <n v="6183.5"/>
        <n v="2045.2"/>
        <n v="14802.300000000001"/>
        <n v="4164.799999999999"/>
        <n v="827.5"/>
        <n v="8008.9"/>
        <n v="13001.199999999999"/>
        <n v="7482.8"/>
        <n v="6161.2"/>
        <n v="13644"/>
        <n v="8275.8"/>
        <n v="7114.700000000001"/>
        <n v="3332"/>
        <n v="18722.5"/>
        <n v="3104.5"/>
        <n v="7318.5"/>
        <n v="4305.6"/>
        <n v="5130.6"/>
        <n v="9436.2"/>
        <n v="3781.6"/>
        <n v="5230.6"/>
        <n v="9012.2"/>
        <n v="3770.8"/>
        <n v="3654.3999999999996"/>
        <n v="3479.000000000001"/>
        <n v="10904.2"/>
        <n v="5266.6"/>
        <n v="3374.3"/>
        <n v="5856.8"/>
        <n v="14497.7"/>
        <n v="0"/>
        <n v="6207.299999999999"/>
        <n v="1108"/>
        <n v="6664.9"/>
        <n v="13980.199999999999"/>
        <n v="6284.8"/>
        <n v="7993.6"/>
        <n v="7125.4"/>
        <n v="21403.800000000003"/>
        <n v="5235.6"/>
        <n v="8974.599999999999"/>
        <n v="5359.6"/>
        <n v="19569.8"/>
        <n v="7266.2"/>
        <n v="14926"/>
        <n v="22192.2"/>
      </sharedItems>
    </cacheField>
    <cacheField name="投流消耗" numFmtId="0">
      <sharedItems containsSemiMixedTypes="false" containsString="false" containsNumber="true" minValue="968.97" maxValue="26546.57" count="81">
        <n v="4774.48"/>
        <n v="5666.53"/>
        <n v="10441.009999999998"/>
        <n v="7035.85"/>
        <n v="4261.04"/>
        <n v="11296.89"/>
        <n v="4792.8"/>
        <n v="5538.7"/>
        <n v="10331.5"/>
        <n v="5608.07"/>
        <n v="2998.35"/>
        <n v="8606.42"/>
        <n v="5174.7"/>
        <n v="3655.29"/>
        <n v="8829.99"/>
        <n v="5192.56"/>
        <n v="6871.63"/>
        <n v="12064.19"/>
        <n v="6244.43"/>
        <n v="2059.85"/>
        <n v="2634.5"/>
        <n v="10938.78"/>
        <n v="7628.06"/>
        <n v="4922.77"/>
        <n v="4482.55"/>
        <n v="17033.38"/>
        <n v="4568.43"/>
        <n v="4925.33"/>
        <n v="9152.39"/>
        <n v="18646.15"/>
        <n v="7255.71"/>
        <n v="2801.65"/>
        <n v="6831.39"/>
        <n v="16888.75"/>
        <n v="5146.85"/>
        <n v="9676.92"/>
        <n v="4564.68"/>
        <n v="19388.45"/>
        <n v="7594.03"/>
        <n v="1679.85"/>
        <n v="7032.68"/>
        <n v="16306.56"/>
        <n v="10230.41"/>
        <n v="5925.09"/>
        <n v="16155.5"/>
        <n v="9785.84"/>
        <n v="8806.6"/>
        <n v="3359.11"/>
        <n v="21951.550000000003"/>
        <n v="6012.5"/>
        <n v="7693.99"/>
        <n v="7008.990000000002"/>
        <n v="6000.76"/>
        <n v="13009.750000000002"/>
        <n v="4080.91"/>
        <n v="5512.34"/>
        <n v="9593.25"/>
        <n v="3615.36"/>
        <n v="3051.01"/>
        <n v="5817.81"/>
        <n v="12484.18"/>
        <n v="6539.77"/>
        <n v="6194.25"/>
        <n v="4576.76"/>
        <n v="17310.78"/>
        <n v="968.97"/>
        <n v="6456.55"/>
        <n v="4082.97"/>
        <n v="5095.88"/>
        <n v="16604.37"/>
        <n v="5931.35"/>
        <n v="8433.82"/>
        <n v="10485.81"/>
        <n v="24850.98"/>
        <n v="6156.9"/>
        <n v="9581.15"/>
        <n v="8377.14"/>
        <n v="24115.19"/>
        <n v="9927.81"/>
        <n v="16618.76"/>
        <n v="26546.57"/>
      </sharedItems>
    </cacheField>
    <cacheField name="ROI" numFmtId="0">
      <sharedItems containsSemiMixedTypes="false" containsString="false" containsNumber="true" minValue="0" maxValue="1.708347129766371" count="0"/>
    </cacheField>
    <cacheField name="单均" numFmtId="0">
      <sharedItems containsMixedTypes="true" containsNumber="true" minValue="200.35" maxValue="597.6" count="0"/>
    </cacheField>
    <cacheField name="保单成本" numFmtId="0">
      <sharedItems containsMixedTypes="true" containsNumber="true" minValue="277.36454545454546" maxValue="1005.1214285714286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2" maxValue="16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R$142" sheet="2026.3"/>
  </cacheSource>
  <cacheFields count="18">
    <cacheField name="日期" numFmtId="0">
      <sharedItems containsDate="true" containsMixedTypes="true" minDate="2026-03-01T00:00:00.000Z" maxDate="2026-03-31T00:00:00.000Z" count="0"/>
    </cacheField>
    <cacheField name="主播" numFmtId="0">
      <sharedItems containsBlank="true" count="8">
        <s v="张保林"/>
        <s v="邢佳熙"/>
        <s v="孟彦波"/>
        <m/>
        <s v="郭璐琪"/>
        <s v="杨文"/>
        <s v="高雨辰"/>
        <s v="闫晓萱"/>
      </sharedItems>
    </cacheField>
    <cacheField name="直播时段" numFmtId="0">
      <sharedItems containsBlank="true" count="0"/>
    </cacheField>
    <cacheField name="直播时长" numFmtId="0">
      <sharedItems containsString="false" containsBlank="true" containsNumber="true" minValue="2" maxValue="16" count="10">
        <n v="4"/>
        <n v="12"/>
        <n v="2"/>
        <n v="6"/>
        <n v="3"/>
        <n v="5"/>
        <n v="3.5"/>
        <n v="11.5"/>
        <n v="16"/>
        <m/>
      </sharedItems>
    </cacheField>
    <cacheField name="年缴保单数" numFmtId="0">
      <sharedItems containsString="false" containsBlank="true" containsNumber="true" containsInteger="true" minValue="0" maxValue="55" count="0"/>
    </cacheField>
    <cacheField name="订单数" numFmtId="0">
      <sharedItems containsString="false" containsBlank="true" containsNumber="true" containsInteger="true" minValue="9" maxValue="403" count="0"/>
    </cacheField>
    <cacheField name="保单数量" numFmtId="0">
      <sharedItems containsString="false" containsBlank="true" containsNumber="true" containsInteger="true" minValue="1" maxValue="225" count="79">
        <n v="14"/>
        <n v="36"/>
        <n v="21"/>
        <n v="71"/>
        <n v="12"/>
        <n v="1"/>
        <n v="13"/>
        <n v="35"/>
        <n v="25"/>
        <n v="20"/>
        <n v="80"/>
        <n v="23"/>
        <n v="27"/>
        <n v="37"/>
        <n v="87"/>
        <n v="4"/>
        <n v="32"/>
        <n v="56"/>
        <n v="18"/>
        <n v="28"/>
        <n v="69"/>
        <n v="39"/>
        <n v="75"/>
        <n v="17"/>
        <n v="16"/>
        <n v="61"/>
        <n v="9"/>
        <n v="40"/>
        <n v="72"/>
        <n v="31"/>
        <n v="15"/>
        <n v="55"/>
        <n v="101"/>
        <n v="68"/>
        <n v="98"/>
        <n v="24"/>
        <n v="51"/>
        <n v="102"/>
        <n v="109"/>
        <n v="114"/>
        <n v="78"/>
        <n v="33"/>
        <n v="225"/>
        <n v="30"/>
        <n v="81"/>
        <n v="162"/>
        <n v="58"/>
        <n v="60"/>
        <n v="142"/>
        <n v="52"/>
        <n v="57"/>
        <n v="26"/>
        <n v="148"/>
        <n v="50"/>
        <n v="176"/>
        <n v="43"/>
        <n v="45"/>
        <n v="117"/>
        <n v="121"/>
        <n v="46"/>
        <n v="47"/>
        <n v="127"/>
        <n v="49"/>
        <n v="167"/>
        <n v="29"/>
        <n v="134"/>
        <n v="53"/>
        <n v="63"/>
        <n v="179"/>
        <n v="64"/>
        <n v="79"/>
        <n v="22"/>
        <n v="200"/>
        <n v="115"/>
        <n v="139"/>
        <n v="41"/>
        <n v="138"/>
        <n v="160"/>
        <m/>
      </sharedItems>
    </cacheField>
    <cacheField name="年化保费" numFmtId="0">
      <sharedItems containsString="false" containsBlank="true" containsNumber="true" minValue="196" maxValue="69396.2" count="138">
        <n v="5240.8"/>
        <n v="12803.2"/>
        <n v="6198.299999999999"/>
        <n v="24242.3"/>
        <n v="3164.8"/>
        <n v="196"/>
        <n v="3360.8"/>
        <n v="10412.4"/>
        <n v="8946.4"/>
        <n v="5631.600000000002"/>
        <n v="24990.4"/>
        <n v="8555.9"/>
        <n v="9302.1"/>
        <n v="12520.899999999998"/>
        <n v="30378.899999999998"/>
        <n v="1470.4"/>
        <n v="4300.799999999999"/>
        <n v="10379.400000000001"/>
        <n v="16150.6"/>
        <n v="8485"/>
        <n v="4565.200000000001"/>
        <n v="7114.399999999998"/>
        <n v="20164.6"/>
        <n v="12358.8"/>
        <n v="912"/>
        <n v="13922.8"/>
        <n v="27193.6"/>
        <n v="5548"/>
        <n v="4120"/>
        <n v="7725.200000000001"/>
        <n v="17393.2"/>
        <n v="8072.8"/>
        <n v="1977.1999999999998"/>
        <n v="12957.2"/>
        <n v="23007.2"/>
        <n v="9826.8"/>
        <n v="5610.800000000001"/>
        <n v="20788.5"/>
        <n v="36226.1"/>
        <n v="4969.6"/>
        <n v="4514.699999999999"/>
        <n v="21385.600000000006"/>
        <n v="30869.900000000005"/>
        <n v="7004"/>
        <n v="8903.6"/>
        <n v="17462.5"/>
        <n v="33370.1"/>
        <n v="4626.7"/>
        <n v="9980.099999999999"/>
        <n v="18174.2"/>
        <n v="32781"/>
        <n v="12894.3"/>
        <n v="3881.2000000000007"/>
        <n v="22564.5"/>
        <n v="39340"/>
        <n v="28202.5"/>
        <n v="10747.599999999999"/>
        <n v="30446.1"/>
        <n v="69396.2"/>
        <n v="17872.3"/>
        <n v="10937.600000000002"/>
        <n v="22275.69999999999"/>
        <n v="51085.59999999999"/>
        <n v="19325.3"/>
        <n v="8750"/>
        <n v="17032.600000000002"/>
        <n v="45107.9"/>
        <n v="15448"/>
        <n v="2838.7000000000007"/>
        <n v="14364.2"/>
        <n v="9867.599999999999"/>
        <n v="42518.5"/>
        <n v="17638.6"/>
        <n v="5088"/>
        <n v="19015.200000000004"/>
        <n v="13478.599999999999"/>
        <n v="55220.4"/>
        <n v="6892.4"/>
        <n v="13205.699999999999"/>
        <n v="806.3000000000029"/>
        <n v="16507.9"/>
        <n v="37412.3"/>
        <n v="12179"/>
        <n v="14336.1"/>
        <n v="6532"/>
        <n v="13781.1"/>
        <n v="46828.2"/>
        <n v="15844.5"/>
        <n v="9000.8"/>
        <n v="4356"/>
        <n v="19879.5"/>
        <n v="49080.8"/>
        <n v="16552.2"/>
        <n v="15317.8"/>
        <n v="7566"/>
        <n v="16170.400000000001"/>
        <n v="55606.4"/>
        <n v="9646.4"/>
        <n v="8135.500000000002"/>
        <n v="5463.5999999999985"/>
        <n v="17095.399999999998"/>
        <n v="40340.899999999994"/>
        <n v="17114.3"/>
        <n v="13658.3"/>
        <n v="9076.800000000003"/>
        <n v="21049.1"/>
        <n v="60898.5"/>
        <n v="21851.6"/>
        <n v="23276.1"/>
        <n v="7085.9000000000015"/>
        <n v="10527.5"/>
        <n v="62741.1"/>
        <n v="8390.2"/>
        <n v="10137.2"/>
        <n v="8198.099999999999"/>
        <n v="9933.199999999997"/>
        <n v="36658.7"/>
        <n v="17161.9"/>
        <n v="15479.2"/>
        <n v="12329.9"/>
        <n v="10214.4"/>
        <n v="55185.4"/>
        <n v="10155.2"/>
        <n v="9519.8"/>
        <n v="8418.3"/>
        <n v="18530.000000000004"/>
        <n v="46623.3"/>
        <n v="11372.3"/>
        <n v="15531.8"/>
        <n v="10577.400000000001"/>
        <n v="11936"/>
        <n v="49417.5"/>
        <n v="19115.3"/>
        <n v="8363.2"/>
        <n v="11700.6"/>
        <n v="15181"/>
        <n v="54360.1"/>
        <m/>
      </sharedItems>
    </cacheField>
    <cacheField name="投流消耗" numFmtId="0">
      <sharedItems containsString="false" containsBlank="true" containsNumber="true" minValue="2303.34" maxValue="63961.47" count="138">
        <n v="8910.34"/>
        <n v="11747.29"/>
        <n v="10251.2"/>
        <n v="30908.83"/>
        <n v="6920.200000000001"/>
        <n v="2303.34"/>
        <n v="9223.54"/>
        <n v="9761"/>
        <n v="13533.539999999999"/>
        <n v="12977"/>
        <n v="36271.54"/>
        <n v="8104.490000000001"/>
        <n v="8983.460000000001"/>
        <n v="18119.17"/>
        <n v="35207.119999999995"/>
        <n v="3788.3"/>
        <n v="6212.42"/>
        <n v="13240.95"/>
        <n v="23241.670000000002"/>
        <n v="9911.43"/>
        <n v="9959.08"/>
        <n v="8605.16"/>
        <n v="28475.670000000002"/>
        <n v="12804.83"/>
        <n v="3774.48"/>
        <n v="12354.77"/>
        <n v="28934.08"/>
        <n v="14367.06"/>
        <n v="5326.9"/>
        <n v="10711.84"/>
        <n v="30405.8"/>
        <n v="12647.93"/>
        <n v="3902.47"/>
        <n v="18157.73"/>
        <n v="34708.130000000005"/>
        <n v="13766.7"/>
        <n v="5636.23"/>
        <n v="16887.03"/>
        <n v="36289.96"/>
        <n v="8077.85"/>
        <n v="6079.63"/>
        <n v="19336.03"/>
        <n v="33493.509999999995"/>
        <n v="10769.28"/>
        <n v="10534.61"/>
        <n v="15263.85"/>
        <n v="36567.74"/>
        <n v="7415.619999999999"/>
        <n v="9560"/>
        <n v="20196.46"/>
        <n v="37172.08"/>
        <n v="10656.84"/>
        <n v="6775.94"/>
        <n v="14556.71"/>
        <n v="31989.489999999998"/>
        <n v="23379.49"/>
        <n v="12206.69"/>
        <n v="28375.29"/>
        <n v="63961.47"/>
        <n v="16306.89"/>
        <n v="10435.71"/>
        <n v="25154.75"/>
        <n v="51897.35"/>
        <n v="15951.16"/>
        <n v="8069.41"/>
        <n v="18644.4"/>
        <n v="42664.97"/>
        <n v="15755.099999999999"/>
        <n v="5230.04"/>
        <n v="15528.16"/>
        <n v="11659.2"/>
        <n v="48172.5"/>
        <n v="13146.37"/>
        <n v="6321.9"/>
        <n v="15418.66"/>
        <n v="13637.88"/>
        <n v="48524.81"/>
        <n v="9370.5"/>
        <n v="12419.12"/>
        <n v="3172.54"/>
        <n v="11853.41"/>
        <n v="36815.57000000001"/>
        <n v="8007.53"/>
        <n v="10731.75"/>
        <n v="4708.22"/>
        <n v="8737.15"/>
        <n v="32184.65"/>
        <n v="14825.72"/>
        <n v="8795.13"/>
        <n v="3415.49"/>
        <n v="9883.94"/>
        <n v="36920.28"/>
        <n v="15921.4"/>
        <n v="12809.16"/>
        <n v="7525.8099999999995"/>
        <n v="16387.850000000002"/>
        <n v="52644.22"/>
        <n v="15849.64"/>
        <n v="9605.220000000001"/>
        <n v="6390.45"/>
        <n v="12715.46"/>
        <n v="44560.770000000004"/>
        <n v="14592.1"/>
        <n v="10870.69"/>
        <n v="7878.11"/>
        <n v="17000.28"/>
        <n v="50341.18"/>
        <n v="17666.38"/>
        <n v="18914.79"/>
        <n v="7999.97"/>
        <n v="12232.460000000001"/>
        <n v="56813.6"/>
        <n v="13476.15"/>
        <n v="6842.24"/>
        <n v="6417.959999999999"/>
        <n v="11023.520000000004"/>
        <n v="37759.87"/>
        <n v="12355.81"/>
        <n v="13408.31"/>
        <n v="14303.91"/>
        <n v="11187.32"/>
        <n v="51255.35"/>
        <n v="7885.33"/>
        <n v="6861.41"/>
        <n v="9158.1"/>
        <n v="15643.309999999994"/>
        <n v="39548.149999999994"/>
        <n v="9870.84"/>
        <n v="10075.710000000003"/>
        <n v="8502.229999999996"/>
        <n v="9935.850000000006"/>
        <n v="38384.630000000005"/>
        <n v="13158.89"/>
        <n v="9861.85"/>
        <n v="8539.58"/>
        <n v="10266.65"/>
        <n v="41826.97"/>
        <m/>
      </sharedItems>
    </cacheField>
    <cacheField name="ROI" numFmtId="0">
      <sharedItems containsString="false" containsBlank="true" containsNumber="true" minValue="0.08509382027837835" maxValue="2.0112930673395426" count="0"/>
    </cacheField>
    <cacheField name="单均" numFmtId="0">
      <sharedItems containsString="false" containsBlank="true" containsNumber="true" minValue="196" maxValue="528.8777777777777" count="0"/>
    </cacheField>
    <cacheField name="保单成本" numFmtId="0">
      <sharedItems containsString="false" containsBlank="true" containsNumber="true" minValue="201.30686274509804" maxValue="2303.34" count="0"/>
    </cacheField>
    <cacheField name="年缴占比" numFmtId="0">
      <sharedItems containsString="false" containsBlank="true" containsNumber="true" minValue="0" maxValue="1" count="0"/>
    </cacheField>
    <cacheField name="家庭单" numFmtId="0">
      <sharedItems containsString="false" containsBlank="true" containsNumber="true" containsInteger="true" minValue="0" maxValue="36" count="0"/>
    </cacheField>
    <cacheField name="家庭单占比" numFmtId="0">
      <sharedItems containsString="false" containsBlank="true" containsNumber="true" minValue="0" maxValue="0.3076923076923077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1" maxValue="16" count="0"/>
    </cacheField>
    <cacheField name="R列" numFmtId="0">
      <sharedItems containsBlank="true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Q$144" sheet="2026.4"/>
  </cacheSource>
  <cacheFields count="17">
    <cacheField name="日期" numFmtId="0">
      <sharedItems containsSemiMixedTypes="false" containsNonDate="false" containsDate="true" containsString="false" minDate="2026-04-01T00:00:00.000Z" maxDate="2026-04-30T00:00:00.000Z" count="0"/>
    </cacheField>
    <cacheField name="主播" numFmtId="0">
      <sharedItems containsBlank="true" count="8">
        <s v="张保林"/>
        <s v="郭璐琪"/>
        <s v="闫晓萱"/>
        <s v="杨文"/>
        <m/>
        <s v="高雨辰"/>
        <s v="郭一笑"/>
        <s v="王忆琳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" maxValue="16" count="12">
        <n v="4"/>
        <n v="3"/>
        <n v="5"/>
        <n v="16"/>
        <n v="2"/>
        <n v="12"/>
        <n v="13"/>
        <n v="15"/>
        <n v="1"/>
        <n v="3.5"/>
        <n v="2.5"/>
        <n v="14"/>
      </sharedItems>
    </cacheField>
    <cacheField name="年缴保单数" numFmtId="0">
      <sharedItems containsSemiMixedTypes="false" containsString="false" containsNumber="true" containsInteger="true" minValue="0" maxValue="58" count="0"/>
    </cacheField>
    <cacheField name="订单数" numFmtId="0">
      <sharedItems containsSemiMixedTypes="false" containsString="false" containsNumber="true" containsInteger="true" minValue="4" maxValue="254" count="0"/>
    </cacheField>
    <cacheField name="保单数量" numFmtId="0">
      <sharedItems containsSemiMixedTypes="false" containsString="false" containsNumber="true" containsInteger="true" minValue="4" maxValue="179" count="79">
        <n v="50"/>
        <n v="23"/>
        <n v="16"/>
        <n v="34"/>
        <n v="123"/>
        <n v="24"/>
        <n v="17"/>
        <n v="30"/>
        <n v="94"/>
        <n v="54"/>
        <n v="19"/>
        <n v="25"/>
        <n v="121"/>
        <n v="14"/>
        <n v="5"/>
        <n v="11"/>
        <n v="26"/>
        <n v="21"/>
        <n v="43"/>
        <n v="90"/>
        <n v="35"/>
        <n v="39"/>
        <n v="100"/>
        <n v="20"/>
        <n v="33"/>
        <n v="84"/>
        <n v="8"/>
        <n v="72"/>
        <n v="129"/>
        <n v="41"/>
        <n v="49"/>
        <n v="55"/>
        <n v="168"/>
        <n v="31"/>
        <n v="67"/>
        <n v="128"/>
        <n v="47"/>
        <n v="137"/>
        <n v="42"/>
        <n v="65"/>
        <n v="170"/>
        <n v="69"/>
        <n v="136"/>
        <n v="10"/>
        <n v="46"/>
        <n v="98"/>
        <n v="27"/>
        <n v="45"/>
        <n v="32"/>
        <n v="13"/>
        <n v="117"/>
        <n v="105"/>
        <n v="15"/>
        <n v="77"/>
        <n v="9"/>
        <n v="18"/>
        <n v="76"/>
        <n v="28"/>
        <n v="60"/>
        <n v="131"/>
        <n v="37"/>
        <n v="38"/>
        <n v="127"/>
        <n v="58"/>
        <n v="134"/>
        <n v="51"/>
        <n v="62"/>
        <n v="179"/>
        <n v="111"/>
        <n v="22"/>
        <n v="12"/>
        <n v="101"/>
        <n v="36"/>
        <n v="53"/>
        <n v="132"/>
        <n v="4"/>
        <n v="40"/>
        <n v="107"/>
        <n v="171"/>
      </sharedItems>
    </cacheField>
    <cacheField name="年化保费" numFmtId="0">
      <sharedItems containsSemiMixedTypes="false" containsString="false" containsNumber="true" minValue="1118.3999999999996" maxValue="60924.1" count="143">
        <n v="17841.9"/>
        <n v="8774.399999999998"/>
        <n v="4741.200000000001"/>
        <n v="11494.599999999999"/>
        <n v="42852.1"/>
        <n v="9224"/>
        <n v="5557.200000000001"/>
        <n v="9462.8"/>
        <n v="6794.4000000000015"/>
        <n v="31038.4"/>
        <n v="19195.3"/>
        <n v="8191.5"/>
        <n v="7787.200000000001"/>
        <n v="8629.5"/>
        <n v="43803.5"/>
        <n v="6019.2"/>
        <n v="1118.3999999999996"/>
        <n v="3601.2"/>
        <n v="10738.8"/>
        <n v="10928.2"/>
        <n v="10830.7"/>
        <n v="15900.400000000001"/>
        <n v="37659.3"/>
        <n v="10203.5"/>
        <n v="7143.5"/>
        <n v="13121.599999999999"/>
        <n v="30468.6"/>
        <n v="9139.4"/>
        <n v="1129.2000000000007"/>
        <n v="6496.300000000001"/>
        <n v="11324.599999999999"/>
        <n v="28089.5"/>
        <n v="7494.4"/>
        <n v="2992"/>
        <n v="8998.6"/>
        <n v="26747.300000000003"/>
        <n v="46232.3"/>
        <n v="7257"/>
        <n v="11636.099999999999"/>
        <n v="16663"/>
        <n v="20303.300000000003"/>
        <n v="55859.4"/>
        <n v="9637.5"/>
        <n v="5248.799999999999"/>
        <n v="5542.799999999999"/>
        <n v="22952.5"/>
        <n v="43381.6"/>
        <n v="15741.7"/>
        <n v="13141.8"/>
        <n v="7146.800000000003"/>
        <n v="15517.799999999996"/>
        <n v="51548.1"/>
        <n v="15293.4"/>
        <n v="8028.199999999999"/>
        <n v="16019.599999999999"/>
        <n v="21582.9"/>
        <n v="60924.1"/>
        <n v="11500.4"/>
        <n v="4030"/>
        <n v="5814.500000000002"/>
        <n v="20755"/>
        <n v="42099.9"/>
        <n v="4715.2"/>
        <n v="3437.2"/>
        <n v="6403.9"/>
        <n v="11324.600000000002"/>
        <n v="25880.9"/>
        <n v="16392"/>
        <n v="9052.8"/>
        <n v="9292.8"/>
        <n v="13491.800000000003"/>
        <n v="48229.4"/>
        <n v="10980.6"/>
        <n v="12460.999999999998"/>
        <n v="2762.3"/>
        <n v="11378.3"/>
        <n v="37582.2"/>
        <n v="16087.2"/>
        <n v="6846.799999999999"/>
        <n v="6109.5999999999985"/>
        <n v="6769.8"/>
        <n v="35813.4"/>
        <n v="6586.8"/>
        <n v="4140.2"/>
        <n v="3835.6000000000004"/>
        <n v="10238.999999999998"/>
        <n v="24801.6"/>
        <n v="5310.4"/>
        <n v="3912.2000000000007"/>
        <n v="4362.8"/>
        <n v="15074.3"/>
        <n v="28659.7"/>
        <n v="13469.7"/>
        <n v="8369"/>
        <n v="10892"/>
        <n v="20090.2"/>
        <n v="52820.9"/>
        <n v="8094.3"/>
        <n v="9623.5"/>
        <n v="12406.2"/>
        <n v="15452.5"/>
        <n v="45576.5"/>
        <n v="8857.5"/>
        <n v="3415.5"/>
        <n v="9529.099999999999"/>
        <n v="19158.1"/>
        <n v="40960.2"/>
        <n v="14130.2"/>
        <n v="14140.4"/>
        <n v="6456.3"/>
        <n v="16834.8"/>
        <n v="51561.7"/>
        <n v="14435.5"/>
        <n v="9421.2"/>
        <n v="10152.4"/>
        <n v="4431.8"/>
        <n v="38440.9"/>
        <n v="6034"/>
        <n v="10057.6"/>
        <n v="3383.999999999998"/>
        <n v="16130.300000000003"/>
        <n v="35605.9"/>
        <n v="10010"/>
        <n v="4562.4"/>
        <n v="10411.48"/>
        <n v="22178.22"/>
        <n v="47162.1"/>
        <n v="1512"/>
        <n v="4629.2"/>
        <n v="12939.8"/>
        <n v="4574.4000000000015"/>
        <n v="13097.199999999997"/>
        <n v="36752.6"/>
        <n v="15508.7"/>
        <n v="12430"/>
        <n v="11991.999999999996"/>
        <n v="14310.800000000003"/>
        <n v="54241.5"/>
        <n v="6792.8"/>
        <n v="7805.499999999999"/>
        <n v="12549.5"/>
        <n v="9514.3"/>
        <n v="36662.1"/>
      </sharedItems>
    </cacheField>
    <cacheField name="投流消耗" numFmtId="0">
      <sharedItems containsSemiMixedTypes="false" containsString="false" containsNumber="true" minValue="1637.08" maxValue="57379.4" count="143">
        <n v="11159.56"/>
        <n v="8833.33"/>
        <n v="7609.180000000004"/>
        <n v="7836.569999999996"/>
        <n v="35438.64"/>
        <n v="6511.53"/>
        <n v="4919.550000000002"/>
        <n v="6568.0999999999985"/>
        <n v="9591.580000000002"/>
        <n v="27590.760000000002"/>
        <n v="12126.07"/>
        <n v="5253.730000000003"/>
        <n v="7693.360000000001"/>
        <n v="5505.689999999995"/>
        <n v="30578.85"/>
        <n v="5692.02"/>
        <n v="1637.08"/>
        <n v="4199.550000000001"/>
        <n v="11528.650000000001"/>
        <n v="7844.63"/>
        <n v="7112.3600000000015"/>
        <n v="12320.239999999998"/>
        <n v="27277.23"/>
        <n v="10596.71"/>
        <n v="9444.449999999997"/>
        <n v="10696.500000000004"/>
        <n v="30737.66"/>
        <n v="7270.9400000000005"/>
        <n v="3597.8399999999983"/>
        <n v="5414.959999999999"/>
        <n v="7504.209999999999"/>
        <n v="23787.949999999997"/>
        <n v="9109.4"/>
        <n v="3636.870000000001"/>
        <n v="8089.899999999998"/>
        <n v="15237.730000000003"/>
        <n v="36073.9"/>
        <n v="8762.53"/>
        <n v="9275.26"/>
        <n v="14039.219999999998"/>
        <n v="13897.900000000005"/>
        <n v="45974.91"/>
        <n v="12294.57"/>
        <n v="7017.6"/>
        <n v="3645.06"/>
        <n v="15742.97"/>
        <n v="38700.2"/>
        <n v="12440.53"/>
        <n v="12463.69"/>
        <n v="5078.4"/>
        <n v="14720.73"/>
        <n v="44703.350000000006"/>
        <n v="10680.26"/>
        <n v="6342.6"/>
        <n v="11756.51"/>
        <n v="12935.88"/>
        <n v="41715.25"/>
        <n v="9847.7"/>
        <n v="4068"/>
        <n v="6111.34"/>
        <n v="15558.55"/>
        <n v="35585.59"/>
        <n v="9535.79"/>
        <n v="4376.21"/>
        <n v="5077.81"/>
        <n v="9532.32"/>
        <n v="28522.13"/>
        <n v="13951.03"/>
        <n v="6223.96"/>
        <n v="7535.41"/>
        <n v="11309.68"/>
        <n v="39020.08"/>
        <n v="10415.04"/>
        <n v="12844.61"/>
        <n v="7919.32"/>
        <n v="9310.7"/>
        <n v="40489.67"/>
        <n v="11324.54"/>
        <n v="10132.869999999999"/>
        <n v="8060.060000000001"/>
        <n v="6259.119999999995"/>
        <n v="35776.59"/>
        <n v="7130.47"/>
        <n v="5927.31"/>
        <n v="5977.19"/>
        <n v="6379.98"/>
        <n v="25414.95"/>
        <n v="9136.32"/>
        <n v="5500.95"/>
        <n v="5409.15"/>
        <n v="7890.76"/>
        <n v="27937.18"/>
        <n v="7600.34"/>
        <n v="5112.879999999999"/>
        <n v="8226.59"/>
        <n v="14625.39"/>
        <n v="35565.2"/>
        <n v="6050.5"/>
        <n v="10719.86"/>
        <n v="10667.61"/>
        <n v="13569.47"/>
        <n v="41007.44"/>
        <n v="13284.03"/>
        <n v="4047.99"/>
        <n v="7526.89"/>
        <n v="14351.64"/>
        <n v="39210.55"/>
        <n v="12696.11"/>
        <n v="10051.02"/>
        <n v="10877.36"/>
        <n v="18703.35"/>
        <n v="52327.840000000004"/>
        <n v="12788.47"/>
        <n v="10105.99"/>
        <n v="8757.54"/>
        <n v="7950.69"/>
        <n v="39602.69"/>
        <n v="9282.7"/>
        <n v="7869.559999999998"/>
        <n v="4961.830000000002"/>
        <n v="9303.83"/>
        <n v="31417.92"/>
        <n v="9678.91"/>
        <n v="4171.22"/>
        <n v="11133.94"/>
        <n v="16023.86"/>
        <n v="41007.93"/>
        <n v="1769.77"/>
        <n v="7859.39"/>
        <n v="12491.590000000002"/>
        <n v="6224.24"/>
        <n v="11750.539999999994"/>
        <n v="40095.52999999999"/>
        <n v="13898.77"/>
        <n v="15242.25"/>
        <n v="13967.23"/>
        <n v="14271.150000000001"/>
        <n v="57379.4"/>
        <n v="11608.85"/>
        <n v="10301.859999999999"/>
        <n v="11742.04"/>
        <n v="14017.64"/>
        <n v="47670.39"/>
      </sharedItems>
    </cacheField>
    <cacheField name="ROI" numFmtId="0">
      <sharedItems containsSemiMixedTypes="false" containsString="false" containsNumber="true" minValue="0.3138549796544597" maxValue="1.9103736522210786" count="0"/>
    </cacheField>
    <cacheField name="单均" numFmtId="0">
      <sharedItems containsSemiMixedTypes="false" containsString="false" containsNumber="true" minValue="212.4846153846154" maxValue="515.7476190476191" count="0"/>
    </cacheField>
    <cacheField name="保单成本" numFmtId="0">
      <sharedItems containsSemiMixedTypes="false" containsString="false" containsNumber="true" minValue="199.01353846153845" maxValue="719.5679999999996" count="0"/>
    </cacheField>
    <cacheField name="年缴占比" numFmtId="0">
      <sharedItems containsSemiMixedTypes="false" containsString="false" containsNumber="true" minValue="0" maxValue="0.6956521739130435" count="0"/>
    </cacheField>
    <cacheField name="家庭单" numFmtId="0">
      <sharedItems containsSemiMixedTypes="false" containsString="false" containsNumber="true" containsInteger="true" minValue="0" maxValue="47" count="0"/>
    </cacheField>
    <cacheField name="家庭单占比" numFmtId="0">
      <sharedItems containsSemiMixedTypes="false" containsString="false" containsNumber="true" minValue="0" maxValue="0.55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0.5" maxValue="16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Q$117" sheet="2026.4"/>
  </cacheSource>
  <cacheFields count="17">
    <cacheField name="日期" numFmtId="0">
      <sharedItems containsSemiMixedTypes="false" containsNonDate="false" containsDate="true" containsString="false" minDate="2026-04-01T00:00:00.000Z" maxDate="2026-04-25T00:00:00.000Z" count="0"/>
    </cacheField>
    <cacheField name="主播" numFmtId="0">
      <sharedItems containsBlank="true" count="8">
        <s v="张保林"/>
        <s v="郭璐琪"/>
        <s v="闫晓萱"/>
        <s v="杨文"/>
        <m/>
        <s v="高雨辰"/>
        <s v="郭一笑"/>
        <s v="王忆琳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2" maxValue="16" count="8">
        <n v="4"/>
        <n v="3"/>
        <n v="5"/>
        <n v="16"/>
        <n v="2"/>
        <n v="12"/>
        <n v="13"/>
        <n v="15"/>
      </sharedItems>
    </cacheField>
    <cacheField name="年缴保单数" numFmtId="0">
      <sharedItems containsSemiMixedTypes="false" containsString="false" containsNumber="true" containsInteger="true" minValue="0" maxValue="58" count="0"/>
    </cacheField>
    <cacheField name="订单数" numFmtId="0">
      <sharedItems containsSemiMixedTypes="false" containsString="false" containsNumber="true" containsInteger="true" minValue="9" maxValue="254" count="0"/>
    </cacheField>
    <cacheField name="保单数量" numFmtId="0">
      <sharedItems containsSemiMixedTypes="false" containsString="false" containsNumber="true" containsInteger="true" minValue="5" maxValue="179" count="0"/>
    </cacheField>
    <cacheField name="年化保费" numFmtId="0">
      <sharedItems containsSemiMixedTypes="false" containsString="false" containsNumber="true" minValue="1118.3999999999996" maxValue="60924.1" count="0"/>
    </cacheField>
    <cacheField name="投流消耗" numFmtId="0">
      <sharedItems containsSemiMixedTypes="false" containsString="false" containsNumber="true" minValue="1637.08" maxValue="52327.840000000004" count="0"/>
    </cacheField>
    <cacheField name="ROI" numFmtId="0">
      <sharedItems containsSemiMixedTypes="false" containsString="false" containsNumber="true" minValue="0.3138549796544597" maxValue="1.9103736522210786" count="0"/>
    </cacheField>
    <cacheField name="单均" numFmtId="0">
      <sharedItems containsSemiMixedTypes="false" containsString="false" containsNumber="true" minValue="212.4846153846154" maxValue="515.7476190476191" count="0"/>
    </cacheField>
    <cacheField name="保单成本" numFmtId="0">
      <sharedItems containsSemiMixedTypes="false" containsString="false" containsNumber="true" minValue="199.01353846153845" maxValue="719.5679999999996" count="0"/>
    </cacheField>
    <cacheField name="年缴占比" numFmtId="0">
      <sharedItems containsSemiMixedTypes="false" containsString="false" containsNumber="true" minValue="0" maxValue="0.6956521739130435" count="0"/>
    </cacheField>
    <cacheField name="家庭单" numFmtId="0">
      <sharedItems containsSemiMixedTypes="false" containsString="false" containsNumber="true" containsInteger="true" minValue="0" maxValue="47" count="0"/>
    </cacheField>
    <cacheField name="家庭单占比" numFmtId="0">
      <sharedItems containsSemiMixedTypes="false" containsString="false" containsNumber="true" minValue="0" maxValue="0.55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0.5" maxValue="16" count="0"/>
    </cacheField>
  </cacheFields>
</pivotCacheDefinition>
</file>

<file path=xl/pivotCache/pivotCacheDefinition5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R$145" sheet="2026.5"/>
  </cacheSource>
  <cacheFields count="18">
    <cacheField name="日期" numFmtId="0">
      <sharedItems containsSemiMixedTypes="false" containsNonDate="false" containsDate="true" containsString="false" minDate="2026-05-01T00:00:00.000Z" maxDate="2026-05-31T00:00:00.000Z" count="0"/>
    </cacheField>
    <cacheField name="主播" numFmtId="0">
      <sharedItems containsBlank="true" count="7">
        <s v="郭璐琪"/>
        <s v="高雨辰"/>
        <s v="郭一笑"/>
        <s v="杨文"/>
        <m/>
        <s v="张保林"/>
        <s v="张楠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16" count="10">
        <n v="4"/>
        <n v="16"/>
        <n v="3"/>
        <n v="5"/>
        <n v="6"/>
        <n v="2"/>
        <n v="3.5"/>
        <n v="15.5"/>
        <n v="2.5"/>
        <n v="14.5"/>
      </sharedItems>
    </cacheField>
    <cacheField name="年缴保单数" numFmtId="0">
      <sharedItems containsSemiMixedTypes="false" containsString="false" containsNumber="true" containsInteger="true" minValue="0" maxValue="46" count="0"/>
    </cacheField>
    <cacheField name="订单数" numFmtId="0">
      <sharedItems containsSemiMixedTypes="false" containsString="false" containsNumber="true" containsInteger="true" minValue="11" maxValue="298" count="0"/>
    </cacheField>
    <cacheField name="保单数量" numFmtId="0">
      <sharedItems containsSemiMixedTypes="false" containsString="false" containsNumber="true" containsInteger="true" minValue="5" maxValue="189" count="70">
        <n v="63"/>
        <n v="41"/>
        <n v="37"/>
        <n v="48"/>
        <n v="189"/>
        <n v="34"/>
        <n v="25"/>
        <n v="47"/>
        <n v="45"/>
        <n v="151"/>
        <n v="27"/>
        <n v="28"/>
        <n v="23"/>
        <n v="35"/>
        <n v="113"/>
        <n v="10"/>
        <n v="8"/>
        <n v="73"/>
        <n v="13"/>
        <n v="18"/>
        <n v="22"/>
        <n v="44"/>
        <n v="97"/>
        <n v="11"/>
        <n v="5"/>
        <n v="67"/>
        <n v="33"/>
        <n v="30"/>
        <n v="16"/>
        <n v="31"/>
        <n v="110"/>
        <n v="24"/>
        <n v="153"/>
        <n v="36"/>
        <n v="42"/>
        <n v="39"/>
        <n v="21"/>
        <n v="26"/>
        <n v="86"/>
        <n v="20"/>
        <n v="103"/>
        <n v="108"/>
        <n v="7"/>
        <n v="15"/>
        <n v="46"/>
        <n v="98"/>
        <n v="17"/>
        <n v="29"/>
        <n v="90"/>
        <n v="19"/>
        <n v="130"/>
        <n v="40"/>
        <n v="52"/>
        <n v="129"/>
        <n v="116"/>
        <n v="132"/>
        <n v="127"/>
        <n v="38"/>
        <n v="146"/>
        <n v="14"/>
        <n v="6"/>
        <n v="66"/>
        <n v="99"/>
        <n v="9"/>
        <n v="101"/>
        <n v="106"/>
        <n v="32"/>
        <n v="94"/>
        <n v="74"/>
        <n v="104"/>
      </sharedItems>
    </cacheField>
    <cacheField name="年化保费" numFmtId="0">
      <sharedItems containsSemiMixedTypes="false" containsString="false" containsNumber="true" minValue="1500" maxValue="58375.9" count="144">
        <n v="19291.9"/>
        <n v="12519.399999999998"/>
        <n v="11656.7"/>
        <n v="14907.900000000001"/>
        <n v="58375.9"/>
        <n v="12562.4"/>
        <n v="7317.199999999999"/>
        <n v="17972.65"/>
        <n v="18293.15"/>
        <n v="56145.4"/>
        <n v="7743.6"/>
        <n v="9542.570000000002"/>
        <n v="9214.619999999999"/>
        <n v="12620.309999999998"/>
        <n v="39121.1"/>
        <n v="4545.6"/>
        <n v="2009.2"/>
        <n v="9989"/>
        <n v="8906.6"/>
        <n v="25450.4"/>
        <n v="4658.3"/>
        <n v="5705.2"/>
        <n v="7829.0999999999985"/>
        <n v="16150.400000000001"/>
        <n v="34343"/>
        <n v="4222.4"/>
        <n v="1697.2"/>
        <n v="8984.600000000002"/>
        <n v="7729.200000000001"/>
        <n v="22633.4"/>
        <n v="10378.8"/>
        <n v="10574.100000000002"/>
        <n v="4904.199999999997"/>
        <n v="12601.900000000001"/>
        <n v="38459"/>
        <n v="11930.7"/>
        <n v="10582.7"/>
        <n v="12378.599999999999"/>
        <n v="13875.699999999997"/>
        <n v="48767.7"/>
        <n v="9450.8"/>
        <n v="12874.2"/>
        <n v="11539.3"/>
        <n v="13280.399999999994"/>
        <n v="47144.7"/>
        <n v="13563.6"/>
        <n v="5732.699999999999"/>
        <n v="8480.600000000002"/>
        <n v="27776.9"/>
        <n v="8074.4"/>
        <n v="7593.6"/>
        <n v="7270.4000000000015"/>
        <n v="15101.099999999999"/>
        <n v="38039.5"/>
        <n v="8982.8"/>
        <n v="9421"/>
        <n v="5342.299999999999"/>
        <n v="11431.5"/>
        <n v="35177.6"/>
        <n v="1500"/>
        <n v="7248.7"/>
        <n v="3924"/>
        <n v="13214"/>
        <n v="25886.7"/>
        <n v="4401.2"/>
        <n v="9257.8"/>
        <n v="5291.9"/>
        <n v="9751.2"/>
        <n v="28702.100000000002"/>
        <n v="12128.3"/>
        <n v="10792.3"/>
        <n v="6898"/>
        <n v="14806"/>
        <n v="44624.6"/>
        <n v="14391.5"/>
        <n v="5994.7"/>
        <n v="7432.7"/>
        <n v="19056.8"/>
        <n v="46875.7"/>
        <n v="6379.1"/>
        <n v="14263.999999999998"/>
        <n v="7318.5"/>
        <n v="11967.5"/>
        <n v="39929.1"/>
        <n v="17862.6"/>
        <n v="12328.600000000002"/>
        <n v="5758.799999999999"/>
        <n v="17332.800000000003"/>
        <n v="53282.8"/>
        <n v="13292.6"/>
        <n v="9907.999999999998"/>
        <n v="6523.600000000002"/>
        <n v="16005.3"/>
        <n v="45729.5"/>
        <n v="13413"/>
        <n v="10859.2"/>
        <n v="13293.100000000002"/>
        <n v="16009.899999999994"/>
        <n v="53575.2"/>
        <n v="5429.2"/>
        <n v="7876.8"/>
        <n v="2472"/>
        <n v="9957.900000000001"/>
        <n v="25735.9"/>
        <n v="8162.8"/>
        <n v="14073.400000000001"/>
        <n v="5610.5"/>
        <n v="9559.399999999998"/>
        <n v="37406.1"/>
        <n v="3252"/>
        <n v="8905.6"/>
        <n v="12540.199999999999"/>
        <n v="15223.600000000002"/>
        <n v="39921.4"/>
        <n v="6241.9"/>
        <n v="7327.800000000001"/>
        <n v="7723.200000000001"/>
        <n v="15450.900000000001"/>
        <n v="36743.8"/>
        <n v="12179.1"/>
        <n v="8987.999999999998"/>
        <n v="4661.100000000002"/>
        <n v="11452.600000000002"/>
        <n v="37280.8"/>
        <n v="8601.4"/>
        <n v="6657.800000000001"/>
        <n v="10902.7"/>
        <n v="11840.599999999999"/>
        <n v="38002.5"/>
        <n v="6913.8"/>
        <n v="8560.7"/>
        <n v="7495.5"/>
        <n v="8510.099999999999"/>
        <n v="31480.1"/>
        <n v="5812"/>
        <n v="6857.6"/>
        <n v="5495.999999999998"/>
        <n v="7861.100000000002"/>
        <n v="26026.7"/>
        <n v="9681.6"/>
        <n v="11625.999999999998"/>
        <n v="5081.200000000001"/>
        <n v="9797.3"/>
        <n v="36186.1"/>
      </sharedItems>
    </cacheField>
    <cacheField name="投流消耗" numFmtId="0">
      <sharedItems containsSemiMixedTypes="false" containsString="false" containsNumber="true" minValue="3476" maxValue="54300.35" count="144">
        <n v="13145.92"/>
        <n v="13841.039999999999"/>
        <n v="13511.25"/>
        <n v="13802.14"/>
        <n v="54300.35"/>
        <n v="11440.67"/>
        <n v="9533.99"/>
        <n v="16878.039999999994"/>
        <n v="15297.7"/>
        <n v="53150.399999999994"/>
        <n v="8624.77"/>
        <n v="8661.4"/>
        <n v="9214.62"/>
        <n v="9033.74"/>
        <n v="35534.53"/>
        <n v="6025.98"/>
        <n v="3932.9500000000007"/>
        <n v="7508.98"/>
        <n v="7155.98"/>
        <n v="24623.89"/>
        <n v="6355.35"/>
        <n v="4923.629999999999"/>
        <n v="6874.23"/>
        <n v="12362.68"/>
        <n v="30515.89"/>
        <n v="5331.24"/>
        <n v="3476"/>
        <n v="9660.6"/>
        <n v="6481.040000000001"/>
        <n v="24948.88"/>
        <n v="8217.36"/>
        <n v="12795.34"/>
        <n v="7677.509999999998"/>
        <n v="10835.11"/>
        <n v="39525.32"/>
        <n v="9230.029999999999"/>
        <n v="10975.300000000003"/>
        <n v="12274.579999999998"/>
        <n v="14626.57"/>
        <n v="47106.479999999996"/>
        <n v="9623.02"/>
        <n v="13687.86"/>
        <n v="14510.79"/>
        <n v="13796.81"/>
        <n v="51618.479999999996"/>
        <n v="19959.64"/>
        <n v="10256.14"/>
        <n v="9172.07"/>
        <n v="39387.85"/>
        <n v="8742.97"/>
        <n v="10826.160000000002"/>
        <n v="11337.64"/>
        <n v="12337.86"/>
        <n v="43244.630000000005"/>
        <n v="9483.84"/>
        <n v="12968.5"/>
        <n v="10865.179999999997"/>
        <n v="8893.83"/>
        <n v="42211.35"/>
        <n v="5588.4"/>
        <n v="10417.18"/>
        <n v="7671.09"/>
        <n v="12987.11"/>
        <n v="36663.78"/>
        <n v="8139"/>
        <n v="14301.32"/>
        <n v="7004.71"/>
        <n v="12228"/>
        <n v="41673.03"/>
        <n v="9934.76"/>
        <n v="13897.41"/>
        <n v="4868.59"/>
        <n v="14104.05"/>
        <n v="42804.81"/>
        <n v="14284.54"/>
        <n v="5483.57"/>
        <n v="7039.8"/>
        <n v="11348.24"/>
        <n v="38156.15"/>
        <n v="11316.400000000001"/>
        <n v="8686.73"/>
        <n v="6715.539999999997"/>
        <n v="10498.58"/>
        <n v="37217.25"/>
        <n v="13961.01"/>
        <n v="12139.529999999999"/>
        <n v="6131.710000000003"/>
        <n v="10174.449999999997"/>
        <n v="42406.7"/>
        <n v="10005.56"/>
        <n v="8805.860000000002"/>
        <n v="9230.59"/>
        <n v="12850.970000000001"/>
        <n v="40892.98"/>
        <n v="12761.31"/>
        <n v="5868.74"/>
        <n v="9931.3"/>
        <n v="11597.760000000002"/>
        <n v="40159.11"/>
        <n v="8292.92"/>
        <n v="6346.389999999999"/>
        <n v="3609.17"/>
        <n v="5235.93"/>
        <n v="23484.41"/>
        <n v="9578.09"/>
        <n v="9360.29"/>
        <n v="6603.0999999999985"/>
        <n v="7051.27"/>
        <n v="32592.75"/>
        <n v="5477.749999999999"/>
        <n v="7352.6100000000015"/>
        <n v="7309.169999999998"/>
        <n v="11614.849999999999"/>
        <n v="31754.379999999997"/>
        <n v="9733.039999999999"/>
        <n v="7518.26"/>
        <n v="10610.850000000002"/>
        <n v="6519.43"/>
        <n v="34381.58"/>
        <n v="9349.05"/>
        <n v="8535.529999999999"/>
        <n v="8147.5"/>
        <n v="8503.300000000003"/>
        <n v="34535.380000000005"/>
        <n v="7466.9800000000005"/>
        <n v="6855.2699999999995"/>
        <n v="7764.869999999995"/>
        <n v="9487.140000000003"/>
        <n v="31574.26"/>
        <n v="9006.7"/>
        <n v="9557.71"/>
        <n v="8433.200000000004"/>
        <n v="5795.890000000003"/>
        <n v="32793.50000000001"/>
        <n v="9006.62"/>
        <n v="5685.5"/>
        <n v="6804.9400000000005"/>
        <n v="4545.889999999999"/>
        <n v="26042.95"/>
        <n v="7804"/>
        <n v="14144.23"/>
        <n v="5980.580000000002"/>
        <n v="8359.3"/>
        <n v="36288.11"/>
      </sharedItems>
    </cacheField>
    <cacheField name="ROI" numFmtId="0">
      <sharedItems containsSemiMixedTypes="false" containsString="false" containsNumber="true" minValue="0.2684131415074082" maxValue="2.369977129902461" count="0"/>
    </cacheField>
    <cacheField name="单均" numFmtId="0">
      <sharedItems containsSemiMixedTypes="false" containsString="false" containsNumber="true" minValue="214.28571428571428" maxValue="562.6285714285715" count="0"/>
    </cacheField>
    <cacheField name="保单成本" numFmtId="0">
      <sharedItems containsSemiMixedTypes="false" containsString="false" containsNumber="true" minValue="201.3819230769231" maxValue="798.342857142857" count="0"/>
    </cacheField>
    <cacheField name="年缴占比" numFmtId="0">
      <sharedItems containsSemiMixedTypes="false" containsString="false" containsNumber="true" minValue="0" maxValue="0.5" count="0"/>
    </cacheField>
    <cacheField name="家庭单" numFmtId="0">
      <sharedItems containsSemiMixedTypes="false" containsString="false" containsNumber="true" minValue="0" maxValue="45" count="0"/>
    </cacheField>
    <cacheField name="家庭单占比" numFmtId="0">
      <sharedItems containsSemiMixedTypes="false" containsString="false" containsNumber="true" minValue="0" maxValue="0.42857142857142855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16" count="0"/>
    </cacheField>
    <cacheField name="R列" numFmtId="0">
      <sharedItems containsString="false" containsBlank="true" containsNumber="true" minValue="24623.89" maxValue="54300.35" count="0"/>
    </cacheField>
  </cacheFields>
</pivotCacheDefinition>
</file>

<file path=xl/pivotCache/pivotCacheDefinition6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Q$158" sheet="2026.7"/>
  </cacheSource>
  <cacheFields count="17">
    <cacheField name="日期" numFmtId="0">
      <sharedItems containsNonDate="false" containsDate="true" containsString="false" containsBlank="true" minDate="2026-07-03T00:00:00.000Z" maxDate="2026-07-31T00:00:00.000Z" count="0"/>
    </cacheField>
    <cacheField name="主播" numFmtId="0">
      <sharedItems containsBlank="true" count="11">
        <s v="高雨辰"/>
        <s v="何莎"/>
        <s v="郭璐琪"/>
        <s v="日总"/>
        <s v="杨文"/>
        <s v="刘晓坤"/>
        <s v="李桐"/>
        <s v="崔红亚"/>
        <s v="陈庆娴"/>
        <s v="张保林"/>
        <m/>
      </sharedItems>
    </cacheField>
    <cacheField name="直播时段" numFmtId="0">
      <sharedItems containsBlank="true" count="0"/>
    </cacheField>
    <cacheField name="直播时长" numFmtId="0">
      <sharedItems containsString="false" containsBlank="true" containsNumber="true" minValue="1" maxValue="20" count="13">
        <n v="5"/>
        <n v="15"/>
        <n v="20"/>
        <n v="2"/>
        <n v="4"/>
        <n v="3"/>
        <n v="1"/>
        <n v="6"/>
        <n v="7"/>
        <n v="12"/>
        <n v="4.5"/>
        <n v="18.5"/>
        <m/>
      </sharedItems>
    </cacheField>
    <cacheField name="年缴保单数" numFmtId="0">
      <sharedItems containsString="false" containsBlank="true" containsNumber="true" containsInteger="true" minValue="0" maxValue="93" count="0"/>
    </cacheField>
    <cacheField name="订单数" numFmtId="0">
      <sharedItems containsString="false" containsBlank="true" containsNumber="true" containsInteger="true" minValue="16" maxValue="985" count="0"/>
    </cacheField>
    <cacheField name="保单数量" numFmtId="0">
      <sharedItems containsString="false" containsBlank="true" containsNumber="true" containsInteger="true" minValue="9" maxValue="701" count="0"/>
    </cacheField>
    <cacheField name="年化保费" numFmtId="0">
      <sharedItems containsString="false" containsBlank="true" containsNumber="true" minValue="3447.5999999999913" maxValue="262791.6" count="157">
        <n v="24260.7"/>
        <n v="10649.2"/>
        <n v="13105"/>
        <n v="48014.9"/>
        <n v="15977.4"/>
        <n v="24581.1"/>
        <n v="20827.6"/>
        <n v="29610.200000000004"/>
        <n v="90996.3"/>
        <n v="30535.3"/>
        <n v="23802.000000000004"/>
        <n v="19696.699999999997"/>
        <n v="22632.5"/>
        <n v="96666.5"/>
        <n v="21843.2"/>
        <n v="21782.8"/>
        <n v="7947.2"/>
        <n v="16213.199999999997"/>
        <n v="67786.4"/>
        <n v="23168.3"/>
        <n v="6068"/>
        <n v="8585.2"/>
        <n v="12209.099999999999"/>
        <n v="10260.300000000003"/>
        <n v="60290.9"/>
        <n v="21879.5"/>
        <n v="12735.599999999999"/>
        <n v="6963.200000000004"/>
        <n v="9333.599999999999"/>
        <n v="31885.700000000004"/>
        <n v="82797.6"/>
        <n v="15700.1"/>
        <n v="4328.6"/>
        <n v="7693.200000000001"/>
        <n v="15333"/>
        <n v="21490"/>
        <n v="64544.9"/>
        <n v="16247.5"/>
        <n v="4980"/>
        <n v="10899"/>
        <n v="5020"/>
        <n v="26143.300000000003"/>
        <n v="63289.8"/>
        <n v="14513.1"/>
        <n v="15029.1"/>
        <n v="29542.2"/>
        <n v="23123.3"/>
        <n v="32850.3"/>
        <n v="43051.2"/>
        <n v="99024.8"/>
        <n v="20230.7"/>
        <n v="12004"/>
        <n v="28120.399999999998"/>
        <n v="22061.000000000007"/>
        <n v="25222.59999999999"/>
        <n v="107638.7"/>
        <n v="12383.1"/>
        <n v="16173.199999999999"/>
        <n v="11078.399999999998"/>
        <n v="5912.9000000000015"/>
        <n v="19171"/>
        <n v="64718.6"/>
        <n v="14496.8"/>
        <n v="15841.600000000002"/>
        <n v="9385.199999999997"/>
        <n v="4661.200000000004"/>
        <n v="32216.800000000003"/>
        <n v="76601.6"/>
        <n v="27635.9"/>
        <n v="32536.4"/>
        <n v="18330.5"/>
        <n v="8343.5"/>
        <n v="35508.5"/>
        <n v="122354.8"/>
        <n v="24663.8"/>
        <n v="26480.7"/>
        <n v="15436.600000000006"/>
        <n v="3447.5999999999913"/>
        <n v="21579.800000000003"/>
        <n v="91608.5"/>
        <n v="21224.4"/>
        <n v="4424.299999999999"/>
        <n v="11983.999999999996"/>
        <n v="9896.800000000003"/>
        <n v="36420.7"/>
        <n v="83950.2"/>
        <n v="17951.6"/>
        <n v="14248"/>
        <n v="13482"/>
        <n v="22498.700000000004"/>
        <n v="68180.3"/>
        <n v="11408.8"/>
        <n v="11678"/>
        <n v="7844.299999999999"/>
        <n v="21379.4"/>
        <n v="52310.5"/>
        <n v="18253.1"/>
        <n v="15002.099999999999"/>
        <n v="13341.600000000006"/>
        <n v="9608.699999999997"/>
        <n v="23357.300000000003"/>
        <n v="79562.8"/>
        <n v="15618.8"/>
        <n v="20300.000000000004"/>
        <n v="13019.5"/>
        <n v="4937.899999999994"/>
        <n v="21020.199999999997"/>
        <n v="74896.4"/>
        <n v="46739.5"/>
        <n v="27880.300000000003"/>
        <n v="31092.300000000003"/>
        <n v="22838.399999999994"/>
        <n v="128550.5"/>
        <n v="41299.7"/>
        <n v="42529.1"/>
        <n v="12562.4"/>
        <n v="13845"/>
        <n v="110236.19999999998"/>
        <n v="28068.8"/>
        <n v="27389.5"/>
        <n v="53025.6"/>
        <n v="154307.7"/>
        <n v="262791.6"/>
        <n v="55073.5"/>
        <n v="37419.6"/>
        <n v="16774"/>
        <n v="34880.6"/>
        <n v="144147.7"/>
        <n v="37067.5"/>
        <n v="13742.3"/>
        <n v="12879.3"/>
        <n v="27111.9"/>
        <n v="90801"/>
        <n v="35219.4"/>
        <n v="17373.6"/>
        <n v="14285.6"/>
        <n v="28901.2"/>
        <n v="32197.2"/>
        <n v="127977"/>
        <n v="18042.1"/>
        <n v="16024.099999999999"/>
        <n v="7911.1"/>
        <n v="11982.3"/>
        <n v="27038"/>
        <n v="80997.59999999999"/>
        <n v="28847.6"/>
        <n v="17150.4"/>
        <n v="31843.800000000003"/>
        <n v="46225"/>
        <n v="124066.8"/>
        <n v="40531.9"/>
        <n v="33089.700000000004"/>
        <n v="14167.099999999991"/>
        <n v="12507.5"/>
        <n v="91493.50000000001"/>
        <n v="191789.7"/>
        <m/>
      </sharedItems>
    </cacheField>
    <cacheField name="投流消耗" numFmtId="0">
      <sharedItems containsString="false" containsBlank="true" containsNumber="true" minValue="2775.959999999999" maxValue="203142.54" count="157">
        <n v="24751.54"/>
        <n v="18389.35"/>
        <n v="10688.25"/>
        <n v="53829.14"/>
        <n v="21046.07"/>
        <n v="20241.730000000003"/>
        <n v="22988.829999999994"/>
        <n v="28974.17"/>
        <n v="93250.79999999999"/>
        <n v="31218.199999999997"/>
        <n v="24613.36"/>
        <n v="20351.559999999998"/>
        <n v="21854.04"/>
        <n v="98037.16"/>
        <n v="22778.59"/>
        <n v="24639.55"/>
        <n v="13095.84"/>
        <n v="19421.649999999998"/>
        <n v="79935.62999999999"/>
        <n v="18640.92"/>
        <n v="7482.59"/>
        <n v="14501.600000000002"/>
        <n v="10415.089999999997"/>
        <n v="8061.030000000001"/>
        <n v="59101.229999999996"/>
        <n v="23769.02"/>
        <n v="14573.460000000003"/>
        <n v="5239.719999999994"/>
        <n v="11685.160000000003"/>
        <n v="25318.43"/>
        <n v="80585.79000000001"/>
        <n v="17515.129999999997"/>
        <n v="8465.640000000003"/>
        <n v="4461.75"/>
        <n v="12680.829999999998"/>
        <n v="23071.649999999998"/>
        <n v="66195"/>
        <n v="12901.019999999999"/>
        <n v="8588.700000000003"/>
        <n v="16934.21"/>
        <n v="2775.959999999999"/>
        <n v="26037.08"/>
        <n v="67236.97"/>
        <n v="17432.12"/>
        <n v="10913.17"/>
        <n v="28345.29"/>
        <n v="21618.59"/>
        <n v="36181.6"/>
        <n v="36823.22"/>
        <n v="94623.41"/>
        <n v="22933.48"/>
        <n v="9892.41"/>
        <n v="29940.320000000007"/>
        <n v="25819.810000000005"/>
        <n v="19137.03"/>
        <n v="107723.05000000002"/>
        <n v="16404.33"/>
        <n v="15878.75"/>
        <n v="10840.120000000003"/>
        <n v="7283.949999999997"/>
        <n v="19685.46"/>
        <n v="70092.61"/>
        <n v="16721.08"/>
        <n v="18163.050000000003"/>
        <n v="13099.01999999999"/>
        <n v="8318.879999999997"/>
        <n v="26298.77"/>
        <n v="82600.79999999999"/>
        <n v="24762.19"/>
        <n v="26450.8"/>
        <n v="16669.019999999997"/>
        <n v="11024.459999999992"/>
        <n v="29141.65"/>
        <n v="108048.12"/>
        <n v="27982.17"/>
        <n v="30825.740000000005"/>
        <n v="18547.11"/>
        <n v="6824.25"/>
        <n v="18936.48"/>
        <n v="103115.75"/>
        <n v="25885.1"/>
        <n v="6826.630000000001"/>
        <n v="9445.350000000002"/>
        <n v="14273.229999999996"/>
        <n v="24403.25"/>
        <n v="80833.56"/>
        <n v="19067.609999999997"/>
        <n v="14106.560000000001"/>
        <n v="10785.76"/>
        <n v="13885.54"/>
        <n v="57845.47"/>
        <n v="13753.779999999999"/>
        <n v="13730.150000000001"/>
        <n v="13266.799999999996"/>
        <n v="17488.67"/>
        <n v="58239.399999999994"/>
        <n v="24668.16"/>
        <n v="18727.929999999997"/>
        <n v="18282.72"/>
        <n v="8914.130000000005"/>
        <n v="22001.37"/>
        <n v="92594.31"/>
        <n v="18692.76"/>
        <n v="23327.7"/>
        <n v="18521.899999999994"/>
        <n v="7206.609999999993"/>
        <n v="14124.67"/>
        <n v="81873.63999999998"/>
        <n v="32436.239999999998"/>
        <n v="27852.139999999992"/>
        <n v="31494.560000000012"/>
        <n v="27266.99"/>
        <n v="119049.93000000001"/>
        <n v="34031.5"/>
        <n v="35990.17"/>
        <n v="20720.73"/>
        <n v="18041.36"/>
        <n v="108783.76"/>
        <n v="24098.489999999998"/>
        <n v="22975.73"/>
        <n v="42805.07"/>
        <n v="113263.25"/>
        <n v="203142.54"/>
        <n v="51273.020000000004"/>
        <n v="37812.76"/>
        <n v="19966.44"/>
        <n v="25111.16"/>
        <n v="134163.38"/>
        <n v="30452.93"/>
        <n v="17250.52"/>
        <n v="17973.18"/>
        <n v="21129.4"/>
        <n v="86806.03"/>
        <n v="34605.93"/>
        <n v="22072.800000000003"/>
        <n v="9915.44"/>
        <n v="25047.76"/>
        <n v="32369.74"/>
        <n v="124011.67"/>
        <n v="19648.25"/>
        <n v="20111.239999999998"/>
        <n v="9354.11"/>
        <n v="12688.829999999994"/>
        <n v="18311.64"/>
        <n v="80114.06999999999"/>
        <n v="30108.45"/>
        <n v="19015.89999999999"/>
        <n v="28410.59000000001"/>
        <n v="44692.56"/>
        <n v="122227.5"/>
        <n v="32706.26"/>
        <n v="34666.57000000001"/>
        <n v="15871.839999999997"/>
        <n v="14743.340000000011"/>
        <n v="74271.56"/>
        <n v="172259.57"/>
        <m/>
      </sharedItems>
    </cacheField>
    <cacheField name="ROI" numFmtId="0">
      <sharedItems containsString="false" containsBlank="true" containsNumber="true" minValue="0.5051983734476303" maxValue="1.808383406100953" count="0"/>
    </cacheField>
    <cacheField name="单均" numFmtId="0">
      <sharedItems containsString="false" containsBlank="true" containsNumber="true" minValue="254.62352941176474" maxValue="557.7777777777778" count="0"/>
    </cacheField>
    <cacheField name="保单成本" numFmtId="0">
      <sharedItems containsString="false" containsBlank="true" containsNumber="true" minValue="202.8068181818182" maxValue="682.425" count="0"/>
    </cacheField>
    <cacheField name="年缴占比" numFmtId="0">
      <sharedItems containsString="false" containsBlank="true" containsNumber="true" minValue="0" maxValue="0.4090909090909091" count="0"/>
    </cacheField>
    <cacheField name="家庭单" numFmtId="0">
      <sharedItems containsSemiMixedTypes="false" containsString="false" containsNumber="true" containsInteger="true" minValue="0" maxValue="134" count="0"/>
    </cacheField>
    <cacheField name="家庭单占比" numFmtId="0">
      <sharedItems containsString="false" containsBlank="true" containsNumber="true" minValue="0" maxValue="0.2894736842105263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2" maxValue="20" count="0"/>
    </cacheField>
  </cacheFields>
</pivotCacheDefinition>
</file>

<file path=xl/pivotCache/pivotCacheDefinition7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Q$169" sheet="2026.8"/>
  </cacheSource>
  <cacheFields count="17">
    <cacheField name="日期" numFmtId="0">
      <sharedItems containsSemiMixedTypes="false" containsNonDate="false" containsDate="true" containsString="false" minDate="2026-08-01T00:00:00.000Z" maxDate="2026-08-31T00:00:00.000Z" count="0"/>
    </cacheField>
    <cacheField name="主播" numFmtId="0">
      <sharedItems count="10">
        <s v="杨文"/>
        <s v="何莎"/>
        <s v="陈庆娴"/>
        <s v="刘晓坤"/>
        <s v="高雨辰"/>
        <s v="日总"/>
        <s v="郭璐琪"/>
        <s v="左璐筠"/>
        <s v="李杜娟"/>
        <s v="田甜"/>
      </sharedItems>
    </cacheField>
    <cacheField name="直播时段" numFmtId="0">
      <sharedItems containsBlank="true" count="20">
        <s v="6:00-11:00"/>
        <s v="11:00-15:00"/>
        <s v="15:00-17:00"/>
        <s v="17:00-21:00"/>
        <s v="21:00-02:00"/>
        <m/>
        <s v="11:00-16:00"/>
        <s v="16:00-21:00"/>
        <s v="6:00-8:30"/>
        <s v="8:30-11:00"/>
        <s v="6:00-10:00"/>
        <s v="10:00-14:00"/>
        <s v="14:00-16:00"/>
        <s v="17:00-20:00"/>
        <s v="20:00-02:00"/>
        <s v="10:00-15:00"/>
        <s v="17:00-22:00"/>
        <s v="22:00-02:00"/>
        <s v="14:00-17:00"/>
        <s v="15:00-21:00"/>
      </sharedItems>
    </cacheField>
    <cacheField name="直播时长" numFmtId="0">
      <sharedItems containsSemiMixedTypes="false" containsString="false" containsNumber="true" minValue="2" maxValue="20" count="9">
        <n v="5"/>
        <n v="4"/>
        <n v="2"/>
        <n v="20"/>
        <n v="2.5"/>
        <n v="3"/>
        <n v="6"/>
        <n v="4.84"/>
        <n v="19.52"/>
      </sharedItems>
    </cacheField>
    <cacheField name="年缴保单数" numFmtId="0">
      <sharedItems containsSemiMixedTypes="false" containsString="false" containsNumber="true" minValue="1" maxValue="119" count="0"/>
    </cacheField>
    <cacheField name="订单数" numFmtId="0">
      <sharedItems containsSemiMixedTypes="false" containsString="false" containsNumber="true" containsInteger="true" minValue="26" maxValue="1004" count="0"/>
    </cacheField>
    <cacheField name="保单数量" numFmtId="0">
      <sharedItems containsSemiMixedTypes="false" containsString="false" containsNumber="true" containsInteger="true" minValue="15" maxValue="704" count="0"/>
    </cacheField>
    <cacheField name="年化保费" numFmtId="0">
      <sharedItems containsSemiMixedTypes="false" containsString="false" containsNumber="true" minValue="3967.5" maxValue="246803.9" count="168">
        <n v="53836.4"/>
        <n v="38839.5"/>
        <n v="13283.200000000012"/>
        <n v="31349"/>
        <n v="31433"/>
        <n v="168741.1"/>
        <n v="55559.8"/>
        <n v="76857.8"/>
        <n v="63724.5"/>
        <n v="50661.79999999999"/>
        <n v="246803.9"/>
        <n v="41087.8"/>
        <n v="36218.8"/>
        <n v="35098.2"/>
        <n v="28367.499999999985"/>
        <n v="140772.3"/>
        <n v="32742.1"/>
        <n v="17966"/>
        <n v="26172.4"/>
        <n v="30056.100000000006"/>
        <n v="106936.6"/>
        <n v="34319.7"/>
        <n v="34965.2"/>
        <n v="45774.20000000001"/>
        <n v="31024.5"/>
        <n v="146083.6"/>
        <n v="5275.2"/>
        <n v="15350.3"/>
        <n v="21053.6"/>
        <n v="37675.9"/>
        <n v="43000.3"/>
        <n v="122355.3"/>
        <n v="23293.9"/>
        <n v="21503.4"/>
        <n v="3967.5"/>
        <n v="28140"/>
        <n v="41141.7"/>
        <n v="118046.5"/>
        <n v="29989.5"/>
        <n v="24239.3"/>
        <n v="32356.59999999999"/>
        <n v="27755.4"/>
        <n v="114340.79999999999"/>
        <n v="29868.1"/>
        <n v="20049.6"/>
        <n v="32034.1"/>
        <n v="34352.9"/>
        <n v="116304.69999999998"/>
        <n v="11131.6"/>
        <n v="20901.9"/>
        <n v="10444.699999999997"/>
        <n v="7656.4000000000015"/>
        <n v="39520.9"/>
        <n v="89655.5"/>
        <n v="23913.2"/>
        <n v="6845.200000000001"/>
        <n v="5612"/>
        <n v="20953.9"/>
        <n v="23670.5"/>
        <n v="80994.8"/>
        <n v="31513.9"/>
        <n v="36525.6"/>
        <n v="38004.600000000006"/>
        <n v="35812.100000000006"/>
        <n v="141856.2"/>
        <n v="21582.9"/>
        <n v="19921.9"/>
        <n v="7216.199999999997"/>
        <n v="21558.199999999997"/>
        <n v="28337.199999999997"/>
        <n v="98616.4"/>
        <n v="26457.9"/>
        <n v="13364.400000000001"/>
        <n v="9617.599999999999"/>
        <n v="36263.1"/>
        <n v="44020.899999999994"/>
        <n v="129723.9"/>
        <n v="8133.6"/>
        <n v="33326.4"/>
        <n v="18790"/>
        <n v="40902.7"/>
        <n v="53113.8"/>
        <n v="154266.5"/>
        <n v="39658.6"/>
        <n v="66925.1"/>
        <n v="31346.29999999999"/>
        <n v="42661.70000000001"/>
        <n v="59240.79999999999"/>
        <n v="239832.5"/>
        <n v="52144.6"/>
        <n v="47325.4"/>
        <n v="12531.300000000003"/>
        <n v="38023.90000000001"/>
        <n v="54559.29999999999"/>
        <n v="204584.5"/>
        <n v="36925.7"/>
        <n v="60688.40000000001"/>
        <n v="12929.899999999994"/>
        <n v="38135.100000000006"/>
        <n v="34348.29999999999"/>
        <n v="183027.4"/>
        <n v="32634.9"/>
        <n v="34493.299999999996"/>
        <n v="22087"/>
        <n v="48064.000000000015"/>
        <n v="36455.19999999998"/>
        <n v="173734.4"/>
        <n v="42012.7"/>
        <n v="60112.5"/>
        <n v="13490.400000000009"/>
        <n v="29841.699999999983"/>
        <n v="21668.20000000001"/>
        <n v="167125.5"/>
        <n v="35261.5"/>
        <n v="20230.6"/>
        <n v="52666.9"/>
        <n v="57131.5"/>
        <n v="165290.5"/>
        <n v="52285.7"/>
        <n v="34537.5"/>
        <n v="21795.800000000003"/>
        <n v="28708"/>
        <n v="137327"/>
        <n v="44730.3"/>
        <n v="49109.7"/>
        <n v="38400.20000000001"/>
        <n v="32671.599999999977"/>
        <n v="164911.8"/>
        <n v="28460.9"/>
        <n v="41313.6"/>
        <n v="59343.600000000006"/>
        <n v="33752.19999999998"/>
        <n v="162870.3"/>
        <n v="36769.5"/>
        <n v="19690.800000000003"/>
        <n v="51989"/>
        <n v="24436.40000000001"/>
        <n v="132885.7"/>
        <n v="34179"/>
        <n v="15432.900000000001"/>
        <n v="37328.299999999996"/>
        <n v="41808"/>
        <n v="128748.2"/>
        <n v="32121.1"/>
        <n v="49220.6"/>
        <n v="45765.90000000001"/>
        <n v="28072.600000000006"/>
        <n v="155180.2"/>
        <n v="36548.4"/>
        <n v="33394.700000000004"/>
        <n v="17814"/>
        <n v="21465.399999999994"/>
        <n v="109222.5"/>
        <n v="29118.9"/>
        <n v="23372.9"/>
        <n v="34737.09999999999"/>
        <n v="27180.20000000001"/>
        <n v="114409.1"/>
        <n v="43915.4"/>
        <n v="53837.9"/>
        <n v="44209.499999999985"/>
        <n v="31870.70000000001"/>
        <n v="173833.5"/>
        <n v="35526.1"/>
        <n v="23302.300000000003"/>
        <n v="42951.700000000004"/>
        <n v="51935.79999999999"/>
        <n v="153715.9"/>
      </sharedItems>
    </cacheField>
    <cacheField name="投流消耗" numFmtId="0">
      <sharedItems containsSemiMixedTypes="false" containsString="false" containsNumber="true" minValue="7564.909999999996" maxValue="230148.66000000003" count="168">
        <n v="40279.66"/>
        <n v="30557.99"/>
        <n v="13753.409999999989"/>
        <n v="24269.89"/>
        <n v="33626.54"/>
        <n v="142487.49"/>
        <n v="47218.2"/>
        <n v="55919.20000000001"/>
        <n v="55738.42999999998"/>
        <n v="43286.97"/>
        <n v="202162.8"/>
        <n v="35968.62"/>
        <n v="32106.04"/>
        <n v="36044.70999999999"/>
        <n v="27049"/>
        <n v="131168.37"/>
        <n v="24452.850000000006"/>
        <n v="19013.939999999995"/>
        <n v="23350.760000000002"/>
        <n v="32573.51"/>
        <n v="99391.06"/>
        <n v="35136.85"/>
        <n v="29812.84"/>
        <n v="50909.479999999996"/>
        <n v="33115.98"/>
        <n v="148975.15"/>
        <n v="11779.22"/>
        <n v="9934.01"/>
        <n v="17951.57"/>
        <n v="33350.45"/>
        <n v="38069.1"/>
        <n v="111084.35"/>
        <n v="25718.73"/>
        <n v="20547.899999999998"/>
        <n v="7814.93"/>
        <n v="27781.78"/>
        <n v="33486.9"/>
        <n v="115350.23999999999"/>
        <n v="29469.78"/>
        <n v="24810.22"/>
        <n v="25404.64"/>
        <n v="31747.63"/>
        <n v="111432.27"/>
        <n v="24951.51"/>
        <n v="26101.780000000002"/>
        <n v="31499.05"/>
        <n v="24106.38"/>
        <n v="106658.72"/>
        <n v="19233.79"/>
        <n v="18074.42"/>
        <n v="10028.330000000002"/>
        <n v="11320.370000000003"/>
        <n v="28858.84"/>
        <n v="87515.75"/>
        <n v="27628.68"/>
        <n v="12338.68"/>
        <n v="7564.909999999996"/>
        <n v="19695.090000000004"/>
        <n v="19148.7"/>
        <n v="86376.06"/>
        <n v="35286.79"/>
        <n v="35616.329999999994"/>
        <n v="31738.940000000002"/>
        <n v="30080.23"/>
        <n v="132722.29"/>
        <n v="22453.93"/>
        <n v="17191.14"/>
        <n v="9118.060000000005"/>
        <n v="17810.929999999993"/>
        <n v="23249.010000000002"/>
        <n v="89823.07"/>
        <n v="20055.55"/>
        <n v="13208.680000000004"/>
        <n v="10797.620000000003"/>
        <n v="32240.539999999994"/>
        <n v="45412.12"/>
        <n v="121714.51000000001"/>
        <n v="21456.82"/>
        <n v="24741.879999999997"/>
        <n v="20377.36"/>
        <n v="39202.81"/>
        <n v="38550.21"/>
        <n v="144329.08"/>
        <n v="38887.44"/>
        <n v="57195.59"/>
        <n v="30792.550000000003"/>
        <n v="47007.13000000002"/>
        <n v="56265.95"/>
        <n v="230148.66000000003"/>
        <n v="52120.47"/>
        <n v="35374.36"/>
        <n v="15268.289999999994"/>
        <n v="34390.45999999999"/>
        <n v="54720.48"/>
        <n v="191874.06"/>
        <n v="37605.91"/>
        <n v="42605.95"/>
        <n v="15033.600000000006"/>
        <n v="41991.13000000002"/>
        <n v="21522.26"/>
        <n v="158758.85000000003"/>
        <n v="29494.65"/>
        <n v="32872.59"/>
        <n v="29431.05000000001"/>
        <n v="49875.44999999998"/>
        <n v="24059.77"/>
        <n v="165733.50999999998"/>
        <n v="33641.7"/>
        <n v="50230.83"/>
        <n v="18910.040000000008"/>
        <n v="32900.17999999999"/>
        <n v="18032.69"/>
        <n v="153715.44"/>
        <n v="37232.35"/>
        <n v="27316.549999999996"/>
        <n v="44726.73000000001"/>
        <n v="51916.4"/>
        <n v="161192.03"/>
        <n v="50242.44"/>
        <n v="34970.34999999999"/>
        <n v="22953.209999999992"/>
        <n v="22387.52"/>
        <n v="130553.51999999999"/>
        <n v="39556.08"/>
        <n v="44193.51999999999"/>
        <n v="46200.630000000005"/>
        <n v="31888.42"/>
        <n v="161838.65"/>
        <n v="32294.86"/>
        <n v="33748.619999999995"/>
        <n v="46306.81000000001"/>
        <n v="35286.32"/>
        <n v="147636.61000000002"/>
        <n v="37362.369999999995"/>
        <n v="19356.979999999996"/>
        <n v="36082.89"/>
        <n v="24272.88"/>
        <n v="117075.12"/>
        <n v="33200.37"/>
        <n v="12757.019999999997"/>
        <n v="27662.729999999996"/>
        <n v="30848.4"/>
        <n v="104468.51999999999"/>
        <n v="36338.7"/>
        <n v="40517.86"/>
        <n v="53992.73000000001"/>
        <n v="30366.420000000002"/>
        <n v="161215.71000000002"/>
        <n v="35347.85"/>
        <n v="35589.52"/>
        <n v="26004.38000000002"/>
        <n v="20933.3"/>
        <n v="117875.05000000002"/>
        <n v="28083.15"/>
        <n v="21889.769999999997"/>
        <n v="28880.25"/>
        <n v="25308.34"/>
        <n v="104161.51"/>
        <n v="40888.44"/>
        <n v="55643.70000000001"/>
        <n v="46520.53"/>
        <n v="35367.36"/>
        <n v="178420.03000000003"/>
        <n v="39249.85"/>
        <n v="21375.05"/>
        <n v="41908.05"/>
        <n v="47417.42"/>
        <n v="149950.37"/>
      </sharedItems>
    </cacheField>
    <cacheField name="ROI" numFmtId="0">
      <sharedItems containsSemiMixedTypes="false" containsString="false" containsNumber="true" minValue="0.37906828691297223" maxValue="1.5959429911171035" count="0"/>
    </cacheField>
    <cacheField name="单均" numFmtId="0">
      <sharedItems containsSemiMixedTypes="false" containsString="false" containsNumber="true" minValue="244.4714285714286" maxValue="427.36862745098045" count="0"/>
    </cacheField>
    <cacheField name="保单成本" numFmtId="0">
      <sharedItems containsSemiMixedTypes="false" containsString="false" containsNumber="true" minValue="247.3822988505747" maxValue="736.20125" count="0"/>
    </cacheField>
    <cacheField name="年缴占比" numFmtId="0">
      <sharedItems containsSemiMixedTypes="false" containsString="false" containsNumber="true" minValue="0.03278688524590164" maxValue="0.3333333333333333" count="0"/>
    </cacheField>
    <cacheField name="家庭单" numFmtId="0">
      <sharedItems containsSemiMixedTypes="false" containsString="false" containsNumber="true" minValue="0" maxValue="161" count="0"/>
    </cacheField>
    <cacheField name="家庭单占比" numFmtId="0">
      <sharedItems containsSemiMixedTypes="false" containsString="false" containsNumber="true" minValue="0" maxValue="0.325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2" maxValue="20" count="0"/>
    </cacheField>
  </cacheFields>
</pivotCacheDefinition>
</file>

<file path=xl/pivotCache/pivotCacheDefinition8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Q$160" sheet="2026.9"/>
  </cacheSource>
  <cacheFields count="17">
    <cacheField name="日期" numFmtId="0">
      <sharedItems count="0"/>
    </cacheField>
    <cacheField name="主播" numFmtId="0">
      <sharedItems count="8">
        <s v="何莎"/>
        <s v="高雨辰"/>
        <s v="刘晓坤"/>
        <s v="郭璐琪"/>
        <s v="日总"/>
        <s v="杨文"/>
        <s v="王恬"/>
        <s v="李杜娟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20" count="14">
        <n v="5"/>
        <n v="20"/>
        <n v="2.5"/>
        <n v="4.5"/>
        <n v="17"/>
        <n v="4"/>
        <n v="2"/>
        <n v="3"/>
        <n v="19"/>
        <n v="3.5"/>
        <n v="18.5"/>
        <n v="4.25"/>
        <n v="4.7"/>
        <n v="17.45"/>
      </sharedItems>
    </cacheField>
    <cacheField name="年缴保单数" numFmtId="0">
      <sharedItems containsSemiMixedTypes="false" containsString="false" containsNumber="true" minValue="0" maxValue="124" count="0"/>
    </cacheField>
    <cacheField name="订单数" numFmtId="0">
      <sharedItems containsSemiMixedTypes="false" containsString="false" containsNumber="true" containsInteger="true" minValue="36" maxValue="997" count="0"/>
    </cacheField>
    <cacheField name="保单数量" numFmtId="0">
      <sharedItems containsSemiMixedTypes="false" containsString="false" containsNumber="true" containsInteger="true" minValue="25" maxValue="646" count="0"/>
    </cacheField>
    <cacheField name="年化保费" numFmtId="0">
      <sharedItems containsSemiMixedTypes="false" containsString="false" containsNumber="true" minValue="8454" maxValue="239310.6" count="159">
        <n v="43819.4"/>
        <n v="26404.4"/>
        <n v="16505.399999999994"/>
        <n v="16496.699999999997"/>
        <n v="103225.9"/>
        <n v="40399.6"/>
        <n v="29669.799999999996"/>
        <n v="26619.70000000001"/>
        <n v="31742.5"/>
        <n v="128431.6"/>
        <n v="43507.9"/>
        <n v="24084.299999999996"/>
        <n v="30893.5"/>
        <n v="33227.59999999999"/>
        <n v="131713.3"/>
        <n v="27000.7"/>
        <n v="30057.999999999996"/>
        <n v="33903.2"/>
        <n v="31790.40000000001"/>
        <n v="122752.3"/>
        <n v="30338.3"/>
        <n v="35917.59999999999"/>
        <n v="26231.800000000003"/>
        <n v="52075.000000000015"/>
        <n v="144562.7"/>
        <n v="77273"/>
        <n v="39875.899999999994"/>
        <n v="26796.70000000001"/>
        <n v="51038"/>
        <n v="194983.6"/>
        <n v="75752.4"/>
        <n v="28096.600000000006"/>
        <n v="32307.79999999999"/>
        <n v="36627.70000000001"/>
        <n v="172784.5"/>
        <n v="48992.2"/>
        <n v="50788.5"/>
        <n v="31446.199999999997"/>
        <n v="36601.70000000001"/>
        <n v="167828.6"/>
        <n v="35262.3"/>
        <n v="28033.799999999996"/>
        <n v="10368.000000000007"/>
        <n v="38413.79999999999"/>
        <n v="112077.9"/>
        <n v="23345.2"/>
        <n v="34926.2"/>
        <n v="33416"/>
        <n v="40321.899999999994"/>
        <n v="132009.3"/>
        <n v="34703"/>
        <n v="34142.600000000006"/>
        <n v="37743"/>
        <n v="27803.29999999999"/>
        <n v="134391.9"/>
        <n v="49461.3"/>
        <n v="41426.2"/>
        <n v="58288"/>
        <n v="54606.5"/>
        <n v="203782"/>
        <n v="50936.9"/>
        <n v="36405.99999999999"/>
        <n v="15635.200000000012"/>
        <n v="32855.399999999994"/>
        <n v="44696.600000000006"/>
        <n v="180530.1"/>
        <n v="30395.3"/>
        <n v="34508.3"/>
        <n v="11373.199999999997"/>
        <n v="17952.399999999994"/>
        <n v="32340.800000000003"/>
        <n v="126570"/>
        <n v="40708.6"/>
        <n v="28431.299999999996"/>
        <n v="13138.700000000012"/>
        <n v="14336.299999999988"/>
        <n v="28250.20000000001"/>
        <n v="124865.1"/>
        <n v="19239.8"/>
        <n v="11117.900000000001"/>
        <n v="20098.4"/>
        <n v="39133.1"/>
        <n v="89589.20000000001"/>
        <n v="44203.4"/>
        <n v="27645.4"/>
        <n v="19928.800000000003"/>
        <n v="24708.199999999997"/>
        <n v="33468.80000000003"/>
        <n v="149954.60000000003"/>
        <n v="25877.2"/>
        <n v="17348.600000000002"/>
        <n v="23424.40000000001"/>
        <n v="14537.199999999997"/>
        <n v="12723.199999999997"/>
        <n v="93910.6"/>
        <n v="30100.6"/>
        <n v="16899.200000000004"/>
        <n v="13024.699999999997"/>
        <n v="21722.199999999997"/>
        <n v="16398"/>
        <n v="98144.7"/>
        <n v="25011.4"/>
        <n v="11789.099999999999"/>
        <n v="19171.100000000006"/>
        <n v="14963"/>
        <n v="16288"/>
        <n v="87222.6"/>
        <n v="29658.1"/>
        <n v="20658.4"/>
        <n v="29453.300000000003"/>
        <n v="9899.199999999997"/>
        <n v="8454"/>
        <n v="98123"/>
        <n v="22010.9"/>
        <n v="24881"/>
        <n v="23566.999999999993"/>
        <n v="13628.200000000012"/>
        <n v="84087.1"/>
        <n v="31414"/>
        <n v="35997.2"/>
        <n v="90687.3"/>
        <n v="12281.399999999994"/>
        <n v="23982.300000000017"/>
        <n v="194362.2"/>
        <n v="27596.8"/>
        <n v="18910.7"/>
        <n v="32141.100000000006"/>
        <n v="19940"/>
        <n v="98588.6"/>
        <n v="38576"/>
        <n v="31574.600000000006"/>
        <n v="33734.7"/>
        <n v="33912.999999999985"/>
        <n v="137798.3"/>
        <n v="58818.4"/>
        <n v="31168.200000000004"/>
        <n v="45855.100000000006"/>
        <n v="57097.69999999998"/>
        <n v="192939.4"/>
        <n v="27880.9"/>
        <n v="30525.199999999997"/>
        <n v="34788.700000000004"/>
        <n v="23974.800000000003"/>
        <n v="117169.6"/>
        <n v="13779.9"/>
        <n v="28149.299999999996"/>
        <n v="25536"/>
        <n v="24149.100000000006"/>
        <n v="91614.3"/>
        <n v="39007.6"/>
        <n v="27224.500000000007"/>
        <n v="74344.29999999999"/>
        <n v="98734.20000000001"/>
        <n v="239310.6"/>
        <n v="49840.3"/>
        <n v="33359.59999999999"/>
        <n v="46225.600000000006"/>
        <n v="42582.899999999994"/>
        <n v="172008.4"/>
      </sharedItems>
    </cacheField>
    <cacheField name="投流消耗" numFmtId="0">
      <sharedItems containsSemiMixedTypes="false" containsString="false" containsNumber="true" minValue="5863.219999999987" maxValue="190413.48" count="159">
        <n v="45476.990000000005"/>
        <n v="29149.47"/>
        <n v="17338.080000000016"/>
        <n v="16435.32"/>
        <n v="108399.86000000002"/>
        <n v="32826.81"/>
        <n v="32745.86"/>
        <n v="20882.270000000004"/>
        <n v="27729.36"/>
        <n v="114184.3"/>
        <n v="36851"/>
        <n v="32654.979999999996"/>
        <n v="30855.32000000002"/>
        <n v="28918.22"/>
        <n v="129279.52000000002"/>
        <n v="22350.36"/>
        <n v="28247.589999999997"/>
        <n v="36200.95000000001"/>
        <n v="32464.83"/>
        <n v="119263.73000000001"/>
        <n v="38552.740000000005"/>
        <n v="32186.039999999994"/>
        <n v="31463.08"/>
        <n v="43949.67"/>
        <n v="146151.53"/>
        <n v="70358.31999999999"/>
        <n v="44357.880000000005"/>
        <n v="32151.689999999988"/>
        <n v="41765.68"/>
        <n v="188633.56999999998"/>
        <n v="67582.79999999999"/>
        <n v="35620.869999999995"/>
        <n v="36172.830000000016"/>
        <n v="32408.85"/>
        <n v="171785.35"/>
        <n v="49206.65"/>
        <n v="51680.159999999996"/>
        <n v="38187.71999999997"/>
        <n v="36328.57"/>
        <n v="175403.09999999998"/>
        <n v="41867.729999999996"/>
        <n v="24606.819999999992"/>
        <n v="12943.76"/>
        <n v="26692.340000000026"/>
        <n v="106110.65000000001"/>
        <n v="29121.120000000003"/>
        <n v="27517.21"/>
        <n v="26257.749999999985"/>
        <n v="33739.81"/>
        <n v="116635.88999999998"/>
        <n v="30377.1"/>
        <n v="31218.910000000003"/>
        <n v="33749.51"/>
        <n v="21447.25"/>
        <n v="116792.77"/>
        <n v="40935.88"/>
        <n v="36856.9"/>
        <n v="48999.98000000001"/>
        <n v="47803.63"/>
        <n v="174596.39"/>
        <n v="50760.11"/>
        <n v="32602.39"/>
        <n v="16850.270000000004"/>
        <n v="32754.40000000001"/>
        <n v="36949.98"/>
        <n v="169917.15000000002"/>
        <n v="32006.120000000003"/>
        <n v="30538.71"/>
        <n v="14369.009999999995"/>
        <n v="19448.990000000005"/>
        <n v="25322.63"/>
        <n v="121685.46"/>
        <n v="37627.380000000005"/>
        <n v="40197.78"/>
        <n v="16797.98999999999"/>
        <n v="18619.1"/>
        <n v="24904.54"/>
        <n v="138146.79"/>
        <n v="31322.82"/>
        <n v="17241.879999999997"/>
        <n v="19157.26000000001"/>
        <n v="31726.37"/>
        <n v="99448.33"/>
        <n v="37597.23"/>
        <n v="31237.350000000013"/>
        <n v="17702.679999999993"/>
        <n v="25309.03999999998"/>
        <n v="39059.23"/>
        <n v="150905.53"/>
        <n v="33344.96"/>
        <n v="21322.010000000002"/>
        <n v="17735.329999999987"/>
        <n v="19021.160000000003"/>
        <n v="16168.11"/>
        <n v="107591.56999999999"/>
        <n v="30727.54"/>
        <n v="21304.510000000002"/>
        <n v="16837.770000000004"/>
        <n v="21445.88"/>
        <n v="16527.17"/>
        <n v="106842.87000000001"/>
        <n v="21782.98"/>
        <n v="19596.120000000006"/>
        <n v="16308.229999999989"/>
        <n v="15944.110000000008"/>
        <n v="16978.66"/>
        <n v="90610.1"/>
        <n v="26337.820000000003"/>
        <n v="23639.709999999995"/>
        <n v="29792.64"/>
        <n v="11109.01000000001"/>
        <n v="5863.219999999987"/>
        <n v="96742.4"/>
        <n v="25419.54"/>
        <n v="24430.15000000001"/>
        <n v="24909.929999999986"/>
        <n v="18441.92"/>
        <n v="93201.54"/>
        <n v="27061.920000000002"/>
        <n v="24938.339999999993"/>
        <n v="80462.71"/>
        <n v="19173.589999999997"/>
        <n v="25244.440000000002"/>
        <n v="176881"/>
        <n v="26188.199999999997"/>
        <n v="16719.600000000006"/>
        <n v="30454.679999999993"/>
        <n v="16672.45000000001"/>
        <n v="90034.93000000001"/>
        <n v="29394.469999999998"/>
        <n v="25277.039999999997"/>
        <n v="30763.960000000006"/>
        <n v="30733.430000000022"/>
        <n v="116168.90000000002"/>
        <n v="50432.96"/>
        <n v="30207.57"/>
        <n v="37072.110000000015"/>
        <n v="39478.76999999999"/>
        <n v="157191.41"/>
        <n v="36216.21"/>
        <n v="28586.29"/>
        <n v="31084.619999999995"/>
        <n v="22527.64"/>
        <n v="118414.76"/>
        <n v="16431.7"/>
        <n v="18312.67999999999"/>
        <n v="20468.780000000006"/>
        <n v="23884.23"/>
        <n v="79097.39"/>
        <n v="40978.06"/>
        <n v="28820.630000000005"/>
        <n v="55647.78"/>
        <n v="64967.01"/>
        <n v="190413.48"/>
        <n v="42567.22"/>
        <n v="30061.76000000001"/>
        <n v="37154.07999999999"/>
        <n v="34010.96"/>
        <n v="143794.02"/>
      </sharedItems>
    </cacheField>
    <cacheField name="ROI" numFmtId="0">
      <sharedItems containsSemiMixedTypes="false" containsString="false" containsNumber="true" minValue="0.6016037868720948" maxValue="1.5371480307633842" count="0"/>
    </cacheField>
    <cacheField name="单均" numFmtId="0">
      <sharedItems containsSemiMixedTypes="false" containsString="false" containsNumber="true" minValue="236.55106382978727" maxValue="451.1813559322036" count="0"/>
    </cacheField>
    <cacheField name="保单成本" numFmtId="0">
      <sharedItems containsSemiMixedTypes="false" containsString="false" containsNumber="true" minValue="234.52879999999948" maxValue="563.9291176470588" count="0"/>
    </cacheField>
    <cacheField name="年缴占比" numFmtId="0">
      <sharedItems containsSemiMixedTypes="false" containsString="false" containsNumber="true" minValue="0" maxValue="0.27849814814814816" count="0"/>
    </cacheField>
    <cacheField name="家庭单" numFmtId="0">
      <sharedItems containsSemiMixedTypes="false" containsString="false" containsNumber="true" minValue="2" maxValue="119" count="0"/>
    </cacheField>
    <cacheField name="家庭单占比" numFmtId="0">
      <sharedItems containsSemiMixedTypes="false" containsString="false" containsNumber="true" minValue="0.045454545454545456" maxValue="0.30985915492957744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7" maxValue="20" count="0"/>
    </cacheField>
  </cacheFields>
</pivotCacheDefinition>
</file>

<file path=xl/pivotCache/pivotCacheDefinition9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Q$86" sheet="Sheet11"/>
  </cacheSource>
  <cacheFields count="17">
    <cacheField name="日期" numFmtId="0">
      <sharedItems count="0"/>
    </cacheField>
    <cacheField name="主播" numFmtId="0">
      <sharedItems count="6">
        <s v="杨文"/>
        <s v="郭璐琪"/>
        <s v="王恬"/>
        <s v="高雨辰"/>
        <s v="日总"/>
        <s v="何莎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4" maxValue="20" count="4">
        <n v="5"/>
        <n v="20"/>
        <n v="4"/>
        <n v="6"/>
      </sharedItems>
    </cacheField>
    <cacheField name="年缴保单数" numFmtId="0">
      <sharedItems containsSemiMixedTypes="false" containsString="false" containsNumber="true" containsInteger="true" minValue="3" maxValue="89" count="0"/>
    </cacheField>
    <cacheField name="订单数" numFmtId="0">
      <sharedItems containsSemiMixedTypes="false" containsString="false" containsNumber="true" containsInteger="true" minValue="64" maxValue="765" count="0"/>
    </cacheField>
    <cacheField name="保单数量" numFmtId="0">
      <sharedItems containsSemiMixedTypes="false" containsString="false" containsNumber="true" containsInteger="true" minValue="41" maxValue="468" count="0"/>
    </cacheField>
    <cacheField name="年化保费" numFmtId="0">
      <sharedItems containsSemiMixedTypes="false" containsString="false" containsNumber="true" minValue="10759.199999999997" maxValue="164476.30000000002" count="85">
        <n v="37595.8"/>
        <n v="21861.799999999996"/>
        <n v="27436.700000000004"/>
        <n v="40108.899999999994"/>
        <n v="127003.2"/>
        <n v="45687.2"/>
        <n v="34682.20000000001"/>
        <n v="33546.60000000002"/>
        <n v="46784.40000000002"/>
        <n v="160700.40000000005"/>
        <n v="36605.9"/>
        <n v="35283.799999999996"/>
        <n v="52932.60000000002"/>
        <n v="39654"/>
        <n v="164476.30000000002"/>
        <n v="40066.8"/>
        <n v="31044.800000000003"/>
        <n v="37761.70000000001"/>
        <n v="33313.600000000006"/>
        <n v="142186.90000000002"/>
        <n v="38042.3"/>
        <n v="41465.59999999999"/>
        <n v="24346.90000000001"/>
        <n v="19741.59999999999"/>
        <n v="123596.4"/>
        <n v="21027.9"/>
        <n v="26394.1"/>
        <n v="27588.300000000003"/>
        <n v="21450"/>
        <n v="96460.3"/>
        <n v="33140.7"/>
        <n v="29423.100000000006"/>
        <n v="48906.3"/>
        <n v="47847.5"/>
        <n v="159317.6"/>
        <n v="29049.2"/>
        <n v="31934.399999999998"/>
        <n v="44868.799999999996"/>
        <n v="34693"/>
        <n v="140545.4"/>
        <n v="39259.7"/>
        <n v="32207.800000000003"/>
        <n v="37213.7"/>
        <n v="25301.40000000001"/>
        <n v="133982.6"/>
        <n v="32767.2"/>
        <n v="38502.399999999994"/>
        <n v="31915.199999999997"/>
        <n v="34351.5"/>
        <n v="137536.3"/>
        <n v="27002"/>
        <n v="31089.4"/>
        <n v="35604.00000000001"/>
        <n v="44201.7"/>
        <n v="137897.1"/>
        <n v="35121.6"/>
        <n v="30511.6"/>
        <n v="31630.499999999985"/>
        <n v="39201.600000000006"/>
        <n v="136465.3"/>
        <n v="38202.3"/>
        <n v="32457"/>
        <n v="27317.09999999999"/>
        <n v="28790.600000000006"/>
        <n v="126767"/>
        <n v="32667.5"/>
        <n v="40920.2"/>
        <n v="31240.5"/>
        <n v="35405.3"/>
        <n v="140233.5"/>
        <n v="31294.2"/>
        <n v="29446.099999999995"/>
        <n v="44030.99999999999"/>
        <n v="56004.80000000002"/>
        <n v="160776.1"/>
        <n v="20264"/>
        <n v="23827.699999999997"/>
        <n v="27912.90000000001"/>
        <n v="10759.199999999997"/>
        <n v="82763.8"/>
        <n v="34720"/>
        <n v="24068"/>
        <n v="32663.300000000003"/>
        <n v="24771.800000000003"/>
        <n v="116223.1"/>
      </sharedItems>
    </cacheField>
    <cacheField name="投流消耗" numFmtId="0">
      <sharedItems containsSemiMixedTypes="false" containsString="false" containsNumber="true" minValue="16703.87000000001" maxValue="158269.77000000002" count="85">
        <n v="38296.61"/>
        <n v="17682.990000000005"/>
        <n v="24059.259999999995"/>
        <n v="28501.15"/>
        <n v="108540.01000000001"/>
        <n v="34004.25"/>
        <n v="29700.879999999997"/>
        <n v="36460.30000000001"/>
        <n v="43901.35000000002"/>
        <n v="144066.78000000003"/>
        <n v="33563.68"/>
        <n v="34736.49"/>
        <n v="43388.92"/>
        <n v="40453.8"/>
        <n v="152142.89"/>
        <n v="31812.659999999996"/>
        <n v="29618.32"/>
        <n v="38792.33"/>
        <n v="34414.33"/>
        <n v="134637.64"/>
        <n v="33178.82"/>
        <n v="30613.21"/>
        <n v="31781.820000000007"/>
        <n v="27576.059999999998"/>
        <n v="123149.91"/>
        <n v="19860.21"/>
        <n v="23419.25"/>
        <n v="23707.889999999992"/>
        <n v="24878.9"/>
        <n v="91866.25"/>
        <n v="30571.050000000003"/>
        <n v="32414.130000000005"/>
        <n v="43536.69"/>
        <n v="51747.899999999994"/>
        <n v="158269.77000000002"/>
        <n v="26544.39"/>
        <n v="31491.489999999998"/>
        <n v="46544.74"/>
        <n v="37164"/>
        <n v="141744.62"/>
        <n v="37348.99"/>
        <n v="35316.72000000001"/>
        <n v="38163.259999999995"/>
        <n v="21757.35"/>
        <n v="132586.32"/>
        <n v="31625.359999999997"/>
        <n v="33889.119999999995"/>
        <n v="27679.76000000001"/>
        <n v="25351.97"/>
        <n v="118546.21"/>
        <n v="26437.160000000003"/>
        <n v="25796.190000000002"/>
        <n v="42827.57999999999"/>
        <n v="36007.70999999999"/>
        <n v="131068.63999999998"/>
        <n v="29846.41"/>
        <n v="29043.890000000003"/>
        <n v="34174.2"/>
        <n v="41033.56000000003"/>
        <n v="134098.06000000003"/>
        <n v="36066.78"/>
        <n v="37144.42"/>
        <n v="35798.66"/>
        <n v="22062.37000000001"/>
        <n v="131072.23"/>
        <n v="37274.479999999996"/>
        <n v="38187.14"/>
        <n v="42060.40000000002"/>
        <n v="31187.609999999957"/>
        <n v="148709.62999999998"/>
        <n v="28856.899999999998"/>
        <n v="31606.56"/>
        <n v="43743.52"/>
        <n v="52373.95"/>
        <n v="156580.93"/>
        <n v="27097.64"/>
        <n v="21180.65000000001"/>
        <n v="33938.94999999998"/>
        <n v="16703.87000000001"/>
        <n v="98921.11"/>
        <n v="33168.25"/>
        <n v="22734.92"/>
        <n v="35604.750000000015"/>
        <n v="28321.25999999998"/>
        <n v="119829.18"/>
      </sharedItems>
    </cacheField>
    <cacheField name="ROI" numFmtId="0">
      <sharedItems containsSemiMixedTypes="false" containsString="false" containsNumber="true" minValue="0.6441142082643119" maxValue="1.4072730398597948" count="0"/>
    </cacheField>
    <cacheField name="单均" numFmtId="0">
      <sharedItems containsSemiMixedTypes="false" containsString="false" containsNumber="true" minValue="262.41951219512185" maxValue="420.4192307692307" count="0"/>
    </cacheField>
    <cacheField name="保单成本" numFmtId="0">
      <sharedItems containsSemiMixedTypes="false" containsString="false" containsNumber="true" minValue="239.50546218487395" maxValue="534.3083582089553" count="0"/>
    </cacheField>
    <cacheField name="年缴占比" numFmtId="0">
      <sharedItems containsSemiMixedTypes="false" containsString="false" containsNumber="true" minValue="0.033707865168539325" maxValue="0.40336134453781514" count="0"/>
    </cacheField>
    <cacheField name="家庭单" numFmtId="0">
      <sharedItems containsSemiMixedTypes="false" containsString="false" containsNumber="true" containsInteger="true" minValue="4" maxValue="71" count="0"/>
    </cacheField>
    <cacheField name="家庭单占比" numFmtId="0">
      <sharedItems containsSemiMixedTypes="false" containsString="false" containsNumber="true" minValue="0.056179775280898875" maxValue="0.2602739726027397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0" maxValue="20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_rels/pivotTable5.xml.rels><?xml version="1.0" encoding="UTF-8" standalone="yes"?>
<Relationships xmlns="http://schemas.openxmlformats.org/package/2006/relationships"><Relationship Id="rId1" Target="../pivotCache/pivotCacheDefinition5.xml" Type="http://schemas.openxmlformats.org/officeDocument/2006/relationships/pivotCacheDefinition"></Relationship></Relationships>
</file>

<file path=xl/pivotTables/_rels/pivotTable6.xml.rels><?xml version="1.0" encoding="UTF-8" standalone="yes"?>
<Relationships xmlns="http://schemas.openxmlformats.org/package/2006/relationships"><Relationship Id="rId1" Target="../pivotCache/pivotCacheDefinition6.xml" Type="http://schemas.openxmlformats.org/officeDocument/2006/relationships/pivotCacheDefinition"></Relationship></Relationships>
</file>

<file path=xl/pivotTables/_rels/pivotTable7.xml.rels><?xml version="1.0" encoding="UTF-8" standalone="yes"?>
<Relationships xmlns="http://schemas.openxmlformats.org/package/2006/relationships"><Relationship Id="rId1" Target="../pivotCache/pivotCacheDefinition7.xml" Type="http://schemas.openxmlformats.org/officeDocument/2006/relationships/pivotCacheDefinition"></Relationship></Relationships>
</file>

<file path=xl/pivotTables/_rels/pivotTable8.xml.rels><?xml version="1.0" encoding="UTF-8" standalone="yes"?>
<Relationships xmlns="http://schemas.openxmlformats.org/package/2006/relationships"><Relationship Id="rId1" Target="../pivotCache/pivotCacheDefinition8.xml" Type="http://schemas.openxmlformats.org/officeDocument/2006/relationships/pivotCacheDefinition"></Relationship></Relationships>
</file>

<file path=xl/pivotTables/_rels/pivotTable9.xml.rels><?xml version="1.0" encoding="UTF-8" standalone="yes"?>
<Relationships xmlns="http://schemas.openxmlformats.org/package/2006/relationships"><Relationship Id="rId1" Target="../pivotCache/pivotCacheDefinition9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C$90:$G$96" firstHeaderRow="1" firstDataRow="1" firstDataCol="1"/>
  <pivotFields count="13">
    <pivotField compact="false" outline="false" showAll="false"/>
    <pivotField axis="axisRow" compact="false" outline="false" showAll="false">
      <items count="7">
        <item x="0"/>
        <item x="1"/>
        <item h="true" x="2"/>
        <item x="3"/>
        <item x="4"/>
        <item x="5"/>
        <item t="default"/>
      </items>
    </pivotField>
    <pivotField compact="false" outline="false" showAll="false"/>
    <pivotField dataField="true" compact="false" outline="false" showAll="false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false" outline="false" showAll="false"/>
    <pivotField dataField="true" compact="false" outline="false" showAll="false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true" compact="false" outline="false" showAll="false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dataField="true" compact="false" outline="false" showAll="false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年化保费" fld="6" subtotal="sum"/>
    <dataField name="求和项:投流消耗" fld="7" subtotal="sum"/>
    <dataField name="求和项:保单数量" fld="5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J$155:$N$163" firstHeaderRow="1" firstDataRow="1" firstDataCol="1"/>
  <pivotFields count="18">
    <pivotField compact="false" outline="false" showAll="false"/>
    <pivotField axis="axisRow" compact="false" outline="false" showAll="false">
      <items count="9">
        <item x="0"/>
        <item x="1"/>
        <item x="2"/>
        <item h="true" x="3"/>
        <item x="4"/>
        <item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dataField="true" compact="false" outline="false" showAll="false">
      <items count="1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dataField="true" compact="false" outline="false" showAll="false">
      <items count="1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年化保费" fld="7" subtotal="sum"/>
    <dataField name="求和项:投流消耗" fld="8" subtotal="sum"/>
    <dataField name="求和项:保单数量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E$154:$I$162" firstHeaderRow="1" firstDataRow="1" firstDataCol="1"/>
  <pivotFields count="17">
    <pivotField compact="false" outline="false" showAll="false"/>
    <pivotField axis="axisRow" compact="false" outline="false" showAll="false">
      <items count="9">
        <item x="0"/>
        <item x="1"/>
        <item x="2"/>
        <item x="3"/>
        <item h="true" x="4"/>
        <item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dataField="true" compact="false" outline="false" showAll="false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true" compact="false" outline="false" showAll="false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年化保费" fld="7" subtotal="sum"/>
    <dataField name="求和项:投流消耗" fld="8" subtotal="sum"/>
    <dataField name="求和项:保单数量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C$322:$D$330" firstHeaderRow="1" firstDataRow="1" firstDataCol="1"/>
  <pivotFields count="17">
    <pivotField compact="false" outline="false" showAll="false"/>
    <pivotField axis="axisRow" compact="false" outline="false" showAll="false">
      <items count="9">
        <item x="0"/>
        <item x="1"/>
        <item x="2"/>
        <item x="3"/>
        <item h="true" x="4"/>
        <item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dataFields count="1">
    <dataField name="求和项:直播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 Table5" cacheId="5" dataCaption="值" updatedVersion="3" minRefreshableVersion="3" useAutoFormatting="true" createdVersion="3" compact="false" compactData="false">
  <location ref="$D$150:$H$157" firstHeaderRow="1" firstDataRow="1" firstDataCol="1"/>
  <pivotFields count="18">
    <pivotField compact="false" outline="false" showAll="false"/>
    <pivotField axis="axisRow" compact="false" outline="false" showAll="false">
      <items count="8">
        <item x="0"/>
        <item x="1"/>
        <item x="2"/>
        <item x="3"/>
        <item h="true"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dataField="true" compact="false" outline="false" showAll="false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dataField="true" compact="false" outline="false" showAll="false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年化保费" fld="7" subtotal="sum"/>
    <dataField name="求和项:投流消耗" fld="8" subtotal="sum"/>
    <dataField name="求和项:保单数量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 Table6" cacheId="6" dataCaption="值" updatedVersion="3" minRefreshableVersion="3" useAutoFormatting="true" createdVersion="3" compact="false" compactData="false">
  <location ref="$B$160:$E$170" firstHeaderRow="1" firstDataRow="1" firstDataCol="1"/>
  <pivotFields count="17">
    <pivotField compact="false" outline="false" showAll="false"/>
    <pivotField axis="axisRow" compact="false" outline="false" showAll="false">
      <items count="12">
        <item x="0"/>
        <item x="1"/>
        <item x="2"/>
        <item h="true" x="3"/>
        <item x="4"/>
        <item x="5"/>
        <item x="6"/>
        <item x="7"/>
        <item x="8"/>
        <item x="9"/>
        <item h="true" x="10"/>
        <item t="default"/>
      </items>
    </pivotField>
    <pivotField compact="false" outline="false" showAll="false"/>
    <pivotField dataField="true" compact="false" outline="false" showAll="false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dataField="true" compact="false" outline="false" showAll="false">
      <items count="1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7" subtotal="sum"/>
    <dataField name="求和项:投流消耗" fld="8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 Table7" cacheId="7" dataCaption="值" updatedVersion="3" minRefreshableVersion="3" useAutoFormatting="true" createdVersion="3" compact="false" compactData="false">
  <location ref="$D$178:$G$188" firstHeaderRow="1" firstDataRow="1" firstDataCol="1" rowPageCount="1" colPageCount="2"/>
  <pivotFields count="17">
    <pivotField compact="false" outline="false" showAll="false"/>
    <pivotField axis="axisRow" compact="false" outline="false" showAll="false">
      <items count="11">
        <item x="0"/>
        <item x="1"/>
        <item x="2"/>
        <item x="3"/>
        <item x="4"/>
        <item h="true" x="5"/>
        <item x="6"/>
        <item x="7"/>
        <item x="8"/>
        <item x="9"/>
        <item t="default"/>
      </items>
    </pivotField>
    <pivotField axis="axisPage" compact="false" outline="false" showAll="false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true" compact="false" outline="false" showAll="false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dataField="true" compact="false" outline="false" showAll="false">
      <items count="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pageFields count="1">
    <pageField fld="2"/>
  </pageFields>
  <dataFields count="3">
    <dataField name="求和项:直播时长" fld="3" subtotal="sum"/>
    <dataField name="求和项:投流消耗" fld="8" subtotal="sum"/>
    <dataField name="求和项:年化保费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 Table8" cacheId="8" dataCaption="值" updatedVersion="3" minRefreshableVersion="3" useAutoFormatting="true" createdVersion="3" compact="false" compactData="false">
  <location ref="$C$181:$F$189" firstHeaderRow="1" firstDataRow="1" firstDataCol="1"/>
  <pivotFields count="17">
    <pivotField compact="false" outline="false" showAll="false"/>
    <pivotField axis="axisRow" compact="false" outline="false" showAll="false">
      <items count="9">
        <item x="0"/>
        <item x="1"/>
        <item x="2"/>
        <item x="3"/>
        <item h="true" x="4"/>
        <item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dataField="true" compact="false" outline="false" showAll="false">
      <items count="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7" subtotal="sum"/>
    <dataField name="求和项:投流消耗" fld="8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 Table9" cacheId="9" dataCaption="值" updatedVersion="3" minRefreshableVersion="3" useAutoFormatting="true" createdVersion="3" compact="false" compactData="false">
  <location ref="$C$96:$F$103" firstHeaderRow="1" firstDataRow="1" firstDataCol="1"/>
  <pivotFields count="17">
    <pivotField compact="false" outline="false" showAll="false"/>
    <pivotField axis="axisRow" compact="false" outline="false" showAll="false">
      <items count="7">
        <item x="0"/>
        <item x="1"/>
        <item x="2"/>
        <item x="3"/>
        <item x="4"/>
        <item x="5"/>
        <item t="default"/>
      </items>
    </pivotField>
    <pivotField compact="false" outline="false" showAll="false"/>
    <pivotField dataField="true" compact="false" outline="false" showAll="false">
      <items count="5">
        <item x="0"/>
        <item x="1"/>
        <item x="2"/>
        <item x="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dataField="true" compact="false" outline="false" showAll="false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7" subtotal="sum"/>
    <dataField name="求和项:投流消耗" fld="8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Relationship Id="rId2" Target="../pivotTables/pivotTable4.xml" Type="http://schemas.openxmlformats.org/officeDocument/2006/relationships/pivotTable"></Relationship></Relationships>
</file>

<file path=xl/worksheets/_rels/sheet6.xml.rels><?xml version="1.0" encoding="UTF-8" standalone="yes"?>
<Relationships xmlns="http://schemas.openxmlformats.org/package/2006/relationships"><Relationship Id="rId1" Target="../pivotTables/pivotTable5.xml" Type="http://schemas.openxmlformats.org/officeDocument/2006/relationships/pivotTable"></Relationship></Relationships>
</file>

<file path=xl/worksheets/_rels/sheet8.xml.rels><?xml version="1.0" encoding="UTF-8" standalone="yes"?>
<Relationships xmlns="http://schemas.openxmlformats.org/package/2006/relationships"><Relationship Id="rId1" Target="../pivotTables/pivotTable6.xml" Type="http://schemas.openxmlformats.org/officeDocument/2006/relationships/pivotTable"></Relationship></Relationships>
</file>

<file path=xl/worksheets/_rels/sheet9.xml.rels><?xml version="1.0" encoding="UTF-8" standalone="yes"?>
<Relationships xmlns="http://schemas.openxmlformats.org/package/2006/relationships"><Relationship Id="rId1" Target="../pivotTables/pivotTable7.xml" Type="http://schemas.openxmlformats.org/officeDocument/2006/relationships/pivotTable"></Relationship></Relationships>
</file>

<file path=xl/worksheets/_rels/sheet10.xml.rels><?xml version="1.0" encoding="UTF-8" standalone="yes"?>
<Relationships xmlns="http://schemas.openxmlformats.org/package/2006/relationships"><Relationship Id="rId1" Target="../pivotTables/pivotTable8.xml" Type="http://schemas.openxmlformats.org/officeDocument/2006/relationships/pivotTable"></Relationship></Relationships>
</file>

<file path=xl/worksheets/_rels/sheet12.xml.rels><?xml version="1.0" encoding="UTF-8" standalone="yes"?>
<Relationships xmlns="http://schemas.openxmlformats.org/package/2006/relationships"><Relationship Id="rId1" Target="../pivotTables/pivotTable9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8.044784330985916"/>
    <col collapsed="false" customWidth="true" hidden="false" max="14" min="14" style="0" width="18.044784330985916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8.044784330985916"/>
    <col collapsed="false" customWidth="true" hidden="false" max="15" min="15" style="0" width="11.211267605633802"/>
    <col collapsed="false" customWidth="true" hidden="false" max="4" min="4" style="0" width="11.211267605633802"/>
    <col collapsed="false" customWidth="true" hidden="false" max="8" min="8" style="0" width="18.044784330985916"/>
    <col collapsed="false" customWidth="true" hidden="false" max="12" min="12" style="0" width="18.044784330985916"/>
    <col collapsed="false" customWidth="true" hidden="false" max="16" min="16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8.044784330985916"/>
    <col collapsed="false" customWidth="true" hidden="false" max="13" min="13" style="0" width="18.044784330985916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2" t="s">
        <v>13</v>
      </c>
      <c r="N1" s="4"/>
      <c r="O1" s="4"/>
      <c r="P1" s="4"/>
    </row>
    <row r="2">
      <c r="A2" s="5">
        <v>46052</v>
      </c>
      <c r="B2" s="6" t="s">
        <v>14</v>
      </c>
      <c r="C2" s="7" t="s">
        <v>15</v>
      </c>
      <c r="D2" s="6">
        <v>2</v>
      </c>
      <c r="E2" s="6">
        <v>6</v>
      </c>
      <c r="F2" s="6">
        <v>1</v>
      </c>
      <c r="G2" s="6">
        <v>228</v>
      </c>
      <c r="H2" s="6">
        <v>1228.29</v>
      </c>
      <c r="I2" s="8">
        <f t="shared" ref="I2:I7" si="0">G2/H2</f>
      </c>
      <c r="J2" s="8">
        <f t="shared" ref="J2:J7" si="1">G2/F2</f>
      </c>
      <c r="K2" s="9">
        <f t="shared" ref="K2:K7" si="2">H2/F2</f>
      </c>
      <c r="L2" s="6" t="s">
        <v>16</v>
      </c>
      <c r="M2" s="6">
        <v>5</v>
      </c>
      <c r="N2" s="4"/>
      <c r="O2" s="4"/>
      <c r="P2" s="4"/>
    </row>
    <row customHeight="true" ht="16.071428571428573" r="3">
      <c r="A3" s="5">
        <v>46052</v>
      </c>
      <c r="B3" s="10" t="s">
        <v>17</v>
      </c>
      <c r="C3" s="7" t="s">
        <v>18</v>
      </c>
      <c r="D3" s="6">
        <v>3</v>
      </c>
      <c r="E3" s="6">
        <v>0</v>
      </c>
      <c r="F3" s="6">
        <v>0</v>
      </c>
      <c r="G3" s="6">
        <v>0</v>
      </c>
      <c r="H3" s="6">
        <v>1645.84</v>
      </c>
      <c r="I3" s="8">
        <f t="shared" si="0"/>
      </c>
      <c r="J3" s="8">
        <f t="shared" si="1"/>
      </c>
      <c r="K3" s="9">
        <f t="shared" si="2"/>
      </c>
      <c r="L3" s="11"/>
      <c r="M3" s="11"/>
      <c r="N3" s="4"/>
      <c r="O3" s="4"/>
      <c r="P3" s="4"/>
    </row>
    <row r="4">
      <c r="A4" s="12">
        <v>46052</v>
      </c>
      <c r="B4" s="13"/>
      <c r="C4" s="13"/>
      <c r="D4" s="14">
        <f>SUM(D2:D3)</f>
      </c>
      <c r="E4" s="14">
        <f>SUM(E2:E3)</f>
      </c>
      <c r="F4" s="14">
        <f>SUM(F2:F3)</f>
      </c>
      <c r="G4" s="14">
        <f>SUM(G2:G3)</f>
      </c>
      <c r="H4" s="14">
        <f>SUM(H2:H3)</f>
      </c>
      <c r="I4" s="15">
        <f t="shared" si="0"/>
      </c>
      <c r="J4" s="16">
        <f t="shared" si="1"/>
      </c>
      <c r="K4" s="16">
        <f t="shared" si="2"/>
      </c>
      <c r="L4" s="17"/>
      <c r="M4" s="17"/>
      <c r="N4" s="4"/>
      <c r="O4" s="4"/>
      <c r="P4" s="4"/>
    </row>
    <row r="5">
      <c r="A5" s="5">
        <v>46053</v>
      </c>
      <c r="B5" s="6" t="s">
        <v>19</v>
      </c>
      <c r="C5" s="7" t="s">
        <v>20</v>
      </c>
      <c r="D5" s="6">
        <v>3</v>
      </c>
      <c r="E5" s="6">
        <v>1</v>
      </c>
      <c r="F5" s="6">
        <v>0</v>
      </c>
      <c r="G5" s="6">
        <v>0</v>
      </c>
      <c r="H5" s="6">
        <v>1488.49</v>
      </c>
      <c r="I5" s="8">
        <f t="shared" si="0"/>
      </c>
      <c r="J5" s="8">
        <f t="shared" si="1"/>
      </c>
      <c r="K5" s="9">
        <f t="shared" si="2"/>
      </c>
      <c r="L5" s="6" t="s">
        <v>21</v>
      </c>
      <c r="M5" s="6">
        <v>6</v>
      </c>
      <c r="N5" s="4"/>
      <c r="O5" s="4"/>
      <c r="P5" s="4"/>
    </row>
    <row r="6">
      <c r="A6" s="5">
        <v>46053</v>
      </c>
      <c r="B6" s="10" t="s">
        <v>17</v>
      </c>
      <c r="C6" s="7" t="s">
        <v>22</v>
      </c>
      <c r="D6" s="6">
        <v>3</v>
      </c>
      <c r="E6" s="6">
        <v>17</v>
      </c>
      <c r="F6" s="6">
        <v>10</v>
      </c>
      <c r="G6" s="6">
        <v>4422.2</v>
      </c>
      <c r="H6" s="6">
        <v>6915.14</v>
      </c>
      <c r="I6" s="8">
        <f t="shared" si="0"/>
      </c>
      <c r="J6" s="8">
        <f t="shared" si="1"/>
      </c>
      <c r="K6" s="9">
        <f t="shared" si="2"/>
      </c>
      <c r="L6" s="11"/>
      <c r="M6" s="11"/>
      <c r="N6" s="4"/>
      <c r="O6" s="4"/>
      <c r="P6" s="4"/>
    </row>
    <row r="7">
      <c r="A7" s="12">
        <v>46053</v>
      </c>
      <c r="B7" s="13"/>
      <c r="C7" s="13"/>
      <c r="D7" s="14">
        <f>SUM(D5:D6)</f>
      </c>
      <c r="E7" s="14">
        <f>SUM(E5:E6)</f>
      </c>
      <c r="F7" s="14">
        <f>SUM(F5:F6)</f>
      </c>
      <c r="G7" s="14">
        <f>SUM(G5:G6)</f>
      </c>
      <c r="H7" s="14">
        <f>SUM(H5:H6)</f>
      </c>
      <c r="I7" s="15">
        <f t="shared" si="0"/>
      </c>
      <c r="J7" s="16">
        <f t="shared" si="1"/>
      </c>
      <c r="K7" s="16">
        <f t="shared" si="2"/>
      </c>
      <c r="L7" s="17"/>
      <c r="M7" s="17"/>
      <c r="N7" s="4"/>
      <c r="O7" s="4"/>
      <c r="P7" s="4"/>
    </row>
    <row r="8">
      <c r="A8" s="18"/>
      <c r="B8" s="4"/>
      <c r="C8" s="4"/>
      <c r="D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>
      <c r="K9" s="4"/>
      <c r="L9" s="4"/>
      <c r="M9" s="4"/>
      <c r="N9" s="4"/>
      <c r="O9" s="4"/>
      <c r="P9" s="4"/>
    </row>
    <row r="10">
      <c r="K10" s="4"/>
      <c r="L10" s="4"/>
      <c r="M10" s="4"/>
      <c r="N10" s="4"/>
      <c r="O10" s="4"/>
      <c r="P10" s="4"/>
    </row>
    <row r="11">
      <c r="K11" s="4"/>
      <c r="L11" s="4"/>
      <c r="M11" s="4"/>
      <c r="N11" s="4"/>
      <c r="O11" s="4"/>
      <c r="P11" s="4"/>
    </row>
    <row r="12">
      <c r="K12" s="4"/>
      <c r="L12" s="4"/>
      <c r="M12" s="4"/>
      <c r="N12" s="4"/>
      <c r="O12" s="4"/>
      <c r="P12" s="4"/>
    </row>
    <row r="13">
      <c r="K13" s="4"/>
      <c r="L13" s="4"/>
      <c r="M13" s="4"/>
      <c r="N13" s="4"/>
      <c r="O13" s="4"/>
      <c r="P13" s="4"/>
    </row>
    <row r="14">
      <c r="K14" s="4"/>
      <c r="L14" s="4"/>
      <c r="M14" s="4"/>
      <c r="N14" s="4"/>
      <c r="O14" s="4"/>
      <c r="P14" s="4"/>
    </row>
    <row r="15">
      <c r="K15" s="4"/>
      <c r="L15" s="4"/>
      <c r="M15" s="4"/>
      <c r="N15" s="4"/>
      <c r="O15" s="4"/>
      <c r="P15" s="4"/>
    </row>
    <row r="16">
      <c r="K16" s="4"/>
      <c r="L16" s="4"/>
      <c r="M16" s="4"/>
      <c r="N16" s="4"/>
      <c r="O16" s="4"/>
      <c r="P16" s="4"/>
    </row>
    <row r="17">
      <c r="K17" s="4"/>
      <c r="L17" s="4"/>
      <c r="M17" s="4"/>
      <c r="N17" s="4"/>
      <c r="O17" s="4"/>
      <c r="P17" s="4"/>
    </row>
    <row r="18">
      <c r="K18" s="4"/>
      <c r="L18" s="4"/>
      <c r="M18" s="4"/>
      <c r="N18" s="4"/>
      <c r="O18" s="4"/>
      <c r="P18" s="4"/>
    </row>
    <row r="19">
      <c r="K19" s="4"/>
      <c r="L19" s="4"/>
      <c r="M19" s="4"/>
      <c r="N19" s="4"/>
      <c r="O19" s="4"/>
      <c r="P19" s="4"/>
    </row>
    <row r="20">
      <c r="K20" s="4"/>
      <c r="L20" s="4"/>
      <c r="M20" s="4"/>
      <c r="N20" s="4"/>
      <c r="O20" s="4"/>
      <c r="P20" s="4"/>
    </row>
    <row r="21">
      <c r="K21" s="4"/>
      <c r="L21" s="4"/>
      <c r="M21" s="4"/>
      <c r="N21" s="4"/>
      <c r="O21" s="4"/>
      <c r="P21" s="4"/>
    </row>
    <row r="22">
      <c r="K22" s="4"/>
      <c r="L22" s="4"/>
      <c r="M22" s="4"/>
      <c r="N22" s="4"/>
      <c r="O22" s="4"/>
      <c r="P22" s="4"/>
    </row>
    <row r="23">
      <c r="K23" s="4"/>
      <c r="L23" s="4"/>
      <c r="M23" s="4"/>
      <c r="N23" s="4"/>
      <c r="O23" s="4"/>
      <c r="P23" s="4"/>
    </row>
    <row r="24">
      <c r="K24" s="4"/>
      <c r="L24" s="4"/>
      <c r="M24" s="4"/>
      <c r="N24" s="4"/>
      <c r="O24" s="4"/>
      <c r="P24" s="4"/>
    </row>
    <row r="25">
      <c r="K25" s="4"/>
      <c r="L25" s="4"/>
      <c r="M25" s="4"/>
      <c r="N25" s="4"/>
      <c r="O25" s="4"/>
      <c r="P25" s="4"/>
    </row>
    <row r="26">
      <c r="K26" s="4"/>
      <c r="L26" s="4"/>
      <c r="M26" s="4"/>
      <c r="N26" s="4"/>
      <c r="O26" s="4"/>
      <c r="P26" s="4"/>
    </row>
    <row r="27">
      <c r="K27" s="4"/>
      <c r="L27" s="4"/>
      <c r="M27" s="4"/>
      <c r="N27" s="4"/>
      <c r="O27" s="4"/>
      <c r="P27" s="4"/>
    </row>
    <row r="28">
      <c r="K28" s="4"/>
      <c r="L28" s="4"/>
      <c r="M28" s="4"/>
      <c r="N28" s="4"/>
      <c r="O28" s="4"/>
      <c r="P28" s="4"/>
    </row>
    <row r="29">
      <c r="K29" s="4"/>
      <c r="L29" s="4"/>
      <c r="M29" s="4"/>
      <c r="N29" s="4"/>
      <c r="O29" s="4"/>
      <c r="P29" s="4"/>
    </row>
    <row r="30">
      <c r="K30" s="4"/>
      <c r="L30" s="4"/>
      <c r="M30" s="4"/>
      <c r="N30" s="4"/>
      <c r="O30" s="4"/>
      <c r="P30" s="4"/>
    </row>
    <row r="31">
      <c r="K31" s="4"/>
      <c r="L31" s="4"/>
      <c r="M31" s="4"/>
      <c r="N31" s="4"/>
      <c r="O31" s="4"/>
      <c r="P31" s="4"/>
    </row>
    <row r="32">
      <c r="K32" s="4"/>
      <c r="L32" s="4"/>
      <c r="M32" s="4"/>
      <c r="N32" s="4"/>
      <c r="O32" s="4"/>
      <c r="P32" s="4"/>
    </row>
    <row r="33">
      <c r="K33" s="4"/>
      <c r="L33" s="4"/>
      <c r="M33" s="4"/>
      <c r="N33" s="4"/>
      <c r="O33" s="4"/>
      <c r="P33" s="4"/>
    </row>
    <row r="34">
      <c r="K34" s="4"/>
      <c r="L34" s="4"/>
      <c r="M34" s="4"/>
      <c r="N34" s="4"/>
      <c r="O34" s="4"/>
      <c r="P34" s="4"/>
    </row>
    <row r="35">
      <c r="K35" s="4"/>
      <c r="L35" s="4"/>
      <c r="M35" s="4"/>
      <c r="N35" s="4"/>
      <c r="O35" s="4"/>
      <c r="P35" s="4"/>
    </row>
    <row r="36">
      <c r="K36" s="4"/>
      <c r="L36" s="4"/>
      <c r="M36" s="4"/>
      <c r="N36" s="4"/>
      <c r="O36" s="4"/>
      <c r="P36" s="4"/>
    </row>
    <row r="37">
      <c r="K37" s="4"/>
      <c r="L37" s="4"/>
      <c r="M37" s="4"/>
      <c r="N37" s="4"/>
      <c r="O37" s="4"/>
      <c r="P37" s="4"/>
    </row>
    <row r="38">
      <c r="K38" s="4"/>
      <c r="L38" s="4"/>
      <c r="M38" s="4"/>
      <c r="N38" s="4"/>
      <c r="O38" s="4"/>
      <c r="P38" s="4"/>
    </row>
    <row r="39">
      <c r="K39" s="4"/>
      <c r="L39" s="4"/>
      <c r="M39" s="4"/>
      <c r="N39" s="4"/>
      <c r="O39" s="4"/>
      <c r="P39" s="4"/>
    </row>
    <row r="40">
      <c r="K40" s="4"/>
      <c r="L40" s="4"/>
      <c r="M40" s="4"/>
      <c r="N40" s="4"/>
      <c r="O40" s="4"/>
      <c r="P40" s="4"/>
    </row>
    <row r="41">
      <c r="K41" s="4"/>
      <c r="L41" s="4"/>
      <c r="M41" s="4"/>
      <c r="N41" s="4"/>
      <c r="O41" s="4"/>
      <c r="P41" s="4"/>
    </row>
    <row r="42">
      <c r="K42" s="4"/>
      <c r="L42" s="4"/>
      <c r="M42" s="4"/>
      <c r="N42" s="4"/>
      <c r="O42" s="4"/>
      <c r="P42" s="4"/>
    </row>
    <row r="43">
      <c r="K43" s="4"/>
      <c r="L43" s="4"/>
      <c r="M43" s="4"/>
      <c r="N43" s="4"/>
      <c r="O43" s="4"/>
      <c r="P43" s="4"/>
    </row>
    <row r="44">
      <c r="K44" s="4"/>
      <c r="L44" s="4"/>
      <c r="M44" s="4"/>
      <c r="N44" s="4"/>
      <c r="O44" s="4"/>
      <c r="P44" s="4"/>
    </row>
    <row r="45">
      <c r="K45" s="4"/>
      <c r="L45" s="4"/>
      <c r="M45" s="4"/>
      <c r="N45" s="4"/>
      <c r="O45" s="4"/>
      <c r="P45" s="4"/>
    </row>
    <row r="46">
      <c r="K46" s="4"/>
      <c r="L46" s="4"/>
      <c r="M46" s="4"/>
      <c r="N46" s="4"/>
      <c r="O46" s="4"/>
      <c r="P46" s="4"/>
    </row>
    <row r="47">
      <c r="K47" s="4"/>
      <c r="L47" s="4"/>
      <c r="M47" s="4"/>
      <c r="N47" s="4"/>
      <c r="O47" s="4"/>
      <c r="P47" s="4"/>
    </row>
    <row r="48">
      <c r="K48" s="4"/>
      <c r="L48" s="4"/>
      <c r="M48" s="4"/>
      <c r="N48" s="4"/>
      <c r="O48" s="4"/>
      <c r="P48" s="4"/>
    </row>
    <row r="49">
      <c r="K49" s="4"/>
      <c r="L49" s="4"/>
      <c r="M49" s="4"/>
      <c r="N49" s="4"/>
      <c r="O49" s="4"/>
      <c r="P49" s="4"/>
    </row>
    <row r="50">
      <c r="K50" s="4"/>
      <c r="L50" s="4"/>
      <c r="M50" s="4"/>
      <c r="N50" s="4"/>
      <c r="O50" s="4"/>
      <c r="P50" s="4"/>
    </row>
    <row r="51">
      <c r="K51" s="4"/>
      <c r="L51" s="4"/>
      <c r="M51" s="4"/>
      <c r="N51" s="4"/>
      <c r="O51" s="4"/>
      <c r="P51" s="4"/>
    </row>
    <row r="52">
      <c r="K52" s="4"/>
      <c r="L52" s="4"/>
      <c r="M52" s="4"/>
      <c r="N52" s="4"/>
      <c r="O52" s="4"/>
      <c r="P52" s="4"/>
    </row>
    <row r="53">
      <c r="K53" s="4"/>
      <c r="L53" s="4"/>
      <c r="M53" s="4"/>
      <c r="N53" s="4"/>
      <c r="O53" s="4"/>
      <c r="P53" s="4"/>
    </row>
    <row r="54">
      <c r="K54" s="4"/>
      <c r="L54" s="4"/>
      <c r="M54" s="4"/>
      <c r="N54" s="4"/>
      <c r="O54" s="4"/>
      <c r="P54" s="4"/>
    </row>
    <row r="55">
      <c r="K55" s="4"/>
      <c r="L55" s="4"/>
      <c r="M55" s="4"/>
      <c r="N55" s="4"/>
      <c r="O55" s="4"/>
      <c r="P55" s="4"/>
    </row>
    <row r="56">
      <c r="A56" s="1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>
      <c r="A57" s="1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>
      <c r="A58" s="1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>
      <c r="A59" s="1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>
      <c r="A60" s="1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>
      <c r="A61" s="1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>
      <c r="A62" s="1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>
      <c r="A63" s="1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>
      <c r="A64" s="1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>
      <c r="A65" s="1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>
      <c r="A66" s="1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>
      <c r="A67" s="1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>
      <c r="A68" s="1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A69" s="1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>
      <c r="A70" s="1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>
      <c r="A71" s="1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A72" s="1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>
      <c r="A73" s="1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>
      <c r="A74" s="1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>
      <c r="A75" s="18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>
      <c r="A76" s="1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>
      <c r="A77" s="1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>
      <c r="A78" s="1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>
      <c r="A79" s="1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>
      <c r="A80" s="1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>
      <c r="A81" s="1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>
      <c r="A82" s="1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>
      <c r="A83" s="1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>
      <c r="A84" s="18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>
      <c r="A85" s="1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>
      <c r="A86" s="1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>
      <c r="A87" s="1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>
      <c r="A88" s="1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>
      <c r="A89" s="1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>
      <c r="A90" s="1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>
      <c r="A91" s="1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>
      <c r="A92" s="1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>
      <c r="A93" s="1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>
      <c r="A94" s="1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>
      <c r="A95" s="1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>
      <c r="A96" s="18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>
      <c r="A97" s="1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>
      <c r="A98" s="1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>
      <c r="A99" s="18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>
      <c r="A100" s="18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>
      <c r="A101" s="18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>
      <c r="A102" s="18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>
      <c r="A103" s="18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>
      <c r="A104" s="18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>
      <c r="A105" s="18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>
      <c r="A106" s="18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>
      <c r="A107" s="18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>
      <c r="A108" s="18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>
      <c r="A109" s="18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>
      <c r="A110" s="18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>
      <c r="A111" s="18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>
      <c r="A112" s="18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>
      <c r="A113" s="18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>
      <c r="A114" s="18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>
      <c r="A115" s="18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>
      <c r="A116" s="18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>
      <c r="A117" s="18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>
      <c r="A118" s="18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>
      <c r="A119" s="18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>
      <c r="A120" s="18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>
      <c r="A121" s="18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>
      <c r="A122" s="18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>
      <c r="A123" s="18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>
      <c r="A124" s="18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>
      <c r="A125" s="18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>
      <c r="A126" s="18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>
      <c r="A127" s="18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>
      <c r="A128" s="18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>
      <c r="A129" s="18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>
      <c r="A130" s="18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>
      <c r="A131" s="18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>
      <c r="A132" s="18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>
      <c r="A133" s="18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>
      <c r="A134" s="18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>
      <c r="A135" s="18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>
      <c r="A136" s="18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>
      <c r="A137" s="18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>
      <c r="A138" s="18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>
      <c r="A139" s="18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>
      <c r="A140" s="18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>
      <c r="A141" s="18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>
      <c r="A142" s="18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>
      <c r="A143" s="18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>
      <c r="A144" s="18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>
      <c r="A145" s="18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>
      <c r="A146" s="18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>
      <c r="A147" s="18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>
      <c r="A148" s="18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>
      <c r="A149" s="18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>
      <c r="A150" s="18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>
      <c r="A151" s="18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>
      <c r="A152" s="18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>
      <c r="A153" s="18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>
      <c r="A154" s="18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>
      <c r="A155" s="18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>
      <c r="A156" s="18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>
      <c r="A157" s="18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>
      <c r="A158" s="18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>
      <c r="A159" s="18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>
      <c r="A160" s="18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>
      <c r="A161" s="18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>
      <c r="A162" s="18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>
      <c r="A163" s="18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>
      <c r="A164" s="18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>
      <c r="A165" s="18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>
      <c r="A166" s="18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>
      <c r="A167" s="18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>
      <c r="A168" s="18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>
      <c r="A169" s="18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>
      <c r="A170" s="18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>
      <c r="A171" s="18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>
      <c r="A172" s="18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>
      <c r="A173" s="18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>
      <c r="A174" s="18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>
      <c r="A175" s="18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>
      <c r="A176" s="18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>
      <c r="A177" s="18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>
      <c r="A178" s="18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>
      <c r="A179" s="18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>
      <c r="A180" s="18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>
      <c r="A181" s="18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>
      <c r="A182" s="18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>
      <c r="A183" s="18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>
      <c r="A184" s="18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>
      <c r="A185" s="18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>
      <c r="A186" s="18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>
      <c r="A187" s="18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>
      <c r="A188" s="18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>
      <c r="A189" s="18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>
      <c r="A190" s="18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>
      <c r="A191" s="18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>
      <c r="A192" s="18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>
      <c r="A193" s="18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>
      <c r="A194" s="18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>
      <c r="A195" s="18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>
      <c r="A196" s="18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>
      <c r="A197" s="18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>
      <c r="A198" s="18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>
      <c r="A199" s="18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>
      <c r="A200" s="18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>
      <c r="A201" s="18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</sheetData>
  <autoFilter ref="A1:P20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2" xSplit="4" ySplit="1"/>
    </sheetView>
  </sheetViews>
  <sheetFormatPr defaultRowHeight="16"/>
  <cols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</cols>
  <sheetData>
    <row r="1">
      <c r="A1" s="19" t="s">
        <v>23</v>
      </c>
      <c r="B1" s="20" t="s">
        <v>24</v>
      </c>
      <c r="C1" s="20" t="s">
        <v>25</v>
      </c>
      <c r="D1" s="20" t="s">
        <v>26</v>
      </c>
      <c r="E1" s="20" t="s">
        <v>27</v>
      </c>
      <c r="F1" s="20" t="s">
        <v>28</v>
      </c>
      <c r="G1" s="20" t="s">
        <v>29</v>
      </c>
      <c r="H1" s="20" t="s">
        <v>30</v>
      </c>
      <c r="I1" s="21" t="s">
        <v>31</v>
      </c>
      <c r="J1" s="21" t="s">
        <v>32</v>
      </c>
      <c r="K1" s="21" t="s">
        <v>33</v>
      </c>
      <c r="L1" s="21" t="s">
        <v>34</v>
      </c>
      <c r="M1" s="20" t="s">
        <v>35</v>
      </c>
      <c r="N1" s="22"/>
      <c r="O1" s="22"/>
      <c r="P1" s="22"/>
    </row>
    <row r="2">
      <c r="A2" s="23">
        <v>46054</v>
      </c>
      <c r="B2" s="24" t="s">
        <v>36</v>
      </c>
      <c r="C2" s="25" t="s">
        <v>37</v>
      </c>
      <c r="D2" s="26">
        <v>3</v>
      </c>
      <c r="E2" s="26">
        <v>12</v>
      </c>
      <c r="F2" s="26">
        <v>8</v>
      </c>
      <c r="G2" s="26">
        <v>2328</v>
      </c>
      <c r="H2" s="26">
        <v>4774.48</v>
      </c>
      <c r="I2" s="27">
        <f t="shared" ref="I2:I84" si="2">G2/H2</f>
      </c>
      <c r="J2" s="27">
        <f t="shared" ref="J2:J84" si="0">G2/F2</f>
      </c>
      <c r="K2" s="28">
        <f t="shared" ref="K2:K84" si="1">H2/F2</f>
      </c>
      <c r="L2" s="26" t="s">
        <v>38</v>
      </c>
      <c r="M2" s="26">
        <v>6</v>
      </c>
      <c r="N2" s="22"/>
      <c r="O2" s="22"/>
      <c r="P2" s="22"/>
    </row>
    <row r="3">
      <c r="A3" s="23">
        <v>46054</v>
      </c>
      <c r="B3" s="29" t="s">
        <v>39</v>
      </c>
      <c r="C3" s="25" t="s">
        <v>40</v>
      </c>
      <c r="D3" s="26">
        <v>3</v>
      </c>
      <c r="E3" s="26">
        <v>22</v>
      </c>
      <c r="F3" s="26">
        <v>10</v>
      </c>
      <c r="G3" s="26">
        <v>2003.5</v>
      </c>
      <c r="H3" s="26">
        <v>5666.53</v>
      </c>
      <c r="I3" s="27">
        <f t="shared" si="2"/>
      </c>
      <c r="J3" s="27">
        <f t="shared" si="0"/>
      </c>
      <c r="K3" s="28">
        <f t="shared" si="1"/>
      </c>
      <c r="L3" s="30"/>
      <c r="M3" s="30"/>
      <c r="N3" s="22"/>
      <c r="O3" s="22"/>
      <c r="P3" s="22"/>
    </row>
    <row r="4">
      <c r="A4" s="31">
        <v>46054</v>
      </c>
      <c r="B4" s="32"/>
      <c r="C4" s="32"/>
      <c r="D4" s="33">
        <f>SUM(D2:D3)</f>
      </c>
      <c r="E4" s="33">
        <f>SUM(E2:E3)</f>
      </c>
      <c r="F4" s="33">
        <f>SUM(F2:F3)</f>
      </c>
      <c r="G4" s="33">
        <f>SUM(G2:G3)</f>
      </c>
      <c r="H4" s="33">
        <f>SUM(H2:H3)</f>
      </c>
      <c r="I4" s="34">
        <f t="shared" si="2"/>
      </c>
      <c r="J4" s="35">
        <f t="shared" si="0"/>
      </c>
      <c r="K4" s="35">
        <f t="shared" si="1"/>
      </c>
      <c r="L4" s="36"/>
      <c r="M4" s="33">
        <f>SUM(M2:M3)</f>
      </c>
      <c r="N4" s="22"/>
      <c r="O4" s="22"/>
      <c r="P4" s="22"/>
    </row>
    <row r="5">
      <c r="A5" s="23">
        <v>46055</v>
      </c>
      <c r="B5" s="29" t="s">
        <v>39</v>
      </c>
      <c r="C5" s="25" t="s">
        <v>37</v>
      </c>
      <c r="D5" s="26">
        <v>3</v>
      </c>
      <c r="E5" s="26">
        <v>20</v>
      </c>
      <c r="F5" s="26">
        <v>7</v>
      </c>
      <c r="G5" s="26">
        <v>3300</v>
      </c>
      <c r="H5" s="26">
        <v>7035.85</v>
      </c>
      <c r="I5" s="27">
        <f t="shared" si="2"/>
      </c>
      <c r="J5" s="27">
        <f t="shared" si="0"/>
      </c>
      <c r="K5" s="28">
        <f t="shared" si="1"/>
      </c>
      <c r="L5" s="26" t="s">
        <v>38</v>
      </c>
      <c r="M5" s="26">
        <v>6</v>
      </c>
      <c r="N5" s="22"/>
      <c r="O5" s="22"/>
      <c r="P5" s="22"/>
    </row>
    <row r="6">
      <c r="A6" s="23">
        <v>46055</v>
      </c>
      <c r="B6" s="29" t="s">
        <v>41</v>
      </c>
      <c r="C6" s="25" t="s">
        <v>40</v>
      </c>
      <c r="D6" s="26">
        <v>3</v>
      </c>
      <c r="E6" s="26">
        <v>22</v>
      </c>
      <c r="F6" s="26">
        <v>9</v>
      </c>
      <c r="G6" s="26">
        <v>1956</v>
      </c>
      <c r="H6" s="26">
        <v>4261.04</v>
      </c>
      <c r="I6" s="27">
        <f t="shared" si="2"/>
      </c>
      <c r="J6" s="27">
        <f t="shared" si="0"/>
      </c>
      <c r="K6" s="28">
        <f t="shared" si="1"/>
      </c>
      <c r="L6" s="30"/>
      <c r="M6" s="30"/>
      <c r="N6" s="22"/>
      <c r="O6" s="22"/>
      <c r="P6" s="22"/>
    </row>
    <row r="7">
      <c r="A7" s="31">
        <v>46055</v>
      </c>
      <c r="B7" s="32"/>
      <c r="C7" s="32"/>
      <c r="D7" s="33">
        <f>SUM(D5:D6)</f>
      </c>
      <c r="E7" s="33">
        <f>SUM(E5:E6)</f>
      </c>
      <c r="F7" s="33">
        <f>SUM(F5:F6)</f>
      </c>
      <c r="G7" s="33">
        <f>SUM(G5:G6)</f>
      </c>
      <c r="H7" s="33">
        <f>SUM(H5:H6)</f>
      </c>
      <c r="I7" s="34">
        <f t="shared" si="2"/>
      </c>
      <c r="J7" s="35">
        <f t="shared" si="0"/>
      </c>
      <c r="K7" s="35">
        <f t="shared" si="1"/>
      </c>
      <c r="L7" s="36"/>
      <c r="M7" s="33">
        <f>SUM(M5:M6)</f>
      </c>
      <c r="N7" s="22"/>
      <c r="O7" s="22"/>
      <c r="P7" s="22"/>
    </row>
    <row r="8">
      <c r="A8" s="23">
        <v>46056</v>
      </c>
      <c r="B8" s="29" t="s">
        <v>41</v>
      </c>
      <c r="C8" s="25" t="s">
        <v>37</v>
      </c>
      <c r="D8" s="26">
        <v>3</v>
      </c>
      <c r="E8" s="26">
        <v>23</v>
      </c>
      <c r="F8" s="26">
        <v>11</v>
      </c>
      <c r="G8" s="26">
        <v>3566</v>
      </c>
      <c r="H8" s="26">
        <v>4792.8</v>
      </c>
      <c r="I8" s="27">
        <f t="shared" si="2"/>
      </c>
      <c r="J8" s="27">
        <f t="shared" si="0"/>
      </c>
      <c r="K8" s="28">
        <f t="shared" si="1"/>
      </c>
      <c r="L8" s="26" t="s">
        <v>38</v>
      </c>
      <c r="M8" s="26">
        <v>6</v>
      </c>
      <c r="N8" s="22"/>
      <c r="O8" s="22"/>
      <c r="P8" s="22"/>
    </row>
    <row r="9">
      <c r="A9" s="23">
        <v>46056</v>
      </c>
      <c r="B9" s="24" t="s">
        <v>36</v>
      </c>
      <c r="C9" s="25" t="s">
        <v>40</v>
      </c>
      <c r="D9" s="26">
        <v>3</v>
      </c>
      <c r="E9" s="26">
        <v>19</v>
      </c>
      <c r="F9" s="26">
        <v>8</v>
      </c>
      <c r="G9" s="26">
        <v>2960</v>
      </c>
      <c r="H9" s="26">
        <v>5538.7</v>
      </c>
      <c r="I9" s="27">
        <f t="shared" si="2"/>
      </c>
      <c r="J9" s="27">
        <f t="shared" si="0"/>
      </c>
      <c r="K9" s="28">
        <f t="shared" si="1"/>
      </c>
      <c r="L9" s="30"/>
      <c r="M9" s="30"/>
      <c r="N9" s="22"/>
      <c r="O9" s="22"/>
      <c r="P9" s="22"/>
    </row>
    <row r="10">
      <c r="A10" s="31">
        <v>46056</v>
      </c>
      <c r="B10" s="32"/>
      <c r="C10" s="32"/>
      <c r="D10" s="33">
        <f>SUM(D8:D9)</f>
      </c>
      <c r="E10" s="33">
        <f>SUM(E8:E9)</f>
      </c>
      <c r="F10" s="33">
        <f>SUM(F8:F9)</f>
      </c>
      <c r="G10" s="33">
        <f>SUM(G8:G9)</f>
      </c>
      <c r="H10" s="33">
        <f>SUM(H8:H9)</f>
      </c>
      <c r="I10" s="34">
        <f t="shared" si="2"/>
      </c>
      <c r="J10" s="35">
        <f t="shared" si="0"/>
      </c>
      <c r="K10" s="35">
        <f t="shared" si="1"/>
      </c>
      <c r="L10" s="36"/>
      <c r="M10" s="33">
        <f>SUM(M8:M9)</f>
      </c>
      <c r="N10" s="22"/>
      <c r="O10" s="22"/>
      <c r="P10" s="22"/>
    </row>
    <row r="11">
      <c r="A11" s="23">
        <v>46057</v>
      </c>
      <c r="B11" s="29" t="s">
        <v>39</v>
      </c>
      <c r="C11" s="25" t="s">
        <v>37</v>
      </c>
      <c r="D11" s="26">
        <v>3</v>
      </c>
      <c r="E11" s="26">
        <v>29</v>
      </c>
      <c r="F11" s="26">
        <v>11</v>
      </c>
      <c r="G11" s="26">
        <v>4492.799999999999</v>
      </c>
      <c r="H11" s="26">
        <v>5608.07</v>
      </c>
      <c r="I11" s="27">
        <f t="shared" si="2"/>
      </c>
      <c r="J11" s="27">
        <f t="shared" si="0"/>
      </c>
      <c r="K11" s="28">
        <f t="shared" si="1"/>
      </c>
      <c r="L11" s="26" t="s">
        <v>42</v>
      </c>
      <c r="M11" s="26">
        <v>3</v>
      </c>
      <c r="N11" s="22"/>
      <c r="O11" s="22"/>
      <c r="P11" s="22"/>
    </row>
    <row r="12">
      <c r="A12" s="23">
        <v>46057</v>
      </c>
      <c r="B12" s="24" t="s">
        <v>36</v>
      </c>
      <c r="C12" s="25" t="s">
        <v>40</v>
      </c>
      <c r="D12" s="26">
        <v>3</v>
      </c>
      <c r="E12" s="26">
        <v>26</v>
      </c>
      <c r="F12" s="26">
        <v>6</v>
      </c>
      <c r="G12" s="26">
        <v>1894.3</v>
      </c>
      <c r="H12" s="26">
        <v>2998.35</v>
      </c>
      <c r="I12" s="27">
        <f t="shared" si="2"/>
      </c>
      <c r="J12" s="27">
        <f t="shared" si="0"/>
      </c>
      <c r="K12" s="28">
        <f t="shared" si="1"/>
      </c>
      <c r="L12" s="30"/>
      <c r="M12" s="30"/>
      <c r="N12" s="22"/>
      <c r="O12" s="22"/>
      <c r="P12" s="22"/>
    </row>
    <row r="13">
      <c r="A13" s="31">
        <v>46057</v>
      </c>
      <c r="B13" s="32"/>
      <c r="C13" s="32"/>
      <c r="D13" s="33">
        <f>SUM(D11:D12)</f>
      </c>
      <c r="E13" s="33">
        <f>SUM(E11:E12)</f>
      </c>
      <c r="F13" s="33">
        <f>SUM(F11:F12)</f>
      </c>
      <c r="G13" s="33">
        <f>SUM(G11:G12)</f>
      </c>
      <c r="H13" s="33">
        <f>SUM(H11:H12)</f>
      </c>
      <c r="I13" s="34">
        <f t="shared" si="2"/>
      </c>
      <c r="J13" s="35">
        <f t="shared" si="0"/>
      </c>
      <c r="K13" s="35">
        <f t="shared" si="1"/>
      </c>
      <c r="L13" s="36"/>
      <c r="M13" s="33">
        <f>SUM(M11:M12)</f>
      </c>
      <c r="N13" s="22"/>
      <c r="O13" s="22"/>
      <c r="P13" s="22"/>
    </row>
    <row r="14">
      <c r="A14" s="23">
        <v>46058</v>
      </c>
      <c r="B14" s="24" t="s">
        <v>36</v>
      </c>
      <c r="C14" s="25" t="s">
        <v>37</v>
      </c>
      <c r="D14" s="26">
        <v>3</v>
      </c>
      <c r="E14" s="26">
        <v>32</v>
      </c>
      <c r="F14" s="26">
        <v>14</v>
      </c>
      <c r="G14" s="26">
        <v>4242.4</v>
      </c>
      <c r="H14" s="26">
        <v>5174.7</v>
      </c>
      <c r="I14" s="27">
        <f t="shared" si="2"/>
      </c>
      <c r="J14" s="27">
        <f t="shared" si="0"/>
      </c>
      <c r="K14" s="28">
        <f t="shared" si="1"/>
      </c>
      <c r="L14" s="26" t="s">
        <v>38</v>
      </c>
      <c r="M14" s="26">
        <v>6</v>
      </c>
      <c r="N14" s="22"/>
      <c r="O14" s="22"/>
      <c r="P14" s="22"/>
    </row>
    <row r="15">
      <c r="A15" s="23">
        <v>46058</v>
      </c>
      <c r="B15" s="29" t="s">
        <v>39</v>
      </c>
      <c r="C15" s="25" t="s">
        <v>40</v>
      </c>
      <c r="D15" s="26">
        <v>3</v>
      </c>
      <c r="E15" s="26">
        <v>24</v>
      </c>
      <c r="F15" s="26">
        <v>4</v>
      </c>
      <c r="G15" s="26">
        <v>2080</v>
      </c>
      <c r="H15" s="26">
        <v>3655.29</v>
      </c>
      <c r="I15" s="27">
        <f t="shared" si="2"/>
      </c>
      <c r="J15" s="27">
        <f t="shared" si="0"/>
      </c>
      <c r="K15" s="28">
        <f t="shared" si="1"/>
      </c>
      <c r="L15" s="30"/>
      <c r="M15" s="30"/>
      <c r="N15" s="22"/>
      <c r="O15" s="22"/>
      <c r="P15" s="22"/>
    </row>
    <row r="16">
      <c r="A16" s="31">
        <v>46058</v>
      </c>
      <c r="B16" s="32"/>
      <c r="C16" s="32"/>
      <c r="D16" s="33">
        <f>SUM(D14:D15)</f>
      </c>
      <c r="E16" s="33">
        <f>SUM(E14:E15)</f>
      </c>
      <c r="F16" s="33">
        <f>SUM(F14:F15)</f>
      </c>
      <c r="G16" s="33">
        <f>SUM(G14:G15)</f>
      </c>
      <c r="H16" s="33">
        <f>SUM(H14:H15)</f>
      </c>
      <c r="I16" s="34">
        <f t="shared" si="2"/>
      </c>
      <c r="J16" s="35">
        <f t="shared" si="0"/>
      </c>
      <c r="K16" s="35">
        <f t="shared" si="1"/>
      </c>
      <c r="L16" s="36"/>
      <c r="M16" s="33">
        <f>SUM(M14:M15)</f>
      </c>
      <c r="N16" s="22"/>
      <c r="O16" s="22"/>
      <c r="P16" s="22"/>
    </row>
    <row r="17">
      <c r="A17" s="23">
        <v>46059</v>
      </c>
      <c r="B17" s="29" t="s">
        <v>39</v>
      </c>
      <c r="C17" s="25" t="s">
        <v>37</v>
      </c>
      <c r="D17" s="26">
        <v>3</v>
      </c>
      <c r="E17" s="26">
        <v>21</v>
      </c>
      <c r="F17" s="26">
        <v>13</v>
      </c>
      <c r="G17" s="26">
        <v>4689.2</v>
      </c>
      <c r="H17" s="26">
        <v>5192.56</v>
      </c>
      <c r="I17" s="27">
        <f t="shared" si="2"/>
      </c>
      <c r="J17" s="27">
        <f t="shared" si="0"/>
      </c>
      <c r="K17" s="28">
        <f t="shared" si="1"/>
      </c>
      <c r="L17" s="26" t="s">
        <v>38</v>
      </c>
      <c r="M17" s="26">
        <v>6</v>
      </c>
      <c r="N17" s="22"/>
      <c r="O17" s="22"/>
      <c r="P17" s="22"/>
    </row>
    <row r="18">
      <c r="A18" s="23">
        <v>46059</v>
      </c>
      <c r="B18" s="24" t="s">
        <v>36</v>
      </c>
      <c r="C18" s="25" t="s">
        <v>40</v>
      </c>
      <c r="D18" s="26">
        <v>3</v>
      </c>
      <c r="E18" s="26">
        <v>33</v>
      </c>
      <c r="F18" s="26">
        <v>19</v>
      </c>
      <c r="G18" s="26">
        <v>4065.9</v>
      </c>
      <c r="H18" s="26">
        <v>6871.63</v>
      </c>
      <c r="I18" s="27">
        <f t="shared" si="2"/>
      </c>
      <c r="J18" s="27">
        <f t="shared" si="0"/>
      </c>
      <c r="K18" s="28">
        <f t="shared" si="1"/>
      </c>
      <c r="L18" s="30"/>
      <c r="M18" s="30"/>
      <c r="N18" s="22"/>
      <c r="O18" s="22"/>
      <c r="P18" s="22"/>
    </row>
    <row r="19">
      <c r="A19" s="31">
        <v>46059</v>
      </c>
      <c r="B19" s="32"/>
      <c r="C19" s="32"/>
      <c r="D19" s="33">
        <f>SUM(D17:D18)</f>
      </c>
      <c r="E19" s="33">
        <f>SUM(E17:E18)</f>
      </c>
      <c r="F19" s="33">
        <f>SUM(F17:F18)</f>
      </c>
      <c r="G19" s="33">
        <f>SUM(G17:G18)</f>
      </c>
      <c r="H19" s="33">
        <f>SUM(H17:H18)</f>
      </c>
      <c r="I19" s="34">
        <f t="shared" si="2"/>
      </c>
      <c r="J19" s="35">
        <f t="shared" si="0"/>
      </c>
      <c r="K19" s="35">
        <f t="shared" si="1"/>
      </c>
      <c r="L19" s="36"/>
      <c r="M19" s="33">
        <f>SUM(M17:M18)</f>
      </c>
      <c r="N19" s="22"/>
      <c r="O19" s="22"/>
      <c r="P19" s="22"/>
    </row>
    <row customHeight="true" ht="16.071428571428573" r="20">
      <c r="A20" s="23">
        <v>46060</v>
      </c>
      <c r="B20" s="24" t="s">
        <v>36</v>
      </c>
      <c r="C20" s="25" t="s">
        <v>43</v>
      </c>
      <c r="D20" s="26">
        <v>4</v>
      </c>
      <c r="E20" s="26">
        <v>22</v>
      </c>
      <c r="F20" s="26">
        <v>12</v>
      </c>
      <c r="G20" s="26">
        <v>3712</v>
      </c>
      <c r="H20" s="26">
        <v>6244.43</v>
      </c>
      <c r="I20" s="27">
        <f t="shared" si="2"/>
      </c>
      <c r="J20" s="27">
        <f t="shared" si="0"/>
      </c>
      <c r="K20" s="28">
        <f t="shared" si="1"/>
      </c>
      <c r="L20" s="30"/>
      <c r="M20" s="30"/>
      <c r="N20" s="22"/>
      <c r="O20" s="22"/>
      <c r="P20" s="22"/>
    </row>
    <row r="21">
      <c r="A21" s="23">
        <v>46060</v>
      </c>
      <c r="B21" s="29" t="s">
        <v>44</v>
      </c>
      <c r="C21" s="25" t="s">
        <v>45</v>
      </c>
      <c r="D21" s="26">
        <v>2</v>
      </c>
      <c r="E21" s="26">
        <v>12</v>
      </c>
      <c r="F21" s="26">
        <v>4</v>
      </c>
      <c r="G21" s="26">
        <v>1438.3</v>
      </c>
      <c r="H21" s="26">
        <v>2059.85</v>
      </c>
      <c r="I21" s="27">
        <f t="shared" si="2"/>
      </c>
      <c r="J21" s="27">
        <f t="shared" si="0"/>
      </c>
      <c r="K21" s="28">
        <f t="shared" si="1"/>
      </c>
      <c r="L21" s="26" t="s">
        <v>38</v>
      </c>
      <c r="M21" s="26">
        <v>9</v>
      </c>
      <c r="N21" s="22"/>
      <c r="O21" s="22"/>
      <c r="P21" s="22"/>
    </row>
    <row r="22">
      <c r="A22" s="23">
        <v>46060</v>
      </c>
      <c r="B22" s="29" t="s">
        <v>39</v>
      </c>
      <c r="C22" s="25" t="s">
        <v>40</v>
      </c>
      <c r="D22" s="26">
        <v>3</v>
      </c>
      <c r="E22" s="26">
        <v>12</v>
      </c>
      <c r="F22" s="26">
        <v>7</v>
      </c>
      <c r="G22" s="26">
        <v>2721.2</v>
      </c>
      <c r="H22" s="26">
        <v>2634.5</v>
      </c>
      <c r="I22" s="27">
        <f t="shared" si="2"/>
      </c>
      <c r="J22" s="27">
        <f t="shared" si="0"/>
      </c>
      <c r="K22" s="28">
        <f t="shared" si="1"/>
      </c>
      <c r="L22" s="30"/>
      <c r="M22" s="30"/>
      <c r="N22" s="22"/>
      <c r="O22" s="22"/>
      <c r="P22" s="22"/>
    </row>
    <row r="23">
      <c r="A23" s="31">
        <v>46060</v>
      </c>
      <c r="B23" s="32"/>
      <c r="C23" s="32"/>
      <c r="D23" s="33">
        <f>SUM(D20:D22)</f>
      </c>
      <c r="E23" s="33">
        <f>SUM(E20:E22)</f>
      </c>
      <c r="F23" s="33">
        <f>SUM(F20:F22)</f>
      </c>
      <c r="G23" s="33">
        <f>SUM(G20:G22)</f>
      </c>
      <c r="H23" s="33">
        <f>SUM(H20:H22)</f>
      </c>
      <c r="I23" s="34">
        <f t="shared" si="2"/>
      </c>
      <c r="J23" s="35">
        <f t="shared" si="0"/>
      </c>
      <c r="K23" s="35">
        <f t="shared" si="1"/>
      </c>
      <c r="L23" s="36"/>
      <c r="M23" s="33">
        <f>SUM(M20:M22)</f>
      </c>
      <c r="N23" s="22"/>
      <c r="O23" s="22"/>
      <c r="P23" s="22"/>
    </row>
    <row r="24">
      <c r="A24" s="23">
        <v>46061</v>
      </c>
      <c r="B24" s="29" t="s">
        <v>39</v>
      </c>
      <c r="C24" s="25" t="s">
        <v>43</v>
      </c>
      <c r="D24" s="26">
        <v>4</v>
      </c>
      <c r="E24" s="26">
        <v>26</v>
      </c>
      <c r="F24" s="26">
        <v>13</v>
      </c>
      <c r="G24" s="26">
        <v>4600.8</v>
      </c>
      <c r="H24" s="26">
        <v>7628.06</v>
      </c>
      <c r="I24" s="27">
        <f t="shared" si="2"/>
      </c>
      <c r="J24" s="27">
        <f t="shared" si="0"/>
      </c>
      <c r="K24" s="28">
        <f t="shared" si="1"/>
      </c>
      <c r="L24" s="30"/>
      <c r="M24" s="30"/>
      <c r="N24" s="22"/>
      <c r="O24" s="22"/>
      <c r="P24" s="22"/>
    </row>
    <row r="25">
      <c r="A25" s="23">
        <v>46061</v>
      </c>
      <c r="B25" s="29" t="s">
        <v>44</v>
      </c>
      <c r="C25" s="25" t="s">
        <v>45</v>
      </c>
      <c r="D25" s="26">
        <v>2</v>
      </c>
      <c r="E25" s="26">
        <v>17</v>
      </c>
      <c r="F25" s="26">
        <v>17</v>
      </c>
      <c r="G25" s="26">
        <v>8409.8</v>
      </c>
      <c r="H25" s="26">
        <v>4922.77</v>
      </c>
      <c r="I25" s="27">
        <f t="shared" si="2"/>
      </c>
      <c r="J25" s="27">
        <f t="shared" si="0"/>
      </c>
      <c r="K25" s="28">
        <f t="shared" si="1"/>
      </c>
      <c r="L25" s="26" t="s">
        <v>38</v>
      </c>
      <c r="M25" s="26">
        <v>9</v>
      </c>
      <c r="N25" s="22"/>
      <c r="O25" s="22"/>
      <c r="P25" s="22"/>
    </row>
    <row r="26">
      <c r="A26" s="23">
        <v>46061</v>
      </c>
      <c r="B26" s="24" t="s">
        <v>36</v>
      </c>
      <c r="C26" s="25" t="s">
        <v>40</v>
      </c>
      <c r="D26" s="26">
        <v>3</v>
      </c>
      <c r="E26" s="26">
        <v>13</v>
      </c>
      <c r="F26" s="26">
        <v>7</v>
      </c>
      <c r="G26" s="26">
        <v>1500</v>
      </c>
      <c r="H26" s="26">
        <v>4482.55</v>
      </c>
      <c r="I26" s="27">
        <f t="shared" si="2"/>
      </c>
      <c r="J26" s="27">
        <f t="shared" si="0"/>
      </c>
      <c r="K26" s="28">
        <f t="shared" si="1"/>
      </c>
      <c r="L26" s="30"/>
      <c r="M26" s="30"/>
      <c r="N26" s="22"/>
      <c r="O26" s="22"/>
      <c r="P26" s="22"/>
    </row>
    <row r="27">
      <c r="A27" s="31">
        <v>46061</v>
      </c>
      <c r="B27" s="32"/>
      <c r="C27" s="32"/>
      <c r="D27" s="33">
        <f>SUM(D24:D26)</f>
      </c>
      <c r="E27" s="33">
        <f>SUM(E24:E26)</f>
      </c>
      <c r="F27" s="33">
        <f>SUM(F24:F26)</f>
      </c>
      <c r="G27" s="33">
        <f>SUM(G24:G26)</f>
      </c>
      <c r="H27" s="33">
        <f>SUM(H24:H26)</f>
      </c>
      <c r="I27" s="34">
        <f t="shared" si="2"/>
      </c>
      <c r="J27" s="35">
        <f t="shared" si="0"/>
      </c>
      <c r="K27" s="35">
        <f t="shared" si="1"/>
      </c>
      <c r="L27" s="36"/>
      <c r="M27" s="33">
        <f>SUM(M24:M26)</f>
      </c>
      <c r="N27" s="22"/>
      <c r="O27" s="22"/>
      <c r="P27" s="22"/>
    </row>
    <row r="28">
      <c r="A28" s="23">
        <v>46062</v>
      </c>
      <c r="B28" s="24" t="s">
        <v>36</v>
      </c>
      <c r="C28" s="25" t="s">
        <v>46</v>
      </c>
      <c r="D28" s="26">
        <v>3</v>
      </c>
      <c r="E28" s="26">
        <v>12</v>
      </c>
      <c r="F28" s="26">
        <v>7</v>
      </c>
      <c r="G28" s="26">
        <v>2628.2</v>
      </c>
      <c r="H28" s="26">
        <v>4568.43</v>
      </c>
      <c r="I28" s="27">
        <f t="shared" si="2"/>
      </c>
      <c r="J28" s="27">
        <f t="shared" si="0"/>
      </c>
      <c r="K28" s="28">
        <f t="shared" si="1"/>
      </c>
      <c r="L28" s="30"/>
      <c r="M28" s="30"/>
      <c r="N28" s="22"/>
      <c r="O28" s="22"/>
      <c r="P28" s="22"/>
    </row>
    <row r="29">
      <c r="A29" s="23">
        <v>46062</v>
      </c>
      <c r="B29" s="29" t="s">
        <v>44</v>
      </c>
      <c r="C29" s="25" t="s">
        <v>37</v>
      </c>
      <c r="D29" s="26">
        <v>3</v>
      </c>
      <c r="E29" s="26">
        <v>26</v>
      </c>
      <c r="F29" s="26">
        <v>14</v>
      </c>
      <c r="G29" s="26">
        <v>5425.6</v>
      </c>
      <c r="H29" s="26">
        <v>4925.33</v>
      </c>
      <c r="I29" s="27">
        <f t="shared" si="2"/>
      </c>
      <c r="J29" s="27">
        <f t="shared" si="0"/>
      </c>
      <c r="K29" s="28">
        <f t="shared" si="1"/>
      </c>
      <c r="L29" s="26" t="s">
        <v>38</v>
      </c>
      <c r="M29" s="26">
        <v>9</v>
      </c>
      <c r="N29" s="22"/>
      <c r="O29" s="22"/>
      <c r="P29" s="22"/>
    </row>
    <row r="30">
      <c r="A30" s="23">
        <v>46062</v>
      </c>
      <c r="B30" s="29" t="s">
        <v>39</v>
      </c>
      <c r="C30" s="25" t="s">
        <v>40</v>
      </c>
      <c r="D30" s="26">
        <v>3</v>
      </c>
      <c r="E30" s="26">
        <v>27</v>
      </c>
      <c r="F30" s="26">
        <v>20</v>
      </c>
      <c r="G30" s="26">
        <v>5864.9</v>
      </c>
      <c r="H30" s="26">
        <v>9152.39</v>
      </c>
      <c r="I30" s="27">
        <f t="shared" si="2"/>
      </c>
      <c r="J30" s="27">
        <f t="shared" si="0"/>
      </c>
      <c r="K30" s="28">
        <f t="shared" si="1"/>
      </c>
      <c r="L30" s="30"/>
      <c r="M30" s="30"/>
      <c r="N30" s="22"/>
      <c r="O30" s="22"/>
      <c r="P30" s="22"/>
    </row>
    <row r="31">
      <c r="A31" s="31">
        <v>46062</v>
      </c>
      <c r="B31" s="32"/>
      <c r="C31" s="32"/>
      <c r="D31" s="33">
        <f>SUM(D28:D30)</f>
      </c>
      <c r="E31" s="33">
        <f>SUM(E28:E30)</f>
      </c>
      <c r="F31" s="33">
        <f>SUM(F28:F30)</f>
      </c>
      <c r="G31" s="33">
        <f>SUM(G28:G30)</f>
      </c>
      <c r="H31" s="33">
        <f>SUM(H28:H30)</f>
      </c>
      <c r="I31" s="34">
        <f t="shared" si="2"/>
      </c>
      <c r="J31" s="35">
        <f t="shared" si="0"/>
      </c>
      <c r="K31" s="35">
        <f t="shared" si="1"/>
      </c>
      <c r="L31" s="36"/>
      <c r="M31" s="33">
        <f>SUM(M28:M30)</f>
      </c>
      <c r="N31" s="22"/>
      <c r="O31" s="22"/>
      <c r="P31" s="22"/>
    </row>
    <row r="32">
      <c r="A32" s="23">
        <v>46063</v>
      </c>
      <c r="B32" s="29" t="s">
        <v>44</v>
      </c>
      <c r="C32" s="25" t="s">
        <v>43</v>
      </c>
      <c r="D32" s="26">
        <v>4</v>
      </c>
      <c r="E32" s="26">
        <v>34</v>
      </c>
      <c r="F32" s="26">
        <v>13</v>
      </c>
      <c r="G32" s="26">
        <v>5796.2</v>
      </c>
      <c r="H32" s="26">
        <v>7255.71</v>
      </c>
      <c r="I32" s="27">
        <f t="shared" si="2"/>
      </c>
      <c r="J32" s="27">
        <f t="shared" si="0"/>
      </c>
      <c r="K32" s="28">
        <f t="shared" si="1"/>
      </c>
      <c r="L32" s="30"/>
      <c r="M32" s="30"/>
      <c r="N32" s="22"/>
      <c r="O32" s="22"/>
      <c r="P32" s="22"/>
    </row>
    <row r="33">
      <c r="A33" s="23">
        <v>46063</v>
      </c>
      <c r="B33" s="24" t="s">
        <v>36</v>
      </c>
      <c r="C33" s="25" t="s">
        <v>45</v>
      </c>
      <c r="D33" s="26">
        <v>2</v>
      </c>
      <c r="E33" s="26">
        <v>12</v>
      </c>
      <c r="F33" s="26">
        <v>7</v>
      </c>
      <c r="G33" s="26">
        <v>2072</v>
      </c>
      <c r="H33" s="26">
        <v>2801.65</v>
      </c>
      <c r="I33" s="27">
        <f t="shared" si="2"/>
      </c>
      <c r="J33" s="27">
        <f t="shared" si="0"/>
      </c>
      <c r="K33" s="28">
        <f t="shared" si="1"/>
      </c>
      <c r="L33" s="26" t="s">
        <v>38</v>
      </c>
      <c r="M33" s="26">
        <v>9</v>
      </c>
      <c r="N33" s="22"/>
      <c r="O33" s="22"/>
      <c r="P33" s="22"/>
    </row>
    <row r="34">
      <c r="A34" s="23">
        <v>46063</v>
      </c>
      <c r="B34" s="29" t="s">
        <v>39</v>
      </c>
      <c r="C34" s="25" t="s">
        <v>40</v>
      </c>
      <c r="D34" s="26">
        <v>3</v>
      </c>
      <c r="E34" s="26">
        <v>30</v>
      </c>
      <c r="F34" s="26">
        <v>19</v>
      </c>
      <c r="G34" s="26">
        <v>6394.4</v>
      </c>
      <c r="H34" s="26">
        <v>6831.39</v>
      </c>
      <c r="I34" s="27">
        <f t="shared" si="2"/>
      </c>
      <c r="J34" s="27">
        <f t="shared" si="0"/>
      </c>
      <c r="K34" s="28">
        <f t="shared" si="1"/>
      </c>
      <c r="L34" s="30"/>
      <c r="M34" s="30"/>
      <c r="N34" s="22"/>
      <c r="O34" s="22"/>
      <c r="P34" s="22"/>
    </row>
    <row r="35">
      <c r="A35" s="31">
        <v>46063</v>
      </c>
      <c r="B35" s="32"/>
      <c r="C35" s="32"/>
      <c r="D35" s="33">
        <f>SUM(D32:D34)</f>
      </c>
      <c r="E35" s="33">
        <f>SUM(E32:E34)</f>
      </c>
      <c r="F35" s="33">
        <f>SUM(F32:F34)</f>
      </c>
      <c r="G35" s="33">
        <f>SUM(G32:G34)</f>
      </c>
      <c r="H35" s="33">
        <f>SUM(H32:H34)</f>
      </c>
      <c r="I35" s="34">
        <f t="shared" si="2"/>
      </c>
      <c r="J35" s="35">
        <f t="shared" si="0"/>
      </c>
      <c r="K35" s="35">
        <f t="shared" si="1"/>
      </c>
      <c r="L35" s="36"/>
      <c r="M35" s="33">
        <f>SUM(M32:M34)</f>
      </c>
      <c r="N35" s="22"/>
      <c r="O35" s="22"/>
      <c r="P35" s="22"/>
    </row>
    <row r="36">
      <c r="A36" s="23">
        <v>46064</v>
      </c>
      <c r="B36" s="29" t="s">
        <v>39</v>
      </c>
      <c r="C36" s="25" t="s">
        <v>46</v>
      </c>
      <c r="D36" s="26">
        <v>3</v>
      </c>
      <c r="E36" s="26">
        <v>21</v>
      </c>
      <c r="F36" s="26">
        <v>11</v>
      </c>
      <c r="G36" s="26">
        <v>6573.6</v>
      </c>
      <c r="H36" s="26">
        <v>5146.85</v>
      </c>
      <c r="I36" s="27">
        <f t="shared" si="2"/>
      </c>
      <c r="J36" s="27">
        <f t="shared" si="0"/>
      </c>
      <c r="K36" s="28">
        <f t="shared" si="1"/>
      </c>
      <c r="L36" s="30"/>
      <c r="M36" s="30"/>
      <c r="N36" s="22"/>
      <c r="O36" s="22"/>
      <c r="P36" s="22"/>
    </row>
    <row r="37">
      <c r="A37" s="23">
        <v>46064</v>
      </c>
      <c r="B37" s="29" t="s">
        <v>44</v>
      </c>
      <c r="C37" s="25" t="s">
        <v>47</v>
      </c>
      <c r="D37" s="26">
        <v>4</v>
      </c>
      <c r="E37" s="26">
        <v>47</v>
      </c>
      <c r="F37" s="26">
        <v>21</v>
      </c>
      <c r="G37" s="26">
        <v>6183.5</v>
      </c>
      <c r="H37" s="26">
        <v>9676.92</v>
      </c>
      <c r="I37" s="27">
        <f t="shared" si="2"/>
      </c>
      <c r="J37" s="27">
        <f t="shared" si="0"/>
      </c>
      <c r="K37" s="28">
        <f t="shared" si="1"/>
      </c>
      <c r="L37" s="26" t="s">
        <v>38</v>
      </c>
      <c r="M37" s="26">
        <v>9</v>
      </c>
      <c r="N37" s="22"/>
      <c r="O37" s="22"/>
      <c r="P37" s="22"/>
    </row>
    <row r="38">
      <c r="A38" s="23">
        <v>46064</v>
      </c>
      <c r="B38" s="29" t="s">
        <v>48</v>
      </c>
      <c r="C38" s="25" t="s">
        <v>49</v>
      </c>
      <c r="D38" s="26">
        <v>2</v>
      </c>
      <c r="E38" s="26">
        <v>19</v>
      </c>
      <c r="F38" s="26">
        <v>10</v>
      </c>
      <c r="G38" s="26">
        <v>2045.2</v>
      </c>
      <c r="H38" s="26">
        <v>4564.68</v>
      </c>
      <c r="I38" s="27">
        <f t="shared" si="2"/>
      </c>
      <c r="J38" s="27">
        <f t="shared" si="0"/>
      </c>
      <c r="K38" s="28">
        <f t="shared" si="1"/>
      </c>
      <c r="L38" s="30"/>
      <c r="M38" s="30"/>
      <c r="N38" s="22"/>
      <c r="O38" s="22"/>
      <c r="P38" s="22"/>
    </row>
    <row r="39">
      <c r="A39" s="31">
        <v>46064</v>
      </c>
      <c r="B39" s="32"/>
      <c r="C39" s="32"/>
      <c r="D39" s="33">
        <f>SUM(D36:D38)</f>
      </c>
      <c r="E39" s="33">
        <f>SUM(E36:E38)</f>
      </c>
      <c r="F39" s="33">
        <f>SUM(F36:F38)</f>
      </c>
      <c r="G39" s="33">
        <f>SUM(G36:G38)</f>
      </c>
      <c r="H39" s="33">
        <f>SUM(H36:H38)</f>
      </c>
      <c r="I39" s="34">
        <f t="shared" si="2"/>
      </c>
      <c r="J39" s="35">
        <f t="shared" si="0"/>
      </c>
      <c r="K39" s="35">
        <f t="shared" si="1"/>
      </c>
      <c r="L39" s="36"/>
      <c r="M39" s="33">
        <f>SUM(M36:M38)</f>
      </c>
      <c r="N39" s="22"/>
      <c r="O39" s="22"/>
      <c r="P39" s="22"/>
    </row>
    <row customHeight="true" ht="16.071428571428573" r="40">
      <c r="A40" s="23">
        <v>46065</v>
      </c>
      <c r="B40" s="24" t="s">
        <v>36</v>
      </c>
      <c r="C40" s="25" t="s">
        <v>43</v>
      </c>
      <c r="D40" s="26">
        <v>4</v>
      </c>
      <c r="E40" s="26">
        <v>18</v>
      </c>
      <c r="F40" s="26">
        <v>14</v>
      </c>
      <c r="G40" s="26">
        <v>4164.799999999999</v>
      </c>
      <c r="H40" s="26">
        <v>7594.03</v>
      </c>
      <c r="I40" s="27">
        <f t="shared" si="2"/>
      </c>
      <c r="J40" s="27">
        <f t="shared" si="0"/>
      </c>
      <c r="K40" s="28">
        <f t="shared" si="1"/>
      </c>
      <c r="L40" s="30"/>
      <c r="M40" s="30"/>
      <c r="N40" s="22"/>
      <c r="O40" s="22"/>
      <c r="P40" s="22"/>
    </row>
    <row customHeight="true" ht="16.071428571428573" r="41">
      <c r="A41" s="23">
        <v>46065</v>
      </c>
      <c r="B41" s="29" t="s">
        <v>48</v>
      </c>
      <c r="C41" s="25" t="s">
        <v>37</v>
      </c>
      <c r="D41" s="26">
        <v>2</v>
      </c>
      <c r="E41" s="26">
        <v>14</v>
      </c>
      <c r="F41" s="26">
        <v>4</v>
      </c>
      <c r="G41" s="26">
        <v>827.5</v>
      </c>
      <c r="H41" s="26">
        <v>1679.85</v>
      </c>
      <c r="I41" s="27">
        <f t="shared" si="2"/>
      </c>
      <c r="J41" s="27">
        <f t="shared" si="0"/>
      </c>
      <c r="K41" s="28">
        <f t="shared" si="1"/>
      </c>
      <c r="L41" s="26" t="s">
        <v>38</v>
      </c>
      <c r="M41" s="26">
        <v>9</v>
      </c>
      <c r="N41" s="22"/>
      <c r="O41" s="22"/>
      <c r="P41" s="22"/>
    </row>
    <row customHeight="true" ht="16.071428571428573" r="42">
      <c r="A42" s="23">
        <v>46065</v>
      </c>
      <c r="B42" s="29" t="s">
        <v>39</v>
      </c>
      <c r="C42" s="25" t="s">
        <v>40</v>
      </c>
      <c r="D42" s="26">
        <v>3</v>
      </c>
      <c r="E42" s="26">
        <v>39</v>
      </c>
      <c r="F42" s="26">
        <v>24</v>
      </c>
      <c r="G42" s="26">
        <v>8008.9</v>
      </c>
      <c r="H42" s="26">
        <v>7032.68</v>
      </c>
      <c r="I42" s="27">
        <f t="shared" si="2"/>
      </c>
      <c r="J42" s="27">
        <f t="shared" si="0"/>
      </c>
      <c r="K42" s="28">
        <f t="shared" si="1"/>
      </c>
      <c r="L42" s="30"/>
      <c r="M42" s="30"/>
      <c r="N42" s="22"/>
      <c r="O42" s="22"/>
      <c r="P42" s="22"/>
    </row>
    <row customHeight="true" ht="16.071428571428573" r="43">
      <c r="A43" s="31">
        <v>46065</v>
      </c>
      <c r="B43" s="32"/>
      <c r="C43" s="32"/>
      <c r="D43" s="33">
        <f>SUM(D40:D42)</f>
      </c>
      <c r="E43" s="33">
        <f>SUM(E40:E42)</f>
      </c>
      <c r="F43" s="33">
        <f>SUM(F40:F42)</f>
      </c>
      <c r="G43" s="33">
        <f>SUM(G40:G42)</f>
      </c>
      <c r="H43" s="33">
        <f>SUM(H40:H42)</f>
      </c>
      <c r="I43" s="34">
        <f t="shared" si="2"/>
      </c>
      <c r="J43" s="35">
        <f t="shared" si="0"/>
      </c>
      <c r="K43" s="35">
        <f t="shared" si="1"/>
      </c>
      <c r="L43" s="36"/>
      <c r="M43" s="33">
        <f>SUM(M40:M42)</f>
      </c>
      <c r="N43" s="22"/>
      <c r="O43" s="22"/>
      <c r="P43" s="22"/>
    </row>
    <row customHeight="true" ht="16.071428571428573" r="44">
      <c r="A44" s="23">
        <v>46066</v>
      </c>
      <c r="B44" s="29" t="s">
        <v>39</v>
      </c>
      <c r="C44" s="25" t="s">
        <v>50</v>
      </c>
      <c r="D44" s="26">
        <v>5</v>
      </c>
      <c r="E44" s="26">
        <v>45</v>
      </c>
      <c r="F44" s="26">
        <v>21</v>
      </c>
      <c r="G44" s="26">
        <v>7482.8</v>
      </c>
      <c r="H44" s="26">
        <v>10230.41</v>
      </c>
      <c r="I44" s="27">
        <f t="shared" si="2"/>
      </c>
      <c r="J44" s="27">
        <f t="shared" si="0"/>
      </c>
      <c r="K44" s="28">
        <f t="shared" si="1"/>
      </c>
      <c r="L44" s="26" t="s">
        <v>38</v>
      </c>
      <c r="M44" s="26">
        <v>7</v>
      </c>
      <c r="N44" s="22"/>
      <c r="O44" s="22"/>
      <c r="P44" s="22"/>
    </row>
    <row customHeight="true" ht="16.071428571428573" r="45">
      <c r="A45" s="23">
        <v>46066</v>
      </c>
      <c r="B45" s="29" t="s">
        <v>48</v>
      </c>
      <c r="C45" s="25" t="s">
        <v>49</v>
      </c>
      <c r="D45" s="26">
        <v>2</v>
      </c>
      <c r="E45" s="26">
        <v>24</v>
      </c>
      <c r="F45" s="26">
        <v>18</v>
      </c>
      <c r="G45" s="26">
        <v>6161.2</v>
      </c>
      <c r="H45" s="26">
        <v>5925.09</v>
      </c>
      <c r="I45" s="27">
        <f t="shared" si="2"/>
      </c>
      <c r="J45" s="27">
        <f t="shared" si="0"/>
      </c>
      <c r="K45" s="28">
        <f t="shared" si="1"/>
      </c>
      <c r="L45" s="30"/>
      <c r="M45" s="30"/>
      <c r="N45" s="22"/>
      <c r="O45" s="22"/>
      <c r="P45" s="22"/>
    </row>
    <row customHeight="true" ht="16.071428571428573" r="46">
      <c r="A46" s="31">
        <v>46066</v>
      </c>
      <c r="B46" s="32"/>
      <c r="C46" s="32"/>
      <c r="D46" s="33">
        <f>SUM(D44:D45)</f>
      </c>
      <c r="E46" s="33">
        <f>SUM(E44:E45)</f>
      </c>
      <c r="F46" s="33">
        <f>SUM(F44:F45)</f>
      </c>
      <c r="G46" s="33">
        <f>SUM(G44:G45)</f>
      </c>
      <c r="H46" s="33">
        <f>SUM(H44:H45)</f>
      </c>
      <c r="I46" s="34">
        <f t="shared" si="2"/>
      </c>
      <c r="J46" s="35">
        <f t="shared" si="0"/>
      </c>
      <c r="K46" s="35">
        <f t="shared" si="1"/>
      </c>
      <c r="L46" s="36"/>
      <c r="M46" s="33">
        <f>SUM(M43:M45)</f>
      </c>
      <c r="N46" s="22"/>
      <c r="O46" s="22"/>
      <c r="P46" s="22"/>
    </row>
    <row customHeight="true" ht="16.071428571428573" r="47">
      <c r="A47" s="23">
        <v>46067</v>
      </c>
      <c r="B47" s="29" t="s">
        <v>39</v>
      </c>
      <c r="C47" s="25" t="s">
        <v>43</v>
      </c>
      <c r="D47" s="26">
        <v>4</v>
      </c>
      <c r="E47" s="26">
        <v>47</v>
      </c>
      <c r="F47" s="26">
        <v>26</v>
      </c>
      <c r="G47" s="26">
        <v>8275.8</v>
      </c>
      <c r="H47" s="26">
        <v>9785.84</v>
      </c>
      <c r="I47" s="27">
        <f t="shared" si="2"/>
      </c>
      <c r="J47" s="27">
        <f t="shared" si="0"/>
      </c>
      <c r="K47" s="28">
        <f t="shared" si="1"/>
      </c>
      <c r="L47" s="26"/>
      <c r="M47" s="26"/>
      <c r="N47" s="22"/>
      <c r="O47" s="22"/>
      <c r="P47" s="22"/>
    </row>
    <row customHeight="true" ht="16.071428571428573" r="48">
      <c r="A48" s="23">
        <v>46067</v>
      </c>
      <c r="B48" s="29" t="s">
        <v>44</v>
      </c>
      <c r="C48" s="25" t="s">
        <v>51</v>
      </c>
      <c r="D48" s="26">
        <v>3</v>
      </c>
      <c r="E48" s="26">
        <v>41</v>
      </c>
      <c r="F48" s="26">
        <v>17</v>
      </c>
      <c r="G48" s="26">
        <v>7114.700000000001</v>
      </c>
      <c r="H48" s="26">
        <v>8806.6</v>
      </c>
      <c r="I48" s="27">
        <f t="shared" si="2"/>
      </c>
      <c r="J48" s="27">
        <f t="shared" si="0"/>
      </c>
      <c r="K48" s="28">
        <f t="shared" si="1"/>
      </c>
      <c r="L48" s="26" t="s">
        <v>38</v>
      </c>
      <c r="M48" s="26">
        <v>9</v>
      </c>
      <c r="N48" s="22"/>
      <c r="O48" s="22"/>
      <c r="P48" s="22"/>
    </row>
    <row customHeight="true" ht="16.071428571428573" r="49">
      <c r="A49" s="23">
        <v>46067</v>
      </c>
      <c r="B49" s="29" t="s">
        <v>48</v>
      </c>
      <c r="C49" s="25" t="s">
        <v>49</v>
      </c>
      <c r="D49" s="26">
        <v>2</v>
      </c>
      <c r="E49" s="26">
        <v>20</v>
      </c>
      <c r="F49" s="26">
        <v>7</v>
      </c>
      <c r="G49" s="26">
        <v>3332</v>
      </c>
      <c r="H49" s="26">
        <v>3359.11</v>
      </c>
      <c r="I49" s="27">
        <f t="shared" si="2"/>
      </c>
      <c r="J49" s="27">
        <f t="shared" si="0"/>
      </c>
      <c r="K49" s="28">
        <f t="shared" si="1"/>
      </c>
      <c r="L49" s="30"/>
      <c r="M49" s="30"/>
      <c r="N49" s="22"/>
      <c r="O49" s="22"/>
      <c r="P49" s="22"/>
    </row>
    <row customHeight="true" ht="16.071428571428573" r="50">
      <c r="A50" s="31">
        <v>46067</v>
      </c>
      <c r="B50" s="32"/>
      <c r="C50" s="32"/>
      <c r="D50" s="33">
        <f>SUM(D47:D49)</f>
      </c>
      <c r="E50" s="33">
        <f>SUM(E47:E49)</f>
      </c>
      <c r="F50" s="33">
        <f>SUM(F47:F49)</f>
      </c>
      <c r="G50" s="33">
        <f>SUM(G47:G49)</f>
      </c>
      <c r="H50" s="33">
        <f>SUM(H47:H49)</f>
      </c>
      <c r="I50" s="34">
        <f t="shared" si="2"/>
      </c>
      <c r="J50" s="35">
        <f t="shared" si="0"/>
      </c>
      <c r="K50" s="35">
        <f t="shared" si="1"/>
      </c>
      <c r="L50" s="36"/>
      <c r="M50" s="33">
        <f>SUM(M47:M49)</f>
      </c>
      <c r="N50" s="22"/>
      <c r="O50" s="22"/>
      <c r="P50" s="22"/>
    </row>
    <row r="51">
      <c r="A51" s="23">
        <v>46068</v>
      </c>
      <c r="B51" s="29" t="s">
        <v>36</v>
      </c>
      <c r="C51" s="25" t="s">
        <v>52</v>
      </c>
      <c r="D51" s="26">
        <v>5</v>
      </c>
      <c r="E51" s="26">
        <v>40</v>
      </c>
      <c r="F51" s="26">
        <v>9</v>
      </c>
      <c r="G51" s="26">
        <v>3104.5</v>
      </c>
      <c r="H51" s="26">
        <v>6012.5</v>
      </c>
      <c r="I51" s="27">
        <f t="shared" si="2"/>
      </c>
      <c r="J51" s="27">
        <f t="shared" si="0"/>
      </c>
      <c r="K51" s="28">
        <f t="shared" si="1"/>
      </c>
      <c r="L51" s="26" t="s">
        <v>53</v>
      </c>
      <c r="M51" s="26">
        <v>2</v>
      </c>
      <c r="N51" s="22"/>
      <c r="O51" s="22"/>
      <c r="P51" s="22"/>
    </row>
    <row r="52">
      <c r="A52" s="31">
        <v>46068</v>
      </c>
      <c r="B52" s="32"/>
      <c r="C52" s="32"/>
      <c r="D52" s="33">
        <f>SUM(D51)</f>
      </c>
      <c r="E52" s="33">
        <f>SUM(E51)</f>
      </c>
      <c r="F52" s="33">
        <f>SUM(F51)</f>
      </c>
      <c r="G52" s="33">
        <f>SUM(G51)</f>
      </c>
      <c r="H52" s="33">
        <f>SUM(H51)</f>
      </c>
      <c r="I52" s="34">
        <f t="shared" si="2"/>
      </c>
      <c r="J52" s="35">
        <f t="shared" si="0"/>
      </c>
      <c r="K52" s="35">
        <f t="shared" si="1"/>
      </c>
      <c r="L52" s="36"/>
      <c r="M52" s="36">
        <f>M51</f>
      </c>
      <c r="N52" s="22"/>
      <c r="O52" s="22"/>
      <c r="P52" s="22"/>
    </row>
    <row r="53">
      <c r="A53" s="23">
        <v>46073</v>
      </c>
      <c r="B53" s="29" t="s">
        <v>48</v>
      </c>
      <c r="C53" s="25" t="s">
        <v>54</v>
      </c>
      <c r="D53" s="26">
        <v>5</v>
      </c>
      <c r="E53" s="26">
        <v>61</v>
      </c>
      <c r="F53" s="26">
        <v>21</v>
      </c>
      <c r="G53" s="26">
        <v>7318.5</v>
      </c>
      <c r="H53" s="26">
        <v>7693.99</v>
      </c>
      <c r="I53" s="27">
        <f t="shared" si="2"/>
      </c>
      <c r="J53" s="27">
        <f t="shared" si="0"/>
      </c>
      <c r="K53" s="28">
        <f t="shared" si="1"/>
      </c>
      <c r="L53" s="26" t="s">
        <v>42</v>
      </c>
      <c r="M53" s="26">
        <v>2.6</v>
      </c>
      <c r="N53" s="22"/>
      <c r="O53" s="22"/>
      <c r="P53" s="22"/>
    </row>
    <row r="54">
      <c r="A54" s="31">
        <v>46073</v>
      </c>
      <c r="B54" s="32"/>
      <c r="C54" s="32"/>
      <c r="D54" s="33">
        <f>SUM(D53)</f>
      </c>
      <c r="E54" s="33">
        <f>SUM(E53)</f>
      </c>
      <c r="F54" s="33">
        <f>SUM(F53)</f>
      </c>
      <c r="G54" s="33">
        <f>SUM(G53)</f>
      </c>
      <c r="H54" s="33">
        <f>SUM(H53)</f>
      </c>
      <c r="I54" s="34">
        <f t="shared" si="2"/>
      </c>
      <c r="J54" s="35">
        <f t="shared" si="0"/>
      </c>
      <c r="K54" s="35">
        <f t="shared" si="1"/>
      </c>
      <c r="L54" s="36"/>
      <c r="M54" s="36">
        <f>M53</f>
      </c>
      <c r="N54" s="22"/>
      <c r="O54" s="22"/>
      <c r="P54" s="22"/>
    </row>
    <row r="55">
      <c r="A55" s="23">
        <v>46074</v>
      </c>
      <c r="B55" s="29" t="s">
        <v>36</v>
      </c>
      <c r="C55" s="25" t="s">
        <v>55</v>
      </c>
      <c r="D55" s="26">
        <v>5</v>
      </c>
      <c r="E55" s="26">
        <v>33</v>
      </c>
      <c r="F55" s="26">
        <v>12</v>
      </c>
      <c r="G55" s="26">
        <v>4305.6</v>
      </c>
      <c r="H55" s="26">
        <v>7008.990000000002</v>
      </c>
      <c r="I55" s="27">
        <f t="shared" si="2"/>
      </c>
      <c r="J55" s="27">
        <f t="shared" si="0"/>
      </c>
      <c r="K55" s="28">
        <f t="shared" si="1"/>
      </c>
      <c r="L55" s="26" t="s">
        <v>56</v>
      </c>
      <c r="M55" s="26">
        <v>2.4</v>
      </c>
    </row>
    <row r="56">
      <c r="A56" s="23">
        <v>46074</v>
      </c>
      <c r="B56" s="29" t="s">
        <v>48</v>
      </c>
      <c r="C56" s="25" t="s">
        <v>57</v>
      </c>
      <c r="D56" s="26">
        <v>4</v>
      </c>
      <c r="E56" s="26">
        <v>19</v>
      </c>
      <c r="F56" s="26">
        <v>16</v>
      </c>
      <c r="G56" s="26">
        <v>5130.6</v>
      </c>
      <c r="H56" s="26">
        <v>6000.76</v>
      </c>
      <c r="I56" s="27">
        <f t="shared" si="2"/>
      </c>
      <c r="J56" s="27">
        <f t="shared" si="0"/>
      </c>
      <c r="K56" s="28">
        <f t="shared" si="1"/>
      </c>
      <c r="L56" s="30"/>
      <c r="M56" s="30"/>
    </row>
    <row r="57">
      <c r="A57" s="31">
        <v>46074</v>
      </c>
      <c r="B57" s="32"/>
      <c r="C57" s="32"/>
      <c r="D57" s="33">
        <f>SUM(D55:D56)</f>
      </c>
      <c r="E57" s="33">
        <f>SUM(E55:E56)</f>
      </c>
      <c r="F57" s="33">
        <f>SUM(F55:F56)</f>
      </c>
      <c r="G57" s="33">
        <f>SUM(G55:G56)</f>
      </c>
      <c r="H57" s="33">
        <f>SUM(H55:H56)</f>
      </c>
      <c r="I57" s="34">
        <f t="shared" si="2"/>
      </c>
      <c r="J57" s="35">
        <f t="shared" si="0"/>
      </c>
      <c r="K57" s="35">
        <f t="shared" si="1"/>
      </c>
      <c r="L57" s="36"/>
      <c r="M57" s="33">
        <f>SUM(M55:M56)</f>
      </c>
    </row>
    <row r="58">
      <c r="A58" s="23">
        <v>46075</v>
      </c>
      <c r="B58" s="29" t="s">
        <v>36</v>
      </c>
      <c r="C58" s="25" t="s">
        <v>37</v>
      </c>
      <c r="D58" s="26">
        <v>3</v>
      </c>
      <c r="E58" s="26">
        <v>21</v>
      </c>
      <c r="F58" s="26">
        <v>9</v>
      </c>
      <c r="G58" s="26">
        <v>3781.6</v>
      </c>
      <c r="H58" s="26">
        <v>4080.91</v>
      </c>
      <c r="I58" s="27">
        <f t="shared" si="2"/>
      </c>
      <c r="J58" s="27">
        <f t="shared" si="0"/>
      </c>
      <c r="K58" s="28">
        <f t="shared" si="1"/>
      </c>
      <c r="L58" s="26" t="s">
        <v>58</v>
      </c>
      <c r="M58" s="26">
        <v>2.4</v>
      </c>
    </row>
    <row r="59">
      <c r="A59" s="23">
        <v>46075</v>
      </c>
      <c r="B59" s="29" t="s">
        <v>39</v>
      </c>
      <c r="C59" s="25" t="s">
        <v>40</v>
      </c>
      <c r="D59" s="26">
        <v>3</v>
      </c>
      <c r="E59" s="26">
        <v>25</v>
      </c>
      <c r="F59" s="26">
        <v>18</v>
      </c>
      <c r="G59" s="26">
        <v>5230.6</v>
      </c>
      <c r="H59" s="26">
        <v>5512.34</v>
      </c>
      <c r="I59" s="27">
        <f t="shared" si="2"/>
      </c>
      <c r="J59" s="27">
        <f t="shared" si="0"/>
      </c>
      <c r="K59" s="28">
        <f t="shared" si="1"/>
      </c>
      <c r="L59" s="30"/>
      <c r="M59" s="30"/>
    </row>
    <row r="60">
      <c r="A60" s="31">
        <v>46075</v>
      </c>
      <c r="B60" s="32"/>
      <c r="C60" s="32"/>
      <c r="D60" s="33">
        <f>SUM(D58:D59)</f>
      </c>
      <c r="E60" s="33">
        <f>SUM(E58:E59)</f>
      </c>
      <c r="F60" s="33">
        <f>SUM(F58:F59)</f>
      </c>
      <c r="G60" s="33">
        <f>SUM(G58:G59)</f>
      </c>
      <c r="H60" s="33">
        <f>SUM(H58:H59)</f>
      </c>
      <c r="I60" s="34">
        <f t="shared" si="2"/>
      </c>
      <c r="J60" s="35">
        <f t="shared" si="0"/>
      </c>
      <c r="K60" s="35">
        <f t="shared" si="1"/>
      </c>
      <c r="L60" s="36"/>
      <c r="M60" s="33">
        <f>SUM(M58:M59)</f>
      </c>
    </row>
    <row r="61">
      <c r="A61" s="23">
        <v>46076</v>
      </c>
      <c r="B61" s="29" t="s">
        <v>39</v>
      </c>
      <c r="C61" s="25" t="s">
        <v>46</v>
      </c>
      <c r="D61" s="26">
        <v>3</v>
      </c>
      <c r="E61" s="26">
        <v>34</v>
      </c>
      <c r="F61" s="26">
        <v>9</v>
      </c>
      <c r="G61" s="26">
        <v>3770.8</v>
      </c>
      <c r="H61" s="26">
        <v>3615.36</v>
      </c>
      <c r="I61" s="27">
        <f t="shared" si="2"/>
      </c>
      <c r="J61" s="27">
        <f t="shared" si="0"/>
      </c>
      <c r="K61" s="28">
        <f t="shared" si="1"/>
      </c>
      <c r="L61" s="26" t="s">
        <v>59</v>
      </c>
      <c r="M61" s="26">
        <v>9</v>
      </c>
    </row>
    <row customHeight="true" ht="16.071428571428573" r="62">
      <c r="A62" s="23">
        <v>46076</v>
      </c>
      <c r="B62" s="29" t="s">
        <v>36</v>
      </c>
      <c r="C62" s="25" t="s">
        <v>37</v>
      </c>
      <c r="D62" s="26">
        <v>3</v>
      </c>
      <c r="E62" s="26">
        <v>39</v>
      </c>
      <c r="F62" s="26">
        <v>11</v>
      </c>
      <c r="G62" s="26">
        <v>3654.3999999999996</v>
      </c>
      <c r="H62" s="26">
        <v>3051.01</v>
      </c>
      <c r="I62" s="27">
        <f t="shared" si="2"/>
      </c>
      <c r="J62" s="27">
        <f t="shared" si="0"/>
      </c>
      <c r="K62" s="28">
        <f t="shared" si="1"/>
      </c>
      <c r="L62" s="30"/>
      <c r="M62" s="30"/>
    </row>
    <row r="63">
      <c r="A63" s="23">
        <v>46076</v>
      </c>
      <c r="B63" s="29" t="s">
        <v>44</v>
      </c>
      <c r="C63" s="25" t="s">
        <v>40</v>
      </c>
      <c r="D63" s="26">
        <v>3</v>
      </c>
      <c r="E63" s="26">
        <v>36</v>
      </c>
      <c r="F63" s="26">
        <v>16</v>
      </c>
      <c r="G63" s="26">
        <v>3479.000000000001</v>
      </c>
      <c r="H63" s="26">
        <v>5817.81</v>
      </c>
      <c r="I63" s="27">
        <f t="shared" si="2"/>
      </c>
      <c r="J63" s="27">
        <f t="shared" si="0"/>
      </c>
      <c r="K63" s="28">
        <f t="shared" si="1"/>
      </c>
      <c r="L63" s="30"/>
      <c r="M63" s="30"/>
    </row>
    <row r="64">
      <c r="A64" s="31">
        <v>46076</v>
      </c>
      <c r="B64" s="32"/>
      <c r="C64" s="32"/>
      <c r="D64" s="33">
        <f>SUM(D61:D63)</f>
      </c>
      <c r="E64" s="33">
        <f>SUM(E61:E63)</f>
      </c>
      <c r="F64" s="33">
        <f>SUM(F61:F63)</f>
      </c>
      <c r="G64" s="33">
        <f>SUM(G61:G63)</f>
      </c>
      <c r="H64" s="33">
        <f>SUM(H61:H63)</f>
      </c>
      <c r="I64" s="34">
        <f t="shared" si="2"/>
      </c>
      <c r="J64" s="35">
        <f t="shared" si="0"/>
      </c>
      <c r="K64" s="35">
        <f t="shared" si="1"/>
      </c>
      <c r="L64" s="36"/>
      <c r="M64" s="33">
        <f>SUM(M61:M63)</f>
      </c>
    </row>
    <row r="65">
      <c r="A65" s="23">
        <v>46077</v>
      </c>
      <c r="B65" s="29" t="s">
        <v>39</v>
      </c>
      <c r="C65" s="25" t="s">
        <v>46</v>
      </c>
      <c r="D65" s="26">
        <v>3</v>
      </c>
      <c r="E65" s="26">
        <v>35</v>
      </c>
      <c r="F65" s="26">
        <v>19</v>
      </c>
      <c r="G65" s="26">
        <v>5266.6</v>
      </c>
      <c r="H65" s="26">
        <v>6539.77</v>
      </c>
      <c r="I65" s="27">
        <f t="shared" si="2"/>
      </c>
      <c r="J65" s="27">
        <f t="shared" si="0"/>
      </c>
      <c r="K65" s="28">
        <f t="shared" si="1"/>
      </c>
      <c r="L65" s="26" t="s">
        <v>38</v>
      </c>
      <c r="M65" s="26">
        <v>9</v>
      </c>
    </row>
    <row r="66">
      <c r="A66" s="23">
        <v>46077</v>
      </c>
      <c r="B66" s="29" t="s">
        <v>44</v>
      </c>
      <c r="C66" s="25" t="s">
        <v>37</v>
      </c>
      <c r="D66" s="26">
        <v>3</v>
      </c>
      <c r="E66" s="26">
        <v>38</v>
      </c>
      <c r="F66" s="26">
        <v>10</v>
      </c>
      <c r="G66" s="26">
        <v>3374.3</v>
      </c>
      <c r="H66" s="26">
        <v>6194.25</v>
      </c>
      <c r="I66" s="27">
        <f t="shared" si="2"/>
      </c>
      <c r="J66" s="27">
        <f t="shared" si="0"/>
      </c>
      <c r="K66" s="28">
        <f t="shared" si="1"/>
      </c>
      <c r="L66" s="30"/>
      <c r="M66" s="30"/>
    </row>
    <row r="67">
      <c r="A67" s="23">
        <v>46077</v>
      </c>
      <c r="B67" s="29" t="s">
        <v>48</v>
      </c>
      <c r="C67" s="25" t="s">
        <v>40</v>
      </c>
      <c r="D67" s="26">
        <v>3</v>
      </c>
      <c r="E67" s="26">
        <v>20</v>
      </c>
      <c r="F67" s="26">
        <v>16</v>
      </c>
      <c r="G67" s="26">
        <v>5856.8</v>
      </c>
      <c r="H67" s="26">
        <v>4576.76</v>
      </c>
      <c r="I67" s="27">
        <f t="shared" si="2"/>
      </c>
      <c r="J67" s="27">
        <f t="shared" si="0"/>
      </c>
      <c r="K67" s="28">
        <f t="shared" si="1"/>
      </c>
      <c r="L67" s="30"/>
      <c r="M67" s="30"/>
    </row>
    <row r="68">
      <c r="A68" s="31">
        <v>46077</v>
      </c>
      <c r="B68" s="32"/>
      <c r="C68" s="32"/>
      <c r="D68" s="33">
        <f>SUM(D65:D67)</f>
      </c>
      <c r="E68" s="33">
        <f>SUM(E65:E67)</f>
      </c>
      <c r="F68" s="33">
        <f>SUM(F65:F67)</f>
      </c>
      <c r="G68" s="33">
        <f>SUM(G65:G67)</f>
      </c>
      <c r="H68" s="33">
        <f>SUM(H65:H67)</f>
      </c>
      <c r="I68" s="34">
        <f t="shared" si="2"/>
      </c>
      <c r="J68" s="35">
        <f t="shared" si="0"/>
      </c>
      <c r="K68" s="35">
        <f t="shared" si="1"/>
      </c>
      <c r="L68" s="36"/>
      <c r="M68" s="33">
        <f>SUM(M65:M67)</f>
      </c>
    </row>
    <row customHeight="true" ht="16.071428571428573" r="69">
      <c r="A69" s="23">
        <v>46078</v>
      </c>
      <c r="B69" s="29" t="s">
        <v>36</v>
      </c>
      <c r="C69" s="25" t="s">
        <v>60</v>
      </c>
      <c r="D69" s="26">
        <v>1</v>
      </c>
      <c r="E69" s="26">
        <v>2</v>
      </c>
      <c r="F69" s="26">
        <v>0</v>
      </c>
      <c r="G69" s="26">
        <v>0</v>
      </c>
      <c r="H69" s="26">
        <v>968.97</v>
      </c>
      <c r="I69" s="27">
        <f t="shared" si="2"/>
      </c>
      <c r="J69" s="27">
        <f t="shared" si="0"/>
      </c>
      <c r="K69" s="28">
        <f t="shared" si="1"/>
      </c>
      <c r="L69" s="26"/>
      <c r="M69" s="26"/>
    </row>
    <row r="70">
      <c r="A70" s="23">
        <v>46078</v>
      </c>
      <c r="B70" s="29" t="s">
        <v>39</v>
      </c>
      <c r="C70" s="25" t="s">
        <v>61</v>
      </c>
      <c r="D70" s="26">
        <v>4</v>
      </c>
      <c r="E70" s="26">
        <v>32</v>
      </c>
      <c r="F70" s="26">
        <v>22</v>
      </c>
      <c r="G70" s="26">
        <v>6207.299999999999</v>
      </c>
      <c r="H70" s="26">
        <v>6456.55</v>
      </c>
      <c r="I70" s="27">
        <f t="shared" si="2"/>
      </c>
      <c r="J70" s="27">
        <f t="shared" si="0"/>
      </c>
      <c r="K70" s="28">
        <f t="shared" si="1"/>
      </c>
      <c r="L70" s="26" t="s">
        <v>38</v>
      </c>
      <c r="M70" s="26">
        <v>12</v>
      </c>
    </row>
    <row r="71">
      <c r="A71" s="23">
        <v>46078</v>
      </c>
      <c r="B71" s="29" t="s">
        <v>44</v>
      </c>
      <c r="C71" s="25" t="s">
        <v>62</v>
      </c>
      <c r="D71" s="26">
        <v>3</v>
      </c>
      <c r="E71" s="26">
        <v>19</v>
      </c>
      <c r="F71" s="26">
        <v>5</v>
      </c>
      <c r="G71" s="26">
        <v>1108</v>
      </c>
      <c r="H71" s="26">
        <v>4082.97</v>
      </c>
      <c r="I71" s="27">
        <f t="shared" si="2"/>
      </c>
      <c r="J71" s="27">
        <f t="shared" si="0"/>
      </c>
      <c r="K71" s="28">
        <f t="shared" si="1"/>
      </c>
      <c r="L71" s="30"/>
      <c r="M71" s="30"/>
    </row>
    <row r="72">
      <c r="A72" s="23">
        <v>46078</v>
      </c>
      <c r="B72" s="29" t="s">
        <v>48</v>
      </c>
      <c r="C72" s="25" t="s">
        <v>57</v>
      </c>
      <c r="D72" s="26">
        <v>4</v>
      </c>
      <c r="E72" s="26">
        <v>32</v>
      </c>
      <c r="F72" s="26">
        <v>18</v>
      </c>
      <c r="G72" s="26">
        <v>6664.9</v>
      </c>
      <c r="H72" s="26">
        <v>5095.88</v>
      </c>
      <c r="I72" s="27">
        <f t="shared" si="2"/>
      </c>
      <c r="J72" s="27">
        <f t="shared" si="0"/>
      </c>
      <c r="K72" s="28">
        <f t="shared" si="1"/>
      </c>
      <c r="L72" s="30"/>
      <c r="M72" s="30"/>
    </row>
    <row r="73">
      <c r="A73" s="31">
        <v>46078</v>
      </c>
      <c r="B73" s="32"/>
      <c r="C73" s="32"/>
      <c r="D73" s="33">
        <f>SUM(D69:D72)</f>
      </c>
      <c r="E73" s="33">
        <f>SUM(E69:E72)</f>
      </c>
      <c r="F73" s="33">
        <f>SUM(F69:F72)</f>
      </c>
      <c r="G73" s="33">
        <f>SUM(G69:G72)</f>
      </c>
      <c r="H73" s="33">
        <f>SUM(H69:H72)</f>
      </c>
      <c r="I73" s="34">
        <f t="shared" si="2"/>
      </c>
      <c r="J73" s="35">
        <f t="shared" si="0"/>
      </c>
      <c r="K73" s="35">
        <f t="shared" si="1"/>
      </c>
      <c r="L73" s="36"/>
      <c r="M73" s="33">
        <f>SUM(M69:M72)</f>
      </c>
    </row>
    <row r="74">
      <c r="A74" s="23">
        <v>46079</v>
      </c>
      <c r="B74" s="29" t="s">
        <v>39</v>
      </c>
      <c r="C74" s="25" t="s">
        <v>63</v>
      </c>
      <c r="D74" s="26">
        <v>4</v>
      </c>
      <c r="E74" s="26">
        <v>29</v>
      </c>
      <c r="F74" s="26">
        <v>19</v>
      </c>
      <c r="G74" s="26">
        <v>6284.8</v>
      </c>
      <c r="H74" s="26">
        <v>5931.35</v>
      </c>
      <c r="I74" s="27">
        <f t="shared" si="2"/>
      </c>
      <c r="J74" s="27">
        <f t="shared" si="0"/>
      </c>
      <c r="K74" s="28">
        <f t="shared" si="1"/>
      </c>
      <c r="L74" s="26" t="s">
        <v>38</v>
      </c>
      <c r="M74" s="26">
        <v>12</v>
      </c>
    </row>
    <row r="75">
      <c r="A75" s="23">
        <v>46079</v>
      </c>
      <c r="B75" s="29" t="s">
        <v>36</v>
      </c>
      <c r="C75" s="25" t="s">
        <v>64</v>
      </c>
      <c r="D75" s="26">
        <v>4</v>
      </c>
      <c r="E75" s="26">
        <v>44</v>
      </c>
      <c r="F75" s="26">
        <v>20</v>
      </c>
      <c r="G75" s="26">
        <v>7993.6</v>
      </c>
      <c r="H75" s="26">
        <v>8433.82</v>
      </c>
      <c r="I75" s="27">
        <f t="shared" si="2"/>
      </c>
      <c r="J75" s="27">
        <f t="shared" si="0"/>
      </c>
      <c r="K75" s="28">
        <f t="shared" si="1"/>
      </c>
      <c r="L75" s="30"/>
      <c r="M75" s="30"/>
    </row>
    <row r="76">
      <c r="A76" s="23">
        <v>46079</v>
      </c>
      <c r="B76" s="29" t="s">
        <v>48</v>
      </c>
      <c r="C76" s="25" t="s">
        <v>57</v>
      </c>
      <c r="D76" s="26">
        <v>4</v>
      </c>
      <c r="E76" s="26">
        <v>36</v>
      </c>
      <c r="F76" s="26">
        <v>20</v>
      </c>
      <c r="G76" s="26">
        <v>7125.4</v>
      </c>
      <c r="H76" s="26">
        <v>10485.81</v>
      </c>
      <c r="I76" s="27">
        <f t="shared" si="2"/>
      </c>
      <c r="J76" s="27">
        <f t="shared" si="0"/>
      </c>
      <c r="K76" s="28">
        <f t="shared" si="1"/>
      </c>
      <c r="L76" s="30"/>
      <c r="M76" s="30"/>
    </row>
    <row r="77">
      <c r="A77" s="31">
        <v>46079</v>
      </c>
      <c r="B77" s="32"/>
      <c r="C77" s="32"/>
      <c r="D77" s="33">
        <f>SUM(D74:D76)</f>
      </c>
      <c r="E77" s="33">
        <f>SUM(E74:E76)</f>
      </c>
      <c r="F77" s="33">
        <f>SUM(F74:F76)</f>
      </c>
      <c r="G77" s="33">
        <f>SUM(G74:G76)</f>
      </c>
      <c r="H77" s="33">
        <f>SUM(H74:H76)</f>
      </c>
      <c r="I77" s="34">
        <f t="shared" si="2"/>
      </c>
      <c r="J77" s="35">
        <f t="shared" si="0"/>
      </c>
      <c r="K77" s="35">
        <f t="shared" si="1"/>
      </c>
      <c r="L77" s="36"/>
      <c r="M77" s="33">
        <f>SUM(M74:M76)</f>
      </c>
    </row>
    <row r="78">
      <c r="A78" s="23">
        <v>46080</v>
      </c>
      <c r="B78" s="29" t="s">
        <v>39</v>
      </c>
      <c r="C78" s="25" t="s">
        <v>63</v>
      </c>
      <c r="D78" s="26">
        <v>4</v>
      </c>
      <c r="E78" s="26">
        <v>33</v>
      </c>
      <c r="F78" s="26">
        <v>20</v>
      </c>
      <c r="G78" s="26">
        <v>5235.6</v>
      </c>
      <c r="H78" s="26">
        <v>6156.9</v>
      </c>
      <c r="I78" s="27">
        <f t="shared" si="2"/>
      </c>
      <c r="J78" s="27">
        <f t="shared" si="0"/>
      </c>
      <c r="K78" s="28">
        <f t="shared" si="1"/>
      </c>
      <c r="L78" s="26" t="s">
        <v>38</v>
      </c>
      <c r="M78" s="26">
        <v>12</v>
      </c>
    </row>
    <row r="79">
      <c r="A79" s="23">
        <v>46080</v>
      </c>
      <c r="B79" s="29" t="s">
        <v>36</v>
      </c>
      <c r="C79" s="25" t="s">
        <v>64</v>
      </c>
      <c r="D79" s="26">
        <v>4</v>
      </c>
      <c r="E79" s="26">
        <v>44</v>
      </c>
      <c r="F79" s="26">
        <v>25</v>
      </c>
      <c r="G79" s="26">
        <v>8974.599999999999</v>
      </c>
      <c r="H79" s="26">
        <v>9581.15</v>
      </c>
      <c r="I79" s="27">
        <f t="shared" si="2"/>
      </c>
      <c r="J79" s="27">
        <f t="shared" si="0"/>
      </c>
      <c r="K79" s="28">
        <f t="shared" si="1"/>
      </c>
      <c r="L79" s="30"/>
      <c r="M79" s="30"/>
    </row>
    <row r="80">
      <c r="A80" s="23">
        <v>46080</v>
      </c>
      <c r="B80" s="29" t="s">
        <v>48</v>
      </c>
      <c r="C80" s="25" t="s">
        <v>57</v>
      </c>
      <c r="D80" s="26">
        <v>4</v>
      </c>
      <c r="E80" s="26">
        <v>35</v>
      </c>
      <c r="F80" s="26">
        <v>14</v>
      </c>
      <c r="G80" s="26">
        <v>5359.6</v>
      </c>
      <c r="H80" s="26">
        <v>8377.14</v>
      </c>
      <c r="I80" s="27">
        <f t="shared" si="2"/>
      </c>
      <c r="J80" s="27">
        <f t="shared" si="0"/>
      </c>
      <c r="K80" s="28">
        <f t="shared" si="1"/>
      </c>
      <c r="L80" s="30"/>
      <c r="M80" s="30"/>
    </row>
    <row r="81">
      <c r="A81" s="31">
        <v>46080</v>
      </c>
      <c r="B81" s="32"/>
      <c r="C81" s="32"/>
      <c r="D81" s="33">
        <f>SUM(D78:D80)</f>
      </c>
      <c r="E81" s="33">
        <f>SUM(E78:E80)</f>
      </c>
      <c r="F81" s="33">
        <f>SUM(F78:F80)</f>
      </c>
      <c r="G81" s="33">
        <f>SUM(G78:G80)</f>
      </c>
      <c r="H81" s="33">
        <f>SUM(H78:H80)</f>
      </c>
      <c r="I81" s="34">
        <f t="shared" si="2"/>
      </c>
      <c r="J81" s="35">
        <f t="shared" si="0"/>
      </c>
      <c r="K81" s="35">
        <f t="shared" si="1"/>
      </c>
      <c r="L81" s="36"/>
      <c r="M81" s="33">
        <f>SUM(M78:M80)</f>
      </c>
    </row>
    <row r="82">
      <c r="A82" s="23">
        <v>46081</v>
      </c>
      <c r="B82" s="29" t="s">
        <v>39</v>
      </c>
      <c r="C82" s="25" t="s">
        <v>65</v>
      </c>
      <c r="D82" s="26">
        <v>5</v>
      </c>
      <c r="E82" s="26">
        <v>47</v>
      </c>
      <c r="F82" s="26">
        <v>23</v>
      </c>
      <c r="G82" s="26">
        <v>7266.2</v>
      </c>
      <c r="H82" s="26">
        <v>9927.81</v>
      </c>
      <c r="I82" s="27">
        <f t="shared" si="2"/>
      </c>
      <c r="J82" s="27">
        <f t="shared" si="0"/>
      </c>
      <c r="K82" s="28">
        <f t="shared" si="1"/>
      </c>
      <c r="L82" s="26" t="s">
        <v>38</v>
      </c>
      <c r="M82" s="26">
        <v>10</v>
      </c>
    </row>
    <row r="83">
      <c r="A83" s="23">
        <v>46081</v>
      </c>
      <c r="B83" s="29" t="s">
        <v>48</v>
      </c>
      <c r="C83" s="25" t="s">
        <v>50</v>
      </c>
      <c r="D83" s="26">
        <v>5</v>
      </c>
      <c r="E83" s="26">
        <v>72</v>
      </c>
      <c r="F83" s="26">
        <v>48</v>
      </c>
      <c r="G83" s="26">
        <v>14926</v>
      </c>
      <c r="H83" s="26">
        <v>16618.76</v>
      </c>
      <c r="I83" s="27">
        <f t="shared" si="2"/>
      </c>
      <c r="J83" s="27">
        <f t="shared" si="0"/>
      </c>
      <c r="K83" s="28">
        <f t="shared" si="1"/>
      </c>
      <c r="L83" s="30"/>
      <c r="M83" s="30"/>
    </row>
    <row r="84">
      <c r="A84" s="31">
        <v>46081</v>
      </c>
      <c r="B84" s="32"/>
      <c r="C84" s="32"/>
      <c r="D84" s="33">
        <f>SUM(D82:D83)</f>
      </c>
      <c r="E84" s="33">
        <f>SUM(E82:E83)</f>
      </c>
      <c r="F84" s="33">
        <f>SUM(F82:F83)</f>
      </c>
      <c r="G84" s="33">
        <f>SUM(G82:G83)</f>
      </c>
      <c r="H84" s="33">
        <f>SUM(H82:H83)</f>
      </c>
      <c r="I84" s="34">
        <f t="shared" si="2"/>
      </c>
      <c r="J84" s="35">
        <f t="shared" si="0"/>
      </c>
      <c r="K84" s="35">
        <f t="shared" si="1"/>
      </c>
      <c r="L84" s="36"/>
      <c r="M84" s="33">
        <f>SUM(M82:M83)</f>
      </c>
    </row>
    <row r="85">
      <c r="H85" s="37"/>
    </row>
    <row r="86">
      <c r="H86" s="38"/>
    </row>
  </sheetData>
  <autoFilter ref="A1:T200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2" xSplit="4" ySplit="1"/>
    </sheetView>
  </sheetViews>
  <sheetFormatPr defaultRowHeight="16"/>
  <cols>
    <col collapsed="false" customWidth="true" hidden="false" max="11" min="11" style="0" width="11.211267605633802"/>
    <col collapsed="false" customWidth="true" hidden="false" max="15" min="15" style="0" width="17.425396126760564"/>
    <col collapsed="false" customWidth="true" hidden="false" max="19" min="19" style="0" width="17.425396126760564"/>
    <col collapsed="false" customWidth="true" hidden="false" max="23" min="23" style="0" width="17.425396126760564"/>
    <col collapsed="false" customWidth="true" hidden="false" max="27" min="27" style="0" width="17.425396126760564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7.425396126760564"/>
    <col collapsed="false" customWidth="true" hidden="false" max="22" min="22" style="0" width="17.425396126760564"/>
    <col collapsed="false" customWidth="true" hidden="false" max="26" min="26" style="0" width="17.425396126760564"/>
    <col collapsed="false" customWidth="true" hidden="false" max="29" min="29" style="0" width="17.425396126760564"/>
    <col collapsed="false" customWidth="true" hidden="false" max="5" min="5" style="0" width="11.211267605633802"/>
    <col collapsed="false" customWidth="true" hidden="false" max="9" min="9" style="0" width="19.43661971830986"/>
    <col collapsed="false" customWidth="true" hidden="false" max="13" min="13" style="0" width="11.211267605633802"/>
    <col collapsed="false" customWidth="true" hidden="false" max="17" min="17" style="0" width="17.425396126760564"/>
    <col collapsed="false" customWidth="true" hidden="false" max="21" min="21" style="0" width="17.425396126760564"/>
    <col collapsed="false" customWidth="true" hidden="false" max="25" min="25" style="0" width="17.425396126760564"/>
    <col collapsed="false" customWidth="true" hidden="false" max="12" min="12" style="0" width="11.211267605633802"/>
    <col collapsed="false" customWidth="true" hidden="false" max="16" min="16" style="0" width="17.425396126760564"/>
    <col collapsed="false" customWidth="true" hidden="false" max="20" min="20" style="0" width="17.425396126760564"/>
    <col collapsed="false" customWidth="true" hidden="false" max="24" min="24" style="0" width="17.425396126760564"/>
    <col collapsed="false" customWidth="true" hidden="false" max="28" min="28" style="0" width="17.425396126760564"/>
  </cols>
  <sheetData>
    <row r="1">
      <c r="A1" s="39" t="s">
        <v>66</v>
      </c>
      <c r="B1" s="40" t="s">
        <v>67</v>
      </c>
      <c r="C1" s="40" t="s">
        <v>68</v>
      </c>
      <c r="D1" s="40" t="s">
        <v>69</v>
      </c>
      <c r="E1" s="41" t="s">
        <v>70</v>
      </c>
      <c r="F1" s="40" t="s">
        <v>71</v>
      </c>
      <c r="G1" s="40" t="s">
        <v>72</v>
      </c>
      <c r="H1" s="40" t="s">
        <v>73</v>
      </c>
      <c r="I1" s="40" t="s">
        <v>74</v>
      </c>
      <c r="J1" s="42" t="s">
        <v>75</v>
      </c>
      <c r="K1" s="42" t="s">
        <v>76</v>
      </c>
      <c r="L1" s="42" t="s">
        <v>77</v>
      </c>
      <c r="M1" s="43" t="s">
        <v>78</v>
      </c>
      <c r="N1" s="43" t="s">
        <v>79</v>
      </c>
      <c r="O1" s="43" t="s">
        <v>80</v>
      </c>
      <c r="P1" s="42" t="s">
        <v>81</v>
      </c>
      <c r="Q1" s="40" t="s">
        <v>82</v>
      </c>
      <c r="R1" s="44"/>
      <c r="S1" s="44"/>
      <c r="T1" s="44"/>
    </row>
    <row r="2">
      <c r="A2" s="45">
        <v>46082</v>
      </c>
      <c r="B2" s="46" t="s">
        <v>83</v>
      </c>
      <c r="C2" s="47" t="s">
        <v>84</v>
      </c>
      <c r="D2" s="48">
        <v>4</v>
      </c>
      <c r="E2" s="48">
        <v>0</v>
      </c>
      <c r="F2" s="48">
        <v>43</v>
      </c>
      <c r="G2" s="48">
        <v>14</v>
      </c>
      <c r="H2" s="48">
        <v>5240.8</v>
      </c>
      <c r="I2" s="48">
        <v>8910.34</v>
      </c>
      <c r="J2" s="49">
        <f t="shared" ref="J2:J138" si="3">H2/I2</f>
      </c>
      <c r="K2" s="49">
        <f t="shared" ref="K2:K138" si="0">H2/G2</f>
      </c>
      <c r="L2" s="50">
        <f t="shared" ref="L2:L138" si="4">I2/G2</f>
      </c>
      <c r="M2" s="51">
        <f t="shared" ref="M2:M138" si="1">E2/G2</f>
      </c>
      <c r="N2" s="48">
        <v>0</v>
      </c>
      <c r="O2" s="51">
        <f t="shared" ref="O2:O138" si="5">N2/G2</f>
      </c>
      <c r="P2" s="48" t="s">
        <v>85</v>
      </c>
      <c r="Q2" s="48">
        <v>12</v>
      </c>
    </row>
    <row r="3">
      <c r="A3" s="45">
        <v>46082</v>
      </c>
      <c r="B3" s="46" t="s">
        <v>86</v>
      </c>
      <c r="C3" s="47" t="s">
        <v>87</v>
      </c>
      <c r="D3" s="48">
        <v>4</v>
      </c>
      <c r="E3" s="48">
        <v>0</v>
      </c>
      <c r="F3" s="48">
        <v>87</v>
      </c>
      <c r="G3" s="48">
        <v>36</v>
      </c>
      <c r="H3" s="48">
        <v>12803.2</v>
      </c>
      <c r="I3" s="48">
        <v>11747.29</v>
      </c>
      <c r="J3" s="49">
        <f t="shared" si="3"/>
      </c>
      <c r="K3" s="49">
        <f t="shared" si="0"/>
      </c>
      <c r="L3" s="50">
        <f t="shared" si="4"/>
      </c>
      <c r="M3" s="51">
        <f t="shared" si="1"/>
      </c>
      <c r="N3" s="48">
        <v>5</v>
      </c>
      <c r="O3" s="51">
        <f t="shared" si="5"/>
      </c>
      <c r="P3" s="52"/>
      <c r="Q3" s="52"/>
    </row>
    <row r="4">
      <c r="A4" s="45">
        <v>46082</v>
      </c>
      <c r="B4" s="46" t="s">
        <v>88</v>
      </c>
      <c r="C4" s="47" t="s">
        <v>89</v>
      </c>
      <c r="D4" s="48">
        <v>4</v>
      </c>
      <c r="E4" s="48">
        <v>0</v>
      </c>
      <c r="F4" s="48">
        <v>64</v>
      </c>
      <c r="G4" s="48">
        <v>21</v>
      </c>
      <c r="H4" s="48">
        <v>6198.299999999999</v>
      </c>
      <c r="I4" s="48">
        <v>10251.2</v>
      </c>
      <c r="J4" s="49">
        <f t="shared" si="3"/>
      </c>
      <c r="K4" s="49">
        <f t="shared" si="0"/>
      </c>
      <c r="L4" s="50">
        <f t="shared" si="4"/>
      </c>
      <c r="M4" s="51">
        <f t="shared" si="1"/>
      </c>
      <c r="N4" s="48">
        <v>1</v>
      </c>
      <c r="O4" s="51">
        <f t="shared" si="5"/>
      </c>
      <c r="P4" s="52"/>
      <c r="Q4" s="52"/>
    </row>
    <row r="5">
      <c r="A5" s="53">
        <v>46082</v>
      </c>
      <c r="B5" s="54"/>
      <c r="C5" s="54"/>
      <c r="D5" s="55">
        <f>SUM(D2:D4)</f>
      </c>
      <c r="E5" s="55">
        <f>SUM(E2:E4)</f>
      </c>
      <c r="F5" s="55">
        <f>SUM(F2:F4)</f>
      </c>
      <c r="G5" s="55">
        <f>SUM(G2:G4)</f>
      </c>
      <c r="H5" s="55">
        <f>SUM(H2:H4)</f>
      </c>
      <c r="I5" s="55">
        <f>SUM(I2:I4)</f>
      </c>
      <c r="J5" s="56">
        <f t="shared" si="3"/>
      </c>
      <c r="K5" s="57">
        <f t="shared" si="0"/>
      </c>
      <c r="L5" s="57">
        <f t="shared" si="4"/>
      </c>
      <c r="M5" s="58">
        <f t="shared" si="1"/>
      </c>
      <c r="N5" s="55">
        <f>SUM(N2:N4)</f>
      </c>
      <c r="O5" s="59">
        <f t="shared" si="5"/>
      </c>
      <c r="P5" s="60"/>
      <c r="Q5" s="55">
        <f>SUM(Q2:Q4)</f>
      </c>
    </row>
    <row r="6">
      <c r="A6" s="45">
        <v>46083</v>
      </c>
      <c r="B6" s="46" t="s">
        <v>83</v>
      </c>
      <c r="C6" s="47" t="s">
        <v>84</v>
      </c>
      <c r="D6" s="48">
        <v>4</v>
      </c>
      <c r="E6" s="48">
        <v>4</v>
      </c>
      <c r="F6" s="48">
        <v>48</v>
      </c>
      <c r="G6" s="48">
        <v>12</v>
      </c>
      <c r="H6" s="48">
        <v>3164.8</v>
      </c>
      <c r="I6" s="48">
        <v>6920.200000000001</v>
      </c>
      <c r="J6" s="49">
        <f t="shared" si="3"/>
      </c>
      <c r="K6" s="49">
        <f t="shared" si="0"/>
      </c>
      <c r="L6" s="50">
        <f t="shared" si="4"/>
      </c>
      <c r="M6" s="51">
        <f t="shared" si="1"/>
      </c>
      <c r="N6" s="48">
        <v>2</v>
      </c>
      <c r="O6" s="51">
        <f t="shared" si="5"/>
      </c>
      <c r="P6" s="48" t="s">
        <v>85</v>
      </c>
      <c r="Q6" s="48">
        <v>6</v>
      </c>
    </row>
    <row r="7">
      <c r="A7" s="45">
        <v>46083</v>
      </c>
      <c r="B7" s="46" t="s">
        <v>86</v>
      </c>
      <c r="C7" s="47" t="s">
        <v>90</v>
      </c>
      <c r="D7" s="48">
        <v>2</v>
      </c>
      <c r="E7" s="48">
        <v>1</v>
      </c>
      <c r="F7" s="48">
        <v>9</v>
      </c>
      <c r="G7" s="48">
        <v>1</v>
      </c>
      <c r="H7" s="48">
        <v>196</v>
      </c>
      <c r="I7" s="48">
        <v>2303.34</v>
      </c>
      <c r="J7" s="49">
        <f t="shared" si="3"/>
      </c>
      <c r="K7" s="49">
        <f t="shared" si="0"/>
      </c>
      <c r="L7" s="50">
        <f t="shared" si="4"/>
      </c>
      <c r="M7" s="51">
        <f t="shared" si="1"/>
      </c>
      <c r="N7" s="48">
        <v>0</v>
      </c>
      <c r="O7" s="51">
        <f t="shared" si="5"/>
      </c>
      <c r="P7" s="52"/>
      <c r="Q7" s="52"/>
    </row>
    <row r="8">
      <c r="A8" s="53">
        <v>46083</v>
      </c>
      <c r="B8" s="54"/>
      <c r="C8" s="54"/>
      <c r="D8" s="55">
        <f>SUM(D6:D7)</f>
      </c>
      <c r="E8" s="55">
        <f>SUM(E6:E7)</f>
      </c>
      <c r="F8" s="55">
        <f>SUM(F6:F7)</f>
      </c>
      <c r="G8" s="55">
        <f>SUM(G6:G7)</f>
      </c>
      <c r="H8" s="55">
        <f>SUM(H6:H7)</f>
      </c>
      <c r="I8" s="55">
        <f>SUM(I6:I7)</f>
      </c>
      <c r="J8" s="56">
        <f t="shared" si="3"/>
      </c>
      <c r="K8" s="57">
        <f t="shared" si="0"/>
      </c>
      <c r="L8" s="57">
        <f t="shared" si="4"/>
      </c>
      <c r="M8" s="58">
        <f t="shared" si="1"/>
      </c>
      <c r="N8" s="55">
        <f>SUM(N6:N7)</f>
      </c>
      <c r="O8" s="59">
        <f t="shared" si="5"/>
      </c>
      <c r="P8" s="60"/>
      <c r="Q8" s="55">
        <f>SUM(Q6:Q7)</f>
      </c>
    </row>
    <row r="9">
      <c r="A9" s="45">
        <v>46084</v>
      </c>
      <c r="B9" s="61" t="s">
        <v>91</v>
      </c>
      <c r="C9" s="47" t="s">
        <v>84</v>
      </c>
      <c r="D9" s="48">
        <v>4</v>
      </c>
      <c r="E9" s="48">
        <v>6</v>
      </c>
      <c r="F9" s="48">
        <v>105</v>
      </c>
      <c r="G9" s="48">
        <v>35</v>
      </c>
      <c r="H9" s="48">
        <v>10412.4</v>
      </c>
      <c r="I9" s="48">
        <v>9761</v>
      </c>
      <c r="J9" s="49">
        <f t="shared" si="3"/>
      </c>
      <c r="K9" s="49">
        <f t="shared" si="0"/>
      </c>
      <c r="L9" s="50">
        <f t="shared" si="4"/>
      </c>
      <c r="M9" s="51">
        <f t="shared" si="1"/>
      </c>
      <c r="N9" s="48">
        <v>5</v>
      </c>
      <c r="O9" s="51">
        <f t="shared" si="5"/>
      </c>
      <c r="P9" s="48" t="s">
        <v>85</v>
      </c>
      <c r="Q9" s="48">
        <v>11</v>
      </c>
    </row>
    <row r="10">
      <c r="A10" s="45">
        <v>46084</v>
      </c>
      <c r="B10" s="46" t="s">
        <v>86</v>
      </c>
      <c r="C10" s="47" t="s">
        <v>87</v>
      </c>
      <c r="D10" s="48">
        <v>4</v>
      </c>
      <c r="E10" s="48">
        <v>7</v>
      </c>
      <c r="F10" s="48">
        <v>67</v>
      </c>
      <c r="G10" s="48">
        <v>25</v>
      </c>
      <c r="H10" s="48">
        <v>8946.4</v>
      </c>
      <c r="I10" s="48">
        <v>13533.539999999999</v>
      </c>
      <c r="J10" s="49">
        <f t="shared" si="3"/>
      </c>
      <c r="K10" s="49">
        <f t="shared" si="0"/>
      </c>
      <c r="L10" s="50">
        <f t="shared" si="4"/>
      </c>
      <c r="M10" s="51">
        <f t="shared" si="1"/>
      </c>
      <c r="N10" s="48">
        <v>4</v>
      </c>
      <c r="O10" s="51">
        <f t="shared" si="5"/>
      </c>
      <c r="P10" s="52"/>
      <c r="Q10" s="52"/>
    </row>
    <row r="11">
      <c r="A11" s="45">
        <v>46084</v>
      </c>
      <c r="B11" s="46" t="s">
        <v>83</v>
      </c>
      <c r="C11" s="47" t="s">
        <v>89</v>
      </c>
      <c r="D11" s="48">
        <v>4</v>
      </c>
      <c r="E11" s="48">
        <v>2</v>
      </c>
      <c r="F11" s="48">
        <v>60</v>
      </c>
      <c r="G11" s="48">
        <v>20</v>
      </c>
      <c r="H11" s="48">
        <v>5631.600000000002</v>
      </c>
      <c r="I11" s="48">
        <v>12977</v>
      </c>
      <c r="J11" s="49">
        <f t="shared" si="3"/>
      </c>
      <c r="K11" s="49">
        <f t="shared" si="0"/>
      </c>
      <c r="L11" s="50">
        <f t="shared" si="4"/>
      </c>
      <c r="M11" s="51">
        <f t="shared" si="1"/>
      </c>
      <c r="N11" s="48">
        <v>3</v>
      </c>
      <c r="O11" s="51">
        <f t="shared" si="5"/>
      </c>
      <c r="P11" s="48" t="s">
        <v>92</v>
      </c>
      <c r="Q11" s="48">
        <v>1</v>
      </c>
    </row>
    <row r="12">
      <c r="A12" s="53">
        <v>46084</v>
      </c>
      <c r="B12" s="54"/>
      <c r="C12" s="54"/>
      <c r="D12" s="55">
        <f>SUM(D9:D11)</f>
      </c>
      <c r="E12" s="55">
        <f>SUM(E9:E11)</f>
      </c>
      <c r="F12" s="55">
        <f>SUM(F9:F11)</f>
      </c>
      <c r="G12" s="55">
        <f>SUM(G9:G11)</f>
      </c>
      <c r="H12" s="55">
        <f>SUM(H9:H11)</f>
      </c>
      <c r="I12" s="55">
        <f>SUM(I9:I11)</f>
      </c>
      <c r="J12" s="56">
        <f t="shared" si="3"/>
      </c>
      <c r="K12" s="57">
        <f t="shared" si="0"/>
      </c>
      <c r="L12" s="57">
        <f t="shared" si="4"/>
      </c>
      <c r="M12" s="58">
        <f t="shared" si="1"/>
      </c>
      <c r="N12" s="55">
        <f>SUM(N9:N11)</f>
      </c>
      <c r="O12" s="59">
        <f t="shared" si="5"/>
      </c>
      <c r="P12" s="60"/>
      <c r="Q12" s="55">
        <f>SUM(Q9:Q11)</f>
      </c>
    </row>
    <row r="13">
      <c r="A13" s="45">
        <v>46085</v>
      </c>
      <c r="B13" s="61" t="s">
        <v>91</v>
      </c>
      <c r="C13" s="47" t="s">
        <v>84</v>
      </c>
      <c r="D13" s="48">
        <v>4</v>
      </c>
      <c r="E13" s="48">
        <v>3</v>
      </c>
      <c r="F13" s="48">
        <v>59</v>
      </c>
      <c r="G13" s="48">
        <v>23</v>
      </c>
      <c r="H13" s="48">
        <v>8555.9</v>
      </c>
      <c r="I13" s="48">
        <v>8104.490000000001</v>
      </c>
      <c r="J13" s="49">
        <f t="shared" si="3"/>
      </c>
      <c r="K13" s="49">
        <f t="shared" si="0"/>
      </c>
      <c r="L13" s="50">
        <f t="shared" si="4"/>
      </c>
      <c r="M13" s="51">
        <f t="shared" si="1"/>
      </c>
      <c r="N13" s="48">
        <v>4</v>
      </c>
      <c r="O13" s="51">
        <f t="shared" si="5"/>
      </c>
      <c r="P13" s="48" t="s">
        <v>85</v>
      </c>
      <c r="Q13" s="48">
        <v>12</v>
      </c>
    </row>
    <row r="14">
      <c r="A14" s="45">
        <v>46085</v>
      </c>
      <c r="B14" s="46" t="s">
        <v>83</v>
      </c>
      <c r="C14" s="47" t="s">
        <v>87</v>
      </c>
      <c r="D14" s="48">
        <v>4</v>
      </c>
      <c r="E14" s="48">
        <v>9</v>
      </c>
      <c r="F14" s="48">
        <v>59</v>
      </c>
      <c r="G14" s="48">
        <v>27</v>
      </c>
      <c r="H14" s="48">
        <v>9302.1</v>
      </c>
      <c r="I14" s="48">
        <v>8983.460000000001</v>
      </c>
      <c r="J14" s="49">
        <f t="shared" si="3"/>
      </c>
      <c r="K14" s="49">
        <f t="shared" si="0"/>
      </c>
      <c r="L14" s="50">
        <f t="shared" si="4"/>
      </c>
      <c r="M14" s="51">
        <f t="shared" si="1"/>
      </c>
      <c r="N14" s="48">
        <v>5</v>
      </c>
      <c r="O14" s="51">
        <f t="shared" si="5"/>
      </c>
      <c r="P14" s="52"/>
      <c r="Q14" s="52"/>
    </row>
    <row r="15">
      <c r="A15" s="45">
        <v>46085</v>
      </c>
      <c r="B15" s="46" t="s">
        <v>86</v>
      </c>
      <c r="C15" s="47" t="s">
        <v>89</v>
      </c>
      <c r="D15" s="48">
        <v>4</v>
      </c>
      <c r="E15" s="48">
        <v>10</v>
      </c>
      <c r="F15" s="48">
        <v>93</v>
      </c>
      <c r="G15" s="48">
        <v>37</v>
      </c>
      <c r="H15" s="48">
        <v>12520.899999999998</v>
      </c>
      <c r="I15" s="48">
        <v>18119.17</v>
      </c>
      <c r="J15" s="49">
        <f t="shared" si="3"/>
      </c>
      <c r="K15" s="49">
        <f t="shared" si="0"/>
      </c>
      <c r="L15" s="50">
        <f t="shared" si="4"/>
      </c>
      <c r="M15" s="51">
        <f t="shared" si="1"/>
      </c>
      <c r="N15" s="48">
        <v>6</v>
      </c>
      <c r="O15" s="51">
        <f t="shared" si="5"/>
      </c>
      <c r="P15" s="48"/>
      <c r="Q15" s="48"/>
    </row>
    <row r="16">
      <c r="A16" s="53">
        <v>46085</v>
      </c>
      <c r="B16" s="54"/>
      <c r="C16" s="54"/>
      <c r="D16" s="55">
        <f>SUM(D13:D15)</f>
      </c>
      <c r="E16" s="55">
        <f>SUM(E13:E15)</f>
      </c>
      <c r="F16" s="55">
        <f>SUM(F13:F15)</f>
      </c>
      <c r="G16" s="55">
        <f>SUM(G13:G15)</f>
      </c>
      <c r="H16" s="55">
        <f>SUM(H13:H15)</f>
      </c>
      <c r="I16" s="55">
        <f>SUM(I13:I15)</f>
      </c>
      <c r="J16" s="56">
        <f t="shared" si="3"/>
      </c>
      <c r="K16" s="57">
        <f t="shared" si="0"/>
      </c>
      <c r="L16" s="57">
        <f t="shared" si="4"/>
      </c>
      <c r="M16" s="58">
        <f t="shared" si="1"/>
      </c>
      <c r="N16" s="55">
        <f>SUM(N13:N15)</f>
      </c>
      <c r="O16" s="59">
        <f t="shared" si="5"/>
      </c>
      <c r="P16" s="60"/>
      <c r="Q16" s="55">
        <f>SUM(Q13:Q15)</f>
      </c>
    </row>
    <row r="17">
      <c r="A17" s="45">
        <v>46086</v>
      </c>
      <c r="B17" s="61" t="s">
        <v>91</v>
      </c>
      <c r="C17" s="47" t="s">
        <v>93</v>
      </c>
      <c r="D17" s="48">
        <v>3</v>
      </c>
      <c r="E17" s="48">
        <v>1</v>
      </c>
      <c r="F17" s="48">
        <v>18</v>
      </c>
      <c r="G17" s="48">
        <v>4</v>
      </c>
      <c r="H17" s="48">
        <v>1470.4</v>
      </c>
      <c r="I17" s="48">
        <v>3788.3</v>
      </c>
      <c r="J17" s="49">
        <f t="shared" si="3"/>
      </c>
      <c r="K17" s="49">
        <f t="shared" si="0"/>
      </c>
      <c r="L17" s="50">
        <f t="shared" si="4"/>
      </c>
      <c r="M17" s="51">
        <f t="shared" si="1"/>
      </c>
      <c r="N17" s="48">
        <v>0</v>
      </c>
      <c r="O17" s="51">
        <f t="shared" si="5"/>
      </c>
      <c r="P17" s="48" t="s">
        <v>85</v>
      </c>
      <c r="Q17" s="48">
        <v>12</v>
      </c>
    </row>
    <row r="18">
      <c r="A18" s="45">
        <v>46086</v>
      </c>
      <c r="B18" s="46" t="s">
        <v>83</v>
      </c>
      <c r="C18" s="47" t="s">
        <v>94</v>
      </c>
      <c r="D18" s="48">
        <v>5</v>
      </c>
      <c r="E18" s="48">
        <v>6</v>
      </c>
      <c r="F18" s="48">
        <v>63</v>
      </c>
      <c r="G18" s="48">
        <v>20</v>
      </c>
      <c r="H18" s="48">
        <v>4300.799999999999</v>
      </c>
      <c r="I18" s="48">
        <v>6212.42</v>
      </c>
      <c r="J18" s="49">
        <f t="shared" si="3"/>
      </c>
      <c r="K18" s="49">
        <f t="shared" si="0"/>
      </c>
      <c r="L18" s="50">
        <f t="shared" si="4"/>
      </c>
      <c r="M18" s="51">
        <f t="shared" si="1"/>
      </c>
      <c r="N18" s="48">
        <v>1</v>
      </c>
      <c r="O18" s="51">
        <f t="shared" si="5"/>
      </c>
      <c r="P18" s="52"/>
      <c r="Q18" s="52"/>
    </row>
    <row r="19">
      <c r="A19" s="45">
        <v>46086</v>
      </c>
      <c r="B19" s="46" t="s">
        <v>86</v>
      </c>
      <c r="C19" s="47" t="s">
        <v>89</v>
      </c>
      <c r="D19" s="48">
        <v>4</v>
      </c>
      <c r="E19" s="48">
        <v>12</v>
      </c>
      <c r="F19" s="48">
        <v>87</v>
      </c>
      <c r="G19" s="48">
        <v>32</v>
      </c>
      <c r="H19" s="48">
        <v>10379.400000000001</v>
      </c>
      <c r="I19" s="48">
        <v>13240.95</v>
      </c>
      <c r="J19" s="49">
        <f t="shared" si="3"/>
      </c>
      <c r="K19" s="49">
        <f t="shared" si="0"/>
      </c>
      <c r="L19" s="50">
        <f t="shared" si="4"/>
      </c>
      <c r="M19" s="51">
        <f t="shared" si="1"/>
      </c>
      <c r="N19" s="48">
        <v>9</v>
      </c>
      <c r="O19" s="51">
        <f t="shared" si="5"/>
      </c>
      <c r="P19" s="48"/>
      <c r="Q19" s="48"/>
    </row>
    <row r="20">
      <c r="A20" s="53">
        <v>46086</v>
      </c>
      <c r="B20" s="54"/>
      <c r="C20" s="54"/>
      <c r="D20" s="55">
        <f>SUM(D17:D19)</f>
      </c>
      <c r="E20" s="55">
        <f>SUM(E17:E19)</f>
      </c>
      <c r="F20" s="55">
        <f>SUM(F17:F19)</f>
      </c>
      <c r="G20" s="55">
        <f>SUM(G17:G19)</f>
      </c>
      <c r="H20" s="55">
        <f>SUM(H17:H19)</f>
      </c>
      <c r="I20" s="55">
        <f>SUM(I17:I19)</f>
      </c>
      <c r="J20" s="56">
        <f t="shared" si="3"/>
      </c>
      <c r="K20" s="57">
        <f t="shared" si="0"/>
      </c>
      <c r="L20" s="57">
        <f t="shared" si="4"/>
      </c>
      <c r="M20" s="58">
        <f t="shared" si="1"/>
      </c>
      <c r="N20" s="55">
        <f>SUM(N17:N19)</f>
      </c>
      <c r="O20" s="59">
        <f t="shared" si="5"/>
      </c>
      <c r="P20" s="60"/>
      <c r="Q20" s="55">
        <f>SUM(Q17:Q19)</f>
      </c>
    </row>
    <row r="21">
      <c r="A21" s="45">
        <v>46087</v>
      </c>
      <c r="B21" s="61" t="s">
        <v>91</v>
      </c>
      <c r="C21" s="47" t="s">
        <v>84</v>
      </c>
      <c r="D21" s="48">
        <v>4</v>
      </c>
      <c r="E21" s="48">
        <v>6</v>
      </c>
      <c r="F21" s="48">
        <v>41</v>
      </c>
      <c r="G21" s="48">
        <v>23</v>
      </c>
      <c r="H21" s="48">
        <v>8485</v>
      </c>
      <c r="I21" s="48">
        <v>9911.43</v>
      </c>
      <c r="J21" s="49">
        <f t="shared" si="3"/>
      </c>
      <c r="K21" s="49">
        <f t="shared" si="0"/>
      </c>
      <c r="L21" s="50">
        <f t="shared" si="4"/>
      </c>
      <c r="M21" s="51">
        <f t="shared" si="1"/>
      </c>
      <c r="N21" s="48">
        <v>6</v>
      </c>
      <c r="O21" s="51">
        <f t="shared" si="5"/>
      </c>
      <c r="P21" s="48" t="s">
        <v>95</v>
      </c>
      <c r="Q21" s="48">
        <v>12</v>
      </c>
    </row>
    <row r="22">
      <c r="A22" s="45">
        <v>46087</v>
      </c>
      <c r="B22" s="46" t="s">
        <v>86</v>
      </c>
      <c r="C22" s="47" t="s">
        <v>87</v>
      </c>
      <c r="D22" s="48">
        <v>4</v>
      </c>
      <c r="E22" s="48">
        <v>4</v>
      </c>
      <c r="F22" s="48">
        <v>44</v>
      </c>
      <c r="G22" s="48">
        <v>18</v>
      </c>
      <c r="H22" s="48">
        <v>4565.200000000001</v>
      </c>
      <c r="I22" s="48">
        <v>9959.08</v>
      </c>
      <c r="J22" s="49">
        <f t="shared" si="3"/>
      </c>
      <c r="K22" s="49">
        <f t="shared" si="0"/>
      </c>
      <c r="L22" s="50">
        <f t="shared" si="4"/>
      </c>
      <c r="M22" s="51">
        <f t="shared" si="1"/>
      </c>
      <c r="N22" s="48">
        <v>1</v>
      </c>
      <c r="O22" s="51">
        <f t="shared" si="5"/>
      </c>
      <c r="P22" s="52"/>
      <c r="Q22" s="52"/>
    </row>
    <row r="23">
      <c r="A23" s="45">
        <v>46087</v>
      </c>
      <c r="B23" s="46" t="s">
        <v>83</v>
      </c>
      <c r="C23" s="47" t="s">
        <v>89</v>
      </c>
      <c r="D23" s="48">
        <v>4</v>
      </c>
      <c r="E23" s="48">
        <v>14</v>
      </c>
      <c r="F23" s="48">
        <v>50</v>
      </c>
      <c r="G23" s="48">
        <v>28</v>
      </c>
      <c r="H23" s="48">
        <v>7114.399999999998</v>
      </c>
      <c r="I23" s="48">
        <v>8605.16</v>
      </c>
      <c r="J23" s="49">
        <f t="shared" si="3"/>
      </c>
      <c r="K23" s="49">
        <f t="shared" si="0"/>
      </c>
      <c r="L23" s="50">
        <f t="shared" si="4"/>
      </c>
      <c r="M23" s="51">
        <f t="shared" si="1"/>
      </c>
      <c r="N23" s="48">
        <v>0</v>
      </c>
      <c r="O23" s="51">
        <f t="shared" si="5"/>
      </c>
      <c r="P23" s="48"/>
      <c r="Q23" s="48"/>
    </row>
    <row r="24">
      <c r="A24" s="53">
        <v>46087</v>
      </c>
      <c r="B24" s="54"/>
      <c r="C24" s="54"/>
      <c r="D24" s="55">
        <f>SUM(D21:D23)</f>
      </c>
      <c r="E24" s="55">
        <f>SUM(E21:E23)</f>
      </c>
      <c r="F24" s="55">
        <f>SUM(F21:F23)</f>
      </c>
      <c r="G24" s="55">
        <f>SUM(G21:G23)</f>
      </c>
      <c r="H24" s="55">
        <f>SUM(H21:H23)</f>
      </c>
      <c r="I24" s="55">
        <f>SUM(I21:I23)</f>
      </c>
      <c r="J24" s="56">
        <f t="shared" si="3"/>
      </c>
      <c r="K24" s="57">
        <f t="shared" si="0"/>
      </c>
      <c r="L24" s="57">
        <f t="shared" si="4"/>
      </c>
      <c r="M24" s="58">
        <f t="shared" si="1"/>
      </c>
      <c r="N24" s="55">
        <f>SUM(N21:N23)</f>
      </c>
      <c r="O24" s="59">
        <f t="shared" si="5"/>
      </c>
      <c r="P24" s="60"/>
      <c r="Q24" s="55">
        <f>SUM(Q21:Q23)</f>
      </c>
    </row>
    <row r="25">
      <c r="A25" s="45">
        <v>46088</v>
      </c>
      <c r="B25" s="61" t="s">
        <v>91</v>
      </c>
      <c r="C25" s="47" t="s">
        <v>96</v>
      </c>
      <c r="D25" s="48">
        <v>5</v>
      </c>
      <c r="E25" s="48">
        <v>9</v>
      </c>
      <c r="F25" s="48">
        <v>54</v>
      </c>
      <c r="G25" s="48">
        <v>32</v>
      </c>
      <c r="H25" s="48">
        <v>12358.8</v>
      </c>
      <c r="I25" s="48">
        <v>12804.83</v>
      </c>
      <c r="J25" s="49">
        <f t="shared" si="3"/>
      </c>
      <c r="K25" s="49">
        <f t="shared" si="0"/>
      </c>
      <c r="L25" s="50">
        <f t="shared" si="4"/>
      </c>
      <c r="M25" s="51">
        <f t="shared" si="1"/>
      </c>
      <c r="N25" s="48">
        <v>2</v>
      </c>
      <c r="O25" s="51">
        <f t="shared" si="5"/>
      </c>
      <c r="P25" s="48" t="s">
        <v>95</v>
      </c>
      <c r="Q25" s="48">
        <v>12</v>
      </c>
    </row>
    <row r="26">
      <c r="A26" s="45">
        <v>46088</v>
      </c>
      <c r="B26" s="46" t="s">
        <v>86</v>
      </c>
      <c r="C26" s="47" t="s">
        <v>97</v>
      </c>
      <c r="D26" s="48">
        <v>2</v>
      </c>
      <c r="E26" s="48">
        <v>0</v>
      </c>
      <c r="F26" s="48">
        <v>10</v>
      </c>
      <c r="G26" s="48">
        <v>4</v>
      </c>
      <c r="H26" s="48">
        <v>912</v>
      </c>
      <c r="I26" s="48">
        <v>3774.48</v>
      </c>
      <c r="J26" s="49">
        <f t="shared" si="3"/>
      </c>
      <c r="K26" s="49">
        <f t="shared" si="0"/>
      </c>
      <c r="L26" s="50">
        <f t="shared" si="4"/>
      </c>
      <c r="M26" s="51">
        <f t="shared" si="1"/>
      </c>
      <c r="N26" s="48">
        <v>0</v>
      </c>
      <c r="O26" s="51">
        <f t="shared" si="5"/>
      </c>
      <c r="P26" s="52"/>
      <c r="Q26" s="52"/>
    </row>
    <row r="27">
      <c r="A27" s="45">
        <v>46088</v>
      </c>
      <c r="B27" s="46" t="s">
        <v>83</v>
      </c>
      <c r="C27" s="47" t="s">
        <v>98</v>
      </c>
      <c r="D27" s="48">
        <v>5</v>
      </c>
      <c r="E27" s="48">
        <v>10</v>
      </c>
      <c r="F27" s="48">
        <v>64</v>
      </c>
      <c r="G27" s="48">
        <v>39</v>
      </c>
      <c r="H27" s="48">
        <v>13922.8</v>
      </c>
      <c r="I27" s="48">
        <v>12354.77</v>
      </c>
      <c r="J27" s="49">
        <f t="shared" si="3"/>
      </c>
      <c r="K27" s="49">
        <f t="shared" si="0"/>
      </c>
      <c r="L27" s="50">
        <f t="shared" si="4"/>
      </c>
      <c r="M27" s="51">
        <f t="shared" si="1"/>
      </c>
      <c r="N27" s="48">
        <v>2</v>
      </c>
      <c r="O27" s="51">
        <f t="shared" si="5"/>
      </c>
      <c r="P27" s="48"/>
      <c r="Q27" s="48"/>
    </row>
    <row r="28">
      <c r="A28" s="53">
        <v>46088</v>
      </c>
      <c r="B28" s="54"/>
      <c r="C28" s="54"/>
      <c r="D28" s="55">
        <f>SUM(D25:D27)</f>
      </c>
      <c r="E28" s="55">
        <f>SUM(E25:E27)</f>
      </c>
      <c r="F28" s="55">
        <f>SUM(F25:F27)</f>
      </c>
      <c r="G28" s="55">
        <f>SUM(G25:G27)</f>
      </c>
      <c r="H28" s="55">
        <f>SUM(H25:H27)</f>
      </c>
      <c r="I28" s="55">
        <f>SUM(I25:I27)</f>
      </c>
      <c r="J28" s="56">
        <f t="shared" si="3"/>
      </c>
      <c r="K28" s="57">
        <f t="shared" si="0"/>
      </c>
      <c r="L28" s="57">
        <f t="shared" si="4"/>
      </c>
      <c r="M28" s="58">
        <f t="shared" si="1"/>
      </c>
      <c r="N28" s="55">
        <f>SUM(N25:N27)</f>
      </c>
      <c r="O28" s="59">
        <f t="shared" si="5"/>
      </c>
      <c r="P28" s="60"/>
      <c r="Q28" s="55">
        <f>SUM(Q25:Q27)</f>
      </c>
    </row>
    <row r="29">
      <c r="A29" s="45">
        <v>46089</v>
      </c>
      <c r="B29" s="61" t="s">
        <v>91</v>
      </c>
      <c r="C29" s="47" t="s">
        <v>96</v>
      </c>
      <c r="D29" s="48">
        <v>5</v>
      </c>
      <c r="E29" s="48">
        <v>4</v>
      </c>
      <c r="F29" s="48">
        <v>36</v>
      </c>
      <c r="G29" s="48">
        <v>17</v>
      </c>
      <c r="H29" s="48">
        <v>5548</v>
      </c>
      <c r="I29" s="48">
        <v>14367.06</v>
      </c>
      <c r="J29" s="49">
        <f t="shared" si="3"/>
      </c>
      <c r="K29" s="49">
        <f t="shared" si="0"/>
      </c>
      <c r="L29" s="50">
        <f t="shared" si="4"/>
      </c>
      <c r="M29" s="51">
        <f t="shared" si="1"/>
      </c>
      <c r="N29" s="48">
        <v>0</v>
      </c>
      <c r="O29" s="51">
        <f t="shared" si="5"/>
      </c>
      <c r="P29" s="48" t="s">
        <v>95</v>
      </c>
      <c r="Q29" s="48">
        <v>12</v>
      </c>
    </row>
    <row r="30">
      <c r="A30" s="45">
        <v>46089</v>
      </c>
      <c r="B30" s="46" t="s">
        <v>99</v>
      </c>
      <c r="C30" s="47" t="s">
        <v>97</v>
      </c>
      <c r="D30" s="48">
        <v>2</v>
      </c>
      <c r="E30" s="48">
        <v>4</v>
      </c>
      <c r="F30" s="48">
        <v>27</v>
      </c>
      <c r="G30" s="48">
        <v>16</v>
      </c>
      <c r="H30" s="48">
        <v>4120</v>
      </c>
      <c r="I30" s="48">
        <v>5326.9</v>
      </c>
      <c r="J30" s="49">
        <f t="shared" si="3"/>
      </c>
      <c r="K30" s="49">
        <f t="shared" si="0"/>
      </c>
      <c r="L30" s="50">
        <f t="shared" si="4"/>
      </c>
      <c r="M30" s="51">
        <f t="shared" si="1"/>
      </c>
      <c r="N30" s="48">
        <v>0</v>
      </c>
      <c r="O30" s="51">
        <f t="shared" si="5"/>
      </c>
      <c r="P30" s="52"/>
      <c r="Q30" s="52"/>
    </row>
    <row r="31">
      <c r="A31" s="45">
        <v>46089</v>
      </c>
      <c r="B31" s="46" t="s">
        <v>83</v>
      </c>
      <c r="C31" s="47" t="s">
        <v>98</v>
      </c>
      <c r="D31" s="48">
        <v>5</v>
      </c>
      <c r="E31" s="48">
        <v>12</v>
      </c>
      <c r="F31" s="48">
        <v>56</v>
      </c>
      <c r="G31" s="48">
        <v>28</v>
      </c>
      <c r="H31" s="48">
        <v>7725.200000000001</v>
      </c>
      <c r="I31" s="48">
        <v>10711.84</v>
      </c>
      <c r="J31" s="49">
        <f t="shared" si="3"/>
      </c>
      <c r="K31" s="49">
        <f t="shared" si="0"/>
      </c>
      <c r="L31" s="50">
        <f t="shared" si="4"/>
      </c>
      <c r="M31" s="51">
        <f t="shared" si="1"/>
      </c>
      <c r="N31" s="48">
        <v>1</v>
      </c>
      <c r="O31" s="51">
        <f t="shared" si="5"/>
      </c>
      <c r="P31" s="48"/>
      <c r="Q31" s="48"/>
    </row>
    <row customHeight="true" ht="16.071428571428573" r="32">
      <c r="A32" s="53">
        <v>46089</v>
      </c>
      <c r="B32" s="54"/>
      <c r="C32" s="54"/>
      <c r="D32" s="55">
        <f>SUM(D29:D31)</f>
      </c>
      <c r="E32" s="55">
        <f>SUM(E29:E31)</f>
      </c>
      <c r="F32" s="55">
        <f>SUM(F29:F31)</f>
      </c>
      <c r="G32" s="55">
        <f>SUM(G29:G31)</f>
      </c>
      <c r="H32" s="55">
        <f>SUM(H29:H31)</f>
      </c>
      <c r="I32" s="55">
        <f>SUM(I29:I31)</f>
      </c>
      <c r="J32" s="56">
        <f t="shared" si="3"/>
      </c>
      <c r="K32" s="57">
        <f t="shared" si="0"/>
      </c>
      <c r="L32" s="57">
        <f t="shared" si="4"/>
      </c>
      <c r="M32" s="58">
        <f t="shared" si="1"/>
      </c>
      <c r="N32" s="55">
        <f>SUM(N29:N31)</f>
      </c>
      <c r="O32" s="59">
        <f t="shared" si="5"/>
      </c>
      <c r="P32" s="60"/>
      <c r="Q32" s="55">
        <f>SUM(Q29:Q31)</f>
      </c>
    </row>
    <row customHeight="true" ht="16.071428571428573" r="33">
      <c r="A33" s="45">
        <v>46090</v>
      </c>
      <c r="B33" s="61" t="s">
        <v>91</v>
      </c>
      <c r="C33" s="47" t="s">
        <v>96</v>
      </c>
      <c r="D33" s="48">
        <v>5</v>
      </c>
      <c r="E33" s="48">
        <v>3</v>
      </c>
      <c r="F33" s="48">
        <v>40</v>
      </c>
      <c r="G33" s="48">
        <v>23</v>
      </c>
      <c r="H33" s="48">
        <v>8072.8</v>
      </c>
      <c r="I33" s="48">
        <v>12647.93</v>
      </c>
      <c r="J33" s="49">
        <f t="shared" si="3"/>
      </c>
      <c r="K33" s="49">
        <f t="shared" si="0"/>
      </c>
      <c r="L33" s="50">
        <f t="shared" si="4"/>
      </c>
      <c r="M33" s="51">
        <f t="shared" si="1"/>
      </c>
      <c r="N33" s="48">
        <v>2</v>
      </c>
      <c r="O33" s="51">
        <f t="shared" si="5"/>
      </c>
      <c r="P33" s="48" t="s">
        <v>95</v>
      </c>
      <c r="Q33" s="48">
        <v>12</v>
      </c>
    </row>
    <row customHeight="true" ht="16.071428571428573" r="34">
      <c r="A34" s="45">
        <v>46090</v>
      </c>
      <c r="B34" s="46" t="s">
        <v>99</v>
      </c>
      <c r="C34" s="47" t="s">
        <v>97</v>
      </c>
      <c r="D34" s="48">
        <v>2</v>
      </c>
      <c r="E34" s="48">
        <v>1</v>
      </c>
      <c r="F34" s="48">
        <v>18</v>
      </c>
      <c r="G34" s="48">
        <v>9</v>
      </c>
      <c r="H34" s="48">
        <v>1977.1999999999998</v>
      </c>
      <c r="I34" s="48">
        <v>3902.47</v>
      </c>
      <c r="J34" s="49">
        <f t="shared" si="3"/>
      </c>
      <c r="K34" s="49">
        <f t="shared" si="0"/>
      </c>
      <c r="L34" s="50">
        <f t="shared" si="4"/>
      </c>
      <c r="M34" s="51">
        <f t="shared" si="1"/>
      </c>
      <c r="N34" s="48">
        <v>1</v>
      </c>
      <c r="O34" s="51">
        <f t="shared" si="5"/>
      </c>
      <c r="P34" s="52"/>
      <c r="Q34" s="52"/>
    </row>
    <row customHeight="true" ht="16.071428571428573" r="35">
      <c r="A35" s="45">
        <v>46090</v>
      </c>
      <c r="B35" s="46" t="s">
        <v>83</v>
      </c>
      <c r="C35" s="47" t="s">
        <v>98</v>
      </c>
      <c r="D35" s="48">
        <v>5</v>
      </c>
      <c r="E35" s="48">
        <v>11</v>
      </c>
      <c r="F35" s="48">
        <v>80</v>
      </c>
      <c r="G35" s="48">
        <v>40</v>
      </c>
      <c r="H35" s="48">
        <v>12957.2</v>
      </c>
      <c r="I35" s="48">
        <v>18157.73</v>
      </c>
      <c r="J35" s="49">
        <f t="shared" si="3"/>
      </c>
      <c r="K35" s="49">
        <f t="shared" si="0"/>
      </c>
      <c r="L35" s="50">
        <f t="shared" si="4"/>
      </c>
      <c r="M35" s="51">
        <f t="shared" si="1"/>
      </c>
      <c r="N35" s="48">
        <v>1</v>
      </c>
      <c r="O35" s="51">
        <f t="shared" si="5"/>
      </c>
      <c r="P35" s="48"/>
      <c r="Q35" s="48"/>
    </row>
    <row customHeight="true" ht="16.071428571428573" r="36">
      <c r="A36" s="53">
        <v>46090</v>
      </c>
      <c r="B36" s="54"/>
      <c r="C36" s="54"/>
      <c r="D36" s="55">
        <f>SUM(D33:D35)</f>
      </c>
      <c r="E36" s="55">
        <f>SUM(E33:E35)</f>
      </c>
      <c r="F36" s="55">
        <f>SUM(F33:F35)</f>
      </c>
      <c r="G36" s="55">
        <f>SUM(G33:G35)</f>
      </c>
      <c r="H36" s="55">
        <f>SUM(H33:H35)</f>
      </c>
      <c r="I36" s="55">
        <f>SUM(I33:I35)</f>
      </c>
      <c r="J36" s="56">
        <f t="shared" si="3"/>
      </c>
      <c r="K36" s="57">
        <f t="shared" si="0"/>
      </c>
      <c r="L36" s="57">
        <f t="shared" si="4"/>
      </c>
      <c r="M36" s="58">
        <f t="shared" si="1"/>
      </c>
      <c r="N36" s="55">
        <f>SUM(N33:N35)</f>
      </c>
      <c r="O36" s="59">
        <f t="shared" si="5"/>
      </c>
      <c r="P36" s="60"/>
      <c r="Q36" s="55">
        <f>SUM(Q33:Q35)</f>
      </c>
    </row>
    <row customHeight="true" ht="16.071428571428573" r="37">
      <c r="A37" s="45">
        <v>46091</v>
      </c>
      <c r="B37" s="61" t="s">
        <v>91</v>
      </c>
      <c r="C37" s="47" t="s">
        <v>96</v>
      </c>
      <c r="D37" s="48">
        <v>5</v>
      </c>
      <c r="E37" s="48">
        <v>6</v>
      </c>
      <c r="F37" s="48">
        <v>53</v>
      </c>
      <c r="G37" s="48">
        <v>31</v>
      </c>
      <c r="H37" s="48">
        <v>9826.8</v>
      </c>
      <c r="I37" s="48">
        <v>13766.7</v>
      </c>
      <c r="J37" s="49">
        <f t="shared" si="3"/>
      </c>
      <c r="K37" s="49">
        <f t="shared" si="0"/>
      </c>
      <c r="L37" s="50">
        <f t="shared" si="4"/>
      </c>
      <c r="M37" s="51">
        <f t="shared" si="1"/>
      </c>
      <c r="N37" s="48">
        <v>2</v>
      </c>
      <c r="O37" s="51">
        <f t="shared" si="5"/>
      </c>
      <c r="P37" s="48" t="s">
        <v>95</v>
      </c>
      <c r="Q37" s="48">
        <v>12</v>
      </c>
    </row>
    <row customHeight="true" ht="16.071428571428573" r="38">
      <c r="A38" s="45">
        <v>46091</v>
      </c>
      <c r="B38" s="46" t="s">
        <v>99</v>
      </c>
      <c r="C38" s="47" t="s">
        <v>97</v>
      </c>
      <c r="D38" s="48">
        <v>2</v>
      </c>
      <c r="E38" s="48">
        <v>5</v>
      </c>
      <c r="F38" s="48">
        <v>25</v>
      </c>
      <c r="G38" s="48">
        <v>15</v>
      </c>
      <c r="H38" s="48">
        <v>5610.800000000001</v>
      </c>
      <c r="I38" s="48">
        <v>5636.23</v>
      </c>
      <c r="J38" s="49">
        <f t="shared" si="3"/>
      </c>
      <c r="K38" s="49">
        <f t="shared" si="0"/>
      </c>
      <c r="L38" s="50">
        <f t="shared" si="4"/>
      </c>
      <c r="M38" s="51">
        <f t="shared" si="1"/>
      </c>
      <c r="N38" s="48">
        <v>2</v>
      </c>
      <c r="O38" s="51">
        <f t="shared" si="5"/>
      </c>
      <c r="P38" s="52"/>
      <c r="Q38" s="52"/>
    </row>
    <row customHeight="true" ht="16.071428571428573" r="39">
      <c r="A39" s="45">
        <v>46091</v>
      </c>
      <c r="B39" s="46" t="s">
        <v>83</v>
      </c>
      <c r="C39" s="47" t="s">
        <v>98</v>
      </c>
      <c r="D39" s="48">
        <v>5</v>
      </c>
      <c r="E39" s="48">
        <v>26</v>
      </c>
      <c r="F39" s="48">
        <v>77</v>
      </c>
      <c r="G39" s="48">
        <v>55</v>
      </c>
      <c r="H39" s="48">
        <v>20788.5</v>
      </c>
      <c r="I39" s="48">
        <v>16887.03</v>
      </c>
      <c r="J39" s="49">
        <f t="shared" si="3"/>
      </c>
      <c r="K39" s="49">
        <f t="shared" si="0"/>
      </c>
      <c r="L39" s="50">
        <f t="shared" si="4"/>
      </c>
      <c r="M39" s="51">
        <f t="shared" si="1"/>
      </c>
      <c r="N39" s="48">
        <v>9</v>
      </c>
      <c r="O39" s="51">
        <f t="shared" si="5"/>
      </c>
      <c r="P39" s="48"/>
      <c r="Q39" s="48"/>
    </row>
    <row customHeight="true" ht="16.071428571428573" r="40">
      <c r="A40" s="53">
        <v>46091</v>
      </c>
      <c r="B40" s="54"/>
      <c r="C40" s="54"/>
      <c r="D40" s="55">
        <f>SUM(D37:D39)</f>
      </c>
      <c r="E40" s="55">
        <f>SUM(E37:E39)</f>
      </c>
      <c r="F40" s="55">
        <f>SUM(F37:F39)</f>
      </c>
      <c r="G40" s="55">
        <f>SUM(G37:G39)</f>
      </c>
      <c r="H40" s="55">
        <f>SUM(H37:H39)</f>
      </c>
      <c r="I40" s="55">
        <f>SUM(I37:I39)</f>
      </c>
      <c r="J40" s="56">
        <f t="shared" si="3"/>
      </c>
      <c r="K40" s="57">
        <f t="shared" si="0"/>
      </c>
      <c r="L40" s="57">
        <f t="shared" si="4"/>
      </c>
      <c r="M40" s="58">
        <f t="shared" si="1"/>
      </c>
      <c r="N40" s="55">
        <f>SUM(N37:N39)</f>
      </c>
      <c r="O40" s="59">
        <f t="shared" si="5"/>
      </c>
      <c r="P40" s="60"/>
      <c r="Q40" s="55">
        <f>SUM(Q37:Q39)</f>
      </c>
    </row>
    <row customHeight="true" ht="16.071428571428573" r="41">
      <c r="A41" s="45">
        <v>46092</v>
      </c>
      <c r="B41" s="61" t="s">
        <v>91</v>
      </c>
      <c r="C41" s="47" t="s">
        <v>84</v>
      </c>
      <c r="D41" s="48">
        <v>4</v>
      </c>
      <c r="E41" s="48">
        <v>4</v>
      </c>
      <c r="F41" s="48">
        <v>34</v>
      </c>
      <c r="G41" s="48">
        <v>12</v>
      </c>
      <c r="H41" s="48">
        <v>4969.6</v>
      </c>
      <c r="I41" s="48">
        <v>8077.85</v>
      </c>
      <c r="J41" s="49">
        <f t="shared" si="3"/>
      </c>
      <c r="K41" s="49">
        <f t="shared" si="0"/>
      </c>
      <c r="L41" s="50">
        <f t="shared" si="4"/>
      </c>
      <c r="M41" s="51">
        <f t="shared" si="1"/>
      </c>
      <c r="N41" s="48">
        <v>1</v>
      </c>
      <c r="O41" s="51">
        <f t="shared" si="5"/>
      </c>
      <c r="P41" s="48" t="s">
        <v>100</v>
      </c>
      <c r="Q41" s="48">
        <v>4</v>
      </c>
    </row>
    <row customHeight="true" ht="16.071428571428573" r="42">
      <c r="A42" s="45">
        <v>46092</v>
      </c>
      <c r="B42" s="46" t="s">
        <v>99</v>
      </c>
      <c r="C42" s="47" t="s">
        <v>101</v>
      </c>
      <c r="D42" s="48">
        <v>3</v>
      </c>
      <c r="E42" s="48">
        <v>5</v>
      </c>
      <c r="F42" s="48">
        <v>32</v>
      </c>
      <c r="G42" s="48">
        <v>18</v>
      </c>
      <c r="H42" s="48">
        <v>4514.699999999999</v>
      </c>
      <c r="I42" s="48">
        <v>6079.63</v>
      </c>
      <c r="J42" s="49">
        <f t="shared" si="3"/>
      </c>
      <c r="K42" s="49">
        <f t="shared" si="0"/>
      </c>
      <c r="L42" s="50">
        <f t="shared" si="4"/>
      </c>
      <c r="M42" s="51">
        <f t="shared" si="1"/>
      </c>
      <c r="N42" s="48">
        <v>1</v>
      </c>
      <c r="O42" s="51">
        <f t="shared" si="5"/>
      </c>
      <c r="P42" s="48"/>
      <c r="Q42" s="48"/>
    </row>
    <row customHeight="true" ht="16.071428571428573" r="43">
      <c r="A43" s="45">
        <v>46092</v>
      </c>
      <c r="B43" s="46" t="s">
        <v>83</v>
      </c>
      <c r="C43" s="47" t="s">
        <v>98</v>
      </c>
      <c r="D43" s="48">
        <v>5</v>
      </c>
      <c r="E43" s="48">
        <v>28</v>
      </c>
      <c r="F43" s="48">
        <v>103</v>
      </c>
      <c r="G43" s="48">
        <v>68</v>
      </c>
      <c r="H43" s="48">
        <v>21385.600000000006</v>
      </c>
      <c r="I43" s="48">
        <v>19336.03</v>
      </c>
      <c r="J43" s="49">
        <f t="shared" si="3"/>
      </c>
      <c r="K43" s="49">
        <f t="shared" si="0"/>
      </c>
      <c r="L43" s="50">
        <f t="shared" si="4"/>
      </c>
      <c r="M43" s="51">
        <f t="shared" si="1"/>
      </c>
      <c r="N43" s="48">
        <v>9</v>
      </c>
      <c r="O43" s="51">
        <f t="shared" si="5"/>
      </c>
      <c r="P43" s="48" t="s">
        <v>102</v>
      </c>
      <c r="Q43" s="48">
        <v>8</v>
      </c>
    </row>
    <row customHeight="true" ht="16.071428571428573" r="44">
      <c r="A44" s="53">
        <v>46092</v>
      </c>
      <c r="B44" s="54"/>
      <c r="C44" s="54"/>
      <c r="D44" s="55">
        <f>SUM(D41:D43)</f>
      </c>
      <c r="E44" s="55">
        <f>SUM(E41:E43)</f>
      </c>
      <c r="F44" s="55">
        <f>SUM(F41:F43)</f>
      </c>
      <c r="G44" s="55">
        <f>SUM(G41:G43)</f>
      </c>
      <c r="H44" s="55">
        <f>SUM(H41:H43)</f>
      </c>
      <c r="I44" s="55">
        <f>SUM(I41:I43)</f>
      </c>
      <c r="J44" s="56">
        <f t="shared" si="3"/>
      </c>
      <c r="K44" s="57">
        <f t="shared" si="0"/>
      </c>
      <c r="L44" s="57">
        <f t="shared" si="4"/>
      </c>
      <c r="M44" s="58">
        <f t="shared" si="1"/>
      </c>
      <c r="N44" s="55">
        <f>SUM(N41:N43)</f>
      </c>
      <c r="O44" s="59">
        <f t="shared" si="5"/>
      </c>
      <c r="P44" s="60"/>
      <c r="Q44" s="55">
        <f>SUM(Q41:Q43)</f>
      </c>
    </row>
    <row customHeight="true" ht="16.071428571428573" r="45">
      <c r="A45" s="45">
        <v>46093</v>
      </c>
      <c r="B45" s="61" t="s">
        <v>91</v>
      </c>
      <c r="C45" s="47" t="s">
        <v>84</v>
      </c>
      <c r="D45" s="48">
        <v>4</v>
      </c>
      <c r="E45" s="48">
        <v>11</v>
      </c>
      <c r="F45" s="48">
        <v>40</v>
      </c>
      <c r="G45" s="48">
        <v>27</v>
      </c>
      <c r="H45" s="48">
        <v>7004</v>
      </c>
      <c r="I45" s="48">
        <v>10769.28</v>
      </c>
      <c r="J45" s="49">
        <f t="shared" si="3"/>
      </c>
      <c r="K45" s="49">
        <f t="shared" si="0"/>
      </c>
      <c r="L45" s="50">
        <f t="shared" si="4"/>
      </c>
      <c r="M45" s="51">
        <f t="shared" si="1"/>
      </c>
      <c r="N45" s="48">
        <v>1</v>
      </c>
      <c r="O45" s="51">
        <f t="shared" si="5"/>
      </c>
      <c r="P45" s="48" t="s">
        <v>100</v>
      </c>
      <c r="Q45" s="48">
        <v>4</v>
      </c>
    </row>
    <row customHeight="true" ht="16.071428571428573" r="46">
      <c r="A46" s="45">
        <v>46093</v>
      </c>
      <c r="B46" s="46" t="s">
        <v>99</v>
      </c>
      <c r="C46" s="47" t="s">
        <v>101</v>
      </c>
      <c r="D46" s="48">
        <v>3</v>
      </c>
      <c r="E46" s="48">
        <v>3</v>
      </c>
      <c r="F46" s="48">
        <v>42</v>
      </c>
      <c r="G46" s="48">
        <v>24</v>
      </c>
      <c r="H46" s="48">
        <v>8903.6</v>
      </c>
      <c r="I46" s="48">
        <v>10534.61</v>
      </c>
      <c r="J46" s="49">
        <f t="shared" si="3"/>
      </c>
      <c r="K46" s="49">
        <f t="shared" si="0"/>
      </c>
      <c r="L46" s="50">
        <f t="shared" si="4"/>
      </c>
      <c r="M46" s="51">
        <f t="shared" si="1"/>
      </c>
      <c r="N46" s="48">
        <v>2</v>
      </c>
      <c r="O46" s="51">
        <f t="shared" si="5"/>
      </c>
      <c r="P46" s="48"/>
      <c r="Q46" s="48"/>
    </row>
    <row customHeight="true" ht="16.071428571428573" r="47">
      <c r="A47" s="45">
        <v>46093</v>
      </c>
      <c r="B47" s="46" t="s">
        <v>83</v>
      </c>
      <c r="C47" s="47" t="s">
        <v>98</v>
      </c>
      <c r="D47" s="48">
        <v>5</v>
      </c>
      <c r="E47" s="48">
        <v>14</v>
      </c>
      <c r="F47" s="48">
        <v>83</v>
      </c>
      <c r="G47" s="48">
        <v>51</v>
      </c>
      <c r="H47" s="48">
        <v>17462.5</v>
      </c>
      <c r="I47" s="48">
        <v>15263.85</v>
      </c>
      <c r="J47" s="49">
        <f t="shared" si="3"/>
      </c>
      <c r="K47" s="49">
        <f t="shared" si="0"/>
      </c>
      <c r="L47" s="50">
        <f t="shared" si="4"/>
      </c>
      <c r="M47" s="51">
        <f t="shared" si="1"/>
      </c>
      <c r="N47" s="48">
        <v>10</v>
      </c>
      <c r="O47" s="51">
        <f t="shared" si="5"/>
      </c>
      <c r="P47" s="48" t="s">
        <v>102</v>
      </c>
      <c r="Q47" s="48">
        <v>8</v>
      </c>
    </row>
    <row customHeight="true" ht="16.071428571428573" r="48">
      <c r="A48" s="53">
        <v>46093</v>
      </c>
      <c r="B48" s="54"/>
      <c r="C48" s="54"/>
      <c r="D48" s="55">
        <f>SUM(D45:D47)</f>
      </c>
      <c r="E48" s="55">
        <f>SUM(E45:E47)</f>
      </c>
      <c r="F48" s="55">
        <f>SUM(F45:F47)</f>
      </c>
      <c r="G48" s="55">
        <f>SUM(G45:G47)</f>
      </c>
      <c r="H48" s="55">
        <f>SUM(H45:H47)</f>
      </c>
      <c r="I48" s="55">
        <f>SUM(I45:I47)</f>
      </c>
      <c r="J48" s="56">
        <f t="shared" si="3"/>
      </c>
      <c r="K48" s="57">
        <f t="shared" si="0"/>
      </c>
      <c r="L48" s="57">
        <f t="shared" si="4"/>
      </c>
      <c r="M48" s="58">
        <f t="shared" si="1"/>
      </c>
      <c r="N48" s="55">
        <f>SUM(N45:N47)</f>
      </c>
      <c r="O48" s="59">
        <f t="shared" si="5"/>
      </c>
      <c r="P48" s="60"/>
      <c r="Q48" s="55">
        <f>SUM(Q45:Q47)</f>
      </c>
    </row>
    <row customHeight="true" ht="16.071428571428573" r="49">
      <c r="A49" s="45">
        <v>46094</v>
      </c>
      <c r="B49" s="61" t="s">
        <v>91</v>
      </c>
      <c r="C49" s="62" t="s">
        <v>103</v>
      </c>
      <c r="D49" s="48">
        <v>3.5</v>
      </c>
      <c r="E49" s="48">
        <v>4</v>
      </c>
      <c r="F49" s="48">
        <v>32</v>
      </c>
      <c r="G49" s="48">
        <v>16</v>
      </c>
      <c r="H49" s="48">
        <v>4626.7</v>
      </c>
      <c r="I49" s="48">
        <v>7415.619999999999</v>
      </c>
      <c r="J49" s="49">
        <f t="shared" si="3"/>
      </c>
      <c r="K49" s="49">
        <f t="shared" si="0"/>
      </c>
      <c r="L49" s="50">
        <f t="shared" si="4"/>
      </c>
      <c r="M49" s="51">
        <f t="shared" si="1"/>
      </c>
      <c r="N49" s="48">
        <v>1</v>
      </c>
      <c r="O49" s="51">
        <f t="shared" si="5"/>
      </c>
      <c r="P49" s="48" t="s">
        <v>100</v>
      </c>
      <c r="Q49" s="48">
        <v>3.5</v>
      </c>
      <c r="R49" s="63" t="s">
        <v>104</v>
      </c>
    </row>
    <row customHeight="true" ht="16.071428571428573" r="50">
      <c r="A50" s="45">
        <v>46094</v>
      </c>
      <c r="B50" s="46" t="s">
        <v>99</v>
      </c>
      <c r="C50" s="47" t="s">
        <v>101</v>
      </c>
      <c r="D50" s="48">
        <v>3</v>
      </c>
      <c r="E50" s="48">
        <v>6</v>
      </c>
      <c r="F50" s="48">
        <v>45</v>
      </c>
      <c r="G50" s="48">
        <v>24</v>
      </c>
      <c r="H50" s="48">
        <v>9980.099999999999</v>
      </c>
      <c r="I50" s="48">
        <v>9560</v>
      </c>
      <c r="J50" s="49">
        <f t="shared" si="3"/>
      </c>
      <c r="K50" s="49">
        <f t="shared" si="0"/>
      </c>
      <c r="L50" s="50">
        <f t="shared" si="4"/>
      </c>
      <c r="M50" s="51">
        <f t="shared" si="1"/>
      </c>
      <c r="N50" s="48">
        <v>2</v>
      </c>
      <c r="O50" s="51">
        <f t="shared" si="5"/>
      </c>
      <c r="P50" s="48"/>
      <c r="Q50" s="48"/>
    </row>
    <row customHeight="true" ht="16.071428571428573" r="51">
      <c r="A51" s="45">
        <v>46094</v>
      </c>
      <c r="B51" s="46" t="s">
        <v>83</v>
      </c>
      <c r="C51" s="47" t="s">
        <v>98</v>
      </c>
      <c r="D51" s="48">
        <v>5</v>
      </c>
      <c r="E51" s="48">
        <v>26</v>
      </c>
      <c r="F51" s="48">
        <v>123</v>
      </c>
      <c r="G51" s="48">
        <v>69</v>
      </c>
      <c r="H51" s="48">
        <v>18174.2</v>
      </c>
      <c r="I51" s="48">
        <v>20196.46</v>
      </c>
      <c r="J51" s="49">
        <f t="shared" si="3"/>
      </c>
      <c r="K51" s="49">
        <f t="shared" si="0"/>
      </c>
      <c r="L51" s="50">
        <f t="shared" si="4"/>
      </c>
      <c r="M51" s="51">
        <f t="shared" si="1"/>
      </c>
      <c r="N51" s="48">
        <v>8</v>
      </c>
      <c r="O51" s="51">
        <f t="shared" si="5"/>
      </c>
      <c r="P51" s="48" t="s">
        <v>105</v>
      </c>
      <c r="Q51" s="48">
        <v>8</v>
      </c>
    </row>
    <row customHeight="true" ht="16.071428571428573" r="52">
      <c r="A52" s="53">
        <v>46094</v>
      </c>
      <c r="B52" s="54"/>
      <c r="C52" s="54"/>
      <c r="D52" s="55">
        <f>SUM(D49:D51)</f>
      </c>
      <c r="E52" s="55">
        <f>SUM(E49:E51)</f>
      </c>
      <c r="F52" s="55">
        <f>SUM(F49:F51)</f>
      </c>
      <c r="G52" s="55">
        <f>SUM(G49:G51)</f>
      </c>
      <c r="H52" s="55">
        <f>SUM(H49:H51)</f>
      </c>
      <c r="I52" s="55">
        <f>SUM(I49:I51)</f>
      </c>
      <c r="J52" s="56">
        <f t="shared" si="3"/>
      </c>
      <c r="K52" s="57">
        <f t="shared" si="0"/>
      </c>
      <c r="L52" s="57">
        <f t="shared" si="4"/>
      </c>
      <c r="M52" s="58">
        <f t="shared" si="1"/>
      </c>
      <c r="N52" s="55">
        <f>SUM(N49:N51)</f>
      </c>
      <c r="O52" s="59">
        <f t="shared" si="5"/>
      </c>
      <c r="P52" s="60"/>
      <c r="Q52" s="55">
        <f>SUM(Q49:Q51)</f>
      </c>
    </row>
    <row customHeight="true" ht="16.071428571428573" r="53">
      <c r="A53" s="45">
        <v>46095</v>
      </c>
      <c r="B53" s="46" t="s">
        <v>99</v>
      </c>
      <c r="C53" s="47" t="s">
        <v>84</v>
      </c>
      <c r="D53" s="48">
        <v>4</v>
      </c>
      <c r="E53" s="48">
        <v>4</v>
      </c>
      <c r="F53" s="48">
        <v>75</v>
      </c>
      <c r="G53" s="48">
        <v>31</v>
      </c>
      <c r="H53" s="48">
        <v>12894.3</v>
      </c>
      <c r="I53" s="48">
        <v>10656.84</v>
      </c>
      <c r="J53" s="49">
        <f t="shared" si="3"/>
      </c>
      <c r="K53" s="49">
        <f t="shared" si="0"/>
      </c>
      <c r="L53" s="50">
        <f t="shared" si="4"/>
      </c>
      <c r="M53" s="51">
        <f t="shared" si="1"/>
      </c>
      <c r="N53" s="48">
        <v>2</v>
      </c>
      <c r="O53" s="51">
        <f t="shared" si="5"/>
      </c>
      <c r="P53" s="48" t="s">
        <v>100</v>
      </c>
      <c r="Q53" s="48">
        <v>4</v>
      </c>
    </row>
    <row customHeight="true" ht="16.071428571428573" r="54">
      <c r="A54" s="45">
        <v>46095</v>
      </c>
      <c r="B54" s="46" t="s">
        <v>106</v>
      </c>
      <c r="C54" s="47" t="s">
        <v>101</v>
      </c>
      <c r="D54" s="48">
        <v>3</v>
      </c>
      <c r="E54" s="48">
        <v>4</v>
      </c>
      <c r="F54" s="48">
        <v>33</v>
      </c>
      <c r="G54" s="48">
        <v>15</v>
      </c>
      <c r="H54" s="48">
        <v>3881.2000000000007</v>
      </c>
      <c r="I54" s="48">
        <v>6775.94</v>
      </c>
      <c r="J54" s="49">
        <f t="shared" si="3"/>
      </c>
      <c r="K54" s="49">
        <f t="shared" si="0"/>
      </c>
      <c r="L54" s="50">
        <f t="shared" si="4"/>
      </c>
      <c r="M54" s="51">
        <f t="shared" si="1"/>
      </c>
      <c r="N54" s="48">
        <v>1</v>
      </c>
      <c r="O54" s="51">
        <f t="shared" si="5"/>
      </c>
      <c r="P54" s="48"/>
      <c r="Q54" s="48"/>
    </row>
    <row customHeight="true" ht="16.071428571428573" r="55">
      <c r="A55" s="45">
        <v>46095</v>
      </c>
      <c r="B55" s="46" t="s">
        <v>83</v>
      </c>
      <c r="C55" s="47" t="s">
        <v>98</v>
      </c>
      <c r="D55" s="48">
        <v>5</v>
      </c>
      <c r="E55" s="48">
        <v>31</v>
      </c>
      <c r="F55" s="48">
        <v>118</v>
      </c>
      <c r="G55" s="48">
        <v>68</v>
      </c>
      <c r="H55" s="48">
        <v>22564.5</v>
      </c>
      <c r="I55" s="48">
        <v>14556.71</v>
      </c>
      <c r="J55" s="49">
        <f t="shared" si="3"/>
      </c>
      <c r="K55" s="49">
        <f t="shared" si="0"/>
      </c>
      <c r="L55" s="50">
        <f t="shared" si="4"/>
      </c>
      <c r="M55" s="51">
        <f t="shared" si="1"/>
      </c>
      <c r="N55" s="48">
        <v>15</v>
      </c>
      <c r="O55" s="51">
        <f t="shared" si="5"/>
      </c>
      <c r="P55" s="48" t="s">
        <v>95</v>
      </c>
      <c r="Q55" s="48">
        <v>8</v>
      </c>
    </row>
    <row customHeight="true" ht="16.071428571428573" r="56">
      <c r="A56" s="53">
        <v>46095</v>
      </c>
      <c r="B56" s="54"/>
      <c r="C56" s="54"/>
      <c r="D56" s="55">
        <f>SUM(D53:D55)</f>
      </c>
      <c r="E56" s="55">
        <f>SUM(E53:E55)</f>
      </c>
      <c r="F56" s="55">
        <f>SUM(F53:F55)</f>
      </c>
      <c r="G56" s="55">
        <f>SUM(G53:G55)</f>
      </c>
      <c r="H56" s="55">
        <f>SUM(H53:H55)</f>
      </c>
      <c r="I56" s="55">
        <f>SUM(I53:I55)</f>
      </c>
      <c r="J56" s="56">
        <f t="shared" si="3"/>
      </c>
      <c r="K56" s="57">
        <f t="shared" si="0"/>
      </c>
      <c r="L56" s="57">
        <f t="shared" si="4"/>
      </c>
      <c r="M56" s="58">
        <f t="shared" si="1"/>
      </c>
      <c r="N56" s="55">
        <f>SUM(N53:N55)</f>
      </c>
      <c r="O56" s="59">
        <f t="shared" si="5"/>
      </c>
      <c r="P56" s="60"/>
      <c r="Q56" s="55">
        <f>SUM(Q53:Q55)</f>
      </c>
    </row>
    <row customHeight="true" ht="16.071428571428573" r="57">
      <c r="A57" s="45">
        <v>46096</v>
      </c>
      <c r="B57" s="46" t="s">
        <v>91</v>
      </c>
      <c r="C57" s="47" t="s">
        <v>84</v>
      </c>
      <c r="D57" s="48">
        <v>4</v>
      </c>
      <c r="E57" s="48">
        <v>15</v>
      </c>
      <c r="F57" s="48">
        <v>135</v>
      </c>
      <c r="G57" s="48">
        <v>78</v>
      </c>
      <c r="H57" s="48">
        <v>28202.5</v>
      </c>
      <c r="I57" s="48">
        <v>23379.49</v>
      </c>
      <c r="J57" s="49">
        <f t="shared" si="3"/>
      </c>
      <c r="K57" s="49">
        <f t="shared" si="0"/>
      </c>
      <c r="L57" s="50">
        <f t="shared" si="4"/>
      </c>
      <c r="M57" s="51">
        <f t="shared" si="1"/>
      </c>
      <c r="N57" s="48">
        <v>8</v>
      </c>
      <c r="O57" s="51">
        <f t="shared" si="5"/>
      </c>
      <c r="P57" s="48" t="s">
        <v>100</v>
      </c>
      <c r="Q57" s="48">
        <v>4</v>
      </c>
    </row>
    <row customHeight="true" ht="16.071428571428573" r="58">
      <c r="A58" s="45">
        <v>46096</v>
      </c>
      <c r="B58" s="46" t="s">
        <v>99</v>
      </c>
      <c r="C58" s="47" t="s">
        <v>101</v>
      </c>
      <c r="D58" s="48">
        <v>3</v>
      </c>
      <c r="E58" s="48">
        <v>5</v>
      </c>
      <c r="F58" s="48">
        <v>66</v>
      </c>
      <c r="G58" s="48">
        <v>33</v>
      </c>
      <c r="H58" s="48">
        <v>10747.599999999999</v>
      </c>
      <c r="I58" s="48">
        <v>12206.69</v>
      </c>
      <c r="J58" s="49">
        <f t="shared" si="3"/>
      </c>
      <c r="K58" s="49">
        <f t="shared" si="0"/>
      </c>
      <c r="L58" s="50">
        <f t="shared" si="4"/>
      </c>
      <c r="M58" s="51">
        <f t="shared" si="1"/>
      </c>
      <c r="N58" s="48">
        <v>3</v>
      </c>
      <c r="O58" s="51">
        <f t="shared" si="5"/>
      </c>
      <c r="P58" s="48"/>
      <c r="Q58" s="48"/>
    </row>
    <row customHeight="true" ht="16.071428571428573" r="59">
      <c r="A59" s="45">
        <v>46096</v>
      </c>
      <c r="B59" s="46" t="s">
        <v>83</v>
      </c>
      <c r="C59" s="47" t="s">
        <v>98</v>
      </c>
      <c r="D59" s="48">
        <v>5</v>
      </c>
      <c r="E59" s="48">
        <v>35</v>
      </c>
      <c r="F59" s="48">
        <v>202</v>
      </c>
      <c r="G59" s="48">
        <v>114</v>
      </c>
      <c r="H59" s="48">
        <v>30446.1</v>
      </c>
      <c r="I59" s="48">
        <v>28375.29</v>
      </c>
      <c r="J59" s="49">
        <f t="shared" si="3"/>
      </c>
      <c r="K59" s="49">
        <f t="shared" si="0"/>
      </c>
      <c r="L59" s="50">
        <f t="shared" si="4"/>
      </c>
      <c r="M59" s="51">
        <f t="shared" si="1"/>
      </c>
      <c r="N59" s="48">
        <v>8</v>
      </c>
      <c r="O59" s="51">
        <f t="shared" si="5"/>
      </c>
      <c r="P59" s="48" t="s">
        <v>105</v>
      </c>
      <c r="Q59" s="48">
        <v>8</v>
      </c>
    </row>
    <row customHeight="true" ht="16.071428571428573" r="60">
      <c r="A60" s="53">
        <v>46096</v>
      </c>
      <c r="B60" s="54"/>
      <c r="C60" s="54"/>
      <c r="D60" s="55">
        <f>SUM(D57:D59)</f>
      </c>
      <c r="E60" s="55">
        <f>SUM(E57:E59)</f>
      </c>
      <c r="F60" s="55">
        <f>SUM(F57:F59)</f>
      </c>
      <c r="G60" s="55">
        <f>SUM(G57:G59)</f>
      </c>
      <c r="H60" s="55">
        <f>SUM(H57:H59)</f>
      </c>
      <c r="I60" s="55">
        <f>SUM(I57:I59)</f>
      </c>
      <c r="J60" s="56">
        <f t="shared" si="3"/>
      </c>
      <c r="K60" s="57">
        <f t="shared" si="0"/>
      </c>
      <c r="L60" s="57">
        <f t="shared" si="4"/>
      </c>
      <c r="M60" s="58">
        <f t="shared" si="1"/>
      </c>
      <c r="N60" s="55">
        <f>SUM(N57:N59)</f>
      </c>
      <c r="O60" s="59">
        <f t="shared" si="5"/>
      </c>
      <c r="P60" s="60"/>
      <c r="Q60" s="55">
        <f>SUM(Q57:Q59)</f>
      </c>
    </row>
    <row customHeight="true" ht="16.071428571428573" r="61">
      <c r="A61" s="45">
        <v>46097</v>
      </c>
      <c r="B61" s="46" t="s">
        <v>91</v>
      </c>
      <c r="C61" s="47" t="s">
        <v>84</v>
      </c>
      <c r="D61" s="48">
        <v>4</v>
      </c>
      <c r="E61" s="48">
        <v>14</v>
      </c>
      <c r="F61" s="48">
        <v>83</v>
      </c>
      <c r="G61" s="48">
        <v>51</v>
      </c>
      <c r="H61" s="48">
        <v>17872.3</v>
      </c>
      <c r="I61" s="48">
        <v>16306.89</v>
      </c>
      <c r="J61" s="49">
        <f t="shared" si="3"/>
      </c>
      <c r="K61" s="49">
        <f t="shared" si="0"/>
      </c>
      <c r="L61" s="50">
        <f t="shared" si="4"/>
      </c>
      <c r="M61" s="51">
        <f t="shared" si="1"/>
      </c>
      <c r="N61" s="48">
        <v>8</v>
      </c>
      <c r="O61" s="51">
        <f t="shared" si="5"/>
      </c>
      <c r="P61" s="48" t="s">
        <v>100</v>
      </c>
      <c r="Q61" s="48">
        <v>4</v>
      </c>
    </row>
    <row customHeight="true" ht="16.071428571428573" r="62">
      <c r="A62" s="45">
        <v>46097</v>
      </c>
      <c r="B62" s="46" t="s">
        <v>99</v>
      </c>
      <c r="C62" s="47" t="s">
        <v>101</v>
      </c>
      <c r="D62" s="48">
        <v>3</v>
      </c>
      <c r="E62" s="48">
        <v>2</v>
      </c>
      <c r="F62" s="48">
        <v>56</v>
      </c>
      <c r="G62" s="48">
        <v>30</v>
      </c>
      <c r="H62" s="48">
        <v>10937.600000000002</v>
      </c>
      <c r="I62" s="48">
        <v>10435.71</v>
      </c>
      <c r="J62" s="49">
        <f t="shared" si="3"/>
      </c>
      <c r="K62" s="49">
        <f t="shared" si="0"/>
      </c>
      <c r="L62" s="50">
        <f t="shared" si="4"/>
      </c>
      <c r="M62" s="51">
        <f t="shared" si="1"/>
      </c>
      <c r="N62" s="48">
        <v>1</v>
      </c>
      <c r="O62" s="51">
        <f t="shared" si="5"/>
      </c>
      <c r="P62" s="48"/>
      <c r="Q62" s="48"/>
    </row>
    <row customHeight="true" ht="16.071428571428573" r="63">
      <c r="A63" s="45">
        <v>46097</v>
      </c>
      <c r="B63" s="46" t="s">
        <v>83</v>
      </c>
      <c r="C63" s="47" t="s">
        <v>98</v>
      </c>
      <c r="D63" s="48">
        <v>5</v>
      </c>
      <c r="E63" s="48">
        <v>38</v>
      </c>
      <c r="F63" s="48">
        <v>144</v>
      </c>
      <c r="G63" s="48">
        <v>81</v>
      </c>
      <c r="H63" s="48">
        <v>22275.69999999999</v>
      </c>
      <c r="I63" s="48">
        <v>25154.75</v>
      </c>
      <c r="J63" s="49">
        <f t="shared" si="3"/>
      </c>
      <c r="K63" s="49">
        <f t="shared" si="0"/>
      </c>
      <c r="L63" s="50">
        <f t="shared" si="4"/>
      </c>
      <c r="M63" s="51">
        <f t="shared" si="1"/>
      </c>
      <c r="N63" s="48">
        <v>19</v>
      </c>
      <c r="O63" s="51">
        <f t="shared" si="5"/>
      </c>
      <c r="P63" s="48" t="s">
        <v>95</v>
      </c>
      <c r="Q63" s="48">
        <v>8</v>
      </c>
    </row>
    <row customHeight="true" ht="16.071428571428573" r="64">
      <c r="A64" s="53">
        <v>46097</v>
      </c>
      <c r="B64" s="54"/>
      <c r="C64" s="54"/>
      <c r="D64" s="55">
        <f>SUM(D61:D63)</f>
      </c>
      <c r="E64" s="55">
        <f>SUM(E61:E63)</f>
      </c>
      <c r="F64" s="55">
        <f>SUM(F61:F63)</f>
      </c>
      <c r="G64" s="55">
        <f>SUM(G61:G63)</f>
      </c>
      <c r="H64" s="55">
        <f>SUM(H61:H63)</f>
      </c>
      <c r="I64" s="55">
        <f>SUM(I61:I63)</f>
      </c>
      <c r="J64" s="56">
        <f t="shared" si="3"/>
      </c>
      <c r="K64" s="57">
        <f t="shared" si="0"/>
      </c>
      <c r="L64" s="57">
        <f t="shared" si="4"/>
      </c>
      <c r="M64" s="58">
        <f t="shared" si="1"/>
      </c>
      <c r="N64" s="55">
        <f>SUM(N61:N63)</f>
      </c>
      <c r="O64" s="59">
        <f t="shared" si="5"/>
      </c>
      <c r="P64" s="60"/>
      <c r="Q64" s="55">
        <f>SUM(Q61:Q63)</f>
      </c>
    </row>
    <row customHeight="true" ht="16.071428571428573" r="65">
      <c r="A65" s="45">
        <v>46098</v>
      </c>
      <c r="B65" s="46" t="s">
        <v>91</v>
      </c>
      <c r="C65" s="47" t="s">
        <v>84</v>
      </c>
      <c r="D65" s="48">
        <v>4</v>
      </c>
      <c r="E65" s="48">
        <v>18</v>
      </c>
      <c r="F65" s="48">
        <v>113</v>
      </c>
      <c r="G65" s="48">
        <v>58</v>
      </c>
      <c r="H65" s="48">
        <v>19325.3</v>
      </c>
      <c r="I65" s="48">
        <v>15951.16</v>
      </c>
      <c r="J65" s="49">
        <f t="shared" si="3"/>
      </c>
      <c r="K65" s="49">
        <f t="shared" si="0"/>
      </c>
      <c r="L65" s="50">
        <f t="shared" si="4"/>
      </c>
      <c r="M65" s="51">
        <f t="shared" si="1"/>
      </c>
      <c r="N65" s="48">
        <v>8</v>
      </c>
      <c r="O65" s="51">
        <f t="shared" si="5"/>
      </c>
      <c r="P65" s="48" t="s">
        <v>100</v>
      </c>
      <c r="Q65" s="48">
        <v>4</v>
      </c>
    </row>
    <row customHeight="true" ht="16.071428571428573" r="66">
      <c r="A66" s="45">
        <v>46098</v>
      </c>
      <c r="B66" s="46" t="s">
        <v>106</v>
      </c>
      <c r="C66" s="47" t="s">
        <v>101</v>
      </c>
      <c r="D66" s="48">
        <v>3</v>
      </c>
      <c r="E66" s="48">
        <v>6</v>
      </c>
      <c r="F66" s="48">
        <v>48</v>
      </c>
      <c r="G66" s="48">
        <v>24</v>
      </c>
      <c r="H66" s="48">
        <v>8750</v>
      </c>
      <c r="I66" s="48">
        <v>8069.41</v>
      </c>
      <c r="J66" s="49">
        <f t="shared" si="3"/>
      </c>
      <c r="K66" s="49">
        <f t="shared" si="0"/>
      </c>
      <c r="L66" s="50">
        <f t="shared" si="4"/>
      </c>
      <c r="M66" s="51">
        <f t="shared" si="1"/>
      </c>
      <c r="N66" s="48">
        <v>6</v>
      </c>
      <c r="O66" s="51">
        <f t="shared" si="5"/>
      </c>
      <c r="P66" s="48"/>
      <c r="Q66" s="48"/>
    </row>
    <row customHeight="true" ht="16.071428571428573" r="67">
      <c r="A67" s="45">
        <v>46098</v>
      </c>
      <c r="B67" s="46" t="s">
        <v>83</v>
      </c>
      <c r="C67" s="47" t="s">
        <v>98</v>
      </c>
      <c r="D67" s="48">
        <v>5</v>
      </c>
      <c r="E67" s="48">
        <v>24</v>
      </c>
      <c r="F67" s="48">
        <v>113</v>
      </c>
      <c r="G67" s="48">
        <v>60</v>
      </c>
      <c r="H67" s="48">
        <v>17032.600000000002</v>
      </c>
      <c r="I67" s="48">
        <v>18644.4</v>
      </c>
      <c r="J67" s="49">
        <f t="shared" si="3"/>
      </c>
      <c r="K67" s="49">
        <f t="shared" si="0"/>
      </c>
      <c r="L67" s="50">
        <f t="shared" si="4"/>
      </c>
      <c r="M67" s="51">
        <f t="shared" si="1"/>
      </c>
      <c r="N67" s="48">
        <v>4</v>
      </c>
      <c r="O67" s="51">
        <f t="shared" si="5"/>
      </c>
      <c r="P67" s="48" t="s">
        <v>95</v>
      </c>
      <c r="Q67" s="48">
        <v>8</v>
      </c>
    </row>
    <row customHeight="true" ht="16.071428571428573" r="68">
      <c r="A68" s="53">
        <v>46098</v>
      </c>
      <c r="B68" s="54"/>
      <c r="C68" s="54"/>
      <c r="D68" s="55">
        <f>SUM(D65:D67)</f>
      </c>
      <c r="E68" s="55">
        <f>SUM(E65:E67)</f>
      </c>
      <c r="F68" s="55">
        <f>SUM(F65:F67)</f>
      </c>
      <c r="G68" s="55">
        <f>SUM(G65:G67)</f>
      </c>
      <c r="H68" s="55">
        <f>SUM(H65:H67)</f>
      </c>
      <c r="I68" s="55">
        <f>SUM(I65:I67)</f>
      </c>
      <c r="J68" s="56">
        <f t="shared" si="3"/>
      </c>
      <c r="K68" s="57">
        <f t="shared" si="0"/>
      </c>
      <c r="L68" s="57">
        <f t="shared" si="4"/>
      </c>
      <c r="M68" s="58">
        <f t="shared" si="1"/>
      </c>
      <c r="N68" s="55">
        <f>SUM(N65:N67)</f>
      </c>
      <c r="O68" s="59">
        <f t="shared" si="5"/>
      </c>
      <c r="P68" s="60"/>
      <c r="Q68" s="55">
        <f>SUM(Q65:Q67)</f>
      </c>
    </row>
    <row customHeight="true" ht="16.071428571428573" r="69">
      <c r="A69" s="45">
        <v>46099</v>
      </c>
      <c r="B69" s="46" t="s">
        <v>99</v>
      </c>
      <c r="C69" s="47" t="s">
        <v>107</v>
      </c>
      <c r="D69" s="48">
        <v>5</v>
      </c>
      <c r="E69" s="48">
        <v>14</v>
      </c>
      <c r="F69" s="48">
        <v>96</v>
      </c>
      <c r="G69" s="48">
        <v>52</v>
      </c>
      <c r="H69" s="48">
        <v>15448</v>
      </c>
      <c r="I69" s="48">
        <v>15755.099999999999</v>
      </c>
      <c r="J69" s="49">
        <f t="shared" si="3"/>
      </c>
      <c r="K69" s="49">
        <f t="shared" si="0"/>
      </c>
      <c r="L69" s="50">
        <f t="shared" si="4"/>
      </c>
      <c r="M69" s="51">
        <f t="shared" si="1"/>
      </c>
      <c r="N69" s="48">
        <v>6</v>
      </c>
      <c r="O69" s="51">
        <f t="shared" si="5"/>
      </c>
      <c r="P69" s="48"/>
      <c r="Q69" s="48"/>
    </row>
    <row customHeight="true" ht="16.071428571428573" r="70">
      <c r="A70" s="45">
        <v>46099</v>
      </c>
      <c r="B70" s="46" t="s">
        <v>108</v>
      </c>
      <c r="C70" s="47" t="s">
        <v>109</v>
      </c>
      <c r="D70" s="48">
        <v>2</v>
      </c>
      <c r="E70" s="48">
        <v>3</v>
      </c>
      <c r="F70" s="48">
        <v>29</v>
      </c>
      <c r="G70" s="48">
        <v>13</v>
      </c>
      <c r="H70" s="48">
        <v>2838.7000000000007</v>
      </c>
      <c r="I70" s="48">
        <v>5230.04</v>
      </c>
      <c r="J70" s="49">
        <f t="shared" si="3"/>
      </c>
      <c r="K70" s="49">
        <f t="shared" si="0"/>
      </c>
      <c r="L70" s="50">
        <f t="shared" si="4"/>
      </c>
      <c r="M70" s="51">
        <f t="shared" si="1"/>
      </c>
      <c r="N70" s="48">
        <v>1</v>
      </c>
      <c r="O70" s="51">
        <f t="shared" si="5"/>
      </c>
      <c r="P70" s="48" t="s">
        <v>100</v>
      </c>
      <c r="Q70" s="48">
        <v>8</v>
      </c>
    </row>
    <row customHeight="true" ht="16.071428571428573" r="71">
      <c r="A71" s="45">
        <v>46099</v>
      </c>
      <c r="B71" s="46" t="s">
        <v>83</v>
      </c>
      <c r="C71" s="47" t="s">
        <v>94</v>
      </c>
      <c r="D71" s="48">
        <v>5</v>
      </c>
      <c r="E71" s="48">
        <v>22</v>
      </c>
      <c r="F71" s="48">
        <v>106</v>
      </c>
      <c r="G71" s="48">
        <v>57</v>
      </c>
      <c r="H71" s="48">
        <v>14364.2</v>
      </c>
      <c r="I71" s="48">
        <v>15528.16</v>
      </c>
      <c r="J71" s="49">
        <f t="shared" si="3"/>
      </c>
      <c r="K71" s="49">
        <f t="shared" si="0"/>
      </c>
      <c r="L71" s="50">
        <f t="shared" si="4"/>
      </c>
      <c r="M71" s="51">
        <f t="shared" si="1"/>
      </c>
      <c r="N71" s="48">
        <v>13</v>
      </c>
      <c r="O71" s="51">
        <f t="shared" si="5"/>
      </c>
      <c r="P71" s="48"/>
      <c r="Q71" s="48"/>
    </row>
    <row customHeight="true" ht="16.071428571428573" r="72">
      <c r="A72" s="45">
        <v>46099</v>
      </c>
      <c r="B72" s="46" t="s">
        <v>91</v>
      </c>
      <c r="C72" s="47" t="s">
        <v>89</v>
      </c>
      <c r="D72" s="48">
        <v>4</v>
      </c>
      <c r="E72" s="48">
        <v>3</v>
      </c>
      <c r="F72" s="48">
        <v>50</v>
      </c>
      <c r="G72" s="48">
        <v>26</v>
      </c>
      <c r="H72" s="48">
        <v>9867.599999999999</v>
      </c>
      <c r="I72" s="48">
        <v>11659.2</v>
      </c>
      <c r="J72" s="49">
        <f t="shared" si="3"/>
      </c>
      <c r="K72" s="49">
        <f t="shared" si="0"/>
      </c>
      <c r="L72" s="50">
        <f t="shared" si="4"/>
      </c>
      <c r="M72" s="51">
        <f t="shared" si="1"/>
      </c>
      <c r="N72" s="48">
        <v>3</v>
      </c>
      <c r="O72" s="51">
        <f t="shared" si="5"/>
      </c>
      <c r="P72" s="48" t="s">
        <v>95</v>
      </c>
      <c r="Q72" s="48">
        <v>8</v>
      </c>
    </row>
    <row customHeight="true" ht="16.071428571428573" r="73">
      <c r="A73" s="53">
        <v>46099</v>
      </c>
      <c r="B73" s="54"/>
      <c r="C73" s="54"/>
      <c r="D73" s="55">
        <f>SUM(D69:D72)</f>
      </c>
      <c r="E73" s="55">
        <f>SUM(E69:E72)</f>
      </c>
      <c r="F73" s="55">
        <f>SUM(F69:F72)</f>
      </c>
      <c r="G73" s="55">
        <f>SUM(G69:G72)</f>
      </c>
      <c r="H73" s="55">
        <f>SUM(H69:H72)</f>
      </c>
      <c r="I73" s="55">
        <f>SUM(I69:I72)</f>
      </c>
      <c r="J73" s="56">
        <f t="shared" si="3"/>
      </c>
      <c r="K73" s="57">
        <f t="shared" si="0"/>
      </c>
      <c r="L73" s="57">
        <f t="shared" si="4"/>
      </c>
      <c r="M73" s="58">
        <f t="shared" si="1"/>
      </c>
      <c r="N73" s="55">
        <f>SUM(N69:N72)</f>
      </c>
      <c r="O73" s="59">
        <f t="shared" si="5"/>
      </c>
      <c r="P73" s="60"/>
      <c r="Q73" s="64">
        <f>SUM(Q69:Q72)</f>
      </c>
    </row>
    <row customHeight="true" ht="16.071428571428573" r="74">
      <c r="A74" s="65">
        <v>46100</v>
      </c>
      <c r="B74" s="46" t="s">
        <v>83</v>
      </c>
      <c r="C74" s="66" t="s">
        <v>107</v>
      </c>
      <c r="D74" s="66">
        <v>5</v>
      </c>
      <c r="E74" s="66">
        <v>21</v>
      </c>
      <c r="F74" s="66">
        <v>90</v>
      </c>
      <c r="G74" s="66">
        <v>55</v>
      </c>
      <c r="H74" s="66">
        <v>17638.6</v>
      </c>
      <c r="I74" s="66">
        <v>13146.37</v>
      </c>
      <c r="J74" s="67">
        <f t="shared" si="3"/>
      </c>
      <c r="K74" s="67">
        <f t="shared" si="0"/>
      </c>
      <c r="L74" s="68">
        <f t="shared" si="4"/>
      </c>
      <c r="M74" s="69">
        <f t="shared" si="1"/>
      </c>
      <c r="N74" s="47">
        <v>6</v>
      </c>
      <c r="O74" s="69">
        <f t="shared" si="5"/>
      </c>
      <c r="P74" s="66"/>
      <c r="Q74" s="66"/>
    </row>
    <row customHeight="true" ht="16.071428571428573" r="75">
      <c r="A75" s="70">
        <v>46100</v>
      </c>
      <c r="B75" s="46" t="s">
        <v>106</v>
      </c>
      <c r="C75" s="66" t="s">
        <v>109</v>
      </c>
      <c r="D75" s="66">
        <v>2</v>
      </c>
      <c r="E75" s="66">
        <v>3</v>
      </c>
      <c r="F75" s="66">
        <v>26</v>
      </c>
      <c r="G75" s="66">
        <v>16</v>
      </c>
      <c r="H75" s="66">
        <v>5088</v>
      </c>
      <c r="I75" s="66">
        <v>6321.9</v>
      </c>
      <c r="J75" s="67">
        <f t="shared" si="3"/>
      </c>
      <c r="K75" s="67">
        <f t="shared" si="0"/>
      </c>
      <c r="L75" s="68">
        <f t="shared" si="4"/>
      </c>
      <c r="M75" s="69">
        <f t="shared" si="1"/>
      </c>
      <c r="N75" s="47">
        <v>3</v>
      </c>
      <c r="O75" s="69">
        <f t="shared" si="5"/>
      </c>
      <c r="P75" s="66" t="s">
        <v>100</v>
      </c>
      <c r="Q75" s="66">
        <v>8</v>
      </c>
    </row>
    <row customHeight="true" ht="16.071428571428573" r="76">
      <c r="A76" s="70">
        <v>46100</v>
      </c>
      <c r="B76" s="46" t="s">
        <v>91</v>
      </c>
      <c r="C76" s="66" t="s">
        <v>94</v>
      </c>
      <c r="D76" s="66">
        <v>5</v>
      </c>
      <c r="E76" s="66">
        <v>18</v>
      </c>
      <c r="F76" s="66">
        <v>74</v>
      </c>
      <c r="G76" s="66">
        <v>55</v>
      </c>
      <c r="H76" s="66">
        <v>19015.200000000004</v>
      </c>
      <c r="I76" s="47">
        <v>15418.66</v>
      </c>
      <c r="J76" s="67">
        <f t="shared" si="3"/>
      </c>
      <c r="K76" s="67">
        <f t="shared" si="0"/>
      </c>
      <c r="L76" s="68">
        <f t="shared" si="4"/>
      </c>
      <c r="M76" s="69">
        <f t="shared" si="1"/>
      </c>
      <c r="N76" s="47">
        <v>8</v>
      </c>
      <c r="O76" s="69">
        <f t="shared" si="5"/>
      </c>
      <c r="P76" s="66"/>
      <c r="Q76" s="66"/>
    </row>
    <row customHeight="true" ht="16.071428571428573" r="77">
      <c r="A77" s="70">
        <v>46100</v>
      </c>
      <c r="B77" s="46" t="s">
        <v>99</v>
      </c>
      <c r="C77" s="66" t="s">
        <v>89</v>
      </c>
      <c r="D77" s="66">
        <v>4</v>
      </c>
      <c r="E77" s="66">
        <v>10</v>
      </c>
      <c r="F77" s="66">
        <v>84</v>
      </c>
      <c r="G77" s="66">
        <v>50</v>
      </c>
      <c r="H77" s="66">
        <v>13478.599999999999</v>
      </c>
      <c r="I77" s="47">
        <v>13637.88</v>
      </c>
      <c r="J77" s="67">
        <f t="shared" si="3"/>
      </c>
      <c r="K77" s="67">
        <f t="shared" si="0"/>
      </c>
      <c r="L77" s="68">
        <f t="shared" si="4"/>
      </c>
      <c r="M77" s="69">
        <f t="shared" si="1"/>
      </c>
      <c r="N77" s="47">
        <v>7</v>
      </c>
      <c r="O77" s="69">
        <f t="shared" si="5"/>
      </c>
      <c r="P77" s="66" t="s">
        <v>95</v>
      </c>
      <c r="Q77" s="66">
        <v>8</v>
      </c>
    </row>
    <row customHeight="true" ht="16.071428571428573" r="78">
      <c r="A78" s="71">
        <v>46100</v>
      </c>
      <c r="B78" s="64"/>
      <c r="C78" s="64"/>
      <c r="D78" s="64">
        <f>SUM(D74:D77)</f>
      </c>
      <c r="E78" s="64">
        <f>SUM(E74:E77)</f>
      </c>
      <c r="F78" s="64">
        <f>SUM(F74:F77)</f>
      </c>
      <c r="G78" s="64">
        <f>SUM(G74:G77)</f>
      </c>
      <c r="H78" s="64">
        <f>SUM(H74:H77)</f>
      </c>
      <c r="I78" s="64">
        <f>SUM(I74:I77)</f>
      </c>
      <c r="J78" s="72">
        <f t="shared" si="3"/>
      </c>
      <c r="K78" s="73">
        <f t="shared" si="0"/>
      </c>
      <c r="L78" s="73">
        <f t="shared" si="4"/>
      </c>
      <c r="M78" s="74">
        <f t="shared" si="1"/>
      </c>
      <c r="N78" s="64">
        <f>SUM(N74:N77)</f>
      </c>
      <c r="O78" s="74">
        <f t="shared" si="5"/>
      </c>
      <c r="P78" s="75"/>
      <c r="Q78" s="64">
        <f>SUM(Q74:Q77)</f>
      </c>
    </row>
    <row customHeight="true" ht="16.071428571428573" r="79">
      <c r="A79" s="65">
        <v>46101</v>
      </c>
      <c r="B79" s="46" t="s">
        <v>91</v>
      </c>
      <c r="C79" s="47" t="s">
        <v>110</v>
      </c>
      <c r="D79" s="47">
        <v>4</v>
      </c>
      <c r="E79" s="66">
        <v>13</v>
      </c>
      <c r="F79" s="66">
        <v>43</v>
      </c>
      <c r="G79" s="66">
        <v>25</v>
      </c>
      <c r="H79" s="66">
        <v>6892.4</v>
      </c>
      <c r="I79" s="66">
        <v>9370.5</v>
      </c>
      <c r="J79" s="67">
        <f t="shared" si="3"/>
      </c>
      <c r="K79" s="67">
        <f t="shared" si="0"/>
      </c>
      <c r="L79" s="68">
        <f t="shared" si="4"/>
      </c>
      <c r="M79" s="69">
        <f t="shared" si="1"/>
      </c>
      <c r="N79" s="47">
        <v>2</v>
      </c>
      <c r="O79" s="69">
        <f t="shared" si="5"/>
      </c>
      <c r="P79" s="66"/>
      <c r="Q79" s="66"/>
    </row>
    <row customHeight="true" ht="16.071428571428573" r="80">
      <c r="A80" s="70">
        <v>46101</v>
      </c>
      <c r="B80" s="46" t="s">
        <v>83</v>
      </c>
      <c r="C80" s="47" t="s">
        <v>96</v>
      </c>
      <c r="D80" s="47">
        <v>5</v>
      </c>
      <c r="E80" s="66">
        <v>14</v>
      </c>
      <c r="F80" s="66">
        <v>73</v>
      </c>
      <c r="G80" s="66">
        <v>43</v>
      </c>
      <c r="H80" s="66">
        <v>13205.699999999999</v>
      </c>
      <c r="I80" s="47">
        <v>12419.12</v>
      </c>
      <c r="J80" s="67">
        <f t="shared" si="3"/>
      </c>
      <c r="K80" s="67">
        <f t="shared" si="0"/>
      </c>
      <c r="L80" s="68">
        <f t="shared" si="4"/>
      </c>
      <c r="M80" s="69">
        <f t="shared" si="1"/>
      </c>
      <c r="N80" s="47">
        <v>7</v>
      </c>
      <c r="O80" s="69">
        <f t="shared" si="5"/>
      </c>
      <c r="P80" s="66" t="s">
        <v>100</v>
      </c>
      <c r="Q80" s="66">
        <v>8</v>
      </c>
    </row>
    <row customHeight="true" ht="16.071428571428573" r="81">
      <c r="A81" s="70">
        <v>46101</v>
      </c>
      <c r="B81" s="46" t="s">
        <v>108</v>
      </c>
      <c r="C81" s="47" t="s">
        <v>97</v>
      </c>
      <c r="D81" s="47">
        <v>2</v>
      </c>
      <c r="E81" s="66">
        <v>3</v>
      </c>
      <c r="F81" s="66">
        <v>19</v>
      </c>
      <c r="G81" s="66">
        <v>4</v>
      </c>
      <c r="H81" s="66">
        <v>806.3000000000029</v>
      </c>
      <c r="I81" s="47">
        <v>3172.54</v>
      </c>
      <c r="J81" s="67">
        <f t="shared" si="3"/>
      </c>
      <c r="K81" s="67">
        <f t="shared" si="0"/>
      </c>
      <c r="L81" s="68">
        <f t="shared" si="4"/>
      </c>
      <c r="M81" s="69">
        <f t="shared" si="1"/>
      </c>
      <c r="N81" s="47">
        <v>1</v>
      </c>
      <c r="O81" s="69">
        <f t="shared" si="5"/>
      </c>
      <c r="P81" s="66"/>
      <c r="Q81" s="66"/>
    </row>
    <row customHeight="true" ht="16.071428571428573" r="82">
      <c r="A82" s="70">
        <v>46101</v>
      </c>
      <c r="B82" s="46" t="s">
        <v>99</v>
      </c>
      <c r="C82" s="47" t="s">
        <v>98</v>
      </c>
      <c r="D82" s="47">
        <v>5</v>
      </c>
      <c r="E82" s="66">
        <v>6</v>
      </c>
      <c r="F82" s="66">
        <v>74</v>
      </c>
      <c r="G82" s="66">
        <v>45</v>
      </c>
      <c r="H82" s="66">
        <v>16507.9</v>
      </c>
      <c r="I82" s="47">
        <v>11853.41</v>
      </c>
      <c r="J82" s="67">
        <f t="shared" si="3"/>
      </c>
      <c r="K82" s="67">
        <f t="shared" si="0"/>
      </c>
      <c r="L82" s="68">
        <f t="shared" si="4"/>
      </c>
      <c r="M82" s="69">
        <f t="shared" si="1"/>
      </c>
      <c r="N82" s="47">
        <v>6</v>
      </c>
      <c r="O82" s="69">
        <f t="shared" si="5"/>
      </c>
      <c r="P82" s="66" t="s">
        <v>95</v>
      </c>
      <c r="Q82" s="66">
        <v>8</v>
      </c>
    </row>
    <row customHeight="true" ht="16.071428571428573" r="83">
      <c r="A83" s="71">
        <v>46101</v>
      </c>
      <c r="B83" s="64"/>
      <c r="C83" s="64"/>
      <c r="D83" s="64">
        <f>SUM(D79:D82)</f>
      </c>
      <c r="E83" s="64">
        <f>SUM(E79:E82)</f>
      </c>
      <c r="F83" s="64">
        <f>SUM(F79:F82)</f>
      </c>
      <c r="G83" s="64">
        <f>SUM(G79:G82)</f>
      </c>
      <c r="H83" s="64">
        <f>SUM(H79:H82)</f>
      </c>
      <c r="I83" s="64">
        <f>SUM(I79:I82)</f>
      </c>
      <c r="J83" s="72">
        <f t="shared" si="3"/>
      </c>
      <c r="K83" s="73">
        <f t="shared" si="0"/>
      </c>
      <c r="L83" s="73">
        <f t="shared" si="4"/>
      </c>
      <c r="M83" s="74">
        <f t="shared" si="1"/>
      </c>
      <c r="N83" s="64">
        <f>SUM(N79:N82)</f>
      </c>
      <c r="O83" s="74">
        <f t="shared" si="5"/>
      </c>
      <c r="P83" s="75"/>
      <c r="Q83" s="64">
        <f>SUM(Q79:Q82)</f>
      </c>
    </row>
    <row customHeight="true" ht="16.071428571428573" r="84">
      <c r="A84" s="65">
        <v>46102</v>
      </c>
      <c r="B84" s="46" t="s">
        <v>83</v>
      </c>
      <c r="C84" s="47" t="s">
        <v>107</v>
      </c>
      <c r="D84" s="47">
        <v>5</v>
      </c>
      <c r="E84" s="66">
        <v>12</v>
      </c>
      <c r="F84" s="66">
        <v>47</v>
      </c>
      <c r="G84" s="66">
        <v>30</v>
      </c>
      <c r="H84" s="66">
        <v>12179</v>
      </c>
      <c r="I84" s="66">
        <v>8007.53</v>
      </c>
      <c r="J84" s="67">
        <f t="shared" si="3"/>
      </c>
      <c r="K84" s="67">
        <f t="shared" si="0"/>
      </c>
      <c r="L84" s="68">
        <f t="shared" si="4"/>
      </c>
      <c r="M84" s="69">
        <f t="shared" si="1"/>
      </c>
      <c r="N84" s="47">
        <v>7</v>
      </c>
      <c r="O84" s="69">
        <f t="shared" si="5"/>
      </c>
      <c r="P84" s="66"/>
      <c r="Q84" s="66"/>
    </row>
    <row customHeight="true" ht="16.071428571428573" r="85">
      <c r="A85" s="65">
        <v>46102</v>
      </c>
      <c r="B85" s="46" t="s">
        <v>91</v>
      </c>
      <c r="C85" s="47" t="s">
        <v>111</v>
      </c>
      <c r="D85" s="47">
        <v>5</v>
      </c>
      <c r="E85" s="47">
        <v>12</v>
      </c>
      <c r="F85" s="47">
        <v>64</v>
      </c>
      <c r="G85" s="47">
        <v>39</v>
      </c>
      <c r="H85" s="47">
        <v>14336.1</v>
      </c>
      <c r="I85" s="47">
        <v>10731.75</v>
      </c>
      <c r="J85" s="67">
        <f t="shared" si="3"/>
      </c>
      <c r="K85" s="67">
        <f t="shared" si="0"/>
      </c>
      <c r="L85" s="68">
        <f t="shared" si="4"/>
      </c>
      <c r="M85" s="69">
        <f t="shared" si="1"/>
      </c>
      <c r="N85" s="47">
        <v>6</v>
      </c>
      <c r="O85" s="69">
        <f t="shared" si="5"/>
      </c>
      <c r="P85" s="47" t="s">
        <v>112</v>
      </c>
      <c r="Q85" s="66">
        <v>8</v>
      </c>
    </row>
    <row customHeight="true" ht="16.071428571428573" r="86">
      <c r="A86" s="65">
        <v>46102</v>
      </c>
      <c r="B86" s="46" t="s">
        <v>106</v>
      </c>
      <c r="C86" s="47" t="s">
        <v>113</v>
      </c>
      <c r="D86" s="47">
        <v>2</v>
      </c>
      <c r="E86" s="47">
        <v>1</v>
      </c>
      <c r="F86" s="47">
        <v>23</v>
      </c>
      <c r="G86" s="47">
        <v>13</v>
      </c>
      <c r="H86" s="47">
        <v>6532</v>
      </c>
      <c r="I86" s="47">
        <v>4708.22</v>
      </c>
      <c r="J86" s="67">
        <f t="shared" si="3"/>
      </c>
      <c r="K86" s="67">
        <f t="shared" si="0"/>
      </c>
      <c r="L86" s="68">
        <f t="shared" si="4"/>
      </c>
      <c r="M86" s="69">
        <f t="shared" si="1"/>
      </c>
      <c r="N86" s="47">
        <v>0</v>
      </c>
      <c r="O86" s="69">
        <f t="shared" si="5"/>
      </c>
      <c r="P86" s="66"/>
      <c r="Q86" s="66"/>
    </row>
    <row customHeight="true" ht="16.071428571428573" r="87">
      <c r="A87" s="65">
        <v>46102</v>
      </c>
      <c r="B87" s="46" t="s">
        <v>99</v>
      </c>
      <c r="C87" s="47" t="s">
        <v>89</v>
      </c>
      <c r="D87" s="47">
        <v>4</v>
      </c>
      <c r="E87" s="47">
        <v>7</v>
      </c>
      <c r="F87" s="47">
        <v>58</v>
      </c>
      <c r="G87" s="47">
        <v>39</v>
      </c>
      <c r="H87" s="47">
        <v>13781.1</v>
      </c>
      <c r="I87" s="47">
        <v>8737.15</v>
      </c>
      <c r="J87" s="67">
        <f t="shared" si="3"/>
      </c>
      <c r="K87" s="67">
        <f t="shared" si="0"/>
      </c>
      <c r="L87" s="68">
        <f t="shared" si="4"/>
      </c>
      <c r="M87" s="69">
        <f t="shared" si="1"/>
      </c>
      <c r="N87" s="47">
        <v>12</v>
      </c>
      <c r="O87" s="69">
        <f t="shared" si="5"/>
      </c>
      <c r="P87" s="47" t="s">
        <v>114</v>
      </c>
      <c r="Q87" s="66">
        <v>8</v>
      </c>
    </row>
    <row customHeight="true" ht="16.071428571428573" r="88">
      <c r="A88" s="71">
        <v>46102</v>
      </c>
      <c r="B88" s="64"/>
      <c r="C88" s="64"/>
      <c r="D88" s="64">
        <f>SUM(D84:D87)</f>
      </c>
      <c r="E88" s="64">
        <f>SUM(E84:E87)</f>
      </c>
      <c r="F88" s="64">
        <f>SUM(F84:F87)</f>
      </c>
      <c r="G88" s="64">
        <f>SUM(G84:G87)</f>
      </c>
      <c r="H88" s="64">
        <f>SUM(H84:H87)</f>
      </c>
      <c r="I88" s="64">
        <f>SUM(I84:I87)</f>
      </c>
      <c r="J88" s="72">
        <f t="shared" si="3"/>
      </c>
      <c r="K88" s="73">
        <f t="shared" si="0"/>
      </c>
      <c r="L88" s="73">
        <f t="shared" si="4"/>
      </c>
      <c r="M88" s="74">
        <f t="shared" si="1"/>
      </c>
      <c r="N88" s="64">
        <f>SUM(N84:N87)</f>
      </c>
      <c r="O88" s="74">
        <f t="shared" si="5"/>
      </c>
      <c r="P88" s="75"/>
      <c r="Q88" s="64">
        <f>SUM(Q84:Q87)</f>
      </c>
    </row>
    <row customHeight="true" ht="16.071428571428573" r="89">
      <c r="A89" s="65">
        <v>46103</v>
      </c>
      <c r="B89" s="46" t="s">
        <v>83</v>
      </c>
      <c r="C89" s="47" t="s">
        <v>107</v>
      </c>
      <c r="D89" s="47">
        <v>5</v>
      </c>
      <c r="E89" s="66">
        <v>13</v>
      </c>
      <c r="F89" s="66">
        <v>68</v>
      </c>
      <c r="G89" s="66">
        <v>46</v>
      </c>
      <c r="H89" s="66">
        <v>15844.5</v>
      </c>
      <c r="I89" s="66">
        <v>14825.72</v>
      </c>
      <c r="J89" s="67">
        <f t="shared" si="3"/>
      </c>
      <c r="K89" s="67">
        <f t="shared" si="0"/>
      </c>
      <c r="L89" s="68">
        <f t="shared" si="4"/>
      </c>
      <c r="M89" s="69">
        <f t="shared" si="1"/>
      </c>
      <c r="N89" s="47">
        <v>6</v>
      </c>
      <c r="O89" s="69">
        <f t="shared" si="5"/>
      </c>
      <c r="P89" s="66"/>
      <c r="Q89" s="66"/>
    </row>
    <row customHeight="true" ht="16.071428571428573" r="90">
      <c r="A90" s="65">
        <v>46103</v>
      </c>
      <c r="B90" s="46" t="s">
        <v>91</v>
      </c>
      <c r="C90" s="47" t="s">
        <v>111</v>
      </c>
      <c r="D90" s="47">
        <v>5</v>
      </c>
      <c r="E90" s="47">
        <v>8</v>
      </c>
      <c r="F90" s="47">
        <v>37</v>
      </c>
      <c r="G90" s="47">
        <v>25</v>
      </c>
      <c r="H90" s="47">
        <v>9000.8</v>
      </c>
      <c r="I90" s="47">
        <v>8795.13</v>
      </c>
      <c r="J90" s="67">
        <f t="shared" si="3"/>
      </c>
      <c r="K90" s="67">
        <f t="shared" si="0"/>
      </c>
      <c r="L90" s="68">
        <f t="shared" si="4"/>
      </c>
      <c r="M90" s="69">
        <f t="shared" si="1"/>
      </c>
      <c r="N90" s="47">
        <v>3</v>
      </c>
      <c r="O90" s="69">
        <f t="shared" si="5"/>
      </c>
      <c r="P90" s="47" t="s">
        <v>100</v>
      </c>
      <c r="Q90" s="66">
        <v>8</v>
      </c>
    </row>
    <row customHeight="true" ht="16.071428571428573" r="91">
      <c r="A91" s="65">
        <v>46103</v>
      </c>
      <c r="B91" s="46" t="s">
        <v>108</v>
      </c>
      <c r="C91" s="47" t="s">
        <v>113</v>
      </c>
      <c r="D91" s="47">
        <v>2</v>
      </c>
      <c r="E91" s="47">
        <v>2</v>
      </c>
      <c r="F91" s="47">
        <v>18</v>
      </c>
      <c r="G91" s="47">
        <v>9</v>
      </c>
      <c r="H91" s="47">
        <v>4356</v>
      </c>
      <c r="I91" s="47">
        <v>3415.49</v>
      </c>
      <c r="J91" s="67">
        <f t="shared" si="3"/>
      </c>
      <c r="K91" s="67">
        <f t="shared" si="0"/>
      </c>
      <c r="L91" s="68">
        <f t="shared" si="4"/>
      </c>
      <c r="M91" s="69">
        <f t="shared" si="1"/>
      </c>
      <c r="N91" s="47">
        <v>0</v>
      </c>
      <c r="O91" s="69">
        <f t="shared" si="5"/>
      </c>
      <c r="P91" s="66"/>
      <c r="Q91" s="66"/>
    </row>
    <row customHeight="true" ht="16.071428571428573" r="92">
      <c r="A92" s="65">
        <v>46103</v>
      </c>
      <c r="B92" s="46" t="s">
        <v>99</v>
      </c>
      <c r="C92" s="47" t="s">
        <v>89</v>
      </c>
      <c r="D92" s="47">
        <v>4</v>
      </c>
      <c r="E92" s="47">
        <v>5</v>
      </c>
      <c r="F92" s="47">
        <v>71</v>
      </c>
      <c r="G92" s="47">
        <v>47</v>
      </c>
      <c r="H92" s="47">
        <v>19879.5</v>
      </c>
      <c r="I92" s="47">
        <v>9883.94</v>
      </c>
      <c r="J92" s="67">
        <f t="shared" si="3"/>
      </c>
      <c r="K92" s="67">
        <f t="shared" si="0"/>
      </c>
      <c r="L92" s="68">
        <f t="shared" si="4"/>
      </c>
      <c r="M92" s="69">
        <f t="shared" si="1"/>
      </c>
      <c r="N92" s="47">
        <v>11</v>
      </c>
      <c r="O92" s="69">
        <f t="shared" si="5"/>
      </c>
      <c r="P92" s="47" t="s">
        <v>114</v>
      </c>
      <c r="Q92" s="66">
        <v>8</v>
      </c>
    </row>
    <row customHeight="true" ht="16.071428571428573" r="93">
      <c r="A93" s="71">
        <v>46103</v>
      </c>
      <c r="B93" s="64"/>
      <c r="C93" s="64"/>
      <c r="D93" s="64">
        <f>SUM(D89:D92)</f>
      </c>
      <c r="E93" s="64">
        <f>SUM(E89:E92)</f>
      </c>
      <c r="F93" s="64">
        <f>SUM(F89:F92)</f>
      </c>
      <c r="G93" s="64">
        <f>SUM(G89:G92)</f>
      </c>
      <c r="H93" s="64">
        <f>SUM(H89:H92)</f>
      </c>
      <c r="I93" s="64">
        <f>SUM(I89:I92)</f>
      </c>
      <c r="J93" s="72">
        <f t="shared" si="3"/>
      </c>
      <c r="K93" s="73">
        <f t="shared" si="0"/>
      </c>
      <c r="L93" s="73">
        <f t="shared" si="4"/>
      </c>
      <c r="M93" s="74">
        <f t="shared" si="1"/>
      </c>
      <c r="N93" s="64">
        <f>SUM(N89:N92)</f>
      </c>
      <c r="O93" s="74">
        <f t="shared" si="5"/>
      </c>
      <c r="P93" s="75"/>
      <c r="Q93" s="64">
        <f>SUM(Q89:Q92)</f>
      </c>
    </row>
    <row customHeight="true" ht="16.071428571428573" r="94">
      <c r="A94" s="65">
        <v>46104</v>
      </c>
      <c r="B94" s="46" t="s">
        <v>83</v>
      </c>
      <c r="C94" s="47" t="s">
        <v>107</v>
      </c>
      <c r="D94" s="47">
        <v>5</v>
      </c>
      <c r="E94" s="66">
        <v>23</v>
      </c>
      <c r="F94" s="66">
        <v>89</v>
      </c>
      <c r="G94" s="66">
        <v>56</v>
      </c>
      <c r="H94" s="66">
        <v>16552.2</v>
      </c>
      <c r="I94" s="47">
        <v>15921.4</v>
      </c>
      <c r="J94" s="67">
        <f t="shared" si="3"/>
      </c>
      <c r="K94" s="67">
        <f t="shared" si="0"/>
      </c>
      <c r="L94" s="68">
        <f t="shared" si="4"/>
      </c>
      <c r="M94" s="69">
        <f t="shared" si="1"/>
      </c>
      <c r="N94" s="47">
        <v>10</v>
      </c>
      <c r="O94" s="69">
        <f t="shared" si="5"/>
      </c>
      <c r="P94" s="66"/>
      <c r="Q94" s="66"/>
    </row>
    <row customHeight="true" ht="16.071428571428573" r="95">
      <c r="A95" s="65">
        <v>46104</v>
      </c>
      <c r="B95" s="46" t="s">
        <v>91</v>
      </c>
      <c r="C95" s="47" t="s">
        <v>115</v>
      </c>
      <c r="D95" s="47">
        <v>4</v>
      </c>
      <c r="E95" s="47">
        <v>13</v>
      </c>
      <c r="F95" s="47">
        <v>62</v>
      </c>
      <c r="G95" s="47">
        <v>39</v>
      </c>
      <c r="H95" s="47">
        <v>15317.8</v>
      </c>
      <c r="I95" s="47">
        <v>12809.16</v>
      </c>
      <c r="J95" s="67">
        <f t="shared" si="3"/>
      </c>
      <c r="K95" s="67">
        <f t="shared" si="0"/>
      </c>
      <c r="L95" s="68">
        <f t="shared" si="4"/>
      </c>
      <c r="M95" s="69">
        <f t="shared" si="1"/>
      </c>
      <c r="N95" s="47">
        <v>5</v>
      </c>
      <c r="O95" s="69">
        <f t="shared" si="5"/>
      </c>
      <c r="P95" s="47" t="s">
        <v>95</v>
      </c>
      <c r="Q95" s="66">
        <v>8</v>
      </c>
    </row>
    <row customHeight="true" ht="16.071428571428573" r="96">
      <c r="A96" s="65">
        <v>46104</v>
      </c>
      <c r="B96" s="46" t="s">
        <v>106</v>
      </c>
      <c r="C96" s="47" t="s">
        <v>116</v>
      </c>
      <c r="D96" s="47">
        <v>3</v>
      </c>
      <c r="E96" s="47">
        <v>0</v>
      </c>
      <c r="F96" s="47">
        <v>37</v>
      </c>
      <c r="G96" s="47">
        <v>23</v>
      </c>
      <c r="H96" s="47">
        <v>7566</v>
      </c>
      <c r="I96" s="47">
        <v>7525.8099999999995</v>
      </c>
      <c r="J96" s="67">
        <f t="shared" si="3"/>
      </c>
      <c r="K96" s="67">
        <f t="shared" si="0"/>
      </c>
      <c r="L96" s="68">
        <f t="shared" si="4"/>
      </c>
      <c r="M96" s="69">
        <f t="shared" si="1"/>
      </c>
      <c r="N96" s="47">
        <v>2</v>
      </c>
      <c r="O96" s="69">
        <f t="shared" si="5"/>
      </c>
      <c r="P96" s="66"/>
      <c r="Q96" s="66"/>
    </row>
    <row customHeight="true" ht="16.071428571428573" r="97">
      <c r="A97" s="65">
        <v>46104</v>
      </c>
      <c r="B97" s="46" t="s">
        <v>99</v>
      </c>
      <c r="C97" s="47" t="s">
        <v>89</v>
      </c>
      <c r="D97" s="47">
        <v>4</v>
      </c>
      <c r="E97" s="47">
        <v>7</v>
      </c>
      <c r="F97" s="47">
        <v>89</v>
      </c>
      <c r="G97" s="47">
        <v>49</v>
      </c>
      <c r="H97" s="47">
        <v>16170.400000000001</v>
      </c>
      <c r="I97" s="47">
        <v>16387.850000000002</v>
      </c>
      <c r="J97" s="67">
        <f t="shared" si="3"/>
      </c>
      <c r="K97" s="67">
        <f t="shared" si="0"/>
      </c>
      <c r="L97" s="68">
        <f t="shared" si="4"/>
      </c>
      <c r="M97" s="69">
        <f t="shared" si="1"/>
      </c>
      <c r="N97" s="47">
        <v>4</v>
      </c>
      <c r="O97" s="69">
        <f t="shared" si="5"/>
      </c>
      <c r="P97" s="47" t="s">
        <v>105</v>
      </c>
      <c r="Q97" s="66">
        <v>8</v>
      </c>
    </row>
    <row customHeight="true" ht="16.071428571428573" r="98">
      <c r="A98" s="76">
        <v>46104</v>
      </c>
      <c r="B98" s="64"/>
      <c r="C98" s="64"/>
      <c r="D98" s="64">
        <f>SUM(D94:D97)</f>
      </c>
      <c r="E98" s="64">
        <f>SUM(E94:E97)</f>
      </c>
      <c r="F98" s="64">
        <f>SUM(F94:F97)</f>
      </c>
      <c r="G98" s="64">
        <f>SUM(G94:G97)</f>
      </c>
      <c r="H98" s="64">
        <f>SUM(H94:H97)</f>
      </c>
      <c r="I98" s="64">
        <f>SUM(I94:I97)</f>
      </c>
      <c r="J98" s="72">
        <f t="shared" si="3"/>
      </c>
      <c r="K98" s="73">
        <f t="shared" si="0"/>
      </c>
      <c r="L98" s="73">
        <f t="shared" si="4"/>
      </c>
      <c r="M98" s="74">
        <f t="shared" si="1"/>
      </c>
      <c r="N98" s="64">
        <f>SUM(N94:N97)</f>
      </c>
      <c r="O98" s="74">
        <f t="shared" si="5"/>
      </c>
      <c r="P98" s="75"/>
      <c r="Q98" s="64">
        <f>SUM(Q94:Q97)</f>
      </c>
    </row>
    <row customHeight="true" ht="16.071428571428573" r="99">
      <c r="A99" s="65">
        <v>46105</v>
      </c>
      <c r="B99" s="46" t="s">
        <v>83</v>
      </c>
      <c r="C99" s="47" t="s">
        <v>107</v>
      </c>
      <c r="D99" s="47">
        <v>5</v>
      </c>
      <c r="E99" s="66">
        <v>14</v>
      </c>
      <c r="F99" s="66">
        <v>70</v>
      </c>
      <c r="G99" s="66">
        <v>40</v>
      </c>
      <c r="H99" s="66">
        <v>9646.4</v>
      </c>
      <c r="I99" s="47">
        <v>15849.64</v>
      </c>
      <c r="J99" s="67">
        <f t="shared" si="3"/>
      </c>
      <c r="K99" s="67">
        <f t="shared" si="0"/>
      </c>
      <c r="L99" s="68">
        <f t="shared" si="4"/>
      </c>
      <c r="M99" s="69">
        <f t="shared" si="1"/>
      </c>
      <c r="N99" s="47">
        <v>3</v>
      </c>
      <c r="O99" s="69">
        <f t="shared" si="5"/>
      </c>
      <c r="P99" s="66"/>
      <c r="Q99" s="66"/>
    </row>
    <row customHeight="true" ht="16.071428571428573" r="100">
      <c r="A100" s="65">
        <v>46105</v>
      </c>
      <c r="B100" s="46" t="s">
        <v>106</v>
      </c>
      <c r="C100" s="47" t="s">
        <v>115</v>
      </c>
      <c r="D100" s="47">
        <v>4</v>
      </c>
      <c r="E100" s="47">
        <v>8</v>
      </c>
      <c r="F100" s="47">
        <v>56</v>
      </c>
      <c r="G100" s="47">
        <v>29</v>
      </c>
      <c r="H100" s="47">
        <v>8135.500000000002</v>
      </c>
      <c r="I100" s="47">
        <v>9605.220000000001</v>
      </c>
      <c r="J100" s="67">
        <f t="shared" si="3"/>
      </c>
      <c r="K100" s="67">
        <f t="shared" si="0"/>
      </c>
      <c r="L100" s="68">
        <f t="shared" si="4"/>
      </c>
      <c r="M100" s="69">
        <f t="shared" si="1"/>
      </c>
      <c r="N100" s="47">
        <v>2</v>
      </c>
      <c r="O100" s="69">
        <f t="shared" si="5"/>
      </c>
      <c r="P100" s="47" t="s">
        <v>95</v>
      </c>
      <c r="Q100" s="66">
        <v>8</v>
      </c>
    </row>
    <row customHeight="true" ht="16.071428571428573" r="101">
      <c r="A101" s="65">
        <v>46105</v>
      </c>
      <c r="B101" s="46" t="s">
        <v>108</v>
      </c>
      <c r="C101" s="47" t="s">
        <v>116</v>
      </c>
      <c r="D101" s="47">
        <v>3</v>
      </c>
      <c r="E101" s="47">
        <v>3</v>
      </c>
      <c r="F101" s="47">
        <v>30</v>
      </c>
      <c r="G101" s="47">
        <v>14</v>
      </c>
      <c r="H101" s="47">
        <v>5463.5999999999985</v>
      </c>
      <c r="I101" s="47">
        <v>6390.45</v>
      </c>
      <c r="J101" s="67">
        <f t="shared" si="3"/>
      </c>
      <c r="K101" s="67">
        <f t="shared" si="0"/>
      </c>
      <c r="L101" s="68">
        <f t="shared" si="4"/>
      </c>
      <c r="M101" s="69">
        <f t="shared" si="1"/>
      </c>
      <c r="N101" s="47">
        <v>2</v>
      </c>
      <c r="O101" s="69">
        <f t="shared" si="5"/>
      </c>
      <c r="P101" s="66"/>
      <c r="Q101" s="66"/>
    </row>
    <row customHeight="true" ht="16.071428571428573" r="102">
      <c r="A102" s="65">
        <v>46105</v>
      </c>
      <c r="B102" s="46" t="s">
        <v>91</v>
      </c>
      <c r="C102" s="47" t="s">
        <v>89</v>
      </c>
      <c r="D102" s="47">
        <v>4</v>
      </c>
      <c r="E102" s="47">
        <v>7</v>
      </c>
      <c r="F102" s="47">
        <v>86</v>
      </c>
      <c r="G102" s="47">
        <v>51</v>
      </c>
      <c r="H102" s="47">
        <v>17095.399999999998</v>
      </c>
      <c r="I102" s="47">
        <v>12715.46</v>
      </c>
      <c r="J102" s="67">
        <f t="shared" si="3"/>
      </c>
      <c r="K102" s="67">
        <f t="shared" si="0"/>
      </c>
      <c r="L102" s="68">
        <f t="shared" si="4"/>
      </c>
      <c r="M102" s="69">
        <f t="shared" si="1"/>
      </c>
      <c r="N102" s="47">
        <v>7</v>
      </c>
      <c r="O102" s="69">
        <f t="shared" si="5"/>
      </c>
      <c r="P102" s="47" t="s">
        <v>105</v>
      </c>
      <c r="Q102" s="66">
        <v>8</v>
      </c>
    </row>
    <row customHeight="true" ht="16.071428571428573" r="103">
      <c r="A103" s="76">
        <v>46105</v>
      </c>
      <c r="B103" s="64"/>
      <c r="C103" s="64"/>
      <c r="D103" s="64">
        <f>SUM(D99:D102)</f>
      </c>
      <c r="E103" s="64">
        <f>SUM(E99:E102)</f>
      </c>
      <c r="F103" s="64">
        <f>SUM(F99:F102)</f>
      </c>
      <c r="G103" s="64">
        <f>SUM(G99:G102)</f>
      </c>
      <c r="H103" s="64">
        <f>SUM(H99:H102)</f>
      </c>
      <c r="I103" s="64">
        <f>SUM(I99:I102)</f>
      </c>
      <c r="J103" s="72">
        <f t="shared" si="3"/>
      </c>
      <c r="K103" s="73">
        <f t="shared" si="0"/>
      </c>
      <c r="L103" s="73">
        <f t="shared" si="4"/>
      </c>
      <c r="M103" s="74">
        <f t="shared" si="1"/>
      </c>
      <c r="N103" s="64">
        <f>SUM(N99:N102)</f>
      </c>
      <c r="O103" s="74">
        <f t="shared" si="5"/>
      </c>
      <c r="P103" s="75"/>
      <c r="Q103" s="64">
        <f>SUM(Q99:Q102)</f>
      </c>
    </row>
    <row r="104">
      <c r="A104" s="65">
        <v>46106</v>
      </c>
      <c r="B104" s="46" t="s">
        <v>83</v>
      </c>
      <c r="C104" s="47" t="s">
        <v>107</v>
      </c>
      <c r="D104" s="47">
        <v>5</v>
      </c>
      <c r="E104" s="66">
        <v>17</v>
      </c>
      <c r="F104" s="66">
        <v>81</v>
      </c>
      <c r="G104" s="66">
        <v>53</v>
      </c>
      <c r="H104" s="66">
        <v>17114.3</v>
      </c>
      <c r="I104" s="47">
        <v>14592.1</v>
      </c>
      <c r="J104" s="67">
        <f t="shared" si="3"/>
      </c>
      <c r="K104" s="67">
        <f t="shared" si="0"/>
      </c>
      <c r="L104" s="68">
        <f t="shared" si="4"/>
      </c>
      <c r="M104" s="69">
        <f t="shared" si="1"/>
      </c>
      <c r="N104" s="47">
        <v>11</v>
      </c>
      <c r="O104" s="69">
        <f t="shared" si="5"/>
      </c>
      <c r="P104" s="66"/>
      <c r="Q104" s="66"/>
    </row>
    <row r="105">
      <c r="A105" s="65">
        <v>46106</v>
      </c>
      <c r="B105" s="46" t="s">
        <v>99</v>
      </c>
      <c r="C105" s="47" t="s">
        <v>115</v>
      </c>
      <c r="D105" s="47">
        <v>4</v>
      </c>
      <c r="E105" s="47">
        <v>2</v>
      </c>
      <c r="F105" s="47">
        <v>63</v>
      </c>
      <c r="G105" s="47">
        <v>35</v>
      </c>
      <c r="H105" s="47">
        <v>13658.3</v>
      </c>
      <c r="I105" s="47">
        <v>10870.69</v>
      </c>
      <c r="J105" s="67">
        <f t="shared" si="3"/>
      </c>
      <c r="K105" s="67">
        <f t="shared" si="0"/>
      </c>
      <c r="L105" s="68">
        <f t="shared" si="4"/>
      </c>
      <c r="M105" s="69">
        <f t="shared" si="1"/>
      </c>
      <c r="N105" s="47">
        <v>4</v>
      </c>
      <c r="O105" s="69">
        <f t="shared" si="5"/>
      </c>
      <c r="P105" s="47" t="s">
        <v>95</v>
      </c>
      <c r="Q105" s="66">
        <v>8</v>
      </c>
    </row>
    <row r="106">
      <c r="A106" s="65">
        <v>46106</v>
      </c>
      <c r="B106" s="46" t="s">
        <v>108</v>
      </c>
      <c r="C106" s="47" t="s">
        <v>116</v>
      </c>
      <c r="D106" s="47">
        <v>3</v>
      </c>
      <c r="E106" s="47">
        <v>3</v>
      </c>
      <c r="F106" s="47">
        <v>38</v>
      </c>
      <c r="G106" s="47">
        <v>28</v>
      </c>
      <c r="H106" s="47">
        <v>9076.800000000003</v>
      </c>
      <c r="I106" s="47">
        <v>7878.11</v>
      </c>
      <c r="J106" s="67">
        <f t="shared" si="3"/>
      </c>
      <c r="K106" s="67">
        <f t="shared" si="0"/>
      </c>
      <c r="L106" s="68">
        <f t="shared" si="4"/>
      </c>
      <c r="M106" s="69">
        <f t="shared" si="1"/>
      </c>
      <c r="N106" s="47">
        <v>0</v>
      </c>
      <c r="O106" s="69">
        <f t="shared" si="5"/>
      </c>
      <c r="P106" s="66"/>
      <c r="Q106" s="66"/>
    </row>
    <row r="107">
      <c r="A107" s="65">
        <v>46106</v>
      </c>
      <c r="B107" s="46" t="s">
        <v>91</v>
      </c>
      <c r="C107" s="47" t="s">
        <v>89</v>
      </c>
      <c r="D107" s="47">
        <v>4</v>
      </c>
      <c r="E107" s="47">
        <v>8</v>
      </c>
      <c r="F107" s="47">
        <v>95</v>
      </c>
      <c r="G107" s="47">
        <v>63</v>
      </c>
      <c r="H107" s="47">
        <v>21049.1</v>
      </c>
      <c r="I107" s="47">
        <v>17000.28</v>
      </c>
      <c r="J107" s="67">
        <f t="shared" si="3"/>
      </c>
      <c r="K107" s="67">
        <f t="shared" si="0"/>
      </c>
      <c r="L107" s="68">
        <f t="shared" si="4"/>
      </c>
      <c r="M107" s="69">
        <f t="shared" si="1"/>
      </c>
      <c r="N107" s="47">
        <v>6</v>
      </c>
      <c r="O107" s="69">
        <f t="shared" si="5"/>
      </c>
      <c r="P107" s="47" t="s">
        <v>105</v>
      </c>
      <c r="Q107" s="66">
        <v>8</v>
      </c>
    </row>
    <row r="108">
      <c r="A108" s="76">
        <v>46106</v>
      </c>
      <c r="B108" s="64"/>
      <c r="C108" s="64"/>
      <c r="D108" s="64">
        <f>SUM(D104:D107)</f>
      </c>
      <c r="E108" s="64">
        <f>SUM(E104:E107)</f>
      </c>
      <c r="F108" s="64">
        <f>SUM(F104:F107)</f>
      </c>
      <c r="G108" s="64">
        <f>SUM(G104:G107)</f>
      </c>
      <c r="H108" s="64">
        <f>SUM(H104:H107)</f>
      </c>
      <c r="I108" s="64">
        <f>SUM(I104:I107)</f>
      </c>
      <c r="J108" s="72">
        <f t="shared" si="3"/>
      </c>
      <c r="K108" s="73">
        <f t="shared" si="0"/>
      </c>
      <c r="L108" s="73">
        <f t="shared" si="4"/>
      </c>
      <c r="M108" s="74">
        <f t="shared" si="1"/>
      </c>
      <c r="N108" s="64">
        <f>SUM(N104:N107)</f>
      </c>
      <c r="O108" s="74">
        <f t="shared" si="5"/>
      </c>
      <c r="P108" s="75"/>
      <c r="Q108" s="64">
        <f>SUM(Q104:Q107)</f>
      </c>
    </row>
    <row r="109">
      <c r="A109" s="65">
        <v>46107</v>
      </c>
      <c r="B109" s="46" t="s">
        <v>83</v>
      </c>
      <c r="C109" s="47" t="s">
        <v>107</v>
      </c>
      <c r="D109" s="47">
        <v>5</v>
      </c>
      <c r="E109" s="66">
        <v>17</v>
      </c>
      <c r="F109" s="66">
        <v>117</v>
      </c>
      <c r="G109" s="66">
        <v>64</v>
      </c>
      <c r="H109" s="66">
        <v>21851.6</v>
      </c>
      <c r="I109" s="47">
        <v>17666.38</v>
      </c>
      <c r="J109" s="67">
        <f t="shared" si="3"/>
      </c>
      <c r="K109" s="67">
        <f t="shared" si="0"/>
      </c>
      <c r="L109" s="68">
        <f t="shared" si="4"/>
      </c>
      <c r="M109" s="69">
        <f t="shared" si="1"/>
      </c>
      <c r="N109" s="47">
        <v>11</v>
      </c>
      <c r="O109" s="69">
        <f t="shared" si="5"/>
      </c>
      <c r="P109" s="66"/>
      <c r="Q109" s="66"/>
    </row>
    <row r="110">
      <c r="A110" s="65">
        <v>46107</v>
      </c>
      <c r="B110" s="46" t="s">
        <v>106</v>
      </c>
      <c r="C110" s="47" t="s">
        <v>111</v>
      </c>
      <c r="D110" s="47">
        <v>5</v>
      </c>
      <c r="E110" s="47">
        <v>13</v>
      </c>
      <c r="F110" s="47">
        <v>111</v>
      </c>
      <c r="G110" s="47">
        <v>79</v>
      </c>
      <c r="H110" s="47">
        <v>23276.1</v>
      </c>
      <c r="I110" s="47">
        <v>18914.79</v>
      </c>
      <c r="J110" s="67">
        <f t="shared" si="3"/>
      </c>
      <c r="K110" s="67">
        <f t="shared" si="0"/>
      </c>
      <c r="L110" s="68">
        <f t="shared" si="4"/>
      </c>
      <c r="M110" s="69">
        <f t="shared" si="1"/>
      </c>
      <c r="N110" s="47">
        <v>16</v>
      </c>
      <c r="O110" s="69">
        <f t="shared" si="5"/>
      </c>
      <c r="P110" s="47" t="s">
        <v>95</v>
      </c>
      <c r="Q110" s="66">
        <v>8</v>
      </c>
    </row>
    <row r="111">
      <c r="A111" s="65">
        <v>46107</v>
      </c>
      <c r="B111" s="46" t="s">
        <v>108</v>
      </c>
      <c r="C111" s="47" t="s">
        <v>113</v>
      </c>
      <c r="D111" s="47">
        <v>2</v>
      </c>
      <c r="E111" s="47">
        <v>10</v>
      </c>
      <c r="F111" s="47">
        <v>32</v>
      </c>
      <c r="G111" s="47">
        <v>22</v>
      </c>
      <c r="H111" s="47">
        <v>7085.9000000000015</v>
      </c>
      <c r="I111" s="47">
        <v>7999.97</v>
      </c>
      <c r="J111" s="67">
        <f t="shared" si="3"/>
      </c>
      <c r="K111" s="67">
        <f t="shared" si="0"/>
      </c>
      <c r="L111" s="68">
        <f t="shared" si="4"/>
      </c>
      <c r="M111" s="69">
        <f t="shared" si="1"/>
      </c>
      <c r="N111" s="47">
        <v>3</v>
      </c>
      <c r="O111" s="69">
        <f t="shared" si="5"/>
      </c>
      <c r="P111" s="66"/>
      <c r="Q111" s="66"/>
    </row>
    <row r="112">
      <c r="A112" s="65">
        <v>46107</v>
      </c>
      <c r="B112" s="46" t="s">
        <v>99</v>
      </c>
      <c r="C112" s="47" t="s">
        <v>89</v>
      </c>
      <c r="D112" s="47">
        <v>4</v>
      </c>
      <c r="E112" s="47">
        <v>8</v>
      </c>
      <c r="F112" s="47">
        <v>50</v>
      </c>
      <c r="G112" s="47">
        <v>35</v>
      </c>
      <c r="H112" s="47">
        <v>10527.5</v>
      </c>
      <c r="I112" s="47">
        <v>12232.460000000001</v>
      </c>
      <c r="J112" s="67">
        <f t="shared" si="3"/>
      </c>
      <c r="K112" s="67">
        <f t="shared" si="0"/>
      </c>
      <c r="L112" s="68">
        <f t="shared" si="4"/>
      </c>
      <c r="M112" s="69">
        <f t="shared" si="1"/>
      </c>
      <c r="N112" s="47">
        <v>6</v>
      </c>
      <c r="O112" s="69">
        <f t="shared" si="5"/>
      </c>
      <c r="P112" s="47" t="s">
        <v>105</v>
      </c>
      <c r="Q112" s="66">
        <v>8</v>
      </c>
    </row>
    <row r="113">
      <c r="A113" s="76">
        <v>46107</v>
      </c>
      <c r="B113" s="64"/>
      <c r="C113" s="64"/>
      <c r="D113" s="64">
        <f>SUM(D109:D112)</f>
      </c>
      <c r="E113" s="64">
        <f>SUM(E109:E112)</f>
      </c>
      <c r="F113" s="64">
        <f>SUM(F109:F112)</f>
      </c>
      <c r="G113" s="64">
        <f>SUM(G109:G112)</f>
      </c>
      <c r="H113" s="64">
        <f>SUM(H109:H112)</f>
      </c>
      <c r="I113" s="64">
        <f>SUM(I109:I112)</f>
      </c>
      <c r="J113" s="72">
        <f t="shared" si="3"/>
      </c>
      <c r="K113" s="73">
        <f t="shared" si="0"/>
      </c>
      <c r="L113" s="73">
        <f t="shared" si="4"/>
      </c>
      <c r="M113" s="74">
        <f t="shared" si="1"/>
      </c>
      <c r="N113" s="64">
        <f>SUM(N109:N112)</f>
      </c>
      <c r="O113" s="74">
        <f t="shared" si="5"/>
      </c>
      <c r="P113" s="75"/>
      <c r="Q113" s="64">
        <f>SUM(Q109:Q112)</f>
      </c>
    </row>
    <row r="114">
      <c r="A114" s="65">
        <v>46108</v>
      </c>
      <c r="B114" s="46" t="s">
        <v>83</v>
      </c>
      <c r="C114" s="47" t="s">
        <v>110</v>
      </c>
      <c r="D114" s="47">
        <v>4</v>
      </c>
      <c r="E114" s="66">
        <v>6</v>
      </c>
      <c r="F114" s="66">
        <v>48</v>
      </c>
      <c r="G114" s="66">
        <v>30</v>
      </c>
      <c r="H114" s="66">
        <v>8390.2</v>
      </c>
      <c r="I114" s="47">
        <v>13476.15</v>
      </c>
      <c r="J114" s="67">
        <f t="shared" si="3"/>
      </c>
      <c r="K114" s="67">
        <f t="shared" si="0"/>
      </c>
      <c r="L114" s="68">
        <f t="shared" si="4"/>
      </c>
      <c r="M114" s="69">
        <f t="shared" si="1"/>
      </c>
      <c r="N114" s="47">
        <v>3</v>
      </c>
      <c r="O114" s="69">
        <f t="shared" si="5"/>
      </c>
      <c r="P114" s="66"/>
      <c r="Q114" s="66"/>
    </row>
    <row r="115">
      <c r="A115" s="65">
        <v>46108</v>
      </c>
      <c r="B115" s="46" t="s">
        <v>99</v>
      </c>
      <c r="C115" s="47" t="s">
        <v>84</v>
      </c>
      <c r="D115" s="47">
        <v>4</v>
      </c>
      <c r="E115" s="47">
        <v>3</v>
      </c>
      <c r="F115" s="47">
        <v>40</v>
      </c>
      <c r="G115" s="47">
        <v>26</v>
      </c>
      <c r="H115" s="47">
        <v>10137.2</v>
      </c>
      <c r="I115" s="47">
        <v>6842.24</v>
      </c>
      <c r="J115" s="67">
        <f t="shared" si="3"/>
      </c>
      <c r="K115" s="67">
        <f t="shared" si="0"/>
      </c>
      <c r="L115" s="68">
        <f t="shared" si="4"/>
      </c>
      <c r="M115" s="69">
        <f t="shared" si="1"/>
      </c>
      <c r="N115" s="47">
        <v>5</v>
      </c>
      <c r="O115" s="69">
        <f t="shared" si="5"/>
      </c>
      <c r="P115" s="47" t="s">
        <v>95</v>
      </c>
      <c r="Q115" s="66">
        <v>8</v>
      </c>
    </row>
    <row r="116">
      <c r="A116" s="65">
        <v>46108</v>
      </c>
      <c r="B116" s="46" t="s">
        <v>106</v>
      </c>
      <c r="C116" s="47" t="s">
        <v>87</v>
      </c>
      <c r="D116" s="47">
        <v>4</v>
      </c>
      <c r="E116" s="47">
        <v>5</v>
      </c>
      <c r="F116" s="47">
        <v>35</v>
      </c>
      <c r="G116" s="47">
        <v>27</v>
      </c>
      <c r="H116" s="47">
        <v>8198.099999999999</v>
      </c>
      <c r="I116" s="47">
        <v>6417.959999999999</v>
      </c>
      <c r="J116" s="67">
        <f t="shared" si="3"/>
      </c>
      <c r="K116" s="67">
        <f t="shared" si="0"/>
      </c>
      <c r="L116" s="68">
        <f t="shared" si="4"/>
      </c>
      <c r="M116" s="69">
        <f t="shared" si="1"/>
      </c>
      <c r="N116" s="47">
        <v>8</v>
      </c>
      <c r="O116" s="69">
        <f t="shared" si="5"/>
      </c>
      <c r="P116" s="66"/>
      <c r="Q116" s="66"/>
    </row>
    <row r="117">
      <c r="A117" s="65">
        <v>46108</v>
      </c>
      <c r="B117" s="46" t="s">
        <v>108</v>
      </c>
      <c r="C117" s="47" t="s">
        <v>89</v>
      </c>
      <c r="D117" s="47">
        <v>4</v>
      </c>
      <c r="E117" s="47">
        <v>12</v>
      </c>
      <c r="F117" s="47">
        <v>52</v>
      </c>
      <c r="G117" s="47">
        <v>32</v>
      </c>
      <c r="H117" s="47">
        <v>9933.199999999997</v>
      </c>
      <c r="I117" s="47">
        <v>11023.520000000004</v>
      </c>
      <c r="J117" s="67">
        <f t="shared" si="3"/>
      </c>
      <c r="K117" s="67">
        <f t="shared" si="0"/>
      </c>
      <c r="L117" s="68">
        <f t="shared" si="4"/>
      </c>
      <c r="M117" s="69">
        <f t="shared" si="1"/>
      </c>
      <c r="N117" s="47">
        <v>0</v>
      </c>
      <c r="O117" s="69">
        <f t="shared" si="5"/>
      </c>
      <c r="P117" s="47" t="s">
        <v>117</v>
      </c>
      <c r="Q117" s="66">
        <v>8</v>
      </c>
    </row>
    <row r="118">
      <c r="A118" s="76">
        <v>46108</v>
      </c>
      <c r="B118" s="64"/>
      <c r="C118" s="64"/>
      <c r="D118" s="64">
        <f>SUM(D114:D117)</f>
      </c>
      <c r="E118" s="64">
        <f>SUM(E114:E117)</f>
      </c>
      <c r="F118" s="64">
        <f>SUM(F114:F117)</f>
      </c>
      <c r="G118" s="64">
        <f>SUM(G114:G117)</f>
      </c>
      <c r="H118" s="64">
        <f>SUM(H114:H117)</f>
      </c>
      <c r="I118" s="64">
        <f>SUM(I114:I117)</f>
      </c>
      <c r="J118" s="72">
        <f t="shared" si="3"/>
      </c>
      <c r="K118" s="73">
        <f t="shared" si="0"/>
      </c>
      <c r="L118" s="73">
        <f t="shared" si="4"/>
      </c>
      <c r="M118" s="74">
        <f t="shared" si="1"/>
      </c>
      <c r="N118" s="64">
        <f>SUM(N114:N117)</f>
      </c>
      <c r="O118" s="74">
        <f t="shared" si="5"/>
      </c>
      <c r="P118" s="75"/>
      <c r="Q118" s="64">
        <f>SUM(Q114:Q117)</f>
      </c>
    </row>
    <row r="119">
      <c r="A119" s="65">
        <v>46109</v>
      </c>
      <c r="B119" s="46" t="s">
        <v>99</v>
      </c>
      <c r="C119" s="47" t="s">
        <v>110</v>
      </c>
      <c r="D119" s="47">
        <v>4</v>
      </c>
      <c r="E119" s="47">
        <v>17</v>
      </c>
      <c r="F119" s="66">
        <v>73</v>
      </c>
      <c r="G119" s="66">
        <v>55</v>
      </c>
      <c r="H119" s="66">
        <v>17161.9</v>
      </c>
      <c r="I119" s="47">
        <v>12355.81</v>
      </c>
      <c r="J119" s="67">
        <f t="shared" si="3"/>
      </c>
      <c r="K119" s="67">
        <f t="shared" si="0"/>
      </c>
      <c r="L119" s="68">
        <f t="shared" si="4"/>
      </c>
      <c r="M119" s="69">
        <f t="shared" si="1"/>
      </c>
      <c r="N119" s="77">
        <v>6</v>
      </c>
      <c r="O119" s="69">
        <f t="shared" si="5"/>
      </c>
      <c r="P119" s="66"/>
      <c r="Q119" s="66"/>
    </row>
    <row r="120">
      <c r="A120" s="65">
        <v>46109</v>
      </c>
      <c r="B120" s="46" t="s">
        <v>91</v>
      </c>
      <c r="C120" s="47" t="s">
        <v>84</v>
      </c>
      <c r="D120" s="47">
        <v>4</v>
      </c>
      <c r="E120" s="47">
        <v>7</v>
      </c>
      <c r="F120" s="47">
        <v>71</v>
      </c>
      <c r="G120" s="47">
        <v>55</v>
      </c>
      <c r="H120" s="47">
        <v>15479.2</v>
      </c>
      <c r="I120" s="47">
        <v>13408.31</v>
      </c>
      <c r="J120" s="67">
        <f t="shared" si="3"/>
      </c>
      <c r="K120" s="67">
        <f t="shared" si="0"/>
      </c>
      <c r="L120" s="68">
        <f t="shared" si="4"/>
      </c>
      <c r="M120" s="69">
        <f t="shared" si="1"/>
      </c>
      <c r="N120" s="77">
        <v>5</v>
      </c>
      <c r="O120" s="69">
        <f t="shared" si="5"/>
      </c>
      <c r="P120" s="47" t="s">
        <v>95</v>
      </c>
      <c r="Q120" s="66">
        <v>8</v>
      </c>
    </row>
    <row r="121">
      <c r="A121" s="65">
        <v>46109</v>
      </c>
      <c r="B121" s="46" t="s">
        <v>106</v>
      </c>
      <c r="C121" s="47" t="s">
        <v>87</v>
      </c>
      <c r="D121" s="47">
        <v>4</v>
      </c>
      <c r="E121" s="47">
        <v>9</v>
      </c>
      <c r="F121" s="47">
        <v>51</v>
      </c>
      <c r="G121" s="47">
        <v>40</v>
      </c>
      <c r="H121" s="47">
        <v>12329.9</v>
      </c>
      <c r="I121" s="47">
        <v>14303.91</v>
      </c>
      <c r="J121" s="67">
        <f t="shared" si="3"/>
      </c>
      <c r="K121" s="67">
        <f t="shared" si="0"/>
      </c>
      <c r="L121" s="68">
        <f t="shared" si="4"/>
      </c>
      <c r="M121" s="69">
        <f t="shared" si="1"/>
      </c>
      <c r="N121" s="77">
        <v>3</v>
      </c>
      <c r="O121" s="69">
        <f t="shared" si="5"/>
      </c>
      <c r="P121" s="66"/>
      <c r="Q121" s="66"/>
    </row>
    <row r="122">
      <c r="A122" s="65">
        <v>46109</v>
      </c>
      <c r="B122" s="46" t="s">
        <v>108</v>
      </c>
      <c r="C122" s="47" t="s">
        <v>89</v>
      </c>
      <c r="D122" s="47">
        <v>4</v>
      </c>
      <c r="E122" s="47">
        <v>14</v>
      </c>
      <c r="F122" s="47">
        <v>89</v>
      </c>
      <c r="G122" s="47">
        <v>29</v>
      </c>
      <c r="H122" s="47">
        <v>10214.4</v>
      </c>
      <c r="I122" s="47">
        <v>11187.32</v>
      </c>
      <c r="J122" s="67">
        <f t="shared" si="3"/>
      </c>
      <c r="K122" s="67">
        <f t="shared" si="0"/>
      </c>
      <c r="L122" s="68">
        <f t="shared" si="4"/>
      </c>
      <c r="M122" s="69">
        <f t="shared" si="1"/>
      </c>
      <c r="N122" s="77">
        <v>1</v>
      </c>
      <c r="O122" s="69">
        <f t="shared" si="5"/>
      </c>
      <c r="P122" s="47" t="s">
        <v>118</v>
      </c>
      <c r="Q122" s="66">
        <v>8</v>
      </c>
    </row>
    <row r="123">
      <c r="A123" s="76">
        <v>46109</v>
      </c>
      <c r="B123" s="64"/>
      <c r="C123" s="64"/>
      <c r="D123" s="64">
        <f>SUM(D119:D122)</f>
      </c>
      <c r="E123" s="64">
        <f>SUM(E119:E122)</f>
      </c>
      <c r="F123" s="64">
        <f>SUM(F119:F122)</f>
      </c>
      <c r="G123" s="64">
        <f>SUM(G119:G122)</f>
      </c>
      <c r="H123" s="64">
        <f>SUM(H119:H122)</f>
      </c>
      <c r="I123" s="64">
        <f>SUM(I119:I122)</f>
      </c>
      <c r="J123" s="72">
        <f t="shared" si="3"/>
      </c>
      <c r="K123" s="73">
        <f t="shared" si="0"/>
      </c>
      <c r="L123" s="73">
        <f t="shared" si="4"/>
      </c>
      <c r="M123" s="74">
        <f t="shared" si="1"/>
      </c>
      <c r="N123" s="64">
        <f>SUM(N119:N122)</f>
      </c>
      <c r="O123" s="74">
        <f t="shared" si="5"/>
      </c>
      <c r="P123" s="75"/>
      <c r="Q123" s="64">
        <f>SUM(Q119:Q122)</f>
      </c>
    </row>
    <row r="124">
      <c r="A124" s="65">
        <v>46110</v>
      </c>
      <c r="B124" s="46" t="s">
        <v>99</v>
      </c>
      <c r="C124" s="47" t="s">
        <v>110</v>
      </c>
      <c r="D124" s="47">
        <v>4</v>
      </c>
      <c r="E124" s="47">
        <v>3</v>
      </c>
      <c r="F124" s="66">
        <v>42</v>
      </c>
      <c r="G124" s="66">
        <v>37</v>
      </c>
      <c r="H124" s="66">
        <v>10155.2</v>
      </c>
      <c r="I124" s="47">
        <v>7885.33</v>
      </c>
      <c r="J124" s="67">
        <f t="shared" si="3"/>
      </c>
      <c r="K124" s="67">
        <f t="shared" si="0"/>
      </c>
      <c r="L124" s="68">
        <f t="shared" si="4"/>
      </c>
      <c r="M124" s="69">
        <f t="shared" si="1"/>
      </c>
      <c r="N124" s="77">
        <v>5</v>
      </c>
      <c r="O124" s="69">
        <f t="shared" si="5"/>
      </c>
      <c r="P124" s="66"/>
      <c r="Q124" s="66"/>
    </row>
    <row r="125">
      <c r="A125" s="65">
        <v>46110</v>
      </c>
      <c r="B125" s="46" t="s">
        <v>91</v>
      </c>
      <c r="C125" s="47" t="s">
        <v>84</v>
      </c>
      <c r="D125" s="47">
        <v>4</v>
      </c>
      <c r="E125" s="47">
        <v>4</v>
      </c>
      <c r="F125" s="47">
        <v>37</v>
      </c>
      <c r="G125" s="47">
        <v>18</v>
      </c>
      <c r="H125" s="47">
        <v>9519.8</v>
      </c>
      <c r="I125" s="47">
        <v>6861.41</v>
      </c>
      <c r="J125" s="67">
        <f t="shared" si="3"/>
      </c>
      <c r="K125" s="67">
        <f t="shared" si="0"/>
      </c>
      <c r="L125" s="68">
        <f t="shared" si="4"/>
      </c>
      <c r="M125" s="69">
        <f t="shared" si="1"/>
      </c>
      <c r="N125" s="77">
        <v>3</v>
      </c>
      <c r="O125" s="69">
        <f t="shared" si="5"/>
      </c>
      <c r="P125" s="47" t="s">
        <v>95</v>
      </c>
      <c r="Q125" s="66">
        <v>8</v>
      </c>
    </row>
    <row r="126">
      <c r="A126" s="65">
        <v>46110</v>
      </c>
      <c r="B126" s="46" t="s">
        <v>108</v>
      </c>
      <c r="C126" s="47" t="s">
        <v>87</v>
      </c>
      <c r="D126" s="47">
        <v>4</v>
      </c>
      <c r="E126" s="47">
        <v>6</v>
      </c>
      <c r="F126" s="47">
        <v>41</v>
      </c>
      <c r="G126" s="47">
        <v>27</v>
      </c>
      <c r="H126" s="47">
        <v>8418.3</v>
      </c>
      <c r="I126" s="47">
        <v>9158.1</v>
      </c>
      <c r="J126" s="67">
        <f t="shared" si="3"/>
      </c>
      <c r="K126" s="67">
        <f t="shared" si="0"/>
      </c>
      <c r="L126" s="68">
        <f t="shared" si="4"/>
      </c>
      <c r="M126" s="69">
        <f t="shared" si="1"/>
      </c>
      <c r="N126" s="77">
        <v>3</v>
      </c>
      <c r="O126" s="69">
        <f t="shared" si="5"/>
      </c>
      <c r="P126" s="66"/>
      <c r="Q126" s="66"/>
    </row>
    <row r="127">
      <c r="A127" s="65">
        <v>46110</v>
      </c>
      <c r="B127" s="46" t="s">
        <v>83</v>
      </c>
      <c r="C127" s="47" t="s">
        <v>89</v>
      </c>
      <c r="D127" s="47">
        <v>4</v>
      </c>
      <c r="E127" s="47">
        <v>21</v>
      </c>
      <c r="F127" s="47">
        <v>76</v>
      </c>
      <c r="G127" s="47">
        <v>57</v>
      </c>
      <c r="H127" s="47">
        <v>18530.000000000004</v>
      </c>
      <c r="I127" s="47">
        <v>15643.309999999994</v>
      </c>
      <c r="J127" s="67">
        <f t="shared" si="3"/>
      </c>
      <c r="K127" s="67">
        <f t="shared" si="0"/>
      </c>
      <c r="L127" s="68">
        <f t="shared" si="4"/>
      </c>
      <c r="M127" s="69">
        <f t="shared" si="1"/>
      </c>
      <c r="N127" s="77">
        <v>10</v>
      </c>
      <c r="O127" s="69">
        <f t="shared" si="5"/>
      </c>
      <c r="P127" s="47" t="s">
        <v>105</v>
      </c>
      <c r="Q127" s="66">
        <v>8</v>
      </c>
    </row>
    <row r="128">
      <c r="A128" s="76">
        <v>46110</v>
      </c>
      <c r="B128" s="64"/>
      <c r="C128" s="64"/>
      <c r="D128" s="64">
        <f>SUM(D124:D127)</f>
      </c>
      <c r="E128" s="64">
        <f>SUM(E124:E127)</f>
      </c>
      <c r="F128" s="64">
        <f>SUM(F124:F127)</f>
      </c>
      <c r="G128" s="64">
        <f>SUM(G124:G127)</f>
      </c>
      <c r="H128" s="64">
        <f>SUM(H124:H127)</f>
      </c>
      <c r="I128" s="64">
        <f>SUM(I124:I127)</f>
      </c>
      <c r="J128" s="72">
        <f t="shared" si="3"/>
      </c>
      <c r="K128" s="73">
        <f t="shared" si="0"/>
      </c>
      <c r="L128" s="73">
        <f t="shared" si="4"/>
      </c>
      <c r="M128" s="74">
        <f t="shared" si="1"/>
      </c>
      <c r="N128" s="64">
        <f>SUM(N124:N127)</f>
      </c>
      <c r="O128" s="74">
        <f t="shared" si="5"/>
      </c>
      <c r="P128" s="75"/>
      <c r="Q128" s="64">
        <f>SUM(Q124:Q127)</f>
      </c>
    </row>
    <row r="129">
      <c r="A129" s="65">
        <v>46111</v>
      </c>
      <c r="B129" s="46" t="s">
        <v>99</v>
      </c>
      <c r="C129" s="47" t="s">
        <v>110</v>
      </c>
      <c r="D129" s="47">
        <v>4</v>
      </c>
      <c r="E129" s="47">
        <v>9</v>
      </c>
      <c r="F129" s="66">
        <v>49</v>
      </c>
      <c r="G129" s="66">
        <v>33</v>
      </c>
      <c r="H129" s="66">
        <v>11372.3</v>
      </c>
      <c r="I129" s="47">
        <v>9870.84</v>
      </c>
      <c r="J129" s="67">
        <f t="shared" si="3"/>
      </c>
      <c r="K129" s="67">
        <f t="shared" si="0"/>
      </c>
      <c r="L129" s="68">
        <f t="shared" si="4"/>
      </c>
      <c r="M129" s="69">
        <f t="shared" si="1"/>
      </c>
      <c r="N129" s="77">
        <v>4</v>
      </c>
      <c r="O129" s="69">
        <f t="shared" si="5"/>
      </c>
      <c r="P129" s="47" t="s">
        <v>102</v>
      </c>
      <c r="Q129" s="47">
        <v>7</v>
      </c>
    </row>
    <row r="130">
      <c r="A130" s="65">
        <v>46111</v>
      </c>
      <c r="B130" s="46" t="s">
        <v>91</v>
      </c>
      <c r="C130" s="47" t="s">
        <v>84</v>
      </c>
      <c r="D130" s="47">
        <v>4</v>
      </c>
      <c r="E130" s="47">
        <v>14</v>
      </c>
      <c r="F130" s="47">
        <v>56</v>
      </c>
      <c r="G130" s="47">
        <v>40</v>
      </c>
      <c r="H130" s="47">
        <v>15531.8</v>
      </c>
      <c r="I130" s="47">
        <v>10075.710000000003</v>
      </c>
      <c r="J130" s="67">
        <f t="shared" si="3"/>
      </c>
      <c r="K130" s="67">
        <f t="shared" si="0"/>
      </c>
      <c r="L130" s="68">
        <f t="shared" si="4"/>
      </c>
      <c r="M130" s="69">
        <f t="shared" si="1"/>
      </c>
      <c r="N130" s="77">
        <v>10</v>
      </c>
      <c r="O130" s="69">
        <f t="shared" si="5"/>
      </c>
      <c r="P130" s="47" t="s">
        <v>95</v>
      </c>
      <c r="Q130" s="47">
        <v>1</v>
      </c>
    </row>
    <row r="131">
      <c r="A131" s="65">
        <v>46111</v>
      </c>
      <c r="B131" s="46" t="s">
        <v>106</v>
      </c>
      <c r="C131" s="47" t="s">
        <v>87</v>
      </c>
      <c r="D131" s="47">
        <v>4</v>
      </c>
      <c r="E131" s="47">
        <v>6</v>
      </c>
      <c r="F131" s="47">
        <v>35</v>
      </c>
      <c r="G131" s="47">
        <v>24</v>
      </c>
      <c r="H131" s="47">
        <v>10577.400000000001</v>
      </c>
      <c r="I131" s="47">
        <v>8502.229999999996</v>
      </c>
      <c r="J131" s="67">
        <f t="shared" si="3"/>
      </c>
      <c r="K131" s="67">
        <f t="shared" si="0"/>
      </c>
      <c r="L131" s="68">
        <f t="shared" si="4"/>
      </c>
      <c r="M131" s="69">
        <f t="shared" si="1"/>
      </c>
      <c r="N131" s="77">
        <v>6</v>
      </c>
      <c r="O131" s="69">
        <f t="shared" si="5"/>
      </c>
      <c r="P131" s="66"/>
      <c r="Q131" s="66"/>
    </row>
    <row r="132">
      <c r="A132" s="65">
        <v>46111</v>
      </c>
      <c r="B132" s="46" t="s">
        <v>83</v>
      </c>
      <c r="C132" s="47" t="s">
        <v>89</v>
      </c>
      <c r="D132" s="47">
        <v>4</v>
      </c>
      <c r="E132" s="47">
        <v>8</v>
      </c>
      <c r="F132" s="47">
        <v>58</v>
      </c>
      <c r="G132" s="47">
        <v>41</v>
      </c>
      <c r="H132" s="47">
        <v>11936</v>
      </c>
      <c r="I132" s="47">
        <v>9935.850000000006</v>
      </c>
      <c r="J132" s="67">
        <f t="shared" si="3"/>
      </c>
      <c r="K132" s="67">
        <f t="shared" si="0"/>
      </c>
      <c r="L132" s="68">
        <f t="shared" si="4"/>
      </c>
      <c r="M132" s="69">
        <f t="shared" si="1"/>
      </c>
      <c r="N132" s="77">
        <v>6</v>
      </c>
      <c r="O132" s="69">
        <f t="shared" si="5"/>
      </c>
      <c r="P132" s="47" t="s">
        <v>105</v>
      </c>
      <c r="Q132" s="66">
        <v>8</v>
      </c>
    </row>
    <row r="133">
      <c r="A133" s="76">
        <v>46111</v>
      </c>
      <c r="B133" s="64"/>
      <c r="C133" s="64"/>
      <c r="D133" s="64">
        <f>SUM(D129:D132)</f>
      </c>
      <c r="E133" s="64">
        <f>SUM(E129:E132)</f>
      </c>
      <c r="F133" s="64">
        <f>SUM(F129:F132)</f>
      </c>
      <c r="G133" s="64">
        <f>SUM(G129:G132)</f>
      </c>
      <c r="H133" s="64">
        <f>SUM(H129:H132)</f>
      </c>
      <c r="I133" s="64">
        <f>SUM(I129:I132)</f>
      </c>
      <c r="J133" s="72">
        <f t="shared" si="3"/>
      </c>
      <c r="K133" s="73">
        <f t="shared" si="0"/>
      </c>
      <c r="L133" s="73">
        <f t="shared" si="4"/>
      </c>
      <c r="M133" s="74">
        <f t="shared" si="1"/>
      </c>
      <c r="N133" s="64">
        <f>SUM(N129:N132)</f>
      </c>
      <c r="O133" s="74">
        <f t="shared" si="5"/>
      </c>
      <c r="P133" s="75"/>
      <c r="Q133" s="64">
        <f>SUM(Q129:Q132)</f>
      </c>
    </row>
    <row customHeight="true" ht="16.071428571428573" r="134">
      <c r="A134" s="65">
        <v>46112</v>
      </c>
      <c r="B134" s="46" t="s">
        <v>91</v>
      </c>
      <c r="C134" s="47" t="s">
        <v>110</v>
      </c>
      <c r="D134" s="47">
        <v>4</v>
      </c>
      <c r="E134" s="47">
        <v>13</v>
      </c>
      <c r="F134" s="47">
        <v>73</v>
      </c>
      <c r="G134" s="47">
        <v>50</v>
      </c>
      <c r="H134" s="66">
        <v>19115.3</v>
      </c>
      <c r="I134" s="47">
        <v>13158.89</v>
      </c>
      <c r="J134" s="67">
        <f t="shared" si="3"/>
      </c>
      <c r="K134" s="67">
        <f t="shared" si="0"/>
      </c>
      <c r="L134" s="68">
        <f t="shared" si="4"/>
      </c>
      <c r="M134" s="69">
        <f t="shared" si="1"/>
      </c>
      <c r="N134" s="77">
        <v>11</v>
      </c>
      <c r="O134" s="69">
        <f t="shared" si="5"/>
      </c>
      <c r="P134" s="47"/>
      <c r="Q134" s="47"/>
    </row>
    <row customHeight="true" ht="16.071428571428573" r="135">
      <c r="A135" s="65">
        <v>46112</v>
      </c>
      <c r="B135" s="46" t="s">
        <v>83</v>
      </c>
      <c r="C135" s="47" t="s">
        <v>84</v>
      </c>
      <c r="D135" s="47">
        <v>4</v>
      </c>
      <c r="E135" s="47">
        <v>12</v>
      </c>
      <c r="F135" s="47">
        <v>41</v>
      </c>
      <c r="G135" s="47">
        <v>26</v>
      </c>
      <c r="H135" s="47">
        <v>8363.2</v>
      </c>
      <c r="I135" s="47">
        <v>9861.85</v>
      </c>
      <c r="J135" s="67">
        <f t="shared" si="3"/>
      </c>
      <c r="K135" s="67">
        <f t="shared" si="0"/>
      </c>
      <c r="L135" s="68">
        <f t="shared" si="4"/>
      </c>
      <c r="M135" s="69">
        <f t="shared" si="1"/>
      </c>
      <c r="N135" s="77">
        <v>5</v>
      </c>
      <c r="O135" s="69">
        <f t="shared" si="5"/>
      </c>
      <c r="P135" s="47" t="s">
        <v>119</v>
      </c>
      <c r="Q135" s="47">
        <v>8</v>
      </c>
    </row>
    <row customHeight="true" ht="16.071428571428573" r="136">
      <c r="A136" s="65">
        <v>46112</v>
      </c>
      <c r="B136" s="46" t="s">
        <v>106</v>
      </c>
      <c r="C136" s="47" t="s">
        <v>87</v>
      </c>
      <c r="D136" s="47">
        <v>4</v>
      </c>
      <c r="E136" s="47">
        <v>8</v>
      </c>
      <c r="F136" s="47">
        <v>49</v>
      </c>
      <c r="G136" s="47">
        <v>33</v>
      </c>
      <c r="H136" s="47">
        <v>11700.6</v>
      </c>
      <c r="I136" s="47">
        <v>8539.58</v>
      </c>
      <c r="J136" s="67">
        <f t="shared" si="3"/>
      </c>
      <c r="K136" s="67">
        <f t="shared" si="0"/>
      </c>
      <c r="L136" s="68">
        <f t="shared" si="4"/>
      </c>
      <c r="M136" s="69">
        <f t="shared" si="1"/>
      </c>
      <c r="N136" s="77">
        <v>6</v>
      </c>
      <c r="O136" s="69">
        <f t="shared" si="5"/>
      </c>
      <c r="P136" s="66"/>
      <c r="Q136" s="66"/>
    </row>
    <row customHeight="true" ht="16.071428571428573" r="137">
      <c r="A137" s="65">
        <v>46112</v>
      </c>
      <c r="B137" s="46" t="s">
        <v>99</v>
      </c>
      <c r="C137" s="47" t="s">
        <v>89</v>
      </c>
      <c r="D137" s="47">
        <v>4</v>
      </c>
      <c r="E137" s="47">
        <v>10</v>
      </c>
      <c r="F137" s="47">
        <v>68</v>
      </c>
      <c r="G137" s="47">
        <v>51</v>
      </c>
      <c r="H137" s="47">
        <v>15181</v>
      </c>
      <c r="I137" s="47">
        <v>10266.65</v>
      </c>
      <c r="J137" s="67">
        <f t="shared" si="3"/>
      </c>
      <c r="K137" s="67">
        <f t="shared" si="0"/>
      </c>
      <c r="L137" s="68">
        <f t="shared" si="4"/>
      </c>
      <c r="M137" s="69">
        <f t="shared" si="1"/>
      </c>
      <c r="N137" s="77">
        <v>11</v>
      </c>
      <c r="O137" s="69">
        <f t="shared" si="5"/>
      </c>
      <c r="P137" s="47" t="s">
        <v>114</v>
      </c>
      <c r="Q137" s="66">
        <v>8</v>
      </c>
    </row>
    <row customHeight="true" ht="16.071428571428573" r="138">
      <c r="A138" s="76">
        <v>46112</v>
      </c>
      <c r="B138" s="64"/>
      <c r="C138" s="64"/>
      <c r="D138" s="64">
        <f>SUM(D134:D137)</f>
      </c>
      <c r="E138" s="64">
        <f>SUM(E134:E137)</f>
      </c>
      <c r="F138" s="64">
        <f>SUM(F134:F137)</f>
      </c>
      <c r="G138" s="64">
        <f>SUM(G134:G137)</f>
      </c>
      <c r="H138" s="64">
        <f>SUM(H134:H137)</f>
      </c>
      <c r="I138" s="64">
        <f>SUM(I134:I137)</f>
      </c>
      <c r="J138" s="72">
        <f t="shared" si="3"/>
      </c>
      <c r="K138" s="73">
        <f t="shared" si="0"/>
      </c>
      <c r="L138" s="73">
        <f t="shared" si="4"/>
      </c>
      <c r="M138" s="74">
        <f t="shared" si="1"/>
      </c>
      <c r="N138" s="64">
        <f>SUM(N134:N137)</f>
      </c>
      <c r="O138" s="74">
        <f t="shared" si="5"/>
      </c>
      <c r="P138" s="75"/>
      <c r="Q138" s="64">
        <f>SUM(Q134:Q137)</f>
      </c>
    </row>
    <row r="139">
      <c r="A139" s="78" t="s">
        <v>120</v>
      </c>
      <c r="B139" s="78"/>
      <c r="C139" s="78"/>
    </row>
    <row r="140">
      <c r="A140" s="79" t="s">
        <v>121</v>
      </c>
      <c r="B140" s="79"/>
      <c r="C140" s="79"/>
    </row>
    <row r="141">
      <c r="A141" s="79" t="s">
        <v>122</v>
      </c>
      <c r="B141" s="79"/>
      <c r="C141" s="79"/>
    </row>
    <row r="142">
      <c r="A142" s="80" t="s">
        <v>123</v>
      </c>
      <c r="B142" s="80"/>
      <c r="C142" s="80"/>
    </row>
    <row r="143"/>
    <row r="144"/>
    <row r="145"/>
    <row r="146"/>
    <row r="147"/>
    <row r="148"/>
    <row r="149"/>
    <row r="150"/>
    <row r="151"/>
    <row r="152"/>
    <row r="153"/>
    <row r="154"/>
    <row r="155">
      <c r="O155" s="81" t="s">
        <v>124</v>
      </c>
    </row>
    <row r="156">
      <c r="O156" s="82">
        <f t="shared" ref="O156:O162" si="2">L156/M156</f>
      </c>
    </row>
    <row r="157">
      <c r="N157" s="83"/>
      <c r="O157" s="82">
        <f t="shared" si="2"/>
      </c>
    </row>
    <row r="158">
      <c r="N158" s="83"/>
      <c r="O158" s="82">
        <f t="shared" si="2"/>
      </c>
    </row>
    <row r="159">
      <c r="N159" s="83"/>
      <c r="O159" s="82">
        <f t="shared" si="2"/>
      </c>
    </row>
    <row r="160">
      <c r="N160" s="83"/>
      <c r="O160" s="82">
        <f t="shared" si="2"/>
      </c>
    </row>
    <row r="161">
      <c r="N161" s="83"/>
      <c r="O161" s="82">
        <f t="shared" si="2"/>
      </c>
    </row>
    <row r="162">
      <c r="N162" s="83"/>
      <c r="O162" s="82">
        <f t="shared" si="2"/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>
      <c r="J231" s="49"/>
      <c r="K231" s="49"/>
      <c r="L231" s="50"/>
    </row>
    <row r="232">
      <c r="J232" s="49"/>
      <c r="K232" s="49"/>
      <c r="L232" s="50"/>
    </row>
    <row r="233">
      <c r="J233" s="49"/>
      <c r="K233" s="49"/>
      <c r="L233" s="50"/>
    </row>
    <row r="234">
      <c r="O234" s="51"/>
    </row>
  </sheetData>
  <autoFilter ref="A1:X153"/>
  <mergeCells>
    <mergeCell ref="A141:C141"/>
    <mergeCell ref="A140:C140"/>
    <mergeCell ref="A139:C139"/>
    <mergeCell ref="A142:C142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" min="1" style="0" width="11.211267605633802"/>
    <col collapsed="false" customWidth="true" hidden="false" max="3" min="3" style="0" width="11.211267605633802"/>
  </cols>
  <sheetData>
    <row customHeight="true" ht="16.071428571428573" r="1">
      <c r="A1" s="84" t="s">
        <v>125</v>
      </c>
      <c r="B1" s="85" t="s">
        <v>126</v>
      </c>
      <c r="C1" s="85" t="s">
        <v>127</v>
      </c>
      <c r="D1" s="85" t="s">
        <v>128</v>
      </c>
      <c r="E1" s="86" t="s">
        <v>129</v>
      </c>
      <c r="F1" s="85" t="s">
        <v>130</v>
      </c>
      <c r="G1" s="85" t="s">
        <v>131</v>
      </c>
      <c r="H1" s="85" t="s">
        <v>132</v>
      </c>
      <c r="I1" s="85" t="s">
        <v>133</v>
      </c>
      <c r="J1" s="87" t="s">
        <v>134</v>
      </c>
      <c r="K1" s="87" t="s">
        <v>135</v>
      </c>
      <c r="L1" s="87" t="s">
        <v>136</v>
      </c>
      <c r="M1" s="88" t="s">
        <v>137</v>
      </c>
      <c r="N1" s="88" t="s">
        <v>138</v>
      </c>
      <c r="O1" s="88" t="s">
        <v>139</v>
      </c>
      <c r="P1" s="87" t="s">
        <v>140</v>
      </c>
      <c r="Q1" s="85" t="s">
        <v>141</v>
      </c>
      <c r="R1" s="89"/>
      <c r="S1" s="89"/>
      <c r="T1" s="89"/>
    </row>
    <row r="2">
      <c r="A2" s="90">
        <v>46113</v>
      </c>
      <c r="B2" s="91" t="s">
        <v>142</v>
      </c>
      <c r="C2" s="92" t="s">
        <v>143</v>
      </c>
      <c r="D2" s="92">
        <v>4</v>
      </c>
      <c r="E2" s="92">
        <v>12</v>
      </c>
      <c r="F2" s="92">
        <v>70</v>
      </c>
      <c r="G2" s="92">
        <v>50</v>
      </c>
      <c r="H2" s="93">
        <v>17841.9</v>
      </c>
      <c r="I2" s="92">
        <v>11159.56</v>
      </c>
      <c r="J2" s="94">
        <f t="shared" ref="J2:J144" si="1">H2/I2</f>
      </c>
      <c r="K2" s="94">
        <f t="shared" ref="K2:K144" si="4">H2/G2</f>
      </c>
      <c r="L2" s="95">
        <f t="shared" ref="L2:L144" si="2">I2/G2</f>
      </c>
      <c r="M2" s="96">
        <f t="shared" ref="M2:M144" si="5">E2/G2</f>
      </c>
      <c r="N2" s="97">
        <v>8</v>
      </c>
      <c r="O2" s="96">
        <f t="shared" ref="O2:O144" si="0">N2/G2</f>
      </c>
      <c r="P2" s="92"/>
      <c r="Q2" s="92"/>
    </row>
    <row r="3">
      <c r="A3" s="90">
        <v>46113</v>
      </c>
      <c r="B3" s="91" t="s">
        <v>144</v>
      </c>
      <c r="C3" s="92" t="s">
        <v>145</v>
      </c>
      <c r="D3" s="92">
        <v>4</v>
      </c>
      <c r="E3" s="92">
        <v>12</v>
      </c>
      <c r="F3" s="92">
        <v>32</v>
      </c>
      <c r="G3" s="92">
        <v>23</v>
      </c>
      <c r="H3" s="92">
        <v>8774.399999999998</v>
      </c>
      <c r="I3" s="92">
        <v>8833.33</v>
      </c>
      <c r="J3" s="94">
        <f t="shared" si="1"/>
      </c>
      <c r="K3" s="94">
        <f t="shared" si="4"/>
      </c>
      <c r="L3" s="95">
        <f t="shared" si="2"/>
      </c>
      <c r="M3" s="96">
        <f t="shared" si="5"/>
      </c>
      <c r="N3" s="97">
        <v>2</v>
      </c>
      <c r="O3" s="96">
        <f t="shared" si="0"/>
      </c>
      <c r="P3" s="92" t="s">
        <v>146</v>
      </c>
      <c r="Q3" s="92">
        <v>8</v>
      </c>
    </row>
    <row r="4">
      <c r="A4" s="90">
        <v>46113</v>
      </c>
      <c r="B4" s="91" t="s">
        <v>147</v>
      </c>
      <c r="C4" s="92" t="s">
        <v>148</v>
      </c>
      <c r="D4" s="92">
        <v>3</v>
      </c>
      <c r="E4" s="92">
        <v>3</v>
      </c>
      <c r="F4" s="92">
        <v>26</v>
      </c>
      <c r="G4" s="92">
        <v>16</v>
      </c>
      <c r="H4" s="92">
        <v>4741.200000000001</v>
      </c>
      <c r="I4" s="92">
        <v>7609.180000000004</v>
      </c>
      <c r="J4" s="94">
        <f t="shared" si="1"/>
      </c>
      <c r="K4" s="94">
        <f t="shared" si="4"/>
      </c>
      <c r="L4" s="95">
        <f t="shared" si="2"/>
      </c>
      <c r="M4" s="96">
        <f t="shared" si="5"/>
      </c>
      <c r="N4" s="97">
        <v>3</v>
      </c>
      <c r="O4" s="96">
        <f t="shared" si="0"/>
      </c>
      <c r="P4" s="98"/>
      <c r="Q4" s="98"/>
    </row>
    <row r="5">
      <c r="A5" s="90">
        <v>46113</v>
      </c>
      <c r="B5" s="91" t="s">
        <v>149</v>
      </c>
      <c r="C5" s="92" t="s">
        <v>150</v>
      </c>
      <c r="D5" s="92">
        <v>5</v>
      </c>
      <c r="E5" s="92">
        <v>9</v>
      </c>
      <c r="F5" s="92">
        <v>53</v>
      </c>
      <c r="G5" s="92">
        <v>34</v>
      </c>
      <c r="H5" s="92">
        <v>11494.599999999999</v>
      </c>
      <c r="I5" s="92">
        <v>7836.569999999996</v>
      </c>
      <c r="J5" s="94">
        <f t="shared" si="1"/>
      </c>
      <c r="K5" s="94">
        <f t="shared" si="4"/>
      </c>
      <c r="L5" s="95">
        <f t="shared" si="2"/>
      </c>
      <c r="M5" s="96">
        <f t="shared" si="5"/>
      </c>
      <c r="N5" s="97">
        <v>9</v>
      </c>
      <c r="O5" s="96">
        <f t="shared" si="0"/>
      </c>
      <c r="P5" s="92" t="s">
        <v>151</v>
      </c>
      <c r="Q5" s="98">
        <v>8</v>
      </c>
    </row>
    <row r="6">
      <c r="A6" s="99">
        <v>46113</v>
      </c>
      <c r="B6" s="100"/>
      <c r="C6" s="100"/>
      <c r="D6" s="100">
        <f>SUM(D2:D5)</f>
      </c>
      <c r="E6" s="100">
        <f>SUM(E2:E5)</f>
      </c>
      <c r="F6" s="100">
        <f>SUM(F2:F5)</f>
      </c>
      <c r="G6" s="100">
        <f>SUM(G2:G5)</f>
      </c>
      <c r="H6" s="100">
        <f>SUM(H2:H5)</f>
      </c>
      <c r="I6" s="100">
        <f>SUM(I2:I5)</f>
      </c>
      <c r="J6" s="101">
        <f t="shared" si="1"/>
      </c>
      <c r="K6" s="102">
        <f t="shared" si="4"/>
      </c>
      <c r="L6" s="102">
        <f t="shared" si="2"/>
      </c>
      <c r="M6" s="103">
        <f t="shared" si="5"/>
      </c>
      <c r="N6" s="100">
        <f>SUM(N2:N5)</f>
      </c>
      <c r="O6" s="103">
        <f t="shared" si="0"/>
      </c>
      <c r="P6" s="104"/>
      <c r="Q6" s="100">
        <f>SUM(Q2:Q5)</f>
      </c>
    </row>
    <row r="7">
      <c r="A7" s="90">
        <v>46114</v>
      </c>
      <c r="B7" s="91" t="s">
        <v>142</v>
      </c>
      <c r="C7" s="92" t="s">
        <v>143</v>
      </c>
      <c r="D7" s="92">
        <v>4</v>
      </c>
      <c r="E7" s="92">
        <v>8</v>
      </c>
      <c r="F7" s="92">
        <v>41</v>
      </c>
      <c r="G7" s="92">
        <v>24</v>
      </c>
      <c r="H7" s="93">
        <v>9224</v>
      </c>
      <c r="I7" s="92">
        <v>6511.53</v>
      </c>
      <c r="J7" s="94">
        <f t="shared" si="1"/>
      </c>
      <c r="K7" s="94">
        <f t="shared" si="4"/>
      </c>
      <c r="L7" s="95">
        <f t="shared" si="2"/>
      </c>
      <c r="M7" s="96">
        <f t="shared" si="5"/>
      </c>
      <c r="N7" s="97">
        <v>7</v>
      </c>
      <c r="O7" s="96">
        <f t="shared" si="0"/>
      </c>
      <c r="P7" s="92"/>
      <c r="Q7" s="92"/>
    </row>
    <row r="8">
      <c r="A8" s="90">
        <v>46114</v>
      </c>
      <c r="B8" s="91" t="s">
        <v>144</v>
      </c>
      <c r="C8" s="92" t="s">
        <v>145</v>
      </c>
      <c r="D8" s="92">
        <v>4</v>
      </c>
      <c r="E8" s="92">
        <v>3</v>
      </c>
      <c r="F8" s="92">
        <v>24</v>
      </c>
      <c r="G8" s="92">
        <v>17</v>
      </c>
      <c r="H8" s="92">
        <v>5557.200000000001</v>
      </c>
      <c r="I8" s="92">
        <v>4919.550000000002</v>
      </c>
      <c r="J8" s="94">
        <f t="shared" si="1"/>
      </c>
      <c r="K8" s="94">
        <f t="shared" si="4"/>
      </c>
      <c r="L8" s="95">
        <f t="shared" si="2"/>
      </c>
      <c r="M8" s="96">
        <f t="shared" si="5"/>
      </c>
      <c r="N8" s="97">
        <v>1</v>
      </c>
      <c r="O8" s="96">
        <f t="shared" si="0"/>
      </c>
      <c r="P8" s="92" t="s">
        <v>146</v>
      </c>
      <c r="Q8" s="92">
        <v>8</v>
      </c>
    </row>
    <row r="9">
      <c r="A9" s="90">
        <v>46114</v>
      </c>
      <c r="B9" s="91" t="s">
        <v>152</v>
      </c>
      <c r="C9" s="92" t="s">
        <v>153</v>
      </c>
      <c r="D9" s="92">
        <v>4</v>
      </c>
      <c r="E9" s="92">
        <v>8</v>
      </c>
      <c r="F9" s="92">
        <v>34</v>
      </c>
      <c r="G9" s="92">
        <v>30</v>
      </c>
      <c r="H9" s="92">
        <v>9462.8</v>
      </c>
      <c r="I9" s="92">
        <v>6568.0999999999985</v>
      </c>
      <c r="J9" s="94">
        <f t="shared" si="1"/>
      </c>
      <c r="K9" s="94">
        <f t="shared" si="4"/>
      </c>
      <c r="L9" s="95">
        <f t="shared" si="2"/>
      </c>
      <c r="M9" s="96">
        <f t="shared" si="5"/>
      </c>
      <c r="N9" s="97">
        <v>7</v>
      </c>
      <c r="O9" s="96">
        <f t="shared" si="0"/>
      </c>
      <c r="P9" s="98"/>
      <c r="Q9" s="98"/>
    </row>
    <row r="10">
      <c r="A10" s="90">
        <v>46114</v>
      </c>
      <c r="B10" s="91" t="s">
        <v>147</v>
      </c>
      <c r="C10" s="92" t="s">
        <v>154</v>
      </c>
      <c r="D10" s="92">
        <v>4</v>
      </c>
      <c r="E10" s="92">
        <v>3</v>
      </c>
      <c r="F10" s="92">
        <v>42</v>
      </c>
      <c r="G10" s="92">
        <v>23</v>
      </c>
      <c r="H10" s="92">
        <v>6794.4000000000015</v>
      </c>
      <c r="I10" s="92">
        <v>9591.580000000002</v>
      </c>
      <c r="J10" s="94">
        <f t="shared" si="1"/>
      </c>
      <c r="K10" s="94">
        <f t="shared" si="4"/>
      </c>
      <c r="L10" s="95">
        <f t="shared" si="2"/>
      </c>
      <c r="M10" s="96">
        <f t="shared" si="5"/>
      </c>
      <c r="N10" s="97">
        <v>5</v>
      </c>
      <c r="O10" s="96">
        <f t="shared" si="0"/>
      </c>
      <c r="P10" s="92" t="s">
        <v>155</v>
      </c>
      <c r="Q10" s="98">
        <v>8</v>
      </c>
    </row>
    <row r="11">
      <c r="A11" s="99">
        <v>46114</v>
      </c>
      <c r="B11" s="100"/>
      <c r="C11" s="100"/>
      <c r="D11" s="100">
        <f>SUM(D7:D10)</f>
      </c>
      <c r="E11" s="100">
        <f>SUM(E7:E10)</f>
      </c>
      <c r="F11" s="100">
        <f>SUM(F7:F10)</f>
      </c>
      <c r="G11" s="100">
        <f>SUM(G7:G10)</f>
      </c>
      <c r="H11" s="100">
        <f>SUM(H7:H10)</f>
      </c>
      <c r="I11" s="100">
        <f>SUM(I7:I10)</f>
      </c>
      <c r="J11" s="101">
        <f t="shared" si="1"/>
      </c>
      <c r="K11" s="102">
        <f t="shared" si="4"/>
      </c>
      <c r="L11" s="102">
        <f t="shared" si="2"/>
      </c>
      <c r="M11" s="103">
        <f t="shared" si="5"/>
      </c>
      <c r="N11" s="100">
        <f>SUM(N7:N10)</f>
      </c>
      <c r="O11" s="103">
        <f t="shared" si="0"/>
      </c>
      <c r="P11" s="104"/>
      <c r="Q11" s="100">
        <f>SUM(Q7:Q10)</f>
      </c>
    </row>
    <row r="12">
      <c r="A12" s="90">
        <v>46115</v>
      </c>
      <c r="B12" s="91" t="s">
        <v>144</v>
      </c>
      <c r="C12" s="92" t="s">
        <v>156</v>
      </c>
      <c r="D12" s="92">
        <v>5</v>
      </c>
      <c r="E12" s="92">
        <v>17</v>
      </c>
      <c r="F12" s="92">
        <v>74</v>
      </c>
      <c r="G12" s="92">
        <v>54</v>
      </c>
      <c r="H12" s="93">
        <v>19195.3</v>
      </c>
      <c r="I12" s="92">
        <v>12126.07</v>
      </c>
      <c r="J12" s="94">
        <f t="shared" si="1"/>
      </c>
      <c r="K12" s="94">
        <f t="shared" si="4"/>
      </c>
      <c r="L12" s="95">
        <f t="shared" si="2"/>
      </c>
      <c r="M12" s="96">
        <f t="shared" si="5"/>
      </c>
      <c r="N12" s="97">
        <v>9</v>
      </c>
      <c r="O12" s="96">
        <f t="shared" si="0"/>
      </c>
      <c r="P12" s="92"/>
      <c r="Q12" s="92"/>
    </row>
    <row r="13">
      <c r="A13" s="90">
        <v>46115</v>
      </c>
      <c r="B13" s="91" t="s">
        <v>157</v>
      </c>
      <c r="C13" s="92" t="s">
        <v>158</v>
      </c>
      <c r="D13" s="92">
        <v>2</v>
      </c>
      <c r="E13" s="92">
        <v>4</v>
      </c>
      <c r="F13" s="92">
        <v>32</v>
      </c>
      <c r="G13" s="92">
        <v>19</v>
      </c>
      <c r="H13" s="92">
        <v>8191.5</v>
      </c>
      <c r="I13" s="92">
        <v>5253.730000000003</v>
      </c>
      <c r="J13" s="94">
        <f t="shared" si="1"/>
      </c>
      <c r="K13" s="94">
        <f t="shared" si="4"/>
      </c>
      <c r="L13" s="95">
        <f t="shared" si="2"/>
      </c>
      <c r="M13" s="96">
        <f t="shared" si="5"/>
      </c>
      <c r="N13" s="97">
        <v>7</v>
      </c>
      <c r="O13" s="96">
        <f t="shared" si="0"/>
      </c>
      <c r="P13" s="92" t="s">
        <v>146</v>
      </c>
      <c r="Q13" s="92">
        <v>8</v>
      </c>
    </row>
    <row r="14">
      <c r="A14" s="90">
        <v>46115</v>
      </c>
      <c r="B14" s="91" t="s">
        <v>147</v>
      </c>
      <c r="C14" s="92" t="s">
        <v>159</v>
      </c>
      <c r="D14" s="92">
        <v>4</v>
      </c>
      <c r="E14" s="92">
        <v>16</v>
      </c>
      <c r="F14" s="92">
        <v>54</v>
      </c>
      <c r="G14" s="92">
        <v>23</v>
      </c>
      <c r="H14" s="92">
        <v>7787.200000000001</v>
      </c>
      <c r="I14" s="92">
        <v>7693.360000000001</v>
      </c>
      <c r="J14" s="94">
        <f t="shared" si="1"/>
      </c>
      <c r="K14" s="94">
        <f t="shared" si="4"/>
      </c>
      <c r="L14" s="95">
        <f t="shared" si="2"/>
      </c>
      <c r="M14" s="96">
        <f t="shared" si="5"/>
      </c>
      <c r="N14" s="97">
        <v>4</v>
      </c>
      <c r="O14" s="96">
        <f t="shared" si="0"/>
      </c>
      <c r="P14" s="92" t="s">
        <v>151</v>
      </c>
      <c r="Q14" s="92">
        <v>0.5</v>
      </c>
    </row>
    <row r="15">
      <c r="A15" s="90">
        <v>46115</v>
      </c>
      <c r="B15" s="91" t="s">
        <v>152</v>
      </c>
      <c r="C15" s="92" t="s">
        <v>150</v>
      </c>
      <c r="D15" s="92">
        <v>5</v>
      </c>
      <c r="E15" s="92">
        <v>7</v>
      </c>
      <c r="F15" s="92">
        <v>49</v>
      </c>
      <c r="G15" s="92">
        <v>25</v>
      </c>
      <c r="H15" s="92">
        <v>8629.5</v>
      </c>
      <c r="I15" s="92">
        <v>5505.689999999995</v>
      </c>
      <c r="J15" s="94">
        <f t="shared" si="1"/>
      </c>
      <c r="K15" s="94">
        <f t="shared" si="4"/>
      </c>
      <c r="L15" s="95">
        <f t="shared" si="2"/>
      </c>
      <c r="M15" s="96">
        <f t="shared" si="5"/>
      </c>
      <c r="N15" s="97">
        <v>5</v>
      </c>
      <c r="O15" s="96">
        <f t="shared" si="0"/>
      </c>
      <c r="P15" s="92" t="s">
        <v>160</v>
      </c>
      <c r="Q15" s="92">
        <v>7.5</v>
      </c>
    </row>
    <row r="16">
      <c r="A16" s="99">
        <v>46115</v>
      </c>
      <c r="B16" s="100"/>
      <c r="C16" s="100"/>
      <c r="D16" s="100">
        <f>SUM(D12:D15)</f>
      </c>
      <c r="E16" s="100">
        <f>SUM(E12:E15)</f>
      </c>
      <c r="F16" s="100">
        <f>SUM(F12:F15)</f>
      </c>
      <c r="G16" s="100">
        <f>SUM(G12:G15)</f>
      </c>
      <c r="H16" s="100">
        <f>SUM(H12:H15)</f>
      </c>
      <c r="I16" s="100">
        <f>SUM(I12:I15)</f>
      </c>
      <c r="J16" s="101">
        <f t="shared" si="1"/>
      </c>
      <c r="K16" s="102">
        <f t="shared" si="4"/>
      </c>
      <c r="L16" s="102">
        <f t="shared" si="2"/>
      </c>
      <c r="M16" s="103">
        <f t="shared" si="5"/>
      </c>
      <c r="N16" s="100">
        <f>SUM(N12:N15)</f>
      </c>
      <c r="O16" s="103">
        <f t="shared" si="0"/>
      </c>
      <c r="P16" s="104"/>
      <c r="Q16" s="100">
        <f>SUM(Q12:Q15)</f>
      </c>
    </row>
    <row r="17">
      <c r="A17" s="90">
        <v>46116</v>
      </c>
      <c r="B17" s="91" t="s">
        <v>144</v>
      </c>
      <c r="C17" s="92" t="s">
        <v>156</v>
      </c>
      <c r="D17" s="92">
        <v>5</v>
      </c>
      <c r="E17" s="92">
        <v>3</v>
      </c>
      <c r="F17" s="92">
        <v>21</v>
      </c>
      <c r="G17" s="92">
        <v>14</v>
      </c>
      <c r="H17" s="93">
        <v>6019.2</v>
      </c>
      <c r="I17" s="92">
        <v>5692.02</v>
      </c>
      <c r="J17" s="94">
        <f t="shared" si="1"/>
      </c>
      <c r="K17" s="94">
        <f t="shared" si="4"/>
      </c>
      <c r="L17" s="95">
        <f t="shared" si="2"/>
      </c>
      <c r="M17" s="96">
        <f t="shared" si="5"/>
      </c>
      <c r="N17" s="97">
        <v>2</v>
      </c>
      <c r="O17" s="96">
        <f t="shared" si="0"/>
      </c>
      <c r="P17" s="92"/>
      <c r="Q17" s="92"/>
    </row>
    <row r="18">
      <c r="A18" s="90">
        <v>46116</v>
      </c>
      <c r="B18" s="91" t="s">
        <v>161</v>
      </c>
      <c r="C18" s="92" t="s">
        <v>158</v>
      </c>
      <c r="D18" s="92">
        <v>2</v>
      </c>
      <c r="E18" s="92">
        <v>0</v>
      </c>
      <c r="F18" s="92">
        <v>9</v>
      </c>
      <c r="G18" s="92">
        <v>5</v>
      </c>
      <c r="H18" s="92">
        <v>1118.3999999999996</v>
      </c>
      <c r="I18" s="92">
        <v>1637.08</v>
      </c>
      <c r="J18" s="94">
        <f t="shared" si="1"/>
      </c>
      <c r="K18" s="94">
        <f t="shared" si="4"/>
      </c>
      <c r="L18" s="95">
        <f t="shared" si="2"/>
      </c>
      <c r="M18" s="96">
        <f t="shared" si="5"/>
      </c>
      <c r="N18" s="97">
        <v>2</v>
      </c>
      <c r="O18" s="96">
        <f t="shared" si="0"/>
      </c>
      <c r="P18" s="92" t="s">
        <v>146</v>
      </c>
      <c r="Q18" s="92">
        <v>8</v>
      </c>
    </row>
    <row r="19">
      <c r="A19" s="90">
        <v>46116</v>
      </c>
      <c r="B19" s="91" t="s">
        <v>152</v>
      </c>
      <c r="C19" s="92" t="s">
        <v>162</v>
      </c>
      <c r="D19" s="92">
        <v>5</v>
      </c>
      <c r="E19" s="92">
        <v>3</v>
      </c>
      <c r="F19" s="92">
        <v>19</v>
      </c>
      <c r="G19" s="92">
        <v>11</v>
      </c>
      <c r="H19" s="92">
        <v>3601.2</v>
      </c>
      <c r="I19" s="92">
        <v>4199.550000000001</v>
      </c>
      <c r="J19" s="94">
        <f t="shared" si="1"/>
      </c>
      <c r="K19" s="94">
        <f t="shared" si="4"/>
      </c>
      <c r="L19" s="95">
        <f t="shared" si="2"/>
      </c>
      <c r="M19" s="96">
        <f t="shared" si="5"/>
      </c>
      <c r="N19" s="97">
        <v>0</v>
      </c>
      <c r="O19" s="96">
        <f t="shared" si="0"/>
      </c>
      <c r="P19" s="92" t="s">
        <v>160</v>
      </c>
      <c r="Q19" s="92">
        <v>4</v>
      </c>
    </row>
    <row r="20">
      <c r="A20" s="99">
        <v>46116</v>
      </c>
      <c r="B20" s="100"/>
      <c r="C20" s="100"/>
      <c r="D20" s="100">
        <f>SUM(D17:D19)</f>
      </c>
      <c r="E20" s="100">
        <f>SUM(E17:E19)</f>
      </c>
      <c r="F20" s="100">
        <f>SUM(F17:F19)</f>
      </c>
      <c r="G20" s="100">
        <f>SUM(G17:G19)</f>
      </c>
      <c r="H20" s="100">
        <f>SUM(H17:H19)</f>
      </c>
      <c r="I20" s="100">
        <f>SUM(I17:I19)</f>
      </c>
      <c r="J20" s="101">
        <f t="shared" si="1"/>
      </c>
      <c r="K20" s="102">
        <f t="shared" si="4"/>
      </c>
      <c r="L20" s="102">
        <f t="shared" si="2"/>
      </c>
      <c r="M20" s="103">
        <f t="shared" si="5"/>
      </c>
      <c r="N20" s="100">
        <f>SUM(N17:N19)</f>
      </c>
      <c r="O20" s="103">
        <f t="shared" si="0"/>
      </c>
      <c r="P20" s="104"/>
      <c r="Q20" s="100">
        <f>SUM(Q17:Q19)</f>
      </c>
    </row>
    <row r="21">
      <c r="A21" s="90">
        <v>46117</v>
      </c>
      <c r="B21" s="91" t="s">
        <v>152</v>
      </c>
      <c r="C21" s="92" t="s">
        <v>163</v>
      </c>
      <c r="D21" s="92">
        <v>5</v>
      </c>
      <c r="E21" s="92">
        <v>7</v>
      </c>
      <c r="F21" s="92">
        <v>41</v>
      </c>
      <c r="G21" s="92">
        <v>26</v>
      </c>
      <c r="H21" s="93">
        <v>10928.2</v>
      </c>
      <c r="I21" s="92">
        <v>7844.63</v>
      </c>
      <c r="J21" s="94">
        <f t="shared" si="1"/>
      </c>
      <c r="K21" s="94">
        <f t="shared" si="4"/>
      </c>
      <c r="L21" s="95">
        <f t="shared" si="2"/>
      </c>
      <c r="M21" s="96">
        <f t="shared" si="5"/>
      </c>
      <c r="N21" s="97">
        <v>4</v>
      </c>
      <c r="O21" s="96">
        <f t="shared" si="0"/>
      </c>
      <c r="P21" s="92"/>
      <c r="Q21" s="92"/>
    </row>
    <row r="22">
      <c r="A22" s="90">
        <v>46117</v>
      </c>
      <c r="B22" s="91" t="s">
        <v>157</v>
      </c>
      <c r="C22" s="92" t="s">
        <v>148</v>
      </c>
      <c r="D22" s="92">
        <v>3</v>
      </c>
      <c r="E22" s="92">
        <v>11</v>
      </c>
      <c r="F22" s="92">
        <v>34</v>
      </c>
      <c r="G22" s="92">
        <v>21</v>
      </c>
      <c r="H22" s="92">
        <v>10830.7</v>
      </c>
      <c r="I22" s="92">
        <v>7112.3600000000015</v>
      </c>
      <c r="J22" s="94">
        <f t="shared" si="1"/>
      </c>
      <c r="K22" s="94">
        <f t="shared" si="4"/>
      </c>
      <c r="L22" s="95">
        <f t="shared" si="2"/>
      </c>
      <c r="M22" s="96">
        <f t="shared" si="5"/>
      </c>
      <c r="N22" s="97">
        <v>5</v>
      </c>
      <c r="O22" s="96">
        <f t="shared" si="0"/>
      </c>
      <c r="P22" s="92" t="s">
        <v>146</v>
      </c>
      <c r="Q22" s="92">
        <v>5</v>
      </c>
    </row>
    <row r="23">
      <c r="A23" s="90">
        <v>46117</v>
      </c>
      <c r="B23" s="91" t="s">
        <v>144</v>
      </c>
      <c r="C23" s="92" t="s">
        <v>150</v>
      </c>
      <c r="D23" s="92">
        <v>5</v>
      </c>
      <c r="E23" s="92">
        <v>7</v>
      </c>
      <c r="F23" s="92">
        <v>71</v>
      </c>
      <c r="G23" s="92">
        <v>43</v>
      </c>
      <c r="H23" s="92">
        <v>15900.400000000001</v>
      </c>
      <c r="I23" s="92">
        <v>12320.239999999998</v>
      </c>
      <c r="J23" s="94">
        <f t="shared" si="1"/>
      </c>
      <c r="K23" s="94">
        <f t="shared" si="4"/>
      </c>
      <c r="L23" s="95">
        <f t="shared" si="2"/>
      </c>
      <c r="M23" s="96">
        <f t="shared" si="5"/>
      </c>
      <c r="N23" s="97">
        <v>6</v>
      </c>
      <c r="O23" s="96">
        <f t="shared" si="0"/>
      </c>
      <c r="P23" s="92" t="s">
        <v>160</v>
      </c>
      <c r="Q23" s="92">
        <v>8</v>
      </c>
    </row>
    <row r="24">
      <c r="A24" s="99">
        <v>46117</v>
      </c>
      <c r="B24" s="100"/>
      <c r="C24" s="100"/>
      <c r="D24" s="100">
        <f>SUM(D21:D23)</f>
      </c>
      <c r="E24" s="100">
        <f>SUM(E21:E23)</f>
      </c>
      <c r="F24" s="100">
        <f>SUM(F21:F23)</f>
      </c>
      <c r="G24" s="100">
        <f>SUM(G21:G23)</f>
      </c>
      <c r="H24" s="100">
        <f>SUM(H21:H23)</f>
      </c>
      <c r="I24" s="100">
        <f>SUM(I21:I23)</f>
      </c>
      <c r="J24" s="101">
        <f t="shared" si="1"/>
      </c>
      <c r="K24" s="102">
        <f t="shared" si="4"/>
      </c>
      <c r="L24" s="102">
        <f t="shared" si="2"/>
      </c>
      <c r="M24" s="103">
        <f t="shared" si="5"/>
      </c>
      <c r="N24" s="100">
        <f>SUM(N21:N23)</f>
      </c>
      <c r="O24" s="103">
        <f t="shared" si="0"/>
      </c>
      <c r="P24" s="104"/>
      <c r="Q24" s="100">
        <f>SUM(Q21:Q23)</f>
      </c>
    </row>
    <row customHeight="true" ht="16.071428571428573" r="25">
      <c r="A25" s="90">
        <v>46118</v>
      </c>
      <c r="B25" s="91" t="s">
        <v>152</v>
      </c>
      <c r="C25" s="92" t="s">
        <v>145</v>
      </c>
      <c r="D25" s="92">
        <v>4</v>
      </c>
      <c r="E25" s="92">
        <v>7</v>
      </c>
      <c r="F25" s="92">
        <v>56</v>
      </c>
      <c r="G25" s="92">
        <v>35</v>
      </c>
      <c r="H25" s="93">
        <v>10203.5</v>
      </c>
      <c r="I25" s="92">
        <v>10596.71</v>
      </c>
      <c r="J25" s="94">
        <f t="shared" si="1"/>
      </c>
      <c r="K25" s="94">
        <f t="shared" si="4"/>
      </c>
      <c r="L25" s="95">
        <f t="shared" si="2"/>
      </c>
      <c r="M25" s="96">
        <f t="shared" si="5"/>
      </c>
      <c r="N25" s="97">
        <v>9</v>
      </c>
      <c r="O25" s="96">
        <f t="shared" si="0"/>
      </c>
      <c r="P25" s="92"/>
      <c r="Q25" s="92"/>
    </row>
    <row customHeight="true" ht="16.071428571428573" r="26">
      <c r="A26" s="90">
        <v>46118</v>
      </c>
      <c r="B26" s="91" t="s">
        <v>144</v>
      </c>
      <c r="C26" s="92" t="s">
        <v>153</v>
      </c>
      <c r="D26" s="92">
        <v>4</v>
      </c>
      <c r="E26" s="92">
        <v>6</v>
      </c>
      <c r="F26" s="92">
        <v>46</v>
      </c>
      <c r="G26" s="92">
        <v>26</v>
      </c>
      <c r="H26" s="92">
        <v>7143.5</v>
      </c>
      <c r="I26" s="92">
        <v>9444.449999999997</v>
      </c>
      <c r="J26" s="94">
        <f t="shared" si="1"/>
      </c>
      <c r="K26" s="94">
        <f t="shared" si="4"/>
      </c>
      <c r="L26" s="95">
        <f t="shared" si="2"/>
      </c>
      <c r="M26" s="96">
        <f t="shared" si="5"/>
      </c>
      <c r="N26" s="97">
        <v>2</v>
      </c>
      <c r="O26" s="96">
        <f t="shared" si="0"/>
      </c>
      <c r="P26" s="92" t="s">
        <v>164</v>
      </c>
      <c r="Q26" s="92">
        <v>4</v>
      </c>
    </row>
    <row customHeight="true" ht="16.071428571428573" r="27">
      <c r="A27" s="90">
        <v>46118</v>
      </c>
      <c r="B27" s="91" t="s">
        <v>149</v>
      </c>
      <c r="C27" s="92" t="s">
        <v>154</v>
      </c>
      <c r="D27" s="92">
        <v>4</v>
      </c>
      <c r="E27" s="92">
        <v>5</v>
      </c>
      <c r="F27" s="92">
        <v>55</v>
      </c>
      <c r="G27" s="92">
        <v>39</v>
      </c>
      <c r="H27" s="92">
        <v>13121.599999999999</v>
      </c>
      <c r="I27" s="92">
        <v>10696.500000000004</v>
      </c>
      <c r="J27" s="94">
        <f t="shared" si="1"/>
      </c>
      <c r="K27" s="94">
        <f t="shared" si="4"/>
      </c>
      <c r="L27" s="95">
        <f t="shared" si="2"/>
      </c>
      <c r="M27" s="96">
        <f t="shared" si="5"/>
      </c>
      <c r="N27" s="97">
        <v>10</v>
      </c>
      <c r="O27" s="96">
        <f t="shared" si="0"/>
      </c>
      <c r="P27" s="92" t="s">
        <v>151</v>
      </c>
      <c r="Q27" s="92">
        <v>8</v>
      </c>
    </row>
    <row customHeight="true" ht="16.071428571428573" r="28">
      <c r="A28" s="99">
        <v>46118</v>
      </c>
      <c r="B28" s="100"/>
      <c r="C28" s="100"/>
      <c r="D28" s="100">
        <f>SUM(D25:D27)</f>
      </c>
      <c r="E28" s="100">
        <f>SUM(E25:E27)</f>
      </c>
      <c r="F28" s="100">
        <f>SUM(F25:F27)</f>
      </c>
      <c r="G28" s="100">
        <f>SUM(G25:G27)</f>
      </c>
      <c r="H28" s="100">
        <f>SUM(H25:H27)</f>
      </c>
      <c r="I28" s="100">
        <f>SUM(I25:I27)</f>
      </c>
      <c r="J28" s="101">
        <f t="shared" si="1"/>
      </c>
      <c r="K28" s="102">
        <f t="shared" si="4"/>
      </c>
      <c r="L28" s="102">
        <f t="shared" si="2"/>
      </c>
      <c r="M28" s="103">
        <f t="shared" si="5"/>
      </c>
      <c r="N28" s="100">
        <f>SUM(N25:N27)</f>
      </c>
      <c r="O28" s="103">
        <f t="shared" si="0"/>
      </c>
      <c r="P28" s="104"/>
      <c r="Q28" s="100">
        <f>SUM(Q25:Q27)</f>
      </c>
    </row>
    <row customHeight="true" ht="16.071428571428573" r="29">
      <c r="A29" s="90">
        <v>46119</v>
      </c>
      <c r="B29" s="91" t="s">
        <v>142</v>
      </c>
      <c r="C29" s="92" t="s">
        <v>143</v>
      </c>
      <c r="D29" s="92">
        <v>4</v>
      </c>
      <c r="E29" s="92">
        <v>8</v>
      </c>
      <c r="F29" s="92">
        <v>42</v>
      </c>
      <c r="G29" s="92">
        <v>26</v>
      </c>
      <c r="H29" s="93">
        <v>9139.4</v>
      </c>
      <c r="I29" s="92">
        <v>7270.9400000000005</v>
      </c>
      <c r="J29" s="94">
        <f t="shared" si="1"/>
      </c>
      <c r="K29" s="94">
        <f t="shared" si="4"/>
      </c>
      <c r="L29" s="95">
        <f t="shared" si="2"/>
      </c>
      <c r="M29" s="96">
        <f t="shared" si="5"/>
      </c>
      <c r="N29" s="97">
        <v>7</v>
      </c>
      <c r="O29" s="96">
        <f t="shared" si="0"/>
      </c>
      <c r="P29" s="92"/>
      <c r="Q29" s="92"/>
    </row>
    <row customHeight="true" ht="16.071428571428573" r="30">
      <c r="A30" s="90">
        <v>46119</v>
      </c>
      <c r="B30" s="91" t="s">
        <v>157</v>
      </c>
      <c r="C30" s="92" t="s">
        <v>165</v>
      </c>
      <c r="D30" s="92">
        <v>3</v>
      </c>
      <c r="E30" s="92">
        <v>0</v>
      </c>
      <c r="F30" s="92">
        <v>9</v>
      </c>
      <c r="G30" s="92">
        <v>5</v>
      </c>
      <c r="H30" s="92">
        <v>1129.2000000000007</v>
      </c>
      <c r="I30" s="92">
        <v>3597.8399999999983</v>
      </c>
      <c r="J30" s="94">
        <f t="shared" si="1"/>
      </c>
      <c r="K30" s="94">
        <f t="shared" si="4"/>
      </c>
      <c r="L30" s="95">
        <f t="shared" si="2"/>
      </c>
      <c r="M30" s="96">
        <f t="shared" si="5"/>
      </c>
      <c r="N30" s="97">
        <v>1</v>
      </c>
      <c r="O30" s="96">
        <f t="shared" si="0"/>
      </c>
      <c r="P30" s="92" t="s">
        <v>166</v>
      </c>
      <c r="Q30" s="92">
        <v>8</v>
      </c>
    </row>
    <row customHeight="true" ht="16.071428571428573" r="31">
      <c r="A31" s="90">
        <v>46119</v>
      </c>
      <c r="B31" s="91" t="s">
        <v>152</v>
      </c>
      <c r="C31" s="92" t="s">
        <v>159</v>
      </c>
      <c r="D31" s="92">
        <v>4</v>
      </c>
      <c r="E31" s="92">
        <v>12</v>
      </c>
      <c r="F31" s="92">
        <v>34</v>
      </c>
      <c r="G31" s="92">
        <v>20</v>
      </c>
      <c r="H31" s="92">
        <v>6496.300000000001</v>
      </c>
      <c r="I31" s="92">
        <v>5414.959999999999</v>
      </c>
      <c r="J31" s="94">
        <f t="shared" si="1"/>
      </c>
      <c r="K31" s="94">
        <f t="shared" si="4"/>
      </c>
      <c r="L31" s="95">
        <f t="shared" si="2"/>
      </c>
      <c r="M31" s="96">
        <f t="shared" si="5"/>
      </c>
      <c r="N31" s="97">
        <v>11</v>
      </c>
      <c r="O31" s="96">
        <f t="shared" si="0"/>
      </c>
      <c r="P31" s="92"/>
      <c r="Q31" s="92"/>
    </row>
    <row customHeight="true" ht="16.071428571428573" r="32">
      <c r="A32" s="90">
        <v>46119</v>
      </c>
      <c r="B32" s="91" t="s">
        <v>149</v>
      </c>
      <c r="C32" s="92" t="s">
        <v>150</v>
      </c>
      <c r="D32" s="92">
        <v>5</v>
      </c>
      <c r="E32" s="92">
        <v>10</v>
      </c>
      <c r="F32" s="92">
        <v>45</v>
      </c>
      <c r="G32" s="92">
        <v>33</v>
      </c>
      <c r="H32" s="92">
        <v>11324.599999999999</v>
      </c>
      <c r="I32" s="92">
        <v>7504.209999999999</v>
      </c>
      <c r="J32" s="94">
        <f t="shared" si="1"/>
      </c>
      <c r="K32" s="94">
        <f t="shared" si="4"/>
      </c>
      <c r="L32" s="95">
        <f t="shared" si="2"/>
      </c>
      <c r="M32" s="96">
        <f t="shared" si="5"/>
      </c>
      <c r="N32" s="97">
        <v>5</v>
      </c>
      <c r="O32" s="96">
        <f t="shared" si="0"/>
      </c>
      <c r="P32" s="92" t="s">
        <v>151</v>
      </c>
      <c r="Q32" s="92">
        <v>8</v>
      </c>
    </row>
    <row customHeight="true" ht="16.071428571428573" r="33">
      <c r="A33" s="99">
        <v>46119</v>
      </c>
      <c r="B33" s="100"/>
      <c r="C33" s="100"/>
      <c r="D33" s="100">
        <f>SUM(D29:D32)</f>
      </c>
      <c r="E33" s="100">
        <f>SUM(E29:E32)</f>
      </c>
      <c r="F33" s="100">
        <f>SUM(F29:F32)</f>
      </c>
      <c r="G33" s="100">
        <f>SUM(G29:G32)</f>
      </c>
      <c r="H33" s="100">
        <f>SUM(H29:H32)</f>
      </c>
      <c r="I33" s="100">
        <f>SUM(I29:I32)</f>
      </c>
      <c r="J33" s="101">
        <f t="shared" si="1"/>
      </c>
      <c r="K33" s="102">
        <f t="shared" si="4"/>
      </c>
      <c r="L33" s="102">
        <f t="shared" si="2"/>
      </c>
      <c r="M33" s="103">
        <f t="shared" si="5"/>
      </c>
      <c r="N33" s="100">
        <f>SUM(N29:N32)</f>
      </c>
      <c r="O33" s="103">
        <f t="shared" si="0"/>
      </c>
      <c r="P33" s="104"/>
      <c r="Q33" s="100">
        <f>SUM(Q29:Q32)</f>
      </c>
    </row>
    <row r="34">
      <c r="A34" s="105">
        <v>46120</v>
      </c>
      <c r="B34" s="91" t="s">
        <v>144</v>
      </c>
      <c r="C34" s="106" t="s">
        <v>167</v>
      </c>
      <c r="D34" s="106">
        <v>5</v>
      </c>
      <c r="E34" s="106">
        <v>4</v>
      </c>
      <c r="F34" s="106">
        <v>44</v>
      </c>
      <c r="G34" s="106">
        <v>23</v>
      </c>
      <c r="H34" s="107">
        <v>7494.4</v>
      </c>
      <c r="I34" s="108">
        <v>9109.4</v>
      </c>
      <c r="J34" s="109">
        <f t="shared" si="1"/>
      </c>
      <c r="K34" s="109">
        <f t="shared" si="4"/>
      </c>
      <c r="L34" s="110">
        <f t="shared" si="2"/>
      </c>
      <c r="M34" s="111">
        <f t="shared" si="5"/>
      </c>
      <c r="N34" s="112">
        <v>2</v>
      </c>
      <c r="O34" s="111">
        <f t="shared" si="0"/>
      </c>
      <c r="P34" s="108"/>
      <c r="Q34" s="108"/>
      <c r="R34" s="113"/>
      <c r="S34" s="113"/>
      <c r="T34" s="113"/>
      <c r="U34" s="113"/>
      <c r="V34" s="113"/>
      <c r="W34" s="113"/>
      <c r="X34" s="113"/>
    </row>
    <row r="35">
      <c r="A35" s="105">
        <v>46120</v>
      </c>
      <c r="B35" s="114" t="s">
        <v>161</v>
      </c>
      <c r="C35" s="106" t="s">
        <v>158</v>
      </c>
      <c r="D35" s="106">
        <v>2</v>
      </c>
      <c r="E35" s="106">
        <v>0</v>
      </c>
      <c r="F35" s="106">
        <v>10</v>
      </c>
      <c r="G35" s="106">
        <v>8</v>
      </c>
      <c r="H35" s="108">
        <v>2992</v>
      </c>
      <c r="I35" s="108">
        <v>3636.870000000001</v>
      </c>
      <c r="J35" s="109">
        <f t="shared" si="1"/>
      </c>
      <c r="K35" s="109">
        <f t="shared" si="4"/>
      </c>
      <c r="L35" s="110">
        <f t="shared" si="2"/>
      </c>
      <c r="M35" s="111">
        <f t="shared" si="5"/>
      </c>
      <c r="N35" s="112">
        <v>1</v>
      </c>
      <c r="O35" s="111">
        <f t="shared" si="0"/>
      </c>
      <c r="P35" s="108" t="s">
        <v>166</v>
      </c>
      <c r="Q35" s="108">
        <v>8</v>
      </c>
      <c r="R35" s="113"/>
      <c r="S35" s="113"/>
      <c r="T35" s="113"/>
      <c r="U35" s="113"/>
      <c r="V35" s="113"/>
      <c r="W35" s="113"/>
      <c r="X35" s="113"/>
    </row>
    <row customHeight="true" ht="16.071428571428573" r="36">
      <c r="A36" s="105">
        <v>46120</v>
      </c>
      <c r="B36" s="91" t="s">
        <v>142</v>
      </c>
      <c r="C36" s="106" t="s">
        <v>159</v>
      </c>
      <c r="D36" s="106">
        <v>4</v>
      </c>
      <c r="E36" s="106">
        <v>7</v>
      </c>
      <c r="F36" s="108">
        <v>44</v>
      </c>
      <c r="G36" s="108">
        <v>26</v>
      </c>
      <c r="H36" s="107">
        <v>8998.6</v>
      </c>
      <c r="I36" s="108">
        <v>8089.899999999998</v>
      </c>
      <c r="J36" s="109">
        <f t="shared" si="1"/>
      </c>
      <c r="K36" s="109">
        <f t="shared" si="4"/>
      </c>
      <c r="L36" s="110">
        <f t="shared" si="2"/>
      </c>
      <c r="M36" s="111">
        <f t="shared" si="5"/>
      </c>
      <c r="N36" s="112">
        <v>5</v>
      </c>
      <c r="O36" s="111">
        <f t="shared" si="0"/>
      </c>
      <c r="P36" s="108"/>
      <c r="Q36" s="108"/>
      <c r="R36" s="113"/>
      <c r="S36" s="113"/>
      <c r="T36" s="113"/>
      <c r="U36" s="113"/>
      <c r="V36" s="113"/>
      <c r="W36" s="113"/>
      <c r="X36" s="113"/>
    </row>
    <row customHeight="true" ht="16.071428571428573" r="37">
      <c r="A37" s="105">
        <v>46120</v>
      </c>
      <c r="B37" s="115" t="s">
        <v>149</v>
      </c>
      <c r="C37" s="106" t="s">
        <v>150</v>
      </c>
      <c r="D37" s="106">
        <v>5</v>
      </c>
      <c r="E37" s="106">
        <v>25</v>
      </c>
      <c r="F37" s="108">
        <v>95</v>
      </c>
      <c r="G37" s="108">
        <v>72</v>
      </c>
      <c r="H37" s="108">
        <v>26747.300000000003</v>
      </c>
      <c r="I37" s="108">
        <v>15237.730000000003</v>
      </c>
      <c r="J37" s="109">
        <f t="shared" si="1"/>
      </c>
      <c r="K37" s="109">
        <f t="shared" si="4"/>
      </c>
      <c r="L37" s="110">
        <f t="shared" si="2"/>
      </c>
      <c r="M37" s="111">
        <f t="shared" si="5"/>
      </c>
      <c r="N37" s="112">
        <v>9</v>
      </c>
      <c r="O37" s="111">
        <f t="shared" si="0"/>
      </c>
      <c r="P37" s="108" t="s">
        <v>151</v>
      </c>
      <c r="Q37" s="108">
        <v>8</v>
      </c>
      <c r="R37" s="113"/>
      <c r="S37" s="113"/>
      <c r="T37" s="113"/>
      <c r="U37" s="113"/>
      <c r="V37" s="113"/>
      <c r="W37" s="113"/>
      <c r="X37" s="113"/>
    </row>
    <row customHeight="true" ht="16.071428571428573" r="38">
      <c r="A38" s="116">
        <v>46120</v>
      </c>
      <c r="B38" s="117"/>
      <c r="C38" s="117"/>
      <c r="D38" s="117">
        <f>SUM(D34:D37)</f>
      </c>
      <c r="E38" s="117">
        <f>SUM(E34:E37)</f>
      </c>
      <c r="F38" s="117">
        <f>SUM(F34:F37)</f>
      </c>
      <c r="G38" s="117">
        <f>SUM(G34:G37)</f>
      </c>
      <c r="H38" s="117">
        <f>SUM(H34:H37)</f>
      </c>
      <c r="I38" s="117">
        <f>SUM(I34:I37)</f>
      </c>
      <c r="J38" s="118">
        <f t="shared" si="1"/>
      </c>
      <c r="K38" s="119">
        <f t="shared" si="4"/>
      </c>
      <c r="L38" s="119">
        <f t="shared" si="2"/>
      </c>
      <c r="M38" s="120">
        <f t="shared" si="5"/>
      </c>
      <c r="N38" s="117">
        <f>SUM(N34:N37)</f>
      </c>
      <c r="O38" s="120">
        <f t="shared" si="0"/>
      </c>
      <c r="P38" s="121"/>
      <c r="Q38" s="117">
        <f>SUM(Q34:Q37)</f>
      </c>
      <c r="R38" s="113"/>
      <c r="S38" s="113"/>
      <c r="T38" s="113"/>
      <c r="U38" s="113"/>
      <c r="V38" s="113"/>
      <c r="W38" s="113"/>
      <c r="X38" s="113"/>
    </row>
    <row customHeight="true" ht="16.071428571428573" r="39">
      <c r="A39" s="122">
        <v>46121</v>
      </c>
      <c r="B39" s="91" t="s">
        <v>142</v>
      </c>
      <c r="C39" s="106" t="s">
        <v>168</v>
      </c>
      <c r="D39" s="106">
        <v>4</v>
      </c>
      <c r="E39" s="106">
        <v>8</v>
      </c>
      <c r="F39" s="106">
        <v>41</v>
      </c>
      <c r="G39" s="106">
        <v>23</v>
      </c>
      <c r="H39" s="107">
        <v>7257</v>
      </c>
      <c r="I39" s="108">
        <v>8762.53</v>
      </c>
      <c r="J39" s="109">
        <f t="shared" si="1"/>
      </c>
      <c r="K39" s="109">
        <f t="shared" si="4"/>
      </c>
      <c r="L39" s="110">
        <f t="shared" si="2"/>
      </c>
      <c r="M39" s="111">
        <f t="shared" si="5"/>
      </c>
      <c r="N39" s="112">
        <v>5</v>
      </c>
      <c r="O39" s="111">
        <f t="shared" si="0"/>
      </c>
      <c r="P39" s="108"/>
      <c r="Q39" s="108"/>
      <c r="R39" s="113"/>
      <c r="S39" s="113"/>
      <c r="T39" s="113"/>
      <c r="U39" s="113"/>
      <c r="V39" s="113"/>
      <c r="W39" s="113"/>
      <c r="X39" s="113"/>
    </row>
    <row customHeight="true" ht="16.071428571428573" r="40">
      <c r="A40" s="122">
        <v>46121</v>
      </c>
      <c r="B40" s="114" t="s">
        <v>144</v>
      </c>
      <c r="C40" s="106" t="s">
        <v>145</v>
      </c>
      <c r="D40" s="106">
        <v>4</v>
      </c>
      <c r="E40" s="106">
        <v>16</v>
      </c>
      <c r="F40" s="106">
        <v>53</v>
      </c>
      <c r="G40" s="106">
        <v>41</v>
      </c>
      <c r="H40" s="108">
        <v>11636.099999999999</v>
      </c>
      <c r="I40" s="108">
        <v>9275.26</v>
      </c>
      <c r="J40" s="109">
        <f t="shared" si="1"/>
      </c>
      <c r="K40" s="109">
        <f t="shared" si="4"/>
      </c>
      <c r="L40" s="110">
        <f t="shared" si="2"/>
      </c>
      <c r="M40" s="111">
        <f t="shared" si="5"/>
      </c>
      <c r="N40" s="112">
        <v>14</v>
      </c>
      <c r="O40" s="111">
        <f t="shared" si="0"/>
      </c>
      <c r="P40" s="106" t="s">
        <v>146</v>
      </c>
      <c r="Q40" s="108">
        <v>8</v>
      </c>
      <c r="R40" s="113"/>
      <c r="S40" s="113"/>
      <c r="T40" s="113"/>
      <c r="U40" s="113"/>
      <c r="V40" s="113"/>
      <c r="W40" s="113"/>
      <c r="X40" s="113"/>
    </row>
    <row customHeight="true" ht="16.071428571428573" r="41">
      <c r="A41" s="122">
        <v>46121</v>
      </c>
      <c r="B41" s="91" t="s">
        <v>152</v>
      </c>
      <c r="C41" s="106" t="s">
        <v>153</v>
      </c>
      <c r="D41" s="106">
        <v>4</v>
      </c>
      <c r="E41" s="106">
        <v>14</v>
      </c>
      <c r="F41" s="108">
        <v>62</v>
      </c>
      <c r="G41" s="108">
        <v>49</v>
      </c>
      <c r="H41" s="107">
        <v>16663</v>
      </c>
      <c r="I41" s="108">
        <v>14039.219999999998</v>
      </c>
      <c r="J41" s="109">
        <f t="shared" si="1"/>
      </c>
      <c r="K41" s="109">
        <f t="shared" si="4"/>
      </c>
      <c r="L41" s="110">
        <f t="shared" si="2"/>
      </c>
      <c r="M41" s="111">
        <f t="shared" si="5"/>
      </c>
      <c r="N41" s="112">
        <v>14</v>
      </c>
      <c r="O41" s="111">
        <f t="shared" si="0"/>
      </c>
      <c r="P41" s="108"/>
      <c r="Q41" s="108"/>
      <c r="R41" s="113"/>
      <c r="S41" s="113"/>
      <c r="T41" s="113"/>
      <c r="U41" s="113"/>
      <c r="V41" s="113"/>
      <c r="W41" s="113"/>
      <c r="X41" s="113"/>
    </row>
    <row customHeight="true" ht="16.071428571428573" r="42">
      <c r="A42" s="122">
        <v>46121</v>
      </c>
      <c r="B42" s="115" t="s">
        <v>149</v>
      </c>
      <c r="C42" s="106" t="s">
        <v>154</v>
      </c>
      <c r="D42" s="106">
        <v>4</v>
      </c>
      <c r="E42" s="106">
        <v>20</v>
      </c>
      <c r="F42" s="108">
        <v>75</v>
      </c>
      <c r="G42" s="108">
        <v>55</v>
      </c>
      <c r="H42" s="108">
        <v>20303.300000000003</v>
      </c>
      <c r="I42" s="108">
        <v>13897.900000000005</v>
      </c>
      <c r="J42" s="109">
        <f t="shared" si="1"/>
      </c>
      <c r="K42" s="109">
        <f t="shared" si="4"/>
      </c>
      <c r="L42" s="110">
        <f t="shared" si="2"/>
      </c>
      <c r="M42" s="111">
        <f t="shared" si="5"/>
      </c>
      <c r="N42" s="112">
        <v>14</v>
      </c>
      <c r="O42" s="111">
        <f t="shared" si="0"/>
      </c>
      <c r="P42" s="108" t="s">
        <v>151</v>
      </c>
      <c r="Q42" s="108">
        <v>8</v>
      </c>
      <c r="R42" s="113"/>
      <c r="S42" s="113"/>
      <c r="T42" s="113"/>
      <c r="U42" s="113"/>
      <c r="V42" s="113"/>
      <c r="W42" s="113"/>
      <c r="X42" s="113"/>
    </row>
    <row customHeight="true" ht="16.071428571428573" r="43">
      <c r="A43" s="123">
        <v>46121</v>
      </c>
      <c r="B43" s="117"/>
      <c r="C43" s="117"/>
      <c r="D43" s="117">
        <f>SUM(D39:D42)</f>
      </c>
      <c r="E43" s="117">
        <f>SUM(E39:E42)</f>
      </c>
      <c r="F43" s="117">
        <f>SUM(F39:F42)</f>
      </c>
      <c r="G43" s="117">
        <f>SUM(G39:G42)</f>
      </c>
      <c r="H43" s="117">
        <f>SUM(H39:H42)</f>
      </c>
      <c r="I43" s="117">
        <f>SUM(I39:I42)</f>
      </c>
      <c r="J43" s="118">
        <f t="shared" si="1"/>
      </c>
      <c r="K43" s="119">
        <f t="shared" si="4"/>
      </c>
      <c r="L43" s="119">
        <f t="shared" si="2"/>
      </c>
      <c r="M43" s="120">
        <f t="shared" si="5"/>
      </c>
      <c r="N43" s="117">
        <f>SUM(N39:N42)</f>
      </c>
      <c r="O43" s="120">
        <f t="shared" si="0"/>
      </c>
      <c r="P43" s="121"/>
      <c r="Q43" s="117">
        <f>SUM(Q39:Q42)</f>
      </c>
      <c r="R43" s="113"/>
      <c r="S43" s="113"/>
      <c r="T43" s="113"/>
      <c r="U43" s="113"/>
      <c r="V43" s="113"/>
      <c r="W43" s="113"/>
      <c r="X43" s="113"/>
    </row>
    <row customHeight="true" ht="16.071428571428573" r="44">
      <c r="A44" s="122">
        <v>46122</v>
      </c>
      <c r="B44" s="91" t="s">
        <v>142</v>
      </c>
      <c r="C44" s="106" t="s">
        <v>167</v>
      </c>
      <c r="D44" s="106">
        <v>5</v>
      </c>
      <c r="E44" s="106">
        <v>10</v>
      </c>
      <c r="F44" s="106">
        <v>45</v>
      </c>
      <c r="G44" s="106">
        <v>31</v>
      </c>
      <c r="H44" s="107">
        <v>9637.5</v>
      </c>
      <c r="I44" s="108">
        <v>12294.57</v>
      </c>
      <c r="J44" s="109">
        <f t="shared" si="1"/>
      </c>
      <c r="K44" s="109">
        <f t="shared" si="4"/>
      </c>
      <c r="L44" s="110">
        <f t="shared" si="2"/>
      </c>
      <c r="M44" s="111">
        <f t="shared" si="5"/>
      </c>
      <c r="N44" s="112">
        <v>4</v>
      </c>
      <c r="O44" s="111">
        <f t="shared" si="0"/>
      </c>
      <c r="P44" s="108"/>
      <c r="Q44" s="108"/>
      <c r="R44" s="113"/>
      <c r="S44" s="113"/>
      <c r="T44" s="113"/>
      <c r="U44" s="113"/>
      <c r="V44" s="113"/>
      <c r="W44" s="113"/>
      <c r="X44" s="113"/>
    </row>
    <row customHeight="true" ht="16.071428571428573" r="45">
      <c r="A45" s="122">
        <v>46122</v>
      </c>
      <c r="B45" s="114" t="s">
        <v>144</v>
      </c>
      <c r="C45" s="106" t="s">
        <v>169</v>
      </c>
      <c r="D45" s="106">
        <v>4</v>
      </c>
      <c r="E45" s="106">
        <v>4</v>
      </c>
      <c r="F45" s="106">
        <v>32</v>
      </c>
      <c r="G45" s="106">
        <v>16</v>
      </c>
      <c r="H45" s="108">
        <v>5248.799999999999</v>
      </c>
      <c r="I45" s="106">
        <v>7017.6</v>
      </c>
      <c r="J45" s="109">
        <f t="shared" si="1"/>
      </c>
      <c r="K45" s="109">
        <f t="shared" si="4"/>
      </c>
      <c r="L45" s="110">
        <f t="shared" si="2"/>
      </c>
      <c r="M45" s="111">
        <f t="shared" si="5"/>
      </c>
      <c r="N45" s="112">
        <v>1</v>
      </c>
      <c r="O45" s="111">
        <f t="shared" si="0"/>
      </c>
      <c r="P45" s="106" t="s">
        <v>146</v>
      </c>
      <c r="Q45" s="108">
        <v>8</v>
      </c>
      <c r="R45" s="113"/>
      <c r="S45" s="113"/>
      <c r="T45" s="113"/>
      <c r="U45" s="113"/>
      <c r="V45" s="113"/>
      <c r="W45" s="113"/>
      <c r="X45" s="113"/>
    </row>
    <row customHeight="true" ht="16.071428571428573" r="46">
      <c r="A46" s="122">
        <v>46122</v>
      </c>
      <c r="B46" s="91" t="s">
        <v>157</v>
      </c>
      <c r="C46" s="106" t="s">
        <v>170</v>
      </c>
      <c r="D46" s="106">
        <v>2</v>
      </c>
      <c r="E46" s="106">
        <v>1</v>
      </c>
      <c r="F46" s="106">
        <v>21</v>
      </c>
      <c r="G46" s="106">
        <v>14</v>
      </c>
      <c r="H46" s="107">
        <v>5542.799999999999</v>
      </c>
      <c r="I46" s="106">
        <v>3645.06</v>
      </c>
      <c r="J46" s="109">
        <f t="shared" si="1"/>
      </c>
      <c r="K46" s="109">
        <f t="shared" si="4"/>
      </c>
      <c r="L46" s="110">
        <f t="shared" si="2"/>
      </c>
      <c r="M46" s="111">
        <f t="shared" si="5"/>
      </c>
      <c r="N46" s="112">
        <v>2</v>
      </c>
      <c r="O46" s="111">
        <f t="shared" si="0"/>
      </c>
      <c r="P46" s="108"/>
      <c r="Q46" s="108"/>
      <c r="R46" s="113"/>
      <c r="S46" s="113"/>
      <c r="T46" s="113"/>
      <c r="U46" s="113"/>
      <c r="V46" s="113"/>
      <c r="W46" s="113"/>
      <c r="X46" s="113"/>
    </row>
    <row customHeight="true" ht="16.071428571428573" r="47">
      <c r="A47" s="122">
        <v>46122</v>
      </c>
      <c r="B47" s="115" t="s">
        <v>149</v>
      </c>
      <c r="C47" s="106" t="s">
        <v>150</v>
      </c>
      <c r="D47" s="106">
        <v>5</v>
      </c>
      <c r="E47" s="106">
        <v>26</v>
      </c>
      <c r="F47" s="106">
        <v>93</v>
      </c>
      <c r="G47" s="106">
        <v>67</v>
      </c>
      <c r="H47" s="108">
        <v>22952.5</v>
      </c>
      <c r="I47" s="106">
        <v>15742.97</v>
      </c>
      <c r="J47" s="109">
        <f t="shared" si="1"/>
      </c>
      <c r="K47" s="109">
        <f t="shared" si="4"/>
      </c>
      <c r="L47" s="110">
        <f t="shared" si="2"/>
      </c>
      <c r="M47" s="111">
        <f t="shared" si="5"/>
      </c>
      <c r="N47" s="112">
        <v>17</v>
      </c>
      <c r="O47" s="111">
        <f t="shared" si="0"/>
      </c>
      <c r="P47" s="106" t="s">
        <v>171</v>
      </c>
      <c r="Q47" s="108">
        <v>8</v>
      </c>
      <c r="R47" s="113"/>
      <c r="S47" s="113"/>
      <c r="T47" s="113"/>
      <c r="U47" s="113"/>
      <c r="V47" s="113"/>
      <c r="W47" s="113"/>
      <c r="X47" s="113"/>
    </row>
    <row customHeight="true" ht="16.071428571428573" r="48">
      <c r="A48" s="123">
        <v>46122</v>
      </c>
      <c r="B48" s="117"/>
      <c r="C48" s="117"/>
      <c r="D48" s="117">
        <f>SUM(D44:D47)</f>
      </c>
      <c r="E48" s="117">
        <f>SUM(E44:E47)</f>
      </c>
      <c r="F48" s="117">
        <f>SUM(F44:F47)</f>
      </c>
      <c r="G48" s="117">
        <f>SUM(G44:G47)</f>
      </c>
      <c r="H48" s="117">
        <f>SUM(H44:H47)</f>
      </c>
      <c r="I48" s="117">
        <f>SUM(I44:I47)</f>
      </c>
      <c r="J48" s="118">
        <f t="shared" si="1"/>
      </c>
      <c r="K48" s="119">
        <f t="shared" si="4"/>
      </c>
      <c r="L48" s="119">
        <f t="shared" si="2"/>
      </c>
      <c r="M48" s="120">
        <f t="shared" si="5"/>
      </c>
      <c r="N48" s="117">
        <f>SUM(N44:N47)</f>
      </c>
      <c r="O48" s="120">
        <f t="shared" si="0"/>
      </c>
      <c r="P48" s="121"/>
      <c r="Q48" s="117">
        <f>SUM(Q44:Q47)</f>
      </c>
      <c r="R48" s="113"/>
      <c r="S48" s="113"/>
      <c r="T48" s="113"/>
      <c r="U48" s="113"/>
      <c r="V48" s="113"/>
      <c r="W48" s="113"/>
      <c r="X48" s="113"/>
    </row>
    <row customHeight="true" ht="16.071428571428573" r="49">
      <c r="A49" s="122">
        <v>46123</v>
      </c>
      <c r="B49" s="114" t="s">
        <v>144</v>
      </c>
      <c r="C49" s="106" t="s">
        <v>167</v>
      </c>
      <c r="D49" s="106">
        <v>5</v>
      </c>
      <c r="E49" s="106">
        <v>14</v>
      </c>
      <c r="F49" s="106">
        <v>60</v>
      </c>
      <c r="G49" s="106">
        <v>43</v>
      </c>
      <c r="H49" s="107">
        <v>15741.7</v>
      </c>
      <c r="I49" s="108">
        <v>12440.53</v>
      </c>
      <c r="J49" s="109">
        <f t="shared" si="1"/>
      </c>
      <c r="K49" s="109">
        <f t="shared" si="4"/>
      </c>
      <c r="L49" s="110">
        <f t="shared" si="2"/>
      </c>
      <c r="M49" s="111">
        <f t="shared" si="5"/>
      </c>
      <c r="N49" s="112">
        <v>8</v>
      </c>
      <c r="O49" s="111">
        <f t="shared" si="0"/>
      </c>
      <c r="P49" s="108"/>
      <c r="Q49" s="108"/>
      <c r="R49" s="113"/>
      <c r="S49" s="113"/>
      <c r="T49" s="113"/>
      <c r="U49" s="113"/>
      <c r="V49" s="113"/>
      <c r="W49" s="113"/>
      <c r="X49" s="113"/>
    </row>
    <row customHeight="true" ht="16.071428571428573" r="50">
      <c r="A50" s="122">
        <v>46123</v>
      </c>
      <c r="B50" s="114" t="s">
        <v>152</v>
      </c>
      <c r="C50" s="106" t="s">
        <v>169</v>
      </c>
      <c r="D50" s="106">
        <v>4</v>
      </c>
      <c r="E50" s="106">
        <v>5</v>
      </c>
      <c r="F50" s="106">
        <v>43</v>
      </c>
      <c r="G50" s="106">
        <v>30</v>
      </c>
      <c r="H50" s="108">
        <v>13141.8</v>
      </c>
      <c r="I50" s="124">
        <v>12463.69</v>
      </c>
      <c r="J50" s="109">
        <f t="shared" si="1"/>
      </c>
      <c r="K50" s="109">
        <f t="shared" si="4"/>
      </c>
      <c r="L50" s="110">
        <f t="shared" si="2"/>
      </c>
      <c r="M50" s="111">
        <f t="shared" si="5"/>
      </c>
      <c r="N50" s="112">
        <v>6</v>
      </c>
      <c r="O50" s="111">
        <f t="shared" si="0"/>
      </c>
      <c r="P50" s="106" t="s">
        <v>146</v>
      </c>
      <c r="Q50" s="108">
        <v>8</v>
      </c>
      <c r="R50" s="113"/>
      <c r="S50" s="113"/>
      <c r="T50" s="113"/>
      <c r="U50" s="113"/>
      <c r="V50" s="113"/>
      <c r="W50" s="113"/>
      <c r="X50" s="113"/>
    </row>
    <row customHeight="true" ht="16.071428571428573" r="51">
      <c r="A51" s="122">
        <v>46123</v>
      </c>
      <c r="B51" s="91" t="s">
        <v>161</v>
      </c>
      <c r="C51" s="106" t="s">
        <v>170</v>
      </c>
      <c r="D51" s="106">
        <v>2</v>
      </c>
      <c r="E51" s="106">
        <v>2</v>
      </c>
      <c r="F51" s="106">
        <v>25</v>
      </c>
      <c r="G51" s="106">
        <v>17</v>
      </c>
      <c r="H51" s="125">
        <v>7146.800000000003</v>
      </c>
      <c r="I51" s="126">
        <v>5078.4</v>
      </c>
      <c r="J51" s="127">
        <f t="shared" si="1"/>
      </c>
      <c r="K51" s="109">
        <f t="shared" si="4"/>
      </c>
      <c r="L51" s="110">
        <f t="shared" si="2"/>
      </c>
      <c r="M51" s="111">
        <f t="shared" si="5"/>
      </c>
      <c r="N51" s="112">
        <v>2</v>
      </c>
      <c r="O51" s="111">
        <f t="shared" si="0"/>
      </c>
      <c r="P51" s="108"/>
      <c r="Q51" s="108"/>
      <c r="R51" s="113"/>
      <c r="S51" s="113"/>
      <c r="T51" s="113"/>
      <c r="U51" s="113"/>
      <c r="V51" s="113"/>
      <c r="W51" s="113"/>
      <c r="X51" s="113"/>
    </row>
    <row customHeight="true" ht="16.071428571428573" r="52">
      <c r="A52" s="122">
        <v>46123</v>
      </c>
      <c r="B52" s="115" t="s">
        <v>149</v>
      </c>
      <c r="C52" s="106" t="s">
        <v>150</v>
      </c>
      <c r="D52" s="106">
        <v>5</v>
      </c>
      <c r="E52" s="106">
        <v>12</v>
      </c>
      <c r="F52" s="106">
        <v>65</v>
      </c>
      <c r="G52" s="106">
        <v>47</v>
      </c>
      <c r="H52" s="108">
        <v>15517.799999999996</v>
      </c>
      <c r="I52" s="128">
        <v>14720.73</v>
      </c>
      <c r="J52" s="109">
        <f t="shared" si="1"/>
      </c>
      <c r="K52" s="109">
        <f t="shared" si="4"/>
      </c>
      <c r="L52" s="110">
        <f t="shared" si="2"/>
      </c>
      <c r="M52" s="111">
        <f t="shared" si="5"/>
      </c>
      <c r="N52" s="112">
        <v>13</v>
      </c>
      <c r="O52" s="111">
        <f t="shared" si="0"/>
      </c>
      <c r="P52" s="106" t="s">
        <v>171</v>
      </c>
      <c r="Q52" s="108">
        <v>8</v>
      </c>
      <c r="R52" s="113"/>
      <c r="S52" s="113"/>
      <c r="T52" s="113"/>
      <c r="U52" s="113"/>
      <c r="V52" s="113"/>
      <c r="W52" s="113"/>
      <c r="X52" s="113"/>
    </row>
    <row customHeight="true" ht="16.071428571428573" r="53">
      <c r="A53" s="123">
        <v>46123</v>
      </c>
      <c r="B53" s="117"/>
      <c r="C53" s="117"/>
      <c r="D53" s="117">
        <f>SUM(D49:D52)</f>
      </c>
      <c r="E53" s="117">
        <f>SUM(E49:E52)</f>
      </c>
      <c r="F53" s="117">
        <f>SUM(F49:F52)</f>
      </c>
      <c r="G53" s="117">
        <f>SUM(G49:G52)</f>
      </c>
      <c r="H53" s="117">
        <f>SUM(H49:H52)</f>
      </c>
      <c r="I53" s="117">
        <f>SUM(I49:I52)</f>
      </c>
      <c r="J53" s="118">
        <f t="shared" si="1"/>
      </c>
      <c r="K53" s="119">
        <f t="shared" si="4"/>
      </c>
      <c r="L53" s="119">
        <f t="shared" si="2"/>
      </c>
      <c r="M53" s="120">
        <f t="shared" si="5"/>
      </c>
      <c r="N53" s="117">
        <f>SUM(N49:N52)</f>
      </c>
      <c r="O53" s="120">
        <f t="shared" si="0"/>
      </c>
      <c r="P53" s="121"/>
      <c r="Q53" s="117">
        <f>SUM(Q49:Q52)</f>
      </c>
      <c r="R53" s="113"/>
      <c r="S53" s="113"/>
      <c r="T53" s="113"/>
      <c r="U53" s="113"/>
      <c r="V53" s="113"/>
      <c r="W53" s="113"/>
      <c r="X53" s="113"/>
    </row>
    <row customHeight="true" ht="16.071428571428573" r="54">
      <c r="A54" s="122">
        <v>46124</v>
      </c>
      <c r="B54" s="114" t="s">
        <v>152</v>
      </c>
      <c r="C54" s="106" t="s">
        <v>168</v>
      </c>
      <c r="D54" s="106">
        <v>4</v>
      </c>
      <c r="E54" s="106">
        <v>19</v>
      </c>
      <c r="F54" s="106">
        <v>54</v>
      </c>
      <c r="G54" s="106">
        <v>42</v>
      </c>
      <c r="H54" s="107">
        <v>15293.4</v>
      </c>
      <c r="I54" s="108">
        <v>10680.26</v>
      </c>
      <c r="J54" s="109">
        <f t="shared" si="1"/>
      </c>
      <c r="K54" s="109">
        <f t="shared" si="4"/>
      </c>
      <c r="L54" s="110">
        <f t="shared" si="2"/>
      </c>
      <c r="M54" s="111">
        <f t="shared" si="5"/>
      </c>
      <c r="N54" s="112">
        <v>11</v>
      </c>
      <c r="O54" s="111">
        <f t="shared" si="0"/>
      </c>
      <c r="P54" s="108"/>
      <c r="Q54" s="108"/>
      <c r="R54" s="113"/>
      <c r="S54" s="113"/>
      <c r="T54" s="113"/>
      <c r="U54" s="113"/>
      <c r="V54" s="113"/>
      <c r="W54" s="113"/>
      <c r="X54" s="113"/>
    </row>
    <row customHeight="true" ht="16.071428571428573" r="55">
      <c r="A55" s="122">
        <v>46124</v>
      </c>
      <c r="B55" s="91" t="s">
        <v>157</v>
      </c>
      <c r="C55" s="106" t="s">
        <v>165</v>
      </c>
      <c r="D55" s="106">
        <v>3</v>
      </c>
      <c r="E55" s="106">
        <v>9</v>
      </c>
      <c r="F55" s="106">
        <v>27</v>
      </c>
      <c r="G55" s="106">
        <v>20</v>
      </c>
      <c r="H55" s="108">
        <v>8028.199999999999</v>
      </c>
      <c r="I55" s="124">
        <v>6342.6</v>
      </c>
      <c r="J55" s="109">
        <f t="shared" si="1"/>
      </c>
      <c r="K55" s="109">
        <f t="shared" si="4"/>
      </c>
      <c r="L55" s="110">
        <f t="shared" si="2"/>
      </c>
      <c r="M55" s="111">
        <f t="shared" si="5"/>
      </c>
      <c r="N55" s="112">
        <v>0</v>
      </c>
      <c r="O55" s="111">
        <f t="shared" si="0"/>
      </c>
      <c r="P55" s="106" t="s">
        <v>146</v>
      </c>
      <c r="Q55" s="108">
        <v>8</v>
      </c>
      <c r="R55" s="113"/>
      <c r="S55" s="113"/>
      <c r="T55" s="113"/>
      <c r="U55" s="113"/>
      <c r="V55" s="113"/>
      <c r="W55" s="113"/>
      <c r="X55" s="113"/>
    </row>
    <row customHeight="true" ht="16.071428571428573" r="56">
      <c r="A56" s="122">
        <v>46124</v>
      </c>
      <c r="B56" s="115" t="s">
        <v>149</v>
      </c>
      <c r="C56" s="106" t="s">
        <v>162</v>
      </c>
      <c r="D56" s="106">
        <v>5</v>
      </c>
      <c r="E56" s="106">
        <v>5</v>
      </c>
      <c r="F56" s="106">
        <v>66</v>
      </c>
      <c r="G56" s="106">
        <v>43</v>
      </c>
      <c r="H56" s="125">
        <v>16019.599999999999</v>
      </c>
      <c r="I56" s="126">
        <v>11756.51</v>
      </c>
      <c r="J56" s="127">
        <f t="shared" si="1"/>
      </c>
      <c r="K56" s="109">
        <f t="shared" si="4"/>
      </c>
      <c r="L56" s="110">
        <f t="shared" si="2"/>
      </c>
      <c r="M56" s="111">
        <f t="shared" si="5"/>
      </c>
      <c r="N56" s="112">
        <v>12</v>
      </c>
      <c r="O56" s="111">
        <f t="shared" si="0"/>
      </c>
      <c r="P56" s="108"/>
      <c r="Q56" s="108"/>
      <c r="R56" s="113"/>
      <c r="S56" s="113"/>
      <c r="T56" s="113"/>
      <c r="U56" s="113"/>
      <c r="V56" s="113"/>
      <c r="W56" s="113"/>
      <c r="X56" s="113"/>
    </row>
    <row customHeight="true" ht="16.071428571428573" r="57">
      <c r="A57" s="122">
        <v>46124</v>
      </c>
      <c r="B57" s="91" t="s">
        <v>142</v>
      </c>
      <c r="C57" s="106" t="s">
        <v>154</v>
      </c>
      <c r="D57" s="106">
        <v>4</v>
      </c>
      <c r="E57" s="106">
        <v>11</v>
      </c>
      <c r="F57" s="106">
        <v>83</v>
      </c>
      <c r="G57" s="106">
        <v>65</v>
      </c>
      <c r="H57" s="108">
        <v>21582.9</v>
      </c>
      <c r="I57" s="128">
        <v>12935.88</v>
      </c>
      <c r="J57" s="109">
        <f t="shared" si="1"/>
      </c>
      <c r="K57" s="109">
        <f t="shared" si="4"/>
      </c>
      <c r="L57" s="110">
        <f t="shared" si="2"/>
      </c>
      <c r="M57" s="111">
        <f t="shared" si="5"/>
      </c>
      <c r="N57" s="112">
        <v>23</v>
      </c>
      <c r="O57" s="111">
        <f t="shared" si="0"/>
      </c>
      <c r="P57" s="106" t="s">
        <v>171</v>
      </c>
      <c r="Q57" s="108">
        <v>8</v>
      </c>
      <c r="R57" s="113"/>
      <c r="S57" s="113"/>
      <c r="T57" s="113"/>
      <c r="U57" s="113"/>
      <c r="V57" s="113"/>
      <c r="W57" s="113"/>
      <c r="X57" s="113"/>
    </row>
    <row customHeight="true" ht="16.071428571428573" r="58">
      <c r="A58" s="123">
        <v>46124</v>
      </c>
      <c r="B58" s="117"/>
      <c r="C58" s="117"/>
      <c r="D58" s="117">
        <f>SUM(D54:D57)</f>
      </c>
      <c r="E58" s="117">
        <f>SUM(E54:E57)</f>
      </c>
      <c r="F58" s="117">
        <f>SUM(F54:F57)</f>
      </c>
      <c r="G58" s="117">
        <f>SUM(G54:G57)</f>
      </c>
      <c r="H58" s="117">
        <f>SUM(H54:H57)</f>
      </c>
      <c r="I58" s="117">
        <f>SUM(I54:I57)</f>
      </c>
      <c r="J58" s="118">
        <f t="shared" si="1"/>
      </c>
      <c r="K58" s="119">
        <f t="shared" si="4"/>
      </c>
      <c r="L58" s="119">
        <f t="shared" si="2"/>
      </c>
      <c r="M58" s="120">
        <f t="shared" si="5"/>
      </c>
      <c r="N58" s="117">
        <f>SUM(N54:N57)</f>
      </c>
      <c r="O58" s="120">
        <f t="shared" si="0"/>
      </c>
      <c r="P58" s="121"/>
      <c r="Q58" s="117">
        <f>SUM(Q54:Q57)</f>
      </c>
      <c r="R58" s="113"/>
      <c r="S58" s="113"/>
      <c r="T58" s="113"/>
      <c r="U58" s="113"/>
      <c r="V58" s="113"/>
      <c r="W58" s="113"/>
      <c r="X58" s="113"/>
    </row>
    <row customHeight="true" ht="16.071428571428573" r="59">
      <c r="A59" s="122">
        <v>46125</v>
      </c>
      <c r="B59" s="115" t="s">
        <v>149</v>
      </c>
      <c r="C59" s="106" t="s">
        <v>167</v>
      </c>
      <c r="D59" s="106">
        <v>5</v>
      </c>
      <c r="E59" s="106">
        <v>3</v>
      </c>
      <c r="F59" s="106">
        <v>48</v>
      </c>
      <c r="G59" s="106">
        <v>34</v>
      </c>
      <c r="H59" s="107">
        <v>11500.4</v>
      </c>
      <c r="I59" s="108">
        <v>9847.7</v>
      </c>
      <c r="J59" s="109">
        <f t="shared" si="1"/>
      </c>
      <c r="K59" s="109">
        <f t="shared" si="4"/>
      </c>
      <c r="L59" s="110">
        <f t="shared" si="2"/>
      </c>
      <c r="M59" s="111">
        <f t="shared" si="5"/>
      </c>
      <c r="N59" s="112">
        <v>12</v>
      </c>
      <c r="O59" s="111">
        <f t="shared" si="0"/>
      </c>
      <c r="P59" s="108"/>
      <c r="Q59" s="108"/>
      <c r="R59" s="113"/>
      <c r="S59" s="113"/>
      <c r="T59" s="113"/>
      <c r="U59" s="113"/>
      <c r="V59" s="113"/>
      <c r="W59" s="113"/>
      <c r="X59" s="113"/>
    </row>
    <row customHeight="true" ht="16.071428571428573" r="60">
      <c r="A60" s="122">
        <v>46125</v>
      </c>
      <c r="B60" s="91" t="s">
        <v>161</v>
      </c>
      <c r="C60" s="106" t="s">
        <v>158</v>
      </c>
      <c r="D60" s="106">
        <v>2</v>
      </c>
      <c r="E60" s="106">
        <v>3</v>
      </c>
      <c r="F60" s="106">
        <v>25</v>
      </c>
      <c r="G60" s="106">
        <v>16</v>
      </c>
      <c r="H60" s="108">
        <v>4030</v>
      </c>
      <c r="I60" s="124">
        <v>4068</v>
      </c>
      <c r="J60" s="109">
        <f t="shared" si="1"/>
      </c>
      <c r="K60" s="109">
        <f t="shared" si="4"/>
      </c>
      <c r="L60" s="110">
        <f t="shared" si="2"/>
      </c>
      <c r="M60" s="111">
        <f t="shared" si="5"/>
      </c>
      <c r="N60" s="112">
        <v>4</v>
      </c>
      <c r="O60" s="111">
        <f t="shared" si="0"/>
      </c>
      <c r="P60" s="106" t="s">
        <v>146</v>
      </c>
      <c r="Q60" s="108">
        <v>8</v>
      </c>
      <c r="R60" s="113"/>
      <c r="S60" s="113"/>
      <c r="T60" s="113"/>
      <c r="U60" s="113"/>
      <c r="V60" s="113"/>
      <c r="W60" s="113"/>
      <c r="X60" s="113"/>
    </row>
    <row customHeight="true" ht="16.071428571428573" r="61">
      <c r="A61" s="122">
        <v>46125</v>
      </c>
      <c r="B61" s="114" t="s">
        <v>152</v>
      </c>
      <c r="C61" s="106" t="s">
        <v>159</v>
      </c>
      <c r="D61" s="106">
        <v>4</v>
      </c>
      <c r="E61" s="106">
        <v>10</v>
      </c>
      <c r="F61" s="106">
        <v>25</v>
      </c>
      <c r="G61" s="106">
        <v>17</v>
      </c>
      <c r="H61" s="125">
        <v>5814.500000000002</v>
      </c>
      <c r="I61" s="126">
        <v>6111.34</v>
      </c>
      <c r="J61" s="127">
        <f t="shared" si="1"/>
      </c>
      <c r="K61" s="109">
        <f t="shared" si="4"/>
      </c>
      <c r="L61" s="110">
        <f t="shared" si="2"/>
      </c>
      <c r="M61" s="111">
        <f t="shared" si="5"/>
      </c>
      <c r="N61" s="112">
        <v>2</v>
      </c>
      <c r="O61" s="111">
        <f t="shared" si="0"/>
      </c>
      <c r="P61" s="108"/>
      <c r="Q61" s="108"/>
      <c r="R61" s="113"/>
      <c r="S61" s="113"/>
      <c r="T61" s="113"/>
      <c r="U61" s="113"/>
      <c r="V61" s="113"/>
      <c r="W61" s="113"/>
      <c r="X61" s="113"/>
    </row>
    <row customHeight="true" ht="16.071428571428573" r="62">
      <c r="A62" s="122">
        <v>46125</v>
      </c>
      <c r="B62" s="91" t="s">
        <v>142</v>
      </c>
      <c r="C62" s="106" t="s">
        <v>150</v>
      </c>
      <c r="D62" s="106">
        <v>5</v>
      </c>
      <c r="E62" s="106">
        <v>22</v>
      </c>
      <c r="F62" s="106">
        <v>90</v>
      </c>
      <c r="G62" s="106">
        <v>69</v>
      </c>
      <c r="H62" s="108">
        <v>20755</v>
      </c>
      <c r="I62" s="128">
        <v>15558.55</v>
      </c>
      <c r="J62" s="109">
        <f t="shared" si="1"/>
      </c>
      <c r="K62" s="109">
        <f t="shared" si="4"/>
      </c>
      <c r="L62" s="110">
        <f t="shared" si="2"/>
      </c>
      <c r="M62" s="111">
        <f t="shared" si="5"/>
      </c>
      <c r="N62" s="112">
        <v>15</v>
      </c>
      <c r="O62" s="111">
        <f t="shared" si="0"/>
      </c>
      <c r="P62" s="106" t="s">
        <v>171</v>
      </c>
      <c r="Q62" s="108">
        <v>8</v>
      </c>
      <c r="R62" s="113"/>
      <c r="S62" s="113"/>
      <c r="T62" s="113"/>
      <c r="U62" s="113"/>
      <c r="V62" s="113"/>
      <c r="W62" s="113"/>
      <c r="X62" s="113"/>
    </row>
    <row customHeight="true" ht="16.071428571428573" r="63">
      <c r="A63" s="123">
        <v>46125</v>
      </c>
      <c r="B63" s="117"/>
      <c r="C63" s="117"/>
      <c r="D63" s="117">
        <f>SUM(D59:D62)</f>
      </c>
      <c r="E63" s="117">
        <f>SUM(E59:E62)</f>
      </c>
      <c r="F63" s="117">
        <f>SUM(F59:F62)</f>
      </c>
      <c r="G63" s="117">
        <f>SUM(G59:G62)</f>
      </c>
      <c r="H63" s="117">
        <f>SUM(H59:H62)</f>
      </c>
      <c r="I63" s="117">
        <f>SUM(I59:I62)</f>
      </c>
      <c r="J63" s="118">
        <f t="shared" si="1"/>
      </c>
      <c r="K63" s="119">
        <f t="shared" si="4"/>
      </c>
      <c r="L63" s="119">
        <f t="shared" si="2"/>
      </c>
      <c r="M63" s="120">
        <f t="shared" si="5"/>
      </c>
      <c r="N63" s="117">
        <f>SUM(N59:N62)</f>
      </c>
      <c r="O63" s="120">
        <f t="shared" si="0"/>
      </c>
      <c r="P63" s="121"/>
      <c r="Q63" s="117">
        <f>SUM(Q59:Q62)</f>
      </c>
      <c r="R63" s="113"/>
      <c r="S63" s="113"/>
      <c r="T63" s="113"/>
      <c r="U63" s="113"/>
      <c r="V63" s="113"/>
      <c r="W63" s="113"/>
      <c r="X63" s="113"/>
    </row>
    <row customHeight="true" ht="16.071428571428573" r="64">
      <c r="A64" s="122">
        <v>46126</v>
      </c>
      <c r="B64" s="115" t="s">
        <v>149</v>
      </c>
      <c r="C64" s="106" t="s">
        <v>168</v>
      </c>
      <c r="D64" s="106">
        <v>4</v>
      </c>
      <c r="E64" s="106">
        <v>4</v>
      </c>
      <c r="F64" s="106">
        <v>31</v>
      </c>
      <c r="G64" s="106">
        <v>19</v>
      </c>
      <c r="H64" s="107">
        <v>4715.2</v>
      </c>
      <c r="I64" s="108">
        <v>9535.79</v>
      </c>
      <c r="J64" s="109">
        <f t="shared" si="1"/>
      </c>
      <c r="K64" s="109">
        <f t="shared" si="4"/>
      </c>
      <c r="L64" s="110">
        <f t="shared" si="2"/>
      </c>
      <c r="M64" s="111">
        <f t="shared" si="5"/>
      </c>
      <c r="N64" s="112">
        <v>3</v>
      </c>
      <c r="O64" s="111">
        <f t="shared" si="0"/>
      </c>
      <c r="P64" s="108"/>
      <c r="Q64" s="108"/>
      <c r="R64" s="113"/>
      <c r="S64" s="113"/>
      <c r="T64" s="113"/>
      <c r="U64" s="113"/>
      <c r="V64" s="113"/>
      <c r="W64" s="113"/>
      <c r="X64" s="113"/>
    </row>
    <row customHeight="true" ht="16.071428571428573" r="65">
      <c r="A65" s="122">
        <v>46126</v>
      </c>
      <c r="B65" s="114" t="s">
        <v>152</v>
      </c>
      <c r="C65" s="106" t="s">
        <v>145</v>
      </c>
      <c r="D65" s="106">
        <v>4</v>
      </c>
      <c r="E65" s="106">
        <v>1</v>
      </c>
      <c r="F65" s="106">
        <v>23</v>
      </c>
      <c r="G65" s="106">
        <v>10</v>
      </c>
      <c r="H65" s="108">
        <v>3437.2</v>
      </c>
      <c r="I65" s="124">
        <v>4376.21</v>
      </c>
      <c r="J65" s="109">
        <f t="shared" si="1"/>
      </c>
      <c r="K65" s="109">
        <f t="shared" si="4"/>
      </c>
      <c r="L65" s="110">
        <f t="shared" si="2"/>
      </c>
      <c r="M65" s="111">
        <f t="shared" si="5"/>
      </c>
      <c r="N65" s="112">
        <v>1</v>
      </c>
      <c r="O65" s="111">
        <f t="shared" si="0"/>
      </c>
      <c r="P65" s="106" t="s">
        <v>146</v>
      </c>
      <c r="Q65" s="108">
        <v>8</v>
      </c>
      <c r="R65" s="113"/>
      <c r="S65" s="113"/>
      <c r="T65" s="113"/>
      <c r="U65" s="113"/>
      <c r="V65" s="113"/>
      <c r="W65" s="113"/>
      <c r="X65" s="113"/>
    </row>
    <row customHeight="true" ht="16.071428571428573" r="66">
      <c r="A66" s="122">
        <v>46126</v>
      </c>
      <c r="B66" s="114" t="s">
        <v>157</v>
      </c>
      <c r="C66" s="106" t="s">
        <v>153</v>
      </c>
      <c r="D66" s="106">
        <v>4</v>
      </c>
      <c r="E66" s="106">
        <v>6</v>
      </c>
      <c r="F66" s="106">
        <v>30</v>
      </c>
      <c r="G66" s="106">
        <v>23</v>
      </c>
      <c r="H66" s="125">
        <v>6403.9</v>
      </c>
      <c r="I66" s="126">
        <v>5077.81</v>
      </c>
      <c r="J66" s="127">
        <f t="shared" si="1"/>
      </c>
      <c r="K66" s="109">
        <f t="shared" si="4"/>
      </c>
      <c r="L66" s="110">
        <f t="shared" si="2"/>
      </c>
      <c r="M66" s="111">
        <f t="shared" si="5"/>
      </c>
      <c r="N66" s="112">
        <v>4</v>
      </c>
      <c r="O66" s="111">
        <f t="shared" si="0"/>
      </c>
      <c r="P66" s="108"/>
      <c r="Q66" s="108"/>
      <c r="R66" s="113"/>
      <c r="S66" s="113"/>
      <c r="T66" s="113"/>
      <c r="U66" s="113"/>
      <c r="V66" s="113"/>
      <c r="W66" s="113"/>
      <c r="X66" s="113"/>
    </row>
    <row customHeight="true" ht="16.071428571428573" r="67">
      <c r="A67" s="122">
        <v>46126</v>
      </c>
      <c r="B67" s="91" t="s">
        <v>142</v>
      </c>
      <c r="C67" s="106" t="s">
        <v>172</v>
      </c>
      <c r="D67" s="106">
        <v>3</v>
      </c>
      <c r="E67" s="106">
        <v>7</v>
      </c>
      <c r="F67" s="106">
        <v>55</v>
      </c>
      <c r="G67" s="106">
        <v>46</v>
      </c>
      <c r="H67" s="108">
        <v>11324.600000000002</v>
      </c>
      <c r="I67" s="128">
        <v>9532.32</v>
      </c>
      <c r="J67" s="109">
        <f t="shared" si="1"/>
      </c>
      <c r="K67" s="109">
        <f t="shared" si="4"/>
      </c>
      <c r="L67" s="110">
        <f t="shared" si="2"/>
      </c>
      <c r="M67" s="111">
        <f t="shared" si="5"/>
      </c>
      <c r="N67" s="112">
        <v>14</v>
      </c>
      <c r="O67" s="111">
        <f t="shared" si="0"/>
      </c>
      <c r="P67" s="106" t="s">
        <v>171</v>
      </c>
      <c r="Q67" s="106">
        <v>7</v>
      </c>
      <c r="R67" s="113"/>
      <c r="S67" s="113"/>
      <c r="T67" s="113"/>
      <c r="U67" s="113"/>
      <c r="V67" s="113"/>
      <c r="W67" s="113"/>
      <c r="X67" s="113"/>
    </row>
    <row customHeight="true" ht="16.071428571428573" r="68">
      <c r="A68" s="123">
        <v>46126</v>
      </c>
      <c r="B68" s="117"/>
      <c r="C68" s="117"/>
      <c r="D68" s="117">
        <f>SUM(D64:D67)</f>
      </c>
      <c r="E68" s="117">
        <f>SUM(E64:E67)</f>
      </c>
      <c r="F68" s="117">
        <f>SUM(F64:F67)</f>
      </c>
      <c r="G68" s="117">
        <f>SUM(G64:G67)</f>
      </c>
      <c r="H68" s="117">
        <f>SUM(H64:H67)</f>
      </c>
      <c r="I68" s="117">
        <f>SUM(I64:I67)</f>
      </c>
      <c r="J68" s="118">
        <f t="shared" si="1"/>
      </c>
      <c r="K68" s="119">
        <f t="shared" si="4"/>
      </c>
      <c r="L68" s="119">
        <f t="shared" si="2"/>
      </c>
      <c r="M68" s="120">
        <f t="shared" si="5"/>
      </c>
      <c r="N68" s="117">
        <f>SUM(N64:N67)</f>
      </c>
      <c r="O68" s="120">
        <f t="shared" si="0"/>
      </c>
      <c r="P68" s="121"/>
      <c r="Q68" s="117">
        <f>SUM(Q64:Q67)</f>
      </c>
      <c r="R68" s="113"/>
      <c r="S68" s="113"/>
      <c r="T68" s="113"/>
      <c r="U68" s="113"/>
      <c r="V68" s="113"/>
      <c r="W68" s="113"/>
      <c r="X68" s="113"/>
    </row>
    <row customHeight="true" ht="16.071428571428573" r="69">
      <c r="A69" s="122">
        <v>46127</v>
      </c>
      <c r="B69" s="115" t="s">
        <v>149</v>
      </c>
      <c r="C69" s="106" t="s">
        <v>173</v>
      </c>
      <c r="D69" s="106">
        <v>5</v>
      </c>
      <c r="E69" s="106">
        <v>6</v>
      </c>
      <c r="F69" s="106">
        <v>60</v>
      </c>
      <c r="G69" s="106">
        <v>42</v>
      </c>
      <c r="H69" s="129">
        <v>16392</v>
      </c>
      <c r="I69" s="106">
        <v>13951.03</v>
      </c>
      <c r="J69" s="109">
        <f t="shared" si="1"/>
      </c>
      <c r="K69" s="109">
        <f t="shared" si="4"/>
      </c>
      <c r="L69" s="110">
        <f t="shared" si="2"/>
      </c>
      <c r="M69" s="111">
        <f t="shared" si="5"/>
      </c>
      <c r="N69" s="112">
        <v>9</v>
      </c>
      <c r="O69" s="111">
        <f t="shared" si="0"/>
      </c>
      <c r="P69" s="108"/>
      <c r="Q69" s="108"/>
    </row>
    <row customHeight="true" ht="16.071428571428573" r="70">
      <c r="A70" s="122">
        <v>46127</v>
      </c>
      <c r="B70" s="114" t="s">
        <v>161</v>
      </c>
      <c r="C70" s="106" t="s">
        <v>174</v>
      </c>
      <c r="D70" s="106">
        <v>3</v>
      </c>
      <c r="E70" s="106">
        <v>3</v>
      </c>
      <c r="F70" s="106">
        <v>31</v>
      </c>
      <c r="G70" s="106">
        <v>23</v>
      </c>
      <c r="H70" s="106">
        <v>9052.8</v>
      </c>
      <c r="I70" s="124">
        <v>6223.96</v>
      </c>
      <c r="J70" s="109">
        <f t="shared" si="1"/>
      </c>
      <c r="K70" s="109">
        <f t="shared" si="4"/>
      </c>
      <c r="L70" s="110">
        <f t="shared" si="2"/>
      </c>
      <c r="M70" s="111">
        <f t="shared" si="5"/>
      </c>
      <c r="N70" s="112">
        <v>6</v>
      </c>
      <c r="O70" s="111">
        <f t="shared" si="0"/>
      </c>
      <c r="P70" s="106" t="s">
        <v>175</v>
      </c>
      <c r="Q70" s="108">
        <v>8</v>
      </c>
    </row>
    <row customHeight="true" ht="16.071428571428573" r="71">
      <c r="A71" s="122">
        <v>46127</v>
      </c>
      <c r="B71" s="114" t="s">
        <v>152</v>
      </c>
      <c r="C71" s="106" t="s">
        <v>176</v>
      </c>
      <c r="D71" s="106">
        <v>4</v>
      </c>
      <c r="E71" s="106">
        <v>7</v>
      </c>
      <c r="F71" s="106">
        <v>34</v>
      </c>
      <c r="G71" s="106">
        <v>27</v>
      </c>
      <c r="H71" s="130">
        <v>9292.8</v>
      </c>
      <c r="I71" s="126">
        <v>7535.41</v>
      </c>
      <c r="J71" s="127">
        <f t="shared" si="1"/>
      </c>
      <c r="K71" s="109">
        <f t="shared" si="4"/>
      </c>
      <c r="L71" s="110">
        <f t="shared" si="2"/>
      </c>
      <c r="M71" s="111">
        <f t="shared" si="5"/>
      </c>
      <c r="N71" s="112">
        <v>6</v>
      </c>
      <c r="O71" s="111">
        <f t="shared" si="0"/>
      </c>
      <c r="P71" s="108"/>
      <c r="Q71" s="108"/>
    </row>
    <row customHeight="true" ht="16.071428571428573" r="72">
      <c r="A72" s="122">
        <v>46127</v>
      </c>
      <c r="B72" s="91" t="s">
        <v>142</v>
      </c>
      <c r="C72" s="106" t="s">
        <v>177</v>
      </c>
      <c r="D72" s="106">
        <v>4</v>
      </c>
      <c r="E72" s="106">
        <v>12</v>
      </c>
      <c r="F72" s="106">
        <v>59</v>
      </c>
      <c r="G72" s="106">
        <v>45</v>
      </c>
      <c r="H72" s="106">
        <v>13491.800000000003</v>
      </c>
      <c r="I72" s="128">
        <v>11309.68</v>
      </c>
      <c r="J72" s="109">
        <f t="shared" si="1"/>
      </c>
      <c r="K72" s="109">
        <f t="shared" si="4"/>
      </c>
      <c r="L72" s="110">
        <f t="shared" si="2"/>
      </c>
      <c r="M72" s="111">
        <f t="shared" si="5"/>
      </c>
      <c r="N72" s="112">
        <v>8</v>
      </c>
      <c r="O72" s="111">
        <f t="shared" si="0"/>
      </c>
      <c r="P72" s="106" t="s">
        <v>171</v>
      </c>
      <c r="Q72" s="106">
        <v>8</v>
      </c>
    </row>
    <row customHeight="true" ht="16.071428571428573" r="73">
      <c r="A73" s="123">
        <v>46127</v>
      </c>
      <c r="B73" s="117"/>
      <c r="C73" s="117"/>
      <c r="D73" s="117">
        <f>SUM(D69:D72)</f>
      </c>
      <c r="E73" s="117">
        <f>SUM(E69:E72)</f>
      </c>
      <c r="F73" s="117">
        <f>SUM(F69:F72)</f>
      </c>
      <c r="G73" s="117">
        <f>SUM(G69:G72)</f>
      </c>
      <c r="H73" s="117">
        <f>SUM(H69:H72)</f>
      </c>
      <c r="I73" s="117">
        <f>SUM(I69:I72)</f>
      </c>
      <c r="J73" s="118">
        <f t="shared" si="1"/>
      </c>
      <c r="K73" s="119">
        <f t="shared" si="4"/>
      </c>
      <c r="L73" s="119">
        <f t="shared" si="2"/>
      </c>
      <c r="M73" s="120">
        <f t="shared" si="5"/>
      </c>
      <c r="N73" s="117">
        <f>SUM(N69:N72)</f>
      </c>
      <c r="O73" s="120">
        <f t="shared" si="0"/>
      </c>
      <c r="P73" s="121"/>
      <c r="Q73" s="117">
        <f>SUM(Q69:Q72)</f>
      </c>
    </row>
    <row customHeight="true" ht="16.071428571428573" r="74">
      <c r="A74" s="122">
        <v>46128</v>
      </c>
      <c r="B74" s="114" t="s">
        <v>152</v>
      </c>
      <c r="C74" s="106" t="s">
        <v>178</v>
      </c>
      <c r="D74" s="106">
        <v>4</v>
      </c>
      <c r="E74" s="106">
        <v>11</v>
      </c>
      <c r="F74" s="106">
        <v>44</v>
      </c>
      <c r="G74" s="106">
        <v>32</v>
      </c>
      <c r="H74" s="129">
        <v>10980.6</v>
      </c>
      <c r="I74" s="106">
        <v>10415.04</v>
      </c>
      <c r="J74" s="109">
        <f t="shared" si="1"/>
      </c>
      <c r="K74" s="109">
        <f t="shared" si="4"/>
      </c>
      <c r="L74" s="110">
        <f t="shared" si="2"/>
      </c>
      <c r="M74" s="111">
        <f t="shared" si="5"/>
      </c>
      <c r="N74" s="112">
        <v>5</v>
      </c>
      <c r="O74" s="111">
        <f t="shared" si="0"/>
      </c>
      <c r="P74" s="108"/>
      <c r="Q74" s="108"/>
    </row>
    <row customHeight="true" ht="16.071428571428573" r="75">
      <c r="A75" s="122">
        <v>46128</v>
      </c>
      <c r="B75" s="114" t="s">
        <v>142</v>
      </c>
      <c r="C75" s="106" t="s">
        <v>179</v>
      </c>
      <c r="D75" s="106">
        <v>4</v>
      </c>
      <c r="E75" s="106">
        <v>18</v>
      </c>
      <c r="F75" s="106">
        <v>69</v>
      </c>
      <c r="G75" s="106">
        <v>42</v>
      </c>
      <c r="H75" s="131">
        <v>12460.999999999998</v>
      </c>
      <c r="I75" s="124">
        <v>12844.61</v>
      </c>
      <c r="J75" s="109">
        <f t="shared" si="1"/>
      </c>
      <c r="K75" s="109">
        <f t="shared" si="4"/>
      </c>
      <c r="L75" s="110">
        <f t="shared" si="2"/>
      </c>
      <c r="M75" s="111">
        <f t="shared" si="5"/>
      </c>
      <c r="N75" s="112">
        <v>6</v>
      </c>
      <c r="O75" s="111">
        <f t="shared" si="0"/>
      </c>
      <c r="P75" s="106" t="s">
        <v>175</v>
      </c>
      <c r="Q75" s="108">
        <v>8</v>
      </c>
    </row>
    <row customHeight="true" ht="16.071428571428573" r="76">
      <c r="A76" s="122">
        <v>46128</v>
      </c>
      <c r="B76" s="114" t="s">
        <v>157</v>
      </c>
      <c r="C76" s="106" t="s">
        <v>176</v>
      </c>
      <c r="D76" s="106">
        <v>4</v>
      </c>
      <c r="E76" s="106">
        <v>6</v>
      </c>
      <c r="F76" s="106">
        <v>27</v>
      </c>
      <c r="G76" s="106">
        <v>13</v>
      </c>
      <c r="H76" s="130">
        <v>2762.3</v>
      </c>
      <c r="I76" s="126">
        <v>7919.32</v>
      </c>
      <c r="J76" s="127">
        <f t="shared" si="1"/>
      </c>
      <c r="K76" s="109">
        <f t="shared" si="4"/>
      </c>
      <c r="L76" s="110">
        <f t="shared" si="2"/>
      </c>
      <c r="M76" s="111">
        <f t="shared" si="5"/>
      </c>
      <c r="N76" s="112">
        <v>1</v>
      </c>
      <c r="O76" s="111">
        <f t="shared" si="0"/>
      </c>
      <c r="P76" s="108"/>
      <c r="Q76" s="108"/>
    </row>
    <row customHeight="true" ht="16.071428571428573" r="77">
      <c r="A77" s="122">
        <v>46128</v>
      </c>
      <c r="B77" s="91" t="s">
        <v>149</v>
      </c>
      <c r="C77" s="106" t="s">
        <v>177</v>
      </c>
      <c r="D77" s="106">
        <v>4</v>
      </c>
      <c r="E77" s="106">
        <v>11</v>
      </c>
      <c r="F77" s="106">
        <v>45</v>
      </c>
      <c r="G77" s="106">
        <v>30</v>
      </c>
      <c r="H77" s="106">
        <v>11378.3</v>
      </c>
      <c r="I77" s="128">
        <v>9310.7</v>
      </c>
      <c r="J77" s="109">
        <f t="shared" si="1"/>
      </c>
      <c r="K77" s="109">
        <f t="shared" si="4"/>
      </c>
      <c r="L77" s="110">
        <f t="shared" si="2"/>
      </c>
      <c r="M77" s="111">
        <f t="shared" si="5"/>
      </c>
      <c r="N77" s="112">
        <v>5</v>
      </c>
      <c r="O77" s="111">
        <f t="shared" si="0"/>
      </c>
      <c r="P77" s="106" t="s">
        <v>171</v>
      </c>
      <c r="Q77" s="106">
        <v>8</v>
      </c>
    </row>
    <row customHeight="true" ht="16.071428571428573" r="78">
      <c r="A78" s="123">
        <v>46128</v>
      </c>
      <c r="B78" s="117"/>
      <c r="C78" s="117"/>
      <c r="D78" s="117">
        <f>SUM(D74:D77)</f>
      </c>
      <c r="E78" s="117">
        <f>SUM(E74:E77)</f>
      </c>
      <c r="F78" s="117">
        <f>SUM(F74:F77)</f>
      </c>
      <c r="G78" s="117">
        <f>SUM(G74:G77)</f>
      </c>
      <c r="H78" s="117">
        <f>SUM(H74:H77)</f>
      </c>
      <c r="I78" s="117">
        <f>SUM(I74:I77)</f>
      </c>
      <c r="J78" s="118">
        <f t="shared" si="1"/>
      </c>
      <c r="K78" s="119">
        <f t="shared" si="4"/>
      </c>
      <c r="L78" s="119">
        <f t="shared" si="2"/>
      </c>
      <c r="M78" s="120">
        <f t="shared" si="5"/>
      </c>
      <c r="N78" s="117">
        <f>SUM(N74:N77)</f>
      </c>
      <c r="O78" s="120">
        <f t="shared" si="0"/>
      </c>
      <c r="P78" s="121"/>
      <c r="Q78" s="117">
        <f>SUM(Q74:Q77)</f>
      </c>
    </row>
    <row customHeight="true" ht="16.071428571428573" r="79">
      <c r="A79" s="122">
        <v>46129</v>
      </c>
      <c r="B79" s="114" t="s">
        <v>152</v>
      </c>
      <c r="C79" s="106" t="s">
        <v>178</v>
      </c>
      <c r="D79" s="106">
        <v>4</v>
      </c>
      <c r="E79" s="106">
        <v>13</v>
      </c>
      <c r="F79" s="106">
        <v>61</v>
      </c>
      <c r="G79" s="106">
        <v>47</v>
      </c>
      <c r="H79" s="129">
        <v>16087.2</v>
      </c>
      <c r="I79" s="106">
        <v>11324.54</v>
      </c>
      <c r="J79" s="109">
        <f t="shared" si="1"/>
      </c>
      <c r="K79" s="109">
        <f t="shared" si="4"/>
      </c>
      <c r="L79" s="110">
        <f t="shared" si="2"/>
      </c>
      <c r="M79" s="111">
        <f t="shared" si="5"/>
      </c>
      <c r="N79" s="112">
        <v>9</v>
      </c>
      <c r="O79" s="111">
        <f t="shared" si="0"/>
      </c>
      <c r="P79" s="108"/>
      <c r="Q79" s="108"/>
    </row>
    <row customHeight="true" ht="16.071428571428573" r="80">
      <c r="A80" s="122">
        <v>46129</v>
      </c>
      <c r="B80" s="114" t="s">
        <v>161</v>
      </c>
      <c r="C80" s="106" t="s">
        <v>179</v>
      </c>
      <c r="D80" s="106">
        <v>4</v>
      </c>
      <c r="E80" s="106">
        <v>3</v>
      </c>
      <c r="F80" s="106">
        <v>31</v>
      </c>
      <c r="G80" s="106">
        <v>20</v>
      </c>
      <c r="H80" s="131">
        <v>6846.799999999999</v>
      </c>
      <c r="I80" s="124">
        <v>10132.869999999999</v>
      </c>
      <c r="J80" s="109">
        <f t="shared" si="1"/>
      </c>
      <c r="K80" s="109">
        <f t="shared" si="4"/>
      </c>
      <c r="L80" s="110">
        <f t="shared" si="2"/>
      </c>
      <c r="M80" s="111">
        <f t="shared" si="5"/>
      </c>
      <c r="N80" s="112">
        <v>1</v>
      </c>
      <c r="O80" s="111">
        <f t="shared" si="0"/>
      </c>
      <c r="P80" s="106" t="s">
        <v>175</v>
      </c>
      <c r="Q80" s="108">
        <v>8</v>
      </c>
    </row>
    <row customHeight="true" ht="16.071428571428573" r="81">
      <c r="A81" s="122">
        <v>46129</v>
      </c>
      <c r="B81" s="114" t="s">
        <v>144</v>
      </c>
      <c r="C81" s="106" t="s">
        <v>176</v>
      </c>
      <c r="D81" s="106">
        <v>4</v>
      </c>
      <c r="E81" s="106">
        <v>3</v>
      </c>
      <c r="F81" s="106">
        <v>27</v>
      </c>
      <c r="G81" s="106">
        <v>17</v>
      </c>
      <c r="H81" s="130">
        <v>6109.5999999999985</v>
      </c>
      <c r="I81" s="126">
        <v>8060.060000000001</v>
      </c>
      <c r="J81" s="127">
        <f t="shared" si="1"/>
      </c>
      <c r="K81" s="109">
        <f t="shared" si="4"/>
      </c>
      <c r="L81" s="110">
        <f t="shared" si="2"/>
      </c>
      <c r="M81" s="111">
        <f t="shared" si="5"/>
      </c>
      <c r="N81" s="112">
        <v>1</v>
      </c>
      <c r="O81" s="111">
        <f t="shared" si="0"/>
      </c>
      <c r="P81" s="108"/>
      <c r="Q81" s="108"/>
    </row>
    <row customHeight="true" ht="16.071428571428573" r="82">
      <c r="A82" s="122">
        <v>46129</v>
      </c>
      <c r="B82" s="91" t="s">
        <v>149</v>
      </c>
      <c r="C82" s="106" t="s">
        <v>177</v>
      </c>
      <c r="D82" s="106">
        <v>4</v>
      </c>
      <c r="E82" s="106">
        <v>8</v>
      </c>
      <c r="F82" s="106">
        <v>30</v>
      </c>
      <c r="G82" s="106">
        <v>21</v>
      </c>
      <c r="H82" s="106">
        <f>6573.8+196</f>
      </c>
      <c r="I82" s="128">
        <v>6259.119999999995</v>
      </c>
      <c r="J82" s="109">
        <f t="shared" si="1"/>
      </c>
      <c r="K82" s="109">
        <f t="shared" si="4"/>
      </c>
      <c r="L82" s="110">
        <f t="shared" si="2"/>
      </c>
      <c r="M82" s="111">
        <f t="shared" si="5"/>
      </c>
      <c r="N82" s="112">
        <v>6</v>
      </c>
      <c r="O82" s="111">
        <f t="shared" si="0"/>
      </c>
      <c r="P82" s="106" t="s">
        <v>146</v>
      </c>
      <c r="Q82" s="106">
        <v>8</v>
      </c>
    </row>
    <row customHeight="true" ht="16.071428571428573" r="83">
      <c r="A83" s="123">
        <v>46129</v>
      </c>
      <c r="B83" s="117"/>
      <c r="C83" s="117"/>
      <c r="D83" s="117">
        <f>SUM(D79:D82)</f>
      </c>
      <c r="E83" s="117">
        <f>SUM(E79:E82)</f>
      </c>
      <c r="F83" s="117">
        <f>SUM(F79:F82)</f>
      </c>
      <c r="G83" s="117">
        <f>SUM(G79:G82)</f>
      </c>
      <c r="H83" s="117">
        <f>SUM(H79:H82)</f>
      </c>
      <c r="I83" s="117">
        <f>SUM(I79:I82)</f>
      </c>
      <c r="J83" s="118">
        <f t="shared" si="1"/>
      </c>
      <c r="K83" s="119">
        <f t="shared" si="4"/>
      </c>
      <c r="L83" s="119">
        <f t="shared" si="2"/>
      </c>
      <c r="M83" s="120">
        <f t="shared" si="5"/>
      </c>
      <c r="N83" s="117">
        <f>SUM(N79:N82)</f>
      </c>
      <c r="O83" s="120">
        <f t="shared" si="0"/>
      </c>
      <c r="P83" s="121"/>
      <c r="Q83" s="117">
        <f>SUM(Q79:Q82)</f>
      </c>
    </row>
    <row customHeight="true" ht="16.071428571428573" r="84">
      <c r="A84" s="122">
        <v>46130</v>
      </c>
      <c r="B84" s="114" t="s">
        <v>142</v>
      </c>
      <c r="C84" s="106" t="s">
        <v>178</v>
      </c>
      <c r="D84" s="106">
        <v>4</v>
      </c>
      <c r="E84" s="106">
        <v>3</v>
      </c>
      <c r="F84" s="106">
        <v>27</v>
      </c>
      <c r="G84" s="106">
        <v>19</v>
      </c>
      <c r="H84" s="129">
        <v>6586.8</v>
      </c>
      <c r="I84" s="106">
        <v>7130.47</v>
      </c>
      <c r="J84" s="109">
        <f t="shared" si="1"/>
      </c>
      <c r="K84" s="109">
        <f t="shared" si="4"/>
      </c>
      <c r="L84" s="110">
        <f t="shared" si="2"/>
      </c>
      <c r="M84" s="111">
        <f t="shared" si="5"/>
      </c>
      <c r="N84" s="112">
        <v>2</v>
      </c>
      <c r="O84" s="111">
        <f t="shared" si="0"/>
      </c>
      <c r="P84" s="108"/>
      <c r="Q84" s="108"/>
    </row>
    <row customHeight="true" ht="16.071428571428573" r="85">
      <c r="A85" s="122">
        <v>46130</v>
      </c>
      <c r="B85" s="114" t="s">
        <v>144</v>
      </c>
      <c r="C85" s="106" t="s">
        <v>179</v>
      </c>
      <c r="D85" s="106">
        <v>4</v>
      </c>
      <c r="E85" s="106">
        <v>4</v>
      </c>
      <c r="F85" s="106">
        <v>22</v>
      </c>
      <c r="G85" s="106">
        <v>11</v>
      </c>
      <c r="H85" s="131">
        <v>4140.2</v>
      </c>
      <c r="I85" s="124">
        <v>5927.31</v>
      </c>
      <c r="J85" s="109">
        <f t="shared" si="1"/>
      </c>
      <c r="K85" s="109">
        <f t="shared" si="4"/>
      </c>
      <c r="L85" s="110">
        <f t="shared" si="2"/>
      </c>
      <c r="M85" s="111">
        <f t="shared" si="5"/>
      </c>
      <c r="N85" s="112">
        <v>4</v>
      </c>
      <c r="O85" s="111">
        <f t="shared" si="0"/>
      </c>
      <c r="P85" s="106" t="s">
        <v>175</v>
      </c>
      <c r="Q85" s="108">
        <v>8</v>
      </c>
    </row>
    <row customHeight="true" ht="16.071428571428573" r="86">
      <c r="A86" s="122">
        <v>46130</v>
      </c>
      <c r="B86" s="114" t="s">
        <v>157</v>
      </c>
      <c r="C86" s="106" t="s">
        <v>176</v>
      </c>
      <c r="D86" s="106">
        <v>4</v>
      </c>
      <c r="E86" s="106">
        <v>4</v>
      </c>
      <c r="F86" s="106">
        <v>26</v>
      </c>
      <c r="G86" s="106">
        <v>15</v>
      </c>
      <c r="H86" s="130">
        <v>3835.6000000000004</v>
      </c>
      <c r="I86" s="126">
        <v>5977.19</v>
      </c>
      <c r="J86" s="127">
        <f t="shared" si="1"/>
      </c>
      <c r="K86" s="109">
        <f t="shared" si="4"/>
      </c>
      <c r="L86" s="110">
        <f t="shared" si="2"/>
      </c>
      <c r="M86" s="111">
        <f t="shared" si="5"/>
      </c>
      <c r="N86" s="112">
        <v>0</v>
      </c>
      <c r="O86" s="111">
        <f t="shared" si="0"/>
      </c>
      <c r="P86" s="108"/>
      <c r="Q86" s="108"/>
    </row>
    <row customHeight="true" ht="16.071428571428573" r="87">
      <c r="A87" s="122">
        <v>46130</v>
      </c>
      <c r="B87" s="91" t="s">
        <v>152</v>
      </c>
      <c r="C87" s="106" t="s">
        <v>177</v>
      </c>
      <c r="D87" s="106">
        <v>4</v>
      </c>
      <c r="E87" s="106">
        <v>10</v>
      </c>
      <c r="F87" s="106">
        <v>40</v>
      </c>
      <c r="G87" s="106">
        <v>32</v>
      </c>
      <c r="H87" s="106">
        <v>10238.999999999998</v>
      </c>
      <c r="I87" s="128">
        <v>6379.98</v>
      </c>
      <c r="J87" s="109">
        <f t="shared" si="1"/>
      </c>
      <c r="K87" s="109">
        <f t="shared" si="4"/>
      </c>
      <c r="L87" s="110">
        <f t="shared" si="2"/>
      </c>
      <c r="M87" s="111">
        <f t="shared" si="5"/>
      </c>
      <c r="N87" s="112">
        <v>10</v>
      </c>
      <c r="O87" s="111">
        <f t="shared" si="0"/>
      </c>
      <c r="P87" s="106" t="s">
        <v>171</v>
      </c>
      <c r="Q87" s="106">
        <v>8</v>
      </c>
    </row>
    <row customHeight="true" ht="16.071428571428573" r="88">
      <c r="A88" s="123">
        <v>46130</v>
      </c>
      <c r="B88" s="117"/>
      <c r="C88" s="117"/>
      <c r="D88" s="117">
        <f>SUM(D84:D87)</f>
      </c>
      <c r="E88" s="117">
        <f>SUM(E84:E87)</f>
      </c>
      <c r="F88" s="117">
        <f>SUM(F84:F87)</f>
      </c>
      <c r="G88" s="117">
        <f>SUM(G84:G87)</f>
      </c>
      <c r="H88" s="117">
        <f>SUM(H84:H87)</f>
      </c>
      <c r="I88" s="117">
        <f>SUM(I84:I87)</f>
      </c>
      <c r="J88" s="118">
        <f t="shared" si="1"/>
      </c>
      <c r="K88" s="119">
        <f t="shared" si="4"/>
      </c>
      <c r="L88" s="119">
        <f t="shared" si="2"/>
      </c>
      <c r="M88" s="120">
        <f t="shared" si="5"/>
      </c>
      <c r="N88" s="117">
        <f>SUM(N84:N87)</f>
      </c>
      <c r="O88" s="120">
        <f t="shared" si="0"/>
      </c>
      <c r="P88" s="121"/>
      <c r="Q88" s="117">
        <f>SUM(Q84:Q87)</f>
      </c>
    </row>
    <row customHeight="true" ht="16.071428571428573" r="89">
      <c r="A89" s="122">
        <v>46131</v>
      </c>
      <c r="B89" s="114" t="s">
        <v>144</v>
      </c>
      <c r="C89" s="106" t="s">
        <v>180</v>
      </c>
      <c r="D89" s="106">
        <v>3</v>
      </c>
      <c r="E89" s="106">
        <v>4</v>
      </c>
      <c r="F89" s="106">
        <v>23</v>
      </c>
      <c r="G89" s="106">
        <v>14</v>
      </c>
      <c r="H89" s="129">
        <v>5310.4</v>
      </c>
      <c r="I89" s="106">
        <v>9136.32</v>
      </c>
      <c r="J89" s="109">
        <f t="shared" si="1"/>
      </c>
      <c r="K89" s="109">
        <f t="shared" si="4"/>
      </c>
      <c r="L89" s="110">
        <f t="shared" si="2"/>
      </c>
      <c r="M89" s="111">
        <f t="shared" si="5"/>
      </c>
      <c r="N89" s="112">
        <v>1</v>
      </c>
      <c r="O89" s="111">
        <f t="shared" si="0"/>
      </c>
      <c r="P89" s="108"/>
      <c r="Q89" s="108"/>
    </row>
    <row customHeight="true" ht="16.071428571428573" r="90">
      <c r="A90" s="122">
        <v>46131</v>
      </c>
      <c r="B90" s="114" t="s">
        <v>161</v>
      </c>
      <c r="C90" s="106" t="s">
        <v>179</v>
      </c>
      <c r="D90" s="106">
        <v>4</v>
      </c>
      <c r="E90" s="106">
        <v>4</v>
      </c>
      <c r="F90" s="106">
        <v>19</v>
      </c>
      <c r="G90" s="106">
        <v>9</v>
      </c>
      <c r="H90" s="131">
        <v>3912.2000000000007</v>
      </c>
      <c r="I90" s="124">
        <v>5500.95</v>
      </c>
      <c r="J90" s="109">
        <f t="shared" si="1"/>
      </c>
      <c r="K90" s="109">
        <f t="shared" si="4"/>
      </c>
      <c r="L90" s="110">
        <f t="shared" si="2"/>
      </c>
      <c r="M90" s="111">
        <f t="shared" si="5"/>
      </c>
      <c r="N90" s="112">
        <v>1</v>
      </c>
      <c r="O90" s="111">
        <f t="shared" si="0"/>
      </c>
      <c r="P90" s="106" t="s">
        <v>175</v>
      </c>
      <c r="Q90" s="106">
        <v>7</v>
      </c>
    </row>
    <row customHeight="true" ht="16.071428571428573" r="91">
      <c r="A91" s="122">
        <v>46131</v>
      </c>
      <c r="B91" s="114" t="s">
        <v>142</v>
      </c>
      <c r="C91" s="106" t="s">
        <v>176</v>
      </c>
      <c r="D91" s="106">
        <v>4</v>
      </c>
      <c r="E91" s="106">
        <v>2</v>
      </c>
      <c r="F91" s="106">
        <v>27</v>
      </c>
      <c r="G91" s="106">
        <v>18</v>
      </c>
      <c r="H91" s="130">
        <v>4362.8</v>
      </c>
      <c r="I91" s="126">
        <v>5409.15</v>
      </c>
      <c r="J91" s="127">
        <f t="shared" si="1"/>
      </c>
      <c r="K91" s="109">
        <f t="shared" si="4"/>
      </c>
      <c r="L91" s="110">
        <f t="shared" si="2"/>
      </c>
      <c r="M91" s="111">
        <f t="shared" si="5"/>
      </c>
      <c r="N91" s="112">
        <v>3</v>
      </c>
      <c r="O91" s="111">
        <f t="shared" si="0"/>
      </c>
      <c r="P91" s="108"/>
      <c r="Q91" s="108"/>
    </row>
    <row customHeight="true" ht="16.071428571428573" r="92">
      <c r="A92" s="122">
        <v>46131</v>
      </c>
      <c r="B92" s="91" t="s">
        <v>149</v>
      </c>
      <c r="C92" s="106" t="s">
        <v>181</v>
      </c>
      <c r="D92" s="106">
        <v>4</v>
      </c>
      <c r="E92" s="106">
        <v>11</v>
      </c>
      <c r="F92" s="106">
        <v>55</v>
      </c>
      <c r="G92" s="106">
        <v>35</v>
      </c>
      <c r="H92" s="106">
        <v>15074.3</v>
      </c>
      <c r="I92" s="128">
        <v>7890.76</v>
      </c>
      <c r="J92" s="109">
        <f t="shared" si="1"/>
      </c>
      <c r="K92" s="109">
        <f t="shared" si="4"/>
      </c>
      <c r="L92" s="110">
        <f t="shared" si="2"/>
      </c>
      <c r="M92" s="111">
        <f t="shared" si="5"/>
      </c>
      <c r="N92" s="112">
        <v>12</v>
      </c>
      <c r="O92" s="111">
        <f t="shared" si="0"/>
      </c>
      <c r="P92" s="106" t="s">
        <v>171</v>
      </c>
      <c r="Q92" s="106">
        <v>8</v>
      </c>
    </row>
    <row customHeight="true" ht="16.071428571428573" r="93">
      <c r="A93" s="123">
        <v>46131</v>
      </c>
      <c r="B93" s="117"/>
      <c r="C93" s="117"/>
      <c r="D93" s="117">
        <f>SUM(D89:D92)</f>
      </c>
      <c r="E93" s="117">
        <f>SUM(E89:E92)</f>
      </c>
      <c r="F93" s="117">
        <f>SUM(F89:F92)</f>
      </c>
      <c r="G93" s="117">
        <f>SUM(G89:G92)</f>
      </c>
      <c r="H93" s="117">
        <f>SUM(H89:H92)</f>
      </c>
      <c r="I93" s="117">
        <f>SUM(I89:I92)</f>
      </c>
      <c r="J93" s="118">
        <f t="shared" si="1"/>
      </c>
      <c r="K93" s="119">
        <f t="shared" si="4"/>
      </c>
      <c r="L93" s="119">
        <f t="shared" si="2"/>
      </c>
      <c r="M93" s="120">
        <f t="shared" si="5"/>
      </c>
      <c r="N93" s="117">
        <f>SUM(N89:N92)</f>
      </c>
      <c r="O93" s="120">
        <f t="shared" si="0"/>
      </c>
      <c r="P93" s="121"/>
      <c r="Q93" s="117">
        <f>SUM(Q89:Q92)</f>
      </c>
    </row>
    <row customHeight="true" ht="16.071428571428573" r="94">
      <c r="A94" s="122">
        <v>46132</v>
      </c>
      <c r="B94" s="114" t="s">
        <v>152</v>
      </c>
      <c r="C94" s="106" t="s">
        <v>167</v>
      </c>
      <c r="D94" s="106">
        <v>5</v>
      </c>
      <c r="E94" s="106">
        <v>10</v>
      </c>
      <c r="F94" s="106">
        <v>42</v>
      </c>
      <c r="G94" s="106">
        <v>28</v>
      </c>
      <c r="H94" s="129">
        <v>13469.7</v>
      </c>
      <c r="I94" s="106">
        <v>7600.34</v>
      </c>
      <c r="J94" s="109">
        <f t="shared" si="1"/>
      </c>
      <c r="K94" s="109">
        <f t="shared" si="4"/>
      </c>
      <c r="L94" s="110">
        <f t="shared" si="2"/>
      </c>
      <c r="M94" s="111">
        <f t="shared" si="5"/>
      </c>
      <c r="N94" s="112">
        <v>5</v>
      </c>
      <c r="O94" s="111">
        <f t="shared" si="0"/>
      </c>
      <c r="P94" s="108"/>
      <c r="Q94" s="108"/>
    </row>
    <row customHeight="true" ht="16.071428571428573" r="95">
      <c r="A95" s="122">
        <v>46132</v>
      </c>
      <c r="B95" s="114" t="s">
        <v>157</v>
      </c>
      <c r="C95" s="106" t="s">
        <v>158</v>
      </c>
      <c r="D95" s="106">
        <v>2</v>
      </c>
      <c r="E95" s="106">
        <v>6</v>
      </c>
      <c r="F95" s="106">
        <v>25</v>
      </c>
      <c r="G95" s="106">
        <v>20</v>
      </c>
      <c r="H95" s="131">
        <v>8369</v>
      </c>
      <c r="I95" s="124">
        <v>5112.879999999999</v>
      </c>
      <c r="J95" s="109">
        <f t="shared" si="1"/>
      </c>
      <c r="K95" s="109">
        <f t="shared" si="4"/>
      </c>
      <c r="L95" s="110">
        <f t="shared" si="2"/>
      </c>
      <c r="M95" s="111">
        <f t="shared" si="5"/>
      </c>
      <c r="N95" s="112">
        <v>9</v>
      </c>
      <c r="O95" s="111">
        <f t="shared" si="0"/>
      </c>
      <c r="P95" s="106" t="s">
        <v>146</v>
      </c>
      <c r="Q95" s="106">
        <v>8</v>
      </c>
    </row>
    <row customHeight="true" ht="16.071428571428573" r="96">
      <c r="A96" s="122">
        <v>46132</v>
      </c>
      <c r="B96" s="114" t="s">
        <v>144</v>
      </c>
      <c r="C96" s="106" t="s">
        <v>159</v>
      </c>
      <c r="D96" s="106">
        <v>4</v>
      </c>
      <c r="E96" s="106">
        <v>3</v>
      </c>
      <c r="F96" s="106">
        <v>35</v>
      </c>
      <c r="G96" s="106">
        <v>23</v>
      </c>
      <c r="H96" s="130">
        <v>10892</v>
      </c>
      <c r="I96" s="126">
        <v>8226.59</v>
      </c>
      <c r="J96" s="127">
        <f t="shared" si="1"/>
      </c>
      <c r="K96" s="109">
        <f t="shared" si="4"/>
      </c>
      <c r="L96" s="110">
        <f t="shared" si="2"/>
      </c>
      <c r="M96" s="111">
        <f t="shared" si="5"/>
      </c>
      <c r="N96" s="112">
        <v>2</v>
      </c>
      <c r="O96" s="111">
        <f t="shared" si="0"/>
      </c>
      <c r="P96" s="108"/>
      <c r="Q96" s="108"/>
    </row>
    <row customHeight="true" ht="16.071428571428573" r="97">
      <c r="A97" s="122">
        <v>46132</v>
      </c>
      <c r="B97" s="91" t="s">
        <v>149</v>
      </c>
      <c r="C97" s="106" t="s">
        <v>150</v>
      </c>
      <c r="D97" s="106">
        <v>5</v>
      </c>
      <c r="E97" s="106">
        <v>17</v>
      </c>
      <c r="F97" s="106">
        <v>78</v>
      </c>
      <c r="G97" s="106">
        <v>60</v>
      </c>
      <c r="H97" s="106">
        <v>20090.2</v>
      </c>
      <c r="I97" s="128">
        <v>14625.39</v>
      </c>
      <c r="J97" s="109">
        <f t="shared" si="1"/>
      </c>
      <c r="K97" s="109">
        <f t="shared" si="4"/>
      </c>
      <c r="L97" s="110">
        <f t="shared" si="2"/>
      </c>
      <c r="M97" s="111">
        <f t="shared" si="5"/>
      </c>
      <c r="N97" s="112">
        <v>17</v>
      </c>
      <c r="O97" s="111">
        <f t="shared" si="0"/>
      </c>
      <c r="P97" s="106" t="s">
        <v>171</v>
      </c>
      <c r="Q97" s="106">
        <v>8</v>
      </c>
    </row>
    <row customHeight="true" ht="16.071428571428573" r="98">
      <c r="A98" s="123">
        <v>46132</v>
      </c>
      <c r="B98" s="117"/>
      <c r="C98" s="117"/>
      <c r="D98" s="117">
        <f>SUM(D94:D97)</f>
      </c>
      <c r="E98" s="117">
        <f>SUM(E94:E97)</f>
      </c>
      <c r="F98" s="117">
        <f>SUM(F94:F97)</f>
      </c>
      <c r="G98" s="117">
        <f>SUM(G94:G97)</f>
      </c>
      <c r="H98" s="117">
        <f>SUM(H94:H97)</f>
      </c>
      <c r="I98" s="117">
        <f>SUM(I94:I97)</f>
      </c>
      <c r="J98" s="118">
        <f t="shared" si="1"/>
      </c>
      <c r="K98" s="119">
        <f t="shared" si="4"/>
      </c>
      <c r="L98" s="119">
        <f t="shared" si="2"/>
      </c>
      <c r="M98" s="120">
        <f t="shared" si="5"/>
      </c>
      <c r="N98" s="117">
        <f>SUM(N94:N97)</f>
      </c>
      <c r="O98" s="120">
        <f t="shared" si="0"/>
      </c>
      <c r="P98" s="121"/>
      <c r="Q98" s="117">
        <f>SUM(Q94:Q97)</f>
      </c>
    </row>
    <row customHeight="true" ht="16.071428571428573" r="99">
      <c r="A99" s="122">
        <v>46134</v>
      </c>
      <c r="B99" s="114" t="s">
        <v>152</v>
      </c>
      <c r="C99" s="106" t="s">
        <v>179</v>
      </c>
      <c r="D99" s="106">
        <v>4</v>
      </c>
      <c r="E99" s="106">
        <v>7</v>
      </c>
      <c r="F99" s="106">
        <v>30</v>
      </c>
      <c r="G99" s="106">
        <v>21</v>
      </c>
      <c r="H99" s="129">
        <v>8094.3</v>
      </c>
      <c r="I99" s="131">
        <v>6050.5</v>
      </c>
      <c r="J99" s="109">
        <f t="shared" si="1"/>
      </c>
      <c r="K99" s="109">
        <f t="shared" si="4"/>
      </c>
      <c r="L99" s="110">
        <f t="shared" si="2"/>
      </c>
      <c r="M99" s="111">
        <f t="shared" si="5"/>
      </c>
      <c r="N99" s="112">
        <v>2</v>
      </c>
      <c r="O99" s="111">
        <f t="shared" si="0"/>
      </c>
      <c r="P99" s="108"/>
      <c r="Q99" s="108"/>
    </row>
    <row customHeight="true" ht="16.071428571428573" r="100">
      <c r="A100" s="122">
        <v>46134</v>
      </c>
      <c r="B100" s="114" t="s">
        <v>142</v>
      </c>
      <c r="C100" s="106" t="s">
        <v>176</v>
      </c>
      <c r="D100" s="106">
        <v>4</v>
      </c>
      <c r="E100" s="106">
        <v>11</v>
      </c>
      <c r="F100" s="106">
        <v>49</v>
      </c>
      <c r="G100" s="106">
        <v>31</v>
      </c>
      <c r="H100" s="131">
        <v>9623.5</v>
      </c>
      <c r="I100" s="124">
        <v>10719.86</v>
      </c>
      <c r="J100" s="109">
        <f t="shared" si="1"/>
      </c>
      <c r="K100" s="109">
        <f t="shared" si="4"/>
      </c>
      <c r="L100" s="110">
        <f t="shared" si="2"/>
      </c>
      <c r="M100" s="111">
        <f t="shared" si="5"/>
      </c>
      <c r="N100" s="112">
        <v>5</v>
      </c>
      <c r="O100" s="111">
        <f t="shared" si="0"/>
      </c>
      <c r="P100" s="106" t="s">
        <v>182</v>
      </c>
      <c r="Q100" s="106">
        <v>8</v>
      </c>
    </row>
    <row customHeight="true" ht="16.071428571428573" r="101">
      <c r="A101" s="122">
        <v>46134</v>
      </c>
      <c r="B101" s="114" t="s">
        <v>144</v>
      </c>
      <c r="C101" s="106" t="s">
        <v>177</v>
      </c>
      <c r="D101" s="106">
        <v>4</v>
      </c>
      <c r="E101" s="106">
        <v>11</v>
      </c>
      <c r="F101" s="106">
        <v>63</v>
      </c>
      <c r="G101" s="106">
        <v>37</v>
      </c>
      <c r="H101" s="130">
        <v>12406.2</v>
      </c>
      <c r="I101" s="126">
        <v>10667.61</v>
      </c>
      <c r="J101" s="127">
        <f t="shared" si="1"/>
      </c>
      <c r="K101" s="109">
        <f t="shared" si="4"/>
      </c>
      <c r="L101" s="110">
        <f t="shared" si="2"/>
      </c>
      <c r="M101" s="111">
        <f t="shared" si="5"/>
      </c>
      <c r="N101" s="112">
        <v>5</v>
      </c>
      <c r="O101" s="111">
        <f t="shared" si="0"/>
      </c>
      <c r="P101" s="108"/>
      <c r="Q101" s="108"/>
    </row>
    <row customHeight="true" ht="16.071428571428573" r="102">
      <c r="A102" s="122">
        <v>46134</v>
      </c>
      <c r="B102" s="91" t="s">
        <v>149</v>
      </c>
      <c r="C102" s="106" t="s">
        <v>183</v>
      </c>
      <c r="D102" s="106">
        <v>4</v>
      </c>
      <c r="E102" s="106">
        <v>12</v>
      </c>
      <c r="F102" s="106">
        <v>64</v>
      </c>
      <c r="G102" s="106">
        <v>38</v>
      </c>
      <c r="H102" s="128">
        <v>15452.5</v>
      </c>
      <c r="I102" s="106">
        <v>13569.47</v>
      </c>
      <c r="J102" s="109">
        <f t="shared" si="1"/>
      </c>
      <c r="K102" s="109">
        <f t="shared" si="4"/>
      </c>
      <c r="L102" s="110">
        <f t="shared" si="2"/>
      </c>
      <c r="M102" s="111">
        <f t="shared" si="5"/>
      </c>
      <c r="N102" s="112">
        <v>7</v>
      </c>
      <c r="O102" s="111">
        <f t="shared" si="0"/>
      </c>
      <c r="P102" s="106" t="s">
        <v>171</v>
      </c>
      <c r="Q102" s="106">
        <v>8</v>
      </c>
    </row>
    <row customHeight="true" ht="16.071428571428573" r="103">
      <c r="A103" s="123">
        <v>46134</v>
      </c>
      <c r="B103" s="117"/>
      <c r="C103" s="117"/>
      <c r="D103" s="117">
        <f>SUM(D99:D102)</f>
      </c>
      <c r="E103" s="117">
        <f>SUM(E99:E102)</f>
      </c>
      <c r="F103" s="117">
        <f>SUM(F99:F102)</f>
      </c>
      <c r="G103" s="117">
        <f>SUM(G99:G102)</f>
      </c>
      <c r="H103" s="117">
        <f>SUM(H99:H102)</f>
      </c>
      <c r="I103" s="117">
        <f>SUM(I99:I102)</f>
      </c>
      <c r="J103" s="118">
        <f t="shared" si="1"/>
      </c>
      <c r="K103" s="119">
        <f t="shared" si="4"/>
      </c>
      <c r="L103" s="119">
        <f t="shared" si="2"/>
      </c>
      <c r="M103" s="120">
        <f t="shared" si="5"/>
      </c>
      <c r="N103" s="117">
        <f>SUM(N99:N102)</f>
      </c>
      <c r="O103" s="120">
        <f t="shared" si="0"/>
      </c>
      <c r="P103" s="121"/>
      <c r="Q103" s="117">
        <f>SUM(Q99:Q102)</f>
      </c>
    </row>
    <row customHeight="true" ht="16.071428571428573" r="104">
      <c r="A104" s="122">
        <v>46135</v>
      </c>
      <c r="B104" s="114" t="s">
        <v>152</v>
      </c>
      <c r="C104" s="106" t="s">
        <v>156</v>
      </c>
      <c r="D104" s="106">
        <v>5</v>
      </c>
      <c r="E104" s="106">
        <v>7</v>
      </c>
      <c r="F104" s="106">
        <v>45</v>
      </c>
      <c r="G104" s="106">
        <v>35</v>
      </c>
      <c r="H104" s="129">
        <v>8857.5</v>
      </c>
      <c r="I104" s="106">
        <v>13284.03</v>
      </c>
      <c r="J104" s="109">
        <f t="shared" si="1"/>
      </c>
      <c r="K104" s="109">
        <f t="shared" si="4"/>
      </c>
      <c r="L104" s="110">
        <f t="shared" si="2"/>
      </c>
      <c r="M104" s="111">
        <f t="shared" si="5"/>
      </c>
      <c r="N104" s="112">
        <v>2</v>
      </c>
      <c r="O104" s="111">
        <f t="shared" si="0"/>
      </c>
      <c r="P104" s="108"/>
      <c r="Q104" s="108"/>
    </row>
    <row customHeight="true" ht="16.071428571428573" r="105">
      <c r="A105" s="122">
        <v>46135</v>
      </c>
      <c r="B105" s="114" t="s">
        <v>157</v>
      </c>
      <c r="C105" s="106" t="s">
        <v>158</v>
      </c>
      <c r="D105" s="106">
        <v>2</v>
      </c>
      <c r="E105" s="106">
        <v>4</v>
      </c>
      <c r="F105" s="106">
        <v>20</v>
      </c>
      <c r="G105" s="106">
        <v>13</v>
      </c>
      <c r="H105" s="131">
        <v>3415.5</v>
      </c>
      <c r="I105" s="124">
        <v>4047.99</v>
      </c>
      <c r="J105" s="109">
        <f t="shared" si="1"/>
      </c>
      <c r="K105" s="109">
        <f t="shared" si="4"/>
      </c>
      <c r="L105" s="110">
        <f t="shared" si="2"/>
      </c>
      <c r="M105" s="111">
        <f t="shared" si="5"/>
      </c>
      <c r="N105" s="112">
        <v>2</v>
      </c>
      <c r="O105" s="111">
        <f t="shared" si="0"/>
      </c>
      <c r="P105" s="106" t="s">
        <v>182</v>
      </c>
      <c r="Q105" s="106">
        <v>8</v>
      </c>
    </row>
    <row customHeight="true" ht="16.071428571428573" r="106">
      <c r="A106" s="122">
        <v>46135</v>
      </c>
      <c r="B106" s="114" t="s">
        <v>144</v>
      </c>
      <c r="C106" s="106" t="s">
        <v>159</v>
      </c>
      <c r="D106" s="106">
        <v>4</v>
      </c>
      <c r="E106" s="106">
        <v>3</v>
      </c>
      <c r="F106" s="106">
        <v>39</v>
      </c>
      <c r="G106" s="106">
        <v>28</v>
      </c>
      <c r="H106" s="130">
        <v>9529.099999999999</v>
      </c>
      <c r="I106" s="126">
        <v>7526.89</v>
      </c>
      <c r="J106" s="127">
        <f t="shared" si="1"/>
      </c>
      <c r="K106" s="109">
        <f t="shared" si="4"/>
      </c>
      <c r="L106" s="110">
        <f t="shared" si="2"/>
      </c>
      <c r="M106" s="111">
        <f t="shared" si="5"/>
      </c>
      <c r="N106" s="112">
        <v>7</v>
      </c>
      <c r="O106" s="111">
        <f t="shared" si="0"/>
      </c>
      <c r="P106" s="108"/>
      <c r="Q106" s="108"/>
    </row>
    <row customHeight="true" ht="16.071428571428573" r="107">
      <c r="A107" s="122">
        <v>46135</v>
      </c>
      <c r="B107" s="91" t="s">
        <v>149</v>
      </c>
      <c r="C107" s="106" t="s">
        <v>150</v>
      </c>
      <c r="D107" s="106">
        <v>5</v>
      </c>
      <c r="E107" s="106">
        <v>14</v>
      </c>
      <c r="F107" s="106">
        <v>86</v>
      </c>
      <c r="G107" s="106">
        <v>58</v>
      </c>
      <c r="H107" s="128">
        <v>19158.1</v>
      </c>
      <c r="I107" s="106">
        <v>14351.64</v>
      </c>
      <c r="J107" s="109">
        <f t="shared" si="1"/>
      </c>
      <c r="K107" s="109">
        <f t="shared" si="4"/>
      </c>
      <c r="L107" s="110">
        <f t="shared" si="2"/>
      </c>
      <c r="M107" s="111">
        <f t="shared" si="5"/>
      </c>
      <c r="N107" s="112">
        <v>15</v>
      </c>
      <c r="O107" s="111">
        <f t="shared" si="0"/>
      </c>
      <c r="P107" s="106" t="s">
        <v>171</v>
      </c>
      <c r="Q107" s="106">
        <v>8</v>
      </c>
    </row>
    <row customHeight="true" ht="16.071428571428573" r="108">
      <c r="A108" s="123">
        <v>46135</v>
      </c>
      <c r="B108" s="117"/>
      <c r="C108" s="117"/>
      <c r="D108" s="117">
        <f>SUM(D104:D107)</f>
      </c>
      <c r="E108" s="117">
        <f>SUM(E104:E107)</f>
      </c>
      <c r="F108" s="117">
        <f>SUM(F104:F107)</f>
      </c>
      <c r="G108" s="117">
        <f>SUM(G104:G107)</f>
      </c>
      <c r="H108" s="117">
        <f>SUM(H104:H107)</f>
      </c>
      <c r="I108" s="117">
        <f>SUM(I104:I107)</f>
      </c>
      <c r="J108" s="118">
        <f t="shared" si="1"/>
      </c>
      <c r="K108" s="119">
        <f t="shared" si="4"/>
      </c>
      <c r="L108" s="119">
        <f t="shared" si="2"/>
      </c>
      <c r="M108" s="120">
        <f t="shared" si="5"/>
      </c>
      <c r="N108" s="117">
        <f>SUM(N104:N107)</f>
      </c>
      <c r="O108" s="120">
        <f t="shared" si="0"/>
      </c>
      <c r="P108" s="121"/>
      <c r="Q108" s="117">
        <f>SUM(Q104:Q107)</f>
      </c>
    </row>
    <row customHeight="true" ht="16.071428571428573" r="109">
      <c r="A109" s="122">
        <v>46136</v>
      </c>
      <c r="B109" s="114" t="s">
        <v>149</v>
      </c>
      <c r="C109" s="106" t="s">
        <v>156</v>
      </c>
      <c r="D109" s="106">
        <v>5</v>
      </c>
      <c r="E109" s="106">
        <v>14</v>
      </c>
      <c r="F109" s="106">
        <v>70</v>
      </c>
      <c r="G109" s="106">
        <v>51</v>
      </c>
      <c r="H109" s="129">
        <v>14130.2</v>
      </c>
      <c r="I109" s="106">
        <v>12696.11</v>
      </c>
      <c r="J109" s="109">
        <f t="shared" si="1"/>
      </c>
      <c r="K109" s="109">
        <f t="shared" si="4"/>
      </c>
      <c r="L109" s="110">
        <f t="shared" si="2"/>
      </c>
      <c r="M109" s="111">
        <f t="shared" si="5"/>
      </c>
      <c r="N109" s="112">
        <v>12</v>
      </c>
      <c r="O109" s="111">
        <f t="shared" si="0"/>
      </c>
      <c r="P109" s="106" t="s">
        <v>184</v>
      </c>
      <c r="Q109" s="106">
        <v>8</v>
      </c>
    </row>
    <row customHeight="true" ht="16.071428571428573" r="110">
      <c r="A110" s="122">
        <v>46136</v>
      </c>
      <c r="B110" s="114" t="s">
        <v>152</v>
      </c>
      <c r="C110" s="106" t="s">
        <v>185</v>
      </c>
      <c r="D110" s="106">
        <v>3</v>
      </c>
      <c r="E110" s="106">
        <v>14</v>
      </c>
      <c r="F110" s="106">
        <v>55</v>
      </c>
      <c r="G110" s="106">
        <v>42</v>
      </c>
      <c r="H110" s="131">
        <v>14140.4</v>
      </c>
      <c r="I110" s="124">
        <v>10051.02</v>
      </c>
      <c r="J110" s="109">
        <f t="shared" si="1"/>
      </c>
      <c r="K110" s="109">
        <f t="shared" si="4"/>
      </c>
      <c r="L110" s="110">
        <f t="shared" si="2"/>
      </c>
      <c r="M110" s="111">
        <f t="shared" si="5"/>
      </c>
      <c r="N110" s="112">
        <v>5</v>
      </c>
      <c r="O110" s="111">
        <f t="shared" si="0"/>
      </c>
      <c r="P110" s="106"/>
      <c r="Q110" s="106"/>
    </row>
    <row customHeight="true" ht="16.071428571428573" r="111">
      <c r="A111" s="122">
        <v>46136</v>
      </c>
      <c r="B111" s="114" t="s">
        <v>161</v>
      </c>
      <c r="C111" s="106" t="s">
        <v>148</v>
      </c>
      <c r="D111" s="106">
        <v>3</v>
      </c>
      <c r="E111" s="106">
        <v>4</v>
      </c>
      <c r="F111" s="106">
        <v>40</v>
      </c>
      <c r="G111" s="106">
        <v>24</v>
      </c>
      <c r="H111" s="130">
        <v>6456.3</v>
      </c>
      <c r="I111" s="126">
        <v>10877.36</v>
      </c>
      <c r="J111" s="127">
        <f t="shared" si="1"/>
      </c>
      <c r="K111" s="109">
        <f t="shared" si="4"/>
      </c>
      <c r="L111" s="110">
        <f t="shared" si="2"/>
      </c>
      <c r="M111" s="111">
        <f t="shared" si="5"/>
      </c>
      <c r="N111" s="112">
        <v>5</v>
      </c>
      <c r="O111" s="111">
        <f t="shared" si="0"/>
      </c>
      <c r="P111" s="108"/>
      <c r="Q111" s="108"/>
    </row>
    <row customHeight="true" ht="16.071428571428573" r="112">
      <c r="A112" s="122">
        <v>46136</v>
      </c>
      <c r="B112" s="91" t="s">
        <v>142</v>
      </c>
      <c r="C112" s="106" t="s">
        <v>150</v>
      </c>
      <c r="D112" s="106">
        <v>5</v>
      </c>
      <c r="E112" s="106">
        <v>6</v>
      </c>
      <c r="F112" s="106">
        <v>89</v>
      </c>
      <c r="G112" s="106">
        <v>62</v>
      </c>
      <c r="H112" s="128">
        <v>16834.8</v>
      </c>
      <c r="I112" s="106">
        <v>18703.35</v>
      </c>
      <c r="J112" s="109">
        <f t="shared" si="1"/>
      </c>
      <c r="K112" s="109">
        <f t="shared" si="4"/>
      </c>
      <c r="L112" s="110">
        <f t="shared" si="2"/>
      </c>
      <c r="M112" s="111">
        <f t="shared" si="5"/>
      </c>
      <c r="N112" s="112">
        <v>7</v>
      </c>
      <c r="O112" s="111">
        <f t="shared" si="0"/>
      </c>
      <c r="P112" s="106" t="s">
        <v>171</v>
      </c>
      <c r="Q112" s="106">
        <v>8</v>
      </c>
    </row>
    <row customHeight="true" ht="16.071428571428573" r="113">
      <c r="A113" s="123">
        <v>46136</v>
      </c>
      <c r="B113" s="117"/>
      <c r="C113" s="117"/>
      <c r="D113" s="117">
        <f>SUM(D109:D112)</f>
      </c>
      <c r="E113" s="117">
        <f>SUM(E109:E112)</f>
      </c>
      <c r="F113" s="117">
        <f>SUM(F109:F112)</f>
      </c>
      <c r="G113" s="117">
        <f>SUM(G109:G112)</f>
      </c>
      <c r="H113" s="117">
        <f>SUM(H109:H112)</f>
      </c>
      <c r="I113" s="117">
        <f>SUM(I109:I112)</f>
      </c>
      <c r="J113" s="118">
        <f t="shared" si="1"/>
      </c>
      <c r="K113" s="119">
        <f t="shared" si="4"/>
      </c>
      <c r="L113" s="119">
        <f t="shared" si="2"/>
      </c>
      <c r="M113" s="120">
        <f t="shared" si="5"/>
      </c>
      <c r="N113" s="117">
        <f>SUM(N109:N112)</f>
      </c>
      <c r="O113" s="120">
        <f t="shared" si="0"/>
      </c>
      <c r="P113" s="121"/>
      <c r="Q113" s="117">
        <f>SUM(Q109:Q112)</f>
      </c>
    </row>
    <row customHeight="true" ht="16.071428571428573" r="114">
      <c r="A114" s="122">
        <v>46137</v>
      </c>
      <c r="B114" s="114" t="s">
        <v>152</v>
      </c>
      <c r="C114" s="106" t="s">
        <v>186</v>
      </c>
      <c r="D114" s="106">
        <v>4</v>
      </c>
      <c r="E114" s="106">
        <v>14</v>
      </c>
      <c r="F114" s="106">
        <v>66</v>
      </c>
      <c r="G114" s="106">
        <v>43</v>
      </c>
      <c r="H114" s="129">
        <v>14435.5</v>
      </c>
      <c r="I114" s="106">
        <v>12788.47</v>
      </c>
      <c r="J114" s="109">
        <f t="shared" si="1"/>
      </c>
      <c r="K114" s="109">
        <f t="shared" si="4"/>
      </c>
      <c r="L114" s="110">
        <f t="shared" si="2"/>
      </c>
      <c r="M114" s="111">
        <f t="shared" si="5"/>
      </c>
      <c r="N114" s="112">
        <v>11</v>
      </c>
      <c r="O114" s="111">
        <f t="shared" si="0"/>
      </c>
      <c r="P114" s="106" t="s">
        <v>184</v>
      </c>
      <c r="Q114" s="106">
        <v>7</v>
      </c>
    </row>
    <row customHeight="true" ht="16.071428571428573" r="115">
      <c r="A115" s="122">
        <v>46137</v>
      </c>
      <c r="B115" s="91" t="s">
        <v>142</v>
      </c>
      <c r="C115" s="106" t="s">
        <v>176</v>
      </c>
      <c r="D115" s="106">
        <v>5</v>
      </c>
      <c r="E115" s="106">
        <v>2</v>
      </c>
      <c r="F115" s="106">
        <v>48</v>
      </c>
      <c r="G115" s="106">
        <v>26</v>
      </c>
      <c r="H115" s="131">
        <v>9421.2</v>
      </c>
      <c r="I115" s="124">
        <v>10105.99</v>
      </c>
      <c r="J115" s="109">
        <f t="shared" si="1"/>
      </c>
      <c r="K115" s="109">
        <f t="shared" si="4"/>
      </c>
      <c r="L115" s="110">
        <f t="shared" si="2"/>
      </c>
      <c r="M115" s="111">
        <f t="shared" si="5"/>
      </c>
      <c r="N115" s="112">
        <v>1</v>
      </c>
      <c r="O115" s="111">
        <f t="shared" si="0"/>
      </c>
      <c r="P115" s="106"/>
      <c r="Q115" s="106"/>
    </row>
    <row customHeight="true" ht="16.071428571428573" r="116">
      <c r="A116" s="122">
        <v>46137</v>
      </c>
      <c r="B116" s="114" t="s">
        <v>157</v>
      </c>
      <c r="C116" s="106" t="s">
        <v>187</v>
      </c>
      <c r="D116" s="106">
        <v>3</v>
      </c>
      <c r="E116" s="106">
        <v>1</v>
      </c>
      <c r="F116" s="106">
        <v>35</v>
      </c>
      <c r="G116" s="106">
        <v>24</v>
      </c>
      <c r="H116" s="130">
        <v>10152.4</v>
      </c>
      <c r="I116" s="126">
        <v>8757.54</v>
      </c>
      <c r="J116" s="127">
        <f t="shared" si="1"/>
      </c>
      <c r="K116" s="109">
        <f t="shared" si="4"/>
      </c>
      <c r="L116" s="110">
        <f t="shared" si="2"/>
      </c>
      <c r="M116" s="111">
        <f t="shared" si="5"/>
      </c>
      <c r="N116" s="112">
        <v>2</v>
      </c>
      <c r="O116" s="111">
        <f t="shared" si="0"/>
      </c>
      <c r="P116" s="106" t="s">
        <v>188</v>
      </c>
      <c r="Q116" s="106">
        <v>8</v>
      </c>
    </row>
    <row customHeight="true" ht="16.071428571428573" r="117">
      <c r="A117" s="122">
        <v>46137</v>
      </c>
      <c r="B117" s="114" t="s">
        <v>144</v>
      </c>
      <c r="C117" s="106" t="s">
        <v>189</v>
      </c>
      <c r="D117" s="106">
        <v>4</v>
      </c>
      <c r="E117" s="106">
        <v>6</v>
      </c>
      <c r="F117" s="106">
        <v>30</v>
      </c>
      <c r="G117" s="106">
        <v>18</v>
      </c>
      <c r="H117" s="128">
        <v>4431.8</v>
      </c>
      <c r="I117" s="106">
        <v>7950.69</v>
      </c>
      <c r="J117" s="109">
        <f t="shared" si="1"/>
      </c>
      <c r="K117" s="109">
        <f t="shared" si="4"/>
      </c>
      <c r="L117" s="110">
        <f t="shared" si="2"/>
      </c>
      <c r="M117" s="111">
        <f t="shared" si="5"/>
      </c>
      <c r="N117" s="112">
        <v>2</v>
      </c>
      <c r="O117" s="111">
        <f t="shared" si="0"/>
      </c>
      <c r="P117" s="106" t="s">
        <v>190</v>
      </c>
      <c r="Q117" s="106">
        <v>1</v>
      </c>
    </row>
    <row customHeight="true" ht="16.071428571428573" r="118">
      <c r="A118" s="123">
        <v>46137</v>
      </c>
      <c r="B118" s="117"/>
      <c r="C118" s="117"/>
      <c r="D118" s="117">
        <f>SUM(D114:D117)</f>
      </c>
      <c r="E118" s="117">
        <f>SUM(E114:E117)</f>
      </c>
      <c r="F118" s="117">
        <f>SUM(F114:F117)</f>
      </c>
      <c r="G118" s="117">
        <f>SUM(G114:G117)</f>
      </c>
      <c r="H118" s="117">
        <f>SUM(H114:H117)</f>
      </c>
      <c r="I118" s="117">
        <f>SUM(I114:I117)</f>
      </c>
      <c r="J118" s="118">
        <f t="shared" si="1"/>
      </c>
      <c r="K118" s="119">
        <f t="shared" si="4"/>
      </c>
      <c r="L118" s="119">
        <f t="shared" si="2"/>
      </c>
      <c r="M118" s="120">
        <f t="shared" si="5"/>
      </c>
      <c r="N118" s="117">
        <f>SUM(N114:N117)</f>
      </c>
      <c r="O118" s="120">
        <f t="shared" si="0"/>
      </c>
      <c r="P118" s="121"/>
      <c r="Q118" s="117">
        <f>SUM(Q114:Q117)</f>
      </c>
    </row>
    <row customHeight="true" ht="16.071428571428573" r="119">
      <c r="A119" s="122">
        <v>46138</v>
      </c>
      <c r="B119" s="114" t="s">
        <v>152</v>
      </c>
      <c r="C119" s="106" t="s">
        <v>167</v>
      </c>
      <c r="D119" s="106">
        <v>5</v>
      </c>
      <c r="E119" s="106">
        <v>4</v>
      </c>
      <c r="F119" s="106">
        <v>33</v>
      </c>
      <c r="G119" s="106">
        <v>22</v>
      </c>
      <c r="H119" s="129">
        <v>6034</v>
      </c>
      <c r="I119" s="106">
        <v>9282.7</v>
      </c>
      <c r="J119" s="109">
        <f t="shared" si="1"/>
      </c>
      <c r="K119" s="109">
        <f t="shared" si="4"/>
      </c>
      <c r="L119" s="110">
        <f t="shared" si="2"/>
      </c>
      <c r="M119" s="111">
        <f t="shared" si="5"/>
      </c>
      <c r="N119" s="112">
        <v>3</v>
      </c>
      <c r="O119" s="111">
        <f t="shared" si="0"/>
      </c>
      <c r="P119" s="106" t="s">
        <v>171</v>
      </c>
      <c r="Q119" s="106">
        <v>8</v>
      </c>
    </row>
    <row customHeight="true" ht="16.071428571428573" r="120">
      <c r="A120" s="122">
        <v>46138</v>
      </c>
      <c r="B120" s="91" t="s">
        <v>142</v>
      </c>
      <c r="C120" s="106" t="s">
        <v>169</v>
      </c>
      <c r="D120" s="106">
        <v>4</v>
      </c>
      <c r="E120" s="106">
        <v>13</v>
      </c>
      <c r="F120" s="106">
        <v>57</v>
      </c>
      <c r="G120" s="106">
        <v>28</v>
      </c>
      <c r="H120" s="131">
        <v>10057.6</v>
      </c>
      <c r="I120" s="124">
        <v>7869.559999999998</v>
      </c>
      <c r="J120" s="109">
        <f t="shared" si="1"/>
      </c>
      <c r="K120" s="109">
        <f t="shared" si="4"/>
      </c>
      <c r="L120" s="110">
        <f t="shared" si="2"/>
      </c>
      <c r="M120" s="111">
        <f t="shared" si="5"/>
      </c>
      <c r="N120" s="112">
        <v>6</v>
      </c>
      <c r="O120" s="111">
        <f t="shared" si="0"/>
      </c>
      <c r="P120" s="132"/>
      <c r="Q120" s="106"/>
    </row>
    <row customHeight="true" ht="16.071428571428573" r="121">
      <c r="A121" s="122">
        <v>46138</v>
      </c>
      <c r="B121" s="114" t="s">
        <v>161</v>
      </c>
      <c r="C121" s="106" t="s">
        <v>191</v>
      </c>
      <c r="D121" s="106">
        <v>3</v>
      </c>
      <c r="E121" s="106">
        <v>4</v>
      </c>
      <c r="F121" s="106">
        <v>26</v>
      </c>
      <c r="G121" s="106">
        <v>12</v>
      </c>
      <c r="H121" s="130">
        <v>3383.999999999998</v>
      </c>
      <c r="I121" s="126">
        <v>4961.830000000002</v>
      </c>
      <c r="J121" s="127">
        <f t="shared" si="1"/>
      </c>
      <c r="K121" s="109">
        <f t="shared" si="4"/>
      </c>
      <c r="L121" s="110">
        <f t="shared" si="2"/>
      </c>
      <c r="M121" s="111">
        <f t="shared" si="5"/>
      </c>
      <c r="N121" s="112">
        <v>0</v>
      </c>
      <c r="O121" s="111">
        <f t="shared" si="0"/>
      </c>
      <c r="P121" s="106" t="s">
        <v>164</v>
      </c>
      <c r="Q121" s="106">
        <v>7</v>
      </c>
    </row>
    <row customHeight="true" ht="16.071428571428573" r="122">
      <c r="A122" s="122">
        <v>46138</v>
      </c>
      <c r="B122" s="114" t="s">
        <v>144</v>
      </c>
      <c r="C122" s="106" t="s">
        <v>154</v>
      </c>
      <c r="D122" s="106">
        <v>4</v>
      </c>
      <c r="E122" s="106">
        <v>10</v>
      </c>
      <c r="F122" s="106">
        <v>58</v>
      </c>
      <c r="G122" s="106">
        <v>39</v>
      </c>
      <c r="H122" s="128">
        <v>16130.300000000003</v>
      </c>
      <c r="I122" s="106">
        <v>9303.83</v>
      </c>
      <c r="J122" s="109">
        <f t="shared" si="1"/>
      </c>
      <c r="K122" s="109">
        <f t="shared" si="4"/>
      </c>
      <c r="L122" s="110">
        <f t="shared" si="2"/>
      </c>
      <c r="M122" s="111">
        <f t="shared" si="5"/>
      </c>
      <c r="N122" s="112">
        <v>9</v>
      </c>
      <c r="O122" s="111">
        <f t="shared" si="0"/>
      </c>
      <c r="P122" s="132" t="s">
        <v>166</v>
      </c>
      <c r="Q122" s="106">
        <v>1</v>
      </c>
    </row>
    <row customHeight="true" ht="16.071428571428573" r="123">
      <c r="A123" s="123">
        <v>46138</v>
      </c>
      <c r="B123" s="117"/>
      <c r="C123" s="117"/>
      <c r="D123" s="117">
        <f>SUM(D119:D122)</f>
      </c>
      <c r="E123" s="117">
        <f>SUM(E119:E122)</f>
      </c>
      <c r="F123" s="117">
        <f>SUM(F119:F122)</f>
      </c>
      <c r="G123" s="117">
        <f>SUM(G119:G122)</f>
      </c>
      <c r="H123" s="117">
        <f>SUM(H119:H122)</f>
      </c>
      <c r="I123" s="117">
        <f>SUM(I119:I122)</f>
      </c>
      <c r="J123" s="118">
        <f t="shared" si="1"/>
      </c>
      <c r="K123" s="119">
        <f t="shared" si="4"/>
      </c>
      <c r="L123" s="119">
        <f t="shared" si="2"/>
      </c>
      <c r="M123" s="120">
        <f t="shared" si="5"/>
      </c>
      <c r="N123" s="117">
        <f>SUM(N119:N122)</f>
      </c>
      <c r="O123" s="120">
        <f t="shared" si="0"/>
      </c>
      <c r="P123" s="121"/>
      <c r="Q123" s="117">
        <f>SUM(Q119:Q122)</f>
      </c>
    </row>
    <row customHeight="true" ht="16.071428571428573" r="124">
      <c r="A124" s="122">
        <v>46139</v>
      </c>
      <c r="B124" s="114" t="s">
        <v>142</v>
      </c>
      <c r="C124" s="106" t="s">
        <v>167</v>
      </c>
      <c r="D124" s="106">
        <v>5</v>
      </c>
      <c r="E124" s="106">
        <v>9</v>
      </c>
      <c r="F124" s="106">
        <v>44</v>
      </c>
      <c r="G124" s="106">
        <v>30</v>
      </c>
      <c r="H124" s="129">
        <v>10010</v>
      </c>
      <c r="I124" s="106">
        <v>9678.91</v>
      </c>
      <c r="J124" s="109">
        <f t="shared" si="1"/>
      </c>
      <c r="K124" s="109">
        <f t="shared" si="4"/>
      </c>
      <c r="L124" s="110">
        <f t="shared" si="2"/>
      </c>
      <c r="M124" s="111">
        <f t="shared" si="5"/>
      </c>
      <c r="N124" s="112">
        <v>9</v>
      </c>
      <c r="O124" s="111">
        <f t="shared" si="0"/>
      </c>
      <c r="P124" s="106" t="s">
        <v>171</v>
      </c>
      <c r="Q124" s="106">
        <v>8</v>
      </c>
    </row>
    <row customHeight="true" ht="16.071428571428573" r="125">
      <c r="A125" s="122">
        <v>46139</v>
      </c>
      <c r="B125" s="91" t="s">
        <v>157</v>
      </c>
      <c r="C125" s="106" t="s">
        <v>158</v>
      </c>
      <c r="D125" s="106">
        <v>2</v>
      </c>
      <c r="E125" s="106">
        <v>3</v>
      </c>
      <c r="F125" s="106">
        <v>20</v>
      </c>
      <c r="G125" s="106">
        <v>13</v>
      </c>
      <c r="H125" s="131">
        <v>4562.4</v>
      </c>
      <c r="I125" s="106">
        <v>4171.22</v>
      </c>
      <c r="J125" s="109">
        <f t="shared" si="1"/>
      </c>
      <c r="K125" s="109">
        <f t="shared" si="4"/>
      </c>
      <c r="L125" s="110">
        <f t="shared" si="2"/>
      </c>
      <c r="M125" s="111">
        <f t="shared" si="5"/>
      </c>
      <c r="N125" s="112">
        <v>4</v>
      </c>
      <c r="O125" s="111">
        <f t="shared" si="0"/>
      </c>
      <c r="P125" s="132"/>
      <c r="Q125" s="106"/>
    </row>
    <row customHeight="true" ht="16.071428571428573" r="126">
      <c r="A126" s="122">
        <v>46139</v>
      </c>
      <c r="B126" s="114" t="s">
        <v>144</v>
      </c>
      <c r="C126" s="106" t="s">
        <v>159</v>
      </c>
      <c r="D126" s="106">
        <v>4</v>
      </c>
      <c r="E126" s="106">
        <v>3</v>
      </c>
      <c r="F126" s="106">
        <v>75</v>
      </c>
      <c r="G126" s="106">
        <v>36</v>
      </c>
      <c r="H126" s="130">
        <v>10411.48</v>
      </c>
      <c r="I126" s="126">
        <v>11133.94</v>
      </c>
      <c r="J126" s="127">
        <f t="shared" si="1"/>
      </c>
      <c r="K126" s="109">
        <f t="shared" si="4"/>
      </c>
      <c r="L126" s="110">
        <f t="shared" si="2"/>
      </c>
      <c r="M126" s="111">
        <f t="shared" si="5"/>
      </c>
      <c r="N126" s="112">
        <v>2</v>
      </c>
      <c r="O126" s="111">
        <f t="shared" si="0"/>
      </c>
      <c r="P126" s="106" t="s">
        <v>166</v>
      </c>
      <c r="Q126" s="106">
        <v>1</v>
      </c>
    </row>
    <row customHeight="true" ht="16.071428571428573" r="127">
      <c r="A127" s="122">
        <v>46139</v>
      </c>
      <c r="B127" s="114" t="s">
        <v>149</v>
      </c>
      <c r="C127" s="106" t="s">
        <v>150</v>
      </c>
      <c r="D127" s="106">
        <v>5</v>
      </c>
      <c r="E127" s="106">
        <v>8</v>
      </c>
      <c r="F127" s="106">
        <v>82</v>
      </c>
      <c r="G127" s="106">
        <v>53</v>
      </c>
      <c r="H127" s="128">
        <v>22178.22</v>
      </c>
      <c r="I127" s="106">
        <v>16023.86</v>
      </c>
      <c r="J127" s="109">
        <f t="shared" si="1"/>
      </c>
      <c r="K127" s="109">
        <f t="shared" si="4"/>
      </c>
      <c r="L127" s="110">
        <f t="shared" si="2"/>
      </c>
      <c r="M127" s="111">
        <f t="shared" si="5"/>
      </c>
      <c r="N127" s="112">
        <v>15</v>
      </c>
      <c r="O127" s="111">
        <f t="shared" si="0"/>
      </c>
      <c r="P127" s="124" t="s">
        <v>164</v>
      </c>
      <c r="Q127" s="106">
        <v>7</v>
      </c>
    </row>
    <row customHeight="true" ht="16.071428571428573" r="128">
      <c r="A128" s="123">
        <v>46139</v>
      </c>
      <c r="B128" s="117"/>
      <c r="C128" s="117"/>
      <c r="D128" s="117">
        <f>SUM(D124:D127)</f>
      </c>
      <c r="E128" s="117">
        <f>SUM(E124:E127)</f>
      </c>
      <c r="F128" s="117">
        <f>SUM(F124:F127)</f>
      </c>
      <c r="G128" s="117">
        <f>SUM(G124:G127)</f>
      </c>
      <c r="H128" s="117">
        <f>SUM(H124:H127)</f>
      </c>
      <c r="I128" s="117">
        <f>SUM(I124:I127)</f>
      </c>
      <c r="J128" s="118">
        <f t="shared" si="1"/>
      </c>
      <c r="K128" s="119">
        <f t="shared" si="4"/>
      </c>
      <c r="L128" s="119">
        <f t="shared" si="2"/>
      </c>
      <c r="M128" s="120">
        <f t="shared" si="5"/>
      </c>
      <c r="N128" s="117">
        <f>SUM(N124:N127)</f>
      </c>
      <c r="O128" s="120">
        <f t="shared" si="0"/>
      </c>
      <c r="P128" s="121"/>
      <c r="Q128" s="117">
        <f>SUM(Q124:Q127)</f>
      </c>
    </row>
    <row customHeight="true" ht="16.071428571428573" r="129">
      <c r="A129" s="122">
        <v>46140</v>
      </c>
      <c r="B129" s="114" t="s">
        <v>144</v>
      </c>
      <c r="C129" s="106" t="s">
        <v>192</v>
      </c>
      <c r="D129" s="106">
        <v>1</v>
      </c>
      <c r="E129" s="106">
        <v>0</v>
      </c>
      <c r="F129" s="106">
        <v>4</v>
      </c>
      <c r="G129" s="106">
        <v>4</v>
      </c>
      <c r="H129" s="129">
        <v>1512</v>
      </c>
      <c r="I129" s="106">
        <v>1769.77</v>
      </c>
      <c r="J129" s="109">
        <f t="shared" si="1"/>
      </c>
      <c r="K129" s="109">
        <f t="shared" si="4"/>
      </c>
      <c r="L129" s="110">
        <f t="shared" si="2"/>
      </c>
      <c r="M129" s="111">
        <f t="shared" si="5"/>
      </c>
      <c r="N129" s="112">
        <v>0</v>
      </c>
      <c r="O129" s="111">
        <f t="shared" si="0"/>
      </c>
      <c r="P129" s="106" t="s">
        <v>171</v>
      </c>
      <c r="Q129" s="106">
        <v>8</v>
      </c>
    </row>
    <row customHeight="true" ht="16.071428571428573" r="130">
      <c r="A130" s="122">
        <v>46140</v>
      </c>
      <c r="B130" s="114" t="s">
        <v>142</v>
      </c>
      <c r="C130" s="106" t="s">
        <v>193</v>
      </c>
      <c r="D130" s="106">
        <v>4</v>
      </c>
      <c r="E130" s="106">
        <v>2</v>
      </c>
      <c r="F130" s="106">
        <v>29</v>
      </c>
      <c r="G130" s="106">
        <v>18</v>
      </c>
      <c r="H130" s="129">
        <v>4629.2</v>
      </c>
      <c r="I130" s="106">
        <v>7859.39</v>
      </c>
      <c r="J130" s="109">
        <f t="shared" si="1"/>
      </c>
      <c r="K130" s="109">
        <f t="shared" si="4"/>
      </c>
      <c r="L130" s="110">
        <f t="shared" si="2"/>
      </c>
      <c r="M130" s="111">
        <f t="shared" si="5"/>
      </c>
      <c r="N130" s="112">
        <v>2</v>
      </c>
      <c r="O130" s="111">
        <f t="shared" si="0"/>
      </c>
      <c r="P130" s="106"/>
      <c r="Q130" s="106"/>
    </row>
    <row customHeight="true" ht="16.071428571428573" r="131">
      <c r="A131" s="122">
        <v>46140</v>
      </c>
      <c r="B131" s="91" t="s">
        <v>149</v>
      </c>
      <c r="C131" s="106" t="s">
        <v>169</v>
      </c>
      <c r="D131" s="106">
        <v>4</v>
      </c>
      <c r="E131" s="106">
        <v>7</v>
      </c>
      <c r="F131" s="106">
        <v>65</v>
      </c>
      <c r="G131" s="106">
        <v>40</v>
      </c>
      <c r="H131" s="131">
        <v>12939.8</v>
      </c>
      <c r="I131" s="106">
        <v>12491.590000000002</v>
      </c>
      <c r="J131" s="109">
        <f t="shared" si="1"/>
      </c>
      <c r="K131" s="109">
        <f t="shared" si="4"/>
      </c>
      <c r="L131" s="110">
        <f t="shared" si="2"/>
      </c>
      <c r="M131" s="111">
        <f t="shared" si="5"/>
      </c>
      <c r="N131" s="112">
        <v>9</v>
      </c>
      <c r="O131" s="111">
        <f t="shared" si="0"/>
      </c>
      <c r="P131" s="132"/>
      <c r="Q131" s="106"/>
    </row>
    <row customHeight="true" ht="16.071428571428573" r="132">
      <c r="A132" s="122">
        <v>46140</v>
      </c>
      <c r="B132" s="114" t="s">
        <v>157</v>
      </c>
      <c r="C132" s="106" t="s">
        <v>191</v>
      </c>
      <c r="D132" s="106">
        <v>3</v>
      </c>
      <c r="E132" s="106">
        <v>3</v>
      </c>
      <c r="F132" s="106">
        <v>20</v>
      </c>
      <c r="G132" s="106">
        <v>13</v>
      </c>
      <c r="H132" s="130">
        <v>4574.4000000000015</v>
      </c>
      <c r="I132" s="126">
        <v>6224.24</v>
      </c>
      <c r="J132" s="127">
        <f t="shared" si="1"/>
      </c>
      <c r="K132" s="109">
        <f t="shared" si="4"/>
      </c>
      <c r="L132" s="110">
        <f t="shared" si="2"/>
      </c>
      <c r="M132" s="111">
        <f t="shared" si="5"/>
      </c>
      <c r="N132" s="112">
        <v>1</v>
      </c>
      <c r="O132" s="111">
        <f t="shared" si="0"/>
      </c>
      <c r="P132" s="106" t="s">
        <v>146</v>
      </c>
      <c r="Q132" s="106">
        <v>8</v>
      </c>
    </row>
    <row customHeight="true" ht="16.071428571428573" r="133">
      <c r="A133" s="122">
        <v>46140</v>
      </c>
      <c r="B133" s="114" t="s">
        <v>152</v>
      </c>
      <c r="C133" s="106" t="s">
        <v>154</v>
      </c>
      <c r="D133" s="106">
        <v>4</v>
      </c>
      <c r="E133" s="106">
        <v>4</v>
      </c>
      <c r="F133" s="106">
        <v>44</v>
      </c>
      <c r="G133" s="106">
        <v>32</v>
      </c>
      <c r="H133" s="128">
        <v>13097.199999999997</v>
      </c>
      <c r="I133" s="106">
        <v>11750.539999999994</v>
      </c>
      <c r="J133" s="109">
        <f t="shared" si="1"/>
      </c>
      <c r="K133" s="109">
        <f t="shared" si="4"/>
      </c>
      <c r="L133" s="110">
        <f t="shared" si="2"/>
      </c>
      <c r="M133" s="111">
        <f t="shared" si="5"/>
      </c>
      <c r="N133" s="112">
        <v>4</v>
      </c>
      <c r="O133" s="111">
        <f t="shared" si="0"/>
      </c>
      <c r="P133" s="124"/>
      <c r="Q133" s="106"/>
    </row>
    <row customHeight="true" ht="16.071428571428573" r="134">
      <c r="A134" s="123">
        <v>46140</v>
      </c>
      <c r="B134" s="117"/>
      <c r="C134" s="117"/>
      <c r="D134" s="117">
        <f>SUM(D129:D133)</f>
      </c>
      <c r="E134" s="117">
        <f>SUM(E129:E133)</f>
      </c>
      <c r="F134" s="117">
        <f>SUM(F129:F133)</f>
      </c>
      <c r="G134" s="117">
        <f>SUM(G129:G133)</f>
      </c>
      <c r="H134" s="117">
        <f>SUM(H129:H133)</f>
      </c>
      <c r="I134" s="117">
        <f>SUM(I129:I133)</f>
      </c>
      <c r="J134" s="118">
        <f t="shared" si="1"/>
      </c>
      <c r="K134" s="119">
        <f t="shared" si="4"/>
      </c>
      <c r="L134" s="119">
        <f t="shared" si="2"/>
      </c>
      <c r="M134" s="120">
        <f t="shared" si="5"/>
      </c>
      <c r="N134" s="117">
        <f>SUM(N129:N133)</f>
      </c>
      <c r="O134" s="120">
        <f t="shared" si="0"/>
      </c>
      <c r="P134" s="121"/>
      <c r="Q134" s="117">
        <f>SUM(Q129:Q133)</f>
      </c>
    </row>
    <row customHeight="true" ht="16.071428571428573" r="135">
      <c r="A135" s="122">
        <v>46141</v>
      </c>
      <c r="B135" s="114" t="s">
        <v>149</v>
      </c>
      <c r="C135" s="106" t="s">
        <v>143</v>
      </c>
      <c r="D135" s="106">
        <v>4</v>
      </c>
      <c r="E135" s="106">
        <v>8</v>
      </c>
      <c r="F135" s="106">
        <v>62</v>
      </c>
      <c r="G135" s="106">
        <v>46</v>
      </c>
      <c r="H135" s="129">
        <v>15508.7</v>
      </c>
      <c r="I135" s="106">
        <v>13898.77</v>
      </c>
      <c r="J135" s="109">
        <f t="shared" si="1"/>
      </c>
      <c r="K135" s="109">
        <f t="shared" si="4"/>
      </c>
      <c r="L135" s="110">
        <f t="shared" si="2"/>
      </c>
      <c r="M135" s="111">
        <f t="shared" si="5"/>
      </c>
      <c r="N135" s="112">
        <v>7</v>
      </c>
      <c r="O135" s="111">
        <f t="shared" si="0"/>
      </c>
      <c r="P135" s="106" t="s">
        <v>171</v>
      </c>
      <c r="Q135" s="106">
        <v>8</v>
      </c>
    </row>
    <row customHeight="true" ht="16.071428571428573" r="136">
      <c r="A136" s="122">
        <v>46141</v>
      </c>
      <c r="B136" s="91" t="s">
        <v>157</v>
      </c>
      <c r="C136" s="106" t="s">
        <v>145</v>
      </c>
      <c r="D136" s="106">
        <v>4</v>
      </c>
      <c r="E136" s="106">
        <v>22</v>
      </c>
      <c r="F136" s="106">
        <v>65</v>
      </c>
      <c r="G136" s="106">
        <v>45</v>
      </c>
      <c r="H136" s="131">
        <v>12430</v>
      </c>
      <c r="I136" s="106">
        <v>15242.25</v>
      </c>
      <c r="J136" s="109">
        <f t="shared" si="1"/>
      </c>
      <c r="K136" s="109">
        <f t="shared" si="4"/>
      </c>
      <c r="L136" s="110">
        <f t="shared" si="2"/>
      </c>
      <c r="M136" s="111">
        <f t="shared" si="5"/>
      </c>
      <c r="N136" s="112">
        <v>12</v>
      </c>
      <c r="O136" s="111">
        <f t="shared" si="0"/>
      </c>
      <c r="P136" s="132"/>
      <c r="Q136" s="106"/>
    </row>
    <row customHeight="true" ht="16.071428571428573" r="137">
      <c r="A137" s="122">
        <v>46141</v>
      </c>
      <c r="B137" s="114" t="s">
        <v>142</v>
      </c>
      <c r="C137" s="106" t="s">
        <v>153</v>
      </c>
      <c r="D137" s="106">
        <v>4</v>
      </c>
      <c r="E137" s="106">
        <v>11</v>
      </c>
      <c r="F137" s="106">
        <v>59</v>
      </c>
      <c r="G137" s="106">
        <v>39</v>
      </c>
      <c r="H137" s="130">
        <v>11991.999999999996</v>
      </c>
      <c r="I137" s="126">
        <v>13967.23</v>
      </c>
      <c r="J137" s="127">
        <f t="shared" si="1"/>
      </c>
      <c r="K137" s="109">
        <f t="shared" si="4"/>
      </c>
      <c r="L137" s="110">
        <f t="shared" si="2"/>
      </c>
      <c r="M137" s="111">
        <f t="shared" si="5"/>
      </c>
      <c r="N137" s="112">
        <v>7</v>
      </c>
      <c r="O137" s="111">
        <f t="shared" si="0"/>
      </c>
      <c r="P137" s="106" t="s">
        <v>146</v>
      </c>
      <c r="Q137" s="106">
        <v>8</v>
      </c>
    </row>
    <row customHeight="true" ht="16.071428571428573" r="138">
      <c r="A138" s="122">
        <v>46141</v>
      </c>
      <c r="B138" s="114" t="s">
        <v>152</v>
      </c>
      <c r="C138" s="106" t="s">
        <v>154</v>
      </c>
      <c r="D138" s="106">
        <v>4</v>
      </c>
      <c r="E138" s="106">
        <v>8</v>
      </c>
      <c r="F138" s="106">
        <v>62</v>
      </c>
      <c r="G138" s="106">
        <v>41</v>
      </c>
      <c r="H138" s="128">
        <v>14310.800000000003</v>
      </c>
      <c r="I138" s="106">
        <v>14271.150000000001</v>
      </c>
      <c r="J138" s="109">
        <f t="shared" si="1"/>
      </c>
      <c r="K138" s="109">
        <f t="shared" si="4"/>
      </c>
      <c r="L138" s="110">
        <f t="shared" si="2"/>
      </c>
      <c r="M138" s="111">
        <f t="shared" si="5"/>
      </c>
      <c r="N138" s="112">
        <v>5</v>
      </c>
      <c r="O138" s="111">
        <f t="shared" si="0"/>
      </c>
      <c r="P138" s="124"/>
      <c r="Q138" s="106"/>
    </row>
    <row customHeight="true" ht="16.071428571428573" r="139">
      <c r="A139" s="123">
        <v>46141</v>
      </c>
      <c r="B139" s="117"/>
      <c r="C139" s="117"/>
      <c r="D139" s="117">
        <f>SUM(D135:D138)</f>
      </c>
      <c r="E139" s="117">
        <f>SUM(E135:E138)</f>
      </c>
      <c r="F139" s="117">
        <f>SUM(F135:F138)</f>
      </c>
      <c r="G139" s="117">
        <f>SUM(G135:G138)</f>
      </c>
      <c r="H139" s="117">
        <f>SUM(H135:H138)</f>
      </c>
      <c r="I139" s="117">
        <f>SUM(I135:I138)</f>
      </c>
      <c r="J139" s="118">
        <f t="shared" si="1"/>
      </c>
      <c r="K139" s="119">
        <f t="shared" si="4"/>
      </c>
      <c r="L139" s="119">
        <f t="shared" si="2"/>
      </c>
      <c r="M139" s="120">
        <f t="shared" si="5"/>
      </c>
      <c r="N139" s="117">
        <f>SUM(N135:N138)</f>
      </c>
      <c r="O139" s="120">
        <f t="shared" si="0"/>
      </c>
      <c r="P139" s="121"/>
      <c r="Q139" s="117">
        <f>SUM(Q135:Q138)</f>
      </c>
    </row>
    <row customHeight="true" ht="16.071428571428573" r="140">
      <c r="A140" s="122">
        <v>46142</v>
      </c>
      <c r="B140" s="114" t="s">
        <v>149</v>
      </c>
      <c r="C140" s="106" t="s">
        <v>143</v>
      </c>
      <c r="D140" s="106">
        <v>4</v>
      </c>
      <c r="E140" s="106">
        <v>2</v>
      </c>
      <c r="F140" s="106">
        <v>37</v>
      </c>
      <c r="G140" s="106">
        <v>25</v>
      </c>
      <c r="H140" s="129">
        <v>6792.8</v>
      </c>
      <c r="I140" s="106">
        <v>11608.85</v>
      </c>
      <c r="J140" s="109">
        <f t="shared" si="1"/>
      </c>
      <c r="K140" s="109">
        <f t="shared" si="4"/>
      </c>
      <c r="L140" s="110">
        <f t="shared" si="2"/>
      </c>
      <c r="M140" s="111">
        <f t="shared" si="5"/>
      </c>
      <c r="N140" s="112">
        <v>2</v>
      </c>
      <c r="O140" s="111">
        <f t="shared" si="0"/>
      </c>
      <c r="P140" s="106" t="s">
        <v>194</v>
      </c>
      <c r="Q140" s="106">
        <v>7</v>
      </c>
    </row>
    <row customHeight="true" ht="16.071428571428573" r="141">
      <c r="A141" s="122">
        <v>46142</v>
      </c>
      <c r="B141" s="91" t="s">
        <v>144</v>
      </c>
      <c r="C141" s="106" t="s">
        <v>145</v>
      </c>
      <c r="D141" s="133">
        <v>3.5</v>
      </c>
      <c r="E141" s="106">
        <v>7</v>
      </c>
      <c r="F141" s="106">
        <v>49</v>
      </c>
      <c r="G141" s="106">
        <v>30</v>
      </c>
      <c r="H141" s="131">
        <v>7805.499999999999</v>
      </c>
      <c r="I141" s="106">
        <v>10301.859999999999</v>
      </c>
      <c r="J141" s="109">
        <f t="shared" si="1"/>
      </c>
      <c r="K141" s="109">
        <f t="shared" si="4"/>
      </c>
      <c r="L141" s="110">
        <f t="shared" si="2"/>
      </c>
      <c r="M141" s="111">
        <f t="shared" si="5"/>
      </c>
      <c r="N141" s="112">
        <v>5</v>
      </c>
      <c r="O141" s="111">
        <f t="shared" si="0"/>
      </c>
      <c r="P141" s="134" t="s">
        <v>182</v>
      </c>
      <c r="Q141" s="106">
        <v>1</v>
      </c>
    </row>
    <row customHeight="true" ht="16.071428571428573" r="142">
      <c r="A142" s="122">
        <v>46142</v>
      </c>
      <c r="B142" s="114" t="s">
        <v>157</v>
      </c>
      <c r="C142" s="106" t="s">
        <v>153</v>
      </c>
      <c r="D142" s="106">
        <v>4</v>
      </c>
      <c r="E142" s="106">
        <v>17</v>
      </c>
      <c r="F142" s="106">
        <v>45</v>
      </c>
      <c r="G142" s="106">
        <v>33</v>
      </c>
      <c r="H142" s="130">
        <v>12549.5</v>
      </c>
      <c r="I142" s="126">
        <v>11742.04</v>
      </c>
      <c r="J142" s="127">
        <f t="shared" si="1"/>
      </c>
      <c r="K142" s="109">
        <f t="shared" si="4"/>
      </c>
      <c r="L142" s="110">
        <f t="shared" si="2"/>
      </c>
      <c r="M142" s="111">
        <f t="shared" si="5"/>
      </c>
      <c r="N142" s="112">
        <v>6</v>
      </c>
      <c r="O142" s="135">
        <f t="shared" si="0"/>
      </c>
      <c r="P142" s="126" t="s">
        <v>195</v>
      </c>
      <c r="Q142" s="136">
        <v>7.5</v>
      </c>
    </row>
    <row customHeight="true" ht="16.071428571428573" r="143">
      <c r="A143" s="122">
        <v>46142</v>
      </c>
      <c r="B143" s="114" t="s">
        <v>152</v>
      </c>
      <c r="C143" s="106" t="s">
        <v>196</v>
      </c>
      <c r="D143" s="137">
        <v>2.5</v>
      </c>
      <c r="E143" s="106">
        <v>7</v>
      </c>
      <c r="F143" s="106">
        <v>49</v>
      </c>
      <c r="G143" s="106">
        <v>35</v>
      </c>
      <c r="H143" s="128">
        <v>9514.3</v>
      </c>
      <c r="I143" s="106">
        <v>14017.64</v>
      </c>
      <c r="J143" s="109">
        <f t="shared" si="1"/>
      </c>
      <c r="K143" s="109">
        <f t="shared" si="4"/>
      </c>
      <c r="L143" s="110">
        <f t="shared" si="2"/>
      </c>
      <c r="M143" s="111">
        <f t="shared" si="5"/>
      </c>
      <c r="N143" s="112">
        <v>0</v>
      </c>
      <c r="O143" s="111">
        <f t="shared" si="0"/>
      </c>
      <c r="P143" s="124"/>
      <c r="Q143" s="106"/>
    </row>
    <row customHeight="true" ht="16.071428571428573" r="144">
      <c r="A144" s="123">
        <v>46142</v>
      </c>
      <c r="B144" s="117"/>
      <c r="C144" s="117"/>
      <c r="D144" s="138">
        <f>SUM(D140:D143)</f>
      </c>
      <c r="E144" s="117">
        <f>SUM(E140:E143)</f>
      </c>
      <c r="F144" s="117">
        <f>SUM(F140:F143)</f>
      </c>
      <c r="G144" s="117">
        <f>SUM(G140:G143)</f>
      </c>
      <c r="H144" s="117">
        <f>SUM(H140:H143)</f>
      </c>
      <c r="I144" s="117">
        <f>SUM(I140:I143)</f>
      </c>
      <c r="J144" s="118">
        <f t="shared" si="1"/>
      </c>
      <c r="K144" s="119">
        <f t="shared" si="4"/>
      </c>
      <c r="L144" s="119">
        <f t="shared" si="2"/>
      </c>
      <c r="M144" s="120">
        <f t="shared" si="5"/>
      </c>
      <c r="N144" s="117">
        <f>SUM(N140:N143)</f>
      </c>
      <c r="O144" s="120">
        <f t="shared" si="0"/>
      </c>
      <c r="P144" s="121"/>
      <c r="Q144" s="117">
        <f>SUM(Q140:Q143)</f>
      </c>
    </row>
    <row customHeight="true" ht="16.071428571428573" r="145"/>
    <row customHeight="true" ht="16.071428571428573" r="146"/>
    <row customHeight="true" ht="16.071428571428573" r="147"/>
    <row customHeight="true" ht="16.071428571428573" r="148"/>
    <row customHeight="true" ht="16.071428571428573" r="149"/>
    <row customHeight="true" ht="16.071428571428573" r="150"/>
    <row customHeight="true" ht="16.071428571428573" r="151"/>
    <row customHeight="true" ht="16.071428571428573" r="152"/>
    <row customHeight="true" ht="16.071428571428573" r="153"/>
    <row customHeight="true" ht="16.071428571428573" r="154">
      <c r="J154" s="139" t="s">
        <v>197</v>
      </c>
    </row>
    <row customHeight="true" ht="16.071428571428573" r="155">
      <c r="J155" s="140">
        <f t="shared" ref="J155:J161" si="3">G155/H155</f>
      </c>
    </row>
    <row customHeight="true" ht="16.071428571428573" r="156">
      <c r="J156" s="140">
        <f t="shared" si="3"/>
      </c>
    </row>
    <row customHeight="true" ht="16.071428571428573" r="157">
      <c r="J157" s="140">
        <f t="shared" si="3"/>
      </c>
    </row>
    <row customHeight="true" ht="16.071428571428573" r="158">
      <c r="J158" s="140">
        <f t="shared" si="3"/>
      </c>
    </row>
    <row customHeight="true" ht="16.071428571428573" r="159">
      <c r="J159" s="140">
        <f t="shared" si="3"/>
      </c>
    </row>
    <row customHeight="true" ht="16.071428571428573" r="160">
      <c r="J160" s="140">
        <f t="shared" si="3"/>
      </c>
    </row>
    <row customHeight="true" ht="16.071428571428573" r="161">
      <c r="J161" s="140">
        <f t="shared" si="3"/>
      </c>
    </row>
    <row customHeight="true" ht="16.071428571428573" r="162"/>
    <row customHeight="true" ht="16.071428571428573" r="163"/>
    <row customHeight="true" ht="16.071428571428573" r="164"/>
    <row customHeight="true" ht="16.071428571428573" r="165"/>
    <row customHeight="true" ht="16.071428571428573" r="166"/>
    <row customHeight="true" ht="16.071428571428573" r="167"/>
    <row customHeight="true" ht="16.071428571428573" r="168"/>
    <row customHeight="true" ht="16.071428571428573" r="169"/>
    <row customHeight="true" ht="16.071428571428573" r="170"/>
    <row customHeight="true" ht="16.071428571428573" r="171"/>
    <row customHeight="true" ht="16.071428571428573" r="172"/>
    <row customHeight="true" ht="16.071428571428573" r="173"/>
    <row customHeight="true" ht="16.071428571428573" r="174"/>
    <row customHeight="true" ht="16.071428571428573" r="175"/>
    <row customHeight="true" ht="16.071428571428573" r="176"/>
    <row customHeight="true" ht="16.071428571428573" r="177"/>
    <row customHeight="true" ht="16.071428571428573" r="178"/>
    <row customHeight="true" ht="16.071428571428573" r="179"/>
    <row customHeight="true" ht="16.071428571428573" r="180"/>
    <row customHeight="true" ht="16.071428571428573" r="181"/>
    <row customHeight="true" ht="16.071428571428573" r="182"/>
    <row customHeight="true" ht="16.071428571428573" r="183"/>
    <row customHeight="true" ht="16.071428571428573" r="184"/>
    <row customHeight="true" ht="16.071428571428573" r="185"/>
    <row customHeight="true" ht="16.071428571428573" r="186"/>
    <row customHeight="true" ht="16.071428571428573" r="187"/>
    <row customHeight="true" ht="16.071428571428573" r="188"/>
    <row customHeight="true" ht="16.071428571428573" r="189"/>
    <row customHeight="true" ht="16.071428571428573" r="190"/>
    <row customHeight="true" ht="16.071428571428573" r="191"/>
    <row customHeight="true" ht="16.071428571428573" r="192"/>
    <row customHeight="true" ht="16.071428571428573" r="193"/>
    <row customHeight="true" ht="16.071428571428573" r="194"/>
    <row customHeight="true" ht="16.071428571428573" r="195"/>
    <row customHeight="true" ht="16.071428571428573" r="196"/>
    <row customHeight="true" ht="16.071428571428573" r="197"/>
    <row customHeight="true" ht="16.071428571428573" r="198"/>
    <row customHeight="true" ht="16.071428571428573" r="199"/>
    <row customHeight="true" ht="16.071428571428573" r="200"/>
    <row customHeight="true" ht="16.071428571428573" r="201"/>
    <row customHeight="true" ht="16.071428571428573" r="202"/>
    <row customHeight="true" ht="16.071428571428573" r="203"/>
    <row customHeight="true" ht="16.071428571428573" r="204"/>
    <row customHeight="true" ht="16.071428571428573" r="205"/>
    <row customHeight="true" ht="16.071428571428573" r="206"/>
    <row customHeight="true" ht="16.071428571428573" r="207"/>
    <row customHeight="true" ht="16.071428571428573" r="208"/>
    <row customHeight="true" ht="16.071428571428573" r="209"/>
    <row customHeight="true" ht="16.071428571428573" r="210"/>
    <row customHeight="true" ht="16.071428571428573" r="211"/>
    <row customHeight="true" ht="16.071428571428573" r="212"/>
    <row customHeight="true" ht="16.071428571428573" r="213"/>
    <row customHeight="true" ht="16.071428571428573" r="214"/>
    <row customHeight="true" ht="16.071428571428573" r="215"/>
    <row customHeight="true" ht="16.071428571428573" r="216"/>
    <row customHeight="true" ht="16.071428571428573" r="217"/>
    <row customHeight="true" ht="16.071428571428573" r="218"/>
    <row customHeight="true" ht="16.071428571428573" r="219"/>
    <row customHeight="true" ht="16.071428571428573" r="220"/>
    <row customHeight="true" ht="16.071428571428573" r="221"/>
    <row customHeight="true" ht="16.071428571428573" r="222"/>
    <row customHeight="true" ht="16.071428571428573" r="223"/>
    <row customHeight="true" ht="16.071428571428573" r="224"/>
    <row customHeight="true" ht="16.071428571428573" r="225"/>
    <row customHeight="true" ht="16.071428571428573" r="226"/>
    <row customHeight="true" ht="16.071428571428573" r="227"/>
    <row customHeight="true" ht="16.071428571428573" r="228"/>
    <row customHeight="true" ht="16.071428571428573" r="229"/>
    <row customHeight="true" ht="16.071428571428573" r="230"/>
    <row customHeight="true" ht="16.071428571428573" r="231"/>
    <row customHeight="true" ht="16.071428571428573" r="232"/>
    <row customHeight="true" ht="16.071428571428573" r="233"/>
    <row customHeight="true" ht="16.071428571428573" r="234"/>
    <row customHeight="true" ht="16.071428571428573" r="235"/>
    <row customHeight="true" ht="16.071428571428573" r="236"/>
    <row customHeight="true" ht="16.071428571428573" r="237"/>
    <row customHeight="true" ht="16.071428571428573" r="238"/>
    <row customHeight="true" ht="16.071428571428573" r="239"/>
    <row customHeight="true" ht="16.071428571428573" r="240"/>
    <row customHeight="true" ht="16.071428571428573" r="241"/>
    <row customHeight="true" ht="16.071428571428573" r="242"/>
    <row customHeight="true" ht="16.071428571428573" r="243"/>
    <row customHeight="true" ht="16.071428571428573" r="244"/>
    <row customHeight="true" ht="16.071428571428573" r="245"/>
    <row customHeight="true" ht="16.071428571428573" r="246"/>
    <row customHeight="true" ht="16.071428571428573" r="247"/>
    <row customHeight="true" ht="16.071428571428573" r="248"/>
    <row customHeight="true" ht="16.071428571428573" r="249"/>
    <row customHeight="true" ht="16.071428571428573" r="250"/>
    <row customHeight="true" ht="16.071428571428573" r="251"/>
    <row customHeight="true" ht="16.071428571428573" r="252"/>
    <row customHeight="true" ht="16.071428571428573" r="253"/>
    <row customHeight="true" ht="16.071428571428573" r="254"/>
    <row customHeight="true" ht="16.071428571428573" r="255"/>
    <row customHeight="true" ht="16.071428571428573" r="256"/>
    <row customHeight="true" ht="16.071428571428573" r="257"/>
    <row customHeight="true" ht="16.071428571428573" r="258"/>
    <row customHeight="true" ht="16.071428571428573" r="259"/>
    <row customHeight="true" ht="16.071428571428573" r="260"/>
    <row customHeight="true" ht="16.071428571428573" r="261"/>
    <row customHeight="true" ht="16.071428571428573" r="262"/>
    <row customHeight="true" ht="16.071428571428573" r="263"/>
    <row customHeight="true" ht="16.071428571428573" r="264"/>
    <row customHeight="true" ht="16.071428571428573" r="265"/>
    <row customHeight="true" ht="16.071428571428573" r="266"/>
    <row customHeight="true" ht="16.071428571428573" r="267"/>
    <row customHeight="true" ht="16.071428571428573" r="268"/>
    <row customHeight="true" ht="16.071428571428573" r="269"/>
    <row customHeight="true" ht="16.071428571428573" r="270"/>
    <row customHeight="true" ht="16.071428571428573" r="271"/>
    <row customHeight="true" ht="16.071428571428573" r="272"/>
    <row customHeight="true" ht="16.071428571428573" r="273"/>
    <row customHeight="true" ht="16.071428571428573" r="274"/>
    <row customHeight="true" ht="16.071428571428573" r="275"/>
    <row customHeight="true" ht="16.071428571428573" r="276"/>
    <row customHeight="true" ht="16.071428571428573" r="277"/>
    <row customHeight="true" ht="16.071428571428573" r="278"/>
    <row customHeight="true" ht="16.071428571428573" r="279"/>
    <row customHeight="true" ht="16.071428571428573" r="280"/>
    <row customHeight="true" ht="16.071428571428573" r="281"/>
    <row customHeight="true" ht="16.071428571428573" r="282"/>
    <row customHeight="true" ht="16.071428571428573" r="283"/>
    <row customHeight="true" ht="16.071428571428573" r="284"/>
    <row customHeight="true" ht="16.071428571428573" r="285"/>
    <row customHeight="true" ht="16.071428571428573" r="286"/>
    <row customHeight="true" ht="16.071428571428573" r="287"/>
    <row customHeight="true" ht="16.071428571428573" r="288"/>
    <row customHeight="true" ht="16.071428571428573" r="289"/>
    <row customHeight="true" ht="16.071428571428573" r="290"/>
    <row customHeight="true" ht="16.071428571428573" r="291"/>
    <row customHeight="true" ht="16.071428571428573" r="292"/>
    <row customHeight="true" ht="16.071428571428573" r="293"/>
    <row customHeight="true" ht="16.071428571428573" r="294"/>
    <row customHeight="true" ht="16.071428571428573" r="295"/>
    <row customHeight="true" ht="16.071428571428573" r="296"/>
    <row customHeight="true" ht="16.071428571428573" r="297"/>
    <row customHeight="true" ht="16.071428571428573" r="298"/>
    <row customHeight="true" ht="16.071428571428573" r="299"/>
    <row customHeight="true" ht="16.071428571428573" r="300"/>
    <row customHeight="true" ht="16.071428571428573" r="301"/>
    <row customHeight="true" ht="16.071428571428573" r="302"/>
    <row customHeight="true" ht="16.071428571428573" r="303"/>
    <row customHeight="true" ht="16.071428571428573" r="304"/>
    <row customHeight="true" ht="16.071428571428573" r="305"/>
    <row customHeight="true" ht="16.071428571428573" r="306"/>
    <row customHeight="true" ht="16.071428571428573" r="307"/>
    <row customHeight="true" ht="16.071428571428573" r="308"/>
    <row customHeight="true" ht="16.071428571428573" r="309"/>
    <row customHeight="true" ht="16.071428571428573" r="310"/>
    <row customHeight="true" ht="16.071428571428573" r="311"/>
    <row customHeight="true" ht="16.071428571428573" r="312"/>
    <row customHeight="true" ht="16.071428571428573" r="313"/>
    <row customHeight="true" ht="16.071428571428573" r="314"/>
    <row customHeight="true" ht="16.071428571428573" r="315"/>
    <row customHeight="true" ht="16.071428571428573" r="316"/>
    <row customHeight="true" ht="16.071428571428573" r="317"/>
    <row customHeight="true" ht="16.071428571428573" r="318"/>
    <row customHeight="true" ht="16.071428571428573" r="319"/>
    <row customHeight="true" ht="16.071428571428573" r="320"/>
    <row customHeight="true" ht="16.071428571428573" r="321"/>
    <row customHeight="true" ht="16.071428571428573" r="322"/>
    <row customHeight="true" ht="16.071428571428573" r="323"/>
    <row customHeight="true" ht="16.071428571428573" r="324"/>
    <row customHeight="true" ht="16.071428571428573" r="325"/>
    <row customHeight="true" ht="16.071428571428573" r="326"/>
    <row r="327">
      <c r="N327" s="141"/>
    </row>
    <row r="328">
      <c r="H328" s="142"/>
      <c r="N328" s="143"/>
    </row>
    <row r="329"/>
    <row r="330"/>
    <row r="331"/>
    <row r="332"/>
    <row r="333"/>
    <row r="334"/>
    <row r="335"/>
    <row r="336">
      <c r="H336" s="143"/>
      <c r="I336" s="143"/>
      <c r="J336" s="127"/>
    </row>
    <row r="337">
      <c r="J337" s="127"/>
    </row>
    <row r="338">
      <c r="J338" s="109"/>
    </row>
    <row r="339">
      <c r="J339" s="127"/>
    </row>
    <row r="340">
      <c r="J340" s="109"/>
    </row>
    <row r="341">
      <c r="J341" s="109"/>
    </row>
    <row r="342">
      <c r="J342" s="109"/>
    </row>
    <row r="343">
      <c r="J343" s="109"/>
      <c r="O343" s="111"/>
    </row>
  </sheetData>
  <autoFilter ref="A1:Q15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RowHeight="16"/>
  <cols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19" min="19" style="0" width="11.211267605633802"/>
    <col collapsed="false" customWidth="true" hidden="false" max="21" min="21" style="0" width="11.211267605633802"/>
    <col collapsed="false" customWidth="true" hidden="false" max="23" min="23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8" min="18" style="0" width="11.211267605633802"/>
    <col collapsed="false" customWidth="true" hidden="false" max="20" min="20" style="0" width="11.211267605633802"/>
    <col collapsed="false" customWidth="true" hidden="false" max="22" min="22" style="0" width="11.211267605633802"/>
  </cols>
  <sheetData>
    <row r="1">
      <c r="A1" s="144" t="s">
        <v>198</v>
      </c>
      <c r="B1" s="145" t="s">
        <v>199</v>
      </c>
      <c r="C1" s="145" t="s">
        <v>200</v>
      </c>
      <c r="D1" s="145" t="s">
        <v>201</v>
      </c>
      <c r="E1" s="146" t="s">
        <v>202</v>
      </c>
      <c r="F1" s="145" t="s">
        <v>203</v>
      </c>
      <c r="G1" s="145" t="s">
        <v>204</v>
      </c>
      <c r="H1" s="145" t="s">
        <v>205</v>
      </c>
      <c r="I1" s="145" t="s">
        <v>206</v>
      </c>
      <c r="J1" s="147" t="s">
        <v>207</v>
      </c>
      <c r="K1" s="147" t="s">
        <v>208</v>
      </c>
      <c r="L1" s="147" t="s">
        <v>209</v>
      </c>
      <c r="M1" s="148" t="s">
        <v>210</v>
      </c>
      <c r="N1" s="148" t="s">
        <v>211</v>
      </c>
      <c r="O1" s="148" t="s">
        <v>212</v>
      </c>
      <c r="P1" s="147" t="s">
        <v>213</v>
      </c>
      <c r="Q1" s="145" t="s">
        <v>214</v>
      </c>
    </row>
    <row r="2">
      <c r="A2" s="149">
        <v>46143</v>
      </c>
      <c r="B2" s="150" t="s">
        <v>215</v>
      </c>
      <c r="C2" s="151" t="s">
        <v>216</v>
      </c>
      <c r="D2" s="151">
        <v>4</v>
      </c>
      <c r="E2" s="151">
        <v>16</v>
      </c>
      <c r="F2" s="151">
        <v>77</v>
      </c>
      <c r="G2" s="151">
        <v>63</v>
      </c>
      <c r="H2" s="152">
        <v>19291.9</v>
      </c>
      <c r="I2" s="151">
        <v>13145.92</v>
      </c>
      <c r="J2" s="153">
        <f t="shared" ref="J2:J145" si="3">H2/I2</f>
      </c>
      <c r="K2" s="153">
        <f t="shared" ref="K2:K145" si="0">H2/G2</f>
      </c>
      <c r="L2" s="154">
        <f t="shared" ref="L2:L145" si="4">I2/G2</f>
      </c>
      <c r="M2" s="155">
        <f t="shared" ref="M2:M145" si="1">E2/G2</f>
      </c>
      <c r="N2" s="156">
        <v>14</v>
      </c>
      <c r="O2" s="155">
        <f t="shared" ref="O2:O145" si="5">N2/G2</f>
      </c>
      <c r="P2" s="151" t="s">
        <v>217</v>
      </c>
      <c r="Q2" s="151">
        <v>7</v>
      </c>
      <c r="U2" s="157"/>
    </row>
    <row r="3">
      <c r="A3" s="149">
        <v>46143</v>
      </c>
      <c r="B3" s="150" t="s">
        <v>218</v>
      </c>
      <c r="C3" s="151" t="s">
        <v>219</v>
      </c>
      <c r="D3" s="151">
        <v>4</v>
      </c>
      <c r="E3" s="151">
        <v>9</v>
      </c>
      <c r="F3" s="151">
        <v>68</v>
      </c>
      <c r="G3" s="151">
        <v>41</v>
      </c>
      <c r="H3" s="151">
        <v>12519.399999999998</v>
      </c>
      <c r="I3" s="151">
        <v>13841.039999999999</v>
      </c>
      <c r="J3" s="153">
        <f t="shared" si="3"/>
      </c>
      <c r="K3" s="153">
        <f t="shared" si="0"/>
      </c>
      <c r="L3" s="154">
        <f t="shared" si="4"/>
      </c>
      <c r="M3" s="155">
        <f t="shared" si="1"/>
      </c>
      <c r="N3" s="156">
        <v>11</v>
      </c>
      <c r="O3" s="155">
        <f t="shared" si="5"/>
      </c>
      <c r="P3" s="151" t="s">
        <v>220</v>
      </c>
      <c r="Q3" s="151">
        <v>1</v>
      </c>
    </row>
    <row r="4">
      <c r="A4" s="149">
        <v>46143</v>
      </c>
      <c r="B4" s="150" t="s">
        <v>221</v>
      </c>
      <c r="C4" s="151" t="s">
        <v>222</v>
      </c>
      <c r="D4" s="151">
        <v>4</v>
      </c>
      <c r="E4" s="151">
        <v>7</v>
      </c>
      <c r="F4" s="151">
        <v>52</v>
      </c>
      <c r="G4" s="151">
        <v>37</v>
      </c>
      <c r="H4" s="151">
        <v>11656.7</v>
      </c>
      <c r="I4" s="151">
        <v>13511.25</v>
      </c>
      <c r="J4" s="153">
        <f t="shared" si="3"/>
      </c>
      <c r="K4" s="153">
        <f t="shared" si="0"/>
      </c>
      <c r="L4" s="154">
        <f t="shared" si="4"/>
      </c>
      <c r="M4" s="155">
        <f t="shared" si="1"/>
      </c>
      <c r="N4" s="156">
        <v>3</v>
      </c>
      <c r="O4" s="155">
        <f t="shared" si="5"/>
      </c>
      <c r="P4" s="158"/>
      <c r="Q4" s="158"/>
    </row>
    <row r="5">
      <c r="A5" s="149">
        <v>46143</v>
      </c>
      <c r="B5" s="150" t="s">
        <v>223</v>
      </c>
      <c r="C5" s="151" t="s">
        <v>224</v>
      </c>
      <c r="D5" s="151">
        <v>4</v>
      </c>
      <c r="E5" s="151">
        <v>12</v>
      </c>
      <c r="F5" s="151">
        <v>68</v>
      </c>
      <c r="G5" s="151">
        <v>48</v>
      </c>
      <c r="H5" s="151">
        <v>14907.900000000001</v>
      </c>
      <c r="I5" s="151">
        <v>13802.14</v>
      </c>
      <c r="J5" s="153">
        <f t="shared" si="3"/>
      </c>
      <c r="K5" s="153">
        <f t="shared" si="0"/>
      </c>
      <c r="L5" s="154">
        <f t="shared" si="4"/>
      </c>
      <c r="M5" s="155">
        <f t="shared" si="1"/>
      </c>
      <c r="N5" s="156">
        <v>17</v>
      </c>
      <c r="O5" s="155">
        <f t="shared" si="5"/>
      </c>
      <c r="P5" s="151" t="s">
        <v>225</v>
      </c>
      <c r="Q5" s="158">
        <v>8</v>
      </c>
    </row>
    <row r="6">
      <c r="A6" s="159">
        <v>46143</v>
      </c>
      <c r="B6" s="160"/>
      <c r="C6" s="160"/>
      <c r="D6" s="160">
        <f>SUM(D2:D5)</f>
      </c>
      <c r="E6" s="160">
        <f>SUM(E2:E5)</f>
      </c>
      <c r="F6" s="160">
        <f>SUM(F2:F5)</f>
      </c>
      <c r="G6" s="160">
        <f>SUM(G2:G5)</f>
      </c>
      <c r="H6" s="160">
        <f>SUM(H2:H5)</f>
      </c>
      <c r="I6" s="160">
        <f>SUM(I2:I5)</f>
      </c>
      <c r="J6" s="161">
        <f t="shared" si="3"/>
      </c>
      <c r="K6" s="162">
        <f t="shared" si="0"/>
      </c>
      <c r="L6" s="162">
        <f t="shared" si="4"/>
      </c>
      <c r="M6" s="163">
        <f t="shared" si="1"/>
      </c>
      <c r="N6" s="160">
        <f>SUM(N2:N5)</f>
      </c>
      <c r="O6" s="163">
        <f t="shared" si="5"/>
      </c>
      <c r="P6" s="164"/>
      <c r="Q6" s="160">
        <f>SUM(Q2:Q5)</f>
      </c>
      <c r="R6" s="157">
        <v>54300.35</v>
      </c>
    </row>
    <row r="7">
      <c r="A7" s="149">
        <v>46144</v>
      </c>
      <c r="B7" s="150" t="s">
        <v>218</v>
      </c>
      <c r="C7" s="151" t="s">
        <v>216</v>
      </c>
      <c r="D7" s="151">
        <v>4</v>
      </c>
      <c r="E7" s="151">
        <v>13</v>
      </c>
      <c r="F7" s="151">
        <v>53</v>
      </c>
      <c r="G7" s="151">
        <v>34</v>
      </c>
      <c r="H7" s="152">
        <v>12562.4</v>
      </c>
      <c r="I7" s="151">
        <v>11440.67</v>
      </c>
      <c r="J7" s="153">
        <f t="shared" si="3"/>
      </c>
      <c r="K7" s="153">
        <f t="shared" si="0"/>
      </c>
      <c r="L7" s="154">
        <f t="shared" si="4"/>
      </c>
      <c r="M7" s="155">
        <f t="shared" si="1"/>
      </c>
      <c r="N7" s="156">
        <v>6</v>
      </c>
      <c r="O7" s="155">
        <f t="shared" si="5"/>
      </c>
      <c r="P7" s="151" t="s">
        <v>217</v>
      </c>
      <c r="Q7" s="151">
        <v>7</v>
      </c>
    </row>
    <row r="8">
      <c r="A8" s="149">
        <v>46144</v>
      </c>
      <c r="B8" s="150" t="s">
        <v>221</v>
      </c>
      <c r="C8" s="151" t="s">
        <v>219</v>
      </c>
      <c r="D8" s="151">
        <v>4</v>
      </c>
      <c r="E8" s="151">
        <v>7</v>
      </c>
      <c r="F8" s="151">
        <v>59</v>
      </c>
      <c r="G8" s="151">
        <v>25</v>
      </c>
      <c r="H8" s="151">
        <v>7317.199999999999</v>
      </c>
      <c r="I8" s="151">
        <v>9533.99</v>
      </c>
      <c r="J8" s="153">
        <f t="shared" si="3"/>
      </c>
      <c r="K8" s="153">
        <f t="shared" si="0"/>
      </c>
      <c r="L8" s="154">
        <f t="shared" si="4"/>
      </c>
      <c r="M8" s="155">
        <f t="shared" si="1"/>
      </c>
      <c r="N8" s="156">
        <v>2</v>
      </c>
      <c r="O8" s="155">
        <f t="shared" si="5"/>
      </c>
      <c r="P8" s="151" t="s">
        <v>220</v>
      </c>
      <c r="Q8" s="151">
        <v>1</v>
      </c>
    </row>
    <row r="9">
      <c r="A9" s="149">
        <v>46144</v>
      </c>
      <c r="B9" s="150" t="s">
        <v>215</v>
      </c>
      <c r="C9" s="151" t="s">
        <v>222</v>
      </c>
      <c r="D9" s="151">
        <v>4</v>
      </c>
      <c r="E9" s="151">
        <v>6</v>
      </c>
      <c r="F9" s="151">
        <v>82</v>
      </c>
      <c r="G9" s="151">
        <v>47</v>
      </c>
      <c r="H9" s="151">
        <v>17972.65</v>
      </c>
      <c r="I9" s="151">
        <v>16878.039999999994</v>
      </c>
      <c r="J9" s="153">
        <f t="shared" si="3"/>
      </c>
      <c r="K9" s="153">
        <f t="shared" si="0"/>
      </c>
      <c r="L9" s="154">
        <f t="shared" si="4"/>
      </c>
      <c r="M9" s="155">
        <f t="shared" si="1"/>
      </c>
      <c r="N9" s="156">
        <v>5</v>
      </c>
      <c r="O9" s="155">
        <f t="shared" si="5"/>
      </c>
      <c r="P9" s="151" t="s">
        <v>226</v>
      </c>
      <c r="Q9" s="158">
        <v>8</v>
      </c>
    </row>
    <row r="10">
      <c r="A10" s="149">
        <v>46144</v>
      </c>
      <c r="B10" s="150" t="s">
        <v>223</v>
      </c>
      <c r="C10" s="151" t="s">
        <v>224</v>
      </c>
      <c r="D10" s="151">
        <v>4</v>
      </c>
      <c r="E10" s="151">
        <v>6</v>
      </c>
      <c r="F10" s="151">
        <v>104</v>
      </c>
      <c r="G10" s="151">
        <v>45</v>
      </c>
      <c r="H10" s="151">
        <v>18293.15</v>
      </c>
      <c r="I10" s="151">
        <v>15297.7</v>
      </c>
      <c r="J10" s="153">
        <f t="shared" si="3"/>
      </c>
      <c r="K10" s="153">
        <f t="shared" si="0"/>
      </c>
      <c r="L10" s="154">
        <f t="shared" si="4"/>
      </c>
      <c r="M10" s="155">
        <f t="shared" si="1"/>
      </c>
      <c r="N10" s="156">
        <v>9</v>
      </c>
      <c r="O10" s="155">
        <f t="shared" si="5"/>
      </c>
      <c r="P10" s="151"/>
      <c r="Q10" s="158"/>
    </row>
    <row r="11">
      <c r="A11" s="159">
        <v>46144</v>
      </c>
      <c r="B11" s="160"/>
      <c r="C11" s="160"/>
      <c r="D11" s="160">
        <f>SUM(D7:D10)</f>
      </c>
      <c r="E11" s="160">
        <f>SUM(E7:E10)</f>
      </c>
      <c r="F11" s="160">
        <f>SUM(F7:F10)</f>
      </c>
      <c r="G11" s="160">
        <f>SUM(G7:G10)</f>
      </c>
      <c r="H11" s="160">
        <f>SUM(H7:H10)</f>
      </c>
      <c r="I11" s="160">
        <f>SUM(I7:I10)</f>
      </c>
      <c r="J11" s="161">
        <f t="shared" si="3"/>
      </c>
      <c r="K11" s="162">
        <f t="shared" si="0"/>
      </c>
      <c r="L11" s="162">
        <f t="shared" si="4"/>
      </c>
      <c r="M11" s="163">
        <f t="shared" si="1"/>
      </c>
      <c r="N11" s="160">
        <f>SUM(N7:N10)</f>
      </c>
      <c r="O11" s="163">
        <f t="shared" si="5"/>
      </c>
      <c r="P11" s="164"/>
      <c r="Q11" s="160">
        <f>SUM(Q7:Q10)</f>
      </c>
      <c r="R11" s="157">
        <v>53150.4</v>
      </c>
    </row>
    <row r="12">
      <c r="A12" s="149">
        <v>46145</v>
      </c>
      <c r="B12" s="150" t="s">
        <v>218</v>
      </c>
      <c r="C12" s="151" t="s">
        <v>216</v>
      </c>
      <c r="D12" s="151">
        <v>4</v>
      </c>
      <c r="E12" s="151">
        <v>3</v>
      </c>
      <c r="F12" s="151">
        <v>41</v>
      </c>
      <c r="G12" s="151">
        <v>27</v>
      </c>
      <c r="H12" s="152">
        <v>7743.6</v>
      </c>
      <c r="I12" s="151">
        <v>8624.77</v>
      </c>
      <c r="J12" s="153">
        <f t="shared" si="3"/>
      </c>
      <c r="K12" s="153">
        <f t="shared" si="0"/>
      </c>
      <c r="L12" s="154">
        <f t="shared" si="4"/>
      </c>
      <c r="M12" s="155">
        <f t="shared" si="1"/>
      </c>
      <c r="N12" s="156">
        <v>4</v>
      </c>
      <c r="O12" s="155">
        <f t="shared" si="5"/>
      </c>
      <c r="P12" s="151" t="s">
        <v>227</v>
      </c>
      <c r="Q12" s="151">
        <v>7</v>
      </c>
    </row>
    <row r="13">
      <c r="A13" s="149">
        <v>46145</v>
      </c>
      <c r="B13" s="150" t="s">
        <v>221</v>
      </c>
      <c r="C13" s="151" t="s">
        <v>219</v>
      </c>
      <c r="D13" s="151">
        <v>4</v>
      </c>
      <c r="E13" s="151">
        <v>8</v>
      </c>
      <c r="F13" s="151">
        <v>63</v>
      </c>
      <c r="G13" s="151">
        <v>28</v>
      </c>
      <c r="H13" s="151">
        <v>9542.570000000002</v>
      </c>
      <c r="I13" s="151">
        <v>8661.4</v>
      </c>
      <c r="J13" s="153">
        <f t="shared" si="3"/>
      </c>
      <c r="K13" s="153">
        <f t="shared" si="0"/>
      </c>
      <c r="L13" s="154">
        <f t="shared" si="4"/>
      </c>
      <c r="M13" s="155">
        <f t="shared" si="1"/>
      </c>
      <c r="N13" s="156">
        <v>8</v>
      </c>
      <c r="O13" s="155">
        <f t="shared" si="5"/>
      </c>
      <c r="P13" s="151" t="s">
        <v>228</v>
      </c>
      <c r="Q13" s="151">
        <v>1</v>
      </c>
    </row>
    <row r="14">
      <c r="A14" s="149">
        <v>46145</v>
      </c>
      <c r="B14" s="150" t="s">
        <v>215</v>
      </c>
      <c r="C14" s="151" t="s">
        <v>222</v>
      </c>
      <c r="D14" s="151">
        <v>4</v>
      </c>
      <c r="E14" s="151">
        <v>6</v>
      </c>
      <c r="F14" s="151">
        <v>65</v>
      </c>
      <c r="G14" s="151">
        <v>23</v>
      </c>
      <c r="H14" s="151">
        <v>9214.619999999999</v>
      </c>
      <c r="I14" s="151">
        <v>9214.62</v>
      </c>
      <c r="J14" s="153">
        <f t="shared" si="3"/>
      </c>
      <c r="K14" s="153">
        <f t="shared" si="0"/>
      </c>
      <c r="L14" s="154">
        <f t="shared" si="4"/>
      </c>
      <c r="M14" s="155">
        <f t="shared" si="1"/>
      </c>
      <c r="N14" s="156">
        <v>3</v>
      </c>
      <c r="O14" s="155">
        <f t="shared" si="5"/>
      </c>
      <c r="P14" s="151" t="s">
        <v>229</v>
      </c>
      <c r="Q14" s="158">
        <v>8</v>
      </c>
    </row>
    <row r="15">
      <c r="A15" s="149">
        <v>46145</v>
      </c>
      <c r="B15" s="150" t="s">
        <v>223</v>
      </c>
      <c r="C15" s="151" t="s">
        <v>224</v>
      </c>
      <c r="D15" s="151">
        <v>4</v>
      </c>
      <c r="E15" s="151">
        <v>12</v>
      </c>
      <c r="F15" s="151">
        <v>43</v>
      </c>
      <c r="G15" s="151">
        <v>35</v>
      </c>
      <c r="H15" s="151">
        <v>12620.309999999998</v>
      </c>
      <c r="I15" s="151">
        <v>9033.74</v>
      </c>
      <c r="J15" s="153">
        <f t="shared" si="3"/>
      </c>
      <c r="K15" s="153">
        <f t="shared" si="0"/>
      </c>
      <c r="L15" s="154">
        <f t="shared" si="4"/>
      </c>
      <c r="M15" s="155">
        <f t="shared" si="1"/>
      </c>
      <c r="N15" s="156">
        <v>12</v>
      </c>
      <c r="O15" s="155">
        <f t="shared" si="5"/>
      </c>
      <c r="P15" s="151"/>
      <c r="Q15" s="158"/>
    </row>
    <row r="16">
      <c r="A16" s="159">
        <v>46145</v>
      </c>
      <c r="B16" s="160"/>
      <c r="C16" s="160"/>
      <c r="D16" s="160">
        <f>SUM(D12:D15)</f>
      </c>
      <c r="E16" s="160">
        <f>SUM(E12:E15)</f>
      </c>
      <c r="F16" s="160">
        <f>SUM(F12:F15)</f>
      </c>
      <c r="G16" s="160">
        <f>SUM(G12:G15)</f>
      </c>
      <c r="H16" s="160">
        <f>SUM(H12:H15)</f>
      </c>
      <c r="I16" s="160">
        <f>SUM(I12:I15)</f>
      </c>
      <c r="J16" s="161">
        <f t="shared" si="3"/>
      </c>
      <c r="K16" s="162">
        <f t="shared" si="0"/>
      </c>
      <c r="L16" s="162">
        <f t="shared" si="4"/>
      </c>
      <c r="M16" s="163">
        <f t="shared" si="1"/>
      </c>
      <c r="N16" s="160">
        <f>SUM(N12:N15)</f>
      </c>
      <c r="O16" s="163">
        <f t="shared" si="5"/>
      </c>
      <c r="P16" s="164"/>
      <c r="Q16" s="160">
        <f>SUM(Q12:Q15)</f>
      </c>
      <c r="R16" s="157">
        <v>35534.53</v>
      </c>
    </row>
    <row r="17">
      <c r="A17" s="149">
        <v>46146</v>
      </c>
      <c r="B17" s="150" t="s">
        <v>218</v>
      </c>
      <c r="C17" s="151" t="s">
        <v>216</v>
      </c>
      <c r="D17" s="151">
        <v>4</v>
      </c>
      <c r="E17" s="151">
        <v>3</v>
      </c>
      <c r="F17" s="151">
        <v>20</v>
      </c>
      <c r="G17" s="151">
        <v>10</v>
      </c>
      <c r="H17" s="151">
        <v>4545.6</v>
      </c>
      <c r="I17" s="151">
        <v>6025.98</v>
      </c>
      <c r="J17" s="153">
        <f t="shared" si="3"/>
      </c>
      <c r="K17" s="153">
        <f t="shared" si="0"/>
      </c>
      <c r="L17" s="154">
        <f t="shared" si="4"/>
      </c>
      <c r="M17" s="155">
        <f t="shared" si="1"/>
      </c>
      <c r="N17" s="156">
        <v>1</v>
      </c>
      <c r="O17" s="155">
        <f t="shared" si="5"/>
      </c>
      <c r="P17" s="151" t="s">
        <v>227</v>
      </c>
      <c r="Q17" s="151">
        <v>7</v>
      </c>
    </row>
    <row r="18">
      <c r="A18" s="149">
        <v>46146</v>
      </c>
      <c r="B18" s="150" t="s">
        <v>221</v>
      </c>
      <c r="C18" s="151" t="s">
        <v>219</v>
      </c>
      <c r="D18" s="151">
        <v>4</v>
      </c>
      <c r="E18" s="151">
        <v>1</v>
      </c>
      <c r="F18" s="151">
        <v>13</v>
      </c>
      <c r="G18" s="151">
        <v>8</v>
      </c>
      <c r="H18" s="151">
        <v>2009.2</v>
      </c>
      <c r="I18" s="151">
        <v>3932.9500000000007</v>
      </c>
      <c r="J18" s="153">
        <f t="shared" si="3"/>
      </c>
      <c r="K18" s="153">
        <f t="shared" si="0"/>
      </c>
      <c r="L18" s="154">
        <f t="shared" si="4"/>
      </c>
      <c r="M18" s="155">
        <f t="shared" si="1"/>
      </c>
      <c r="N18" s="156">
        <v>1</v>
      </c>
      <c r="O18" s="155">
        <f t="shared" si="5"/>
      </c>
      <c r="P18" s="151" t="s">
        <v>228</v>
      </c>
      <c r="Q18" s="151">
        <v>1</v>
      </c>
    </row>
    <row r="19">
      <c r="A19" s="149">
        <v>46146</v>
      </c>
      <c r="B19" s="150" t="s">
        <v>230</v>
      </c>
      <c r="C19" s="151" t="s">
        <v>222</v>
      </c>
      <c r="D19" s="151">
        <v>4</v>
      </c>
      <c r="E19" s="151">
        <v>4</v>
      </c>
      <c r="F19" s="151">
        <v>47</v>
      </c>
      <c r="G19" s="151">
        <v>28</v>
      </c>
      <c r="H19" s="151">
        <v>9989</v>
      </c>
      <c r="I19" s="151">
        <v>7508.98</v>
      </c>
      <c r="J19" s="153">
        <f t="shared" si="3"/>
      </c>
      <c r="K19" s="153">
        <f t="shared" si="0"/>
      </c>
      <c r="L19" s="154">
        <f t="shared" si="4"/>
      </c>
      <c r="M19" s="155">
        <f t="shared" si="1"/>
      </c>
      <c r="N19" s="156">
        <v>6</v>
      </c>
      <c r="O19" s="155">
        <f t="shared" si="5"/>
      </c>
      <c r="P19" s="151" t="s">
        <v>225</v>
      </c>
      <c r="Q19" s="158">
        <v>8</v>
      </c>
    </row>
    <row r="20">
      <c r="A20" s="149">
        <v>46146</v>
      </c>
      <c r="B20" s="150" t="s">
        <v>223</v>
      </c>
      <c r="C20" s="151" t="s">
        <v>224</v>
      </c>
      <c r="D20" s="151">
        <v>4</v>
      </c>
      <c r="E20" s="151">
        <v>4</v>
      </c>
      <c r="F20" s="151">
        <v>40</v>
      </c>
      <c r="G20" s="151">
        <v>27</v>
      </c>
      <c r="H20" s="151">
        <v>8906.6</v>
      </c>
      <c r="I20" s="151">
        <v>7155.98</v>
      </c>
      <c r="J20" s="153">
        <f t="shared" si="3"/>
      </c>
      <c r="K20" s="153">
        <f t="shared" si="0"/>
      </c>
      <c r="L20" s="154">
        <f t="shared" si="4"/>
      </c>
      <c r="M20" s="155">
        <f t="shared" si="1"/>
      </c>
      <c r="N20" s="156">
        <v>5</v>
      </c>
      <c r="O20" s="155">
        <f t="shared" si="5"/>
      </c>
      <c r="P20" s="151"/>
      <c r="Q20" s="158"/>
    </row>
    <row r="21">
      <c r="A21" s="159">
        <v>46146</v>
      </c>
      <c r="B21" s="160"/>
      <c r="C21" s="160"/>
      <c r="D21" s="160">
        <f>SUM(D17:D20)</f>
      </c>
      <c r="E21" s="160">
        <f>SUM(E17:E20)</f>
      </c>
      <c r="F21" s="160">
        <f>SUM(F17:F20)</f>
      </c>
      <c r="G21" s="160">
        <f>SUM(G17:G20)</f>
      </c>
      <c r="H21" s="160">
        <f>SUM(H17:H20)</f>
      </c>
      <c r="I21" s="160">
        <f>SUM(I17:I20)</f>
      </c>
      <c r="J21" s="161">
        <f t="shared" si="3"/>
      </c>
      <c r="K21" s="162">
        <f t="shared" si="0"/>
      </c>
      <c r="L21" s="162">
        <f t="shared" si="4"/>
      </c>
      <c r="M21" s="163">
        <f t="shared" si="1"/>
      </c>
      <c r="N21" s="160">
        <f>SUM(N17:N20)</f>
      </c>
      <c r="O21" s="163">
        <f t="shared" si="5"/>
      </c>
      <c r="P21" s="164"/>
      <c r="Q21" s="160">
        <f>SUM(Q17:Q20)</f>
      </c>
      <c r="R21" s="165">
        <v>24623.89</v>
      </c>
    </row>
    <row r="22">
      <c r="A22" s="149">
        <v>46147</v>
      </c>
      <c r="B22" s="150" t="s">
        <v>215</v>
      </c>
      <c r="C22" s="151" t="s">
        <v>216</v>
      </c>
      <c r="D22" s="151">
        <v>4</v>
      </c>
      <c r="E22" s="151">
        <v>3</v>
      </c>
      <c r="F22" s="151">
        <v>30</v>
      </c>
      <c r="G22" s="151">
        <v>13</v>
      </c>
      <c r="H22" s="151">
        <v>4658.3</v>
      </c>
      <c r="I22" s="151">
        <v>6355.35</v>
      </c>
      <c r="J22" s="153">
        <f t="shared" si="3"/>
      </c>
      <c r="K22" s="153">
        <f t="shared" si="0"/>
      </c>
      <c r="L22" s="154">
        <f t="shared" si="4"/>
      </c>
      <c r="M22" s="155">
        <f t="shared" si="1"/>
      </c>
      <c r="N22" s="156">
        <v>0</v>
      </c>
      <c r="O22" s="155">
        <f t="shared" si="5"/>
      </c>
      <c r="P22" s="151" t="s">
        <v>227</v>
      </c>
      <c r="Q22" s="151">
        <v>7</v>
      </c>
    </row>
    <row r="23">
      <c r="A23" s="149">
        <v>46147</v>
      </c>
      <c r="B23" s="150" t="s">
        <v>221</v>
      </c>
      <c r="C23" s="151" t="s">
        <v>219</v>
      </c>
      <c r="D23" s="151">
        <v>4</v>
      </c>
      <c r="E23" s="151">
        <v>4</v>
      </c>
      <c r="F23" s="151">
        <v>25</v>
      </c>
      <c r="G23" s="151">
        <v>18</v>
      </c>
      <c r="H23" s="151">
        <v>5705.2</v>
      </c>
      <c r="I23" s="151">
        <v>4923.629999999999</v>
      </c>
      <c r="J23" s="153">
        <f t="shared" si="3"/>
      </c>
      <c r="K23" s="153">
        <f t="shared" si="0"/>
      </c>
      <c r="L23" s="154">
        <f t="shared" si="4"/>
      </c>
      <c r="M23" s="155">
        <f t="shared" si="1"/>
      </c>
      <c r="N23" s="156">
        <v>2</v>
      </c>
      <c r="O23" s="155">
        <f t="shared" si="5"/>
      </c>
      <c r="P23" s="151" t="s">
        <v>228</v>
      </c>
      <c r="Q23" s="151">
        <v>1</v>
      </c>
    </row>
    <row r="24">
      <c r="A24" s="149">
        <v>46147</v>
      </c>
      <c r="B24" s="150" t="s">
        <v>230</v>
      </c>
      <c r="C24" s="151" t="s">
        <v>222</v>
      </c>
      <c r="D24" s="151">
        <v>4</v>
      </c>
      <c r="E24" s="151">
        <v>4</v>
      </c>
      <c r="F24" s="151">
        <v>30</v>
      </c>
      <c r="G24" s="151">
        <v>22</v>
      </c>
      <c r="H24" s="151">
        <v>7829.0999999999985</v>
      </c>
      <c r="I24" s="151">
        <v>6874.23</v>
      </c>
      <c r="J24" s="153">
        <f t="shared" si="3"/>
      </c>
      <c r="K24" s="153">
        <f t="shared" si="0"/>
      </c>
      <c r="L24" s="154">
        <f t="shared" si="4"/>
      </c>
      <c r="M24" s="155">
        <f t="shared" si="1"/>
      </c>
      <c r="N24" s="156">
        <v>4</v>
      </c>
      <c r="O24" s="155">
        <f t="shared" si="5"/>
      </c>
      <c r="P24" s="151" t="s">
        <v>225</v>
      </c>
      <c r="Q24" s="158">
        <v>8</v>
      </c>
    </row>
    <row r="25">
      <c r="A25" s="149">
        <v>46147</v>
      </c>
      <c r="B25" s="150" t="s">
        <v>223</v>
      </c>
      <c r="C25" s="151" t="s">
        <v>224</v>
      </c>
      <c r="D25" s="151">
        <v>4</v>
      </c>
      <c r="E25" s="151">
        <v>9</v>
      </c>
      <c r="F25" s="151">
        <v>63</v>
      </c>
      <c r="G25" s="151">
        <v>44</v>
      </c>
      <c r="H25" s="151">
        <v>16150.400000000001</v>
      </c>
      <c r="I25" s="151">
        <v>12362.68</v>
      </c>
      <c r="J25" s="153">
        <f t="shared" si="3"/>
      </c>
      <c r="K25" s="153">
        <f t="shared" si="0"/>
      </c>
      <c r="L25" s="154">
        <f t="shared" si="4"/>
      </c>
      <c r="M25" s="155">
        <f t="shared" si="1"/>
      </c>
      <c r="N25" s="156">
        <v>4</v>
      </c>
      <c r="O25" s="155">
        <f t="shared" si="5"/>
      </c>
      <c r="P25" s="151"/>
      <c r="Q25" s="158"/>
    </row>
    <row r="26">
      <c r="A26" s="159">
        <v>46147</v>
      </c>
      <c r="B26" s="160"/>
      <c r="C26" s="160"/>
      <c r="D26" s="160">
        <f>SUM(D22:D25)</f>
      </c>
      <c r="E26" s="160">
        <f>SUM(E22:E25)</f>
      </c>
      <c r="F26" s="160">
        <f>SUM(F22:F25)</f>
      </c>
      <c r="G26" s="160">
        <f>SUM(G22:G25)</f>
      </c>
      <c r="H26" s="160">
        <f>SUM(H22:H25)</f>
      </c>
      <c r="I26" s="160">
        <f>SUM(I22:I25)</f>
      </c>
      <c r="J26" s="161">
        <f t="shared" si="3"/>
      </c>
      <c r="K26" s="162">
        <f t="shared" si="0"/>
      </c>
      <c r="L26" s="162">
        <f t="shared" si="4"/>
      </c>
      <c r="M26" s="163">
        <f t="shared" si="1"/>
      </c>
      <c r="N26" s="160">
        <f>SUM(N22:N25)</f>
      </c>
      <c r="O26" s="163">
        <f t="shared" si="5"/>
      </c>
      <c r="P26" s="164"/>
      <c r="Q26" s="160">
        <f>SUM(Q22:Q25)</f>
      </c>
      <c r="R26" s="157">
        <v>30515.89</v>
      </c>
    </row>
    <row r="27">
      <c r="A27" s="149">
        <v>46148</v>
      </c>
      <c r="B27" s="150" t="s">
        <v>215</v>
      </c>
      <c r="C27" s="151" t="s">
        <v>216</v>
      </c>
      <c r="D27" s="151">
        <v>4</v>
      </c>
      <c r="E27" s="151">
        <v>2</v>
      </c>
      <c r="F27" s="151">
        <v>21</v>
      </c>
      <c r="G27" s="151">
        <v>11</v>
      </c>
      <c r="H27" s="152">
        <v>4222.4</v>
      </c>
      <c r="I27" s="151">
        <v>5331.24</v>
      </c>
      <c r="J27" s="153">
        <f t="shared" si="3"/>
      </c>
      <c r="K27" s="153">
        <f t="shared" si="0"/>
      </c>
      <c r="L27" s="154">
        <f t="shared" si="4"/>
      </c>
      <c r="M27" s="155">
        <f t="shared" si="1"/>
      </c>
      <c r="N27" s="156">
        <v>1</v>
      </c>
      <c r="O27" s="155">
        <f t="shared" si="5"/>
      </c>
      <c r="P27" s="151" t="s">
        <v>227</v>
      </c>
      <c r="Q27" s="151">
        <v>7</v>
      </c>
    </row>
    <row r="28">
      <c r="A28" s="149">
        <v>46148</v>
      </c>
      <c r="B28" s="150" t="s">
        <v>218</v>
      </c>
      <c r="C28" s="151" t="s">
        <v>231</v>
      </c>
      <c r="D28" s="151">
        <v>3</v>
      </c>
      <c r="E28" s="151">
        <v>2</v>
      </c>
      <c r="F28" s="151">
        <v>11</v>
      </c>
      <c r="G28" s="151">
        <v>5</v>
      </c>
      <c r="H28" s="151">
        <v>1697.2</v>
      </c>
      <c r="I28" s="151">
        <v>3476</v>
      </c>
      <c r="J28" s="153">
        <f t="shared" si="3"/>
      </c>
      <c r="K28" s="153">
        <f t="shared" si="0"/>
      </c>
      <c r="L28" s="154">
        <f t="shared" si="4"/>
      </c>
      <c r="M28" s="155">
        <f t="shared" si="1"/>
      </c>
      <c r="N28" s="156">
        <v>2</v>
      </c>
      <c r="O28" s="155">
        <f t="shared" si="5"/>
      </c>
      <c r="P28" s="151" t="s">
        <v>228</v>
      </c>
      <c r="Q28" s="151">
        <v>1</v>
      </c>
    </row>
    <row r="29">
      <c r="A29" s="149">
        <v>46148</v>
      </c>
      <c r="B29" s="150" t="s">
        <v>230</v>
      </c>
      <c r="C29" s="151" t="s">
        <v>232</v>
      </c>
      <c r="D29" s="151">
        <v>5</v>
      </c>
      <c r="E29" s="151">
        <v>9</v>
      </c>
      <c r="F29" s="151">
        <v>43</v>
      </c>
      <c r="G29" s="151">
        <v>28</v>
      </c>
      <c r="H29" s="151">
        <v>8984.600000000002</v>
      </c>
      <c r="I29" s="151">
        <v>9660.6</v>
      </c>
      <c r="J29" s="153">
        <f t="shared" si="3"/>
      </c>
      <c r="K29" s="153">
        <f t="shared" si="0"/>
      </c>
      <c r="L29" s="154">
        <f t="shared" si="4"/>
      </c>
      <c r="M29" s="155">
        <f t="shared" si="1"/>
      </c>
      <c r="N29" s="156">
        <v>4</v>
      </c>
      <c r="O29" s="155">
        <f t="shared" si="5"/>
      </c>
      <c r="P29" s="151" t="s">
        <v>225</v>
      </c>
      <c r="Q29" s="158">
        <v>8</v>
      </c>
    </row>
    <row r="30">
      <c r="A30" s="149">
        <v>46148</v>
      </c>
      <c r="B30" s="150" t="s">
        <v>223</v>
      </c>
      <c r="C30" s="151" t="s">
        <v>224</v>
      </c>
      <c r="D30" s="151">
        <v>4</v>
      </c>
      <c r="E30" s="151">
        <v>3</v>
      </c>
      <c r="F30" s="151">
        <v>35</v>
      </c>
      <c r="G30" s="151">
        <v>23</v>
      </c>
      <c r="H30" s="151">
        <v>7729.200000000001</v>
      </c>
      <c r="I30" s="151">
        <v>6481.040000000001</v>
      </c>
      <c r="J30" s="153">
        <f t="shared" si="3"/>
      </c>
      <c r="K30" s="153">
        <f t="shared" si="0"/>
      </c>
      <c r="L30" s="154">
        <f t="shared" si="4"/>
      </c>
      <c r="M30" s="155">
        <f t="shared" si="1"/>
      </c>
      <c r="N30" s="156">
        <v>6</v>
      </c>
      <c r="O30" s="155">
        <f t="shared" si="5"/>
      </c>
      <c r="P30" s="151"/>
      <c r="Q30" s="158"/>
    </row>
    <row r="31">
      <c r="A31" s="159">
        <v>46148</v>
      </c>
      <c r="B31" s="160"/>
      <c r="C31" s="160"/>
      <c r="D31" s="160">
        <f>SUM(D27:D30)</f>
      </c>
      <c r="E31" s="160">
        <f>SUM(E27:E30)</f>
      </c>
      <c r="F31" s="160">
        <f>SUM(F27:F30)</f>
      </c>
      <c r="G31" s="160">
        <f>SUM(G27:G30)</f>
      </c>
      <c r="H31" s="160">
        <f>SUM(H27:H30)</f>
      </c>
      <c r="I31" s="160">
        <f>SUM(I27:I30)</f>
      </c>
      <c r="J31" s="161">
        <f t="shared" si="3"/>
      </c>
      <c r="K31" s="162">
        <f t="shared" si="0"/>
      </c>
      <c r="L31" s="162">
        <f t="shared" si="4"/>
      </c>
      <c r="M31" s="163">
        <f t="shared" si="1"/>
      </c>
      <c r="N31" s="160">
        <f>SUM(N27:N30)</f>
      </c>
      <c r="O31" s="163">
        <f t="shared" si="5"/>
      </c>
      <c r="P31" s="164"/>
      <c r="Q31" s="160">
        <f>SUM(Q27:Q30)</f>
      </c>
      <c r="R31" s="157">
        <v>24948.88</v>
      </c>
    </row>
    <row r="32">
      <c r="A32" s="149">
        <v>46149</v>
      </c>
      <c r="B32" s="150" t="s">
        <v>215</v>
      </c>
      <c r="C32" s="151" t="s">
        <v>216</v>
      </c>
      <c r="D32" s="151">
        <v>4</v>
      </c>
      <c r="E32" s="151">
        <v>3</v>
      </c>
      <c r="F32" s="151">
        <v>46</v>
      </c>
      <c r="G32" s="151">
        <v>33</v>
      </c>
      <c r="H32" s="151">
        <v>10378.8</v>
      </c>
      <c r="I32" s="151">
        <v>8217.36</v>
      </c>
      <c r="J32" s="153">
        <f t="shared" si="3"/>
      </c>
      <c r="K32" s="153">
        <f t="shared" si="0"/>
      </c>
      <c r="L32" s="154">
        <f t="shared" si="4"/>
      </c>
      <c r="M32" s="155">
        <f t="shared" si="1"/>
      </c>
      <c r="N32" s="156">
        <v>2</v>
      </c>
      <c r="O32" s="155">
        <f t="shared" si="5"/>
      </c>
      <c r="P32" s="151" t="s">
        <v>227</v>
      </c>
      <c r="Q32" s="151">
        <v>7</v>
      </c>
    </row>
    <row r="33">
      <c r="A33" s="149">
        <v>46149</v>
      </c>
      <c r="B33" s="150" t="s">
        <v>230</v>
      </c>
      <c r="C33" s="151" t="s">
        <v>219</v>
      </c>
      <c r="D33" s="151">
        <v>4</v>
      </c>
      <c r="E33" s="151">
        <v>10</v>
      </c>
      <c r="F33" s="151">
        <v>46</v>
      </c>
      <c r="G33" s="151">
        <v>30</v>
      </c>
      <c r="H33" s="151">
        <v>10574.100000000002</v>
      </c>
      <c r="I33" s="151">
        <v>12795.34</v>
      </c>
      <c r="J33" s="153">
        <f t="shared" si="3"/>
      </c>
      <c r="K33" s="153">
        <f t="shared" si="0"/>
      </c>
      <c r="L33" s="154">
        <f t="shared" si="4"/>
      </c>
      <c r="M33" s="155">
        <f t="shared" si="1"/>
      </c>
      <c r="N33" s="156">
        <v>5</v>
      </c>
      <c r="O33" s="155">
        <f t="shared" si="5"/>
      </c>
      <c r="P33" s="151" t="s">
        <v>228</v>
      </c>
      <c r="Q33" s="151">
        <v>1</v>
      </c>
    </row>
    <row r="34">
      <c r="A34" s="149">
        <v>46149</v>
      </c>
      <c r="B34" s="150" t="s">
        <v>221</v>
      </c>
      <c r="C34" s="151" t="s">
        <v>222</v>
      </c>
      <c r="D34" s="151">
        <v>4</v>
      </c>
      <c r="E34" s="151">
        <v>7</v>
      </c>
      <c r="F34" s="151">
        <v>26</v>
      </c>
      <c r="G34" s="151">
        <v>16</v>
      </c>
      <c r="H34" s="151">
        <v>4904.199999999997</v>
      </c>
      <c r="I34" s="151">
        <v>7677.509999999998</v>
      </c>
      <c r="J34" s="153">
        <f t="shared" si="3"/>
      </c>
      <c r="K34" s="153">
        <f t="shared" si="0"/>
      </c>
      <c r="L34" s="154">
        <f t="shared" si="4"/>
      </c>
      <c r="M34" s="155">
        <f t="shared" si="1"/>
      </c>
      <c r="N34" s="156">
        <v>3</v>
      </c>
      <c r="O34" s="155">
        <f t="shared" si="5"/>
      </c>
      <c r="P34" s="151" t="s">
        <v>225</v>
      </c>
      <c r="Q34" s="158">
        <v>8</v>
      </c>
    </row>
    <row r="35">
      <c r="A35" s="149">
        <v>46149</v>
      </c>
      <c r="B35" s="150" t="s">
        <v>223</v>
      </c>
      <c r="C35" s="151" t="s">
        <v>224</v>
      </c>
      <c r="D35" s="151">
        <v>4</v>
      </c>
      <c r="E35" s="151">
        <v>5</v>
      </c>
      <c r="F35" s="151">
        <v>41</v>
      </c>
      <c r="G35" s="151">
        <v>31</v>
      </c>
      <c r="H35" s="151">
        <v>12601.900000000001</v>
      </c>
      <c r="I35" s="151">
        <v>10835.11</v>
      </c>
      <c r="J35" s="153">
        <f t="shared" si="3"/>
      </c>
      <c r="K35" s="153">
        <f t="shared" si="0"/>
      </c>
      <c r="L35" s="154">
        <f t="shared" si="4"/>
      </c>
      <c r="M35" s="155">
        <f t="shared" si="1"/>
      </c>
      <c r="N35" s="156">
        <v>5</v>
      </c>
      <c r="O35" s="155">
        <f t="shared" si="5"/>
      </c>
      <c r="P35" s="151"/>
      <c r="Q35" s="158"/>
    </row>
    <row r="36">
      <c r="A36" s="159">
        <v>46149</v>
      </c>
      <c r="B36" s="160"/>
      <c r="C36" s="160"/>
      <c r="D36" s="160">
        <f>SUM(D32:D35)</f>
      </c>
      <c r="E36" s="160">
        <f>SUM(E32:E35)</f>
      </c>
      <c r="F36" s="160">
        <f>SUM(F32:F35)</f>
      </c>
      <c r="G36" s="160">
        <f>SUM(G32:G35)</f>
      </c>
      <c r="H36" s="160">
        <f>SUM(H32:H35)</f>
      </c>
      <c r="I36" s="160">
        <f>SUM(I32:I35)</f>
      </c>
      <c r="J36" s="161">
        <f t="shared" si="3"/>
      </c>
      <c r="K36" s="162">
        <f t="shared" si="0"/>
      </c>
      <c r="L36" s="162">
        <f t="shared" si="4"/>
      </c>
      <c r="M36" s="163">
        <f t="shared" si="1"/>
      </c>
      <c r="N36" s="160">
        <f>SUM(N32:N35)</f>
      </c>
      <c r="O36" s="163">
        <f t="shared" si="5"/>
      </c>
      <c r="P36" s="164"/>
      <c r="Q36" s="160">
        <f>SUM(Q32:Q35)</f>
      </c>
      <c r="R36" s="157">
        <v>39525.32</v>
      </c>
    </row>
    <row r="37">
      <c r="A37" s="149">
        <v>46150</v>
      </c>
      <c r="B37" s="150" t="s">
        <v>215</v>
      </c>
      <c r="C37" s="151" t="s">
        <v>216</v>
      </c>
      <c r="D37" s="151">
        <v>4</v>
      </c>
      <c r="E37" s="151">
        <v>13</v>
      </c>
      <c r="F37" s="151">
        <v>45</v>
      </c>
      <c r="G37" s="151">
        <v>37</v>
      </c>
      <c r="H37" s="152">
        <v>11930.7</v>
      </c>
      <c r="I37" s="151">
        <v>9230.029999999999</v>
      </c>
      <c r="J37" s="153">
        <f t="shared" si="3"/>
      </c>
      <c r="K37" s="153">
        <f t="shared" si="0"/>
      </c>
      <c r="L37" s="154">
        <f t="shared" si="4"/>
      </c>
      <c r="M37" s="155">
        <f t="shared" si="1"/>
      </c>
      <c r="N37" s="156">
        <v>5</v>
      </c>
      <c r="O37" s="155">
        <f t="shared" si="5"/>
      </c>
      <c r="P37" s="151" t="s">
        <v>227</v>
      </c>
      <c r="Q37" s="151">
        <v>7</v>
      </c>
    </row>
    <row r="38">
      <c r="A38" s="149">
        <v>46150</v>
      </c>
      <c r="B38" s="150" t="s">
        <v>221</v>
      </c>
      <c r="C38" s="151" t="s">
        <v>219</v>
      </c>
      <c r="D38" s="151">
        <v>4</v>
      </c>
      <c r="E38" s="151">
        <v>4</v>
      </c>
      <c r="F38" s="151">
        <v>43</v>
      </c>
      <c r="G38" s="151">
        <v>24</v>
      </c>
      <c r="H38" s="151">
        <v>10582.7</v>
      </c>
      <c r="I38" s="151">
        <v>10975.300000000003</v>
      </c>
      <c r="J38" s="153">
        <f t="shared" si="3"/>
      </c>
      <c r="K38" s="153">
        <f t="shared" si="0"/>
      </c>
      <c r="L38" s="154">
        <f t="shared" si="4"/>
      </c>
      <c r="M38" s="155">
        <f t="shared" si="1"/>
      </c>
      <c r="N38" s="156">
        <v>3</v>
      </c>
      <c r="O38" s="155">
        <f t="shared" si="5"/>
      </c>
      <c r="P38" s="151" t="s">
        <v>228</v>
      </c>
      <c r="Q38" s="151">
        <v>1</v>
      </c>
    </row>
    <row r="39">
      <c r="A39" s="149">
        <v>46150</v>
      </c>
      <c r="B39" s="150" t="s">
        <v>230</v>
      </c>
      <c r="C39" s="151" t="s">
        <v>222</v>
      </c>
      <c r="D39" s="151">
        <v>4</v>
      </c>
      <c r="E39" s="151">
        <v>9</v>
      </c>
      <c r="F39" s="151">
        <v>59</v>
      </c>
      <c r="G39" s="151">
        <v>44</v>
      </c>
      <c r="H39" s="151">
        <v>12378.599999999999</v>
      </c>
      <c r="I39" s="151">
        <v>12274.579999999998</v>
      </c>
      <c r="J39" s="153">
        <f t="shared" si="3"/>
      </c>
      <c r="K39" s="153">
        <f t="shared" si="0"/>
      </c>
      <c r="L39" s="154">
        <f t="shared" si="4"/>
      </c>
      <c r="M39" s="155">
        <f t="shared" si="1"/>
      </c>
      <c r="N39" s="156">
        <v>8</v>
      </c>
      <c r="O39" s="155">
        <f t="shared" si="5"/>
      </c>
      <c r="P39" s="151" t="s">
        <v>225</v>
      </c>
      <c r="Q39" s="158">
        <v>8</v>
      </c>
    </row>
    <row r="40">
      <c r="A40" s="149">
        <v>46150</v>
      </c>
      <c r="B40" s="150" t="s">
        <v>223</v>
      </c>
      <c r="C40" s="151" t="s">
        <v>224</v>
      </c>
      <c r="D40" s="151">
        <v>4</v>
      </c>
      <c r="E40" s="151">
        <v>15</v>
      </c>
      <c r="F40" s="151">
        <v>64</v>
      </c>
      <c r="G40" s="151">
        <v>48</v>
      </c>
      <c r="H40" s="151">
        <v>13875.699999999997</v>
      </c>
      <c r="I40" s="151">
        <v>14626.57</v>
      </c>
      <c r="J40" s="153">
        <f t="shared" si="3"/>
      </c>
      <c r="K40" s="153">
        <f t="shared" si="0"/>
      </c>
      <c r="L40" s="154">
        <f t="shared" si="4"/>
      </c>
      <c r="M40" s="155">
        <f t="shared" si="1"/>
      </c>
      <c r="N40" s="156">
        <v>10</v>
      </c>
      <c r="O40" s="155">
        <f t="shared" si="5"/>
      </c>
      <c r="P40" s="151"/>
      <c r="Q40" s="158"/>
    </row>
    <row r="41">
      <c r="A41" s="159">
        <v>46150</v>
      </c>
      <c r="B41" s="160"/>
      <c r="C41" s="160"/>
      <c r="D41" s="160">
        <f>SUM(D37:D40)</f>
      </c>
      <c r="E41" s="160">
        <f>SUM(E37:E40)</f>
      </c>
      <c r="F41" s="160">
        <f>SUM(F37:F40)</f>
      </c>
      <c r="G41" s="160">
        <f>SUM(G37:G40)</f>
      </c>
      <c r="H41" s="160">
        <f>SUM(H37:H40)</f>
      </c>
      <c r="I41" s="160">
        <f>SUM(I37:I40)</f>
      </c>
      <c r="J41" s="161">
        <f t="shared" si="3"/>
      </c>
      <c r="K41" s="162">
        <f t="shared" si="0"/>
      </c>
      <c r="L41" s="162">
        <f t="shared" si="4"/>
      </c>
      <c r="M41" s="163">
        <f t="shared" si="1"/>
      </c>
      <c r="N41" s="160">
        <f>SUM(N37:N40)</f>
      </c>
      <c r="O41" s="163">
        <f t="shared" si="5"/>
      </c>
      <c r="P41" s="164"/>
      <c r="Q41" s="160">
        <f>SUM(Q37:Q40)</f>
      </c>
      <c r="R41" s="157">
        <v>47106.48</v>
      </c>
    </row>
    <row r="42">
      <c r="A42" s="149">
        <v>46151</v>
      </c>
      <c r="B42" s="150" t="s">
        <v>223</v>
      </c>
      <c r="C42" s="151" t="s">
        <v>216</v>
      </c>
      <c r="D42" s="151">
        <v>4</v>
      </c>
      <c r="E42" s="151">
        <v>8</v>
      </c>
      <c r="F42" s="151">
        <v>43</v>
      </c>
      <c r="G42" s="151">
        <v>31</v>
      </c>
      <c r="H42" s="152">
        <v>9450.8</v>
      </c>
      <c r="I42" s="151">
        <v>9623.02</v>
      </c>
      <c r="J42" s="153">
        <f t="shared" si="3"/>
      </c>
      <c r="K42" s="153">
        <f t="shared" si="0"/>
      </c>
      <c r="L42" s="154">
        <f t="shared" si="4"/>
      </c>
      <c r="M42" s="155">
        <f t="shared" si="1"/>
      </c>
      <c r="N42" s="156">
        <v>4</v>
      </c>
      <c r="O42" s="155">
        <f t="shared" si="5"/>
      </c>
      <c r="P42" s="151" t="s">
        <v>227</v>
      </c>
      <c r="Q42" s="151">
        <v>8</v>
      </c>
    </row>
    <row r="43">
      <c r="A43" s="149">
        <v>46151</v>
      </c>
      <c r="B43" s="150" t="s">
        <v>221</v>
      </c>
      <c r="C43" s="151" t="s">
        <v>219</v>
      </c>
      <c r="D43" s="151">
        <v>4</v>
      </c>
      <c r="E43" s="151">
        <v>13</v>
      </c>
      <c r="F43" s="151">
        <v>54</v>
      </c>
      <c r="G43" s="151">
        <v>36</v>
      </c>
      <c r="H43" s="151">
        <v>12874.2</v>
      </c>
      <c r="I43" s="151">
        <v>13687.86</v>
      </c>
      <c r="J43" s="153">
        <f t="shared" si="3"/>
      </c>
      <c r="K43" s="153">
        <f t="shared" si="0"/>
      </c>
      <c r="L43" s="154">
        <f t="shared" si="4"/>
      </c>
      <c r="M43" s="155">
        <f t="shared" si="1"/>
      </c>
      <c r="N43" s="156">
        <v>7</v>
      </c>
      <c r="O43" s="155">
        <f t="shared" si="5"/>
      </c>
      <c r="P43" s="151"/>
      <c r="Q43" s="151"/>
    </row>
    <row r="44">
      <c r="A44" s="149">
        <v>46151</v>
      </c>
      <c r="B44" s="150" t="s">
        <v>215</v>
      </c>
      <c r="C44" s="151" t="s">
        <v>222</v>
      </c>
      <c r="D44" s="151">
        <v>4</v>
      </c>
      <c r="E44" s="151">
        <v>7</v>
      </c>
      <c r="F44" s="151">
        <v>68</v>
      </c>
      <c r="G44" s="151">
        <v>42</v>
      </c>
      <c r="H44" s="151">
        <v>11539.3</v>
      </c>
      <c r="I44" s="151">
        <v>14510.79</v>
      </c>
      <c r="J44" s="153">
        <f t="shared" si="3"/>
      </c>
      <c r="K44" s="153">
        <f t="shared" si="0"/>
      </c>
      <c r="L44" s="154">
        <f t="shared" si="4"/>
      </c>
      <c r="M44" s="155">
        <f t="shared" si="1"/>
      </c>
      <c r="N44" s="156">
        <v>6</v>
      </c>
      <c r="O44" s="155">
        <f t="shared" si="5"/>
      </c>
      <c r="P44" s="151" t="s">
        <v>225</v>
      </c>
      <c r="Q44" s="158">
        <v>8</v>
      </c>
    </row>
    <row r="45">
      <c r="A45" s="149">
        <v>46151</v>
      </c>
      <c r="B45" s="150" t="s">
        <v>230</v>
      </c>
      <c r="C45" s="151" t="s">
        <v>224</v>
      </c>
      <c r="D45" s="151">
        <v>4</v>
      </c>
      <c r="E45" s="151">
        <v>18</v>
      </c>
      <c r="F45" s="151">
        <v>67</v>
      </c>
      <c r="G45" s="151">
        <v>44</v>
      </c>
      <c r="H45" s="151">
        <v>13280.399999999994</v>
      </c>
      <c r="I45" s="151">
        <v>13796.81</v>
      </c>
      <c r="J45" s="153">
        <f t="shared" si="3"/>
      </c>
      <c r="K45" s="153">
        <f t="shared" si="0"/>
      </c>
      <c r="L45" s="154">
        <f t="shared" si="4"/>
      </c>
      <c r="M45" s="155">
        <f t="shared" si="1"/>
      </c>
      <c r="N45" s="156">
        <v>14</v>
      </c>
      <c r="O45" s="155">
        <f t="shared" si="5"/>
      </c>
      <c r="P45" s="151"/>
      <c r="Q45" s="158"/>
    </row>
    <row r="46">
      <c r="A46" s="159">
        <v>46151</v>
      </c>
      <c r="B46" s="160"/>
      <c r="C46" s="160"/>
      <c r="D46" s="160">
        <f>SUM(D42:D45)</f>
      </c>
      <c r="E46" s="160">
        <f>SUM(E42:E45)</f>
      </c>
      <c r="F46" s="160">
        <f>SUM(F42:F45)</f>
      </c>
      <c r="G46" s="160">
        <f>SUM(G42:G45)</f>
      </c>
      <c r="H46" s="160">
        <f>SUM(H42:H45)</f>
      </c>
      <c r="I46" s="160">
        <f>SUM(I42:I45)</f>
      </c>
      <c r="J46" s="161">
        <f t="shared" si="3"/>
      </c>
      <c r="K46" s="162">
        <f t="shared" si="0"/>
      </c>
      <c r="L46" s="162">
        <f t="shared" si="4"/>
      </c>
      <c r="M46" s="163">
        <f t="shared" si="1"/>
      </c>
      <c r="N46" s="160">
        <f>SUM(N42:N45)</f>
      </c>
      <c r="O46" s="163">
        <f t="shared" si="5"/>
      </c>
      <c r="P46" s="164"/>
      <c r="Q46" s="160">
        <f>SUM(Q42:Q45)</f>
      </c>
      <c r="R46" s="157">
        <v>51618.48</v>
      </c>
    </row>
    <row r="47">
      <c r="A47" s="149">
        <v>46152</v>
      </c>
      <c r="B47" s="150" t="s">
        <v>221</v>
      </c>
      <c r="C47" s="151" t="s">
        <v>233</v>
      </c>
      <c r="D47" s="151">
        <v>5</v>
      </c>
      <c r="E47" s="151">
        <v>3</v>
      </c>
      <c r="F47" s="151">
        <v>56</v>
      </c>
      <c r="G47" s="151">
        <v>39</v>
      </c>
      <c r="H47" s="152">
        <v>13563.6</v>
      </c>
      <c r="I47" s="151">
        <v>19959.64</v>
      </c>
      <c r="J47" s="153">
        <f t="shared" si="3"/>
      </c>
      <c r="K47" s="153">
        <f t="shared" si="0"/>
      </c>
      <c r="L47" s="154">
        <f t="shared" si="4"/>
      </c>
      <c r="M47" s="155">
        <f t="shared" si="1"/>
      </c>
      <c r="N47" s="156">
        <v>3</v>
      </c>
      <c r="O47" s="155">
        <f t="shared" si="5"/>
      </c>
      <c r="P47" s="151" t="s">
        <v>227</v>
      </c>
      <c r="Q47" s="151">
        <v>8</v>
      </c>
    </row>
    <row r="48">
      <c r="A48" s="149">
        <v>46152</v>
      </c>
      <c r="B48" s="150" t="s">
        <v>230</v>
      </c>
      <c r="C48" s="151" t="s">
        <v>234</v>
      </c>
      <c r="D48" s="151">
        <v>5</v>
      </c>
      <c r="E48" s="151">
        <v>7</v>
      </c>
      <c r="F48" s="151">
        <v>32</v>
      </c>
      <c r="G48" s="151">
        <v>21</v>
      </c>
      <c r="H48" s="151">
        <v>5732.699999999999</v>
      </c>
      <c r="I48" s="151">
        <v>10256.14</v>
      </c>
      <c r="J48" s="153">
        <f t="shared" si="3"/>
      </c>
      <c r="K48" s="153">
        <f t="shared" si="0"/>
      </c>
      <c r="L48" s="154">
        <f t="shared" si="4"/>
      </c>
      <c r="M48" s="155">
        <f t="shared" si="1"/>
      </c>
      <c r="N48" s="156">
        <v>2</v>
      </c>
      <c r="O48" s="155">
        <f t="shared" si="5"/>
      </c>
    </row>
    <row r="49">
      <c r="A49" s="149">
        <v>46152</v>
      </c>
      <c r="B49" s="150" t="s">
        <v>215</v>
      </c>
      <c r="C49" s="151" t="s">
        <v>235</v>
      </c>
      <c r="D49" s="151">
        <v>6</v>
      </c>
      <c r="E49" s="151">
        <v>7</v>
      </c>
      <c r="F49" s="151">
        <v>46</v>
      </c>
      <c r="G49" s="151">
        <v>26</v>
      </c>
      <c r="H49" s="151">
        <v>8480.600000000002</v>
      </c>
      <c r="I49" s="151">
        <v>9172.07</v>
      </c>
      <c r="J49" s="153">
        <f t="shared" si="3"/>
      </c>
      <c r="K49" s="153">
        <f t="shared" si="0"/>
      </c>
      <c r="L49" s="154">
        <f t="shared" si="4"/>
      </c>
      <c r="M49" s="155">
        <f t="shared" si="1"/>
      </c>
      <c r="N49" s="156">
        <v>4</v>
      </c>
      <c r="O49" s="155">
        <f t="shared" si="5"/>
      </c>
      <c r="P49" s="151" t="s">
        <v>225</v>
      </c>
      <c r="Q49" s="158">
        <v>8</v>
      </c>
    </row>
    <row r="50">
      <c r="A50" s="159">
        <v>46152</v>
      </c>
      <c r="B50" s="160"/>
      <c r="C50" s="160"/>
      <c r="D50" s="160">
        <f>SUM(D47:D49)</f>
      </c>
      <c r="E50" s="160">
        <f>SUM(E47:E49)</f>
      </c>
      <c r="F50" s="160">
        <f>SUM(F47:F49)</f>
      </c>
      <c r="G50" s="160">
        <f>SUM(G47:G49)</f>
      </c>
      <c r="H50" s="160">
        <f>SUM(H47:H49)</f>
      </c>
      <c r="I50" s="160">
        <f>SUM(I47:I49)</f>
      </c>
      <c r="J50" s="161">
        <f t="shared" si="3"/>
      </c>
      <c r="K50" s="162">
        <f t="shared" si="0"/>
      </c>
      <c r="L50" s="162">
        <f t="shared" si="4"/>
      </c>
      <c r="M50" s="163">
        <f t="shared" si="1"/>
      </c>
      <c r="N50" s="160">
        <f>SUM(N47:N49)</f>
      </c>
      <c r="O50" s="163">
        <f t="shared" si="5"/>
      </c>
      <c r="P50" s="164"/>
      <c r="Q50" s="160">
        <f>SUM(Q47:Q49)</f>
      </c>
      <c r="R50" s="157">
        <v>39387.85</v>
      </c>
    </row>
    <row r="51">
      <c r="A51" s="149">
        <v>46153</v>
      </c>
      <c r="B51" s="150" t="s">
        <v>221</v>
      </c>
      <c r="C51" s="151" t="s">
        <v>216</v>
      </c>
      <c r="D51" s="151">
        <v>4</v>
      </c>
      <c r="E51" s="151">
        <v>2</v>
      </c>
      <c r="F51" s="151">
        <v>31</v>
      </c>
      <c r="G51" s="151">
        <v>20</v>
      </c>
      <c r="H51" s="152">
        <v>8074.4</v>
      </c>
      <c r="I51" s="151">
        <v>8742.97</v>
      </c>
      <c r="J51" s="153">
        <f t="shared" si="3"/>
      </c>
      <c r="K51" s="153">
        <f t="shared" si="0"/>
      </c>
      <c r="L51" s="154">
        <f t="shared" si="4"/>
      </c>
      <c r="M51" s="155">
        <f t="shared" si="1"/>
      </c>
      <c r="N51" s="156">
        <v>2</v>
      </c>
      <c r="O51" s="155">
        <f t="shared" si="5"/>
      </c>
      <c r="P51" s="166" t="s">
        <v>227</v>
      </c>
      <c r="Q51" s="166">
        <v>8</v>
      </c>
    </row>
    <row r="52">
      <c r="A52" s="149">
        <v>46153</v>
      </c>
      <c r="B52" s="150" t="s">
        <v>215</v>
      </c>
      <c r="C52" s="151" t="s">
        <v>219</v>
      </c>
      <c r="D52" s="151">
        <v>4</v>
      </c>
      <c r="E52" s="151">
        <v>3</v>
      </c>
      <c r="F52" s="151">
        <v>50</v>
      </c>
      <c r="G52" s="151">
        <v>26</v>
      </c>
      <c r="H52" s="151">
        <v>7593.6</v>
      </c>
      <c r="I52" s="151">
        <v>10826.160000000002</v>
      </c>
      <c r="J52" s="153">
        <f t="shared" si="3"/>
      </c>
      <c r="K52" s="153">
        <f t="shared" si="0"/>
      </c>
      <c r="L52" s="154">
        <f t="shared" si="4"/>
      </c>
      <c r="M52" s="155">
        <f t="shared" si="1"/>
      </c>
      <c r="N52" s="156">
        <v>1</v>
      </c>
      <c r="O52" s="167">
        <f t="shared" si="5"/>
      </c>
      <c r="P52" s="168"/>
      <c r="Q52" s="168"/>
      <c r="R52" s="169"/>
    </row>
    <row customHeight="true" ht="16.071428571428573" r="53">
      <c r="A53" s="149">
        <v>46153</v>
      </c>
      <c r="B53" s="150" t="s">
        <v>230</v>
      </c>
      <c r="C53" s="151" t="s">
        <v>222</v>
      </c>
      <c r="D53" s="151">
        <v>4</v>
      </c>
      <c r="E53" s="151">
        <v>2</v>
      </c>
      <c r="F53" s="151">
        <v>30</v>
      </c>
      <c r="G53" s="151">
        <v>20</v>
      </c>
      <c r="H53" s="151">
        <v>7270.4000000000015</v>
      </c>
      <c r="I53" s="151">
        <v>11337.64</v>
      </c>
      <c r="J53" s="153">
        <f t="shared" si="3"/>
      </c>
      <c r="K53" s="153">
        <f t="shared" si="0"/>
      </c>
      <c r="L53" s="154">
        <f t="shared" si="4"/>
      </c>
      <c r="M53" s="155">
        <f t="shared" si="1"/>
      </c>
      <c r="N53" s="156">
        <v>3</v>
      </c>
      <c r="O53" s="167">
        <f t="shared" si="5"/>
      </c>
      <c r="P53" s="170" t="s">
        <v>225</v>
      </c>
      <c r="Q53" s="171">
        <v>8</v>
      </c>
      <c r="R53" s="169"/>
    </row>
    <row r="54">
      <c r="A54" s="149">
        <v>46153</v>
      </c>
      <c r="B54" s="150" t="s">
        <v>223</v>
      </c>
      <c r="C54" s="151" t="s">
        <v>224</v>
      </c>
      <c r="D54" s="151">
        <v>4</v>
      </c>
      <c r="E54" s="151">
        <v>4</v>
      </c>
      <c r="F54" s="151">
        <v>55</v>
      </c>
      <c r="G54" s="151">
        <v>37</v>
      </c>
      <c r="H54" s="151">
        <v>15101.099999999999</v>
      </c>
      <c r="I54" s="151">
        <v>12337.86</v>
      </c>
      <c r="J54" s="153">
        <f t="shared" si="3"/>
      </c>
      <c r="K54" s="153">
        <f t="shared" si="0"/>
      </c>
      <c r="L54" s="154">
        <f t="shared" si="4"/>
      </c>
      <c r="M54" s="155">
        <f t="shared" si="1"/>
      </c>
      <c r="N54" s="156">
        <v>6</v>
      </c>
      <c r="O54" s="167">
        <f t="shared" si="5"/>
      </c>
      <c r="P54" s="168"/>
      <c r="Q54" s="168"/>
      <c r="R54" s="169"/>
    </row>
    <row r="55">
      <c r="A55" s="159">
        <v>46153</v>
      </c>
      <c r="B55" s="160"/>
      <c r="C55" s="160"/>
      <c r="D55" s="160">
        <f>SUM(D51:D54)</f>
      </c>
      <c r="E55" s="160">
        <f>SUM(E51:E54)</f>
      </c>
      <c r="F55" s="160">
        <f>SUM(F51:F54)</f>
      </c>
      <c r="G55" s="160">
        <f>SUM(G51:G54)</f>
      </c>
      <c r="H55" s="160">
        <f>SUM(H51:H54)</f>
      </c>
      <c r="I55" s="160">
        <f>SUM(I51:I54)</f>
      </c>
      <c r="J55" s="161">
        <f t="shared" si="3"/>
      </c>
      <c r="K55" s="162">
        <f t="shared" si="0"/>
      </c>
      <c r="L55" s="162">
        <f t="shared" si="4"/>
      </c>
      <c r="M55" s="163">
        <f t="shared" si="1"/>
      </c>
      <c r="N55" s="160">
        <f>SUM(N51:N54)</f>
      </c>
      <c r="O55" s="163">
        <f t="shared" si="5"/>
      </c>
      <c r="P55" s="172"/>
      <c r="Q55" s="173">
        <f>SUM(Q51:Q53)</f>
      </c>
      <c r="R55" s="157">
        <v>43244.96</v>
      </c>
      <c r="S55" s="157"/>
    </row>
    <row r="56">
      <c r="A56" s="149">
        <v>46154</v>
      </c>
      <c r="B56" s="150" t="s">
        <v>215</v>
      </c>
      <c r="C56" s="151" t="s">
        <v>216</v>
      </c>
      <c r="D56" s="151">
        <v>4</v>
      </c>
      <c r="E56" s="151">
        <v>2</v>
      </c>
      <c r="F56" s="151">
        <v>48</v>
      </c>
      <c r="G56" s="151">
        <v>27</v>
      </c>
      <c r="H56" s="152">
        <v>8982.8</v>
      </c>
      <c r="I56" s="151">
        <v>9483.84</v>
      </c>
      <c r="J56" s="153">
        <f t="shared" si="3"/>
      </c>
      <c r="K56" s="153">
        <f t="shared" si="0"/>
      </c>
      <c r="L56" s="154">
        <f t="shared" si="4"/>
      </c>
      <c r="M56" s="155">
        <f t="shared" si="1"/>
      </c>
      <c r="N56" s="156">
        <v>5</v>
      </c>
      <c r="O56" s="155">
        <f t="shared" si="5"/>
      </c>
      <c r="P56" s="166" t="s">
        <v>217</v>
      </c>
      <c r="Q56" s="166">
        <v>7</v>
      </c>
    </row>
    <row r="57">
      <c r="A57" s="149">
        <v>46154</v>
      </c>
      <c r="B57" s="150" t="s">
        <v>218</v>
      </c>
      <c r="C57" s="151" t="s">
        <v>219</v>
      </c>
      <c r="D57" s="151">
        <v>4</v>
      </c>
      <c r="E57" s="151">
        <v>9</v>
      </c>
      <c r="F57" s="151">
        <v>52</v>
      </c>
      <c r="G57" s="151">
        <v>35</v>
      </c>
      <c r="H57" s="151">
        <v>9421</v>
      </c>
      <c r="I57" s="151">
        <v>12968.5</v>
      </c>
      <c r="J57" s="153">
        <f t="shared" si="3"/>
      </c>
      <c r="K57" s="153">
        <f t="shared" si="0"/>
      </c>
      <c r="L57" s="154">
        <f t="shared" si="4"/>
      </c>
      <c r="M57" s="155">
        <f t="shared" si="1"/>
      </c>
      <c r="N57" s="156">
        <v>2</v>
      </c>
      <c r="O57" s="167">
        <f t="shared" si="5"/>
      </c>
      <c r="P57" s="174" t="s">
        <v>220</v>
      </c>
      <c r="Q57" s="174">
        <v>1</v>
      </c>
    </row>
    <row r="58">
      <c r="A58" s="149">
        <v>46154</v>
      </c>
      <c r="B58" s="150" t="s">
        <v>221</v>
      </c>
      <c r="C58" s="151" t="s">
        <v>222</v>
      </c>
      <c r="D58" s="151">
        <v>4</v>
      </c>
      <c r="E58" s="151">
        <v>3</v>
      </c>
      <c r="F58" s="151">
        <v>32</v>
      </c>
      <c r="G58" s="151">
        <v>16</v>
      </c>
      <c r="H58" s="151">
        <v>5342.299999999999</v>
      </c>
      <c r="I58" s="151">
        <v>10865.179999999997</v>
      </c>
      <c r="J58" s="153">
        <f t="shared" si="3"/>
      </c>
      <c r="K58" s="153">
        <f t="shared" si="0"/>
      </c>
      <c r="L58" s="154">
        <f t="shared" si="4"/>
      </c>
      <c r="M58" s="155">
        <f t="shared" si="1"/>
      </c>
      <c r="N58" s="156">
        <v>1</v>
      </c>
      <c r="O58" s="167">
        <f t="shared" si="5"/>
      </c>
      <c r="P58" s="170" t="s">
        <v>225</v>
      </c>
      <c r="Q58" s="171">
        <v>8</v>
      </c>
    </row>
    <row r="59">
      <c r="A59" s="149">
        <v>46154</v>
      </c>
      <c r="B59" s="150" t="s">
        <v>223</v>
      </c>
      <c r="C59" s="151" t="s">
        <v>224</v>
      </c>
      <c r="D59" s="151">
        <v>4</v>
      </c>
      <c r="E59" s="151">
        <v>4</v>
      </c>
      <c r="F59" s="151">
        <v>42</v>
      </c>
      <c r="G59" s="151">
        <v>30</v>
      </c>
      <c r="H59" s="151">
        <v>11431.5</v>
      </c>
      <c r="I59" s="151">
        <v>8893.83</v>
      </c>
      <c r="J59" s="153">
        <f t="shared" si="3"/>
      </c>
      <c r="K59" s="153">
        <f t="shared" si="0"/>
      </c>
      <c r="L59" s="154">
        <f t="shared" si="4"/>
      </c>
      <c r="M59" s="155">
        <f t="shared" si="1"/>
      </c>
      <c r="N59" s="156">
        <v>3</v>
      </c>
      <c r="O59" s="167">
        <f t="shared" si="5"/>
      </c>
      <c r="P59" s="168"/>
      <c r="Q59" s="168"/>
    </row>
    <row r="60">
      <c r="A60" s="159">
        <v>46154</v>
      </c>
      <c r="B60" s="160"/>
      <c r="C60" s="160"/>
      <c r="D60" s="160">
        <f>SUM(D56:D59)</f>
      </c>
      <c r="E60" s="160">
        <f>SUM(E56:E59)</f>
      </c>
      <c r="F60" s="160">
        <f>SUM(F56:F59)</f>
      </c>
      <c r="G60" s="160">
        <f>SUM(G56:G59)</f>
      </c>
      <c r="H60" s="160">
        <f>SUM(H56:H59)</f>
      </c>
      <c r="I60" s="160">
        <f>SUM(I56:I59)</f>
      </c>
      <c r="J60" s="161">
        <f t="shared" si="3"/>
      </c>
      <c r="K60" s="162">
        <f t="shared" si="0"/>
      </c>
      <c r="L60" s="162">
        <f t="shared" si="4"/>
      </c>
      <c r="M60" s="163">
        <f t="shared" si="1"/>
      </c>
      <c r="N60" s="160">
        <f>SUM(N56:N59)</f>
      </c>
      <c r="O60" s="163">
        <f t="shared" si="5"/>
      </c>
      <c r="P60" s="172"/>
      <c r="Q60" s="173">
        <f>SUM(Q56:Q58)</f>
      </c>
      <c r="R60" s="157">
        <v>42211.19</v>
      </c>
      <c r="S60" s="157"/>
    </row>
    <row r="61">
      <c r="A61" s="149">
        <v>46155</v>
      </c>
      <c r="B61" s="150" t="s">
        <v>215</v>
      </c>
      <c r="C61" s="151" t="s">
        <v>216</v>
      </c>
      <c r="D61" s="151">
        <v>4</v>
      </c>
      <c r="E61" s="151">
        <v>3</v>
      </c>
      <c r="F61" s="151">
        <v>19</v>
      </c>
      <c r="G61" s="175">
        <v>7</v>
      </c>
      <c r="H61" s="176">
        <v>1500</v>
      </c>
      <c r="I61" s="177">
        <v>5588.4</v>
      </c>
      <c r="J61" s="178">
        <f t="shared" si="3"/>
      </c>
      <c r="K61" s="153">
        <f t="shared" si="0"/>
      </c>
      <c r="L61" s="154">
        <f t="shared" si="4"/>
      </c>
      <c r="M61" s="155">
        <f t="shared" si="1"/>
      </c>
      <c r="N61" s="156">
        <v>0</v>
      </c>
      <c r="O61" s="155">
        <f t="shared" si="5"/>
      </c>
      <c r="P61" s="166" t="s">
        <v>227</v>
      </c>
      <c r="Q61" s="166">
        <v>8</v>
      </c>
    </row>
    <row r="62">
      <c r="A62" s="149">
        <v>46155</v>
      </c>
      <c r="B62" s="150" t="s">
        <v>218</v>
      </c>
      <c r="C62" s="151" t="s">
        <v>219</v>
      </c>
      <c r="D62" s="151">
        <v>4</v>
      </c>
      <c r="E62" s="151">
        <v>6</v>
      </c>
      <c r="F62" s="151">
        <v>46</v>
      </c>
      <c r="G62" s="151">
        <v>30</v>
      </c>
      <c r="H62" s="179">
        <v>7248.7</v>
      </c>
      <c r="I62" s="179">
        <v>10417.18</v>
      </c>
      <c r="J62" s="153">
        <f t="shared" si="3"/>
      </c>
      <c r="K62" s="153">
        <f t="shared" si="0"/>
      </c>
      <c r="L62" s="154">
        <f t="shared" si="4"/>
      </c>
      <c r="M62" s="155">
        <f t="shared" si="1"/>
      </c>
      <c r="N62" s="156">
        <v>4</v>
      </c>
      <c r="O62" s="167">
        <f t="shared" si="5"/>
      </c>
      <c r="P62" s="174"/>
      <c r="Q62" s="174"/>
    </row>
    <row r="63">
      <c r="A63" s="149">
        <v>46155</v>
      </c>
      <c r="B63" s="150" t="s">
        <v>230</v>
      </c>
      <c r="C63" s="151" t="s">
        <v>236</v>
      </c>
      <c r="D63" s="151">
        <v>3</v>
      </c>
      <c r="E63" s="151">
        <v>2</v>
      </c>
      <c r="F63" s="151">
        <v>23</v>
      </c>
      <c r="G63" s="151">
        <v>15</v>
      </c>
      <c r="H63" s="151">
        <v>3924</v>
      </c>
      <c r="I63" s="151">
        <v>7671.09</v>
      </c>
      <c r="J63" s="153">
        <f t="shared" si="3"/>
      </c>
      <c r="K63" s="153">
        <f t="shared" si="0"/>
      </c>
      <c r="L63" s="154">
        <f t="shared" si="4"/>
      </c>
      <c r="M63" s="155">
        <f t="shared" si="1"/>
      </c>
      <c r="N63" s="156">
        <v>0</v>
      </c>
      <c r="O63" s="167">
        <f t="shared" si="5"/>
      </c>
      <c r="P63" s="174" t="s">
        <v>217</v>
      </c>
      <c r="Q63" s="170">
        <v>7</v>
      </c>
    </row>
    <row r="64">
      <c r="A64" s="149">
        <v>46155</v>
      </c>
      <c r="B64" s="150" t="s">
        <v>223</v>
      </c>
      <c r="C64" s="151" t="s">
        <v>237</v>
      </c>
      <c r="D64" s="151">
        <v>5</v>
      </c>
      <c r="E64" s="151">
        <v>5</v>
      </c>
      <c r="F64" s="151">
        <v>67</v>
      </c>
      <c r="G64" s="151">
        <v>46</v>
      </c>
      <c r="H64" s="151">
        <v>13214</v>
      </c>
      <c r="I64" s="151">
        <v>12987.11</v>
      </c>
      <c r="J64" s="153">
        <f t="shared" si="3"/>
      </c>
      <c r="K64" s="153">
        <f t="shared" si="0"/>
      </c>
      <c r="L64" s="154">
        <f t="shared" si="4"/>
      </c>
      <c r="M64" s="155">
        <f t="shared" si="1"/>
      </c>
      <c r="N64" s="156">
        <v>5</v>
      </c>
      <c r="O64" s="167">
        <f t="shared" si="5"/>
      </c>
      <c r="P64" s="174" t="s">
        <v>220</v>
      </c>
      <c r="Q64" s="174">
        <v>1</v>
      </c>
    </row>
    <row r="65">
      <c r="A65" s="159">
        <v>46155</v>
      </c>
      <c r="B65" s="160"/>
      <c r="C65" s="160"/>
      <c r="D65" s="160">
        <f>SUM(D61:D64)</f>
      </c>
      <c r="E65" s="160">
        <f>SUM(E61:E64)</f>
      </c>
      <c r="F65" s="160">
        <f>SUM(F61:F64)</f>
      </c>
      <c r="G65" s="160">
        <f>SUM(G61:G64)</f>
      </c>
      <c r="H65" s="160">
        <f>SUM(H61:H64)</f>
      </c>
      <c r="I65" s="160">
        <f>SUM(I61:I64)</f>
      </c>
      <c r="J65" s="161">
        <f t="shared" si="3"/>
      </c>
      <c r="K65" s="162">
        <f t="shared" si="0"/>
      </c>
      <c r="L65" s="162">
        <f t="shared" si="4"/>
      </c>
      <c r="M65" s="163">
        <f t="shared" si="1"/>
      </c>
      <c r="N65" s="160">
        <f>SUM(N61:N64)</f>
      </c>
      <c r="O65" s="163">
        <f t="shared" si="5"/>
      </c>
      <c r="P65" s="172"/>
      <c r="Q65" s="173">
        <f>SUM(Q61:Q64)</f>
      </c>
      <c r="R65" s="157">
        <v>36554.3</v>
      </c>
      <c r="S65" s="157"/>
    </row>
    <row r="66">
      <c r="A66" s="149">
        <v>46156</v>
      </c>
      <c r="B66" s="150" t="s">
        <v>230</v>
      </c>
      <c r="C66" s="151" t="s">
        <v>238</v>
      </c>
      <c r="D66" s="151">
        <v>3</v>
      </c>
      <c r="E66" s="151">
        <v>1</v>
      </c>
      <c r="F66" s="151">
        <v>25</v>
      </c>
      <c r="G66" s="175">
        <v>17</v>
      </c>
      <c r="H66" s="176">
        <v>4401.2</v>
      </c>
      <c r="I66" s="176">
        <v>8139</v>
      </c>
      <c r="J66" s="178">
        <f t="shared" si="3"/>
      </c>
      <c r="K66" s="153">
        <f t="shared" si="0"/>
      </c>
      <c r="L66" s="154">
        <f t="shared" si="4"/>
      </c>
      <c r="M66" s="155">
        <f t="shared" si="1"/>
      </c>
      <c r="N66" s="156">
        <f>G66*0.0667</f>
      </c>
      <c r="O66" s="155">
        <f t="shared" si="5"/>
      </c>
      <c r="P66" s="166" t="s">
        <v>227</v>
      </c>
      <c r="Q66" s="166">
        <v>8</v>
      </c>
    </row>
    <row r="67">
      <c r="A67" s="149">
        <v>46156</v>
      </c>
      <c r="B67" s="180" t="s">
        <v>223</v>
      </c>
      <c r="C67" s="151" t="s">
        <v>239</v>
      </c>
      <c r="D67" s="151">
        <v>5</v>
      </c>
      <c r="E67" s="151">
        <v>7</v>
      </c>
      <c r="F67" s="151">
        <v>52</v>
      </c>
      <c r="G67" s="151">
        <v>29</v>
      </c>
      <c r="H67" s="179">
        <v>9257.8</v>
      </c>
      <c r="I67" s="179">
        <v>14301.32</v>
      </c>
      <c r="J67" s="153">
        <f t="shared" si="3"/>
      </c>
      <c r="K67" s="153">
        <f t="shared" si="0"/>
      </c>
      <c r="L67" s="154">
        <f t="shared" si="4"/>
      </c>
      <c r="M67" s="155">
        <f t="shared" si="1"/>
      </c>
      <c r="N67" s="156">
        <v>6</v>
      </c>
      <c r="O67" s="167">
        <f t="shared" si="5"/>
      </c>
      <c r="P67" s="174"/>
      <c r="Q67" s="174"/>
    </row>
    <row r="68">
      <c r="A68" s="181">
        <v>46156</v>
      </c>
      <c r="B68" s="174" t="s">
        <v>221</v>
      </c>
      <c r="C68" s="182" t="s">
        <v>236</v>
      </c>
      <c r="D68" s="151">
        <v>3</v>
      </c>
      <c r="E68" s="151">
        <v>3</v>
      </c>
      <c r="F68" s="151">
        <v>34</v>
      </c>
      <c r="G68" s="151">
        <v>16</v>
      </c>
      <c r="H68" s="151">
        <v>5291.9</v>
      </c>
      <c r="I68" s="151">
        <v>7004.71</v>
      </c>
      <c r="J68" s="153">
        <f t="shared" si="3"/>
      </c>
      <c r="K68" s="153">
        <f t="shared" si="0"/>
      </c>
      <c r="L68" s="154">
        <f t="shared" si="4"/>
      </c>
      <c r="M68" s="155">
        <f t="shared" si="1"/>
      </c>
      <c r="N68" s="156">
        <v>1</v>
      </c>
      <c r="O68" s="167">
        <f t="shared" si="5"/>
      </c>
      <c r="P68" s="174" t="s">
        <v>217</v>
      </c>
      <c r="Q68" s="170">
        <v>1</v>
      </c>
    </row>
    <row r="69">
      <c r="A69" s="181">
        <v>46156</v>
      </c>
      <c r="B69" s="174" t="s">
        <v>240</v>
      </c>
      <c r="C69" s="182" t="s">
        <v>237</v>
      </c>
      <c r="D69" s="151">
        <v>5</v>
      </c>
      <c r="E69" s="151">
        <v>3</v>
      </c>
      <c r="F69" s="151">
        <v>41</v>
      </c>
      <c r="G69" s="151">
        <v>28</v>
      </c>
      <c r="H69" s="183">
        <v>9751.2</v>
      </c>
      <c r="I69" s="183">
        <v>12228</v>
      </c>
      <c r="J69" s="153">
        <f t="shared" si="3"/>
      </c>
      <c r="K69" s="153">
        <f t="shared" si="0"/>
      </c>
      <c r="L69" s="154">
        <f t="shared" si="4"/>
      </c>
      <c r="M69" s="155">
        <f t="shared" si="1"/>
      </c>
      <c r="N69" s="156">
        <v>4</v>
      </c>
      <c r="O69" s="167">
        <f t="shared" si="5"/>
      </c>
      <c r="P69" s="174" t="s">
        <v>241</v>
      </c>
      <c r="Q69" s="174">
        <v>7</v>
      </c>
    </row>
    <row r="70">
      <c r="A70" s="159">
        <v>46156</v>
      </c>
      <c r="B70" s="173"/>
      <c r="C70" s="160"/>
      <c r="D70" s="160">
        <f>SUM(D66:D69)</f>
      </c>
      <c r="E70" s="160">
        <f>SUM(E66:E69)</f>
      </c>
      <c r="F70" s="160">
        <f>SUM(F66:F69)</f>
      </c>
      <c r="G70" s="160">
        <f>SUM(G66:G69)</f>
      </c>
      <c r="H70" s="160">
        <f>SUM(H66:H69)</f>
      </c>
      <c r="I70" s="160">
        <f>SUM(I66:I69)</f>
      </c>
      <c r="J70" s="161">
        <f t="shared" si="3"/>
      </c>
      <c r="K70" s="162">
        <f t="shared" si="0"/>
      </c>
      <c r="L70" s="162">
        <f t="shared" si="4"/>
      </c>
      <c r="M70" s="163">
        <f t="shared" si="1"/>
      </c>
      <c r="N70" s="160">
        <f>SUM(N66:N69)</f>
      </c>
      <c r="O70" s="163">
        <f t="shared" si="5"/>
      </c>
      <c r="P70" s="172"/>
      <c r="Q70" s="173">
        <f>SUM(Q66:Q69)</f>
      </c>
      <c r="R70" s="157">
        <v>41673.04</v>
      </c>
    </row>
    <row r="71">
      <c r="A71" s="149">
        <v>46157</v>
      </c>
      <c r="B71" s="150" t="s">
        <v>215</v>
      </c>
      <c r="C71" s="151" t="s">
        <v>216</v>
      </c>
      <c r="D71" s="151">
        <v>4</v>
      </c>
      <c r="E71" s="151">
        <v>3</v>
      </c>
      <c r="F71" s="151">
        <v>50</v>
      </c>
      <c r="G71" s="175">
        <v>34</v>
      </c>
      <c r="H71" s="176">
        <v>12128.3</v>
      </c>
      <c r="I71" s="176">
        <v>9934.76</v>
      </c>
      <c r="J71" s="178">
        <f t="shared" si="3"/>
      </c>
      <c r="K71" s="153">
        <f t="shared" si="0"/>
      </c>
      <c r="L71" s="154">
        <f t="shared" si="4"/>
      </c>
      <c r="M71" s="155">
        <f t="shared" si="1"/>
      </c>
      <c r="N71" s="156">
        <v>7</v>
      </c>
      <c r="O71" s="155">
        <f t="shared" si="5"/>
      </c>
      <c r="P71" s="166" t="s">
        <v>227</v>
      </c>
      <c r="Q71" s="166">
        <v>8</v>
      </c>
    </row>
    <row r="72">
      <c r="A72" s="149">
        <v>46157</v>
      </c>
      <c r="B72" s="180" t="s">
        <v>240</v>
      </c>
      <c r="C72" s="151" t="s">
        <v>242</v>
      </c>
      <c r="D72" s="151">
        <v>5</v>
      </c>
      <c r="E72" s="151">
        <v>9</v>
      </c>
      <c r="F72" s="151">
        <v>62</v>
      </c>
      <c r="G72" s="151">
        <v>35</v>
      </c>
      <c r="H72" s="179">
        <v>10792.3</v>
      </c>
      <c r="I72" s="179">
        <v>13897.41</v>
      </c>
      <c r="J72" s="153">
        <f t="shared" si="3"/>
      </c>
      <c r="K72" s="153">
        <f t="shared" si="0"/>
      </c>
      <c r="L72" s="154">
        <f t="shared" si="4"/>
      </c>
      <c r="M72" s="155">
        <f t="shared" si="1"/>
      </c>
      <c r="N72" s="156">
        <v>4</v>
      </c>
      <c r="O72" s="167">
        <f t="shared" si="5"/>
      </c>
      <c r="P72" s="174"/>
      <c r="Q72" s="174"/>
    </row>
    <row r="73">
      <c r="A73" s="181">
        <v>46157</v>
      </c>
      <c r="B73" s="174" t="s">
        <v>218</v>
      </c>
      <c r="C73" s="182" t="s">
        <v>243</v>
      </c>
      <c r="D73" s="151">
        <v>2</v>
      </c>
      <c r="E73" s="151">
        <v>1</v>
      </c>
      <c r="F73" s="151">
        <v>22</v>
      </c>
      <c r="G73" s="151">
        <v>19</v>
      </c>
      <c r="H73" s="151">
        <v>6898</v>
      </c>
      <c r="I73" s="151">
        <v>4868.59</v>
      </c>
      <c r="J73" s="153">
        <f t="shared" si="3"/>
      </c>
      <c r="K73" s="153">
        <f t="shared" si="0"/>
      </c>
      <c r="L73" s="154">
        <f t="shared" si="4"/>
      </c>
      <c r="M73" s="155">
        <f t="shared" si="1"/>
      </c>
      <c r="N73" s="156">
        <v>3</v>
      </c>
      <c r="O73" s="167">
        <f t="shared" si="5"/>
      </c>
      <c r="P73" s="174"/>
      <c r="Q73" s="170"/>
    </row>
    <row r="74">
      <c r="A74" s="181">
        <v>46157</v>
      </c>
      <c r="B74" s="174" t="s">
        <v>223</v>
      </c>
      <c r="C74" s="182" t="s">
        <v>237</v>
      </c>
      <c r="D74" s="151">
        <v>5</v>
      </c>
      <c r="E74" s="151">
        <v>4</v>
      </c>
      <c r="F74" s="151">
        <v>75</v>
      </c>
      <c r="G74" s="151">
        <v>42</v>
      </c>
      <c r="H74" s="151">
        <v>14806</v>
      </c>
      <c r="I74" s="151">
        <v>14104.05</v>
      </c>
      <c r="J74" s="153">
        <f t="shared" si="3"/>
      </c>
      <c r="K74" s="153">
        <f t="shared" si="0"/>
      </c>
      <c r="L74" s="154">
        <f t="shared" si="4"/>
      </c>
      <c r="M74" s="155">
        <f t="shared" si="1"/>
      </c>
      <c r="N74" s="156">
        <v>4</v>
      </c>
      <c r="O74" s="167">
        <f t="shared" si="5"/>
      </c>
      <c r="P74" s="174" t="s">
        <v>241</v>
      </c>
      <c r="Q74" s="174">
        <v>8</v>
      </c>
    </row>
    <row r="75">
      <c r="A75" s="159">
        <v>46157</v>
      </c>
      <c r="B75" s="173"/>
      <c r="C75" s="160"/>
      <c r="D75" s="160">
        <f>SUM(D71:D74)</f>
      </c>
      <c r="E75" s="160">
        <f>SUM(E71:E74)</f>
      </c>
      <c r="F75" s="160">
        <f>SUM(F71:F74)</f>
      </c>
      <c r="G75" s="160">
        <f>SUM(G71:G74)</f>
      </c>
      <c r="H75" s="160">
        <f>SUM(H71:H74)</f>
      </c>
      <c r="I75" s="160">
        <f>SUM(I71:I74)</f>
      </c>
      <c r="J75" s="161">
        <f t="shared" si="3"/>
      </c>
      <c r="K75" s="162">
        <f t="shared" si="0"/>
      </c>
      <c r="L75" s="162">
        <f t="shared" si="4"/>
      </c>
      <c r="M75" s="163">
        <f t="shared" si="1"/>
      </c>
      <c r="N75" s="160">
        <f>SUM(N71:N74)</f>
      </c>
      <c r="O75" s="163">
        <f t="shared" si="5"/>
      </c>
      <c r="P75" s="172"/>
      <c r="Q75" s="173">
        <f>SUM(Q71:Q74)</f>
      </c>
      <c r="R75" s="157">
        <v>42804.81</v>
      </c>
    </row>
    <row r="76">
      <c r="A76" s="149">
        <v>46158</v>
      </c>
      <c r="B76" s="180" t="s">
        <v>240</v>
      </c>
      <c r="C76" s="151" t="s">
        <v>233</v>
      </c>
      <c r="D76" s="151">
        <v>5</v>
      </c>
      <c r="E76" s="151">
        <v>5</v>
      </c>
      <c r="F76" s="151">
        <v>65</v>
      </c>
      <c r="G76" s="175">
        <v>40</v>
      </c>
      <c r="H76" s="176">
        <v>14391.5</v>
      </c>
      <c r="I76" s="176">
        <v>14284.54</v>
      </c>
      <c r="J76" s="178">
        <f t="shared" si="3"/>
      </c>
      <c r="K76" s="153">
        <f t="shared" si="0"/>
      </c>
      <c r="L76" s="154">
        <f t="shared" si="4"/>
      </c>
      <c r="M76" s="155">
        <f t="shared" si="1"/>
      </c>
      <c r="N76" s="156">
        <v>4</v>
      </c>
      <c r="O76" s="155">
        <f t="shared" si="5"/>
      </c>
      <c r="P76" s="166" t="s">
        <v>227</v>
      </c>
      <c r="Q76" s="166">
        <v>8</v>
      </c>
    </row>
    <row r="77">
      <c r="A77" s="149">
        <v>46158</v>
      </c>
      <c r="B77" s="184" t="s">
        <v>218</v>
      </c>
      <c r="C77" s="151" t="s">
        <v>244</v>
      </c>
      <c r="D77" s="151">
        <v>3</v>
      </c>
      <c r="E77" s="151">
        <v>3</v>
      </c>
      <c r="F77" s="151">
        <v>37</v>
      </c>
      <c r="G77" s="151">
        <v>17</v>
      </c>
      <c r="H77" s="179">
        <v>5994.7</v>
      </c>
      <c r="I77" s="179">
        <v>5483.57</v>
      </c>
      <c r="J77" s="153">
        <f t="shared" si="3"/>
      </c>
      <c r="K77" s="153">
        <f t="shared" si="0"/>
      </c>
      <c r="L77" s="154">
        <f t="shared" si="4"/>
      </c>
      <c r="M77" s="155">
        <f t="shared" si="1"/>
      </c>
      <c r="N77" s="156">
        <v>5</v>
      </c>
      <c r="O77" s="167">
        <f t="shared" si="5"/>
      </c>
      <c r="P77" s="174"/>
      <c r="Q77" s="174"/>
    </row>
    <row r="78">
      <c r="A78" s="181">
        <v>46158</v>
      </c>
      <c r="B78" s="174" t="s">
        <v>230</v>
      </c>
      <c r="C78" s="182" t="s">
        <v>236</v>
      </c>
      <c r="D78" s="151">
        <v>3</v>
      </c>
      <c r="E78" s="151">
        <v>10</v>
      </c>
      <c r="F78" s="151">
        <v>32</v>
      </c>
      <c r="G78" s="151">
        <v>20</v>
      </c>
      <c r="H78" s="151">
        <v>7432.7</v>
      </c>
      <c r="I78" s="151">
        <v>7039.8</v>
      </c>
      <c r="J78" s="153">
        <f t="shared" si="3"/>
      </c>
      <c r="K78" s="153">
        <f t="shared" si="0"/>
      </c>
      <c r="L78" s="154">
        <f t="shared" si="4"/>
      </c>
      <c r="M78" s="155">
        <f t="shared" si="1"/>
      </c>
      <c r="N78" s="156">
        <v>1</v>
      </c>
      <c r="O78" s="167">
        <f t="shared" si="5"/>
      </c>
      <c r="P78" s="174"/>
      <c r="Q78" s="170"/>
    </row>
    <row r="79">
      <c r="A79" s="181">
        <v>46158</v>
      </c>
      <c r="B79" s="185" t="s">
        <v>223</v>
      </c>
      <c r="C79" s="182" t="s">
        <v>237</v>
      </c>
      <c r="D79" s="151">
        <v>5</v>
      </c>
      <c r="E79" s="151">
        <v>6</v>
      </c>
      <c r="F79" s="151">
        <v>60</v>
      </c>
      <c r="G79" s="151">
        <v>52</v>
      </c>
      <c r="H79" s="151">
        <v>19056.8</v>
      </c>
      <c r="I79" s="151">
        <v>11348.24</v>
      </c>
      <c r="J79" s="153">
        <f t="shared" si="3"/>
      </c>
      <c r="K79" s="153">
        <f t="shared" si="0"/>
      </c>
      <c r="L79" s="154">
        <f t="shared" si="4"/>
      </c>
      <c r="M79" s="155">
        <f t="shared" si="1"/>
      </c>
      <c r="N79" s="156">
        <v>11</v>
      </c>
      <c r="O79" s="167">
        <f t="shared" si="5"/>
      </c>
      <c r="P79" s="174" t="s">
        <v>241</v>
      </c>
      <c r="Q79" s="174">
        <v>8</v>
      </c>
    </row>
    <row r="80">
      <c r="A80" s="159">
        <v>46158</v>
      </c>
      <c r="B80" s="173"/>
      <c r="C80" s="160"/>
      <c r="D80" s="160">
        <f>SUM(D76:D79)</f>
      </c>
      <c r="E80" s="160">
        <f>SUM(E76:E79)</f>
      </c>
      <c r="F80" s="160">
        <f>SUM(F76:F79)</f>
      </c>
      <c r="G80" s="160">
        <f>SUM(G76:G79)</f>
      </c>
      <c r="H80" s="160">
        <f>SUM(H76:H79)</f>
      </c>
      <c r="I80" s="160">
        <f>SUM(I76:I79)</f>
      </c>
      <c r="J80" s="161">
        <f t="shared" si="3"/>
      </c>
      <c r="K80" s="162">
        <f t="shared" si="0"/>
      </c>
      <c r="L80" s="162">
        <f t="shared" si="4"/>
      </c>
      <c r="M80" s="163">
        <f t="shared" si="1"/>
      </c>
      <c r="N80" s="160">
        <f>SUM(N76:N79)</f>
      </c>
      <c r="O80" s="163">
        <f t="shared" si="5"/>
      </c>
      <c r="P80" s="172"/>
      <c r="Q80" s="173">
        <f>SUM(Q76:Q79)</f>
      </c>
    </row>
    <row r="81">
      <c r="A81" s="149">
        <v>46159</v>
      </c>
      <c r="B81" s="180" t="s">
        <v>230</v>
      </c>
      <c r="C81" s="151" t="s">
        <v>216</v>
      </c>
      <c r="D81" s="151">
        <v>4</v>
      </c>
      <c r="E81" s="151">
        <v>3</v>
      </c>
      <c r="F81" s="151">
        <v>44</v>
      </c>
      <c r="G81" s="175">
        <v>26</v>
      </c>
      <c r="H81" s="183">
        <v>6379.1</v>
      </c>
      <c r="I81" s="183">
        <v>11316.400000000001</v>
      </c>
      <c r="J81" s="178">
        <f t="shared" si="3"/>
      </c>
      <c r="K81" s="153">
        <f t="shared" si="0"/>
      </c>
      <c r="L81" s="154">
        <f t="shared" si="4"/>
      </c>
      <c r="M81" s="155">
        <f t="shared" si="1"/>
      </c>
      <c r="N81" s="156">
        <v>1</v>
      </c>
      <c r="O81" s="155">
        <f t="shared" si="5"/>
      </c>
      <c r="P81" s="166" t="s">
        <v>227</v>
      </c>
      <c r="Q81" s="166">
        <v>8</v>
      </c>
    </row>
    <row r="82">
      <c r="A82" s="149">
        <v>46159</v>
      </c>
      <c r="B82" s="184" t="s">
        <v>223</v>
      </c>
      <c r="C82" s="151" t="s">
        <v>242</v>
      </c>
      <c r="D82" s="151">
        <v>5</v>
      </c>
      <c r="E82" s="151">
        <v>14</v>
      </c>
      <c r="F82" s="151">
        <v>50</v>
      </c>
      <c r="G82" s="151">
        <v>40</v>
      </c>
      <c r="H82" s="179">
        <v>14263.999999999998</v>
      </c>
      <c r="I82" s="179">
        <v>8686.73</v>
      </c>
      <c r="J82" s="153">
        <f t="shared" si="3"/>
      </c>
      <c r="K82" s="153">
        <f t="shared" si="0"/>
      </c>
      <c r="L82" s="154">
        <f t="shared" si="4"/>
      </c>
      <c r="M82" s="155">
        <f t="shared" si="1"/>
      </c>
      <c r="N82" s="156">
        <v>8</v>
      </c>
      <c r="O82" s="167">
        <f t="shared" si="5"/>
      </c>
      <c r="P82" s="174"/>
      <c r="Q82" s="174"/>
    </row>
    <row r="83">
      <c r="A83" s="181">
        <v>46159</v>
      </c>
      <c r="B83" s="174" t="s">
        <v>221</v>
      </c>
      <c r="C83" s="182" t="s">
        <v>245</v>
      </c>
      <c r="D83" s="151">
        <v>3</v>
      </c>
      <c r="E83" s="151">
        <v>6</v>
      </c>
      <c r="F83" s="151">
        <v>27</v>
      </c>
      <c r="G83" s="151">
        <v>20</v>
      </c>
      <c r="H83" s="151">
        <v>7318.5</v>
      </c>
      <c r="I83" s="151">
        <v>6715.539999999997</v>
      </c>
      <c r="J83" s="153">
        <f t="shared" si="3"/>
      </c>
      <c r="K83" s="153">
        <f t="shared" si="0"/>
      </c>
      <c r="L83" s="154">
        <f t="shared" si="4"/>
      </c>
      <c r="M83" s="155">
        <f t="shared" si="1"/>
      </c>
      <c r="N83" s="156">
        <v>2</v>
      </c>
      <c r="O83" s="167">
        <f t="shared" si="5"/>
      </c>
      <c r="P83" s="174"/>
      <c r="Q83" s="170"/>
    </row>
    <row r="84">
      <c r="A84" s="181">
        <v>46159</v>
      </c>
      <c r="B84" s="185" t="s">
        <v>215</v>
      </c>
      <c r="C84" s="182" t="s">
        <v>224</v>
      </c>
      <c r="D84" s="151">
        <v>4</v>
      </c>
      <c r="E84" s="151">
        <v>6</v>
      </c>
      <c r="F84" s="151">
        <v>46</v>
      </c>
      <c r="G84" s="151">
        <v>30</v>
      </c>
      <c r="H84" s="151">
        <v>11967.5</v>
      </c>
      <c r="I84" s="151">
        <v>10498.58</v>
      </c>
      <c r="J84" s="153">
        <f t="shared" si="3"/>
      </c>
      <c r="K84" s="153">
        <f t="shared" si="0"/>
      </c>
      <c r="L84" s="154">
        <f t="shared" si="4"/>
      </c>
      <c r="M84" s="155">
        <f t="shared" si="1"/>
      </c>
      <c r="N84" s="156">
        <v>3</v>
      </c>
      <c r="O84" s="167">
        <f t="shared" si="5"/>
      </c>
      <c r="P84" s="174" t="s">
        <v>246</v>
      </c>
      <c r="Q84" s="174">
        <v>8</v>
      </c>
    </row>
    <row r="85">
      <c r="A85" s="159">
        <v>46159</v>
      </c>
      <c r="B85" s="173"/>
      <c r="C85" s="160"/>
      <c r="D85" s="160">
        <f>SUM(D81:D84)</f>
      </c>
      <c r="E85" s="160">
        <f>SUM(E81:E84)</f>
      </c>
      <c r="F85" s="160">
        <f>SUM(F81:F84)</f>
      </c>
      <c r="G85" s="160">
        <f>SUM(G81:G84)</f>
      </c>
      <c r="H85" s="160">
        <f>SUM(H81:H84)</f>
      </c>
      <c r="I85" s="160">
        <f>SUM(I81:I84)</f>
      </c>
      <c r="J85" s="161">
        <f t="shared" si="3"/>
      </c>
      <c r="K85" s="162">
        <f t="shared" si="0"/>
      </c>
      <c r="L85" s="162">
        <f t="shared" si="4"/>
      </c>
      <c r="M85" s="163">
        <f t="shared" si="1"/>
      </c>
      <c r="N85" s="160">
        <f>SUM(N81:N84)</f>
      </c>
      <c r="O85" s="163">
        <f t="shared" si="5"/>
      </c>
      <c r="P85" s="172"/>
      <c r="Q85" s="173">
        <f>SUM(Q81:Q84)</f>
      </c>
    </row>
    <row r="86">
      <c r="A86" s="149">
        <v>46160</v>
      </c>
      <c r="B86" s="180" t="s">
        <v>223</v>
      </c>
      <c r="C86" s="151" t="s">
        <v>233</v>
      </c>
      <c r="D86" s="151">
        <v>5</v>
      </c>
      <c r="E86" s="151">
        <v>6</v>
      </c>
      <c r="F86" s="151">
        <v>60</v>
      </c>
      <c r="G86" s="175">
        <v>44</v>
      </c>
      <c r="H86" s="151">
        <v>17862.6</v>
      </c>
      <c r="I86" s="151">
        <v>13961.01</v>
      </c>
      <c r="J86" s="178">
        <f t="shared" si="3"/>
      </c>
      <c r="K86" s="153">
        <f t="shared" si="0"/>
      </c>
      <c r="L86" s="154">
        <f t="shared" si="4"/>
      </c>
      <c r="M86" s="155">
        <f t="shared" si="1"/>
      </c>
      <c r="N86" s="156">
        <v>9</v>
      </c>
      <c r="O86" s="155">
        <f t="shared" si="5"/>
      </c>
      <c r="P86" s="166" t="s">
        <v>228</v>
      </c>
      <c r="Q86" s="166">
        <v>8</v>
      </c>
    </row>
    <row r="87">
      <c r="A87" s="149">
        <v>46160</v>
      </c>
      <c r="B87" s="184" t="s">
        <v>218</v>
      </c>
      <c r="C87" s="151" t="s">
        <v>247</v>
      </c>
      <c r="D87" s="151">
        <v>4</v>
      </c>
      <c r="E87" s="151">
        <v>3</v>
      </c>
      <c r="F87" s="151">
        <v>46</v>
      </c>
      <c r="G87" s="151">
        <v>29</v>
      </c>
      <c r="H87" s="179">
        <v>12328.600000000002</v>
      </c>
      <c r="I87" s="179">
        <v>12139.529999999999</v>
      </c>
      <c r="J87" s="153">
        <f t="shared" si="3"/>
      </c>
      <c r="K87" s="153">
        <f t="shared" si="0"/>
      </c>
      <c r="L87" s="154">
        <f t="shared" si="4"/>
      </c>
      <c r="M87" s="155">
        <f t="shared" si="1"/>
      </c>
      <c r="N87" s="156">
        <v>9</v>
      </c>
      <c r="O87" s="167">
        <f t="shared" si="5"/>
      </c>
      <c r="P87" s="174"/>
      <c r="Q87" s="174"/>
    </row>
    <row r="88">
      <c r="A88" s="181">
        <v>46160</v>
      </c>
      <c r="B88" s="174" t="s">
        <v>221</v>
      </c>
      <c r="C88" s="182" t="s">
        <v>245</v>
      </c>
      <c r="D88" s="151">
        <v>3</v>
      </c>
      <c r="E88" s="151">
        <v>3</v>
      </c>
      <c r="F88" s="151">
        <v>32</v>
      </c>
      <c r="G88" s="151">
        <v>18</v>
      </c>
      <c r="H88" s="151">
        <v>5758.799999999999</v>
      </c>
      <c r="I88" s="151">
        <v>6131.710000000003</v>
      </c>
      <c r="J88" s="153">
        <f t="shared" si="3"/>
      </c>
      <c r="K88" s="153">
        <f t="shared" si="0"/>
      </c>
      <c r="L88" s="154">
        <f t="shared" si="4"/>
      </c>
      <c r="M88" s="155">
        <f t="shared" si="1"/>
      </c>
      <c r="N88" s="156">
        <v>2</v>
      </c>
      <c r="O88" s="167">
        <f t="shared" si="5"/>
      </c>
      <c r="P88" s="174"/>
      <c r="Q88" s="170"/>
    </row>
    <row r="89">
      <c r="A89" s="181">
        <v>46160</v>
      </c>
      <c r="B89" s="185" t="s">
        <v>230</v>
      </c>
      <c r="C89" s="182" t="s">
        <v>224</v>
      </c>
      <c r="D89" s="151">
        <v>4</v>
      </c>
      <c r="E89" s="151">
        <v>3</v>
      </c>
      <c r="F89" s="151">
        <v>57</v>
      </c>
      <c r="G89" s="151">
        <v>41</v>
      </c>
      <c r="H89" s="151">
        <v>17332.800000000003</v>
      </c>
      <c r="I89" s="151">
        <v>10174.449999999997</v>
      </c>
      <c r="J89" s="153">
        <f t="shared" si="3"/>
      </c>
      <c r="K89" s="153">
        <f t="shared" si="0"/>
      </c>
      <c r="L89" s="154">
        <f t="shared" si="4"/>
      </c>
      <c r="M89" s="155">
        <f t="shared" si="1"/>
      </c>
      <c r="N89" s="156">
        <v>12</v>
      </c>
      <c r="O89" s="167">
        <f t="shared" si="5"/>
      </c>
      <c r="P89" s="174" t="s">
        <v>225</v>
      </c>
      <c r="Q89" s="174">
        <v>8</v>
      </c>
    </row>
    <row r="90">
      <c r="A90" s="159">
        <v>46160</v>
      </c>
      <c r="B90" s="173"/>
      <c r="C90" s="160"/>
      <c r="D90" s="160">
        <f>SUM(D86:D89)</f>
      </c>
      <c r="E90" s="160">
        <f>SUM(E86:E89)</f>
      </c>
      <c r="F90" s="160">
        <f>SUM(F86:F89)</f>
      </c>
      <c r="G90" s="160">
        <f>SUM(G86:G89)</f>
      </c>
      <c r="H90" s="160">
        <f>SUM(H86:H89)</f>
      </c>
      <c r="I90" s="160">
        <f>SUM(I86:I89)</f>
      </c>
      <c r="J90" s="161">
        <f t="shared" si="3"/>
      </c>
      <c r="K90" s="162">
        <f t="shared" si="0"/>
      </c>
      <c r="L90" s="162">
        <f t="shared" si="4"/>
      </c>
      <c r="M90" s="163">
        <f t="shared" si="1"/>
      </c>
      <c r="N90" s="160">
        <f>SUM(N86:N89)</f>
      </c>
      <c r="O90" s="163">
        <f t="shared" si="5"/>
      </c>
      <c r="P90" s="172"/>
      <c r="Q90" s="173">
        <f>SUM(Q86:Q89)</f>
      </c>
    </row>
    <row r="91">
      <c r="A91" s="149">
        <v>46161</v>
      </c>
      <c r="B91" s="180" t="s">
        <v>223</v>
      </c>
      <c r="C91" s="151" t="s">
        <v>233</v>
      </c>
      <c r="D91" s="151">
        <v>5</v>
      </c>
      <c r="E91" s="151">
        <v>4</v>
      </c>
      <c r="F91" s="151">
        <v>56</v>
      </c>
      <c r="G91" s="175">
        <v>34</v>
      </c>
      <c r="H91" s="151">
        <v>13292.6</v>
      </c>
      <c r="I91" s="151">
        <v>10005.56</v>
      </c>
      <c r="J91" s="178">
        <f t="shared" si="3"/>
      </c>
      <c r="K91" s="153">
        <f t="shared" si="0"/>
      </c>
      <c r="L91" s="154">
        <f t="shared" si="4"/>
      </c>
      <c r="M91" s="155">
        <f t="shared" si="1"/>
      </c>
      <c r="N91" s="156">
        <v>12</v>
      </c>
      <c r="O91" s="155">
        <f t="shared" si="5"/>
      </c>
      <c r="P91" s="166" t="s">
        <v>228</v>
      </c>
      <c r="Q91" s="166">
        <v>8</v>
      </c>
    </row>
    <row r="92">
      <c r="A92" s="149">
        <v>46161</v>
      </c>
      <c r="B92" s="184" t="s">
        <v>218</v>
      </c>
      <c r="C92" s="151" t="s">
        <v>247</v>
      </c>
      <c r="D92" s="151">
        <v>4</v>
      </c>
      <c r="E92" s="151">
        <v>5</v>
      </c>
      <c r="F92" s="151">
        <v>35</v>
      </c>
      <c r="G92" s="151">
        <v>26</v>
      </c>
      <c r="H92" s="179">
        <v>9907.999999999998</v>
      </c>
      <c r="I92" s="179">
        <v>8805.860000000002</v>
      </c>
      <c r="J92" s="153">
        <f t="shared" si="3"/>
      </c>
      <c r="K92" s="153">
        <f t="shared" si="0"/>
      </c>
      <c r="L92" s="154">
        <f t="shared" si="4"/>
      </c>
      <c r="M92" s="155">
        <f t="shared" si="1"/>
      </c>
      <c r="N92" s="156">
        <v>2</v>
      </c>
      <c r="O92" s="167">
        <f t="shared" si="5"/>
      </c>
      <c r="P92" s="174"/>
      <c r="Q92" s="174"/>
    </row>
    <row r="93">
      <c r="A93" s="181">
        <v>46161</v>
      </c>
      <c r="B93" s="174" t="s">
        <v>230</v>
      </c>
      <c r="C93" s="182" t="s">
        <v>245</v>
      </c>
      <c r="D93" s="151">
        <v>3</v>
      </c>
      <c r="E93" s="151">
        <v>1</v>
      </c>
      <c r="F93" s="151">
        <v>35</v>
      </c>
      <c r="G93" s="151">
        <v>21</v>
      </c>
      <c r="H93" s="151">
        <v>6523.600000000002</v>
      </c>
      <c r="I93" s="151">
        <v>9230.59</v>
      </c>
      <c r="J93" s="153">
        <f t="shared" si="3"/>
      </c>
      <c r="K93" s="153">
        <f t="shared" si="0"/>
      </c>
      <c r="L93" s="154">
        <f t="shared" si="4"/>
      </c>
      <c r="M93" s="155">
        <f t="shared" si="1"/>
      </c>
      <c r="N93" s="156">
        <v>1</v>
      </c>
      <c r="O93" s="167">
        <f t="shared" si="5"/>
      </c>
      <c r="P93" s="174"/>
      <c r="Q93" s="170"/>
    </row>
    <row r="94">
      <c r="A94" s="181">
        <v>46161</v>
      </c>
      <c r="B94" s="185" t="s">
        <v>215</v>
      </c>
      <c r="C94" s="182" t="s">
        <v>224</v>
      </c>
      <c r="D94" s="151">
        <v>4</v>
      </c>
      <c r="E94" s="151">
        <v>9</v>
      </c>
      <c r="F94" s="151">
        <v>59</v>
      </c>
      <c r="G94" s="151">
        <v>46</v>
      </c>
      <c r="H94" s="151">
        <v>16005.3</v>
      </c>
      <c r="I94" s="151">
        <v>12850.970000000001</v>
      </c>
      <c r="J94" s="153">
        <f t="shared" si="3"/>
      </c>
      <c r="K94" s="153">
        <f t="shared" si="0"/>
      </c>
      <c r="L94" s="154">
        <f t="shared" si="4"/>
      </c>
      <c r="M94" s="155">
        <f t="shared" si="1"/>
      </c>
      <c r="N94" s="156">
        <v>11</v>
      </c>
      <c r="O94" s="167">
        <f t="shared" si="5"/>
      </c>
      <c r="P94" s="174" t="s">
        <v>225</v>
      </c>
      <c r="Q94" s="174">
        <v>8</v>
      </c>
    </row>
    <row r="95">
      <c r="A95" s="159">
        <v>46161</v>
      </c>
      <c r="B95" s="173"/>
      <c r="C95" s="160"/>
      <c r="D95" s="160">
        <f>SUM(D91:D94)</f>
      </c>
      <c r="E95" s="160">
        <f>SUM(E91:E94)</f>
      </c>
      <c r="F95" s="160">
        <f>SUM(F91:F94)</f>
      </c>
      <c r="G95" s="160">
        <f>SUM(G91:G94)</f>
      </c>
      <c r="H95" s="160">
        <f>SUM(H91:H94)</f>
      </c>
      <c r="I95" s="160">
        <f>SUM(I91:I94)</f>
      </c>
      <c r="J95" s="161">
        <f t="shared" si="3"/>
      </c>
      <c r="K95" s="162">
        <f t="shared" si="0"/>
      </c>
      <c r="L95" s="162">
        <f t="shared" si="4"/>
      </c>
      <c r="M95" s="163">
        <f t="shared" si="1"/>
      </c>
      <c r="N95" s="160">
        <f>SUM(N91:N94)</f>
      </c>
      <c r="O95" s="163">
        <f t="shared" si="5"/>
      </c>
      <c r="P95" s="172"/>
      <c r="Q95" s="173">
        <f>SUM(Q91:Q94)</f>
      </c>
    </row>
    <row r="96">
      <c r="A96" s="149">
        <v>46162</v>
      </c>
      <c r="B96" s="180" t="s">
        <v>223</v>
      </c>
      <c r="C96" s="151" t="s">
        <v>248</v>
      </c>
      <c r="D96" s="151">
        <v>6</v>
      </c>
      <c r="E96" s="151">
        <v>9</v>
      </c>
      <c r="F96" s="151">
        <v>53</v>
      </c>
      <c r="G96" s="175">
        <v>38</v>
      </c>
      <c r="H96" s="152">
        <v>13413</v>
      </c>
      <c r="I96" s="152">
        <v>12761.31</v>
      </c>
      <c r="J96" s="178">
        <f t="shared" si="3"/>
      </c>
      <c r="K96" s="153">
        <f t="shared" si="0"/>
      </c>
      <c r="L96" s="154">
        <f t="shared" si="4"/>
      </c>
      <c r="M96" s="155">
        <f t="shared" si="1"/>
      </c>
      <c r="N96" s="156">
        <v>5</v>
      </c>
      <c r="O96" s="155">
        <f t="shared" si="5"/>
      </c>
      <c r="P96" s="166" t="s">
        <v>217</v>
      </c>
      <c r="Q96" s="166">
        <v>7</v>
      </c>
    </row>
    <row r="97">
      <c r="A97" s="149">
        <v>46162</v>
      </c>
      <c r="B97" s="174" t="s">
        <v>221</v>
      </c>
      <c r="C97" s="151" t="s">
        <v>249</v>
      </c>
      <c r="D97" s="151">
        <v>3</v>
      </c>
      <c r="E97" s="151">
        <v>7</v>
      </c>
      <c r="F97" s="151">
        <v>37</v>
      </c>
      <c r="G97" s="151">
        <v>23</v>
      </c>
      <c r="H97" s="179">
        <v>10859.2</v>
      </c>
      <c r="I97" s="179">
        <v>5868.74</v>
      </c>
      <c r="J97" s="153">
        <f t="shared" si="3"/>
      </c>
      <c r="K97" s="153">
        <f t="shared" si="0"/>
      </c>
      <c r="L97" s="154">
        <f t="shared" si="4"/>
      </c>
      <c r="M97" s="155">
        <f t="shared" si="1"/>
      </c>
      <c r="N97" s="156">
        <v>4</v>
      </c>
      <c r="O97" s="167">
        <f t="shared" si="5"/>
      </c>
      <c r="P97" s="174" t="s">
        <v>220</v>
      </c>
      <c r="Q97" s="174">
        <v>1</v>
      </c>
    </row>
    <row r="98">
      <c r="A98" s="181">
        <v>46162</v>
      </c>
      <c r="B98" s="174" t="s">
        <v>218</v>
      </c>
      <c r="C98" s="182" t="s">
        <v>245</v>
      </c>
      <c r="D98" s="151">
        <v>3</v>
      </c>
      <c r="E98" s="151">
        <v>6</v>
      </c>
      <c r="F98" s="151">
        <v>50</v>
      </c>
      <c r="G98" s="151">
        <v>39</v>
      </c>
      <c r="H98" s="151">
        <v>13293.100000000002</v>
      </c>
      <c r="I98" s="151">
        <v>9931.3</v>
      </c>
      <c r="J98" s="153">
        <f t="shared" si="3"/>
      </c>
      <c r="K98" s="153">
        <f t="shared" si="0"/>
      </c>
      <c r="L98" s="154">
        <f t="shared" si="4"/>
      </c>
      <c r="M98" s="155">
        <f t="shared" si="1"/>
      </c>
      <c r="N98" s="156">
        <v>8</v>
      </c>
      <c r="O98" s="167">
        <f t="shared" si="5"/>
      </c>
      <c r="P98" s="174"/>
      <c r="Q98" s="170"/>
    </row>
    <row r="99">
      <c r="A99" s="181">
        <v>46162</v>
      </c>
      <c r="B99" s="185" t="s">
        <v>215</v>
      </c>
      <c r="C99" s="182" t="s">
        <v>224</v>
      </c>
      <c r="D99" s="151">
        <v>4</v>
      </c>
      <c r="E99" s="151">
        <v>8</v>
      </c>
      <c r="F99" s="151">
        <v>69</v>
      </c>
      <c r="G99" s="151">
        <v>46</v>
      </c>
      <c r="H99" s="151">
        <v>16009.899999999994</v>
      </c>
      <c r="I99" s="151">
        <v>11597.760000000002</v>
      </c>
      <c r="J99" s="153">
        <f t="shared" si="3"/>
      </c>
      <c r="K99" s="153">
        <f t="shared" si="0"/>
      </c>
      <c r="L99" s="154">
        <f t="shared" si="4"/>
      </c>
      <c r="M99" s="155">
        <f t="shared" si="1"/>
      </c>
      <c r="N99" s="156">
        <v>11</v>
      </c>
      <c r="O99" s="167">
        <f t="shared" si="5"/>
      </c>
      <c r="P99" s="174" t="s">
        <v>225</v>
      </c>
      <c r="Q99" s="174">
        <v>8</v>
      </c>
    </row>
    <row r="100">
      <c r="A100" s="159">
        <v>46162</v>
      </c>
      <c r="B100" s="173"/>
      <c r="C100" s="160"/>
      <c r="D100" s="160">
        <f>SUM(D96:D99)</f>
      </c>
      <c r="E100" s="160">
        <f>SUM(E96:E99)</f>
      </c>
      <c r="F100" s="160">
        <f>SUM(F96:F99)</f>
      </c>
      <c r="G100" s="160">
        <f>SUM(G96:G99)</f>
      </c>
      <c r="H100" s="160">
        <f>SUM(H96:H99)</f>
      </c>
      <c r="I100" s="160">
        <f>SUM(I96:I99)</f>
      </c>
      <c r="J100" s="161">
        <f t="shared" si="3"/>
      </c>
      <c r="K100" s="162">
        <f t="shared" si="0"/>
      </c>
      <c r="L100" s="162">
        <f t="shared" si="4"/>
      </c>
      <c r="M100" s="163">
        <f t="shared" si="1"/>
      </c>
      <c r="N100" s="160">
        <f>SUM(N96:N99)</f>
      </c>
      <c r="O100" s="163">
        <f t="shared" si="5"/>
      </c>
      <c r="P100" s="172"/>
      <c r="Q100" s="173">
        <f>SUM(Q96:Q99)</f>
      </c>
    </row>
    <row r="101">
      <c r="A101" s="149">
        <v>46163</v>
      </c>
      <c r="B101" s="180" t="s">
        <v>223</v>
      </c>
      <c r="C101" s="151" t="s">
        <v>233</v>
      </c>
      <c r="D101" s="151">
        <v>5</v>
      </c>
      <c r="E101" s="151">
        <v>10</v>
      </c>
      <c r="F101" s="151">
        <v>33</v>
      </c>
      <c r="G101" s="175">
        <v>20</v>
      </c>
      <c r="H101" s="152">
        <v>5429.2</v>
      </c>
      <c r="I101" s="152">
        <v>8292.92</v>
      </c>
      <c r="J101" s="178">
        <f t="shared" si="3"/>
      </c>
      <c r="K101" s="153">
        <f t="shared" si="0"/>
      </c>
      <c r="L101" s="154">
        <f t="shared" si="4"/>
      </c>
      <c r="M101" s="155">
        <f t="shared" si="1"/>
      </c>
      <c r="N101" s="156">
        <v>1</v>
      </c>
      <c r="O101" s="155">
        <f t="shared" si="5"/>
      </c>
      <c r="P101" s="166" t="s">
        <v>217</v>
      </c>
      <c r="Q101" s="166">
        <v>8</v>
      </c>
    </row>
    <row r="102">
      <c r="A102" s="149">
        <v>46163</v>
      </c>
      <c r="B102" s="174" t="s">
        <v>215</v>
      </c>
      <c r="C102" s="151" t="s">
        <v>247</v>
      </c>
      <c r="D102" s="151">
        <v>4</v>
      </c>
      <c r="E102" s="151">
        <v>0</v>
      </c>
      <c r="F102" s="151">
        <v>27</v>
      </c>
      <c r="G102" s="151">
        <v>14</v>
      </c>
      <c r="H102" s="179">
        <v>7876.8</v>
      </c>
      <c r="I102" s="179">
        <v>6346.389999999999</v>
      </c>
      <c r="J102" s="153">
        <f t="shared" si="3"/>
      </c>
      <c r="K102" s="153">
        <f t="shared" si="0"/>
      </c>
      <c r="L102" s="154">
        <f t="shared" si="4"/>
      </c>
      <c r="M102" s="155">
        <f t="shared" si="1"/>
      </c>
      <c r="N102" s="156">
        <v>2</v>
      </c>
      <c r="O102" s="167">
        <f t="shared" si="5"/>
      </c>
      <c r="P102" s="174"/>
      <c r="Q102" s="174"/>
    </row>
    <row r="103">
      <c r="A103" s="181">
        <v>46163</v>
      </c>
      <c r="B103" s="174" t="s">
        <v>221</v>
      </c>
      <c r="C103" s="182" t="s">
        <v>245</v>
      </c>
      <c r="D103" s="151">
        <v>3</v>
      </c>
      <c r="E103" s="151">
        <v>3</v>
      </c>
      <c r="F103" s="151">
        <v>14</v>
      </c>
      <c r="G103" s="151">
        <v>6</v>
      </c>
      <c r="H103" s="151">
        <v>2472</v>
      </c>
      <c r="I103" s="151">
        <v>3609.17</v>
      </c>
      <c r="J103" s="153">
        <f t="shared" si="3"/>
      </c>
      <c r="K103" s="153">
        <f t="shared" si="0"/>
      </c>
      <c r="L103" s="154">
        <f t="shared" si="4"/>
      </c>
      <c r="M103" s="155">
        <f t="shared" si="1"/>
      </c>
      <c r="N103" s="156">
        <v>0</v>
      </c>
      <c r="O103" s="167">
        <f t="shared" si="5"/>
      </c>
      <c r="P103" s="174"/>
      <c r="Q103" s="170"/>
    </row>
    <row r="104">
      <c r="A104" s="181">
        <v>46163</v>
      </c>
      <c r="B104" s="185" t="s">
        <v>218</v>
      </c>
      <c r="C104" s="182" t="s">
        <v>224</v>
      </c>
      <c r="D104" s="151">
        <v>4</v>
      </c>
      <c r="E104" s="151">
        <v>4</v>
      </c>
      <c r="F104" s="151">
        <v>43</v>
      </c>
      <c r="G104" s="151">
        <v>26</v>
      </c>
      <c r="H104" s="151">
        <v>9957.900000000001</v>
      </c>
      <c r="I104" s="151">
        <v>5235.93</v>
      </c>
      <c r="J104" s="153">
        <f t="shared" si="3"/>
      </c>
      <c r="K104" s="153">
        <f t="shared" si="0"/>
      </c>
      <c r="L104" s="154">
        <f t="shared" si="4"/>
      </c>
      <c r="M104" s="155">
        <f t="shared" si="1"/>
      </c>
      <c r="N104" s="156">
        <v>2</v>
      </c>
      <c r="O104" s="167">
        <f t="shared" si="5"/>
      </c>
      <c r="P104" s="174" t="s">
        <v>225</v>
      </c>
      <c r="Q104" s="174">
        <v>8</v>
      </c>
    </row>
    <row r="105">
      <c r="A105" s="186">
        <v>46163</v>
      </c>
      <c r="B105" s="187"/>
      <c r="C105" s="188"/>
      <c r="D105" s="188">
        <f>SUM(D101:D104)</f>
      </c>
      <c r="E105" s="188">
        <f>SUM(E101:E104)</f>
      </c>
      <c r="F105" s="188">
        <f>SUM(F101:F104)</f>
      </c>
      <c r="G105" s="188">
        <f>SUM(G101:G104)</f>
      </c>
      <c r="H105" s="160">
        <f>SUM(H101:H104)</f>
      </c>
      <c r="I105" s="160">
        <f>SUM(I101:I104)</f>
      </c>
      <c r="J105" s="161">
        <f t="shared" si="3"/>
      </c>
      <c r="K105" s="162">
        <f t="shared" si="0"/>
      </c>
      <c r="L105" s="162">
        <f t="shared" si="4"/>
      </c>
      <c r="M105" s="163">
        <f t="shared" si="1"/>
      </c>
      <c r="N105" s="160">
        <f>SUM(N101:N104)</f>
      </c>
      <c r="O105" s="163">
        <f t="shared" si="5"/>
      </c>
      <c r="P105" s="172"/>
      <c r="Q105" s="173">
        <f>SUM(Q101:Q104)</f>
      </c>
    </row>
    <row r="106">
      <c r="A106" s="189">
        <v>46164</v>
      </c>
      <c r="B106" s="190" t="s">
        <v>230</v>
      </c>
      <c r="C106" s="191" t="s">
        <v>216</v>
      </c>
      <c r="D106" s="191">
        <v>4</v>
      </c>
      <c r="E106" s="191">
        <v>1</v>
      </c>
      <c r="F106" s="191">
        <v>43</v>
      </c>
      <c r="G106" s="191">
        <v>20</v>
      </c>
      <c r="H106" s="192">
        <v>8162.8</v>
      </c>
      <c r="I106" s="152">
        <v>9578.09</v>
      </c>
      <c r="J106" s="178">
        <f t="shared" si="3"/>
      </c>
      <c r="K106" s="153">
        <f t="shared" si="0"/>
      </c>
      <c r="L106" s="154">
        <f t="shared" si="4"/>
      </c>
      <c r="M106" s="155">
        <f t="shared" si="1"/>
      </c>
      <c r="N106" s="156">
        <v>1</v>
      </c>
      <c r="O106" s="155">
        <f t="shared" si="5"/>
      </c>
      <c r="P106" s="166" t="s">
        <v>250</v>
      </c>
      <c r="Q106" s="166">
        <v>8</v>
      </c>
    </row>
    <row r="107">
      <c r="A107" s="189">
        <v>46164</v>
      </c>
      <c r="B107" s="174" t="s">
        <v>215</v>
      </c>
      <c r="C107" s="191" t="s">
        <v>219</v>
      </c>
      <c r="D107" s="191">
        <v>4</v>
      </c>
      <c r="E107" s="191">
        <v>10</v>
      </c>
      <c r="F107" s="191">
        <v>47</v>
      </c>
      <c r="G107" s="191">
        <v>36</v>
      </c>
      <c r="H107" s="193">
        <v>14073.400000000001</v>
      </c>
      <c r="I107" s="179">
        <v>9360.29</v>
      </c>
      <c r="J107" s="153">
        <f t="shared" si="3"/>
      </c>
      <c r="K107" s="153">
        <f t="shared" si="0"/>
      </c>
      <c r="L107" s="154">
        <f t="shared" si="4"/>
      </c>
      <c r="M107" s="155">
        <f t="shared" si="1"/>
      </c>
      <c r="N107" s="156">
        <v>6</v>
      </c>
      <c r="O107" s="167">
        <f t="shared" si="5"/>
      </c>
      <c r="P107" s="174"/>
      <c r="Q107" s="174"/>
    </row>
    <row r="108">
      <c r="A108" s="189">
        <v>46164</v>
      </c>
      <c r="B108" s="174" t="s">
        <v>218</v>
      </c>
      <c r="C108" s="191" t="s">
        <v>222</v>
      </c>
      <c r="D108" s="191">
        <v>4</v>
      </c>
      <c r="E108" s="191">
        <v>5</v>
      </c>
      <c r="F108" s="191">
        <v>27</v>
      </c>
      <c r="G108" s="191">
        <v>15</v>
      </c>
      <c r="H108" s="182">
        <v>5610.5</v>
      </c>
      <c r="I108" s="151">
        <v>6603.0999999999985</v>
      </c>
      <c r="J108" s="153">
        <f t="shared" si="3"/>
      </c>
      <c r="K108" s="153">
        <f t="shared" si="0"/>
      </c>
      <c r="L108" s="154">
        <f t="shared" si="4"/>
      </c>
      <c r="M108" s="155">
        <f t="shared" si="1"/>
      </c>
      <c r="N108" s="156">
        <v>3</v>
      </c>
      <c r="O108" s="167">
        <f t="shared" si="5"/>
      </c>
      <c r="P108" s="174"/>
      <c r="Q108" s="170"/>
    </row>
    <row r="109">
      <c r="A109" s="189">
        <v>46164</v>
      </c>
      <c r="B109" s="190" t="s">
        <v>223</v>
      </c>
      <c r="C109" s="191" t="s">
        <v>224</v>
      </c>
      <c r="D109" s="191">
        <v>4</v>
      </c>
      <c r="E109" s="191">
        <v>4</v>
      </c>
      <c r="F109" s="191">
        <v>40</v>
      </c>
      <c r="G109" s="191">
        <v>28</v>
      </c>
      <c r="H109" s="182">
        <v>9559.399999999998</v>
      </c>
      <c r="I109" s="151">
        <v>7051.27</v>
      </c>
      <c r="J109" s="153">
        <f t="shared" si="3"/>
      </c>
      <c r="K109" s="153">
        <f t="shared" si="0"/>
      </c>
      <c r="L109" s="154">
        <f t="shared" si="4"/>
      </c>
      <c r="M109" s="155">
        <f t="shared" si="1"/>
      </c>
      <c r="N109" s="156">
        <v>8</v>
      </c>
      <c r="O109" s="167">
        <f t="shared" si="5"/>
      </c>
      <c r="P109" s="174" t="s">
        <v>225</v>
      </c>
      <c r="Q109" s="174">
        <v>8</v>
      </c>
    </row>
    <row r="110">
      <c r="A110" s="194">
        <v>46164</v>
      </c>
      <c r="B110" s="195"/>
      <c r="C110" s="195"/>
      <c r="D110" s="195">
        <f>SUM(D106:D109)</f>
      </c>
      <c r="E110" s="195">
        <f>SUM(E106:E109)</f>
      </c>
      <c r="F110" s="195">
        <f>SUM(F106:F109)</f>
      </c>
      <c r="G110" s="195">
        <f>SUM(G106:G109)</f>
      </c>
      <c r="H110" s="196">
        <f>SUM(H106:H109)</f>
      </c>
      <c r="I110" s="160">
        <f>SUM(I106:I109)</f>
      </c>
      <c r="J110" s="161">
        <f t="shared" si="3"/>
      </c>
      <c r="K110" s="162">
        <f t="shared" si="0"/>
      </c>
      <c r="L110" s="162">
        <f t="shared" si="4"/>
      </c>
      <c r="M110" s="163">
        <f t="shared" si="1"/>
      </c>
      <c r="N110" s="160">
        <f>SUM(N106:N109)</f>
      </c>
      <c r="O110" s="163">
        <f t="shared" si="5"/>
      </c>
      <c r="P110" s="172"/>
      <c r="Q110" s="173">
        <f>SUM(Q106:Q109)</f>
      </c>
    </row>
    <row r="111">
      <c r="A111" s="189">
        <v>46165</v>
      </c>
      <c r="B111" s="190" t="s">
        <v>215</v>
      </c>
      <c r="C111" s="191" t="s">
        <v>216</v>
      </c>
      <c r="D111" s="191">
        <v>4</v>
      </c>
      <c r="E111" s="191">
        <v>0</v>
      </c>
      <c r="F111" s="191">
        <v>12</v>
      </c>
      <c r="G111" s="191">
        <v>9</v>
      </c>
      <c r="H111" s="197">
        <v>3252</v>
      </c>
      <c r="I111" s="182">
        <v>5477.749999999999</v>
      </c>
      <c r="J111" s="178">
        <f t="shared" si="3"/>
      </c>
      <c r="K111" s="153">
        <f t="shared" si="0"/>
      </c>
      <c r="L111" s="154">
        <f t="shared" si="4"/>
      </c>
      <c r="M111" s="155">
        <f t="shared" si="1"/>
      </c>
      <c r="N111" s="156">
        <v>0</v>
      </c>
      <c r="O111" s="155">
        <f t="shared" si="5"/>
      </c>
      <c r="P111" s="166" t="s">
        <v>228</v>
      </c>
      <c r="Q111" s="166">
        <v>8</v>
      </c>
    </row>
    <row r="112">
      <c r="A112" s="189">
        <v>46165</v>
      </c>
      <c r="B112" s="174" t="s">
        <v>230</v>
      </c>
      <c r="C112" s="191" t="s">
        <v>219</v>
      </c>
      <c r="D112" s="191">
        <v>4</v>
      </c>
      <c r="E112" s="191">
        <v>5</v>
      </c>
      <c r="F112" s="191">
        <v>40</v>
      </c>
      <c r="G112" s="191">
        <v>24</v>
      </c>
      <c r="H112" s="193">
        <v>8905.6</v>
      </c>
      <c r="I112" s="179">
        <v>7352.6100000000015</v>
      </c>
      <c r="J112" s="153">
        <f t="shared" si="3"/>
      </c>
      <c r="K112" s="153">
        <f t="shared" si="0"/>
      </c>
      <c r="L112" s="154">
        <f t="shared" si="4"/>
      </c>
      <c r="M112" s="155">
        <f t="shared" si="1"/>
      </c>
      <c r="N112" s="156">
        <v>2</v>
      </c>
      <c r="O112" s="167">
        <f t="shared" si="5"/>
      </c>
      <c r="P112" s="174"/>
      <c r="Q112" s="174"/>
    </row>
    <row r="113">
      <c r="A113" s="189">
        <v>46165</v>
      </c>
      <c r="B113" s="174" t="s">
        <v>221</v>
      </c>
      <c r="C113" s="191" t="s">
        <v>236</v>
      </c>
      <c r="D113" s="191">
        <v>3</v>
      </c>
      <c r="E113" s="191">
        <v>3</v>
      </c>
      <c r="F113" s="191">
        <v>40</v>
      </c>
      <c r="G113" s="191">
        <v>30</v>
      </c>
      <c r="H113" s="182">
        <v>12540.199999999999</v>
      </c>
      <c r="I113" s="151">
        <v>7309.169999999998</v>
      </c>
      <c r="J113" s="153">
        <f t="shared" si="3"/>
      </c>
      <c r="K113" s="153">
        <f t="shared" si="0"/>
      </c>
      <c r="L113" s="154">
        <f t="shared" si="4"/>
      </c>
      <c r="M113" s="155">
        <f t="shared" si="1"/>
      </c>
      <c r="N113" s="156">
        <v>4</v>
      </c>
      <c r="O113" s="167">
        <f t="shared" si="5"/>
      </c>
      <c r="P113" s="174" t="s">
        <v>225</v>
      </c>
      <c r="Q113" s="170">
        <v>3</v>
      </c>
    </row>
    <row r="114">
      <c r="A114" s="189">
        <v>46165</v>
      </c>
      <c r="B114" s="190" t="s">
        <v>223</v>
      </c>
      <c r="C114" s="191" t="s">
        <v>237</v>
      </c>
      <c r="D114" s="191">
        <v>5</v>
      </c>
      <c r="E114" s="191">
        <v>0</v>
      </c>
      <c r="F114" s="191">
        <v>48</v>
      </c>
      <c r="G114" s="191">
        <v>35</v>
      </c>
      <c r="H114" s="182">
        <v>15223.600000000002</v>
      </c>
      <c r="I114" s="151">
        <v>11614.849999999999</v>
      </c>
      <c r="J114" s="153">
        <f t="shared" si="3"/>
      </c>
      <c r="K114" s="153">
        <f t="shared" si="0"/>
      </c>
      <c r="L114" s="154">
        <f t="shared" si="4"/>
      </c>
      <c r="M114" s="155">
        <f t="shared" si="1"/>
      </c>
      <c r="N114" s="156">
        <v>7</v>
      </c>
      <c r="O114" s="167">
        <f t="shared" si="5"/>
      </c>
      <c r="P114" s="174" t="s">
        <v>251</v>
      </c>
      <c r="Q114" s="174">
        <v>5</v>
      </c>
    </row>
    <row r="115">
      <c r="A115" s="194">
        <v>46165</v>
      </c>
      <c r="B115" s="195"/>
      <c r="C115" s="195"/>
      <c r="D115" s="195">
        <f>SUM(D111:D114)</f>
      </c>
      <c r="E115" s="195">
        <f>SUM(E111:E114)</f>
      </c>
      <c r="F115" s="195">
        <f>SUM(F111:F114)</f>
      </c>
      <c r="G115" s="195">
        <f>SUM(G111:G114)</f>
      </c>
      <c r="H115" s="196">
        <f>SUM(H111:H114)</f>
      </c>
      <c r="I115" s="160">
        <f>SUM(I111:I114)</f>
      </c>
      <c r="J115" s="161">
        <f t="shared" si="3"/>
      </c>
      <c r="K115" s="162">
        <f t="shared" si="0"/>
      </c>
      <c r="L115" s="162">
        <f t="shared" si="4"/>
      </c>
      <c r="M115" s="163">
        <f t="shared" si="1"/>
      </c>
      <c r="N115" s="160">
        <f>SUM(N111:N114)</f>
      </c>
      <c r="O115" s="163">
        <f t="shared" si="5"/>
      </c>
      <c r="P115" s="172"/>
      <c r="Q115" s="173">
        <f>SUM(Q111:Q114)</f>
      </c>
    </row>
    <row r="116">
      <c r="A116" s="189">
        <v>46166</v>
      </c>
      <c r="B116" s="190" t="s">
        <v>218</v>
      </c>
      <c r="C116" s="191" t="s">
        <v>216</v>
      </c>
      <c r="D116" s="191">
        <v>4</v>
      </c>
      <c r="E116" s="191">
        <v>5</v>
      </c>
      <c r="F116" s="191">
        <v>39</v>
      </c>
      <c r="G116" s="191">
        <v>23</v>
      </c>
      <c r="H116" s="197">
        <v>6241.9</v>
      </c>
      <c r="I116" s="151">
        <v>9733.039999999999</v>
      </c>
      <c r="J116" s="178">
        <f t="shared" si="3"/>
      </c>
      <c r="K116" s="153">
        <f t="shared" si="0"/>
      </c>
      <c r="L116" s="154">
        <f t="shared" si="4"/>
      </c>
      <c r="M116" s="155">
        <f t="shared" si="1"/>
      </c>
      <c r="N116" s="156">
        <v>3</v>
      </c>
      <c r="O116" s="155">
        <f t="shared" si="5"/>
      </c>
      <c r="P116" s="166" t="s">
        <v>228</v>
      </c>
      <c r="Q116" s="166">
        <v>8</v>
      </c>
    </row>
    <row r="117">
      <c r="A117" s="189">
        <v>46166</v>
      </c>
      <c r="B117" s="174" t="s">
        <v>221</v>
      </c>
      <c r="C117" s="191" t="s">
        <v>231</v>
      </c>
      <c r="D117" s="191">
        <v>3</v>
      </c>
      <c r="E117" s="191">
        <v>5</v>
      </c>
      <c r="F117" s="191">
        <v>28</v>
      </c>
      <c r="G117" s="191">
        <v>20</v>
      </c>
      <c r="H117" s="193">
        <v>7327.800000000001</v>
      </c>
      <c r="I117" s="151">
        <v>7518.26</v>
      </c>
      <c r="J117" s="153">
        <f t="shared" si="3"/>
      </c>
      <c r="K117" s="153">
        <f t="shared" si="0"/>
      </c>
      <c r="L117" s="154">
        <f t="shared" si="4"/>
      </c>
      <c r="M117" s="155">
        <f t="shared" si="1"/>
      </c>
      <c r="N117" s="156">
        <v>3</v>
      </c>
      <c r="O117" s="167">
        <f t="shared" si="5"/>
      </c>
      <c r="P117" s="174"/>
      <c r="Q117" s="174"/>
    </row>
    <row r="118">
      <c r="A118" s="189">
        <v>46166</v>
      </c>
      <c r="B118" s="174" t="s">
        <v>223</v>
      </c>
      <c r="C118" s="191" t="s">
        <v>232</v>
      </c>
      <c r="D118" s="191">
        <v>5</v>
      </c>
      <c r="E118" s="191">
        <v>3</v>
      </c>
      <c r="F118" s="191">
        <v>47</v>
      </c>
      <c r="G118" s="191">
        <v>27</v>
      </c>
      <c r="H118" s="182">
        <v>7723.200000000001</v>
      </c>
      <c r="I118" s="151">
        <v>10610.850000000002</v>
      </c>
      <c r="J118" s="153">
        <f t="shared" si="3"/>
      </c>
      <c r="K118" s="153">
        <f t="shared" si="0"/>
      </c>
      <c r="L118" s="154">
        <f t="shared" si="4"/>
      </c>
      <c r="M118" s="155">
        <f t="shared" si="1"/>
      </c>
      <c r="N118" s="156">
        <v>5</v>
      </c>
      <c r="O118" s="167">
        <f t="shared" si="5"/>
      </c>
      <c r="P118" s="174" t="s">
        <v>225</v>
      </c>
      <c r="Q118" s="170">
        <v>3</v>
      </c>
    </row>
    <row r="119">
      <c r="A119" s="189">
        <v>46166</v>
      </c>
      <c r="B119" s="190" t="s">
        <v>230</v>
      </c>
      <c r="C119" s="191" t="s">
        <v>224</v>
      </c>
      <c r="D119" s="191">
        <v>4</v>
      </c>
      <c r="E119" s="191">
        <v>7</v>
      </c>
      <c r="F119" s="191">
        <v>44</v>
      </c>
      <c r="G119" s="191">
        <v>31</v>
      </c>
      <c r="H119" s="182">
        <v>15450.900000000001</v>
      </c>
      <c r="I119" s="151">
        <v>6519.43</v>
      </c>
      <c r="J119" s="153">
        <f t="shared" si="3"/>
      </c>
      <c r="K119" s="153">
        <f t="shared" si="0"/>
      </c>
      <c r="L119" s="154">
        <f t="shared" si="4"/>
      </c>
      <c r="M119" s="155">
        <f t="shared" si="1"/>
      </c>
      <c r="N119" s="156">
        <v>12</v>
      </c>
      <c r="O119" s="167">
        <f t="shared" si="5"/>
      </c>
      <c r="P119" s="174" t="s">
        <v>251</v>
      </c>
      <c r="Q119" s="174">
        <v>5</v>
      </c>
    </row>
    <row r="120">
      <c r="A120" s="194">
        <v>46166</v>
      </c>
      <c r="B120" s="195"/>
      <c r="C120" s="195"/>
      <c r="D120" s="195">
        <f>SUM(D116:D119)</f>
      </c>
      <c r="E120" s="195">
        <f>SUM(E116:E119)</f>
      </c>
      <c r="F120" s="195">
        <f>SUM(F116:F119)</f>
      </c>
      <c r="G120" s="195">
        <f>SUM(G116:G119)</f>
      </c>
      <c r="H120" s="196">
        <f>SUM(H116:H119)</f>
      </c>
      <c r="I120" s="160">
        <f>SUM(I116:I119)</f>
      </c>
      <c r="J120" s="161">
        <f t="shared" si="3"/>
      </c>
      <c r="K120" s="162">
        <f t="shared" si="0"/>
      </c>
      <c r="L120" s="162">
        <f t="shared" si="4"/>
      </c>
      <c r="M120" s="163">
        <f t="shared" si="1"/>
      </c>
      <c r="N120" s="160">
        <f>SUM(N116:N119)</f>
      </c>
      <c r="O120" s="163">
        <f t="shared" si="5"/>
      </c>
      <c r="P120" s="172"/>
      <c r="Q120" s="173">
        <f>SUM(Q116:Q119)</f>
      </c>
    </row>
    <row r="121">
      <c r="A121" s="189">
        <v>46167</v>
      </c>
      <c r="B121" s="190" t="s">
        <v>218</v>
      </c>
      <c r="C121" s="191" t="s">
        <v>216</v>
      </c>
      <c r="D121" s="191">
        <v>4</v>
      </c>
      <c r="E121" s="191">
        <v>8</v>
      </c>
      <c r="F121" s="191">
        <v>51</v>
      </c>
      <c r="G121" s="191">
        <v>34</v>
      </c>
      <c r="H121" s="182">
        <v>12179.1</v>
      </c>
      <c r="I121" s="182">
        <v>9349.05</v>
      </c>
      <c r="J121" s="178">
        <f t="shared" si="3"/>
      </c>
      <c r="K121" s="153">
        <f t="shared" si="0"/>
      </c>
      <c r="L121" s="154">
        <f t="shared" si="4"/>
      </c>
      <c r="M121" s="155">
        <f t="shared" si="1"/>
      </c>
      <c r="N121" s="156">
        <v>5</v>
      </c>
      <c r="O121" s="155">
        <f t="shared" si="5"/>
      </c>
      <c r="P121" s="166" t="s">
        <v>228</v>
      </c>
      <c r="Q121" s="166">
        <v>8</v>
      </c>
    </row>
    <row r="122">
      <c r="A122" s="189">
        <v>46167</v>
      </c>
      <c r="B122" s="174" t="s">
        <v>221</v>
      </c>
      <c r="C122" s="191" t="s">
        <v>219</v>
      </c>
      <c r="D122" s="191">
        <v>4</v>
      </c>
      <c r="E122" s="191">
        <v>3</v>
      </c>
      <c r="F122" s="191">
        <v>33</v>
      </c>
      <c r="G122" s="191">
        <v>22</v>
      </c>
      <c r="H122" s="193">
        <v>8987.999999999998</v>
      </c>
      <c r="I122" s="151">
        <v>8535.529999999999</v>
      </c>
      <c r="J122" s="153">
        <f t="shared" si="3"/>
      </c>
      <c r="K122" s="153">
        <f t="shared" si="0"/>
      </c>
      <c r="L122" s="154">
        <f t="shared" si="4"/>
      </c>
      <c r="M122" s="155">
        <f t="shared" si="1"/>
      </c>
      <c r="N122" s="156">
        <v>2</v>
      </c>
      <c r="O122" s="167">
        <f t="shared" si="5"/>
      </c>
      <c r="P122" s="174"/>
      <c r="Q122" s="174"/>
    </row>
    <row r="123">
      <c r="A123" s="189">
        <v>46167</v>
      </c>
      <c r="B123" s="174" t="s">
        <v>215</v>
      </c>
      <c r="C123" s="191" t="s">
        <v>222</v>
      </c>
      <c r="D123" s="191">
        <v>4</v>
      </c>
      <c r="E123" s="191">
        <v>4</v>
      </c>
      <c r="F123" s="191">
        <v>30</v>
      </c>
      <c r="G123" s="191">
        <v>16</v>
      </c>
      <c r="H123" s="182">
        <v>4661.100000000002</v>
      </c>
      <c r="I123" s="151">
        <v>8147.5</v>
      </c>
      <c r="J123" s="153">
        <f t="shared" si="3"/>
      </c>
      <c r="K123" s="153">
        <f t="shared" si="0"/>
      </c>
      <c r="L123" s="154">
        <f t="shared" si="4"/>
      </c>
      <c r="M123" s="155">
        <f t="shared" si="1"/>
      </c>
      <c r="N123" s="156">
        <v>4</v>
      </c>
      <c r="O123" s="167">
        <f t="shared" si="5"/>
      </c>
      <c r="P123" s="174" t="s">
        <v>225</v>
      </c>
      <c r="Q123" s="170">
        <v>8</v>
      </c>
    </row>
    <row r="124">
      <c r="A124" s="189">
        <v>46167</v>
      </c>
      <c r="B124" s="190" t="s">
        <v>230</v>
      </c>
      <c r="C124" s="191" t="s">
        <v>224</v>
      </c>
      <c r="D124" s="191">
        <v>4</v>
      </c>
      <c r="E124" s="191">
        <v>9</v>
      </c>
      <c r="F124" s="191">
        <v>61</v>
      </c>
      <c r="G124" s="191">
        <v>34</v>
      </c>
      <c r="H124" s="182">
        <v>11452.600000000002</v>
      </c>
      <c r="I124" s="151">
        <v>8503.300000000003</v>
      </c>
      <c r="J124" s="153">
        <f t="shared" si="3"/>
      </c>
      <c r="K124" s="153">
        <f t="shared" si="0"/>
      </c>
      <c r="L124" s="154">
        <f t="shared" si="4"/>
      </c>
      <c r="M124" s="155">
        <f t="shared" si="1"/>
      </c>
      <c r="N124" s="156">
        <v>8</v>
      </c>
      <c r="O124" s="167">
        <f t="shared" si="5"/>
      </c>
      <c r="P124" s="174"/>
      <c r="Q124" s="174"/>
    </row>
    <row r="125">
      <c r="A125" s="194">
        <v>46167</v>
      </c>
      <c r="B125" s="198"/>
      <c r="C125" s="195"/>
      <c r="D125" s="195">
        <f>SUM(D121:D124)</f>
      </c>
      <c r="E125" s="195">
        <f>SUM(E121:E124)</f>
      </c>
      <c r="F125" s="195">
        <f>SUM(F121:F124)</f>
      </c>
      <c r="G125" s="195">
        <f>SUM(G121:G124)</f>
      </c>
      <c r="H125" s="196">
        <f>SUM(H121:H124)</f>
      </c>
      <c r="I125" s="160">
        <f>SUM(I121:I124)</f>
      </c>
      <c r="J125" s="161">
        <f t="shared" si="3"/>
      </c>
      <c r="K125" s="162">
        <f t="shared" si="0"/>
      </c>
      <c r="L125" s="162">
        <f t="shared" si="4"/>
      </c>
      <c r="M125" s="163">
        <f t="shared" si="1"/>
      </c>
      <c r="N125" s="160">
        <f>SUM(N121:N124)</f>
      </c>
      <c r="O125" s="163">
        <f t="shared" si="5"/>
      </c>
      <c r="P125" s="172"/>
      <c r="Q125" s="173">
        <f>SUM(Q121:Q124)</f>
      </c>
    </row>
    <row r="126">
      <c r="A126" s="199">
        <v>46168</v>
      </c>
      <c r="B126" s="174" t="s">
        <v>215</v>
      </c>
      <c r="C126" s="200" t="s">
        <v>216</v>
      </c>
      <c r="D126" s="191">
        <v>4</v>
      </c>
      <c r="E126" s="191">
        <v>6</v>
      </c>
      <c r="F126" s="191">
        <v>40</v>
      </c>
      <c r="G126" s="191">
        <v>23</v>
      </c>
      <c r="H126" s="151">
        <v>8601.4</v>
      </c>
      <c r="I126" s="151">
        <v>7466.9800000000005</v>
      </c>
      <c r="J126" s="178">
        <f t="shared" si="3"/>
      </c>
      <c r="K126" s="153">
        <f t="shared" si="0"/>
      </c>
      <c r="L126" s="154">
        <f t="shared" si="4"/>
      </c>
      <c r="M126" s="155">
        <f t="shared" si="1"/>
      </c>
      <c r="N126" s="156">
        <v>2</v>
      </c>
      <c r="O126" s="155">
        <f t="shared" si="5"/>
      </c>
      <c r="P126" s="166" t="s">
        <v>228</v>
      </c>
      <c r="Q126" s="166">
        <v>8</v>
      </c>
    </row>
    <row r="127">
      <c r="A127" s="199">
        <v>46168</v>
      </c>
      <c r="B127" s="190" t="s">
        <v>230</v>
      </c>
      <c r="C127" s="200" t="s">
        <v>219</v>
      </c>
      <c r="D127" s="191">
        <v>4</v>
      </c>
      <c r="E127" s="191">
        <v>7</v>
      </c>
      <c r="F127" s="191">
        <v>32</v>
      </c>
      <c r="G127" s="191">
        <v>20</v>
      </c>
      <c r="H127" s="193">
        <v>6657.800000000001</v>
      </c>
      <c r="I127" s="151">
        <v>6855.2699999999995</v>
      </c>
      <c r="J127" s="153">
        <f t="shared" si="3"/>
      </c>
      <c r="K127" s="153">
        <f t="shared" si="0"/>
      </c>
      <c r="L127" s="154">
        <f t="shared" si="4"/>
      </c>
      <c r="M127" s="155">
        <f t="shared" si="1"/>
      </c>
      <c r="N127" s="156">
        <v>2</v>
      </c>
      <c r="O127" s="167">
        <f t="shared" si="5"/>
      </c>
      <c r="P127" s="174"/>
      <c r="Q127" s="174"/>
    </row>
    <row r="128">
      <c r="A128" s="199">
        <v>46168</v>
      </c>
      <c r="B128" s="174" t="s">
        <v>223</v>
      </c>
      <c r="C128" s="200" t="s">
        <v>222</v>
      </c>
      <c r="D128" s="191">
        <v>4</v>
      </c>
      <c r="E128" s="191">
        <v>6</v>
      </c>
      <c r="F128" s="191">
        <v>36</v>
      </c>
      <c r="G128" s="191">
        <v>28</v>
      </c>
      <c r="H128" s="182">
        <v>10902.7</v>
      </c>
      <c r="I128" s="151">
        <v>7764.869999999995</v>
      </c>
      <c r="J128" s="153">
        <f t="shared" si="3"/>
      </c>
      <c r="K128" s="153">
        <f t="shared" si="0"/>
      </c>
      <c r="L128" s="154">
        <f t="shared" si="4"/>
      </c>
      <c r="M128" s="155">
        <f t="shared" si="1"/>
      </c>
      <c r="N128" s="156">
        <v>3</v>
      </c>
      <c r="O128" s="167">
        <f t="shared" si="5"/>
      </c>
      <c r="P128" s="174" t="s">
        <v>225</v>
      </c>
      <c r="Q128" s="170">
        <v>3</v>
      </c>
    </row>
    <row r="129">
      <c r="A129" s="199">
        <v>46168</v>
      </c>
      <c r="B129" s="174" t="s">
        <v>218</v>
      </c>
      <c r="C129" s="200" t="s">
        <v>224</v>
      </c>
      <c r="D129" s="191">
        <v>4</v>
      </c>
      <c r="E129" s="191">
        <v>4</v>
      </c>
      <c r="F129" s="191">
        <v>42</v>
      </c>
      <c r="G129" s="191">
        <v>32</v>
      </c>
      <c r="H129" s="182">
        <v>11840.599999999999</v>
      </c>
      <c r="I129" s="151">
        <v>9487.140000000003</v>
      </c>
      <c r="J129" s="153">
        <f t="shared" si="3"/>
      </c>
      <c r="K129" s="153">
        <f t="shared" si="0"/>
      </c>
      <c r="L129" s="154">
        <f t="shared" si="4"/>
      </c>
      <c r="M129" s="155">
        <f t="shared" si="1"/>
      </c>
      <c r="N129" s="156">
        <v>4</v>
      </c>
      <c r="O129" s="167">
        <f t="shared" si="5"/>
      </c>
      <c r="P129" s="174" t="s">
        <v>251</v>
      </c>
      <c r="Q129" s="174">
        <v>5</v>
      </c>
    </row>
    <row r="130">
      <c r="A130" s="194">
        <v>46168</v>
      </c>
      <c r="B130" s="201"/>
      <c r="C130" s="195"/>
      <c r="D130" s="195">
        <f>SUM(D126:D129)</f>
      </c>
      <c r="E130" s="195">
        <f>SUM(E126:E129)</f>
      </c>
      <c r="F130" s="195">
        <f>SUM(F126:F129)</f>
      </c>
      <c r="G130" s="195">
        <f>SUM(G126:G129)</f>
      </c>
      <c r="H130" s="196">
        <f>SUM(H126:H129)</f>
      </c>
      <c r="I130" s="160">
        <f>SUM(I126:I129)</f>
      </c>
      <c r="J130" s="161">
        <f t="shared" si="3"/>
      </c>
      <c r="K130" s="162">
        <f t="shared" si="0"/>
      </c>
      <c r="L130" s="162">
        <f t="shared" si="4"/>
      </c>
      <c r="M130" s="163">
        <f t="shared" si="1"/>
      </c>
      <c r="N130" s="160">
        <f>SUM(N126:N129)</f>
      </c>
      <c r="O130" s="163">
        <f t="shared" si="5"/>
      </c>
      <c r="P130" s="172"/>
      <c r="Q130" s="173">
        <f>SUM(Q126:Q129)</f>
      </c>
    </row>
    <row r="131">
      <c r="A131" s="199">
        <v>46169</v>
      </c>
      <c r="B131" s="174" t="s">
        <v>230</v>
      </c>
      <c r="C131" s="200" t="s">
        <v>216</v>
      </c>
      <c r="D131" s="191">
        <v>4</v>
      </c>
      <c r="E131" s="191">
        <v>9</v>
      </c>
      <c r="F131" s="191">
        <v>49</v>
      </c>
      <c r="G131" s="191">
        <v>27</v>
      </c>
      <c r="H131" s="193">
        <v>6913.8</v>
      </c>
      <c r="I131" s="193">
        <v>9006.7</v>
      </c>
      <c r="J131" s="178">
        <f t="shared" si="3"/>
      </c>
      <c r="K131" s="153">
        <f t="shared" si="0"/>
      </c>
      <c r="L131" s="154">
        <f t="shared" si="4"/>
      </c>
      <c r="M131" s="155">
        <f t="shared" si="1"/>
      </c>
      <c r="N131" s="156">
        <v>7</v>
      </c>
      <c r="O131" s="155">
        <f t="shared" si="5"/>
      </c>
      <c r="P131" s="166" t="s">
        <v>228</v>
      </c>
      <c r="Q131" s="166">
        <v>8</v>
      </c>
    </row>
    <row r="132">
      <c r="A132" s="199">
        <v>46169</v>
      </c>
      <c r="B132" s="190" t="s">
        <v>221</v>
      </c>
      <c r="C132" s="200" t="s">
        <v>219</v>
      </c>
      <c r="D132" s="191">
        <v>4</v>
      </c>
      <c r="E132" s="191">
        <v>6</v>
      </c>
      <c r="F132" s="191">
        <v>37</v>
      </c>
      <c r="G132" s="191">
        <v>23</v>
      </c>
      <c r="H132" s="193">
        <v>8560.7</v>
      </c>
      <c r="I132" s="151">
        <v>9557.71</v>
      </c>
      <c r="J132" s="153">
        <f t="shared" si="3"/>
      </c>
      <c r="K132" s="153">
        <f t="shared" si="0"/>
      </c>
      <c r="L132" s="154">
        <f t="shared" si="4"/>
      </c>
      <c r="M132" s="155">
        <f t="shared" si="1"/>
      </c>
      <c r="N132" s="156">
        <v>5</v>
      </c>
      <c r="O132" s="167">
        <f t="shared" si="5"/>
      </c>
      <c r="P132" s="174"/>
      <c r="Q132" s="174"/>
    </row>
    <row r="133">
      <c r="A133" s="199">
        <v>46169</v>
      </c>
      <c r="B133" s="174" t="s">
        <v>223</v>
      </c>
      <c r="C133" s="200" t="s">
        <v>222</v>
      </c>
      <c r="D133" s="191">
        <v>4</v>
      </c>
      <c r="E133" s="191">
        <v>4</v>
      </c>
      <c r="F133" s="191">
        <v>35</v>
      </c>
      <c r="G133" s="191">
        <v>23</v>
      </c>
      <c r="H133" s="182">
        <v>7495.5</v>
      </c>
      <c r="I133" s="151">
        <v>8433.200000000004</v>
      </c>
      <c r="J133" s="153">
        <f t="shared" si="3"/>
      </c>
      <c r="K133" s="153">
        <f t="shared" si="0"/>
      </c>
      <c r="L133" s="154">
        <f t="shared" si="4"/>
      </c>
      <c r="M133" s="155">
        <f t="shared" si="1"/>
      </c>
      <c r="N133" s="156">
        <v>1</v>
      </c>
      <c r="O133" s="167">
        <f t="shared" si="5"/>
      </c>
      <c r="P133" s="174" t="s">
        <v>225</v>
      </c>
      <c r="Q133" s="170">
        <v>4</v>
      </c>
    </row>
    <row r="134">
      <c r="A134" s="199">
        <v>46169</v>
      </c>
      <c r="B134" s="174" t="s">
        <v>218</v>
      </c>
      <c r="C134" s="200" t="s">
        <v>224</v>
      </c>
      <c r="D134" s="191">
        <v>4</v>
      </c>
      <c r="E134" s="191">
        <v>6</v>
      </c>
      <c r="F134" s="191">
        <v>29</v>
      </c>
      <c r="G134" s="191">
        <v>21</v>
      </c>
      <c r="H134" s="182">
        <v>8510.099999999999</v>
      </c>
      <c r="I134" s="151">
        <v>5795.890000000003</v>
      </c>
      <c r="J134" s="153">
        <f t="shared" si="3"/>
      </c>
      <c r="K134" s="153">
        <f t="shared" si="0"/>
      </c>
      <c r="L134" s="154">
        <f t="shared" si="4"/>
      </c>
      <c r="M134" s="155">
        <f t="shared" si="1"/>
      </c>
      <c r="N134" s="156">
        <v>9</v>
      </c>
      <c r="O134" s="167">
        <f t="shared" si="5"/>
      </c>
      <c r="P134" s="174" t="s">
        <v>251</v>
      </c>
      <c r="Q134" s="174">
        <v>4</v>
      </c>
    </row>
    <row r="135">
      <c r="A135" s="194">
        <v>46169</v>
      </c>
      <c r="B135" s="201"/>
      <c r="C135" s="195"/>
      <c r="D135" s="195">
        <f>SUM(D131:D134)</f>
      </c>
      <c r="E135" s="195">
        <f>SUM(E131:E134)</f>
      </c>
      <c r="F135" s="195">
        <f>SUM(F131:F134)</f>
      </c>
      <c r="G135" s="195">
        <f>SUM(G131:G134)</f>
      </c>
      <c r="H135" s="196">
        <f>SUM(H131:H134)</f>
      </c>
      <c r="I135" s="160">
        <f>SUM(I131:I134)</f>
      </c>
      <c r="J135" s="161">
        <f t="shared" si="3"/>
      </c>
      <c r="K135" s="162">
        <f t="shared" si="0"/>
      </c>
      <c r="L135" s="162">
        <f t="shared" si="4"/>
      </c>
      <c r="M135" s="163">
        <f t="shared" si="1"/>
      </c>
      <c r="N135" s="160">
        <f>SUM(N131:N134)</f>
      </c>
      <c r="O135" s="163">
        <f t="shared" si="5"/>
      </c>
      <c r="P135" s="172"/>
      <c r="Q135" s="173">
        <f>SUM(Q131:Q134)</f>
      </c>
    </row>
    <row r="136">
      <c r="A136" s="199">
        <v>46172</v>
      </c>
      <c r="B136" s="174" t="s">
        <v>218</v>
      </c>
      <c r="C136" s="200" t="s">
        <v>252</v>
      </c>
      <c r="D136" s="191">
        <v>4</v>
      </c>
      <c r="E136" s="191">
        <v>1</v>
      </c>
      <c r="F136" s="191">
        <v>27</v>
      </c>
      <c r="G136" s="191">
        <v>18</v>
      </c>
      <c r="H136" s="202">
        <v>5812</v>
      </c>
      <c r="I136" s="193">
        <v>9006.62</v>
      </c>
      <c r="J136" s="178">
        <f t="shared" si="3"/>
      </c>
      <c r="K136" s="153">
        <f t="shared" si="0"/>
      </c>
      <c r="L136" s="154">
        <f t="shared" si="4"/>
      </c>
      <c r="M136" s="155">
        <f t="shared" si="1"/>
      </c>
      <c r="N136" s="156">
        <v>1</v>
      </c>
      <c r="O136" s="155">
        <f t="shared" si="5"/>
      </c>
      <c r="P136" s="166" t="s">
        <v>217</v>
      </c>
      <c r="Q136" s="166">
        <v>6</v>
      </c>
    </row>
    <row r="137">
      <c r="A137" s="199">
        <v>46172</v>
      </c>
      <c r="B137" s="174" t="s">
        <v>215</v>
      </c>
      <c r="C137" s="200" t="s">
        <v>253</v>
      </c>
      <c r="D137" s="191">
        <v>4</v>
      </c>
      <c r="E137" s="191">
        <v>2</v>
      </c>
      <c r="F137" s="191">
        <v>29</v>
      </c>
      <c r="G137" s="191">
        <v>20</v>
      </c>
      <c r="H137" s="193">
        <v>6857.6</v>
      </c>
      <c r="I137" s="151">
        <v>5685.5</v>
      </c>
      <c r="J137" s="153">
        <f t="shared" si="3"/>
      </c>
      <c r="K137" s="153">
        <f t="shared" si="0"/>
      </c>
      <c r="L137" s="154">
        <f t="shared" si="4"/>
      </c>
      <c r="M137" s="155">
        <f t="shared" si="1"/>
      </c>
      <c r="N137" s="156">
        <v>2</v>
      </c>
      <c r="O137" s="167">
        <f t="shared" si="5"/>
      </c>
      <c r="P137" s="174"/>
      <c r="Q137" s="174"/>
    </row>
    <row r="138">
      <c r="A138" s="199">
        <v>46172</v>
      </c>
      <c r="B138" s="190" t="s">
        <v>221</v>
      </c>
      <c r="C138" s="200" t="s">
        <v>254</v>
      </c>
      <c r="D138" s="203">
        <v>3.5</v>
      </c>
      <c r="E138" s="191">
        <v>3</v>
      </c>
      <c r="F138" s="191">
        <v>25</v>
      </c>
      <c r="G138" s="191">
        <v>14</v>
      </c>
      <c r="H138" s="182">
        <v>5495.999999999998</v>
      </c>
      <c r="I138" s="151">
        <v>6804.9400000000005</v>
      </c>
      <c r="J138" s="153">
        <f t="shared" si="3"/>
      </c>
      <c r="K138" s="153">
        <f t="shared" si="0"/>
      </c>
      <c r="L138" s="154">
        <f t="shared" si="4"/>
      </c>
      <c r="M138" s="155">
        <f t="shared" si="1"/>
      </c>
      <c r="N138" s="156">
        <v>0</v>
      </c>
      <c r="O138" s="167">
        <f t="shared" si="5"/>
      </c>
      <c r="P138" s="174"/>
      <c r="Q138" s="170"/>
    </row>
    <row r="139">
      <c r="A139" s="199">
        <v>46172</v>
      </c>
      <c r="B139" s="174" t="s">
        <v>223</v>
      </c>
      <c r="C139" s="200" t="s">
        <v>255</v>
      </c>
      <c r="D139" s="191">
        <v>4</v>
      </c>
      <c r="E139" s="191">
        <v>3</v>
      </c>
      <c r="F139" s="191">
        <v>32</v>
      </c>
      <c r="G139" s="191">
        <v>22</v>
      </c>
      <c r="H139" s="182">
        <v>7861.100000000002</v>
      </c>
      <c r="I139" s="151">
        <v>4545.889999999999</v>
      </c>
      <c r="J139" s="153">
        <f t="shared" si="3"/>
      </c>
      <c r="K139" s="153">
        <f t="shared" si="0"/>
      </c>
      <c r="L139" s="154">
        <f t="shared" si="4"/>
      </c>
      <c r="M139" s="155">
        <f t="shared" si="1"/>
      </c>
      <c r="N139" s="156">
        <v>4</v>
      </c>
      <c r="O139" s="167">
        <f t="shared" si="5"/>
      </c>
      <c r="P139" s="174" t="s">
        <v>225</v>
      </c>
      <c r="Q139" s="174">
        <v>10</v>
      </c>
    </row>
    <row r="140">
      <c r="A140" s="194">
        <v>46172</v>
      </c>
      <c r="B140" s="201"/>
      <c r="C140" s="195"/>
      <c r="D140" s="195">
        <f>SUM(D136:D139)</f>
      </c>
      <c r="E140" s="195">
        <f>SUM(E136:E139)</f>
      </c>
      <c r="F140" s="195">
        <f>SUM(F136:F139)</f>
      </c>
      <c r="G140" s="195">
        <f>SUM(G136:G139)</f>
      </c>
      <c r="H140" s="196">
        <f>SUM(H136:H139)</f>
      </c>
      <c r="I140" s="160">
        <f>SUM(I136:I139)</f>
      </c>
      <c r="J140" s="161">
        <f t="shared" si="3"/>
      </c>
      <c r="K140" s="162">
        <f t="shared" si="0"/>
      </c>
      <c r="L140" s="162">
        <f t="shared" si="4"/>
      </c>
      <c r="M140" s="163">
        <f t="shared" si="1"/>
      </c>
      <c r="N140" s="160">
        <f>SUM(N136:N139)</f>
      </c>
      <c r="O140" s="163">
        <f t="shared" si="5"/>
      </c>
      <c r="P140" s="172"/>
      <c r="Q140" s="173">
        <f>SUM(Q136:Q139)</f>
      </c>
    </row>
    <row r="141">
      <c r="A141" s="199">
        <v>46173</v>
      </c>
      <c r="B141" s="174" t="s">
        <v>218</v>
      </c>
      <c r="C141" s="151" t="s">
        <v>238</v>
      </c>
      <c r="D141" s="204">
        <v>2.5</v>
      </c>
      <c r="E141" s="191">
        <v>3</v>
      </c>
      <c r="F141" s="191">
        <v>29</v>
      </c>
      <c r="G141" s="191">
        <v>22</v>
      </c>
      <c r="H141" s="182">
        <v>9681.6</v>
      </c>
      <c r="I141" s="182">
        <v>7804</v>
      </c>
      <c r="J141" s="178">
        <f t="shared" si="3"/>
      </c>
      <c r="K141" s="153">
        <f t="shared" si="0"/>
      </c>
      <c r="L141" s="154">
        <f t="shared" si="4"/>
      </c>
      <c r="M141" s="155">
        <f t="shared" si="1"/>
      </c>
      <c r="N141" s="156">
        <v>1</v>
      </c>
      <c r="O141" s="155">
        <f t="shared" si="5"/>
      </c>
      <c r="P141" s="166" t="s">
        <v>228</v>
      </c>
      <c r="Q141" s="166">
        <v>8</v>
      </c>
    </row>
    <row r="142">
      <c r="A142" s="199">
        <v>46173</v>
      </c>
      <c r="B142" s="174" t="s">
        <v>230</v>
      </c>
      <c r="C142" s="151" t="s">
        <v>239</v>
      </c>
      <c r="D142" s="151">
        <v>5</v>
      </c>
      <c r="E142" s="191">
        <v>4</v>
      </c>
      <c r="F142" s="191">
        <v>59</v>
      </c>
      <c r="G142" s="191">
        <v>36</v>
      </c>
      <c r="H142" s="193">
        <v>11625.999999999998</v>
      </c>
      <c r="I142" s="151">
        <v>14144.23</v>
      </c>
      <c r="J142" s="153">
        <f t="shared" si="3"/>
      </c>
      <c r="K142" s="153">
        <f t="shared" si="0"/>
      </c>
      <c r="L142" s="154">
        <f t="shared" si="4"/>
      </c>
      <c r="M142" s="155">
        <f t="shared" si="1"/>
      </c>
      <c r="N142" s="156">
        <v>6</v>
      </c>
      <c r="O142" s="167">
        <f t="shared" si="5"/>
      </c>
      <c r="P142" s="174"/>
      <c r="Q142" s="174"/>
    </row>
    <row r="143">
      <c r="A143" s="199">
        <v>46173</v>
      </c>
      <c r="B143" s="190" t="s">
        <v>223</v>
      </c>
      <c r="C143" s="151" t="s">
        <v>222</v>
      </c>
      <c r="D143" s="151">
        <v>4</v>
      </c>
      <c r="E143" s="191">
        <v>4</v>
      </c>
      <c r="F143" s="191">
        <v>29</v>
      </c>
      <c r="G143" s="191">
        <v>15</v>
      </c>
      <c r="H143" s="182">
        <v>5081.200000000001</v>
      </c>
      <c r="I143" s="151">
        <v>5980.580000000002</v>
      </c>
      <c r="J143" s="153">
        <f t="shared" si="3"/>
      </c>
      <c r="K143" s="153">
        <f t="shared" si="0"/>
      </c>
      <c r="L143" s="154">
        <f t="shared" si="4"/>
      </c>
      <c r="M143" s="155">
        <f t="shared" si="1"/>
      </c>
      <c r="N143" s="156">
        <v>1</v>
      </c>
      <c r="O143" s="167">
        <f t="shared" si="5"/>
      </c>
      <c r="P143" s="174"/>
      <c r="Q143" s="170"/>
    </row>
    <row r="144">
      <c r="A144" s="199">
        <v>46173</v>
      </c>
      <c r="B144" s="174" t="s">
        <v>215</v>
      </c>
      <c r="C144" s="151" t="s">
        <v>224</v>
      </c>
      <c r="D144" s="204">
        <v>3</v>
      </c>
      <c r="E144" s="191">
        <v>5</v>
      </c>
      <c r="F144" s="191">
        <v>50</v>
      </c>
      <c r="G144" s="191">
        <v>31</v>
      </c>
      <c r="H144" s="182">
        <v>9797.3</v>
      </c>
      <c r="I144" s="151">
        <v>8359.3</v>
      </c>
      <c r="J144" s="153">
        <f t="shared" si="3"/>
      </c>
      <c r="K144" s="153">
        <f t="shared" si="0"/>
      </c>
      <c r="L144" s="154">
        <f t="shared" si="4"/>
      </c>
      <c r="M144" s="155">
        <f t="shared" si="1"/>
      </c>
      <c r="N144" s="156">
        <v>7</v>
      </c>
      <c r="O144" s="167">
        <f t="shared" si="5"/>
      </c>
      <c r="P144" s="174" t="s">
        <v>225</v>
      </c>
      <c r="Q144" s="174">
        <v>8</v>
      </c>
    </row>
    <row r="145">
      <c r="A145" s="194">
        <v>46173</v>
      </c>
      <c r="B145" s="201"/>
      <c r="C145" s="195"/>
      <c r="D145" s="195">
        <f>SUM(D141:D144)</f>
      </c>
      <c r="E145" s="195">
        <f>SUM(E141:E144)</f>
      </c>
      <c r="F145" s="195">
        <f>SUM(F141:F144)</f>
      </c>
      <c r="G145" s="195">
        <f>SUM(G141:G144)</f>
      </c>
      <c r="H145" s="196">
        <f>SUM(H141:H144)</f>
      </c>
      <c r="I145" s="160">
        <f>SUM(I141:I144)</f>
      </c>
      <c r="J145" s="161">
        <f t="shared" si="3"/>
      </c>
      <c r="K145" s="162">
        <f t="shared" si="0"/>
      </c>
      <c r="L145" s="162">
        <f t="shared" si="4"/>
      </c>
      <c r="M145" s="163">
        <f t="shared" si="1"/>
      </c>
      <c r="N145" s="160">
        <f>SUM(N141:N144)</f>
      </c>
      <c r="O145" s="163">
        <f t="shared" si="5"/>
      </c>
      <c r="P145" s="172"/>
      <c r="Q145" s="173">
        <f>SUM(Q141:Q144)</f>
      </c>
    </row>
    <row r="146">
      <c r="A146" s="169"/>
      <c r="B146" s="169"/>
      <c r="C146" s="169"/>
      <c r="D146" s="157"/>
      <c r="E146" s="205"/>
      <c r="F146" s="169"/>
      <c r="G146" s="169"/>
      <c r="N146" s="205"/>
    </row>
    <row r="147">
      <c r="D147" s="157" t="s">
        <v>256</v>
      </c>
      <c r="E147" s="157"/>
      <c r="F147" s="157"/>
      <c r="G147" s="157"/>
      <c r="H147" s="206"/>
      <c r="I147" s="207"/>
      <c r="N147" s="157"/>
    </row>
    <row r="148"/>
    <row r="149"/>
    <row r="150">
      <c r="I150" s="208" t="s">
        <v>257</v>
      </c>
    </row>
    <row r="151">
      <c r="I151">
        <f t="shared" ref="I151:I157" si="2">F151/G151</f>
      </c>
    </row>
    <row r="152">
      <c r="I152">
        <f t="shared" si="2"/>
      </c>
    </row>
    <row r="153">
      <c r="I153">
        <f t="shared" si="2"/>
      </c>
    </row>
    <row r="154">
      <c r="I154">
        <f t="shared" si="2"/>
      </c>
    </row>
    <row r="155">
      <c r="I155">
        <f t="shared" si="2"/>
      </c>
    </row>
    <row r="156">
      <c r="I156">
        <f t="shared" si="2"/>
      </c>
    </row>
    <row r="157">
      <c r="I157">
        <f t="shared" si="2"/>
      </c>
    </row>
  </sheetData>
  <autoFilter ref="A1:R148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6" min="26" style="0" width="12.64480633802817"/>
    <col collapsed="false" customWidth="true" hidden="false" max="27" min="27" style="0" width="12.64480633802817"/>
    <col collapsed="false" customWidth="true" hidden="false" max="58" min="58" style="0" width="12.64480633802817"/>
    <col collapsed="false" customWidth="true" hidden="false" max="91" min="91" style="0" width="12.64480633802817"/>
    <col collapsed="false" customWidth="true" hidden="false" max="123" min="123" style="0" width="11.211267605633802"/>
    <col collapsed="false" customWidth="true" hidden="false" max="28" min="28" style="0" width="12.64480633802817"/>
    <col collapsed="false" customWidth="true" hidden="false" max="59" min="59" style="0" width="12.64480633802817"/>
    <col collapsed="false" customWidth="true" hidden="false" max="92" min="92" style="0" width="12.64480633802817"/>
    <col collapsed="false" customWidth="true" hidden="false" max="124" min="124" style="0" width="11.211267605633802"/>
    <col collapsed="false" customWidth="true" hidden="false" max="29" min="29" style="0" width="12.64480633802817"/>
    <col collapsed="false" customWidth="true" hidden="false" max="60" min="60" style="0" width="12.64480633802817"/>
    <col collapsed="false" customWidth="true" hidden="false" max="93" min="93" style="0" width="12.64480633802817"/>
    <col collapsed="false" customWidth="true" hidden="false" max="125" min="125" style="0" width="11.211267605633802"/>
    <col collapsed="false" customWidth="true" hidden="false" max="30" min="30" style="0" width="12.64480633802817"/>
    <col collapsed="false" customWidth="true" hidden="false" max="61" min="61" style="0" width="12.64480633802817"/>
    <col collapsed="false" customWidth="true" hidden="false" max="94" min="94" style="0" width="12.64480633802817"/>
    <col collapsed="false" customWidth="true" hidden="false" max="31" min="31" style="0" width="12.64480633802817"/>
    <col collapsed="false" customWidth="true" hidden="false" max="62" min="62" style="0" width="12.64480633802817"/>
    <col collapsed="false" customWidth="true" hidden="false" max="95" min="95" style="0" width="12.64480633802817"/>
    <col collapsed="false" customWidth="true" hidden="false" max="32" min="32" style="0" width="12.64480633802817"/>
    <col collapsed="false" customWidth="true" hidden="false" max="63" min="63" style="0" width="12.64480633802817"/>
    <col collapsed="false" customWidth="true" hidden="false" max="65" min="65" style="0" width="12.64480633802817"/>
    <col collapsed="false" customWidth="true" hidden="false" max="96" min="96" style="0" width="12.64480633802817"/>
    <col collapsed="false" customWidth="true" hidden="false" max="1" min="1" style="0" width="11.211267605633802"/>
    <col collapsed="false" customWidth="true" hidden="false" max="64" min="64" style="0" width="12.64480633802817"/>
    <col collapsed="false" customWidth="true" hidden="false" max="66" min="66" style="0" width="12.64480633802817"/>
    <col collapsed="false" customWidth="true" hidden="false" max="97" min="97" style="0" width="12.64480633802817"/>
    <col collapsed="false" customWidth="true" hidden="false" max="2" min="2" style="0" width="12.64480633802817"/>
    <col collapsed="false" customWidth="true" hidden="false" max="33" min="33" style="0" width="12.64480633802817"/>
    <col collapsed="false" customWidth="true" hidden="false" max="67" min="67" style="0" width="12.64480633802817"/>
    <col collapsed="false" customWidth="true" hidden="false" max="98" min="98" style="0" width="12.64480633802817"/>
    <col collapsed="false" customWidth="true" hidden="false" max="3" min="3" style="0" width="11.211267605633802"/>
    <col collapsed="false" customWidth="true" hidden="false" max="34" min="34" style="0" width="12.64480633802817"/>
    <col collapsed="false" customWidth="true" hidden="false" max="68" min="68" style="0" width="12.64480633802817"/>
    <col collapsed="false" customWidth="true" hidden="false" max="99" min="99" style="0" width="12.64480633802817"/>
    <col collapsed="false" customWidth="true" hidden="false" max="4" min="4" style="0" width="11.211267605633802"/>
    <col collapsed="false" customWidth="true" hidden="false" max="35" min="35" style="0" width="12.64480633802817"/>
    <col collapsed="false" customWidth="true" hidden="false" max="69" min="69" style="0" width="12.64480633802817"/>
    <col collapsed="false" customWidth="true" hidden="false" max="100" min="100" style="0" width="12.64480633802817"/>
    <col collapsed="false" customWidth="true" hidden="false" max="5" min="5" style="0" width="11.211267605633802"/>
    <col collapsed="false" customWidth="true" hidden="false" max="36" min="36" style="0" width="12.64480633802817"/>
    <col collapsed="false" customWidth="true" hidden="false" max="70" min="70" style="0" width="12.64480633802817"/>
    <col collapsed="false" customWidth="true" hidden="false" max="101" min="101" style="0" width="12.64480633802817"/>
    <col collapsed="false" customWidth="true" hidden="false" max="6" min="6" style="0" width="12.64480633802817"/>
    <col collapsed="false" customWidth="true" hidden="false" max="37" min="37" style="0" width="12.64480633802817"/>
    <col collapsed="false" customWidth="true" hidden="false" max="71" min="71" style="0" width="12.64480633802817"/>
    <col collapsed="false" customWidth="true" hidden="false" max="102" min="102" style="0" width="12.64480633802817"/>
    <col collapsed="false" customWidth="true" hidden="false" max="7" min="7" style="0" width="12.64480633802817"/>
    <col collapsed="false" customWidth="true" hidden="false" max="38" min="38" style="0" width="12.64480633802817"/>
    <col collapsed="false" customWidth="true" hidden="false" max="72" min="72" style="0" width="12.64480633802817"/>
    <col collapsed="false" customWidth="true" hidden="false" max="103" min="103" style="0" width="12.64480633802817"/>
    <col collapsed="false" customWidth="true" hidden="false" max="8" min="8" style="0" width="12.64480633802817"/>
    <col collapsed="false" customWidth="true" hidden="false" max="39" min="39" style="0" width="12.64480633802817"/>
    <col collapsed="false" customWidth="true" hidden="false" max="73" min="73" style="0" width="12.64480633802817"/>
    <col collapsed="false" customWidth="true" hidden="false" max="104" min="104" style="0" width="12.64480633802817"/>
    <col collapsed="false" customWidth="true" hidden="false" max="9" min="9" style="0" width="12.64480633802817"/>
    <col collapsed="false" customWidth="true" hidden="false" max="40" min="40" style="0" width="12.64480633802817"/>
    <col collapsed="false" customWidth="true" hidden="false" max="74" min="74" style="0" width="12.64480633802817"/>
    <col collapsed="false" customWidth="true" hidden="false" max="105" min="105" style="0" width="12.64480633802817"/>
    <col collapsed="false" customWidth="true" hidden="false" max="10" min="10" style="0" width="12.64480633802817"/>
    <col collapsed="false" customWidth="true" hidden="false" max="41" min="41" style="0" width="12.64480633802817"/>
    <col collapsed="false" customWidth="true" hidden="false" max="75" min="75" style="0" width="12.64480633802817"/>
    <col collapsed="false" customWidth="true" hidden="false" max="106" min="106" style="0" width="12.64480633802817"/>
    <col collapsed="false" customWidth="true" hidden="false" max="11" min="11" style="0" width="12.64480633802817"/>
    <col collapsed="false" customWidth="true" hidden="false" max="42" min="42" style="0" width="12.64480633802817"/>
    <col collapsed="false" customWidth="true" hidden="false" max="76" min="76" style="0" width="12.64480633802817"/>
    <col collapsed="false" customWidth="true" hidden="false" max="107" min="107" style="0" width="12.64480633802817"/>
    <col collapsed="false" customWidth="true" hidden="false" max="12" min="12" style="0" width="12.64480633802817"/>
    <col collapsed="false" customWidth="true" hidden="false" max="43" min="43" style="0" width="12.64480633802817"/>
    <col collapsed="false" customWidth="true" hidden="false" max="77" min="77" style="0" width="12.64480633802817"/>
    <col collapsed="false" customWidth="true" hidden="false" max="108" min="108" style="0" width="12.64480633802817"/>
    <col collapsed="false" customWidth="true" hidden="false" max="13" min="13" style="0" width="12.64480633802817"/>
    <col collapsed="false" customWidth="true" hidden="false" max="44" min="44" style="0" width="12.64480633802817"/>
    <col collapsed="false" customWidth="true" hidden="false" max="78" min="78" style="0" width="12.64480633802817"/>
    <col collapsed="false" customWidth="true" hidden="false" max="109" min="109" style="0" width="12.64480633802817"/>
    <col collapsed="false" customWidth="true" hidden="false" max="14" min="14" style="0" width="12.64480633802817"/>
    <col collapsed="false" customWidth="true" hidden="false" max="45" min="45" style="0" width="12.64480633802817"/>
    <col collapsed="false" customWidth="true" hidden="false" max="79" min="79" style="0" width="12.64480633802817"/>
    <col collapsed="false" customWidth="true" hidden="false" max="110" min="110" style="0" width="12.64480633802817"/>
    <col collapsed="false" customWidth="true" hidden="false" max="15" min="15" style="0" width="12.64480633802817"/>
    <col collapsed="false" customWidth="true" hidden="false" max="46" min="46" style="0" width="12.64480633802817"/>
    <col collapsed="false" customWidth="true" hidden="false" max="80" min="80" style="0" width="12.64480633802817"/>
    <col collapsed="false" customWidth="true" hidden="false" max="111" min="111" style="0" width="12.64480633802817"/>
    <col collapsed="false" customWidth="true" hidden="false" max="16" min="16" style="0" width="12.64480633802817"/>
    <col collapsed="false" customWidth="true" hidden="false" max="47" min="47" style="0" width="12.64480633802817"/>
    <col collapsed="false" customWidth="true" hidden="false" max="112" min="112" style="0" width="12.64480633802817"/>
    <col collapsed="false" customWidth="true" hidden="false" max="48" min="48" style="0" width="12.64480633802817"/>
    <col collapsed="false" customWidth="true" hidden="false" max="81" min="81" style="0" width="12.64480633802817"/>
    <col collapsed="false" customWidth="true" hidden="false" max="113" min="113" style="0" width="12.64480633802817"/>
    <col collapsed="false" customWidth="true" hidden="false" max="17" min="17" style="0" width="12.64480633802817"/>
    <col collapsed="false" customWidth="true" hidden="false" max="49" min="49" style="0" width="12.64480633802817"/>
    <col collapsed="false" customWidth="true" hidden="false" max="82" min="82" style="0" width="12.64480633802817"/>
    <col collapsed="false" customWidth="true" hidden="false" max="114" min="114" style="0" width="12.64480633802817"/>
    <col collapsed="false" customWidth="true" hidden="false" max="18" min="18" style="0" width="12.64480633802817"/>
    <col collapsed="false" customWidth="true" hidden="false" max="50" min="50" style="0" width="12.64480633802817"/>
    <col collapsed="false" customWidth="true" hidden="false" max="83" min="83" style="0" width="12.64480633802817"/>
    <col collapsed="false" customWidth="true" hidden="false" max="115" min="115" style="0" width="12.64480633802817"/>
    <col collapsed="false" customWidth="true" hidden="false" max="19" min="19" style="0" width="12.64480633802817"/>
    <col collapsed="false" customWidth="true" hidden="false" max="51" min="51" style="0" width="12.64480633802817"/>
    <col collapsed="false" customWidth="true" hidden="false" max="84" min="84" style="0" width="12.64480633802817"/>
    <col collapsed="false" customWidth="true" hidden="false" max="116" min="116" style="0" width="12.64480633802817"/>
    <col collapsed="false" customWidth="true" hidden="false" max="20" min="20" style="0" width="12.64480633802817"/>
    <col collapsed="false" customWidth="true" hidden="false" max="52" min="52" style="0" width="12.64480633802817"/>
    <col collapsed="false" customWidth="true" hidden="false" max="85" min="85" style="0" width="12.64480633802817"/>
    <col collapsed="false" customWidth="true" hidden="false" max="117" min="117" style="0" width="12.64480633802817"/>
    <col collapsed="false" customWidth="true" hidden="false" max="21" min="21" style="0" width="12.64480633802817"/>
    <col collapsed="false" customWidth="true" hidden="false" max="53" min="53" style="0" width="12.64480633802817"/>
    <col collapsed="false" customWidth="true" hidden="false" max="86" min="86" style="0" width="12.64480633802817"/>
    <col collapsed="false" customWidth="true" hidden="false" max="118" min="118" style="0" width="12.64480633802817"/>
    <col collapsed="false" customWidth="true" hidden="false" max="22" min="22" style="0" width="12.64480633802817"/>
    <col collapsed="false" customWidth="true" hidden="false" max="54" min="54" style="0" width="12.64480633802817"/>
    <col collapsed="false" customWidth="true" hidden="false" max="87" min="87" style="0" width="12.64480633802817"/>
    <col collapsed="false" customWidth="true" hidden="false" max="119" min="119" style="0" width="12.64480633802817"/>
    <col collapsed="false" customWidth="true" hidden="false" max="23" min="23" style="0" width="12.64480633802817"/>
    <col collapsed="false" customWidth="true" hidden="false" max="55" min="55" style="0" width="12.64480633802817"/>
    <col collapsed="false" customWidth="true" hidden="false" max="88" min="88" style="0" width="12.64480633802817"/>
    <col collapsed="false" customWidth="true" hidden="false" max="120" min="120" style="0" width="12.64480633802817"/>
    <col collapsed="false" customWidth="true" hidden="false" max="24" min="24" style="0" width="12.64480633802817"/>
    <col collapsed="false" customWidth="true" hidden="false" max="56" min="56" style="0" width="12.64480633802817"/>
    <col collapsed="false" customWidth="true" hidden="false" max="89" min="89" style="0" width="12.64480633802817"/>
    <col collapsed="false" customWidth="true" hidden="false" max="121" min="121" style="0" width="12.64480633802817"/>
    <col collapsed="false" customWidth="true" hidden="false" max="25" min="25" style="0" width="12.64480633802817"/>
    <col collapsed="false" customWidth="true" hidden="false" max="57" min="57" style="0" width="12.64480633802817"/>
    <col collapsed="false" customWidth="true" hidden="false" max="90" min="90" style="0" width="12.64480633802817"/>
    <col collapsed="false" customWidth="true" hidden="false" max="122" min="122" style="0" width="12.64480633802817"/>
  </cols>
  <sheetData>
    <row r="1">
      <c r="A1" s="209" t="s">
        <v>258</v>
      </c>
      <c r="B1" s="210" t="s">
        <v>259</v>
      </c>
      <c r="C1" s="210" t="s">
        <v>260</v>
      </c>
      <c r="D1" s="210" t="s">
        <v>261</v>
      </c>
      <c r="E1" s="211" t="s">
        <v>262</v>
      </c>
      <c r="F1" s="210" t="s">
        <v>263</v>
      </c>
      <c r="G1" s="210" t="s">
        <v>264</v>
      </c>
      <c r="H1" s="210" t="s">
        <v>265</v>
      </c>
      <c r="I1" s="210" t="s">
        <v>266</v>
      </c>
      <c r="J1" s="212" t="s">
        <v>267</v>
      </c>
      <c r="K1" s="212" t="s">
        <v>268</v>
      </c>
      <c r="L1" s="212" t="s">
        <v>269</v>
      </c>
      <c r="M1" s="213" t="s">
        <v>270</v>
      </c>
      <c r="N1" s="213" t="s">
        <v>271</v>
      </c>
      <c r="O1" s="213" t="s">
        <v>272</v>
      </c>
      <c r="P1" s="212" t="s">
        <v>273</v>
      </c>
      <c r="Q1" s="210" t="s">
        <v>274</v>
      </c>
    </row>
    <row r="2">
      <c r="A2" s="214">
        <v>46174</v>
      </c>
      <c r="B2" s="215" t="s">
        <v>275</v>
      </c>
      <c r="C2" s="216" t="s">
        <v>276</v>
      </c>
      <c r="D2" s="216">
        <v>4</v>
      </c>
      <c r="E2" s="217">
        <v>4</v>
      </c>
      <c r="F2" s="217">
        <v>35</v>
      </c>
      <c r="G2" s="217">
        <v>27</v>
      </c>
      <c r="H2" s="218">
        <v>8395.6</v>
      </c>
      <c r="I2" s="218">
        <v>8116.799999999999</v>
      </c>
      <c r="J2" s="219">
        <f t="shared" ref="J2:J136" si="2">H2/I2</f>
      </c>
      <c r="K2" s="220">
        <f t="shared" ref="K2:K136" si="0">H2/G2</f>
      </c>
      <c r="L2" s="221">
        <f t="shared" ref="L2:L136" si="5">I2/G2</f>
      </c>
      <c r="M2" s="222">
        <f t="shared" ref="M2:M136" si="4">E2/G2</f>
      </c>
      <c r="N2" s="223">
        <v>4</v>
      </c>
      <c r="O2" s="222">
        <f t="shared" ref="O2:O136" si="3">N2/G2</f>
      </c>
      <c r="P2" s="224" t="s">
        <v>277</v>
      </c>
      <c r="Q2" s="224">
        <v>8</v>
      </c>
    </row>
    <row r="3">
      <c r="A3" s="214">
        <v>46174</v>
      </c>
      <c r="B3" s="215" t="s">
        <v>278</v>
      </c>
      <c r="C3" s="216" t="s">
        <v>279</v>
      </c>
      <c r="D3" s="216">
        <v>4</v>
      </c>
      <c r="E3" s="217">
        <v>3</v>
      </c>
      <c r="F3" s="217">
        <v>67</v>
      </c>
      <c r="G3" s="217">
        <v>33</v>
      </c>
      <c r="H3" s="218">
        <v>12091.199999999999</v>
      </c>
      <c r="I3" s="218">
        <v>9407.05</v>
      </c>
      <c r="J3" s="220">
        <f t="shared" si="2"/>
      </c>
      <c r="K3" s="220">
        <f t="shared" si="0"/>
      </c>
      <c r="L3" s="221">
        <f t="shared" si="5"/>
      </c>
      <c r="M3" s="222">
        <f t="shared" si="4"/>
      </c>
      <c r="N3" s="223">
        <v>5</v>
      </c>
      <c r="O3" s="225">
        <f t="shared" si="3"/>
      </c>
      <c r="P3" s="215"/>
      <c r="Q3" s="215"/>
    </row>
    <row r="4">
      <c r="A4" s="214">
        <v>46174</v>
      </c>
      <c r="B4" s="226" t="s">
        <v>280</v>
      </c>
      <c r="C4" s="216" t="s">
        <v>281</v>
      </c>
      <c r="D4" s="216">
        <v>4</v>
      </c>
      <c r="E4" s="217">
        <v>6</v>
      </c>
      <c r="F4" s="217">
        <v>53</v>
      </c>
      <c r="G4" s="217">
        <v>36</v>
      </c>
      <c r="H4" s="218">
        <v>10956</v>
      </c>
      <c r="I4" s="218">
        <v>11624.940000000002</v>
      </c>
      <c r="J4" s="220">
        <f t="shared" si="2"/>
      </c>
      <c r="K4" s="220">
        <f t="shared" si="0"/>
      </c>
      <c r="L4" s="221">
        <f t="shared" si="5"/>
      </c>
      <c r="M4" s="222">
        <f t="shared" si="4"/>
      </c>
      <c r="N4" s="223">
        <v>3</v>
      </c>
      <c r="O4" s="225">
        <f t="shared" si="3"/>
      </c>
      <c r="P4" s="215"/>
      <c r="Q4" s="227"/>
      <c r="W4" s="228"/>
    </row>
    <row r="5">
      <c r="A5" s="214">
        <v>46174</v>
      </c>
      <c r="B5" s="215" t="s">
        <v>282</v>
      </c>
      <c r="C5" s="216" t="s">
        <v>283</v>
      </c>
      <c r="D5" s="216">
        <v>4</v>
      </c>
      <c r="E5" s="217">
        <v>11</v>
      </c>
      <c r="F5" s="217">
        <v>97</v>
      </c>
      <c r="G5" s="217">
        <v>68</v>
      </c>
      <c r="H5" s="218">
        <v>23840.7</v>
      </c>
      <c r="I5" s="216">
        <v>22463.949999999997</v>
      </c>
      <c r="J5" s="220">
        <f t="shared" si="2"/>
      </c>
      <c r="K5" s="220">
        <f t="shared" si="0"/>
      </c>
      <c r="L5" s="221">
        <f t="shared" si="5"/>
      </c>
      <c r="M5" s="222">
        <f t="shared" si="4"/>
      </c>
      <c r="N5" s="223">
        <v>6</v>
      </c>
      <c r="O5" s="225">
        <f t="shared" si="3"/>
      </c>
      <c r="P5" s="215" t="s">
        <v>284</v>
      </c>
      <c r="Q5" s="215">
        <v>8</v>
      </c>
      <c r="W5" s="229"/>
    </row>
    <row r="6">
      <c r="A6" s="230">
        <v>46174</v>
      </c>
      <c r="B6" s="231" t="s">
        <v>285</v>
      </c>
      <c r="C6" s="232"/>
      <c r="D6" s="232">
        <f>SUM(D2:D5)</f>
      </c>
      <c r="E6" s="232">
        <f>SUM(E2:E5)</f>
      </c>
      <c r="F6" s="232">
        <f>SUM(F2:F5)</f>
      </c>
      <c r="G6" s="232">
        <f>SUM(G2:G5)</f>
      </c>
      <c r="H6" s="233">
        <f>SUM(H2:H5)</f>
      </c>
      <c r="I6" s="234">
        <f>SUM(I2:I5)</f>
      </c>
      <c r="J6" s="235">
        <f t="shared" si="2"/>
      </c>
      <c r="K6" s="236">
        <f t="shared" si="0"/>
      </c>
      <c r="L6" s="236">
        <f t="shared" si="5"/>
      </c>
      <c r="M6" s="237">
        <f t="shared" si="4"/>
      </c>
      <c r="N6" s="234">
        <f>SUM(N2:N5)</f>
      </c>
      <c r="O6" s="237">
        <f t="shared" si="3"/>
      </c>
      <c r="P6" s="238"/>
      <c r="Q6" s="239">
        <f>SUM(Q2:Q5)</f>
      </c>
      <c r="W6" s="229"/>
    </row>
    <row r="7">
      <c r="A7" s="214">
        <v>46175</v>
      </c>
      <c r="B7" s="215" t="s">
        <v>286</v>
      </c>
      <c r="C7" s="216" t="s">
        <v>276</v>
      </c>
      <c r="D7" s="216">
        <v>4</v>
      </c>
      <c r="E7" s="217">
        <v>6</v>
      </c>
      <c r="F7" s="217">
        <v>50</v>
      </c>
      <c r="G7" s="217">
        <v>38</v>
      </c>
      <c r="H7" s="240">
        <v>13729.9</v>
      </c>
      <c r="I7" s="240">
        <v>12978.400000000001</v>
      </c>
      <c r="J7" s="219">
        <f t="shared" si="2"/>
      </c>
      <c r="K7" s="220">
        <f t="shared" si="0"/>
      </c>
      <c r="L7" s="221">
        <f t="shared" si="5"/>
      </c>
      <c r="M7" s="222">
        <f t="shared" si="4"/>
      </c>
      <c r="N7" s="223">
        <v>5</v>
      </c>
      <c r="O7" s="222">
        <f t="shared" si="3"/>
      </c>
      <c r="P7" s="224" t="s">
        <v>287</v>
      </c>
      <c r="Q7" s="224">
        <v>6</v>
      </c>
      <c r="W7" s="229"/>
    </row>
    <row r="8">
      <c r="A8" s="214">
        <v>46175</v>
      </c>
      <c r="B8" s="215" t="s">
        <v>278</v>
      </c>
      <c r="C8" s="216" t="s">
        <v>288</v>
      </c>
      <c r="D8" s="216">
        <v>3</v>
      </c>
      <c r="E8" s="217">
        <v>3</v>
      </c>
      <c r="F8" s="217">
        <v>29</v>
      </c>
      <c r="G8" s="217">
        <v>21</v>
      </c>
      <c r="H8" s="240">
        <v>7092.000000000002</v>
      </c>
      <c r="I8" s="240">
        <v>7247.09</v>
      </c>
      <c r="J8" s="220">
        <f t="shared" si="2"/>
      </c>
      <c r="K8" s="220">
        <f t="shared" si="0"/>
      </c>
      <c r="L8" s="221">
        <f t="shared" si="5"/>
      </c>
      <c r="M8" s="222">
        <f t="shared" si="4"/>
      </c>
      <c r="N8" s="223">
        <v>1</v>
      </c>
      <c r="O8" s="225">
        <f t="shared" si="3"/>
      </c>
      <c r="P8" s="224" t="s">
        <v>289</v>
      </c>
      <c r="Q8" s="215">
        <v>2</v>
      </c>
      <c r="W8" s="229"/>
    </row>
    <row r="9">
      <c r="A9" s="214">
        <v>46175</v>
      </c>
      <c r="B9" s="226" t="s">
        <v>280</v>
      </c>
      <c r="C9" s="216" t="s">
        <v>290</v>
      </c>
      <c r="D9" s="216">
        <v>3</v>
      </c>
      <c r="E9" s="217">
        <v>17</v>
      </c>
      <c r="F9" s="217">
        <v>66</v>
      </c>
      <c r="G9" s="217">
        <v>49</v>
      </c>
      <c r="H9" s="218">
        <v>13442</v>
      </c>
      <c r="I9" s="216">
        <v>11013</v>
      </c>
      <c r="J9" s="220">
        <f t="shared" si="2"/>
      </c>
      <c r="K9" s="220">
        <f t="shared" si="0"/>
      </c>
      <c r="L9" s="221">
        <f t="shared" si="5"/>
      </c>
      <c r="M9" s="222">
        <f t="shared" si="4"/>
      </c>
      <c r="N9" s="223">
        <v>12</v>
      </c>
      <c r="O9" s="225">
        <f t="shared" si="3"/>
      </c>
      <c r="P9" s="215"/>
      <c r="Q9" s="215"/>
      <c r="W9" s="229"/>
    </row>
    <row customHeight="true" ht="16.071428571428573" r="10">
      <c r="A10" s="214">
        <v>46175</v>
      </c>
      <c r="B10" s="226" t="s">
        <v>291</v>
      </c>
      <c r="C10" s="216" t="s">
        <v>292</v>
      </c>
      <c r="D10" s="216">
        <v>2</v>
      </c>
      <c r="E10" s="217">
        <v>8</v>
      </c>
      <c r="F10" s="217">
        <v>62</v>
      </c>
      <c r="G10" s="217">
        <v>52</v>
      </c>
      <c r="H10" s="218">
        <v>16825.5</v>
      </c>
      <c r="I10" s="216">
        <v>13120.349999999995</v>
      </c>
      <c r="J10" s="220">
        <f t="shared" si="2"/>
      </c>
      <c r="K10" s="220">
        <f t="shared" si="0"/>
      </c>
      <c r="L10" s="221">
        <f t="shared" si="5"/>
      </c>
      <c r="M10" s="222">
        <f t="shared" si="4"/>
      </c>
      <c r="N10" s="223">
        <v>6</v>
      </c>
      <c r="O10" s="225">
        <f t="shared" si="3"/>
      </c>
      <c r="P10" s="215"/>
      <c r="Q10" s="215"/>
      <c r="W10" s="229"/>
    </row>
    <row r="11">
      <c r="A11" s="214">
        <v>46175</v>
      </c>
      <c r="B11" s="215" t="s">
        <v>275</v>
      </c>
      <c r="C11" s="216" t="s">
        <v>283</v>
      </c>
      <c r="D11" s="216">
        <v>4</v>
      </c>
      <c r="E11" s="217">
        <v>6</v>
      </c>
      <c r="F11" s="217">
        <v>63</v>
      </c>
      <c r="G11" s="217">
        <v>43</v>
      </c>
      <c r="H11" s="218">
        <v>16100.200000000004</v>
      </c>
      <c r="I11" s="216">
        <f>16738.67+0.07</f>
      </c>
      <c r="J11" s="220">
        <f t="shared" si="2"/>
      </c>
      <c r="K11" s="220">
        <f t="shared" si="0"/>
      </c>
      <c r="L11" s="221">
        <f t="shared" si="5"/>
      </c>
      <c r="M11" s="222">
        <f t="shared" si="4"/>
      </c>
      <c r="N11" s="223">
        <v>6</v>
      </c>
      <c r="O11" s="225">
        <f t="shared" si="3"/>
      </c>
      <c r="P11" s="215" t="s">
        <v>284</v>
      </c>
      <c r="Q11" s="215">
        <v>8</v>
      </c>
      <c r="W11" s="229"/>
    </row>
    <row r="12">
      <c r="A12" s="230">
        <v>46175</v>
      </c>
      <c r="B12" s="231" t="s">
        <v>285</v>
      </c>
      <c r="C12" s="232"/>
      <c r="D12" s="232">
        <f>SUM(D7:D11)</f>
      </c>
      <c r="E12" s="232">
        <f>SUM(E7:E11)</f>
      </c>
      <c r="F12" s="232">
        <f>SUM(F7:F11)</f>
      </c>
      <c r="G12" s="232">
        <f>SUM(G7:G11)</f>
      </c>
      <c r="H12" s="233">
        <f>SUM(H7:H11)</f>
      </c>
      <c r="I12" s="234">
        <f>SUM(I7:I11)</f>
      </c>
      <c r="J12" s="235">
        <f t="shared" si="2"/>
      </c>
      <c r="K12" s="236">
        <f t="shared" si="0"/>
      </c>
      <c r="L12" s="236">
        <f t="shared" si="5"/>
      </c>
      <c r="M12" s="237">
        <f t="shared" si="4"/>
      </c>
      <c r="N12" s="234">
        <f>SUM(N7:N11)</f>
      </c>
      <c r="O12" s="237">
        <f t="shared" si="3"/>
      </c>
      <c r="P12" s="238"/>
      <c r="Q12" s="239">
        <f>SUM(Q7:Q11)</f>
      </c>
      <c r="W12" s="229"/>
    </row>
    <row r="13">
      <c r="A13" s="214">
        <v>46176</v>
      </c>
      <c r="B13" s="215" t="s">
        <v>286</v>
      </c>
      <c r="C13" s="216" t="s">
        <v>276</v>
      </c>
      <c r="D13" s="216">
        <v>4</v>
      </c>
      <c r="E13" s="217">
        <v>10</v>
      </c>
      <c r="F13" s="217">
        <v>59</v>
      </c>
      <c r="G13" s="217">
        <v>38</v>
      </c>
      <c r="H13" s="240">
        <v>13534.7</v>
      </c>
      <c r="I13" s="240">
        <v>11814.83</v>
      </c>
      <c r="J13" s="219">
        <f t="shared" si="2"/>
      </c>
      <c r="K13" s="220">
        <f t="shared" si="0"/>
      </c>
      <c r="L13" s="221">
        <f t="shared" si="5"/>
      </c>
      <c r="M13" s="222">
        <f t="shared" si="4"/>
      </c>
      <c r="N13" s="223">
        <v>5</v>
      </c>
      <c r="O13" s="222">
        <f t="shared" si="3"/>
      </c>
      <c r="P13" s="224" t="s">
        <v>293</v>
      </c>
      <c r="Q13" s="224">
        <v>8</v>
      </c>
      <c r="W13" s="229"/>
    </row>
    <row r="14">
      <c r="A14" s="214">
        <v>46176</v>
      </c>
      <c r="B14" s="215" t="s">
        <v>282</v>
      </c>
      <c r="C14" s="216" t="s">
        <v>288</v>
      </c>
      <c r="D14" s="216">
        <v>3</v>
      </c>
      <c r="E14" s="217">
        <v>8</v>
      </c>
      <c r="F14" s="217">
        <v>71</v>
      </c>
      <c r="G14" s="217">
        <v>47</v>
      </c>
      <c r="H14" s="240">
        <v>17060</v>
      </c>
      <c r="I14" s="240">
        <v>16022.679999999998</v>
      </c>
      <c r="J14" s="220">
        <f t="shared" si="2"/>
      </c>
      <c r="K14" s="220">
        <f t="shared" si="0"/>
      </c>
      <c r="L14" s="221">
        <f t="shared" si="5"/>
      </c>
      <c r="M14" s="222">
        <f t="shared" si="4"/>
      </c>
      <c r="N14" s="223">
        <v>0</v>
      </c>
      <c r="O14" s="225">
        <f t="shared" si="3"/>
      </c>
      <c r="P14" s="215"/>
      <c r="Q14" s="215"/>
      <c r="W14" s="229"/>
    </row>
    <row r="15">
      <c r="A15" s="214">
        <v>46176</v>
      </c>
      <c r="B15" s="226" t="s">
        <v>278</v>
      </c>
      <c r="C15" s="216" t="s">
        <v>290</v>
      </c>
      <c r="D15" s="216">
        <v>3</v>
      </c>
      <c r="E15" s="217">
        <v>5</v>
      </c>
      <c r="F15" s="217">
        <v>55</v>
      </c>
      <c r="G15" s="217">
        <v>40</v>
      </c>
      <c r="H15" s="218">
        <v>13006.399999999998</v>
      </c>
      <c r="I15" s="216">
        <v>14823.05</v>
      </c>
      <c r="J15" s="220">
        <f t="shared" si="2"/>
      </c>
      <c r="K15" s="220">
        <f t="shared" si="0"/>
      </c>
      <c r="L15" s="221">
        <f t="shared" si="5"/>
      </c>
      <c r="M15" s="222">
        <f t="shared" si="4"/>
      </c>
      <c r="N15" s="223">
        <v>3</v>
      </c>
      <c r="O15" s="225">
        <f t="shared" si="3"/>
      </c>
      <c r="P15" s="215"/>
      <c r="Q15" s="215"/>
    </row>
    <row r="16">
      <c r="A16" s="214">
        <v>46176</v>
      </c>
      <c r="B16" s="226" t="s">
        <v>291</v>
      </c>
      <c r="C16" s="216" t="s">
        <v>292</v>
      </c>
      <c r="D16" s="216">
        <v>2</v>
      </c>
      <c r="E16" s="217">
        <v>5</v>
      </c>
      <c r="F16" s="217">
        <v>43</v>
      </c>
      <c r="G16" s="217">
        <v>27</v>
      </c>
      <c r="H16" s="218">
        <v>8945.400000000001</v>
      </c>
      <c r="I16" s="216">
        <v>9972.590000000004</v>
      </c>
      <c r="J16" s="220">
        <f t="shared" si="2"/>
      </c>
      <c r="K16" s="220">
        <f t="shared" si="0"/>
      </c>
      <c r="L16" s="221">
        <f t="shared" si="5"/>
      </c>
      <c r="M16" s="222">
        <f t="shared" si="4"/>
      </c>
      <c r="N16" s="223">
        <v>0</v>
      </c>
      <c r="O16" s="225">
        <f t="shared" si="3"/>
      </c>
      <c r="P16" s="215"/>
      <c r="Q16" s="215"/>
    </row>
    <row r="17">
      <c r="A17" s="214">
        <v>46176</v>
      </c>
      <c r="B17" s="215" t="s">
        <v>275</v>
      </c>
      <c r="C17" s="216" t="s">
        <v>283</v>
      </c>
      <c r="D17" s="216">
        <v>4</v>
      </c>
      <c r="E17" s="217">
        <v>6</v>
      </c>
      <c r="F17" s="217">
        <v>79</v>
      </c>
      <c r="G17" s="217">
        <v>52</v>
      </c>
      <c r="H17" s="218">
        <v>16933.199999999997</v>
      </c>
      <c r="I17" s="216">
        <v>18221.859999999993</v>
      </c>
      <c r="J17" s="220">
        <f t="shared" si="2"/>
      </c>
      <c r="K17" s="220">
        <f t="shared" si="0"/>
      </c>
      <c r="L17" s="221">
        <f t="shared" si="5"/>
      </c>
      <c r="M17" s="222">
        <f t="shared" si="4"/>
      </c>
      <c r="N17" s="223">
        <v>8</v>
      </c>
      <c r="O17" s="225">
        <f t="shared" si="3"/>
      </c>
      <c r="P17" s="215" t="s">
        <v>284</v>
      </c>
      <c r="Q17" s="215">
        <v>8</v>
      </c>
    </row>
    <row r="18">
      <c r="A18" s="230">
        <v>46176</v>
      </c>
      <c r="B18" s="231" t="s">
        <v>285</v>
      </c>
      <c r="C18" s="232"/>
      <c r="D18" s="232">
        <f>SUM(D13:D17)</f>
      </c>
      <c r="E18" s="232">
        <f>SUM(E13:E17)</f>
      </c>
      <c r="F18" s="232">
        <f>SUM(F13:F17)</f>
      </c>
      <c r="G18" s="232">
        <f>SUM(G13:G17)</f>
      </c>
      <c r="H18" s="233">
        <f>SUM(H13:H17)</f>
      </c>
      <c r="I18" s="234">
        <f>SUM(I13:I17)</f>
      </c>
      <c r="J18" s="235">
        <f t="shared" si="2"/>
      </c>
      <c r="K18" s="236">
        <f t="shared" si="0"/>
      </c>
      <c r="L18" s="236">
        <f t="shared" si="5"/>
      </c>
      <c r="M18" s="237">
        <f t="shared" si="4"/>
      </c>
      <c r="N18" s="234">
        <f>SUM(N13:N17)</f>
      </c>
      <c r="O18" s="237">
        <f t="shared" si="3"/>
      </c>
      <c r="P18" s="238"/>
      <c r="Q18" s="239">
        <f>SUM(Q13:Q17)</f>
      </c>
    </row>
    <row r="19">
      <c r="A19" s="214">
        <v>46177</v>
      </c>
      <c r="B19" s="215" t="s">
        <v>282</v>
      </c>
      <c r="C19" s="216" t="s">
        <v>276</v>
      </c>
      <c r="D19" s="216">
        <v>4</v>
      </c>
      <c r="E19" s="217">
        <v>13</v>
      </c>
      <c r="F19" s="217">
        <v>71</v>
      </c>
      <c r="G19" s="217">
        <v>57</v>
      </c>
      <c r="H19" s="240">
        <v>17222.4</v>
      </c>
      <c r="I19" s="240">
        <v>14258</v>
      </c>
      <c r="J19" s="219">
        <f t="shared" si="2"/>
      </c>
      <c r="K19" s="220">
        <f t="shared" si="0"/>
      </c>
      <c r="L19" s="221">
        <f t="shared" si="5"/>
      </c>
      <c r="M19" s="222">
        <f t="shared" si="4"/>
      </c>
      <c r="N19" s="223">
        <v>7</v>
      </c>
      <c r="O19" s="222">
        <f t="shared" si="3"/>
      </c>
      <c r="P19" s="224" t="s">
        <v>294</v>
      </c>
      <c r="Q19" s="224">
        <v>1</v>
      </c>
    </row>
    <row r="20">
      <c r="A20" s="214">
        <v>46177</v>
      </c>
      <c r="B20" s="226" t="s">
        <v>280</v>
      </c>
      <c r="C20" s="216" t="s">
        <v>288</v>
      </c>
      <c r="D20" s="216">
        <v>3</v>
      </c>
      <c r="E20" s="217">
        <v>8</v>
      </c>
      <c r="F20" s="217">
        <v>73</v>
      </c>
      <c r="G20" s="217">
        <v>50</v>
      </c>
      <c r="H20" s="240">
        <v>16986.3</v>
      </c>
      <c r="I20" s="240">
        <v>15777.09</v>
      </c>
      <c r="J20" s="220">
        <f t="shared" si="2"/>
      </c>
      <c r="K20" s="220">
        <f t="shared" si="0"/>
      </c>
      <c r="L20" s="221">
        <f t="shared" si="5"/>
      </c>
      <c r="M20" s="222">
        <f t="shared" si="4"/>
      </c>
      <c r="N20" s="223">
        <v>9</v>
      </c>
      <c r="O20" s="225">
        <f t="shared" si="3"/>
      </c>
      <c r="P20" s="215" t="s">
        <v>295</v>
      </c>
      <c r="Q20" s="215">
        <v>7</v>
      </c>
    </row>
    <row r="21">
      <c r="A21" s="214">
        <v>46177</v>
      </c>
      <c r="B21" s="215" t="s">
        <v>275</v>
      </c>
      <c r="C21" s="216" t="s">
        <v>290</v>
      </c>
      <c r="D21" s="216">
        <v>3</v>
      </c>
      <c r="E21" s="217">
        <v>3</v>
      </c>
      <c r="F21" s="217">
        <v>46</v>
      </c>
      <c r="G21" s="217">
        <v>35</v>
      </c>
      <c r="H21" s="218">
        <v>11759.199999999997</v>
      </c>
      <c r="I21" s="216">
        <v>10039.679999999997</v>
      </c>
      <c r="J21" s="220">
        <f t="shared" si="2"/>
      </c>
      <c r="K21" s="220">
        <f t="shared" si="0"/>
      </c>
      <c r="L21" s="221">
        <f t="shared" si="5"/>
      </c>
      <c r="M21" s="222">
        <f t="shared" si="4"/>
      </c>
      <c r="N21" s="223">
        <v>3</v>
      </c>
      <c r="O21" s="225">
        <f t="shared" si="3"/>
      </c>
      <c r="P21" s="215" t="s">
        <v>284</v>
      </c>
      <c r="Q21" s="215">
        <v>3</v>
      </c>
    </row>
    <row r="22">
      <c r="A22" s="214">
        <v>46177</v>
      </c>
      <c r="B22" s="226" t="s">
        <v>291</v>
      </c>
      <c r="C22" s="216" t="s">
        <v>292</v>
      </c>
      <c r="D22" s="216">
        <v>2</v>
      </c>
      <c r="E22" s="217">
        <v>0</v>
      </c>
      <c r="F22" s="217">
        <v>22</v>
      </c>
      <c r="G22" s="217">
        <v>10</v>
      </c>
      <c r="H22" s="218">
        <v>4269.600000000006</v>
      </c>
      <c r="I22" s="216">
        <f>3718.7+0.36</f>
      </c>
      <c r="J22" s="220">
        <f t="shared" si="2"/>
      </c>
      <c r="K22" s="220">
        <f t="shared" si="0"/>
      </c>
      <c r="L22" s="221">
        <f t="shared" si="5"/>
      </c>
      <c r="M22" s="222">
        <f t="shared" si="4"/>
      </c>
      <c r="N22" s="223">
        <v>1</v>
      </c>
      <c r="O22" s="225">
        <f t="shared" si="3"/>
      </c>
      <c r="P22" s="215" t="s">
        <v>296</v>
      </c>
      <c r="Q22" s="215">
        <v>1</v>
      </c>
    </row>
    <row r="23">
      <c r="A23" s="230">
        <v>46177</v>
      </c>
      <c r="B23" s="231" t="s">
        <v>285</v>
      </c>
      <c r="C23" s="232"/>
      <c r="D23" s="232">
        <f>SUM(D19:D22)</f>
      </c>
      <c r="E23" s="232">
        <f>SUM(E19:E22)</f>
      </c>
      <c r="F23" s="232">
        <f>SUM(F19:F22)</f>
      </c>
      <c r="G23" s="232">
        <f>SUM(G19:G22)</f>
      </c>
      <c r="H23" s="233">
        <f>SUM(H19:H22)</f>
      </c>
      <c r="I23" s="234">
        <f>SUM(I19:I22)</f>
      </c>
      <c r="J23" s="235">
        <f t="shared" si="2"/>
      </c>
      <c r="K23" s="236">
        <f t="shared" si="0"/>
      </c>
      <c r="L23" s="236">
        <f t="shared" si="5"/>
      </c>
      <c r="M23" s="237">
        <f t="shared" si="4"/>
      </c>
      <c r="N23" s="234">
        <f>SUM(N19:N22)</f>
      </c>
      <c r="O23" s="237">
        <f t="shared" si="3"/>
      </c>
      <c r="P23" s="238"/>
      <c r="Q23" s="239">
        <f>SUM(Q19:Q22)</f>
      </c>
    </row>
    <row customHeight="true" ht="16.071428571428573" r="24">
      <c r="A24" s="214">
        <v>46178</v>
      </c>
      <c r="B24" s="226" t="s">
        <v>275</v>
      </c>
      <c r="C24" s="216" t="s">
        <v>297</v>
      </c>
      <c r="D24" s="216">
        <v>0</v>
      </c>
      <c r="E24" s="217">
        <v>0</v>
      </c>
      <c r="F24" s="217">
        <v>0</v>
      </c>
      <c r="G24" s="217">
        <v>0</v>
      </c>
      <c r="H24" s="218">
        <v>0</v>
      </c>
      <c r="I24" s="216">
        <v>707.15</v>
      </c>
      <c r="J24" s="220">
        <f t="shared" si="2"/>
      </c>
      <c r="K24" s="220">
        <f t="shared" si="0"/>
      </c>
      <c r="L24" s="221">
        <f t="shared" si="5"/>
      </c>
      <c r="M24" s="222">
        <f t="shared" si="4"/>
      </c>
      <c r="N24" s="223">
        <v>0</v>
      </c>
      <c r="O24" s="225">
        <f t="shared" si="3"/>
      </c>
      <c r="P24" s="215" t="s">
        <v>294</v>
      </c>
      <c r="Q24" s="215">
        <v>0</v>
      </c>
    </row>
    <row customHeight="true" ht="16.071428571428573" r="25">
      <c r="A25" s="230">
        <v>46178</v>
      </c>
      <c r="B25" s="231" t="s">
        <v>285</v>
      </c>
      <c r="C25" s="232"/>
      <c r="D25" s="241">
        <v>0</v>
      </c>
      <c r="E25" s="242">
        <v>0</v>
      </c>
      <c r="F25" s="242">
        <v>0</v>
      </c>
      <c r="G25" s="242">
        <v>0</v>
      </c>
      <c r="H25" s="243">
        <v>0</v>
      </c>
      <c r="I25" s="241">
        <v>707.15</v>
      </c>
      <c r="J25" s="235">
        <f t="shared" si="2"/>
      </c>
      <c r="K25" s="236">
        <f t="shared" si="0"/>
      </c>
      <c r="L25" s="236">
        <f t="shared" si="5"/>
      </c>
      <c r="M25" s="237">
        <f t="shared" si="4"/>
      </c>
      <c r="N25" s="244">
        <v>0</v>
      </c>
      <c r="O25" s="237">
        <f t="shared" si="3"/>
      </c>
      <c r="P25" s="238"/>
      <c r="Q25" s="245">
        <v>0</v>
      </c>
    </row>
    <row r="26">
      <c r="A26" s="214">
        <v>46179</v>
      </c>
      <c r="B26" s="215" t="s">
        <v>282</v>
      </c>
      <c r="C26" s="216" t="s">
        <v>298</v>
      </c>
      <c r="D26" s="216">
        <v>5</v>
      </c>
      <c r="E26" s="217">
        <v>5</v>
      </c>
      <c r="F26" s="217">
        <v>39</v>
      </c>
      <c r="G26" s="217">
        <v>27</v>
      </c>
      <c r="H26" s="218">
        <v>7103.6</v>
      </c>
      <c r="I26" s="216">
        <v>10743.01</v>
      </c>
      <c r="J26" s="219">
        <f t="shared" si="2"/>
      </c>
      <c r="K26" s="220">
        <f t="shared" si="0"/>
      </c>
      <c r="L26" s="221">
        <f t="shared" si="5"/>
      </c>
      <c r="M26" s="222">
        <f t="shared" si="4"/>
      </c>
      <c r="N26" s="223">
        <v>3</v>
      </c>
      <c r="O26" s="222">
        <f t="shared" si="3"/>
      </c>
      <c r="P26" s="224" t="s">
        <v>277</v>
      </c>
      <c r="Q26" s="224">
        <v>8</v>
      </c>
    </row>
    <row r="27">
      <c r="A27" s="214">
        <v>46179</v>
      </c>
      <c r="B27" s="226" t="s">
        <v>286</v>
      </c>
      <c r="C27" s="216" t="s">
        <v>299</v>
      </c>
      <c r="D27" s="216">
        <v>5</v>
      </c>
      <c r="E27" s="217">
        <v>7</v>
      </c>
      <c r="F27" s="217">
        <v>61</v>
      </c>
      <c r="G27" s="217">
        <v>43</v>
      </c>
      <c r="H27" s="246">
        <v>17822.7</v>
      </c>
      <c r="I27" s="246">
        <v>10731.41</v>
      </c>
      <c r="J27" s="220">
        <f t="shared" si="2"/>
      </c>
      <c r="K27" s="220">
        <f t="shared" si="0"/>
      </c>
      <c r="L27" s="221">
        <f t="shared" si="5"/>
      </c>
      <c r="M27" s="222">
        <f t="shared" si="4"/>
      </c>
      <c r="N27" s="223">
        <v>9</v>
      </c>
      <c r="O27" s="225">
        <f t="shared" si="3"/>
      </c>
      <c r="P27" s="215"/>
      <c r="Q27" s="215"/>
    </row>
    <row r="28">
      <c r="A28" s="214">
        <v>46179</v>
      </c>
      <c r="B28" s="226" t="s">
        <v>291</v>
      </c>
      <c r="C28" s="216" t="s">
        <v>292</v>
      </c>
      <c r="D28" s="216">
        <v>2</v>
      </c>
      <c r="E28" s="217">
        <v>4</v>
      </c>
      <c r="F28" s="217">
        <v>23</v>
      </c>
      <c r="G28" s="217">
        <v>17</v>
      </c>
      <c r="H28" s="218">
        <v>4896</v>
      </c>
      <c r="I28" s="216">
        <v>2938.63</v>
      </c>
      <c r="J28" s="220">
        <f t="shared" si="2"/>
      </c>
      <c r="K28" s="220">
        <f t="shared" si="0"/>
      </c>
      <c r="L28" s="221">
        <f t="shared" si="5"/>
      </c>
      <c r="M28" s="222">
        <f t="shared" si="4"/>
      </c>
      <c r="N28" s="223">
        <v>1</v>
      </c>
      <c r="O28" s="225">
        <f t="shared" si="3"/>
      </c>
      <c r="P28" s="215" t="s">
        <v>300</v>
      </c>
      <c r="Q28" s="215">
        <v>4</v>
      </c>
    </row>
    <row r="29">
      <c r="A29" s="230">
        <v>46179</v>
      </c>
      <c r="B29" s="231" t="s">
        <v>285</v>
      </c>
      <c r="C29" s="232"/>
      <c r="D29" s="232">
        <f>SUM(D26:D28)</f>
      </c>
      <c r="E29" s="232">
        <f>SUM(E26:E28)</f>
      </c>
      <c r="F29" s="232">
        <f>SUM(F26:F28)</f>
      </c>
      <c r="G29" s="232">
        <f>SUM(G26:G28)</f>
      </c>
      <c r="H29" s="233">
        <f>SUM(H26:H28)</f>
      </c>
      <c r="I29" s="234">
        <f>SUM(I26:I28)</f>
      </c>
      <c r="J29" s="235">
        <f t="shared" si="2"/>
      </c>
      <c r="K29" s="236">
        <f t="shared" si="0"/>
      </c>
      <c r="L29" s="236">
        <f t="shared" si="5"/>
      </c>
      <c r="M29" s="237">
        <f t="shared" si="4"/>
      </c>
      <c r="N29" s="234">
        <f>SUM(N26:N28)</f>
      </c>
      <c r="O29" s="237">
        <f t="shared" si="3"/>
      </c>
      <c r="P29" s="238"/>
      <c r="Q29" s="239">
        <f>SUM(Q26:Q28)</f>
      </c>
    </row>
    <row r="30">
      <c r="A30" s="214">
        <v>46180</v>
      </c>
      <c r="B30" s="215" t="s">
        <v>282</v>
      </c>
      <c r="C30" s="216" t="s">
        <v>298</v>
      </c>
      <c r="D30" s="216">
        <v>5</v>
      </c>
      <c r="E30" s="217">
        <v>8</v>
      </c>
      <c r="F30" s="217">
        <v>90</v>
      </c>
      <c r="G30" s="217">
        <v>64</v>
      </c>
      <c r="H30" s="247">
        <v>19681.8</v>
      </c>
      <c r="I30" s="247">
        <v>17310.2</v>
      </c>
      <c r="J30" s="219">
        <f t="shared" si="2"/>
      </c>
      <c r="K30" s="220">
        <f t="shared" si="0"/>
      </c>
      <c r="L30" s="221">
        <f t="shared" si="5"/>
      </c>
      <c r="M30" s="222">
        <f t="shared" si="4"/>
      </c>
      <c r="N30" s="223">
        <v>8</v>
      </c>
      <c r="O30" s="222">
        <f t="shared" si="3"/>
      </c>
      <c r="P30" s="224" t="s">
        <v>277</v>
      </c>
      <c r="Q30" s="224">
        <v>8</v>
      </c>
    </row>
    <row r="31">
      <c r="A31" s="214">
        <v>46180</v>
      </c>
      <c r="B31" s="226" t="s">
        <v>286</v>
      </c>
      <c r="C31" s="216" t="s">
        <v>299</v>
      </c>
      <c r="D31" s="216">
        <v>5</v>
      </c>
      <c r="E31" s="217">
        <v>5</v>
      </c>
      <c r="F31" s="217">
        <v>72</v>
      </c>
      <c r="G31" s="217">
        <v>50</v>
      </c>
      <c r="H31" s="246">
        <v>16184.899999999998</v>
      </c>
      <c r="I31" s="246">
        <v>19162.709999999995</v>
      </c>
      <c r="J31" s="220">
        <f t="shared" si="2"/>
      </c>
      <c r="K31" s="220">
        <f t="shared" si="0"/>
      </c>
      <c r="L31" s="221">
        <f t="shared" si="5"/>
      </c>
      <c r="M31" s="222">
        <f t="shared" si="4"/>
      </c>
      <c r="N31" s="223">
        <v>3</v>
      </c>
      <c r="O31" s="225">
        <f t="shared" si="3"/>
      </c>
      <c r="P31" s="215"/>
      <c r="Q31" s="215"/>
    </row>
    <row r="32">
      <c r="A32" s="214">
        <v>46180</v>
      </c>
      <c r="B32" s="226" t="s">
        <v>291</v>
      </c>
      <c r="C32" s="216" t="s">
        <v>292</v>
      </c>
      <c r="D32" s="216">
        <v>2</v>
      </c>
      <c r="E32" s="217">
        <v>3</v>
      </c>
      <c r="F32" s="217">
        <v>31</v>
      </c>
      <c r="G32" s="217">
        <v>24</v>
      </c>
      <c r="H32" s="218">
        <v>9527.900000000001</v>
      </c>
      <c r="I32" s="216">
        <v>6127.6500000000015</v>
      </c>
      <c r="J32" s="220">
        <f t="shared" si="2"/>
      </c>
      <c r="K32" s="220">
        <f t="shared" si="0"/>
      </c>
      <c r="L32" s="221">
        <f t="shared" si="5"/>
      </c>
      <c r="M32" s="222">
        <f t="shared" si="4"/>
      </c>
      <c r="N32" s="223">
        <v>0</v>
      </c>
      <c r="O32" s="225">
        <f t="shared" si="3"/>
      </c>
      <c r="P32" s="215" t="s">
        <v>301</v>
      </c>
      <c r="Q32" s="215">
        <v>4</v>
      </c>
    </row>
    <row r="33">
      <c r="A33" s="230">
        <v>46180</v>
      </c>
      <c r="B33" s="231" t="s">
        <v>285</v>
      </c>
      <c r="C33" s="232"/>
      <c r="D33" s="232">
        <f>SUM(D30:D32)</f>
      </c>
      <c r="E33" s="232">
        <f>SUM(E30:E32)</f>
      </c>
      <c r="F33" s="232">
        <f>SUM(F30:F32)</f>
      </c>
      <c r="G33" s="232">
        <f>SUM(G30:G32)</f>
      </c>
      <c r="H33" s="233">
        <f>SUM(H30:H32)</f>
      </c>
      <c r="I33" s="234">
        <f>SUM(I30:I32)</f>
      </c>
      <c r="J33" s="235">
        <f t="shared" si="2"/>
      </c>
      <c r="K33" s="236">
        <f t="shared" si="0"/>
      </c>
      <c r="L33" s="236">
        <f t="shared" si="5"/>
      </c>
      <c r="M33" s="237">
        <f t="shared" si="4"/>
      </c>
      <c r="N33" s="234">
        <f>SUM(N30:N32)</f>
      </c>
      <c r="O33" s="237">
        <f t="shared" si="3"/>
      </c>
      <c r="P33" s="238"/>
      <c r="Q33" s="239">
        <f>SUM(Q30:Q32)</f>
      </c>
    </row>
    <row r="34">
      <c r="A34" s="214">
        <v>46181</v>
      </c>
      <c r="B34" s="215" t="s">
        <v>282</v>
      </c>
      <c r="C34" s="216" t="s">
        <v>276</v>
      </c>
      <c r="D34" s="216">
        <v>4</v>
      </c>
      <c r="E34" s="217">
        <v>4</v>
      </c>
      <c r="F34" s="217">
        <v>56</v>
      </c>
      <c r="G34" s="217">
        <v>35</v>
      </c>
      <c r="H34" s="246">
        <v>10770.4</v>
      </c>
      <c r="I34" s="246">
        <v>10434.12</v>
      </c>
      <c r="J34" s="219">
        <f t="shared" si="2"/>
      </c>
      <c r="K34" s="220">
        <f t="shared" si="0"/>
      </c>
      <c r="L34" s="221">
        <f t="shared" si="5"/>
      </c>
      <c r="M34" s="222">
        <f t="shared" si="4"/>
      </c>
      <c r="N34" s="223">
        <v>5</v>
      </c>
      <c r="O34" s="222">
        <f t="shared" si="3"/>
      </c>
      <c r="P34" s="224" t="s">
        <v>300</v>
      </c>
      <c r="Q34" s="224">
        <v>8</v>
      </c>
    </row>
    <row r="35">
      <c r="A35" s="214">
        <v>46181</v>
      </c>
      <c r="B35" s="226" t="s">
        <v>286</v>
      </c>
      <c r="C35" s="216" t="s">
        <v>279</v>
      </c>
      <c r="D35" s="216">
        <v>4</v>
      </c>
      <c r="E35" s="217">
        <v>3</v>
      </c>
      <c r="F35" s="217">
        <v>61</v>
      </c>
      <c r="G35" s="217">
        <v>37</v>
      </c>
      <c r="H35" s="246">
        <v>11800.800000000001</v>
      </c>
      <c r="I35" s="246">
        <v>12284.000000000002</v>
      </c>
      <c r="J35" s="220">
        <f t="shared" si="2"/>
      </c>
      <c r="K35" s="220">
        <f t="shared" si="0"/>
      </c>
      <c r="L35" s="221">
        <f t="shared" si="5"/>
      </c>
      <c r="M35" s="222">
        <f t="shared" si="4"/>
      </c>
      <c r="N35" s="223">
        <v>5</v>
      </c>
      <c r="O35" s="225">
        <f t="shared" si="3"/>
      </c>
      <c r="P35" s="215"/>
      <c r="Q35" s="215"/>
    </row>
    <row r="36">
      <c r="A36" s="214">
        <v>46181</v>
      </c>
      <c r="B36" s="226" t="s">
        <v>275</v>
      </c>
      <c r="C36" s="216" t="s">
        <v>281</v>
      </c>
      <c r="D36" s="216">
        <v>4</v>
      </c>
      <c r="E36" s="217">
        <v>10</v>
      </c>
      <c r="F36" s="217">
        <v>65</v>
      </c>
      <c r="G36" s="217">
        <v>44</v>
      </c>
      <c r="H36" s="218">
        <v>15479.600000000002</v>
      </c>
      <c r="I36" s="216">
        <v>10400.26</v>
      </c>
      <c r="J36" s="220">
        <f t="shared" si="2"/>
      </c>
      <c r="K36" s="220">
        <f t="shared" si="0"/>
      </c>
      <c r="L36" s="221">
        <f t="shared" si="5"/>
      </c>
      <c r="M36" s="222">
        <f t="shared" si="4"/>
      </c>
      <c r="N36" s="223">
        <v>5</v>
      </c>
      <c r="O36" s="225">
        <f t="shared" si="3"/>
      </c>
      <c r="P36" s="215" t="s">
        <v>301</v>
      </c>
      <c r="Q36" s="215">
        <v>4</v>
      </c>
    </row>
    <row r="37">
      <c r="A37" s="230">
        <v>46181</v>
      </c>
      <c r="B37" s="231" t="s">
        <v>285</v>
      </c>
      <c r="C37" s="232"/>
      <c r="D37" s="232">
        <f>SUM(D34:D36)</f>
      </c>
      <c r="E37" s="232">
        <f>SUM(E34:E36)</f>
      </c>
      <c r="F37" s="232">
        <f>SUM(F34:F36)</f>
      </c>
      <c r="G37" s="232">
        <f>SUM(G34:G36)</f>
      </c>
      <c r="H37" s="233">
        <f>SUM(H34:H36)</f>
      </c>
      <c r="I37" s="234">
        <f>SUM(I34:I36)</f>
      </c>
      <c r="J37" s="235">
        <f t="shared" si="2"/>
      </c>
      <c r="K37" s="236">
        <f t="shared" si="0"/>
      </c>
      <c r="L37" s="236">
        <f t="shared" si="5"/>
      </c>
      <c r="M37" s="237">
        <f t="shared" si="4"/>
      </c>
      <c r="N37" s="234">
        <f>SUM(N34:N36)</f>
      </c>
      <c r="O37" s="237">
        <f t="shared" si="3"/>
      </c>
      <c r="P37" s="238"/>
      <c r="Q37" s="239">
        <f>SUM(Q34:Q36)</f>
      </c>
    </row>
    <row r="38">
      <c r="A38" s="214">
        <v>46182</v>
      </c>
      <c r="B38" s="215" t="s">
        <v>282</v>
      </c>
      <c r="C38" s="216" t="s">
        <v>276</v>
      </c>
      <c r="D38" s="216">
        <v>4</v>
      </c>
      <c r="E38" s="217">
        <v>3</v>
      </c>
      <c r="F38" s="217">
        <v>57</v>
      </c>
      <c r="G38" s="217">
        <v>41</v>
      </c>
      <c r="H38" s="246">
        <v>10970.4</v>
      </c>
      <c r="I38" s="246">
        <v>9448.17</v>
      </c>
      <c r="J38" s="219">
        <f t="shared" si="2"/>
      </c>
      <c r="K38" s="220">
        <f t="shared" si="0"/>
      </c>
      <c r="L38" s="221">
        <f t="shared" si="5"/>
      </c>
      <c r="M38" s="222">
        <f t="shared" si="4"/>
      </c>
      <c r="N38" s="223">
        <v>7</v>
      </c>
      <c r="O38" s="222">
        <f t="shared" si="3"/>
      </c>
      <c r="P38" s="224" t="s">
        <v>300</v>
      </c>
      <c r="Q38" s="224">
        <v>8</v>
      </c>
    </row>
    <row r="39">
      <c r="A39" s="214">
        <v>46182</v>
      </c>
      <c r="B39" s="226" t="s">
        <v>286</v>
      </c>
      <c r="C39" s="216" t="s">
        <v>279</v>
      </c>
      <c r="D39" s="216">
        <v>4</v>
      </c>
      <c r="E39" s="217">
        <v>7</v>
      </c>
      <c r="F39" s="217">
        <v>76</v>
      </c>
      <c r="G39" s="217">
        <v>51</v>
      </c>
      <c r="H39" s="246">
        <v>20293</v>
      </c>
      <c r="I39" s="246">
        <v>15540.19</v>
      </c>
      <c r="J39" s="220">
        <f t="shared" si="2"/>
      </c>
      <c r="K39" s="220">
        <f t="shared" si="0"/>
      </c>
      <c r="L39" s="221">
        <f t="shared" si="5"/>
      </c>
      <c r="M39" s="222">
        <f t="shared" si="4"/>
      </c>
      <c r="N39" s="223">
        <v>5</v>
      </c>
      <c r="O39" s="225">
        <f t="shared" si="3"/>
      </c>
      <c r="P39" s="215" t="s">
        <v>302</v>
      </c>
      <c r="Q39" s="215">
        <v>4</v>
      </c>
    </row>
    <row r="40">
      <c r="A40" s="214">
        <v>46182</v>
      </c>
      <c r="B40" s="226" t="s">
        <v>291</v>
      </c>
      <c r="C40" s="216" t="s">
        <v>281</v>
      </c>
      <c r="D40" s="216">
        <v>4</v>
      </c>
      <c r="E40" s="217">
        <v>5</v>
      </c>
      <c r="F40" s="217">
        <v>58</v>
      </c>
      <c r="G40" s="217">
        <v>36</v>
      </c>
      <c r="H40" s="218">
        <v>12011.6</v>
      </c>
      <c r="I40" s="216">
        <f>10983.37+0.07</f>
      </c>
      <c r="J40" s="220">
        <f t="shared" si="2"/>
      </c>
      <c r="K40" s="220">
        <f t="shared" si="0"/>
      </c>
      <c r="L40" s="221">
        <f t="shared" si="5"/>
      </c>
      <c r="M40" s="222">
        <f t="shared" si="4"/>
      </c>
      <c r="N40" s="223">
        <v>4</v>
      </c>
      <c r="O40" s="225">
        <f t="shared" si="3"/>
      </c>
      <c r="P40" s="215"/>
      <c r="Q40" s="215"/>
    </row>
    <row r="41">
      <c r="A41" s="230">
        <v>46182</v>
      </c>
      <c r="B41" s="231" t="s">
        <v>285</v>
      </c>
      <c r="C41" s="232"/>
      <c r="D41" s="232">
        <f>SUM(D38:D40)</f>
      </c>
      <c r="E41" s="232">
        <f>SUM(E38:E40)</f>
      </c>
      <c r="F41" s="232">
        <f>SUM(F38:F40)</f>
      </c>
      <c r="G41" s="232">
        <f>SUM(G38:G40)</f>
      </c>
      <c r="H41" s="233">
        <f>SUM(H38:H40)</f>
      </c>
      <c r="I41" s="234">
        <f>SUM(I38:I40)</f>
      </c>
      <c r="J41" s="235">
        <f t="shared" si="2"/>
      </c>
      <c r="K41" s="236">
        <f t="shared" si="0"/>
      </c>
      <c r="L41" s="236">
        <f t="shared" si="5"/>
      </c>
      <c r="M41" s="237">
        <f t="shared" si="4"/>
      </c>
      <c r="N41" s="234">
        <f>SUM(N38:N40)</f>
      </c>
      <c r="O41" s="237">
        <f t="shared" si="3"/>
      </c>
      <c r="P41" s="238"/>
      <c r="Q41" s="239">
        <f>SUM(Q38:Q40)</f>
      </c>
    </row>
    <row r="42">
      <c r="A42" s="214">
        <v>46183</v>
      </c>
      <c r="B42" s="215" t="s">
        <v>282</v>
      </c>
      <c r="C42" s="216" t="s">
        <v>298</v>
      </c>
      <c r="D42" s="216">
        <v>5</v>
      </c>
      <c r="E42" s="217">
        <v>4</v>
      </c>
      <c r="F42" s="217">
        <v>54</v>
      </c>
      <c r="G42" s="217">
        <v>38</v>
      </c>
      <c r="H42" s="246">
        <v>11410</v>
      </c>
      <c r="I42" s="246">
        <v>11503.05</v>
      </c>
      <c r="J42" s="219">
        <f t="shared" si="2"/>
      </c>
      <c r="K42" s="220">
        <f t="shared" si="0"/>
      </c>
      <c r="L42" s="221">
        <f t="shared" si="5"/>
      </c>
      <c r="M42" s="222">
        <f t="shared" si="4"/>
      </c>
      <c r="N42" s="223">
        <v>3</v>
      </c>
      <c r="O42" s="222">
        <f t="shared" si="3"/>
      </c>
      <c r="P42" s="224" t="s">
        <v>300</v>
      </c>
      <c r="Q42" s="224">
        <v>8</v>
      </c>
    </row>
    <row r="43">
      <c r="A43" s="214">
        <v>46183</v>
      </c>
      <c r="B43" s="226" t="s">
        <v>286</v>
      </c>
      <c r="C43" s="216" t="s">
        <v>299</v>
      </c>
      <c r="D43" s="216">
        <v>5</v>
      </c>
      <c r="E43" s="217">
        <v>10</v>
      </c>
      <c r="F43" s="217">
        <v>91</v>
      </c>
      <c r="G43" s="217">
        <v>71</v>
      </c>
      <c r="H43" s="246">
        <v>21647</v>
      </c>
      <c r="I43" s="246">
        <v>23244.000000000004</v>
      </c>
      <c r="J43" s="220">
        <f t="shared" si="2"/>
      </c>
      <c r="K43" s="220">
        <f t="shared" si="0"/>
      </c>
      <c r="L43" s="221">
        <f t="shared" si="5"/>
      </c>
      <c r="M43" s="222">
        <f t="shared" si="4"/>
      </c>
      <c r="N43" s="223">
        <v>13</v>
      </c>
      <c r="O43" s="225">
        <f t="shared" si="3"/>
      </c>
      <c r="P43" s="215" t="s">
        <v>302</v>
      </c>
      <c r="Q43" s="215">
        <v>2</v>
      </c>
    </row>
    <row r="44">
      <c r="A44" s="214">
        <v>46183</v>
      </c>
      <c r="B44" s="226" t="s">
        <v>291</v>
      </c>
      <c r="C44" s="216" t="s">
        <v>292</v>
      </c>
      <c r="D44" s="216">
        <v>2</v>
      </c>
      <c r="E44" s="217">
        <v>3</v>
      </c>
      <c r="F44" s="217">
        <v>31</v>
      </c>
      <c r="G44" s="217">
        <v>20</v>
      </c>
      <c r="H44" s="218">
        <v>6864</v>
      </c>
      <c r="I44" s="216">
        <v>6917.5899999999965</v>
      </c>
      <c r="J44" s="220">
        <f t="shared" si="2"/>
      </c>
      <c r="K44" s="220">
        <f t="shared" si="0"/>
      </c>
      <c r="L44" s="221">
        <f t="shared" si="5"/>
      </c>
      <c r="M44" s="222">
        <f t="shared" si="4"/>
      </c>
      <c r="N44" s="223">
        <v>0</v>
      </c>
      <c r="O44" s="225">
        <f t="shared" si="3"/>
      </c>
      <c r="P44" s="215" t="s">
        <v>303</v>
      </c>
      <c r="Q44" s="215">
        <v>2</v>
      </c>
    </row>
    <row r="45">
      <c r="A45" s="230">
        <v>46183</v>
      </c>
      <c r="B45" s="231" t="s">
        <v>285</v>
      </c>
      <c r="C45" s="232"/>
      <c r="D45" s="232">
        <f>SUM(D42:D44)</f>
      </c>
      <c r="E45" s="232">
        <f>SUM(E42:E44)</f>
      </c>
      <c r="F45" s="232">
        <f>SUM(F42:F44)</f>
      </c>
      <c r="G45" s="232">
        <f>SUM(G42:G44)</f>
      </c>
      <c r="H45" s="233">
        <f>SUM(H42:H44)</f>
      </c>
      <c r="I45" s="234">
        <f>SUM(I42:I44)</f>
      </c>
      <c r="J45" s="235">
        <f t="shared" si="2"/>
      </c>
      <c r="K45" s="236">
        <f t="shared" si="0"/>
      </c>
      <c r="L45" s="236">
        <f t="shared" si="5"/>
      </c>
      <c r="M45" s="237">
        <f t="shared" si="4"/>
      </c>
      <c r="N45" s="234">
        <f>SUM(N42:N44)</f>
      </c>
      <c r="O45" s="237">
        <f t="shared" si="3"/>
      </c>
      <c r="P45" s="238"/>
      <c r="Q45" s="239">
        <f>SUM(Q42:Q44)</f>
      </c>
    </row>
    <row customHeight="true" ht="16.071428571428573" r="46">
      <c r="A46" s="214">
        <v>46184</v>
      </c>
      <c r="B46" s="215" t="s">
        <v>286</v>
      </c>
      <c r="C46" s="216" t="s">
        <v>304</v>
      </c>
      <c r="D46" s="216">
        <v>5</v>
      </c>
      <c r="E46" s="217">
        <v>9</v>
      </c>
      <c r="F46" s="217">
        <v>71</v>
      </c>
      <c r="G46" s="217">
        <v>58</v>
      </c>
      <c r="H46" s="246">
        <v>17559.4</v>
      </c>
      <c r="I46" s="246">
        <v>16789.62</v>
      </c>
      <c r="J46" s="219">
        <f t="shared" si="2"/>
      </c>
      <c r="K46" s="220">
        <f t="shared" si="0"/>
      </c>
      <c r="L46" s="221">
        <f t="shared" si="5"/>
      </c>
      <c r="M46" s="222">
        <f t="shared" si="4"/>
      </c>
      <c r="N46" s="223">
        <v>11</v>
      </c>
      <c r="O46" s="222">
        <f t="shared" si="3"/>
      </c>
      <c r="P46" s="224" t="s">
        <v>300</v>
      </c>
      <c r="Q46" s="224">
        <v>4</v>
      </c>
    </row>
    <row customHeight="true" ht="16.071428571428573" r="47">
      <c r="A47" s="214">
        <v>46184</v>
      </c>
      <c r="B47" s="226" t="s">
        <v>291</v>
      </c>
      <c r="C47" s="216" t="s">
        <v>305</v>
      </c>
      <c r="D47" s="216">
        <v>3</v>
      </c>
      <c r="E47" s="217">
        <v>2</v>
      </c>
      <c r="F47" s="217">
        <v>37</v>
      </c>
      <c r="G47" s="217">
        <v>28</v>
      </c>
      <c r="H47" s="246">
        <v>9298.399999999998</v>
      </c>
      <c r="I47" s="246">
        <v>9856.64</v>
      </c>
      <c r="J47" s="220">
        <f t="shared" si="2"/>
      </c>
      <c r="K47" s="220">
        <f t="shared" si="0"/>
      </c>
      <c r="L47" s="221">
        <f t="shared" si="5"/>
      </c>
      <c r="M47" s="222">
        <f t="shared" si="4"/>
      </c>
      <c r="N47" s="223">
        <v>2</v>
      </c>
      <c r="O47" s="225">
        <f t="shared" si="3"/>
      </c>
      <c r="P47" s="215" t="s">
        <v>302</v>
      </c>
      <c r="Q47" s="215">
        <v>2</v>
      </c>
    </row>
    <row customHeight="true" ht="16.071428571428573" r="48">
      <c r="A48" s="214">
        <v>46184</v>
      </c>
      <c r="B48" s="215" t="s">
        <v>282</v>
      </c>
      <c r="C48" s="216" t="s">
        <v>283</v>
      </c>
      <c r="D48" s="216">
        <v>4</v>
      </c>
      <c r="E48" s="217">
        <v>5</v>
      </c>
      <c r="F48" s="217">
        <v>116</v>
      </c>
      <c r="G48" s="217">
        <v>88</v>
      </c>
      <c r="H48" s="218">
        <v>25638.899999999998</v>
      </c>
      <c r="I48" s="246">
        <v>19149.079999999998</v>
      </c>
      <c r="J48" s="220">
        <f t="shared" si="2"/>
      </c>
      <c r="K48" s="220">
        <f t="shared" si="0"/>
      </c>
      <c r="L48" s="221">
        <f t="shared" si="5"/>
      </c>
      <c r="M48" s="222">
        <f t="shared" si="4"/>
      </c>
      <c r="N48" s="223">
        <v>22</v>
      </c>
      <c r="O48" s="225">
        <f t="shared" si="3"/>
      </c>
      <c r="P48" s="215" t="s">
        <v>303</v>
      </c>
      <c r="Q48" s="215">
        <v>6</v>
      </c>
    </row>
    <row customHeight="true" ht="16.071428571428573" r="49">
      <c r="A49" s="230">
        <v>46184</v>
      </c>
      <c r="B49" s="231" t="s">
        <v>285</v>
      </c>
      <c r="C49" s="232"/>
      <c r="D49" s="232">
        <f>SUM(D46:D48)</f>
      </c>
      <c r="E49" s="232">
        <f>SUM(E46:E48)</f>
      </c>
      <c r="F49" s="232">
        <f>SUM(F46:F48)</f>
      </c>
      <c r="G49" s="232">
        <f>SUM(G46:G48)</f>
      </c>
      <c r="H49" s="233">
        <f>SUM(H46:H48)</f>
      </c>
      <c r="I49" s="234">
        <f>SUM(I46:I48)</f>
      </c>
      <c r="J49" s="235">
        <f t="shared" si="2"/>
      </c>
      <c r="K49" s="236">
        <f t="shared" si="0"/>
      </c>
      <c r="L49" s="236">
        <f t="shared" si="5"/>
      </c>
      <c r="M49" s="237">
        <f t="shared" si="4"/>
      </c>
      <c r="N49" s="234">
        <f>SUM(N46:N48)</f>
      </c>
      <c r="O49" s="237">
        <f t="shared" si="3"/>
      </c>
      <c r="P49" s="238"/>
      <c r="Q49" s="239">
        <f>SUM(Q46:Q48)</f>
      </c>
    </row>
    <row customHeight="true" ht="16.071428571428573" r="50">
      <c r="A50" s="214">
        <v>46185</v>
      </c>
      <c r="B50" s="215" t="s">
        <v>286</v>
      </c>
      <c r="C50" s="216" t="s">
        <v>276</v>
      </c>
      <c r="D50" s="216">
        <v>4</v>
      </c>
      <c r="E50" s="217">
        <v>7</v>
      </c>
      <c r="F50" s="217">
        <v>39</v>
      </c>
      <c r="G50" s="217">
        <v>28</v>
      </c>
      <c r="H50" s="246">
        <v>8472.4</v>
      </c>
      <c r="I50" s="246">
        <v>10029.42</v>
      </c>
      <c r="J50" s="219">
        <f t="shared" si="2"/>
      </c>
      <c r="K50" s="220">
        <f t="shared" si="0"/>
      </c>
      <c r="L50" s="221">
        <f t="shared" si="5"/>
      </c>
      <c r="M50" s="222">
        <f t="shared" si="4"/>
      </c>
      <c r="N50" s="223">
        <v>1</v>
      </c>
      <c r="O50" s="222">
        <f t="shared" si="3"/>
      </c>
      <c r="P50" s="224" t="s">
        <v>300</v>
      </c>
      <c r="Q50" s="224">
        <v>7</v>
      </c>
    </row>
    <row customHeight="true" ht="16.071428571428573" r="51">
      <c r="A51" s="214">
        <v>46185</v>
      </c>
      <c r="B51" s="226" t="s">
        <v>275</v>
      </c>
      <c r="C51" s="216" t="s">
        <v>304</v>
      </c>
      <c r="D51" s="216">
        <v>5</v>
      </c>
      <c r="E51" s="217">
        <v>8</v>
      </c>
      <c r="F51" s="217">
        <v>97</v>
      </c>
      <c r="G51" s="217">
        <v>70</v>
      </c>
      <c r="H51" s="246">
        <v>21595.9</v>
      </c>
      <c r="I51" s="246">
        <v>17164.510000000002</v>
      </c>
      <c r="J51" s="220">
        <f t="shared" si="2"/>
      </c>
      <c r="K51" s="220">
        <f t="shared" si="0"/>
      </c>
      <c r="L51" s="221">
        <f t="shared" si="5"/>
      </c>
      <c r="M51" s="222">
        <f t="shared" si="4"/>
      </c>
      <c r="N51" s="223">
        <v>5</v>
      </c>
      <c r="O51" s="225">
        <f t="shared" si="3"/>
      </c>
      <c r="P51" s="215"/>
      <c r="Q51" s="215"/>
    </row>
    <row customHeight="true" ht="16.071428571428573" r="52">
      <c r="A52" s="214">
        <v>46185</v>
      </c>
      <c r="B52" s="215" t="s">
        <v>291</v>
      </c>
      <c r="C52" s="216" t="s">
        <v>305</v>
      </c>
      <c r="D52" s="216">
        <v>3</v>
      </c>
      <c r="E52" s="217">
        <v>8</v>
      </c>
      <c r="F52" s="217">
        <v>67</v>
      </c>
      <c r="G52" s="217">
        <v>52</v>
      </c>
      <c r="H52" s="218">
        <v>15097.899999999994</v>
      </c>
      <c r="I52" s="216">
        <f>15783.8+0.05</f>
      </c>
      <c r="J52" s="220">
        <f t="shared" si="2"/>
      </c>
      <c r="K52" s="220">
        <f t="shared" si="0"/>
      </c>
      <c r="L52" s="221">
        <f t="shared" si="5"/>
      </c>
      <c r="M52" s="222">
        <f t="shared" si="4"/>
      </c>
      <c r="N52" s="223">
        <v>8</v>
      </c>
      <c r="O52" s="225">
        <f t="shared" si="3"/>
      </c>
      <c r="P52" s="215" t="s">
        <v>296</v>
      </c>
      <c r="Q52" s="215">
        <v>5</v>
      </c>
    </row>
    <row customHeight="true" ht="16.071428571428573" r="53">
      <c r="A53" s="230">
        <v>46185</v>
      </c>
      <c r="B53" s="231" t="s">
        <v>285</v>
      </c>
      <c r="C53" s="232"/>
      <c r="D53" s="232">
        <f>SUM(D50:D52)</f>
      </c>
      <c r="E53" s="232">
        <f>SUM(E50:E52)</f>
      </c>
      <c r="F53" s="232">
        <f>SUM(F50:F52)</f>
      </c>
      <c r="G53" s="232">
        <f>SUM(G50:G52)</f>
      </c>
      <c r="H53" s="233">
        <f>SUM(H50:H52)</f>
      </c>
      <c r="I53" s="234">
        <f>SUM(I50:I52)</f>
      </c>
      <c r="J53" s="235">
        <f t="shared" si="2"/>
      </c>
      <c r="K53" s="236">
        <f t="shared" si="0"/>
      </c>
      <c r="L53" s="236">
        <f t="shared" si="5"/>
      </c>
      <c r="M53" s="237">
        <f t="shared" si="4"/>
      </c>
      <c r="N53" s="234">
        <f>SUM(N50:N52)</f>
      </c>
      <c r="O53" s="237">
        <f t="shared" si="3"/>
      </c>
      <c r="P53" s="238"/>
      <c r="Q53" s="239">
        <f>SUM(Q50:Q52)</f>
      </c>
    </row>
    <row customHeight="true" ht="16.071428571428573" r="54">
      <c r="A54" s="214">
        <v>46186</v>
      </c>
      <c r="B54" s="215" t="s">
        <v>286</v>
      </c>
      <c r="C54" s="216" t="s">
        <v>276</v>
      </c>
      <c r="D54" s="216">
        <v>4</v>
      </c>
      <c r="E54" s="217">
        <v>7</v>
      </c>
      <c r="F54" s="217">
        <v>74</v>
      </c>
      <c r="G54" s="217">
        <v>49</v>
      </c>
      <c r="H54" s="246">
        <v>15047.9</v>
      </c>
      <c r="I54" s="246">
        <v>17221.94</v>
      </c>
      <c r="J54" s="219">
        <f t="shared" si="2"/>
      </c>
      <c r="K54" s="220">
        <f t="shared" si="0"/>
      </c>
      <c r="L54" s="221">
        <f t="shared" si="5"/>
      </c>
      <c r="M54" s="222">
        <f t="shared" si="4"/>
      </c>
      <c r="N54" s="223">
        <v>6</v>
      </c>
      <c r="O54" s="222">
        <f t="shared" si="3"/>
      </c>
      <c r="P54" s="224" t="s">
        <v>300</v>
      </c>
      <c r="Q54" s="224">
        <v>8</v>
      </c>
    </row>
    <row customHeight="true" ht="16.071428571428573" r="55">
      <c r="A55" s="214">
        <v>46186</v>
      </c>
      <c r="B55" s="215" t="s">
        <v>291</v>
      </c>
      <c r="C55" s="216" t="s">
        <v>288</v>
      </c>
      <c r="D55" s="216">
        <v>3</v>
      </c>
      <c r="E55" s="217">
        <v>7</v>
      </c>
      <c r="F55" s="217">
        <v>59</v>
      </c>
      <c r="G55" s="217">
        <v>40</v>
      </c>
      <c r="H55" s="246">
        <v>10625.199999999999</v>
      </c>
      <c r="I55" s="246">
        <v>10800.61</v>
      </c>
      <c r="J55" s="220">
        <f t="shared" si="2"/>
      </c>
      <c r="K55" s="220">
        <f t="shared" si="0"/>
      </c>
      <c r="L55" s="221">
        <f t="shared" si="5"/>
      </c>
      <c r="M55" s="222">
        <f t="shared" si="4"/>
      </c>
      <c r="N55" s="223">
        <v>4</v>
      </c>
      <c r="O55" s="225">
        <f t="shared" si="3"/>
      </c>
      <c r="P55" s="215"/>
      <c r="Q55" s="215"/>
    </row>
    <row customHeight="true" ht="16.071428571428573" r="56">
      <c r="A56" s="214">
        <v>46186</v>
      </c>
      <c r="B56" s="215" t="s">
        <v>282</v>
      </c>
      <c r="C56" s="216" t="s">
        <v>306</v>
      </c>
      <c r="D56" s="216">
        <v>5</v>
      </c>
      <c r="E56" s="217">
        <v>16</v>
      </c>
      <c r="F56" s="217">
        <v>91</v>
      </c>
      <c r="G56" s="217">
        <v>65</v>
      </c>
      <c r="H56" s="218">
        <v>18894.9</v>
      </c>
      <c r="I56" s="216">
        <f>0.05+20082.21</f>
      </c>
      <c r="J56" s="220">
        <f t="shared" si="2"/>
      </c>
      <c r="K56" s="220">
        <f t="shared" si="0"/>
      </c>
      <c r="L56" s="221">
        <f t="shared" si="5"/>
      </c>
      <c r="M56" s="222">
        <f t="shared" si="4"/>
      </c>
      <c r="N56" s="223">
        <v>5</v>
      </c>
      <c r="O56" s="225">
        <f t="shared" si="3"/>
      </c>
      <c r="P56" s="215" t="s">
        <v>301</v>
      </c>
      <c r="Q56" s="215">
        <v>4</v>
      </c>
    </row>
    <row customHeight="true" ht="16.071428571428573" r="57">
      <c r="A57" s="230">
        <v>46186</v>
      </c>
      <c r="B57" s="248" t="s">
        <v>285</v>
      </c>
      <c r="C57" s="232"/>
      <c r="D57" s="232">
        <f>SUM(D54:D56)</f>
      </c>
      <c r="E57" s="232">
        <f>SUM(E54:E56)</f>
      </c>
      <c r="F57" s="232">
        <f>SUM(F54:F56)</f>
      </c>
      <c r="G57" s="232">
        <f>SUM(G54:G56)</f>
      </c>
      <c r="H57" s="233">
        <f>SUM(H54:H56)</f>
      </c>
      <c r="I57" s="234">
        <f>SUM(I54:I56)</f>
      </c>
      <c r="J57" s="235">
        <f t="shared" si="2"/>
      </c>
      <c r="K57" s="236">
        <f t="shared" si="0"/>
      </c>
      <c r="L57" s="236">
        <f t="shared" si="5"/>
      </c>
      <c r="M57" s="237">
        <f t="shared" si="4"/>
      </c>
      <c r="N57" s="234">
        <f>SUM(N54:N56)</f>
      </c>
      <c r="O57" s="237">
        <f t="shared" si="3"/>
      </c>
      <c r="P57" s="238"/>
      <c r="Q57" s="239">
        <f>SUM(Q54:Q56)</f>
      </c>
    </row>
    <row customHeight="true" ht="16.071428571428573" r="58">
      <c r="A58" s="214">
        <v>46187</v>
      </c>
      <c r="B58" s="215" t="s">
        <v>286</v>
      </c>
      <c r="C58" s="216" t="s">
        <v>276</v>
      </c>
      <c r="D58" s="216">
        <v>4</v>
      </c>
      <c r="E58" s="217">
        <v>7</v>
      </c>
      <c r="F58" s="217">
        <v>79</v>
      </c>
      <c r="G58" s="217">
        <v>57</v>
      </c>
      <c r="H58" s="218">
        <v>22687.9</v>
      </c>
      <c r="I58" s="218">
        <v>17556.56</v>
      </c>
      <c r="J58" s="219">
        <f t="shared" si="2"/>
      </c>
      <c r="K58" s="220">
        <f t="shared" si="0"/>
      </c>
      <c r="L58" s="221">
        <f t="shared" si="5"/>
      </c>
      <c r="M58" s="222">
        <f t="shared" si="4"/>
      </c>
      <c r="N58" s="223">
        <v>7</v>
      </c>
      <c r="O58" s="222">
        <f t="shared" si="3"/>
      </c>
      <c r="P58" s="224" t="s">
        <v>277</v>
      </c>
      <c r="Q58" s="224">
        <v>8</v>
      </c>
    </row>
    <row customHeight="true" ht="16.071428571428573" r="59">
      <c r="A59" s="214">
        <v>46187</v>
      </c>
      <c r="B59" s="215" t="s">
        <v>291</v>
      </c>
      <c r="C59" s="216" t="s">
        <v>279</v>
      </c>
      <c r="D59" s="216">
        <v>4</v>
      </c>
      <c r="E59" s="217">
        <v>19</v>
      </c>
      <c r="F59" s="217">
        <v>84</v>
      </c>
      <c r="G59" s="217">
        <v>64</v>
      </c>
      <c r="H59" s="246">
        <v>23190.199999999997</v>
      </c>
      <c r="I59" s="246">
        <v>15456.130000000001</v>
      </c>
      <c r="J59" s="220">
        <f t="shared" si="2"/>
      </c>
      <c r="K59" s="220">
        <f t="shared" si="0"/>
      </c>
      <c r="L59" s="221">
        <f t="shared" si="5"/>
      </c>
      <c r="M59" s="222">
        <f t="shared" si="4"/>
      </c>
      <c r="N59" s="223">
        <v>11</v>
      </c>
      <c r="O59" s="225">
        <f t="shared" si="3"/>
      </c>
      <c r="P59" s="215"/>
      <c r="Q59" s="215"/>
    </row>
    <row customHeight="true" ht="16.071428571428573" r="60">
      <c r="A60" s="214">
        <v>46187</v>
      </c>
      <c r="B60" s="215" t="s">
        <v>282</v>
      </c>
      <c r="C60" s="216" t="s">
        <v>281</v>
      </c>
      <c r="D60" s="216">
        <v>4</v>
      </c>
      <c r="E60" s="217">
        <v>10</v>
      </c>
      <c r="F60" s="217">
        <v>106</v>
      </c>
      <c r="G60" s="217">
        <v>78</v>
      </c>
      <c r="H60" s="218">
        <v>31021.4</v>
      </c>
      <c r="I60" s="216">
        <f>23567.54+6.15</f>
      </c>
      <c r="J60" s="220">
        <f t="shared" si="2"/>
      </c>
      <c r="K60" s="220">
        <f t="shared" si="0"/>
      </c>
      <c r="L60" s="221">
        <f t="shared" si="5"/>
      </c>
      <c r="M60" s="222">
        <f t="shared" si="4"/>
      </c>
      <c r="N60" s="223">
        <v>5</v>
      </c>
      <c r="O60" s="225">
        <f t="shared" si="3"/>
      </c>
      <c r="P60" s="215" t="s">
        <v>296</v>
      </c>
      <c r="Q60" s="215">
        <v>4</v>
      </c>
    </row>
    <row customHeight="true" ht="16.071428571428573" r="61">
      <c r="A61" s="230">
        <v>46187</v>
      </c>
      <c r="B61" s="231" t="s">
        <v>285</v>
      </c>
      <c r="C61" s="232"/>
      <c r="D61" s="232">
        <f>SUM(D58:D60)</f>
      </c>
      <c r="E61" s="232">
        <f>SUM(E58:E60)</f>
      </c>
      <c r="F61" s="232">
        <f>SUM(F58:F60)</f>
      </c>
      <c r="G61" s="232">
        <f>SUM(G58:G60)</f>
      </c>
      <c r="H61" s="233">
        <f>SUM(H58:H60)</f>
      </c>
      <c r="I61" s="234">
        <f>SUM(I58:I60)</f>
      </c>
      <c r="J61" s="235">
        <f t="shared" si="2"/>
      </c>
      <c r="K61" s="236">
        <f t="shared" si="0"/>
      </c>
      <c r="L61" s="236">
        <f t="shared" si="5"/>
      </c>
      <c r="M61" s="237">
        <f t="shared" si="4"/>
      </c>
      <c r="N61" s="234">
        <f>SUM(N58:N60)</f>
      </c>
      <c r="O61" s="237">
        <f t="shared" si="3"/>
      </c>
      <c r="P61" s="238"/>
      <c r="Q61" s="239">
        <f>SUM(Q58:Q60)</f>
      </c>
    </row>
    <row customHeight="true" ht="16.071428571428573" r="62">
      <c r="A62" s="214">
        <v>46188</v>
      </c>
      <c r="B62" s="215" t="s">
        <v>275</v>
      </c>
      <c r="C62" s="216" t="s">
        <v>276</v>
      </c>
      <c r="D62" s="216">
        <v>4</v>
      </c>
      <c r="E62" s="217">
        <v>17</v>
      </c>
      <c r="F62" s="217">
        <v>126</v>
      </c>
      <c r="G62" s="217">
        <v>86</v>
      </c>
      <c r="H62" s="216">
        <v>26911.8</v>
      </c>
      <c r="I62" s="216">
        <v>23949.91</v>
      </c>
      <c r="J62" s="219">
        <f t="shared" si="2"/>
      </c>
      <c r="K62" s="220">
        <f t="shared" si="0"/>
      </c>
      <c r="L62" s="221">
        <f t="shared" si="5"/>
      </c>
      <c r="M62" s="222">
        <f t="shared" si="4"/>
      </c>
      <c r="N62" s="223">
        <v>12</v>
      </c>
      <c r="O62" s="222">
        <f t="shared" si="3"/>
      </c>
      <c r="P62" s="224" t="s">
        <v>277</v>
      </c>
      <c r="Q62" s="224">
        <v>8</v>
      </c>
    </row>
    <row customHeight="true" ht="16.071428571428573" r="63">
      <c r="A63" s="214">
        <v>46188</v>
      </c>
      <c r="B63" s="215" t="s">
        <v>282</v>
      </c>
      <c r="C63" s="216" t="s">
        <v>279</v>
      </c>
      <c r="D63" s="216">
        <v>4</v>
      </c>
      <c r="E63" s="217">
        <v>8</v>
      </c>
      <c r="F63" s="217">
        <v>58</v>
      </c>
      <c r="G63" s="217">
        <v>41</v>
      </c>
      <c r="H63" s="246">
        <v>13121.100000000002</v>
      </c>
      <c r="I63" s="246">
        <v>14043.41</v>
      </c>
      <c r="J63" s="220">
        <f t="shared" si="2"/>
      </c>
      <c r="K63" s="220">
        <f t="shared" si="0"/>
      </c>
      <c r="L63" s="221">
        <f t="shared" si="5"/>
      </c>
      <c r="M63" s="222">
        <f t="shared" si="4"/>
      </c>
      <c r="N63" s="223">
        <v>2</v>
      </c>
      <c r="O63" s="225">
        <f t="shared" si="3"/>
      </c>
      <c r="P63" s="215"/>
      <c r="Q63" s="215"/>
    </row>
    <row customHeight="true" ht="16.071428571428573" r="64">
      <c r="A64" s="214">
        <v>46188</v>
      </c>
      <c r="B64" s="215" t="s">
        <v>286</v>
      </c>
      <c r="C64" s="216" t="s">
        <v>281</v>
      </c>
      <c r="D64" s="216">
        <v>4</v>
      </c>
      <c r="E64" s="217">
        <v>3</v>
      </c>
      <c r="F64" s="217">
        <v>36</v>
      </c>
      <c r="G64" s="217">
        <v>24</v>
      </c>
      <c r="H64" s="218">
        <v>8406.400000000001</v>
      </c>
      <c r="I64" s="216">
        <f>9467.07+0.13</f>
      </c>
      <c r="J64" s="220">
        <f t="shared" si="2"/>
      </c>
      <c r="K64" s="220">
        <f t="shared" si="0"/>
      </c>
      <c r="L64" s="221">
        <f t="shared" si="5"/>
      </c>
      <c r="M64" s="222">
        <f t="shared" si="4"/>
      </c>
      <c r="N64" s="223">
        <v>2</v>
      </c>
      <c r="O64" s="225">
        <f t="shared" si="3"/>
      </c>
      <c r="P64" s="215" t="s">
        <v>296</v>
      </c>
      <c r="Q64" s="215">
        <v>4</v>
      </c>
    </row>
    <row customHeight="true" ht="16.071428571428573" r="65">
      <c r="A65" s="230">
        <v>46188</v>
      </c>
      <c r="B65" s="231" t="s">
        <v>285</v>
      </c>
      <c r="C65" s="232"/>
      <c r="D65" s="232">
        <f>SUM(D62:D64)</f>
      </c>
      <c r="E65" s="232">
        <f>SUM(E62:E64)</f>
      </c>
      <c r="F65" s="232">
        <f>SUM(F62:F64)</f>
      </c>
      <c r="G65" s="232">
        <f>SUM(G62:G64)</f>
      </c>
      <c r="H65" s="233">
        <f>SUM(H62:H64)</f>
      </c>
      <c r="I65" s="234">
        <f>SUM(I62:I64)</f>
      </c>
      <c r="J65" s="235">
        <f t="shared" si="2"/>
      </c>
      <c r="K65" s="236">
        <f t="shared" si="0"/>
      </c>
      <c r="L65" s="236">
        <f t="shared" si="5"/>
      </c>
      <c r="M65" s="237">
        <f t="shared" si="4"/>
      </c>
      <c r="N65" s="234">
        <f>SUM(N62:N64)</f>
      </c>
      <c r="O65" s="237">
        <f t="shared" si="3"/>
      </c>
      <c r="P65" s="238"/>
      <c r="Q65" s="239">
        <f>SUM(Q62:Q64)</f>
      </c>
    </row>
    <row customHeight="true" ht="16.071428571428573" r="66">
      <c r="A66" s="214">
        <v>46189</v>
      </c>
      <c r="B66" s="215" t="s">
        <v>282</v>
      </c>
      <c r="C66" s="216" t="s">
        <v>298</v>
      </c>
      <c r="D66" s="216">
        <v>5</v>
      </c>
      <c r="E66" s="217">
        <v>13</v>
      </c>
      <c r="F66" s="217">
        <v>107</v>
      </c>
      <c r="G66" s="217">
        <v>82</v>
      </c>
      <c r="H66" s="216">
        <v>27450.1</v>
      </c>
      <c r="I66" s="216">
        <v>24160.179999999997</v>
      </c>
      <c r="J66" s="219">
        <f t="shared" si="2"/>
      </c>
      <c r="K66" s="220">
        <f t="shared" si="0"/>
      </c>
      <c r="L66" s="221">
        <f t="shared" si="5"/>
      </c>
      <c r="M66" s="222">
        <f t="shared" si="4"/>
      </c>
      <c r="N66" s="223">
        <v>9</v>
      </c>
      <c r="O66" s="222">
        <f t="shared" si="3"/>
      </c>
      <c r="P66" s="224" t="s">
        <v>307</v>
      </c>
      <c r="Q66" s="224">
        <v>8</v>
      </c>
    </row>
    <row customHeight="true" ht="16.071428571428573" r="67">
      <c r="A67" s="214">
        <v>46189</v>
      </c>
      <c r="B67" s="215" t="s">
        <v>291</v>
      </c>
      <c r="C67" s="216" t="s">
        <v>299</v>
      </c>
      <c r="D67" s="216">
        <v>5</v>
      </c>
      <c r="E67" s="217">
        <v>8</v>
      </c>
      <c r="F67" s="217">
        <v>69</v>
      </c>
      <c r="G67" s="217">
        <v>54</v>
      </c>
      <c r="H67" s="246">
        <v>15999.4</v>
      </c>
      <c r="I67" s="246">
        <v>15990.28</v>
      </c>
      <c r="J67" s="220">
        <f t="shared" si="2"/>
      </c>
      <c r="K67" s="220">
        <f t="shared" si="0"/>
      </c>
      <c r="L67" s="221">
        <f t="shared" si="5"/>
      </c>
      <c r="M67" s="222">
        <f t="shared" si="4"/>
      </c>
      <c r="N67" s="223">
        <v>7</v>
      </c>
      <c r="O67" s="225">
        <f t="shared" si="3"/>
      </c>
      <c r="P67" s="215"/>
      <c r="Q67" s="215"/>
    </row>
    <row customHeight="true" ht="16.071428571428573" r="68">
      <c r="A68" s="214">
        <v>46189</v>
      </c>
      <c r="B68" s="215" t="s">
        <v>308</v>
      </c>
      <c r="C68" s="216" t="s">
        <v>292</v>
      </c>
      <c r="D68" s="216">
        <v>2</v>
      </c>
      <c r="E68" s="217">
        <v>4</v>
      </c>
      <c r="F68" s="217">
        <v>22</v>
      </c>
      <c r="G68" s="217">
        <v>19</v>
      </c>
      <c r="H68" s="218">
        <v>5917.5</v>
      </c>
      <c r="I68" s="216">
        <f>5262.51+0.09</f>
      </c>
      <c r="J68" s="220">
        <f t="shared" si="2"/>
      </c>
      <c r="K68" s="220">
        <f t="shared" si="0"/>
      </c>
      <c r="L68" s="221">
        <f t="shared" si="5"/>
      </c>
      <c r="M68" s="222">
        <f t="shared" si="4"/>
      </c>
      <c r="N68" s="223">
        <v>3</v>
      </c>
      <c r="O68" s="225">
        <f t="shared" si="3"/>
      </c>
      <c r="P68" s="215" t="s">
        <v>295</v>
      </c>
      <c r="Q68" s="215">
        <v>4</v>
      </c>
    </row>
    <row r="69">
      <c r="A69" s="230">
        <v>46189</v>
      </c>
      <c r="B69" s="231" t="s">
        <v>285</v>
      </c>
      <c r="C69" s="232"/>
      <c r="D69" s="232">
        <f>SUM(D66:D68)</f>
      </c>
      <c r="E69" s="232">
        <f>SUM(E66:E68)</f>
      </c>
      <c r="F69" s="232">
        <f>SUM(F66:F68)</f>
      </c>
      <c r="G69" s="232">
        <f>SUM(G66:G68)</f>
      </c>
      <c r="H69" s="233">
        <f>SUM(H66:H68)</f>
      </c>
      <c r="I69" s="234">
        <f>SUM(I66:I68)</f>
      </c>
      <c r="J69" s="235">
        <f t="shared" si="2"/>
      </c>
      <c r="K69" s="236">
        <f t="shared" si="0"/>
      </c>
      <c r="L69" s="236">
        <f t="shared" si="5"/>
      </c>
      <c r="M69" s="237">
        <f t="shared" si="4"/>
      </c>
      <c r="N69" s="234">
        <f>SUM(N66:N68)</f>
      </c>
      <c r="O69" s="237">
        <f t="shared" si="3"/>
      </c>
      <c r="P69" s="238"/>
      <c r="Q69" s="239">
        <f>SUM(Q66:Q68)</f>
      </c>
    </row>
    <row r="70">
      <c r="A70" s="214">
        <v>46190</v>
      </c>
      <c r="B70" s="215" t="s">
        <v>282</v>
      </c>
      <c r="C70" s="216" t="s">
        <v>298</v>
      </c>
      <c r="D70" s="216">
        <v>5</v>
      </c>
      <c r="E70" s="217">
        <v>7</v>
      </c>
      <c r="F70" s="217">
        <v>66</v>
      </c>
      <c r="G70" s="217">
        <v>43</v>
      </c>
      <c r="H70" s="216">
        <v>14278</v>
      </c>
      <c r="I70" s="216">
        <v>14184.179999999998</v>
      </c>
      <c r="J70" s="219">
        <f t="shared" si="2"/>
      </c>
      <c r="K70" s="220">
        <f t="shared" si="0"/>
      </c>
      <c r="L70" s="221">
        <f t="shared" si="5"/>
      </c>
      <c r="M70" s="222">
        <f t="shared" si="4"/>
      </c>
      <c r="N70" s="223">
        <v>3</v>
      </c>
      <c r="O70" s="222">
        <f t="shared" si="3"/>
      </c>
      <c r="P70" s="224" t="s">
        <v>307</v>
      </c>
      <c r="Q70" s="224">
        <v>8</v>
      </c>
    </row>
    <row r="71">
      <c r="A71" s="214">
        <v>46190</v>
      </c>
      <c r="B71" s="215" t="s">
        <v>291</v>
      </c>
      <c r="C71" s="216" t="s">
        <v>299</v>
      </c>
      <c r="D71" s="216">
        <v>5</v>
      </c>
      <c r="E71" s="217">
        <v>4</v>
      </c>
      <c r="F71" s="217">
        <v>70</v>
      </c>
      <c r="G71" s="217">
        <v>49</v>
      </c>
      <c r="H71" s="246">
        <v>13927.1</v>
      </c>
      <c r="I71" s="246">
        <v>13574.34</v>
      </c>
      <c r="J71" s="220">
        <f t="shared" si="2"/>
      </c>
      <c r="K71" s="220">
        <f t="shared" si="0"/>
      </c>
      <c r="L71" s="221">
        <f t="shared" si="5"/>
      </c>
      <c r="M71" s="222">
        <f t="shared" si="4"/>
      </c>
      <c r="N71" s="223">
        <v>3</v>
      </c>
      <c r="O71" s="225">
        <f t="shared" si="3"/>
      </c>
      <c r="P71" s="215"/>
      <c r="Q71" s="215"/>
    </row>
    <row r="72">
      <c r="A72" s="214">
        <v>46190</v>
      </c>
      <c r="B72" s="215" t="s">
        <v>308</v>
      </c>
      <c r="C72" s="216" t="s">
        <v>292</v>
      </c>
      <c r="D72" s="216">
        <v>2</v>
      </c>
      <c r="E72" s="217">
        <v>8</v>
      </c>
      <c r="F72" s="217">
        <v>40</v>
      </c>
      <c r="G72" s="217">
        <v>33</v>
      </c>
      <c r="H72" s="218">
        <v>9051.8</v>
      </c>
      <c r="I72" s="216">
        <f>8264.31+0.07</f>
      </c>
      <c r="J72" s="220">
        <f t="shared" si="2"/>
      </c>
      <c r="K72" s="220">
        <f t="shared" si="0"/>
      </c>
      <c r="L72" s="221">
        <f t="shared" si="5"/>
      </c>
      <c r="M72" s="222">
        <f t="shared" si="4"/>
      </c>
      <c r="N72" s="223">
        <v>4</v>
      </c>
      <c r="O72" s="225">
        <f t="shared" si="3"/>
      </c>
      <c r="P72" s="215" t="s">
        <v>295</v>
      </c>
      <c r="Q72" s="215">
        <v>4</v>
      </c>
    </row>
    <row r="73">
      <c r="A73" s="230">
        <v>46190</v>
      </c>
      <c r="B73" s="231" t="s">
        <v>285</v>
      </c>
      <c r="C73" s="232"/>
      <c r="D73" s="232">
        <f>SUM(D70:D72)</f>
      </c>
      <c r="E73" s="232">
        <f>SUM(E70:E72)</f>
      </c>
      <c r="F73" s="232">
        <f>SUM(F70:F72)</f>
      </c>
      <c r="G73" s="232">
        <f>SUM(G70:G72)</f>
      </c>
      <c r="H73" s="233">
        <f>SUM(H70:H72)</f>
      </c>
      <c r="I73" s="234">
        <f>SUM(I70:I72)</f>
      </c>
      <c r="J73" s="235">
        <f t="shared" si="2"/>
      </c>
      <c r="K73" s="236">
        <f t="shared" si="0"/>
      </c>
      <c r="L73" s="236">
        <f t="shared" si="5"/>
      </c>
      <c r="M73" s="237">
        <f t="shared" si="4"/>
      </c>
      <c r="N73" s="234">
        <f>SUM(N70:N72)</f>
      </c>
      <c r="O73" s="237">
        <f t="shared" si="3"/>
      </c>
      <c r="P73" s="238"/>
      <c r="Q73" s="239">
        <f>SUM(Q70:Q72)</f>
      </c>
    </row>
    <row r="74">
      <c r="A74" s="214">
        <v>46191</v>
      </c>
      <c r="B74" s="215" t="s">
        <v>282</v>
      </c>
      <c r="C74" s="216" t="s">
        <v>298</v>
      </c>
      <c r="D74" s="216">
        <v>5</v>
      </c>
      <c r="E74" s="217">
        <v>13</v>
      </c>
      <c r="F74" s="217">
        <v>72</v>
      </c>
      <c r="G74" s="217">
        <v>53</v>
      </c>
      <c r="H74" s="216">
        <v>15725.2</v>
      </c>
      <c r="I74" s="216">
        <v>16322.7</v>
      </c>
      <c r="J74" s="219">
        <f t="shared" si="2"/>
      </c>
      <c r="K74" s="220">
        <f t="shared" si="0"/>
      </c>
      <c r="L74" s="221">
        <f t="shared" si="5"/>
      </c>
      <c r="M74" s="222">
        <f t="shared" si="4"/>
      </c>
      <c r="N74" s="223">
        <v>2</v>
      </c>
      <c r="O74" s="222">
        <f t="shared" si="3"/>
      </c>
      <c r="P74" s="224" t="s">
        <v>307</v>
      </c>
      <c r="Q74" s="224">
        <v>8</v>
      </c>
    </row>
    <row r="75">
      <c r="A75" s="214">
        <v>46191</v>
      </c>
      <c r="B75" s="215" t="s">
        <v>291</v>
      </c>
      <c r="C75" s="216" t="s">
        <v>299</v>
      </c>
      <c r="D75" s="216">
        <v>5</v>
      </c>
      <c r="E75" s="217">
        <v>8</v>
      </c>
      <c r="F75" s="217">
        <v>99</v>
      </c>
      <c r="G75" s="217">
        <v>73</v>
      </c>
      <c r="H75" s="246">
        <v>25487.7</v>
      </c>
      <c r="I75" s="246">
        <v>20229.46</v>
      </c>
      <c r="J75" s="220">
        <f t="shared" si="2"/>
      </c>
      <c r="K75" s="220">
        <f t="shared" si="0"/>
      </c>
      <c r="L75" s="221">
        <f t="shared" si="5"/>
      </c>
      <c r="M75" s="222">
        <f t="shared" si="4"/>
      </c>
      <c r="N75" s="223">
        <v>11</v>
      </c>
      <c r="O75" s="225">
        <f t="shared" si="3"/>
      </c>
      <c r="P75" s="215"/>
      <c r="Q75" s="215"/>
    </row>
    <row r="76">
      <c r="A76" s="214">
        <v>46191</v>
      </c>
      <c r="B76" s="215" t="s">
        <v>308</v>
      </c>
      <c r="C76" s="216" t="s">
        <v>292</v>
      </c>
      <c r="D76" s="216">
        <v>2</v>
      </c>
      <c r="E76" s="217">
        <v>5</v>
      </c>
      <c r="F76" s="217">
        <v>27</v>
      </c>
      <c r="G76" s="217">
        <v>19</v>
      </c>
      <c r="H76" s="218">
        <v>6522.8</v>
      </c>
      <c r="I76" s="216">
        <f>4404.96+0.04</f>
      </c>
      <c r="J76" s="220">
        <f t="shared" si="2"/>
      </c>
      <c r="K76" s="220">
        <f t="shared" si="0"/>
      </c>
      <c r="L76" s="221">
        <f t="shared" si="5"/>
      </c>
      <c r="M76" s="222">
        <f t="shared" si="4"/>
      </c>
      <c r="N76" s="223">
        <v>2</v>
      </c>
      <c r="O76" s="225">
        <f t="shared" si="3"/>
      </c>
      <c r="P76" s="215" t="s">
        <v>295</v>
      </c>
      <c r="Q76" s="215">
        <v>4</v>
      </c>
    </row>
    <row r="77">
      <c r="A77" s="230">
        <v>46191</v>
      </c>
      <c r="B77" s="231" t="s">
        <v>285</v>
      </c>
      <c r="C77" s="232"/>
      <c r="D77" s="232">
        <f>SUM(D74:D76)</f>
      </c>
      <c r="E77" s="232">
        <f>SUM(E74:E76)</f>
      </c>
      <c r="F77" s="232">
        <f>SUM(F74:F76)</f>
      </c>
      <c r="G77" s="232">
        <f>SUM(G74:G76)</f>
      </c>
      <c r="H77" s="233">
        <f>SUM(H74:H76)</f>
      </c>
      <c r="I77" s="234">
        <f>SUM(I74:I76)</f>
      </c>
      <c r="J77" s="235">
        <f t="shared" si="2"/>
      </c>
      <c r="K77" s="236">
        <f t="shared" si="0"/>
      </c>
      <c r="L77" s="236">
        <f t="shared" si="5"/>
      </c>
      <c r="M77" s="237">
        <f t="shared" si="4"/>
      </c>
      <c r="N77" s="234">
        <f>SUM(N74:N76)</f>
      </c>
      <c r="O77" s="237">
        <f t="shared" si="3"/>
      </c>
      <c r="P77" s="238"/>
      <c r="Q77" s="239">
        <f>SUM(Q74:Q76)</f>
      </c>
    </row>
    <row r="78">
      <c r="A78" s="214">
        <v>46192</v>
      </c>
      <c r="B78" s="215" t="s">
        <v>282</v>
      </c>
      <c r="C78" s="216" t="s">
        <v>276</v>
      </c>
      <c r="D78" s="216">
        <v>4</v>
      </c>
      <c r="E78" s="217">
        <v>6</v>
      </c>
      <c r="F78" s="217">
        <v>34</v>
      </c>
      <c r="G78" s="217">
        <v>21</v>
      </c>
      <c r="H78" s="216">
        <v>6848</v>
      </c>
      <c r="I78" s="216">
        <v>8357.39</v>
      </c>
      <c r="J78" s="219">
        <f t="shared" si="2"/>
      </c>
      <c r="K78" s="220">
        <f t="shared" si="0"/>
      </c>
      <c r="L78" s="221">
        <f t="shared" si="5"/>
      </c>
      <c r="M78" s="222">
        <f t="shared" si="4"/>
      </c>
      <c r="N78" s="223">
        <v>4</v>
      </c>
      <c r="O78" s="222">
        <f t="shared" si="3"/>
      </c>
      <c r="P78" s="224" t="s">
        <v>307</v>
      </c>
      <c r="Q78" s="224">
        <v>4</v>
      </c>
    </row>
    <row r="79">
      <c r="A79" s="214">
        <v>46192</v>
      </c>
      <c r="B79" s="215" t="s">
        <v>308</v>
      </c>
      <c r="C79" s="216" t="s">
        <v>288</v>
      </c>
      <c r="D79" s="216">
        <v>3</v>
      </c>
      <c r="E79" s="217">
        <v>3</v>
      </c>
      <c r="F79" s="217">
        <v>50</v>
      </c>
      <c r="G79" s="217">
        <v>35</v>
      </c>
      <c r="H79" s="246">
        <v>11736</v>
      </c>
      <c r="I79" s="246">
        <v>6603.87</v>
      </c>
      <c r="J79" s="220">
        <f t="shared" si="2"/>
      </c>
      <c r="K79" s="220">
        <f t="shared" si="0"/>
      </c>
      <c r="L79" s="221">
        <f t="shared" si="5"/>
      </c>
      <c r="M79" s="222">
        <f t="shared" si="4"/>
      </c>
      <c r="N79" s="223">
        <v>4</v>
      </c>
      <c r="O79" s="225">
        <f t="shared" si="3"/>
      </c>
      <c r="P79" s="215" t="s">
        <v>300</v>
      </c>
      <c r="Q79" s="215">
        <v>4</v>
      </c>
    </row>
    <row r="80">
      <c r="A80" s="214">
        <v>46192</v>
      </c>
      <c r="B80" s="215" t="s">
        <v>275</v>
      </c>
      <c r="C80" s="216" t="s">
        <v>306</v>
      </c>
      <c r="D80" s="216">
        <v>5</v>
      </c>
      <c r="E80" s="217">
        <v>12</v>
      </c>
      <c r="F80" s="217">
        <v>89</v>
      </c>
      <c r="G80" s="217">
        <v>64</v>
      </c>
      <c r="H80" s="218">
        <v>21749.8</v>
      </c>
      <c r="I80" s="216">
        <v>20327.48</v>
      </c>
      <c r="J80" s="220">
        <f t="shared" si="2"/>
      </c>
      <c r="K80" s="220">
        <f t="shared" si="0"/>
      </c>
      <c r="L80" s="221">
        <f t="shared" si="5"/>
      </c>
      <c r="M80" s="222">
        <f t="shared" si="4"/>
      </c>
      <c r="N80" s="223">
        <v>8</v>
      </c>
      <c r="O80" s="225">
        <f t="shared" si="3"/>
      </c>
      <c r="P80" s="215" t="s">
        <v>295</v>
      </c>
      <c r="Q80" s="215">
        <v>4</v>
      </c>
    </row>
    <row r="81">
      <c r="A81" s="230">
        <v>46192</v>
      </c>
      <c r="B81" s="231" t="s">
        <v>285</v>
      </c>
      <c r="C81" s="232"/>
      <c r="D81" s="232">
        <f>SUM(D78:D80)</f>
      </c>
      <c r="E81" s="232">
        <f>SUM(E78:E80)</f>
      </c>
      <c r="F81" s="232">
        <f>SUM(F78:F80)</f>
      </c>
      <c r="G81" s="232">
        <f>SUM(G78:G80)</f>
      </c>
      <c r="H81" s="233">
        <f>SUM(H78:H80)</f>
      </c>
      <c r="I81" s="234">
        <f>SUM(I78:I80)</f>
      </c>
      <c r="J81" s="235">
        <f t="shared" si="2"/>
      </c>
      <c r="K81" s="236">
        <f t="shared" si="0"/>
      </c>
      <c r="L81" s="236">
        <f t="shared" si="5"/>
      </c>
      <c r="M81" s="237">
        <f t="shared" si="4"/>
      </c>
      <c r="N81" s="234">
        <f>SUM(N78:N80)</f>
      </c>
      <c r="O81" s="237">
        <f t="shared" si="3"/>
      </c>
      <c r="P81" s="238"/>
      <c r="Q81" s="239">
        <f>SUM(Q78:Q80)</f>
      </c>
    </row>
    <row r="82">
      <c r="A82" s="214">
        <v>46193</v>
      </c>
      <c r="B82" s="215" t="s">
        <v>275</v>
      </c>
      <c r="C82" s="216" t="s">
        <v>298</v>
      </c>
      <c r="D82" s="216">
        <v>5</v>
      </c>
      <c r="E82" s="217">
        <v>20</v>
      </c>
      <c r="F82" s="217">
        <v>100</v>
      </c>
      <c r="G82" s="217">
        <v>66</v>
      </c>
      <c r="H82" s="216">
        <v>22042.6</v>
      </c>
      <c r="I82" s="216">
        <v>18210.83</v>
      </c>
      <c r="J82" s="219">
        <f t="shared" si="2"/>
      </c>
      <c r="K82" s="220">
        <f t="shared" si="0"/>
      </c>
      <c r="L82" s="221">
        <f t="shared" si="5"/>
      </c>
      <c r="M82" s="222">
        <f t="shared" si="4"/>
      </c>
      <c r="N82" s="223">
        <v>16</v>
      </c>
      <c r="O82" s="222">
        <f t="shared" si="3"/>
      </c>
      <c r="P82" s="224" t="s">
        <v>307</v>
      </c>
      <c r="Q82" s="224">
        <v>4</v>
      </c>
    </row>
    <row r="83">
      <c r="A83" s="214">
        <v>46193</v>
      </c>
      <c r="B83" s="215" t="s">
        <v>282</v>
      </c>
      <c r="C83" s="216" t="s">
        <v>309</v>
      </c>
      <c r="D83" s="216">
        <v>4</v>
      </c>
      <c r="E83" s="217">
        <v>7</v>
      </c>
      <c r="F83" s="217">
        <v>63</v>
      </c>
      <c r="G83" s="217">
        <v>44</v>
      </c>
      <c r="H83" s="246">
        <v>16868.6</v>
      </c>
      <c r="I83" s="246">
        <v>13384.03</v>
      </c>
      <c r="J83" s="220">
        <f t="shared" si="2"/>
      </c>
      <c r="K83" s="220">
        <f t="shared" si="0"/>
      </c>
      <c r="L83" s="221">
        <f t="shared" si="5"/>
      </c>
      <c r="M83" s="222">
        <f t="shared" si="4"/>
      </c>
      <c r="N83" s="223">
        <v>7</v>
      </c>
      <c r="O83" s="225">
        <f t="shared" si="3"/>
      </c>
      <c r="P83" s="215" t="s">
        <v>300</v>
      </c>
      <c r="Q83" s="215">
        <v>4</v>
      </c>
    </row>
    <row r="84">
      <c r="A84" s="214">
        <v>46193</v>
      </c>
      <c r="B84" s="215" t="s">
        <v>308</v>
      </c>
      <c r="C84" s="216" t="s">
        <v>305</v>
      </c>
      <c r="D84" s="216">
        <v>3</v>
      </c>
      <c r="E84" s="217">
        <v>1</v>
      </c>
      <c r="F84" s="217">
        <v>29</v>
      </c>
      <c r="G84" s="217">
        <v>22</v>
      </c>
      <c r="H84" s="218">
        <v>7730.8</v>
      </c>
      <c r="I84" s="246">
        <v>6958.349999999999</v>
      </c>
      <c r="J84" s="220">
        <f t="shared" si="2"/>
      </c>
      <c r="K84" s="220">
        <f t="shared" si="0"/>
      </c>
      <c r="L84" s="221">
        <f t="shared" si="5"/>
      </c>
      <c r="M84" s="222">
        <f t="shared" si="4"/>
      </c>
      <c r="N84" s="223">
        <v>2</v>
      </c>
      <c r="O84" s="225">
        <f t="shared" si="3"/>
      </c>
      <c r="P84" s="215" t="s">
        <v>295</v>
      </c>
      <c r="Q84" s="215">
        <v>4</v>
      </c>
    </row>
    <row r="85">
      <c r="A85" s="230">
        <v>46193</v>
      </c>
      <c r="B85" s="231" t="s">
        <v>285</v>
      </c>
      <c r="C85" s="232"/>
      <c r="D85" s="232">
        <f>SUM(D82:D84)</f>
      </c>
      <c r="E85" s="232">
        <f>SUM(E82:E84)</f>
      </c>
      <c r="F85" s="232">
        <f>SUM(F82:F84)</f>
      </c>
      <c r="G85" s="232">
        <f>SUM(G82:G84)</f>
      </c>
      <c r="H85" s="233">
        <f>SUM(H82:H84)</f>
      </c>
      <c r="I85" s="234">
        <f>SUM(I82:I84)</f>
      </c>
      <c r="J85" s="235">
        <f t="shared" si="2"/>
      </c>
      <c r="K85" s="236">
        <f t="shared" si="0"/>
      </c>
      <c r="L85" s="236">
        <f t="shared" si="5"/>
      </c>
      <c r="M85" s="237">
        <f t="shared" si="4"/>
      </c>
      <c r="N85" s="234">
        <f>SUM(N82:N84)</f>
      </c>
      <c r="O85" s="237">
        <f t="shared" si="3"/>
      </c>
      <c r="P85" s="238"/>
      <c r="Q85" s="239">
        <f>SUM(Q82:Q84)</f>
      </c>
    </row>
    <row r="86">
      <c r="A86" s="214">
        <v>46194</v>
      </c>
      <c r="B86" s="215" t="s">
        <v>282</v>
      </c>
      <c r="C86" s="216" t="s">
        <v>298</v>
      </c>
      <c r="D86" s="216">
        <v>5</v>
      </c>
      <c r="E86" s="217">
        <v>15</v>
      </c>
      <c r="F86" s="217">
        <v>107</v>
      </c>
      <c r="G86" s="217">
        <v>75</v>
      </c>
      <c r="H86" s="216">
        <v>27654.8</v>
      </c>
      <c r="I86" s="216">
        <v>19995.15</v>
      </c>
      <c r="J86" s="219">
        <f t="shared" si="2"/>
      </c>
      <c r="K86" s="220">
        <f t="shared" si="0"/>
      </c>
      <c r="L86" s="221">
        <f t="shared" si="5"/>
      </c>
      <c r="M86" s="222">
        <f t="shared" si="4"/>
      </c>
      <c r="N86" s="223">
        <v>13</v>
      </c>
      <c r="O86" s="222">
        <f t="shared" si="3"/>
      </c>
      <c r="P86" s="215" t="s">
        <v>302</v>
      </c>
      <c r="Q86" s="215">
        <v>12</v>
      </c>
    </row>
    <row r="87">
      <c r="A87" s="214">
        <v>46194</v>
      </c>
      <c r="B87" s="215" t="s">
        <v>291</v>
      </c>
      <c r="C87" s="216" t="s">
        <v>309</v>
      </c>
      <c r="D87" s="216">
        <v>4</v>
      </c>
      <c r="E87" s="217">
        <v>8</v>
      </c>
      <c r="F87" s="217">
        <v>69</v>
      </c>
      <c r="G87" s="217">
        <v>47</v>
      </c>
      <c r="H87" s="246">
        <v>18631.8</v>
      </c>
      <c r="I87" s="246">
        <v>13425.08</v>
      </c>
      <c r="J87" s="220">
        <f t="shared" si="2"/>
      </c>
      <c r="K87" s="220">
        <f t="shared" si="0"/>
      </c>
      <c r="L87" s="221">
        <f t="shared" si="5"/>
      </c>
      <c r="M87" s="222">
        <f t="shared" si="4"/>
      </c>
      <c r="N87" s="223">
        <v>7</v>
      </c>
      <c r="O87" s="225">
        <f t="shared" si="3"/>
      </c>
      <c r="P87" s="215"/>
      <c r="Q87" s="215"/>
    </row>
    <row r="88">
      <c r="A88" s="214">
        <v>46194</v>
      </c>
      <c r="B88" s="215" t="s">
        <v>308</v>
      </c>
      <c r="C88" s="216" t="s">
        <v>305</v>
      </c>
      <c r="D88" s="216">
        <v>3</v>
      </c>
      <c r="E88" s="217">
        <v>2</v>
      </c>
      <c r="F88" s="217">
        <v>14</v>
      </c>
      <c r="G88" s="217">
        <v>11</v>
      </c>
      <c r="H88" s="218">
        <v>3633.2</v>
      </c>
      <c r="I88" s="246">
        <v>6492.550000000001</v>
      </c>
      <c r="J88" s="220">
        <f t="shared" si="2"/>
      </c>
      <c r="K88" s="220">
        <f t="shared" si="0"/>
      </c>
      <c r="L88" s="221">
        <f t="shared" si="5"/>
      </c>
      <c r="M88" s="222">
        <f t="shared" si="4"/>
      </c>
      <c r="N88" s="223">
        <v>0</v>
      </c>
      <c r="O88" s="225">
        <f t="shared" si="3"/>
      </c>
      <c r="P88" s="215"/>
      <c r="Q88" s="215"/>
    </row>
    <row r="89">
      <c r="A89" s="230">
        <v>46194</v>
      </c>
      <c r="B89" s="231" t="s">
        <v>285</v>
      </c>
      <c r="C89" s="232"/>
      <c r="D89" s="232">
        <f>SUM(D86:D88)</f>
      </c>
      <c r="E89" s="232">
        <f>SUM(E86:E88)</f>
      </c>
      <c r="F89" s="232">
        <f>SUM(F86:F88)</f>
      </c>
      <c r="G89" s="232">
        <f>SUM(G86:G88)</f>
      </c>
      <c r="H89" s="233">
        <f>SUM(H86:H88)</f>
      </c>
      <c r="I89" s="234">
        <f>SUM(I86:I88)</f>
      </c>
      <c r="J89" s="235">
        <f t="shared" si="2"/>
      </c>
      <c r="K89" s="236">
        <f t="shared" si="0"/>
      </c>
      <c r="L89" s="236">
        <f t="shared" si="5"/>
      </c>
      <c r="M89" s="237">
        <f t="shared" si="4"/>
      </c>
      <c r="N89" s="234">
        <f>SUM(N86:N88)</f>
      </c>
      <c r="O89" s="237">
        <f t="shared" si="3"/>
      </c>
      <c r="P89" s="238"/>
      <c r="Q89" s="239">
        <f>SUM(Q86:Q88)</f>
      </c>
    </row>
    <row r="90">
      <c r="A90" s="214">
        <v>46195</v>
      </c>
      <c r="B90" s="215" t="s">
        <v>282</v>
      </c>
      <c r="C90" s="216" t="s">
        <v>298</v>
      </c>
      <c r="D90" s="216">
        <v>5</v>
      </c>
      <c r="E90" s="217">
        <v>16</v>
      </c>
      <c r="F90" s="217">
        <v>76</v>
      </c>
      <c r="G90" s="217">
        <v>53</v>
      </c>
      <c r="H90" s="216">
        <v>16329.8</v>
      </c>
      <c r="I90" s="216">
        <v>15860.630000000001</v>
      </c>
      <c r="J90" s="219">
        <f t="shared" si="2"/>
      </c>
      <c r="K90" s="220">
        <f t="shared" si="0"/>
      </c>
      <c r="L90" s="221">
        <f t="shared" si="5"/>
      </c>
      <c r="M90" s="222">
        <f t="shared" si="4"/>
      </c>
      <c r="N90" s="223">
        <v>8</v>
      </c>
      <c r="O90" s="222">
        <f t="shared" si="3"/>
      </c>
      <c r="P90" s="215" t="s">
        <v>310</v>
      </c>
      <c r="Q90" s="215">
        <v>7</v>
      </c>
    </row>
    <row r="91">
      <c r="A91" s="214">
        <v>46195</v>
      </c>
      <c r="B91" s="215" t="s">
        <v>291</v>
      </c>
      <c r="C91" s="216" t="s">
        <v>309</v>
      </c>
      <c r="D91" s="216">
        <v>4</v>
      </c>
      <c r="E91" s="217">
        <v>6</v>
      </c>
      <c r="F91" s="217">
        <v>64</v>
      </c>
      <c r="G91" s="217">
        <v>43</v>
      </c>
      <c r="H91" s="216">
        <v>12408.8</v>
      </c>
      <c r="I91" s="216">
        <v>12571.54</v>
      </c>
      <c r="J91" s="220">
        <f t="shared" si="2"/>
      </c>
      <c r="K91" s="220">
        <f t="shared" si="0"/>
      </c>
      <c r="L91" s="221">
        <f t="shared" si="5"/>
      </c>
      <c r="M91" s="222">
        <f t="shared" si="4"/>
      </c>
      <c r="N91" s="223">
        <v>3</v>
      </c>
      <c r="O91" s="225">
        <f t="shared" si="3"/>
      </c>
      <c r="P91" s="215" t="s">
        <v>311</v>
      </c>
      <c r="Q91" s="215">
        <v>1</v>
      </c>
    </row>
    <row r="92">
      <c r="A92" s="214">
        <v>46195</v>
      </c>
      <c r="B92" s="215" t="s">
        <v>308</v>
      </c>
      <c r="C92" s="216" t="s">
        <v>305</v>
      </c>
      <c r="D92" s="216">
        <v>3</v>
      </c>
      <c r="E92" s="217">
        <v>11</v>
      </c>
      <c r="F92" s="217">
        <v>56</v>
      </c>
      <c r="G92" s="217">
        <v>45</v>
      </c>
      <c r="H92" s="218">
        <v>14780.5</v>
      </c>
      <c r="I92" s="246">
        <v>10819.29</v>
      </c>
      <c r="J92" s="220">
        <f t="shared" si="2"/>
      </c>
      <c r="K92" s="220">
        <f t="shared" si="0"/>
      </c>
      <c r="L92" s="221">
        <f t="shared" si="5"/>
      </c>
      <c r="M92" s="222">
        <f t="shared" si="4"/>
      </c>
      <c r="N92" s="223">
        <v>8</v>
      </c>
      <c r="O92" s="225">
        <f t="shared" si="3"/>
      </c>
      <c r="P92" s="215" t="s">
        <v>312</v>
      </c>
      <c r="Q92" s="215">
        <v>4</v>
      </c>
    </row>
    <row r="93">
      <c r="A93" s="230">
        <v>46195</v>
      </c>
      <c r="B93" s="231" t="s">
        <v>285</v>
      </c>
      <c r="C93" s="232"/>
      <c r="D93" s="232">
        <f>SUM(D90:D92)</f>
      </c>
      <c r="E93" s="232">
        <f>SUM(E90:E92)</f>
      </c>
      <c r="F93" s="232">
        <f>SUM(F90:F92)</f>
      </c>
      <c r="G93" s="232">
        <f>SUM(G90:G92)</f>
      </c>
      <c r="H93" s="233">
        <f>SUM(H90:H92)</f>
      </c>
      <c r="I93" s="234">
        <f>SUM(I90:I92)</f>
      </c>
      <c r="J93" s="235">
        <f t="shared" si="2"/>
      </c>
      <c r="K93" s="236">
        <f t="shared" si="0"/>
      </c>
      <c r="L93" s="236">
        <f t="shared" si="5"/>
      </c>
      <c r="M93" s="237">
        <f t="shared" si="4"/>
      </c>
      <c r="N93" s="234">
        <f>SUM(N90:N92)</f>
      </c>
      <c r="O93" s="237">
        <f t="shared" si="3"/>
      </c>
      <c r="P93" s="238"/>
      <c r="Q93" s="239">
        <f>SUM(Q90:Q92)</f>
      </c>
    </row>
    <row r="94">
      <c r="A94" s="214">
        <v>46196</v>
      </c>
      <c r="B94" s="215" t="s">
        <v>282</v>
      </c>
      <c r="C94" s="216" t="s">
        <v>298</v>
      </c>
      <c r="D94" s="216">
        <v>5</v>
      </c>
      <c r="E94" s="217">
        <v>9</v>
      </c>
      <c r="F94" s="217">
        <v>67</v>
      </c>
      <c r="G94" s="217">
        <v>51</v>
      </c>
      <c r="H94" s="216">
        <v>15935.7</v>
      </c>
      <c r="I94" s="216">
        <v>15479.439999999999</v>
      </c>
      <c r="J94" s="219">
        <f t="shared" si="2"/>
      </c>
      <c r="K94" s="220">
        <f t="shared" si="0"/>
      </c>
      <c r="L94" s="221">
        <f t="shared" si="5"/>
      </c>
      <c r="M94" s="222">
        <f t="shared" si="4"/>
      </c>
      <c r="N94" s="223">
        <v>11</v>
      </c>
      <c r="O94" s="222">
        <f t="shared" si="3"/>
      </c>
      <c r="P94" s="215" t="s">
        <v>310</v>
      </c>
      <c r="Q94" s="215">
        <v>7</v>
      </c>
    </row>
    <row r="95">
      <c r="A95" s="214">
        <v>46196</v>
      </c>
      <c r="B95" s="215" t="s">
        <v>275</v>
      </c>
      <c r="C95" s="216" t="s">
        <v>299</v>
      </c>
      <c r="D95" s="216">
        <v>5</v>
      </c>
      <c r="E95" s="217">
        <v>5</v>
      </c>
      <c r="F95" s="217">
        <v>55</v>
      </c>
      <c r="G95" s="217">
        <v>36</v>
      </c>
      <c r="H95" s="216">
        <v>12103.599999999999</v>
      </c>
      <c r="I95" s="216">
        <v>11192.769999999997</v>
      </c>
      <c r="J95" s="220">
        <f t="shared" si="2"/>
      </c>
      <c r="K95" s="220">
        <f t="shared" si="0"/>
      </c>
      <c r="L95" s="221">
        <f t="shared" si="5"/>
      </c>
      <c r="M95" s="222">
        <f t="shared" si="4"/>
      </c>
      <c r="N95" s="223">
        <v>7</v>
      </c>
      <c r="O95" s="225">
        <f t="shared" si="3"/>
      </c>
      <c r="P95" s="215" t="s">
        <v>311</v>
      </c>
      <c r="Q95" s="215">
        <v>1</v>
      </c>
    </row>
    <row r="96">
      <c r="A96" s="214">
        <v>46196</v>
      </c>
      <c r="B96" s="215" t="s">
        <v>291</v>
      </c>
      <c r="C96" s="216" t="s">
        <v>313</v>
      </c>
      <c r="D96" s="216">
        <v>5</v>
      </c>
      <c r="E96" s="217">
        <v>10</v>
      </c>
      <c r="F96" s="217">
        <v>81</v>
      </c>
      <c r="G96" s="217">
        <v>65</v>
      </c>
      <c r="H96" s="218">
        <v>19046.399999999998</v>
      </c>
      <c r="I96" s="246">
        <v>13780.36</v>
      </c>
      <c r="J96" s="220">
        <f t="shared" si="2"/>
      </c>
      <c r="K96" s="220">
        <f t="shared" si="0"/>
      </c>
      <c r="L96" s="221">
        <f t="shared" si="5"/>
      </c>
      <c r="M96" s="222">
        <f t="shared" si="4"/>
      </c>
      <c r="N96" s="223">
        <v>13</v>
      </c>
      <c r="O96" s="225">
        <f t="shared" si="3"/>
      </c>
      <c r="P96" s="215" t="s">
        <v>312</v>
      </c>
      <c r="Q96" s="215">
        <v>7</v>
      </c>
    </row>
    <row r="97">
      <c r="A97" s="230">
        <v>46196</v>
      </c>
      <c r="B97" s="231" t="s">
        <v>285</v>
      </c>
      <c r="C97" s="232"/>
      <c r="D97" s="232">
        <f>SUM(D94:D96)</f>
      </c>
      <c r="E97" s="232">
        <f>SUM(E94:E96)</f>
      </c>
      <c r="F97" s="232">
        <f>SUM(F94:F96)</f>
      </c>
      <c r="G97" s="232">
        <f>SUM(G94:G96)</f>
      </c>
      <c r="H97" s="233">
        <f>SUM(H94:H96)</f>
      </c>
      <c r="I97" s="234">
        <f>SUM(I94:I96)</f>
      </c>
      <c r="J97" s="235">
        <f t="shared" si="2"/>
      </c>
      <c r="K97" s="236">
        <f t="shared" si="0"/>
      </c>
      <c r="L97" s="236">
        <f t="shared" si="5"/>
      </c>
      <c r="M97" s="237">
        <f t="shared" si="4"/>
      </c>
      <c r="N97" s="234">
        <f>SUM(N94:N96)</f>
      </c>
      <c r="O97" s="237">
        <f t="shared" si="3"/>
      </c>
      <c r="P97" s="238"/>
      <c r="Q97" s="239">
        <f>SUM(Q94:Q96)</f>
      </c>
    </row>
    <row customHeight="true" ht="16.071428571428573" r="98">
      <c r="A98" s="214">
        <v>46197</v>
      </c>
      <c r="B98" s="215" t="s">
        <v>275</v>
      </c>
      <c r="C98" s="216" t="s">
        <v>276</v>
      </c>
      <c r="D98" s="216">
        <v>4</v>
      </c>
      <c r="E98" s="217">
        <v>4</v>
      </c>
      <c r="F98" s="217">
        <v>63</v>
      </c>
      <c r="G98" s="217">
        <v>50</v>
      </c>
      <c r="H98" s="216">
        <v>20604.4</v>
      </c>
      <c r="I98" s="216">
        <v>13416.08</v>
      </c>
      <c r="J98" s="219">
        <f t="shared" si="2"/>
      </c>
      <c r="K98" s="220">
        <f t="shared" si="0"/>
      </c>
      <c r="L98" s="221">
        <f t="shared" si="5"/>
      </c>
      <c r="M98" s="222">
        <f t="shared" si="4"/>
      </c>
      <c r="N98" s="223">
        <v>9</v>
      </c>
      <c r="O98" s="222">
        <f t="shared" si="3"/>
      </c>
      <c r="P98" s="215" t="s">
        <v>307</v>
      </c>
      <c r="Q98" s="215">
        <v>8</v>
      </c>
    </row>
    <row customHeight="true" ht="16.071428571428573" r="99">
      <c r="A99" s="214">
        <v>46197</v>
      </c>
      <c r="B99" s="215" t="s">
        <v>308</v>
      </c>
      <c r="C99" s="216" t="s">
        <v>279</v>
      </c>
      <c r="D99" s="216">
        <v>4</v>
      </c>
      <c r="E99" s="217">
        <v>6</v>
      </c>
      <c r="F99" s="217">
        <v>46</v>
      </c>
      <c r="G99" s="217">
        <v>30</v>
      </c>
      <c r="H99" s="216">
        <v>9598.8</v>
      </c>
      <c r="I99" s="216">
        <v>11155.93</v>
      </c>
      <c r="J99" s="220">
        <f t="shared" si="2"/>
      </c>
      <c r="K99" s="220">
        <f t="shared" si="0"/>
      </c>
      <c r="L99" s="221">
        <f t="shared" si="5"/>
      </c>
      <c r="M99" s="222">
        <f t="shared" si="4"/>
      </c>
      <c r="N99" s="223">
        <v>1</v>
      </c>
      <c r="O99" s="225">
        <f t="shared" si="3"/>
      </c>
      <c r="P99" s="215"/>
      <c r="Q99" s="215"/>
    </row>
    <row customHeight="true" ht="16.071428571428573" r="100">
      <c r="A100" s="214">
        <v>46197</v>
      </c>
      <c r="B100" s="215" t="s">
        <v>291</v>
      </c>
      <c r="C100" s="216" t="s">
        <v>314</v>
      </c>
      <c r="D100" s="216">
        <v>3</v>
      </c>
      <c r="E100" s="217">
        <v>3</v>
      </c>
      <c r="F100" s="217">
        <v>47</v>
      </c>
      <c r="G100" s="217">
        <v>29</v>
      </c>
      <c r="H100" s="216">
        <v>9857.999999999996</v>
      </c>
      <c r="I100" s="216">
        <v>9881.519999999997</v>
      </c>
      <c r="J100" s="220">
        <f t="shared" si="2"/>
      </c>
      <c r="K100" s="220">
        <f t="shared" si="0"/>
      </c>
      <c r="L100" s="221">
        <f t="shared" si="5"/>
      </c>
      <c r="M100" s="222">
        <f t="shared" si="4"/>
      </c>
      <c r="N100" s="223">
        <v>4</v>
      </c>
      <c r="O100" s="225">
        <f t="shared" si="3"/>
      </c>
      <c r="P100" s="215" t="s">
        <v>295</v>
      </c>
      <c r="Q100" s="215">
        <v>1</v>
      </c>
    </row>
    <row customHeight="true" ht="16.071428571428573" r="101">
      <c r="A101" s="214">
        <v>46197</v>
      </c>
      <c r="B101" s="215" t="s">
        <v>282</v>
      </c>
      <c r="C101" s="216" t="s">
        <v>315</v>
      </c>
      <c r="D101" s="216">
        <v>4</v>
      </c>
      <c r="E101" s="217">
        <v>10</v>
      </c>
      <c r="F101" s="217">
        <v>52</v>
      </c>
      <c r="G101" s="217">
        <v>43</v>
      </c>
      <c r="H101" s="218">
        <v>18190.9</v>
      </c>
      <c r="I101" s="246">
        <v>10127.73</v>
      </c>
      <c r="J101" s="220">
        <f t="shared" si="2"/>
      </c>
      <c r="K101" s="220">
        <f t="shared" si="0"/>
      </c>
      <c r="L101" s="221">
        <f t="shared" si="5"/>
      </c>
      <c r="M101" s="222">
        <f t="shared" si="4"/>
      </c>
      <c r="N101" s="223">
        <v>9</v>
      </c>
      <c r="O101" s="225">
        <f t="shared" si="3"/>
      </c>
      <c r="P101" s="215" t="s">
        <v>312</v>
      </c>
      <c r="Q101" s="215">
        <v>6</v>
      </c>
    </row>
    <row customHeight="true" ht="16.071428571428573" r="102">
      <c r="A102" s="230">
        <v>46197</v>
      </c>
      <c r="B102" s="231" t="s">
        <v>285</v>
      </c>
      <c r="C102" s="232"/>
      <c r="D102" s="232">
        <f>SUM(D98:D101)</f>
      </c>
      <c r="E102" s="232">
        <f>SUM(E98:E101)</f>
      </c>
      <c r="F102" s="232">
        <f>SUM(F98:F101)</f>
      </c>
      <c r="G102" s="232">
        <f>SUM(G98:G101)</f>
      </c>
      <c r="H102" s="232">
        <f>SUM(H98:H101)</f>
      </c>
      <c r="I102" s="232">
        <f>SUM(I98:I101)</f>
      </c>
      <c r="J102" s="235">
        <f t="shared" si="2"/>
      </c>
      <c r="K102" s="236">
        <f t="shared" si="0"/>
      </c>
      <c r="L102" s="236">
        <f t="shared" si="5"/>
      </c>
      <c r="M102" s="237">
        <f t="shared" si="4"/>
      </c>
      <c r="N102" s="234">
        <f>SUM(N98:N101)</f>
      </c>
      <c r="O102" s="237">
        <f t="shared" si="3"/>
      </c>
      <c r="P102" s="238"/>
      <c r="Q102" s="239">
        <f>SUM(Q98:Q101)</f>
      </c>
    </row>
    <row customHeight="true" ht="16.071428571428573" r="103">
      <c r="A103" s="214">
        <v>46198</v>
      </c>
      <c r="B103" s="215" t="s">
        <v>275</v>
      </c>
      <c r="C103" s="216" t="s">
        <v>298</v>
      </c>
      <c r="D103" s="216">
        <v>5</v>
      </c>
      <c r="E103" s="217">
        <v>18</v>
      </c>
      <c r="F103" s="217">
        <v>122</v>
      </c>
      <c r="G103" s="217">
        <v>87</v>
      </c>
      <c r="H103" s="216">
        <v>28536.8</v>
      </c>
      <c r="I103" s="216">
        <v>20877.34</v>
      </c>
      <c r="J103" s="219">
        <f t="shared" si="2"/>
      </c>
      <c r="K103" s="220">
        <f t="shared" si="0"/>
      </c>
      <c r="L103" s="221">
        <f t="shared" si="5"/>
      </c>
      <c r="M103" s="222">
        <f t="shared" si="4"/>
      </c>
      <c r="N103" s="223">
        <v>15</v>
      </c>
      <c r="O103" s="222">
        <f t="shared" si="3"/>
      </c>
      <c r="P103" s="215" t="s">
        <v>307</v>
      </c>
      <c r="Q103" s="215">
        <v>8</v>
      </c>
    </row>
    <row customHeight="true" ht="16.071428571428573" r="104">
      <c r="A104" s="214">
        <v>46198</v>
      </c>
      <c r="B104" s="215" t="s">
        <v>291</v>
      </c>
      <c r="C104" s="216" t="s">
        <v>309</v>
      </c>
      <c r="D104" s="216">
        <v>4</v>
      </c>
      <c r="E104" s="217">
        <v>17</v>
      </c>
      <c r="F104" s="217">
        <v>89</v>
      </c>
      <c r="G104" s="217">
        <v>63</v>
      </c>
      <c r="H104" s="216">
        <v>18971.7</v>
      </c>
      <c r="I104" s="216">
        <v>18526.59</v>
      </c>
      <c r="J104" s="220">
        <f t="shared" si="2"/>
      </c>
      <c r="K104" s="220">
        <f t="shared" si="0"/>
      </c>
      <c r="L104" s="221">
        <f t="shared" si="5"/>
      </c>
      <c r="M104" s="222">
        <f t="shared" si="4"/>
      </c>
      <c r="N104" s="223">
        <v>8</v>
      </c>
      <c r="O104" s="225">
        <f t="shared" si="3"/>
      </c>
      <c r="P104" s="215"/>
      <c r="Q104" s="215"/>
    </row>
    <row customHeight="true" ht="16.071428571428573" r="105">
      <c r="A105" s="214">
        <v>46198</v>
      </c>
      <c r="B105" s="215" t="s">
        <v>316</v>
      </c>
      <c r="C105" s="216" t="s">
        <v>317</v>
      </c>
      <c r="D105" s="216">
        <v>2</v>
      </c>
      <c r="E105" s="217">
        <v>4</v>
      </c>
      <c r="F105" s="217">
        <v>49</v>
      </c>
      <c r="G105" s="217">
        <v>32</v>
      </c>
      <c r="H105" s="216">
        <v>10038.4</v>
      </c>
      <c r="I105" s="216">
        <v>11056.1</v>
      </c>
      <c r="J105" s="220">
        <f t="shared" si="2"/>
      </c>
      <c r="K105" s="220">
        <f t="shared" si="0"/>
      </c>
      <c r="L105" s="221">
        <f t="shared" si="5"/>
      </c>
      <c r="M105" s="222">
        <f t="shared" si="4"/>
      </c>
      <c r="N105" s="223">
        <v>2</v>
      </c>
      <c r="O105" s="225">
        <f t="shared" si="3"/>
      </c>
      <c r="P105" s="215" t="s">
        <v>295</v>
      </c>
      <c r="Q105" s="215">
        <v>7</v>
      </c>
    </row>
    <row customHeight="true" ht="16.071428571428573" r="106">
      <c r="A106" s="214">
        <v>46198</v>
      </c>
      <c r="B106" s="215" t="s">
        <v>282</v>
      </c>
      <c r="C106" s="216" t="s">
        <v>315</v>
      </c>
      <c r="D106" s="216">
        <v>4</v>
      </c>
      <c r="E106" s="217">
        <v>16</v>
      </c>
      <c r="F106" s="217">
        <v>125</v>
      </c>
      <c r="G106" s="217">
        <v>98</v>
      </c>
      <c r="H106" s="218">
        <v>28532.7</v>
      </c>
      <c r="I106" s="246">
        <v>26695.14</v>
      </c>
      <c r="J106" s="220">
        <f t="shared" si="2"/>
      </c>
      <c r="K106" s="220">
        <f t="shared" si="0"/>
      </c>
      <c r="L106" s="221">
        <f t="shared" si="5"/>
      </c>
      <c r="M106" s="222">
        <f t="shared" si="4"/>
      </c>
      <c r="N106" s="223">
        <v>15</v>
      </c>
      <c r="O106" s="225">
        <f t="shared" si="3"/>
      </c>
      <c r="P106" s="215"/>
      <c r="Q106" s="215"/>
    </row>
    <row customHeight="true" ht="16.071428571428573" r="107">
      <c r="A107" s="230">
        <v>46198</v>
      </c>
      <c r="B107" s="231" t="s">
        <v>285</v>
      </c>
      <c r="C107" s="232"/>
      <c r="D107" s="232">
        <f>SUM(D103:D106)</f>
      </c>
      <c r="E107" s="232">
        <f>SUM(E103:E106)</f>
      </c>
      <c r="F107" s="232">
        <f>SUM(F103:F106)</f>
      </c>
      <c r="G107" s="232">
        <f>SUM(G103:G106)</f>
      </c>
      <c r="H107" s="232">
        <f>SUM(H103:H106)</f>
      </c>
      <c r="I107" s="232">
        <f>SUM(I103:I106)</f>
      </c>
      <c r="J107" s="235">
        <f t="shared" si="2"/>
      </c>
      <c r="K107" s="236">
        <f t="shared" si="0"/>
      </c>
      <c r="L107" s="236">
        <f t="shared" si="5"/>
      </c>
      <c r="M107" s="237">
        <f t="shared" si="4"/>
      </c>
      <c r="N107" s="234">
        <f>SUM(N103:N106)</f>
      </c>
      <c r="O107" s="237">
        <f t="shared" si="3"/>
      </c>
      <c r="P107" s="238"/>
      <c r="Q107" s="239">
        <f>SUM(Q103:Q106)</f>
      </c>
    </row>
    <row customHeight="true" ht="16.071428571428573" r="108">
      <c r="A108" s="214">
        <v>46199</v>
      </c>
      <c r="B108" s="215" t="s">
        <v>280</v>
      </c>
      <c r="C108" s="216" t="s">
        <v>318</v>
      </c>
      <c r="D108" s="216">
        <v>5</v>
      </c>
      <c r="E108" s="217">
        <v>13</v>
      </c>
      <c r="F108" s="217">
        <v>117</v>
      </c>
      <c r="G108" s="217">
        <v>79</v>
      </c>
      <c r="H108" s="249">
        <v>27830</v>
      </c>
      <c r="I108" s="216">
        <v>22884.36</v>
      </c>
      <c r="J108" s="219">
        <f t="shared" si="2"/>
      </c>
      <c r="K108" s="220">
        <f t="shared" si="0"/>
      </c>
      <c r="L108" s="221">
        <f t="shared" si="5"/>
      </c>
      <c r="M108" s="222">
        <f t="shared" si="4"/>
      </c>
      <c r="N108" s="223">
        <v>16</v>
      </c>
      <c r="O108" s="222">
        <f t="shared" si="3"/>
      </c>
      <c r="P108" s="215" t="s">
        <v>319</v>
      </c>
      <c r="Q108" s="215">
        <v>1</v>
      </c>
    </row>
    <row r="109">
      <c r="A109" s="214">
        <v>46199</v>
      </c>
      <c r="B109" s="215" t="s">
        <v>320</v>
      </c>
      <c r="C109" s="216" t="s">
        <v>321</v>
      </c>
      <c r="D109" s="216">
        <v>2</v>
      </c>
      <c r="E109" s="217">
        <v>5</v>
      </c>
      <c r="F109" s="217">
        <v>25</v>
      </c>
      <c r="G109" s="217">
        <v>19</v>
      </c>
      <c r="H109" s="216">
        <v>6514.2</v>
      </c>
      <c r="I109" s="216">
        <v>7292.37</v>
      </c>
      <c r="J109" s="220">
        <f t="shared" si="2"/>
      </c>
      <c r="K109" s="220">
        <f t="shared" si="0"/>
      </c>
      <c r="L109" s="221">
        <f t="shared" si="5"/>
      </c>
      <c r="M109" s="222">
        <f t="shared" si="4"/>
      </c>
      <c r="N109" s="223">
        <v>3</v>
      </c>
      <c r="O109" s="225">
        <f t="shared" si="3"/>
      </c>
      <c r="P109" s="215" t="s">
        <v>300</v>
      </c>
      <c r="Q109" s="215">
        <v>9</v>
      </c>
    </row>
    <row r="110">
      <c r="A110" s="214">
        <v>46199</v>
      </c>
      <c r="B110" s="215" t="s">
        <v>282</v>
      </c>
      <c r="C110" s="216" t="s">
        <v>309</v>
      </c>
      <c r="D110" s="216">
        <v>4</v>
      </c>
      <c r="E110" s="217">
        <v>11</v>
      </c>
      <c r="F110" s="217">
        <v>59</v>
      </c>
      <c r="G110" s="217">
        <v>48</v>
      </c>
      <c r="H110" s="216">
        <v>18009.100000000006</v>
      </c>
      <c r="I110" s="216">
        <v>13862.840000000007</v>
      </c>
      <c r="J110" s="220">
        <f t="shared" si="2"/>
      </c>
      <c r="K110" s="220">
        <f t="shared" si="0"/>
      </c>
      <c r="L110" s="221">
        <f t="shared" si="5"/>
      </c>
      <c r="M110" s="222">
        <f t="shared" si="4"/>
      </c>
      <c r="N110" s="223">
        <v>5</v>
      </c>
      <c r="O110" s="225">
        <f t="shared" si="3"/>
      </c>
      <c r="P110" s="215"/>
      <c r="Q110" s="215"/>
    </row>
    <row customHeight="true" ht="16.071428571428573" r="111">
      <c r="A111" s="214">
        <v>46199</v>
      </c>
      <c r="B111" s="215" t="s">
        <v>291</v>
      </c>
      <c r="C111" s="216" t="s">
        <v>322</v>
      </c>
      <c r="D111" s="216">
        <v>4</v>
      </c>
      <c r="E111" s="217">
        <v>9</v>
      </c>
      <c r="F111" s="217">
        <v>75</v>
      </c>
      <c r="G111" s="217">
        <v>47</v>
      </c>
      <c r="H111" s="216">
        <v>16295</v>
      </c>
      <c r="I111" s="216">
        <v>19111.269999999997</v>
      </c>
      <c r="J111" s="220">
        <f t="shared" si="2"/>
      </c>
      <c r="K111" s="220">
        <f t="shared" si="0"/>
      </c>
      <c r="L111" s="221">
        <f t="shared" si="5"/>
      </c>
      <c r="M111" s="222">
        <f t="shared" si="4"/>
      </c>
      <c r="N111" s="223">
        <v>8</v>
      </c>
      <c r="O111" s="225">
        <f t="shared" si="3"/>
      </c>
      <c r="P111" s="215"/>
      <c r="Q111" s="215"/>
    </row>
    <row r="112">
      <c r="A112" s="214">
        <v>46199</v>
      </c>
      <c r="B112" s="215" t="s">
        <v>286</v>
      </c>
      <c r="C112" s="216" t="s">
        <v>323</v>
      </c>
      <c r="D112" s="216">
        <v>5</v>
      </c>
      <c r="E112" s="217">
        <v>16</v>
      </c>
      <c r="F112" s="217">
        <v>107</v>
      </c>
      <c r="G112" s="217">
        <v>80</v>
      </c>
      <c r="H112" s="218">
        <v>25224.699999999997</v>
      </c>
      <c r="I112" s="246">
        <v>22902.47</v>
      </c>
      <c r="J112" s="220">
        <f t="shared" si="2"/>
      </c>
      <c r="K112" s="220">
        <f t="shared" si="0"/>
      </c>
      <c r="L112" s="221">
        <f t="shared" si="5"/>
      </c>
      <c r="M112" s="222">
        <f t="shared" si="4"/>
      </c>
      <c r="N112" s="223">
        <v>22</v>
      </c>
      <c r="O112" s="225">
        <f t="shared" si="3"/>
      </c>
      <c r="P112" s="215" t="s">
        <v>307</v>
      </c>
      <c r="Q112" s="215">
        <v>10</v>
      </c>
    </row>
    <row r="113">
      <c r="A113" s="230">
        <v>46199</v>
      </c>
      <c r="B113" s="231" t="s">
        <v>285</v>
      </c>
      <c r="C113" s="232"/>
      <c r="D113" s="232">
        <f>SUM(D108:D112)</f>
      </c>
      <c r="E113" s="232">
        <f>SUM(E108:E112)</f>
      </c>
      <c r="F113" s="232">
        <f>SUM(F108:F112)</f>
      </c>
      <c r="G113" s="232">
        <f>SUM(G108:G112)</f>
      </c>
      <c r="H113" s="232">
        <f>SUM(H108:H112)</f>
      </c>
      <c r="I113" s="232">
        <f>SUM(I108:I112)</f>
      </c>
      <c r="J113" s="235">
        <f t="shared" si="2"/>
      </c>
      <c r="K113" s="236">
        <f t="shared" si="0"/>
      </c>
      <c r="L113" s="236">
        <f t="shared" si="5"/>
      </c>
      <c r="M113" s="237">
        <f t="shared" si="4"/>
      </c>
      <c r="N113" s="234">
        <f>SUM(N108:N112)</f>
      </c>
      <c r="O113" s="237">
        <f t="shared" si="3"/>
      </c>
      <c r="P113" s="238"/>
      <c r="Q113" s="239">
        <f>SUM(Q108:Q112)</f>
      </c>
    </row>
    <row r="114">
      <c r="A114" s="214">
        <v>46200</v>
      </c>
      <c r="B114" s="215" t="s">
        <v>282</v>
      </c>
      <c r="C114" s="216" t="s">
        <v>318</v>
      </c>
      <c r="D114" s="216">
        <v>5</v>
      </c>
      <c r="E114" s="217">
        <v>8</v>
      </c>
      <c r="F114" s="217">
        <v>79</v>
      </c>
      <c r="G114" s="217">
        <v>59</v>
      </c>
      <c r="H114" s="249">
        <v>18953.3</v>
      </c>
      <c r="I114" s="216">
        <v>15972.46</v>
      </c>
      <c r="J114" s="219">
        <f t="shared" si="2"/>
      </c>
      <c r="K114" s="220">
        <f t="shared" si="0"/>
      </c>
      <c r="L114" s="221">
        <f t="shared" si="5"/>
      </c>
      <c r="M114" s="222">
        <f t="shared" si="4"/>
      </c>
      <c r="N114" s="223">
        <v>13</v>
      </c>
      <c r="O114" s="222">
        <f t="shared" si="3"/>
      </c>
      <c r="P114" s="215" t="s">
        <v>295</v>
      </c>
      <c r="Q114" s="215">
        <v>10</v>
      </c>
    </row>
    <row r="115">
      <c r="A115" s="214">
        <v>46200</v>
      </c>
      <c r="B115" s="215" t="s">
        <v>316</v>
      </c>
      <c r="C115" s="216" t="s">
        <v>321</v>
      </c>
      <c r="D115" s="216">
        <v>2</v>
      </c>
      <c r="E115" s="217">
        <v>1</v>
      </c>
      <c r="F115" s="217">
        <v>22</v>
      </c>
      <c r="G115" s="217">
        <v>15</v>
      </c>
      <c r="H115" s="216">
        <v>6977.2</v>
      </c>
      <c r="I115" s="216">
        <v>6557.91</v>
      </c>
      <c r="J115" s="220">
        <f t="shared" si="2"/>
      </c>
      <c r="K115" s="220">
        <f t="shared" si="0"/>
      </c>
      <c r="L115" s="221">
        <f t="shared" si="5"/>
      </c>
      <c r="M115" s="222">
        <f t="shared" si="4"/>
      </c>
      <c r="N115" s="223">
        <v>2</v>
      </c>
      <c r="O115" s="225">
        <f t="shared" si="3"/>
      </c>
      <c r="P115" s="215"/>
      <c r="Q115" s="215"/>
    </row>
    <row r="116">
      <c r="A116" s="214">
        <v>46200</v>
      </c>
      <c r="B116" s="215" t="s">
        <v>291</v>
      </c>
      <c r="C116" s="216" t="s">
        <v>309</v>
      </c>
      <c r="D116" s="216">
        <v>4</v>
      </c>
      <c r="E116" s="217">
        <v>4</v>
      </c>
      <c r="F116" s="217">
        <v>55</v>
      </c>
      <c r="G116" s="217">
        <v>35</v>
      </c>
      <c r="H116" s="216">
        <v>11855.199999999997</v>
      </c>
      <c r="I116" s="216">
        <v>16266.21000000001</v>
      </c>
      <c r="J116" s="220">
        <f t="shared" si="2"/>
      </c>
      <c r="K116" s="220">
        <f t="shared" si="0"/>
      </c>
      <c r="L116" s="221">
        <f t="shared" si="5"/>
      </c>
      <c r="M116" s="222">
        <f t="shared" si="4"/>
      </c>
      <c r="N116" s="223">
        <v>3</v>
      </c>
      <c r="O116" s="225">
        <f t="shared" si="3"/>
      </c>
      <c r="P116" s="215"/>
      <c r="Q116" s="215"/>
    </row>
    <row r="117">
      <c r="A117" s="214">
        <v>46200</v>
      </c>
      <c r="B117" s="215" t="s">
        <v>286</v>
      </c>
      <c r="C117" s="216" t="s">
        <v>322</v>
      </c>
      <c r="D117" s="216">
        <v>4</v>
      </c>
      <c r="E117" s="217">
        <v>14</v>
      </c>
      <c r="F117" s="217">
        <v>66</v>
      </c>
      <c r="G117" s="217">
        <v>55</v>
      </c>
      <c r="H117" s="216">
        <v>18393.5</v>
      </c>
      <c r="I117" s="216">
        <v>13434.759999999995</v>
      </c>
      <c r="J117" s="220">
        <f t="shared" si="2"/>
      </c>
      <c r="K117" s="220">
        <f t="shared" si="0"/>
      </c>
      <c r="L117" s="221">
        <f t="shared" si="5"/>
      </c>
      <c r="M117" s="222">
        <f t="shared" si="4"/>
      </c>
      <c r="N117" s="223">
        <v>18</v>
      </c>
      <c r="O117" s="225">
        <f t="shared" si="3"/>
      </c>
      <c r="P117" s="215"/>
      <c r="Q117" s="215"/>
    </row>
    <row r="118">
      <c r="A118" s="214">
        <v>46200</v>
      </c>
      <c r="B118" s="215" t="s">
        <v>280</v>
      </c>
      <c r="C118" s="216" t="s">
        <v>323</v>
      </c>
      <c r="D118" s="216">
        <v>5</v>
      </c>
      <c r="E118" s="217">
        <v>10</v>
      </c>
      <c r="F118" s="217">
        <v>85</v>
      </c>
      <c r="G118" s="217">
        <v>60</v>
      </c>
      <c r="H118" s="218">
        <v>21817.90000000001</v>
      </c>
      <c r="I118" s="246">
        <v>16464.239999999998</v>
      </c>
      <c r="J118" s="220">
        <f t="shared" si="2"/>
      </c>
      <c r="K118" s="220">
        <f t="shared" si="0"/>
      </c>
      <c r="L118" s="221">
        <f t="shared" si="5"/>
      </c>
      <c r="M118" s="222">
        <f t="shared" si="4"/>
      </c>
      <c r="N118" s="223">
        <v>17</v>
      </c>
      <c r="O118" s="225">
        <f t="shared" si="3"/>
      </c>
      <c r="P118" s="215" t="s">
        <v>307</v>
      </c>
      <c r="Q118" s="215">
        <v>10</v>
      </c>
    </row>
    <row r="119">
      <c r="A119" s="230">
        <v>46200</v>
      </c>
      <c r="B119" s="231" t="s">
        <v>285</v>
      </c>
      <c r="C119" s="232"/>
      <c r="D119" s="232">
        <f>SUM(D114:D118)</f>
      </c>
      <c r="E119" s="232">
        <f>SUM(E114:E118)</f>
      </c>
      <c r="F119" s="232">
        <f>SUM(F114:F118)</f>
      </c>
      <c r="G119" s="232">
        <f>SUM(G114:G118)</f>
      </c>
      <c r="H119" s="232">
        <f>SUM(H114:H118)</f>
      </c>
      <c r="I119" s="232">
        <f>SUM(I114:I118)</f>
      </c>
      <c r="J119" s="235">
        <f t="shared" si="2"/>
      </c>
      <c r="K119" s="236">
        <f t="shared" si="0"/>
      </c>
      <c r="L119" s="236">
        <f t="shared" si="5"/>
      </c>
      <c r="M119" s="237">
        <f t="shared" si="4"/>
      </c>
      <c r="N119" s="234">
        <f>SUM(N114:N118)</f>
      </c>
      <c r="O119" s="237">
        <f t="shared" si="3"/>
      </c>
      <c r="P119" s="238"/>
      <c r="Q119" s="239">
        <f>SUM(Q114:Q118)</f>
      </c>
    </row>
    <row r="120">
      <c r="A120" s="214">
        <v>46201</v>
      </c>
      <c r="B120" s="215" t="s">
        <v>282</v>
      </c>
      <c r="C120" s="216" t="s">
        <v>318</v>
      </c>
      <c r="D120" s="216">
        <v>5</v>
      </c>
      <c r="E120" s="217">
        <v>12</v>
      </c>
      <c r="F120" s="217">
        <v>78</v>
      </c>
      <c r="G120" s="217">
        <v>55</v>
      </c>
      <c r="H120" s="216">
        <v>16773.3</v>
      </c>
      <c r="I120" s="216">
        <v>19725.46</v>
      </c>
      <c r="J120" s="219">
        <f t="shared" si="2"/>
      </c>
      <c r="K120" s="220">
        <f t="shared" si="0"/>
      </c>
      <c r="L120" s="221">
        <f t="shared" si="5"/>
      </c>
      <c r="M120" s="222">
        <f t="shared" si="4"/>
      </c>
      <c r="N120" s="223">
        <v>6</v>
      </c>
      <c r="O120" s="222">
        <f t="shared" si="3"/>
      </c>
      <c r="P120" s="215" t="s">
        <v>319</v>
      </c>
      <c r="Q120" s="215">
        <v>1</v>
      </c>
    </row>
    <row r="121">
      <c r="A121" s="214">
        <v>46201</v>
      </c>
      <c r="B121" s="215" t="s">
        <v>316</v>
      </c>
      <c r="C121" s="216" t="s">
        <v>321</v>
      </c>
      <c r="D121" s="216">
        <v>2</v>
      </c>
      <c r="E121" s="217">
        <v>6</v>
      </c>
      <c r="F121" s="217">
        <v>45</v>
      </c>
      <c r="G121" s="217">
        <v>35</v>
      </c>
      <c r="H121" s="216">
        <v>11306.8</v>
      </c>
      <c r="I121" s="216">
        <v>7996.02</v>
      </c>
      <c r="J121" s="220">
        <f t="shared" si="2"/>
      </c>
      <c r="K121" s="220">
        <f t="shared" si="0"/>
      </c>
      <c r="L121" s="221">
        <f t="shared" si="5"/>
      </c>
      <c r="M121" s="222">
        <f t="shared" si="4"/>
      </c>
      <c r="N121" s="223">
        <v>2</v>
      </c>
      <c r="O121" s="225">
        <f t="shared" si="3"/>
      </c>
      <c r="P121" s="215" t="s">
        <v>300</v>
      </c>
      <c r="Q121" s="215">
        <v>9</v>
      </c>
    </row>
    <row r="122">
      <c r="A122" s="214">
        <v>46201</v>
      </c>
      <c r="B122" s="215" t="s">
        <v>308</v>
      </c>
      <c r="C122" s="216" t="s">
        <v>324</v>
      </c>
      <c r="D122" s="216">
        <v>3</v>
      </c>
      <c r="E122" s="217">
        <v>7</v>
      </c>
      <c r="F122" s="217">
        <v>62</v>
      </c>
      <c r="G122" s="217">
        <v>45</v>
      </c>
      <c r="H122" s="216">
        <v>14709.099999999999</v>
      </c>
      <c r="I122" s="216">
        <v>17767.41</v>
      </c>
      <c r="J122" s="220">
        <f t="shared" si="2"/>
      </c>
      <c r="K122" s="220">
        <f t="shared" si="0"/>
      </c>
      <c r="L122" s="221">
        <f t="shared" si="5"/>
      </c>
      <c r="M122" s="222">
        <f t="shared" si="4"/>
      </c>
      <c r="N122" s="223">
        <v>5</v>
      </c>
      <c r="O122" s="225">
        <f t="shared" si="3"/>
      </c>
      <c r="P122" s="215"/>
      <c r="Q122" s="215"/>
    </row>
    <row r="123">
      <c r="A123" s="214">
        <v>46201</v>
      </c>
      <c r="B123" s="215" t="s">
        <v>280</v>
      </c>
      <c r="C123" s="216" t="s">
        <v>325</v>
      </c>
      <c r="D123" s="216">
        <v>5</v>
      </c>
      <c r="E123" s="217">
        <v>10</v>
      </c>
      <c r="F123" s="217">
        <v>65</v>
      </c>
      <c r="G123" s="217">
        <v>49</v>
      </c>
      <c r="H123" s="216">
        <v>19141.100000000006</v>
      </c>
      <c r="I123" s="216">
        <v>18353.440000000002</v>
      </c>
      <c r="J123" s="220">
        <f t="shared" si="2"/>
      </c>
      <c r="K123" s="220">
        <f t="shared" si="0"/>
      </c>
      <c r="L123" s="221">
        <f t="shared" si="5"/>
      </c>
      <c r="M123" s="222">
        <f t="shared" si="4"/>
      </c>
      <c r="N123" s="223">
        <v>5</v>
      </c>
      <c r="O123" s="225">
        <f t="shared" si="3"/>
      </c>
      <c r="P123" s="215"/>
      <c r="Q123" s="215"/>
    </row>
    <row r="124">
      <c r="A124" s="214">
        <v>46201</v>
      </c>
      <c r="B124" s="215" t="s">
        <v>286</v>
      </c>
      <c r="C124" s="216" t="s">
        <v>323</v>
      </c>
      <c r="D124" s="216">
        <v>5</v>
      </c>
      <c r="E124" s="217">
        <v>7</v>
      </c>
      <c r="F124" s="217">
        <v>47</v>
      </c>
      <c r="G124" s="217">
        <v>36</v>
      </c>
      <c r="H124" s="218">
        <v>13713.599999999991</v>
      </c>
      <c r="I124" s="246">
        <v>11758.259999999995</v>
      </c>
      <c r="J124" s="220">
        <f t="shared" si="2"/>
      </c>
      <c r="K124" s="220">
        <f t="shared" si="0"/>
      </c>
      <c r="L124" s="221">
        <f t="shared" si="5"/>
      </c>
      <c r="M124" s="222">
        <f t="shared" si="4"/>
      </c>
      <c r="N124" s="223">
        <v>10</v>
      </c>
      <c r="O124" s="225">
        <f t="shared" si="3"/>
      </c>
      <c r="P124" s="215" t="s">
        <v>307</v>
      </c>
      <c r="Q124" s="215">
        <v>10</v>
      </c>
    </row>
    <row r="125">
      <c r="A125" s="230">
        <v>46201</v>
      </c>
      <c r="B125" s="231" t="s">
        <v>285</v>
      </c>
      <c r="C125" s="232"/>
      <c r="D125" s="232">
        <f>SUM(D120:D124)</f>
      </c>
      <c r="E125" s="232">
        <f>SUM(E120:E124)</f>
      </c>
      <c r="F125" s="232">
        <f>SUM(F120:F124)</f>
      </c>
      <c r="G125" s="232">
        <f>SUM(G120:G124)</f>
      </c>
      <c r="H125" s="232">
        <f>SUM(H120:H124)</f>
      </c>
      <c r="I125" s="232">
        <f>SUM(I120:I124)</f>
      </c>
      <c r="J125" s="235">
        <f t="shared" si="2"/>
      </c>
      <c r="K125" s="236">
        <f t="shared" si="0"/>
      </c>
      <c r="L125" s="236">
        <f t="shared" si="5"/>
      </c>
      <c r="M125" s="237">
        <f t="shared" si="4"/>
      </c>
      <c r="N125" s="234">
        <f>SUM(N120:N124)</f>
      </c>
      <c r="O125" s="237">
        <f t="shared" si="3"/>
      </c>
      <c r="P125" s="238"/>
      <c r="Q125" s="239">
        <f>SUM(Q120:Q124)</f>
      </c>
    </row>
    <row r="126">
      <c r="A126" s="214">
        <v>46202</v>
      </c>
      <c r="B126" s="215" t="s">
        <v>280</v>
      </c>
      <c r="C126" s="216" t="s">
        <v>318</v>
      </c>
      <c r="D126" s="216">
        <v>5</v>
      </c>
      <c r="E126" s="217">
        <v>13</v>
      </c>
      <c r="F126" s="217">
        <v>70</v>
      </c>
      <c r="G126" s="217">
        <v>46</v>
      </c>
      <c r="H126" s="216">
        <v>13451.7</v>
      </c>
      <c r="I126" s="216">
        <v>15131.19</v>
      </c>
      <c r="J126" s="219">
        <f t="shared" si="2"/>
      </c>
      <c r="K126" s="220">
        <f t="shared" si="0"/>
      </c>
      <c r="L126" s="221">
        <f t="shared" si="5"/>
      </c>
      <c r="M126" s="222">
        <f t="shared" si="4"/>
      </c>
      <c r="N126" s="223">
        <v>9</v>
      </c>
      <c r="O126" s="222">
        <f t="shared" si="3"/>
      </c>
      <c r="P126" s="215" t="s">
        <v>319</v>
      </c>
      <c r="Q126" s="215">
        <v>1</v>
      </c>
    </row>
    <row r="127">
      <c r="A127" s="214">
        <v>46202</v>
      </c>
      <c r="B127" s="215" t="s">
        <v>316</v>
      </c>
      <c r="C127" s="216" t="s">
        <v>326</v>
      </c>
      <c r="D127" s="216">
        <v>3</v>
      </c>
      <c r="E127" s="217">
        <v>13</v>
      </c>
      <c r="F127" s="217">
        <v>54</v>
      </c>
      <c r="G127" s="217">
        <v>36</v>
      </c>
      <c r="H127" s="216">
        <v>12425.3</v>
      </c>
      <c r="I127" s="216">
        <v>7538.33</v>
      </c>
      <c r="J127" s="220">
        <f t="shared" si="2"/>
      </c>
      <c r="K127" s="220">
        <f t="shared" si="0"/>
      </c>
      <c r="L127" s="221">
        <f t="shared" si="5"/>
      </c>
      <c r="M127" s="222">
        <f t="shared" si="4"/>
      </c>
      <c r="N127" s="223">
        <v>6</v>
      </c>
      <c r="O127" s="225">
        <f t="shared" si="3"/>
      </c>
      <c r="P127" s="215" t="s">
        <v>300</v>
      </c>
      <c r="Q127" s="215">
        <v>9</v>
      </c>
    </row>
    <row r="128">
      <c r="A128" s="214">
        <v>46202</v>
      </c>
      <c r="B128" s="215" t="s">
        <v>308</v>
      </c>
      <c r="C128" s="216" t="s">
        <v>327</v>
      </c>
      <c r="D128" s="216">
        <v>2</v>
      </c>
      <c r="E128" s="217">
        <v>7</v>
      </c>
      <c r="F128" s="217">
        <v>31</v>
      </c>
      <c r="G128" s="217">
        <v>23</v>
      </c>
      <c r="H128" s="216">
        <v>6803.9000000000015</v>
      </c>
      <c r="I128" s="216">
        <v>8051.430000000004</v>
      </c>
      <c r="J128" s="220">
        <f t="shared" si="2"/>
      </c>
      <c r="K128" s="220">
        <f t="shared" si="0"/>
      </c>
      <c r="L128" s="221">
        <f t="shared" si="5"/>
      </c>
      <c r="M128" s="222">
        <f t="shared" si="4"/>
      </c>
      <c r="N128" s="223">
        <v>5</v>
      </c>
      <c r="O128" s="225">
        <f t="shared" si="3"/>
      </c>
      <c r="P128" s="215"/>
      <c r="Q128" s="215"/>
    </row>
    <row r="129">
      <c r="A129" s="214">
        <v>46202</v>
      </c>
      <c r="B129" s="215" t="s">
        <v>286</v>
      </c>
      <c r="C129" s="216" t="s">
        <v>325</v>
      </c>
      <c r="D129" s="216">
        <v>5</v>
      </c>
      <c r="E129" s="217">
        <v>11</v>
      </c>
      <c r="F129" s="217">
        <v>48</v>
      </c>
      <c r="G129" s="217">
        <v>34</v>
      </c>
      <c r="H129" s="216">
        <v>8527.700000000004</v>
      </c>
      <c r="I129" s="216">
        <v>14448.919999999998</v>
      </c>
      <c r="J129" s="220">
        <f t="shared" si="2"/>
      </c>
      <c r="K129" s="220">
        <f t="shared" si="0"/>
      </c>
      <c r="L129" s="221">
        <f t="shared" si="5"/>
      </c>
      <c r="M129" s="222">
        <f t="shared" si="4"/>
      </c>
      <c r="N129" s="223">
        <v>6</v>
      </c>
      <c r="O129" s="225">
        <f t="shared" si="3"/>
      </c>
      <c r="P129" s="215"/>
      <c r="Q129" s="215"/>
    </row>
    <row r="130">
      <c r="A130" s="214">
        <v>46202</v>
      </c>
      <c r="B130" s="215" t="s">
        <v>282</v>
      </c>
      <c r="C130" s="216" t="s">
        <v>323</v>
      </c>
      <c r="D130" s="216">
        <v>5</v>
      </c>
      <c r="E130" s="217">
        <v>17</v>
      </c>
      <c r="F130" s="217">
        <v>75</v>
      </c>
      <c r="G130" s="217">
        <v>52</v>
      </c>
      <c r="H130" s="218">
        <v>20937.1</v>
      </c>
      <c r="I130" s="246">
        <v>16326.38</v>
      </c>
      <c r="J130" s="220">
        <f t="shared" si="2"/>
      </c>
      <c r="K130" s="220">
        <f t="shared" si="0"/>
      </c>
      <c r="L130" s="221">
        <f t="shared" si="5"/>
      </c>
      <c r="M130" s="222">
        <f t="shared" si="4"/>
      </c>
      <c r="N130" s="223">
        <v>10</v>
      </c>
      <c r="O130" s="225">
        <f t="shared" si="3"/>
      </c>
      <c r="P130" s="215" t="s">
        <v>328</v>
      </c>
      <c r="Q130" s="215">
        <v>10</v>
      </c>
    </row>
    <row r="131">
      <c r="A131" s="230">
        <v>46202</v>
      </c>
      <c r="B131" s="231" t="s">
        <v>285</v>
      </c>
      <c r="C131" s="232"/>
      <c r="D131" s="232">
        <f>SUM(D126:D130)</f>
      </c>
      <c r="E131" s="232">
        <f>SUM(E126:E130)</f>
      </c>
      <c r="F131" s="232">
        <f>SUM(F126:F130)</f>
      </c>
      <c r="G131" s="232">
        <f>SUM(G126:G130)</f>
      </c>
      <c r="H131" s="232">
        <f>SUM(H126:H130)</f>
      </c>
      <c r="I131" s="232">
        <f>SUM(I126:I130)</f>
      </c>
      <c r="J131" s="235">
        <f t="shared" si="2"/>
      </c>
      <c r="K131" s="236">
        <f t="shared" si="0"/>
      </c>
      <c r="L131" s="236">
        <f t="shared" si="5"/>
      </c>
      <c r="M131" s="237">
        <f t="shared" si="4"/>
      </c>
      <c r="N131" s="234">
        <f>SUM(N126:N130)</f>
      </c>
      <c r="O131" s="237">
        <f t="shared" si="3"/>
      </c>
      <c r="P131" s="238"/>
      <c r="Q131" s="239">
        <f>SUM(Q126:Q130)</f>
      </c>
    </row>
    <row r="132">
      <c r="A132" s="214">
        <v>46203</v>
      </c>
      <c r="B132" s="215" t="s">
        <v>286</v>
      </c>
      <c r="C132" s="216" t="s">
        <v>318</v>
      </c>
      <c r="D132" s="216">
        <v>5</v>
      </c>
      <c r="E132" s="217">
        <v>14</v>
      </c>
      <c r="F132" s="217">
        <v>96</v>
      </c>
      <c r="G132" s="217">
        <v>72</v>
      </c>
      <c r="H132" s="218">
        <v>24635.2</v>
      </c>
      <c r="I132" s="218">
        <v>22797.58</v>
      </c>
      <c r="J132" s="219">
        <f t="shared" si="2"/>
      </c>
      <c r="K132" s="220">
        <f t="shared" si="0"/>
      </c>
      <c r="L132" s="221">
        <f t="shared" si="5"/>
      </c>
      <c r="M132" s="222">
        <f t="shared" si="4"/>
      </c>
      <c r="N132" s="223">
        <v>11</v>
      </c>
      <c r="O132" s="222">
        <f t="shared" si="3"/>
      </c>
      <c r="P132" s="215" t="s">
        <v>329</v>
      </c>
      <c r="Q132" s="215">
        <v>10</v>
      </c>
    </row>
    <row r="133">
      <c r="A133" s="214">
        <v>46203</v>
      </c>
      <c r="B133" s="215" t="s">
        <v>316</v>
      </c>
      <c r="C133" s="216" t="s">
        <v>330</v>
      </c>
      <c r="D133" s="216">
        <v>5</v>
      </c>
      <c r="E133" s="217">
        <v>15</v>
      </c>
      <c r="F133" s="217">
        <v>112</v>
      </c>
      <c r="G133" s="217">
        <v>76</v>
      </c>
      <c r="H133" s="218">
        <v>28007.399999999998</v>
      </c>
      <c r="I133" s="218">
        <v>24044.159999999996</v>
      </c>
      <c r="J133" s="220">
        <f t="shared" si="2"/>
      </c>
      <c r="K133" s="220">
        <f t="shared" si="0"/>
      </c>
      <c r="L133" s="221">
        <f t="shared" si="5"/>
      </c>
      <c r="M133" s="222">
        <f t="shared" si="4"/>
      </c>
      <c r="N133" s="223">
        <v>12</v>
      </c>
      <c r="O133" s="225">
        <f t="shared" si="3"/>
      </c>
      <c r="P133" s="215"/>
      <c r="Q133" s="215"/>
    </row>
    <row r="134">
      <c r="A134" s="214">
        <v>46203</v>
      </c>
      <c r="B134" s="215" t="s">
        <v>280</v>
      </c>
      <c r="C134" s="216" t="s">
        <v>325</v>
      </c>
      <c r="D134" s="216">
        <v>5</v>
      </c>
      <c r="E134" s="217">
        <v>20</v>
      </c>
      <c r="F134" s="217">
        <v>148</v>
      </c>
      <c r="G134" s="217">
        <v>113</v>
      </c>
      <c r="H134" s="216">
        <v>38230.6</v>
      </c>
      <c r="I134" s="216">
        <v>31382.399999999987</v>
      </c>
      <c r="J134" s="220">
        <f t="shared" si="2"/>
      </c>
      <c r="K134" s="220">
        <f t="shared" si="0"/>
      </c>
      <c r="L134" s="221">
        <f t="shared" si="5"/>
      </c>
      <c r="M134" s="222">
        <f t="shared" si="4"/>
      </c>
      <c r="N134" s="223">
        <v>22</v>
      </c>
      <c r="O134" s="225">
        <f t="shared" si="3"/>
      </c>
      <c r="P134" s="215"/>
      <c r="Q134" s="215"/>
    </row>
    <row r="135">
      <c r="A135" s="214">
        <v>46203</v>
      </c>
      <c r="B135" s="215" t="s">
        <v>282</v>
      </c>
      <c r="C135" s="216" t="s">
        <v>331</v>
      </c>
      <c r="D135" s="216">
        <v>2</v>
      </c>
      <c r="E135" s="217">
        <v>6</v>
      </c>
      <c r="F135" s="217">
        <v>72</v>
      </c>
      <c r="G135" s="217">
        <v>62</v>
      </c>
      <c r="H135" s="218">
        <v>25622.2</v>
      </c>
      <c r="I135" s="246">
        <v>16318.99</v>
      </c>
      <c r="J135" s="220">
        <f t="shared" si="2"/>
      </c>
      <c r="K135" s="220">
        <f t="shared" si="0"/>
      </c>
      <c r="L135" s="221">
        <f t="shared" si="5"/>
      </c>
      <c r="M135" s="222">
        <f t="shared" si="4"/>
      </c>
      <c r="N135" s="223">
        <v>10</v>
      </c>
      <c r="O135" s="225">
        <f t="shared" si="3"/>
      </c>
      <c r="P135" s="215" t="s">
        <v>332</v>
      </c>
      <c r="Q135" s="215">
        <v>7</v>
      </c>
    </row>
    <row r="136">
      <c r="A136" s="230">
        <v>46203</v>
      </c>
      <c r="B136" s="231" t="s">
        <v>285</v>
      </c>
      <c r="C136" s="232"/>
      <c r="D136" s="232">
        <f>SUM(D132:D135)</f>
      </c>
      <c r="E136" s="232">
        <f>SUM(E132:E135)</f>
      </c>
      <c r="F136" s="232">
        <f>SUM(F132:F135)</f>
      </c>
      <c r="G136" s="232">
        <f>SUM(G132:G135)</f>
      </c>
      <c r="H136" s="232">
        <f>SUM(H132:H135)</f>
      </c>
      <c r="I136" s="232">
        <f>SUM(I132:I135)</f>
      </c>
      <c r="J136" s="235">
        <f t="shared" si="2"/>
      </c>
      <c r="K136" s="236">
        <f t="shared" si="0"/>
      </c>
      <c r="L136" s="236">
        <f t="shared" si="5"/>
      </c>
      <c r="M136" s="237">
        <f t="shared" si="4"/>
      </c>
      <c r="N136" s="234">
        <f>SUM(N132:N135)</f>
      </c>
      <c r="O136" s="237">
        <f t="shared" si="3"/>
      </c>
      <c r="P136" s="238"/>
      <c r="Q136" s="239">
        <f>SUM(Q132:Q135)</f>
      </c>
    </row>
    <row r="137"/>
    <row r="138"/>
    <row r="139"/>
    <row r="140">
      <c r="E140" s="250" t="s">
        <v>333</v>
      </c>
    </row>
    <row r="141">
      <c r="E141" s="251">
        <f t="shared" ref="E141:E150" si="1">C141/D141</f>
      </c>
    </row>
    <row r="142">
      <c r="E142" s="251">
        <f t="shared" si="1"/>
      </c>
    </row>
    <row r="143">
      <c r="E143" s="251">
        <f t="shared" si="1"/>
      </c>
    </row>
    <row r="144">
      <c r="E144" s="251">
        <f t="shared" si="1"/>
      </c>
    </row>
    <row r="145">
      <c r="E145" s="251">
        <f t="shared" si="1"/>
      </c>
    </row>
    <row r="146">
      <c r="E146" s="251">
        <f t="shared" si="1"/>
      </c>
    </row>
    <row r="147">
      <c r="E147" s="251">
        <f t="shared" si="1"/>
      </c>
    </row>
    <row r="148">
      <c r="E148" s="251">
        <f t="shared" si="1"/>
      </c>
    </row>
    <row r="149">
      <c r="E149" s="251">
        <f t="shared" si="1"/>
      </c>
    </row>
    <row r="150">
      <c r="E150" s="251">
        <f t="shared" si="1"/>
      </c>
    </row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>
      <c r="G171" s="252"/>
    </row>
  </sheetData>
  <autoFilter ref="A1:P136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1" min="1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</cols>
  <sheetData>
    <row customHeight="true" ht="16.071428571428573" r="1">
      <c r="A1" s="253" t="s">
        <v>334</v>
      </c>
      <c r="B1" s="254" t="s">
        <v>335</v>
      </c>
      <c r="C1" s="254" t="s">
        <v>336</v>
      </c>
      <c r="D1" s="254" t="s">
        <v>337</v>
      </c>
      <c r="E1" s="255" t="s">
        <v>338</v>
      </c>
      <c r="F1" s="254" t="s">
        <v>339</v>
      </c>
      <c r="G1" s="254" t="s">
        <v>340</v>
      </c>
      <c r="H1" s="254" t="s">
        <v>341</v>
      </c>
      <c r="I1" s="254" t="s">
        <v>342</v>
      </c>
      <c r="J1" s="256" t="s">
        <v>343</v>
      </c>
      <c r="K1" s="256" t="s">
        <v>344</v>
      </c>
      <c r="L1" s="256" t="s">
        <v>345</v>
      </c>
      <c r="M1" s="257" t="s">
        <v>346</v>
      </c>
      <c r="N1" s="257" t="s">
        <v>347</v>
      </c>
      <c r="O1" s="257" t="s">
        <v>348</v>
      </c>
      <c r="P1" s="256" t="s">
        <v>349</v>
      </c>
      <c r="Q1" s="254" t="s">
        <v>350</v>
      </c>
    </row>
    <row r="2">
      <c r="A2" s="258">
        <v>46206</v>
      </c>
      <c r="B2" s="259" t="s">
        <v>351</v>
      </c>
      <c r="C2" s="260" t="s">
        <v>352</v>
      </c>
      <c r="D2" s="260">
        <v>5</v>
      </c>
      <c r="E2" s="261">
        <v>10</v>
      </c>
      <c r="F2" s="262">
        <v>115</v>
      </c>
      <c r="G2" s="262">
        <v>80</v>
      </c>
      <c r="H2" s="263">
        <v>24260.7</v>
      </c>
      <c r="I2" s="264">
        <v>24751.54</v>
      </c>
      <c r="J2" s="265">
        <f t="shared" ref="J2:J157" si="3">H2/I2</f>
      </c>
      <c r="K2" s="266">
        <f t="shared" ref="K2:K157" si="5">H2/G2</f>
      </c>
      <c r="L2" s="267">
        <f t="shared" ref="L2:L157" si="0">I2/G2</f>
      </c>
      <c r="M2" s="268">
        <f t="shared" ref="M2:M157" si="1">E2/G2</f>
      </c>
      <c r="N2" s="269">
        <v>8</v>
      </c>
      <c r="O2" s="268">
        <f t="shared" ref="O2:O157" si="4">N2/G2</f>
      </c>
      <c r="P2" s="259" t="s">
        <v>353</v>
      </c>
      <c r="Q2" s="259">
        <v>5</v>
      </c>
    </row>
    <row r="3">
      <c r="A3" s="258">
        <v>46206</v>
      </c>
      <c r="B3" s="259" t="s">
        <v>354</v>
      </c>
      <c r="C3" s="260" t="s">
        <v>355</v>
      </c>
      <c r="D3" s="260">
        <v>5</v>
      </c>
      <c r="E3" s="261">
        <v>10</v>
      </c>
      <c r="F3" s="262">
        <v>54</v>
      </c>
      <c r="G3" s="262">
        <v>35</v>
      </c>
      <c r="H3" s="264">
        <v>10649.2</v>
      </c>
      <c r="I3" s="264">
        <v>18389.35</v>
      </c>
      <c r="J3" s="266">
        <f t="shared" si="3"/>
      </c>
      <c r="K3" s="266">
        <f t="shared" si="5"/>
      </c>
      <c r="L3" s="267">
        <f t="shared" si="0"/>
      </c>
      <c r="M3" s="268">
        <f t="shared" si="1"/>
      </c>
      <c r="N3" s="269">
        <v>1</v>
      </c>
      <c r="O3" s="270">
        <f t="shared" si="4"/>
      </c>
      <c r="P3" s="259"/>
      <c r="Q3" s="259"/>
    </row>
    <row r="4">
      <c r="A4" s="258">
        <v>46206</v>
      </c>
      <c r="B4" s="259" t="s">
        <v>356</v>
      </c>
      <c r="C4" s="260" t="s">
        <v>357</v>
      </c>
      <c r="D4" s="260">
        <v>5</v>
      </c>
      <c r="E4" s="261">
        <v>6</v>
      </c>
      <c r="F4" s="262">
        <v>52</v>
      </c>
      <c r="G4" s="262">
        <v>41</v>
      </c>
      <c r="H4" s="264">
        <v>13105</v>
      </c>
      <c r="I4" s="271">
        <f>10688.13+0.12</f>
      </c>
      <c r="J4" s="266">
        <f t="shared" si="3"/>
      </c>
      <c r="K4" s="266">
        <f t="shared" si="5"/>
      </c>
      <c r="L4" s="267">
        <f t="shared" si="0"/>
      </c>
      <c r="M4" s="268">
        <f t="shared" si="1"/>
      </c>
      <c r="N4" s="269">
        <v>9</v>
      </c>
      <c r="O4" s="270">
        <f t="shared" si="4"/>
      </c>
      <c r="P4" s="259" t="s">
        <v>358</v>
      </c>
      <c r="Q4" s="259">
        <v>10</v>
      </c>
    </row>
    <row r="5">
      <c r="A5" s="272">
        <v>46206</v>
      </c>
      <c r="B5" s="273" t="s">
        <v>359</v>
      </c>
      <c r="C5" s="274"/>
      <c r="D5" s="274">
        <f>SUM(D2:D4)</f>
      </c>
      <c r="E5" s="274">
        <f>SUM(E2:E4)</f>
      </c>
      <c r="F5" s="274">
        <f>SUM(F2:F4)</f>
      </c>
      <c r="G5" s="274">
        <f>SUM(G2:G4)</f>
      </c>
      <c r="H5" s="275">
        <f>SUM(H2:H4)</f>
      </c>
      <c r="I5" s="275">
        <f>SUM(I2:I4)</f>
      </c>
      <c r="J5" s="276">
        <f t="shared" si="3"/>
      </c>
      <c r="K5" s="277">
        <f t="shared" si="5"/>
      </c>
      <c r="L5" s="277">
        <f t="shared" si="0"/>
      </c>
      <c r="M5" s="278">
        <f t="shared" si="1"/>
      </c>
      <c r="N5" s="279">
        <f>SUM(N2:N4)</f>
      </c>
      <c r="O5" s="278">
        <f t="shared" si="4"/>
      </c>
      <c r="P5" s="280"/>
      <c r="Q5" s="281">
        <f>SUM(Q2:Q4)</f>
      </c>
    </row>
    <row r="6">
      <c r="A6" s="258">
        <v>46207</v>
      </c>
      <c r="B6" s="259" t="s">
        <v>351</v>
      </c>
      <c r="C6" s="282" t="s">
        <v>360</v>
      </c>
      <c r="D6" s="260">
        <v>5</v>
      </c>
      <c r="E6" s="261">
        <v>11</v>
      </c>
      <c r="F6" s="262">
        <v>91</v>
      </c>
      <c r="G6" s="283">
        <v>59</v>
      </c>
      <c r="H6" s="264">
        <v>15977.4</v>
      </c>
      <c r="I6" s="264">
        <v>21046.07</v>
      </c>
      <c r="J6" s="265">
        <f t="shared" si="3"/>
      </c>
      <c r="K6" s="266">
        <f t="shared" si="5"/>
      </c>
      <c r="L6" s="267">
        <f t="shared" si="0"/>
      </c>
      <c r="M6" s="268">
        <f t="shared" si="1"/>
      </c>
      <c r="N6" s="269">
        <v>8</v>
      </c>
      <c r="O6" s="268">
        <f t="shared" si="4"/>
      </c>
      <c r="P6" s="259" t="s">
        <v>361</v>
      </c>
      <c r="Q6" s="259">
        <v>10</v>
      </c>
    </row>
    <row customHeight="true" ht="16.071428571428573" r="7">
      <c r="A7" s="258">
        <v>46207</v>
      </c>
      <c r="B7" s="259" t="s">
        <v>362</v>
      </c>
      <c r="C7" s="260" t="s">
        <v>352</v>
      </c>
      <c r="D7" s="260">
        <v>5</v>
      </c>
      <c r="E7" s="261">
        <v>12</v>
      </c>
      <c r="F7" s="262">
        <v>167</v>
      </c>
      <c r="G7" s="283">
        <v>69</v>
      </c>
      <c r="H7" s="284">
        <v>24581.1</v>
      </c>
      <c r="I7" s="271">
        <v>20241.730000000003</v>
      </c>
      <c r="J7" s="265">
        <f t="shared" si="3"/>
      </c>
      <c r="K7" s="266">
        <f t="shared" si="5"/>
      </c>
      <c r="L7" s="267">
        <f t="shared" si="0"/>
      </c>
      <c r="M7" s="268">
        <f t="shared" si="1"/>
      </c>
      <c r="N7" s="269">
        <v>12</v>
      </c>
      <c r="O7" s="268">
        <f t="shared" si="4"/>
      </c>
      <c r="P7" s="259"/>
      <c r="Q7" s="259"/>
    </row>
    <row r="8">
      <c r="A8" s="258">
        <v>46207</v>
      </c>
      <c r="B8" s="259" t="s">
        <v>354</v>
      </c>
      <c r="C8" s="260" t="s">
        <v>355</v>
      </c>
      <c r="D8" s="260">
        <v>5</v>
      </c>
      <c r="E8" s="261">
        <v>5</v>
      </c>
      <c r="F8" s="262">
        <v>29</v>
      </c>
      <c r="G8" s="262">
        <v>71</v>
      </c>
      <c r="H8" s="271">
        <v>20827.6</v>
      </c>
      <c r="I8" s="264">
        <v>22988.829999999994</v>
      </c>
      <c r="J8" s="266">
        <f t="shared" si="3"/>
      </c>
      <c r="K8" s="266">
        <f t="shared" si="5"/>
      </c>
      <c r="L8" s="267">
        <f t="shared" si="0"/>
      </c>
      <c r="M8" s="268">
        <f t="shared" si="1"/>
      </c>
      <c r="N8" s="269">
        <v>9</v>
      </c>
      <c r="O8" s="270">
        <f t="shared" si="4"/>
      </c>
      <c r="P8" s="259"/>
      <c r="Q8" s="259"/>
    </row>
    <row r="9">
      <c r="A9" s="258">
        <v>46207</v>
      </c>
      <c r="B9" s="259" t="s">
        <v>356</v>
      </c>
      <c r="C9" s="260" t="s">
        <v>357</v>
      </c>
      <c r="D9" s="260">
        <v>5</v>
      </c>
      <c r="E9" s="261">
        <v>24</v>
      </c>
      <c r="F9" s="262">
        <v>115</v>
      </c>
      <c r="G9" s="262">
        <v>94</v>
      </c>
      <c r="H9" s="264">
        <v>29610.200000000004</v>
      </c>
      <c r="I9" s="271">
        <f>28974.14+0.03</f>
      </c>
      <c r="J9" s="266">
        <f t="shared" si="3"/>
      </c>
      <c r="K9" s="266">
        <f t="shared" si="5"/>
      </c>
      <c r="L9" s="267">
        <f t="shared" si="0"/>
      </c>
      <c r="M9" s="268">
        <f t="shared" si="1"/>
      </c>
      <c r="N9" s="269">
        <v>13</v>
      </c>
      <c r="O9" s="270">
        <f t="shared" si="4"/>
      </c>
      <c r="P9" s="259" t="s">
        <v>358</v>
      </c>
      <c r="Q9" s="259">
        <v>10</v>
      </c>
    </row>
    <row r="10">
      <c r="A10" s="272">
        <v>46207</v>
      </c>
      <c r="B10" s="273" t="s">
        <v>359</v>
      </c>
      <c r="C10" s="274"/>
      <c r="D10" s="274">
        <f>SUM(D6:D9)</f>
      </c>
      <c r="E10" s="274">
        <f>SUM(E6:E9)</f>
      </c>
      <c r="F10" s="274">
        <f>SUM(F6:F9)</f>
      </c>
      <c r="G10" s="274">
        <f>SUM(G6:G9)</f>
      </c>
      <c r="H10" s="274">
        <f>SUM(H6:H9)</f>
      </c>
      <c r="I10" s="274">
        <f>SUM(I6:I9)</f>
      </c>
      <c r="J10" s="276">
        <f t="shared" si="3"/>
      </c>
      <c r="K10" s="277">
        <f t="shared" si="5"/>
      </c>
      <c r="L10" s="277">
        <f t="shared" si="0"/>
      </c>
      <c r="M10" s="278">
        <f t="shared" si="1"/>
      </c>
      <c r="N10" s="279">
        <f>SUM(N6:N9)</f>
      </c>
      <c r="O10" s="278">
        <f t="shared" si="4"/>
      </c>
      <c r="P10" s="280"/>
      <c r="Q10" s="281">
        <f>SUM(Q6:Q9)</f>
      </c>
    </row>
    <row r="11">
      <c r="A11" s="258">
        <v>46208</v>
      </c>
      <c r="B11" s="259" t="s">
        <v>362</v>
      </c>
      <c r="C11" s="282" t="s">
        <v>360</v>
      </c>
      <c r="D11" s="260">
        <v>5</v>
      </c>
      <c r="E11" s="261">
        <v>14</v>
      </c>
      <c r="F11" s="262">
        <v>137</v>
      </c>
      <c r="G11" s="283">
        <v>96</v>
      </c>
      <c r="H11" s="264">
        <v>30535.3</v>
      </c>
      <c r="I11" s="271">
        <v>31218.199999999997</v>
      </c>
      <c r="J11" s="265">
        <f t="shared" si="3"/>
      </c>
      <c r="K11" s="266">
        <f t="shared" si="5"/>
      </c>
      <c r="L11" s="267">
        <f t="shared" si="0"/>
      </c>
      <c r="M11" s="268">
        <f t="shared" si="1"/>
      </c>
      <c r="N11" s="269">
        <v>11</v>
      </c>
      <c r="O11" s="268">
        <f t="shared" si="4"/>
      </c>
      <c r="P11" s="259" t="s">
        <v>361</v>
      </c>
      <c r="Q11" s="259">
        <v>10</v>
      </c>
    </row>
    <row r="12">
      <c r="A12" s="258">
        <v>46208</v>
      </c>
      <c r="B12" s="259" t="s">
        <v>354</v>
      </c>
      <c r="C12" s="260" t="s">
        <v>352</v>
      </c>
      <c r="D12" s="260">
        <v>5</v>
      </c>
      <c r="E12" s="261">
        <v>20</v>
      </c>
      <c r="F12" s="262">
        <v>99</v>
      </c>
      <c r="G12" s="283">
        <v>69</v>
      </c>
      <c r="H12" s="284">
        <v>23802.000000000004</v>
      </c>
      <c r="I12" s="271">
        <v>24613.36</v>
      </c>
      <c r="J12" s="265">
        <f t="shared" si="3"/>
      </c>
      <c r="K12" s="266">
        <f t="shared" si="5"/>
      </c>
      <c r="L12" s="267">
        <f t="shared" si="0"/>
      </c>
      <c r="M12" s="268">
        <f t="shared" si="1"/>
      </c>
      <c r="N12" s="269">
        <v>13</v>
      </c>
      <c r="O12" s="268">
        <f t="shared" si="4"/>
      </c>
      <c r="P12" s="259"/>
      <c r="Q12" s="259"/>
    </row>
    <row r="13">
      <c r="A13" s="258">
        <v>46208</v>
      </c>
      <c r="B13" s="259" t="s">
        <v>356</v>
      </c>
      <c r="C13" s="260" t="s">
        <v>355</v>
      </c>
      <c r="D13" s="260">
        <v>5</v>
      </c>
      <c r="E13" s="261">
        <v>9</v>
      </c>
      <c r="F13" s="262">
        <v>83</v>
      </c>
      <c r="G13" s="262">
        <v>65</v>
      </c>
      <c r="H13" s="271">
        <v>19696.699999999997</v>
      </c>
      <c r="I13" s="264">
        <v>20351.559999999998</v>
      </c>
      <c r="J13" s="266">
        <f t="shared" si="3"/>
      </c>
      <c r="K13" s="266">
        <f t="shared" si="5"/>
      </c>
      <c r="L13" s="267">
        <f t="shared" si="0"/>
      </c>
      <c r="M13" s="268">
        <f t="shared" si="1"/>
      </c>
      <c r="N13" s="269">
        <v>8</v>
      </c>
      <c r="O13" s="270">
        <f t="shared" si="4"/>
      </c>
      <c r="P13" s="259"/>
      <c r="Q13" s="259"/>
    </row>
    <row r="14">
      <c r="A14" s="258">
        <v>46208</v>
      </c>
      <c r="B14" s="259" t="s">
        <v>351</v>
      </c>
      <c r="C14" s="260" t="s">
        <v>357</v>
      </c>
      <c r="D14" s="260">
        <v>5</v>
      </c>
      <c r="E14" s="261">
        <v>8</v>
      </c>
      <c r="F14" s="262">
        <v>83</v>
      </c>
      <c r="G14" s="262">
        <v>69</v>
      </c>
      <c r="H14" s="264">
        <v>22632.5</v>
      </c>
      <c r="I14" s="271">
        <f>21853.91+0.13</f>
      </c>
      <c r="J14" s="266">
        <f t="shared" si="3"/>
      </c>
      <c r="K14" s="266">
        <f t="shared" si="5"/>
      </c>
      <c r="L14" s="267">
        <f t="shared" si="0"/>
      </c>
      <c r="M14" s="268">
        <f t="shared" si="1"/>
      </c>
      <c r="N14" s="269">
        <v>18</v>
      </c>
      <c r="O14" s="270">
        <f t="shared" si="4"/>
      </c>
      <c r="P14" s="259" t="s">
        <v>358</v>
      </c>
      <c r="Q14" s="259">
        <v>10</v>
      </c>
    </row>
    <row r="15">
      <c r="A15" s="272">
        <v>46208</v>
      </c>
      <c r="B15" s="273" t="s">
        <v>359</v>
      </c>
      <c r="C15" s="274"/>
      <c r="D15" s="274">
        <f>SUM(D11:D14)</f>
      </c>
      <c r="E15" s="274">
        <f>SUM(E11:E14)</f>
      </c>
      <c r="F15" s="274">
        <f>SUM(F11:F14)</f>
      </c>
      <c r="G15" s="274">
        <f>SUM(G11:G14)</f>
      </c>
      <c r="H15" s="274">
        <f>SUM(H11:H14)</f>
      </c>
      <c r="I15" s="274">
        <f>SUM(I11:I14)</f>
      </c>
      <c r="J15" s="276">
        <f t="shared" si="3"/>
      </c>
      <c r="K15" s="277">
        <f t="shared" si="5"/>
      </c>
      <c r="L15" s="277">
        <f t="shared" si="0"/>
      </c>
      <c r="M15" s="278">
        <f t="shared" si="1"/>
      </c>
      <c r="N15" s="279">
        <f>SUM(N11:N14)</f>
      </c>
      <c r="O15" s="278">
        <f t="shared" si="4"/>
      </c>
      <c r="P15" s="280"/>
      <c r="Q15" s="281">
        <f>SUM(Q11:Q14)</f>
      </c>
    </row>
    <row r="16">
      <c r="A16" s="258">
        <v>46209</v>
      </c>
      <c r="B16" s="259" t="s">
        <v>362</v>
      </c>
      <c r="C16" s="282" t="s">
        <v>360</v>
      </c>
      <c r="D16" s="260">
        <v>5</v>
      </c>
      <c r="E16" s="261">
        <v>8</v>
      </c>
      <c r="F16" s="262">
        <v>95</v>
      </c>
      <c r="G16" s="283">
        <v>69</v>
      </c>
      <c r="H16" s="264">
        <v>21843.2</v>
      </c>
      <c r="I16" s="271">
        <v>22778.59</v>
      </c>
      <c r="J16" s="265">
        <f t="shared" si="3"/>
      </c>
      <c r="K16" s="266">
        <f t="shared" si="5"/>
      </c>
      <c r="L16" s="267">
        <f t="shared" si="0"/>
      </c>
      <c r="M16" s="268">
        <f t="shared" si="1"/>
      </c>
      <c r="N16" s="269">
        <v>10</v>
      </c>
      <c r="O16" s="268">
        <f t="shared" si="4"/>
      </c>
      <c r="P16" s="259" t="s">
        <v>361</v>
      </c>
      <c r="Q16" s="259">
        <v>10</v>
      </c>
    </row>
    <row r="17">
      <c r="A17" s="258">
        <v>46209</v>
      </c>
      <c r="B17" s="259" t="s">
        <v>354</v>
      </c>
      <c r="C17" s="260" t="s">
        <v>352</v>
      </c>
      <c r="D17" s="260">
        <v>5</v>
      </c>
      <c r="E17" s="261">
        <v>14</v>
      </c>
      <c r="F17" s="262">
        <v>90</v>
      </c>
      <c r="G17" s="283">
        <v>64</v>
      </c>
      <c r="H17" s="284">
        <v>21782.8</v>
      </c>
      <c r="I17" s="271">
        <v>24639.55</v>
      </c>
      <c r="J17" s="265">
        <f t="shared" si="3"/>
      </c>
      <c r="K17" s="266">
        <f t="shared" si="5"/>
      </c>
      <c r="L17" s="267">
        <f t="shared" si="0"/>
      </c>
      <c r="M17" s="268">
        <f t="shared" si="1"/>
      </c>
      <c r="N17" s="269">
        <v>6</v>
      </c>
      <c r="O17" s="268">
        <f t="shared" si="4"/>
      </c>
      <c r="P17" s="259"/>
      <c r="Q17" s="259"/>
    </row>
    <row r="18">
      <c r="A18" s="258">
        <v>46209</v>
      </c>
      <c r="B18" s="259" t="s">
        <v>351</v>
      </c>
      <c r="C18" s="260" t="s">
        <v>355</v>
      </c>
      <c r="D18" s="260">
        <v>5</v>
      </c>
      <c r="E18" s="261">
        <v>2</v>
      </c>
      <c r="F18" s="262">
        <v>37</v>
      </c>
      <c r="G18" s="262">
        <v>25</v>
      </c>
      <c r="H18" s="271">
        <v>7947.2</v>
      </c>
      <c r="I18" s="264">
        <v>13095.84</v>
      </c>
      <c r="J18" s="266">
        <f t="shared" si="3"/>
      </c>
      <c r="K18" s="266">
        <f t="shared" si="5"/>
      </c>
      <c r="L18" s="267">
        <f t="shared" si="0"/>
      </c>
      <c r="M18" s="268">
        <f t="shared" si="1"/>
      </c>
      <c r="N18" s="269">
        <v>5</v>
      </c>
      <c r="O18" s="270">
        <f t="shared" si="4"/>
      </c>
      <c r="P18" s="259"/>
      <c r="Q18" s="259"/>
    </row>
    <row r="19">
      <c r="A19" s="258">
        <v>46209</v>
      </c>
      <c r="B19" s="259" t="s">
        <v>356</v>
      </c>
      <c r="C19" s="260" t="s">
        <v>357</v>
      </c>
      <c r="D19" s="260">
        <v>5</v>
      </c>
      <c r="E19" s="261">
        <v>9</v>
      </c>
      <c r="F19" s="262">
        <v>75</v>
      </c>
      <c r="G19" s="262">
        <v>49</v>
      </c>
      <c r="H19" s="264">
        <v>16213.199999999997</v>
      </c>
      <c r="I19" s="271">
        <f>19420.85+0.8</f>
      </c>
      <c r="J19" s="266">
        <f t="shared" si="3"/>
      </c>
      <c r="K19" s="266">
        <f t="shared" si="5"/>
      </c>
      <c r="L19" s="267">
        <f t="shared" si="0"/>
      </c>
      <c r="M19" s="268">
        <f t="shared" si="1"/>
      </c>
      <c r="N19" s="269">
        <v>3</v>
      </c>
      <c r="O19" s="270">
        <f t="shared" si="4"/>
      </c>
      <c r="P19" s="259" t="s">
        <v>358</v>
      </c>
      <c r="Q19" s="259">
        <v>10</v>
      </c>
    </row>
    <row r="20">
      <c r="A20" s="272">
        <v>46209</v>
      </c>
      <c r="B20" s="273" t="s">
        <v>359</v>
      </c>
      <c r="C20" s="274"/>
      <c r="D20" s="274">
        <f>SUM(D16:D19)</f>
      </c>
      <c r="E20" s="274">
        <f>SUM(E16:E19)</f>
      </c>
      <c r="F20" s="274">
        <f>SUM(F16:F19)</f>
      </c>
      <c r="G20" s="275">
        <f>SUM(G16:G19)</f>
      </c>
      <c r="H20" s="275">
        <f>SUM(H16:H19)</f>
      </c>
      <c r="I20" s="274">
        <f>SUM(I16:I19)</f>
      </c>
      <c r="J20" s="276">
        <f t="shared" si="3"/>
      </c>
      <c r="K20" s="277">
        <f t="shared" si="5"/>
      </c>
      <c r="L20" s="277">
        <f t="shared" si="0"/>
      </c>
      <c r="M20" s="278">
        <f t="shared" si="1"/>
      </c>
      <c r="N20" s="279">
        <f>SUM(N16:N19)</f>
      </c>
      <c r="O20" s="278">
        <f t="shared" si="4"/>
      </c>
      <c r="P20" s="280"/>
      <c r="Q20" s="281">
        <f>SUM(Q16:Q19)</f>
      </c>
    </row>
    <row r="21">
      <c r="A21" s="258">
        <v>46210</v>
      </c>
      <c r="B21" s="259" t="s">
        <v>362</v>
      </c>
      <c r="C21" s="282" t="s">
        <v>360</v>
      </c>
      <c r="D21" s="260">
        <v>5</v>
      </c>
      <c r="E21" s="261">
        <v>9</v>
      </c>
      <c r="F21" s="283">
        <v>97</v>
      </c>
      <c r="G21" s="262">
        <v>68</v>
      </c>
      <c r="H21" s="262">
        <v>23168.3</v>
      </c>
      <c r="I21" s="285">
        <v>18640.92</v>
      </c>
      <c r="J21" s="265">
        <f t="shared" si="3"/>
      </c>
      <c r="K21" s="266">
        <f t="shared" si="5"/>
      </c>
      <c r="L21" s="267">
        <f t="shared" si="0"/>
      </c>
      <c r="M21" s="268">
        <f t="shared" si="1"/>
      </c>
      <c r="N21" s="269">
        <v>14</v>
      </c>
      <c r="O21" s="268">
        <f t="shared" si="4"/>
      </c>
      <c r="P21" s="259" t="s">
        <v>361</v>
      </c>
      <c r="Q21" s="259">
        <v>10</v>
      </c>
    </row>
    <row r="22">
      <c r="A22" s="258">
        <v>46210</v>
      </c>
      <c r="B22" s="259" t="s">
        <v>363</v>
      </c>
      <c r="C22" s="260" t="s">
        <v>364</v>
      </c>
      <c r="D22" s="260">
        <v>2</v>
      </c>
      <c r="E22" s="261">
        <v>2</v>
      </c>
      <c r="F22" s="262">
        <v>26</v>
      </c>
      <c r="G22" s="286">
        <v>19</v>
      </c>
      <c r="H22" s="287">
        <v>6068</v>
      </c>
      <c r="I22" s="285">
        <v>7482.59</v>
      </c>
      <c r="J22" s="265">
        <f t="shared" si="3"/>
      </c>
      <c r="K22" s="266">
        <f t="shared" si="5"/>
      </c>
      <c r="L22" s="267">
        <f t="shared" si="0"/>
      </c>
      <c r="M22" s="268">
        <f t="shared" si="1"/>
      </c>
      <c r="N22" s="269">
        <v>0</v>
      </c>
      <c r="O22" s="268">
        <f t="shared" si="4"/>
      </c>
      <c r="P22" s="259"/>
      <c r="Q22" s="259"/>
    </row>
    <row customHeight="true" ht="16.071428571428573" r="23">
      <c r="A23" s="258">
        <v>46210</v>
      </c>
      <c r="B23" s="259" t="s">
        <v>365</v>
      </c>
      <c r="C23" s="260" t="s">
        <v>366</v>
      </c>
      <c r="D23" s="260">
        <v>4</v>
      </c>
      <c r="E23" s="261">
        <v>3</v>
      </c>
      <c r="F23" s="262">
        <v>46</v>
      </c>
      <c r="G23" s="283">
        <v>28</v>
      </c>
      <c r="H23" s="284">
        <v>8585.2</v>
      </c>
      <c r="I23" s="271">
        <v>14501.600000000002</v>
      </c>
      <c r="J23" s="265">
        <f t="shared" si="3"/>
      </c>
      <c r="K23" s="266">
        <f t="shared" si="5"/>
      </c>
      <c r="L23" s="267">
        <f t="shared" si="0"/>
      </c>
      <c r="M23" s="268">
        <f t="shared" si="1"/>
      </c>
      <c r="N23" s="269">
        <v>1</v>
      </c>
      <c r="O23" s="268">
        <f t="shared" si="4"/>
      </c>
      <c r="P23" s="259"/>
      <c r="Q23" s="259"/>
    </row>
    <row r="24">
      <c r="A24" s="258">
        <v>46210</v>
      </c>
      <c r="B24" s="259" t="s">
        <v>356</v>
      </c>
      <c r="C24" s="260" t="s">
        <v>367</v>
      </c>
      <c r="D24" s="260">
        <v>5</v>
      </c>
      <c r="E24" s="261">
        <v>8</v>
      </c>
      <c r="F24" s="262">
        <v>48</v>
      </c>
      <c r="G24" s="262">
        <v>34</v>
      </c>
      <c r="H24" s="271">
        <v>12209.099999999999</v>
      </c>
      <c r="I24" s="264">
        <v>10415.089999999997</v>
      </c>
      <c r="J24" s="266">
        <f t="shared" si="3"/>
      </c>
      <c r="K24" s="266">
        <f t="shared" si="5"/>
      </c>
      <c r="L24" s="267">
        <f t="shared" si="0"/>
      </c>
      <c r="M24" s="268">
        <f t="shared" si="1"/>
      </c>
      <c r="N24" s="269">
        <v>6</v>
      </c>
      <c r="O24" s="270">
        <f t="shared" si="4"/>
      </c>
      <c r="P24" s="259"/>
      <c r="Q24" s="259"/>
    </row>
    <row r="25">
      <c r="A25" s="258">
        <v>46210</v>
      </c>
      <c r="B25" s="259" t="s">
        <v>354</v>
      </c>
      <c r="C25" s="260" t="s">
        <v>368</v>
      </c>
      <c r="D25" s="260">
        <v>4</v>
      </c>
      <c r="E25" s="261">
        <v>4</v>
      </c>
      <c r="F25" s="262">
        <v>46</v>
      </c>
      <c r="G25" s="262">
        <v>33</v>
      </c>
      <c r="H25" s="264">
        <v>10260.300000000003</v>
      </c>
      <c r="I25" s="271">
        <f>8058.47+1.31+1.25</f>
      </c>
      <c r="J25" s="266">
        <f t="shared" si="3"/>
      </c>
      <c r="K25" s="266">
        <f t="shared" si="5"/>
      </c>
      <c r="L25" s="267">
        <f t="shared" si="0"/>
      </c>
      <c r="M25" s="268">
        <f t="shared" si="1"/>
      </c>
      <c r="N25" s="269">
        <v>7</v>
      </c>
      <c r="O25" s="270">
        <f t="shared" si="4"/>
      </c>
      <c r="P25" s="259" t="s">
        <v>358</v>
      </c>
      <c r="Q25" s="259">
        <v>10</v>
      </c>
    </row>
    <row r="26">
      <c r="A26" s="272">
        <v>46210</v>
      </c>
      <c r="B26" s="273" t="s">
        <v>359</v>
      </c>
      <c r="C26" s="274"/>
      <c r="D26" s="274">
        <f>SUM(D21:D25)</f>
      </c>
      <c r="E26" s="274">
        <f>SUM(E21:E25)</f>
      </c>
      <c r="F26" s="274">
        <f>SUM(F21:F25)</f>
      </c>
      <c r="G26" s="274">
        <f>SUM(G21:G25)</f>
      </c>
      <c r="H26" s="274">
        <f>SUM(H21:H25)</f>
      </c>
      <c r="I26" s="274">
        <f>SUM(I21:I25)</f>
      </c>
      <c r="J26" s="276">
        <f t="shared" si="3"/>
      </c>
      <c r="K26" s="277">
        <f t="shared" si="5"/>
      </c>
      <c r="L26" s="277">
        <f t="shared" si="0"/>
      </c>
      <c r="M26" s="278">
        <f t="shared" si="1"/>
      </c>
      <c r="N26" s="279">
        <f>SUM(N21:N25)</f>
      </c>
      <c r="O26" s="278">
        <f t="shared" si="4"/>
      </c>
      <c r="P26" s="280"/>
      <c r="Q26" s="281">
        <f>SUM(Q21:Q25)</f>
      </c>
    </row>
    <row r="27">
      <c r="A27" s="258">
        <v>46211</v>
      </c>
      <c r="B27" s="259" t="s">
        <v>362</v>
      </c>
      <c r="C27" s="282" t="s">
        <v>360</v>
      </c>
      <c r="D27" s="260">
        <v>5</v>
      </c>
      <c r="E27" s="261">
        <v>15</v>
      </c>
      <c r="F27" s="283">
        <v>94</v>
      </c>
      <c r="G27" s="262">
        <v>70</v>
      </c>
      <c r="H27" s="264">
        <v>21879.5</v>
      </c>
      <c r="I27" s="271">
        <v>23769.02</v>
      </c>
      <c r="J27" s="265">
        <f t="shared" si="3"/>
      </c>
      <c r="K27" s="266">
        <f t="shared" si="5"/>
      </c>
      <c r="L27" s="267">
        <f t="shared" si="0"/>
      </c>
      <c r="M27" s="268">
        <f t="shared" si="1"/>
      </c>
      <c r="N27" s="269">
        <v>13</v>
      </c>
      <c r="O27" s="268">
        <f t="shared" si="4"/>
      </c>
      <c r="P27" s="259" t="s">
        <v>361</v>
      </c>
      <c r="Q27" s="259">
        <v>10</v>
      </c>
    </row>
    <row r="28">
      <c r="A28" s="258">
        <v>46211</v>
      </c>
      <c r="B28" s="259" t="s">
        <v>356</v>
      </c>
      <c r="C28" s="260" t="s">
        <v>352</v>
      </c>
      <c r="D28" s="260">
        <v>5</v>
      </c>
      <c r="E28" s="261">
        <v>3</v>
      </c>
      <c r="F28" s="262">
        <v>67</v>
      </c>
      <c r="G28" s="286">
        <v>38</v>
      </c>
      <c r="H28" s="287">
        <v>12735.599999999999</v>
      </c>
      <c r="I28" s="285">
        <v>14573.460000000003</v>
      </c>
      <c r="J28" s="265">
        <f t="shared" si="3"/>
      </c>
      <c r="K28" s="266">
        <f t="shared" si="5"/>
      </c>
      <c r="L28" s="267">
        <f t="shared" si="0"/>
      </c>
      <c r="M28" s="268">
        <f t="shared" si="1"/>
      </c>
      <c r="N28" s="269">
        <v>3</v>
      </c>
      <c r="O28" s="268">
        <f t="shared" si="4"/>
      </c>
      <c r="P28" s="259"/>
      <c r="Q28" s="259"/>
    </row>
    <row r="29">
      <c r="A29" s="258">
        <v>46211</v>
      </c>
      <c r="B29" s="259" t="s">
        <v>363</v>
      </c>
      <c r="C29" s="260" t="s">
        <v>369</v>
      </c>
      <c r="D29" s="260">
        <v>2</v>
      </c>
      <c r="E29" s="261">
        <v>2</v>
      </c>
      <c r="F29" s="262">
        <v>29</v>
      </c>
      <c r="G29" s="283">
        <v>18</v>
      </c>
      <c r="H29" s="284">
        <v>6963.200000000004</v>
      </c>
      <c r="I29" s="271">
        <v>5239.719999999994</v>
      </c>
      <c r="J29" s="265">
        <f t="shared" si="3"/>
      </c>
      <c r="K29" s="266">
        <f t="shared" si="5"/>
      </c>
      <c r="L29" s="267">
        <f t="shared" si="0"/>
      </c>
      <c r="M29" s="268">
        <f t="shared" si="1"/>
      </c>
      <c r="N29" s="269">
        <v>2</v>
      </c>
      <c r="O29" s="268">
        <f t="shared" si="4"/>
      </c>
      <c r="P29" s="259"/>
      <c r="Q29" s="259"/>
    </row>
    <row r="30">
      <c r="A30" s="258">
        <v>46211</v>
      </c>
      <c r="B30" s="259" t="s">
        <v>370</v>
      </c>
      <c r="C30" s="260" t="s">
        <v>371</v>
      </c>
      <c r="D30" s="260">
        <v>3</v>
      </c>
      <c r="E30" s="261">
        <v>5</v>
      </c>
      <c r="F30" s="262">
        <v>49</v>
      </c>
      <c r="G30" s="262">
        <v>32</v>
      </c>
      <c r="H30" s="271">
        <v>9333.599999999999</v>
      </c>
      <c r="I30" s="264">
        <v>11685.160000000003</v>
      </c>
      <c r="J30" s="266">
        <f t="shared" si="3"/>
      </c>
      <c r="K30" s="266">
        <f t="shared" si="5"/>
      </c>
      <c r="L30" s="267">
        <f t="shared" si="0"/>
      </c>
      <c r="M30" s="268">
        <f t="shared" si="1"/>
      </c>
      <c r="N30" s="269">
        <v>6</v>
      </c>
      <c r="O30" s="270">
        <f t="shared" si="4"/>
      </c>
      <c r="P30" s="259"/>
      <c r="Q30" s="259"/>
    </row>
    <row r="31">
      <c r="A31" s="258">
        <v>46211</v>
      </c>
      <c r="B31" s="259" t="s">
        <v>351</v>
      </c>
      <c r="C31" s="260" t="s">
        <v>357</v>
      </c>
      <c r="D31" s="260">
        <v>5</v>
      </c>
      <c r="E31" s="261">
        <v>15</v>
      </c>
      <c r="F31" s="262">
        <v>111</v>
      </c>
      <c r="G31" s="262">
        <v>87</v>
      </c>
      <c r="H31" s="264">
        <v>31885.700000000004</v>
      </c>
      <c r="I31" s="271">
        <f>25317.79+0.55+0.07+0.02</f>
      </c>
      <c r="J31" s="266">
        <f t="shared" si="3"/>
      </c>
      <c r="K31" s="266">
        <f t="shared" si="5"/>
      </c>
      <c r="L31" s="267">
        <f t="shared" si="0"/>
      </c>
      <c r="M31" s="268">
        <f t="shared" si="1"/>
      </c>
      <c r="N31" s="269">
        <v>16</v>
      </c>
      <c r="O31" s="270">
        <f t="shared" si="4"/>
      </c>
      <c r="P31" s="259" t="s">
        <v>358</v>
      </c>
      <c r="Q31" s="259">
        <v>10</v>
      </c>
    </row>
    <row r="32">
      <c r="A32" s="272">
        <v>46211</v>
      </c>
      <c r="B32" s="273" t="s">
        <v>359</v>
      </c>
      <c r="C32" s="274"/>
      <c r="D32" s="274">
        <f>SUM(D27:D31)</f>
      </c>
      <c r="E32" s="274">
        <f>SUM(E27:E31)</f>
      </c>
      <c r="F32" s="274">
        <f>SUM(F27:F31)</f>
      </c>
      <c r="G32" s="274">
        <f>SUM(G27:G31)</f>
      </c>
      <c r="H32" s="274">
        <f>SUM(H27:H31)</f>
      </c>
      <c r="I32" s="274">
        <f>SUM(I27:I31)</f>
      </c>
      <c r="J32" s="276">
        <f t="shared" si="3"/>
      </c>
      <c r="K32" s="277">
        <f t="shared" si="5"/>
      </c>
      <c r="L32" s="277">
        <f t="shared" si="0"/>
      </c>
      <c r="M32" s="278">
        <f t="shared" si="1"/>
      </c>
      <c r="N32" s="279">
        <f>SUM(N27:N31)</f>
      </c>
      <c r="O32" s="278">
        <f t="shared" si="4"/>
      </c>
      <c r="P32" s="280"/>
      <c r="Q32" s="281">
        <f>SUM(Q27:Q31)</f>
      </c>
    </row>
    <row r="33">
      <c r="A33" s="258">
        <v>46212</v>
      </c>
      <c r="B33" s="259" t="s">
        <v>362</v>
      </c>
      <c r="C33" s="282" t="s">
        <v>360</v>
      </c>
      <c r="D33" s="260">
        <v>5</v>
      </c>
      <c r="E33" s="261">
        <v>11</v>
      </c>
      <c r="F33" s="283">
        <v>78</v>
      </c>
      <c r="G33" s="288">
        <v>48</v>
      </c>
      <c r="H33" s="264">
        <v>15700.1</v>
      </c>
      <c r="I33" s="285">
        <v>17515.129999999997</v>
      </c>
      <c r="J33" s="265">
        <f t="shared" si="3"/>
      </c>
      <c r="K33" s="266">
        <f t="shared" si="5"/>
      </c>
      <c r="L33" s="267">
        <f t="shared" si="0"/>
      </c>
      <c r="M33" s="268">
        <f t="shared" si="1"/>
      </c>
      <c r="N33" s="269">
        <v>8</v>
      </c>
      <c r="O33" s="268">
        <f t="shared" si="4"/>
      </c>
      <c r="P33" s="259" t="s">
        <v>361</v>
      </c>
      <c r="Q33" s="259">
        <v>10</v>
      </c>
    </row>
    <row r="34">
      <c r="A34" s="258">
        <v>46212</v>
      </c>
      <c r="B34" s="259" t="s">
        <v>356</v>
      </c>
      <c r="C34" s="260" t="s">
        <v>372</v>
      </c>
      <c r="D34" s="260">
        <v>4</v>
      </c>
      <c r="E34" s="289">
        <v>2</v>
      </c>
      <c r="F34" s="283">
        <v>31</v>
      </c>
      <c r="G34" s="290">
        <v>17</v>
      </c>
      <c r="H34" s="264">
        <v>4328.6</v>
      </c>
      <c r="I34" s="285">
        <v>8465.640000000003</v>
      </c>
      <c r="J34" s="265">
        <f t="shared" si="3"/>
      </c>
      <c r="K34" s="266">
        <f t="shared" si="5"/>
      </c>
      <c r="L34" s="267">
        <f t="shared" si="0"/>
      </c>
      <c r="M34" s="268">
        <f t="shared" si="1"/>
      </c>
      <c r="N34" s="291">
        <v>2</v>
      </c>
      <c r="O34" s="268">
        <f t="shared" si="4"/>
      </c>
      <c r="P34" s="259"/>
      <c r="Q34" s="259"/>
    </row>
    <row r="35">
      <c r="A35" s="258">
        <v>46212</v>
      </c>
      <c r="B35" s="259" t="s">
        <v>363</v>
      </c>
      <c r="C35" s="260" t="s">
        <v>373</v>
      </c>
      <c r="D35" s="260">
        <v>2</v>
      </c>
      <c r="E35" s="289">
        <v>5</v>
      </c>
      <c r="F35" s="262">
        <v>25</v>
      </c>
      <c r="G35" s="286">
        <v>22</v>
      </c>
      <c r="H35" s="284">
        <v>7693.200000000001</v>
      </c>
      <c r="I35" s="271">
        <v>4461.75</v>
      </c>
      <c r="J35" s="265">
        <f t="shared" si="3"/>
      </c>
      <c r="K35" s="266">
        <f t="shared" si="5"/>
      </c>
      <c r="L35" s="267">
        <f t="shared" si="0"/>
      </c>
      <c r="M35" s="268">
        <f t="shared" si="1"/>
      </c>
      <c r="N35" s="291">
        <v>5</v>
      </c>
      <c r="O35" s="268">
        <f t="shared" si="4"/>
      </c>
      <c r="P35" s="259"/>
      <c r="Q35" s="259"/>
    </row>
    <row customHeight="true" ht="16.666666666666668" r="36">
      <c r="A36" s="258">
        <v>46212</v>
      </c>
      <c r="B36" s="259" t="s">
        <v>354</v>
      </c>
      <c r="C36" s="260" t="s">
        <v>374</v>
      </c>
      <c r="D36" s="260">
        <v>4</v>
      </c>
      <c r="E36" s="261">
        <v>8</v>
      </c>
      <c r="F36" s="262">
        <v>75</v>
      </c>
      <c r="G36" s="288">
        <v>53</v>
      </c>
      <c r="H36" s="271">
        <v>15333</v>
      </c>
      <c r="I36" s="264">
        <v>12680.829999999998</v>
      </c>
      <c r="J36" s="266">
        <f t="shared" si="3"/>
      </c>
      <c r="K36" s="266">
        <f t="shared" si="5"/>
      </c>
      <c r="L36" s="267">
        <f t="shared" si="0"/>
      </c>
      <c r="M36" s="268">
        <f t="shared" si="1"/>
      </c>
      <c r="N36" s="269">
        <v>6</v>
      </c>
      <c r="O36" s="270">
        <f t="shared" si="4"/>
      </c>
      <c r="P36" s="259"/>
      <c r="Q36" s="259"/>
    </row>
    <row r="37">
      <c r="A37" s="258">
        <v>46212</v>
      </c>
      <c r="B37" s="259" t="s">
        <v>351</v>
      </c>
      <c r="C37" s="260" t="s">
        <v>357</v>
      </c>
      <c r="D37" s="260">
        <v>5</v>
      </c>
      <c r="E37" s="261">
        <v>8</v>
      </c>
      <c r="F37" s="283">
        <v>97</v>
      </c>
      <c r="G37" s="292">
        <v>57</v>
      </c>
      <c r="H37" s="264">
        <v>21490</v>
      </c>
      <c r="I37" s="271">
        <f>23071.64+0.01</f>
      </c>
      <c r="J37" s="266">
        <f t="shared" si="3"/>
      </c>
      <c r="K37" s="266">
        <f t="shared" si="5"/>
      </c>
      <c r="L37" s="267">
        <f t="shared" si="0"/>
      </c>
      <c r="M37" s="268">
        <f t="shared" si="1"/>
      </c>
      <c r="N37" s="269">
        <v>5</v>
      </c>
      <c r="O37" s="270">
        <f t="shared" si="4"/>
      </c>
      <c r="P37" s="259" t="s">
        <v>358</v>
      </c>
      <c r="Q37" s="259">
        <v>10</v>
      </c>
    </row>
    <row r="38">
      <c r="A38" s="272">
        <v>46212</v>
      </c>
      <c r="B38" s="273" t="s">
        <v>359</v>
      </c>
      <c r="C38" s="274"/>
      <c r="D38" s="274">
        <f>SUM(D33:D37)</f>
      </c>
      <c r="E38" s="274">
        <f>SUM(E33:E37)</f>
      </c>
      <c r="F38" s="274">
        <f>SUM(F33:F37)</f>
      </c>
      <c r="G38" s="273">
        <f>SUM(G33:G37)</f>
      </c>
      <c r="H38" s="274">
        <f>SUM(H33:H37)</f>
      </c>
      <c r="I38" s="274">
        <f>SUM(I33:I37)</f>
      </c>
      <c r="J38" s="276">
        <f t="shared" si="3"/>
      </c>
      <c r="K38" s="277">
        <f t="shared" si="5"/>
      </c>
      <c r="L38" s="277">
        <f t="shared" si="0"/>
      </c>
      <c r="M38" s="278">
        <f t="shared" si="1"/>
      </c>
      <c r="N38" s="279">
        <f>SUM(N33:N37)</f>
      </c>
      <c r="O38" s="278">
        <f t="shared" si="4"/>
      </c>
      <c r="P38" s="280"/>
      <c r="Q38" s="281">
        <f>SUM(Q33:Q37)</f>
      </c>
    </row>
    <row r="39">
      <c r="A39" s="258">
        <v>46213</v>
      </c>
      <c r="B39" s="259" t="s">
        <v>354</v>
      </c>
      <c r="C39" s="282" t="s">
        <v>375</v>
      </c>
      <c r="D39" s="260">
        <v>4</v>
      </c>
      <c r="E39" s="261">
        <v>9</v>
      </c>
      <c r="F39" s="283">
        <v>69</v>
      </c>
      <c r="G39" s="288">
        <v>46</v>
      </c>
      <c r="H39" s="264">
        <v>16247.5</v>
      </c>
      <c r="I39" s="285">
        <v>12901.019999999999</v>
      </c>
      <c r="J39" s="265">
        <f t="shared" si="3"/>
      </c>
      <c r="K39" s="266">
        <f t="shared" si="5"/>
      </c>
      <c r="L39" s="267">
        <f t="shared" si="0"/>
      </c>
      <c r="M39" s="268">
        <f t="shared" si="1"/>
      </c>
      <c r="N39" s="269">
        <v>10</v>
      </c>
      <c r="O39" s="268">
        <f t="shared" si="4"/>
      </c>
      <c r="P39" s="259" t="s">
        <v>361</v>
      </c>
      <c r="Q39" s="259">
        <v>10</v>
      </c>
    </row>
    <row r="40">
      <c r="A40" s="258">
        <v>46213</v>
      </c>
      <c r="B40" s="259" t="s">
        <v>351</v>
      </c>
      <c r="C40" s="260" t="s">
        <v>376</v>
      </c>
      <c r="D40" s="260">
        <v>4</v>
      </c>
      <c r="E40" s="289">
        <v>3</v>
      </c>
      <c r="F40" s="283">
        <v>37</v>
      </c>
      <c r="G40" s="290">
        <v>17</v>
      </c>
      <c r="H40" s="264">
        <v>4980</v>
      </c>
      <c r="I40" s="285">
        <v>8588.700000000003</v>
      </c>
      <c r="J40" s="265">
        <f t="shared" si="3"/>
      </c>
      <c r="K40" s="266">
        <f t="shared" si="5"/>
      </c>
      <c r="L40" s="267">
        <f t="shared" si="0"/>
      </c>
      <c r="M40" s="268">
        <f t="shared" si="1"/>
      </c>
      <c r="N40" s="291">
        <v>0</v>
      </c>
      <c r="O40" s="268">
        <f t="shared" si="4"/>
      </c>
      <c r="P40" s="259"/>
      <c r="Q40" s="259"/>
    </row>
    <row r="41">
      <c r="A41" s="258">
        <v>46213</v>
      </c>
      <c r="B41" s="259" t="s">
        <v>363</v>
      </c>
      <c r="C41" s="260" t="s">
        <v>377</v>
      </c>
      <c r="D41" s="260">
        <v>5</v>
      </c>
      <c r="E41" s="289">
        <v>11</v>
      </c>
      <c r="F41" s="262">
        <v>73</v>
      </c>
      <c r="G41" s="286">
        <v>39</v>
      </c>
      <c r="H41" s="284">
        <v>10899</v>
      </c>
      <c r="I41" s="271">
        <v>16934.21</v>
      </c>
      <c r="J41" s="265">
        <f t="shared" si="3"/>
      </c>
      <c r="K41" s="266">
        <f t="shared" si="5"/>
      </c>
      <c r="L41" s="267">
        <f t="shared" si="0"/>
      </c>
      <c r="M41" s="268">
        <f t="shared" si="1"/>
      </c>
      <c r="N41" s="291">
        <v>3</v>
      </c>
      <c r="O41" s="268">
        <f t="shared" si="4"/>
      </c>
      <c r="P41" s="259"/>
      <c r="Q41" s="259"/>
    </row>
    <row r="42">
      <c r="A42" s="258">
        <v>46213</v>
      </c>
      <c r="B42" s="259" t="s">
        <v>356</v>
      </c>
      <c r="C42" s="260" t="s">
        <v>378</v>
      </c>
      <c r="D42" s="260">
        <v>1</v>
      </c>
      <c r="E42" s="261">
        <v>1</v>
      </c>
      <c r="F42" s="262">
        <v>16</v>
      </c>
      <c r="G42" s="288">
        <v>9</v>
      </c>
      <c r="H42" s="271">
        <v>5020</v>
      </c>
      <c r="I42" s="264">
        <v>2775.959999999999</v>
      </c>
      <c r="J42" s="266">
        <f t="shared" si="3"/>
      </c>
      <c r="K42" s="266">
        <f t="shared" si="5"/>
      </c>
      <c r="L42" s="267">
        <f t="shared" si="0"/>
      </c>
      <c r="M42" s="268">
        <f t="shared" si="1"/>
      </c>
      <c r="N42" s="269">
        <v>0</v>
      </c>
      <c r="O42" s="270">
        <f t="shared" si="4"/>
      </c>
      <c r="P42" s="259"/>
      <c r="Q42" s="259"/>
    </row>
    <row r="43">
      <c r="A43" s="258">
        <v>46213</v>
      </c>
      <c r="B43" s="259" t="s">
        <v>362</v>
      </c>
      <c r="C43" s="260" t="s">
        <v>379</v>
      </c>
      <c r="D43" s="260">
        <v>6</v>
      </c>
      <c r="E43" s="261">
        <v>14</v>
      </c>
      <c r="F43" s="283">
        <v>122</v>
      </c>
      <c r="G43" s="292">
        <v>87</v>
      </c>
      <c r="H43" s="264">
        <v>26143.300000000003</v>
      </c>
      <c r="I43" s="271">
        <f>26036.99+0.09</f>
      </c>
      <c r="J43" s="266">
        <f t="shared" si="3"/>
      </c>
      <c r="K43" s="266">
        <f t="shared" si="5"/>
      </c>
      <c r="L43" s="267">
        <f t="shared" si="0"/>
      </c>
      <c r="M43" s="268">
        <f t="shared" si="1"/>
      </c>
      <c r="N43" s="269">
        <v>2</v>
      </c>
      <c r="O43" s="270">
        <f t="shared" si="4"/>
      </c>
      <c r="P43" s="259" t="s">
        <v>358</v>
      </c>
      <c r="Q43" s="259">
        <v>10</v>
      </c>
    </row>
    <row r="44">
      <c r="A44" s="272">
        <v>46213</v>
      </c>
      <c r="B44" s="273" t="s">
        <v>359</v>
      </c>
      <c r="C44" s="274"/>
      <c r="D44" s="274">
        <f>SUM(D39:D43)</f>
      </c>
      <c r="E44" s="274">
        <f>SUM(E39:E43)</f>
      </c>
      <c r="F44" s="274">
        <f>SUM(F39:F43)</f>
      </c>
      <c r="G44" s="273">
        <f>SUM(G39:G43)</f>
      </c>
      <c r="H44" s="274">
        <f>SUM(H39:H43)</f>
      </c>
      <c r="I44" s="274">
        <f>SUM(I39:I43)</f>
      </c>
      <c r="J44" s="276">
        <f t="shared" si="3"/>
      </c>
      <c r="K44" s="277">
        <f t="shared" si="5"/>
      </c>
      <c r="L44" s="277">
        <f t="shared" si="0"/>
      </c>
      <c r="M44" s="278">
        <f t="shared" si="1"/>
      </c>
      <c r="N44" s="279">
        <f>SUM(N39:N43)</f>
      </c>
      <c r="O44" s="278">
        <f t="shared" si="4"/>
      </c>
      <c r="P44" s="280"/>
      <c r="Q44" s="281">
        <f>SUM(Q39:Q43)</f>
      </c>
    </row>
    <row r="45">
      <c r="A45" s="258">
        <v>46214</v>
      </c>
      <c r="B45" s="259" t="s">
        <v>354</v>
      </c>
      <c r="C45" s="282" t="s">
        <v>375</v>
      </c>
      <c r="D45" s="260">
        <v>4</v>
      </c>
      <c r="E45" s="261">
        <v>11</v>
      </c>
      <c r="F45" s="283">
        <v>79</v>
      </c>
      <c r="G45" s="288">
        <v>47</v>
      </c>
      <c r="H45" s="264">
        <v>14513.1</v>
      </c>
      <c r="I45" s="285">
        <v>17432.12</v>
      </c>
      <c r="J45" s="265">
        <f t="shared" si="3"/>
      </c>
      <c r="K45" s="266">
        <f t="shared" si="5"/>
      </c>
      <c r="L45" s="267">
        <f t="shared" si="0"/>
      </c>
      <c r="M45" s="268">
        <f t="shared" si="1"/>
      </c>
      <c r="N45" s="269">
        <v>2</v>
      </c>
      <c r="O45" s="268">
        <f t="shared" si="4"/>
      </c>
      <c r="P45" s="259" t="s">
        <v>361</v>
      </c>
      <c r="Q45" s="259">
        <v>7</v>
      </c>
    </row>
    <row r="46">
      <c r="A46" s="258">
        <v>46214</v>
      </c>
      <c r="B46" s="259" t="s">
        <v>363</v>
      </c>
      <c r="C46" s="260" t="s">
        <v>380</v>
      </c>
      <c r="D46" s="260">
        <v>3</v>
      </c>
      <c r="E46" s="289">
        <v>8</v>
      </c>
      <c r="F46" s="283">
        <v>69</v>
      </c>
      <c r="G46" s="290">
        <v>47</v>
      </c>
      <c r="H46" s="264">
        <v>15029.1</v>
      </c>
      <c r="I46" s="271">
        <v>10913.17</v>
      </c>
      <c r="J46" s="265">
        <f t="shared" si="3"/>
      </c>
      <c r="K46" s="266">
        <f t="shared" si="5"/>
      </c>
      <c r="L46" s="267">
        <f t="shared" si="0"/>
      </c>
      <c r="M46" s="268">
        <f t="shared" si="1"/>
      </c>
      <c r="N46" s="291">
        <v>11</v>
      </c>
      <c r="O46" s="268">
        <f t="shared" si="4"/>
      </c>
      <c r="P46" s="259"/>
      <c r="Q46" s="259"/>
    </row>
    <row r="47">
      <c r="A47" s="272">
        <v>46214</v>
      </c>
      <c r="B47" s="273" t="s">
        <v>359</v>
      </c>
      <c r="C47" s="274"/>
      <c r="D47" s="274">
        <f>SUM(D45:D46)</f>
      </c>
      <c r="E47" s="274">
        <f>SUM(E45:E46)</f>
      </c>
      <c r="F47" s="274">
        <f>SUM(F45:F46)</f>
      </c>
      <c r="G47" s="273">
        <f>SUM(G45:G46)</f>
      </c>
      <c r="H47" s="274">
        <f>SUM(H45:H46)</f>
      </c>
      <c r="I47" s="274">
        <f>SUM(I45:I46)</f>
      </c>
      <c r="J47" s="276">
        <f t="shared" si="3"/>
      </c>
      <c r="K47" s="277">
        <f t="shared" si="5"/>
      </c>
      <c r="L47" s="277">
        <f t="shared" si="0"/>
      </c>
      <c r="M47" s="278">
        <f t="shared" si="1"/>
      </c>
      <c r="N47" s="279">
        <f>SUM(N45:N46)</f>
      </c>
      <c r="O47" s="278">
        <f t="shared" si="4"/>
      </c>
      <c r="P47" s="280"/>
      <c r="Q47" s="281">
        <f>SUM(Q45:Q46)</f>
      </c>
    </row>
    <row r="48">
      <c r="A48" s="258">
        <v>46215</v>
      </c>
      <c r="B48" s="259" t="s">
        <v>363</v>
      </c>
      <c r="C48" s="260" t="s">
        <v>381</v>
      </c>
      <c r="D48" s="260">
        <v>3</v>
      </c>
      <c r="E48" s="261">
        <v>19</v>
      </c>
      <c r="F48" s="283">
        <v>95</v>
      </c>
      <c r="G48" s="288">
        <v>67</v>
      </c>
      <c r="H48" s="264">
        <v>23123.3</v>
      </c>
      <c r="I48" s="285">
        <v>21618.59</v>
      </c>
      <c r="J48" s="265">
        <f t="shared" si="3"/>
      </c>
      <c r="K48" s="266">
        <f t="shared" si="5"/>
      </c>
      <c r="L48" s="267">
        <f t="shared" si="0"/>
      </c>
      <c r="M48" s="268">
        <f t="shared" si="1"/>
      </c>
      <c r="N48" s="269">
        <v>8</v>
      </c>
      <c r="O48" s="268">
        <f t="shared" si="4"/>
      </c>
      <c r="P48" s="259" t="s">
        <v>382</v>
      </c>
      <c r="Q48" s="259">
        <v>2</v>
      </c>
    </row>
    <row customHeight="true" ht="16.071428571428573" r="49">
      <c r="A49" s="258">
        <v>46215</v>
      </c>
      <c r="B49" s="259" t="s">
        <v>354</v>
      </c>
      <c r="C49" s="260" t="s">
        <v>374</v>
      </c>
      <c r="D49" s="260">
        <v>4</v>
      </c>
      <c r="E49" s="261">
        <v>20</v>
      </c>
      <c r="F49" s="283">
        <v>170</v>
      </c>
      <c r="G49" s="288">
        <v>103</v>
      </c>
      <c r="H49" s="264">
        <v>32850.3</v>
      </c>
      <c r="I49" s="285">
        <v>36181.6</v>
      </c>
      <c r="J49" s="265">
        <f t="shared" si="3"/>
      </c>
      <c r="K49" s="266">
        <f t="shared" si="5"/>
      </c>
      <c r="L49" s="267">
        <f t="shared" si="0"/>
      </c>
      <c r="M49" s="268">
        <f t="shared" si="1"/>
      </c>
      <c r="N49" s="269">
        <v>5</v>
      </c>
      <c r="O49" s="268">
        <f t="shared" si="4"/>
      </c>
      <c r="P49" s="259"/>
      <c r="Q49" s="259"/>
    </row>
    <row r="50">
      <c r="A50" s="258">
        <v>46215</v>
      </c>
      <c r="B50" s="259" t="s">
        <v>362</v>
      </c>
      <c r="C50" s="260" t="s">
        <v>357</v>
      </c>
      <c r="D50" s="260">
        <v>5</v>
      </c>
      <c r="E50" s="289">
        <v>18</v>
      </c>
      <c r="F50" s="282">
        <v>176</v>
      </c>
      <c r="G50" s="283">
        <v>127</v>
      </c>
      <c r="H50" s="264">
        <v>43051.2</v>
      </c>
      <c r="I50" s="285">
        <v>36823.22</v>
      </c>
      <c r="J50" s="265">
        <f t="shared" si="3"/>
      </c>
      <c r="K50" s="266">
        <f t="shared" si="5"/>
      </c>
      <c r="L50" s="267">
        <f t="shared" si="0"/>
      </c>
      <c r="M50" s="268">
        <f t="shared" si="1"/>
      </c>
      <c r="N50" s="291">
        <v>19</v>
      </c>
      <c r="O50" s="268">
        <f t="shared" si="4"/>
      </c>
      <c r="P50" s="259" t="s">
        <v>358</v>
      </c>
      <c r="Q50" s="259">
        <v>10</v>
      </c>
    </row>
    <row r="51">
      <c r="A51" s="272">
        <v>46215</v>
      </c>
      <c r="B51" s="273" t="s">
        <v>359</v>
      </c>
      <c r="C51" s="274"/>
      <c r="D51" s="274">
        <f>SUM(D48:D50)</f>
      </c>
      <c r="E51" s="274">
        <f>SUM(E48:E50)</f>
      </c>
      <c r="F51" s="274">
        <f>SUM(F48:F50)</f>
      </c>
      <c r="G51" s="273">
        <f>SUM(G48:G50)</f>
      </c>
      <c r="H51" s="274">
        <f>SUM(H48:H50)</f>
      </c>
      <c r="I51" s="274">
        <f>SUM(I48:I50)</f>
      </c>
      <c r="J51" s="276">
        <f t="shared" si="3"/>
      </c>
      <c r="K51" s="277">
        <f t="shared" si="5"/>
      </c>
      <c r="L51" s="277">
        <f t="shared" si="0"/>
      </c>
      <c r="M51" s="278">
        <f t="shared" si="1"/>
      </c>
      <c r="N51" s="279">
        <f>SUM(N48:N50)</f>
      </c>
      <c r="O51" s="278">
        <f t="shared" si="4"/>
      </c>
      <c r="P51" s="280"/>
      <c r="Q51" s="281">
        <f>SUM(Q48:Q50)</f>
      </c>
    </row>
    <row r="52">
      <c r="A52" s="258">
        <v>46216</v>
      </c>
      <c r="B52" s="259" t="s">
        <v>354</v>
      </c>
      <c r="C52" s="282" t="s">
        <v>375</v>
      </c>
      <c r="D52" s="260">
        <v>4</v>
      </c>
      <c r="E52" s="261">
        <v>12</v>
      </c>
      <c r="F52" s="283">
        <v>115</v>
      </c>
      <c r="G52" s="288">
        <v>70</v>
      </c>
      <c r="H52" s="264">
        <v>20230.7</v>
      </c>
      <c r="I52" s="285">
        <v>22933.48</v>
      </c>
      <c r="J52" s="265">
        <f t="shared" si="3"/>
      </c>
      <c r="K52" s="266">
        <f t="shared" si="5"/>
      </c>
      <c r="L52" s="267">
        <f t="shared" si="0"/>
      </c>
      <c r="M52" s="268">
        <f t="shared" si="1"/>
      </c>
      <c r="N52" s="269">
        <v>9</v>
      </c>
      <c r="O52" s="268">
        <f t="shared" si="4"/>
      </c>
      <c r="P52" s="259" t="s">
        <v>361</v>
      </c>
      <c r="Q52" s="259">
        <v>10</v>
      </c>
    </row>
    <row r="53">
      <c r="A53" s="258">
        <v>46216</v>
      </c>
      <c r="B53" s="259" t="s">
        <v>383</v>
      </c>
      <c r="C53" s="260" t="s">
        <v>384</v>
      </c>
      <c r="D53" s="260">
        <v>2</v>
      </c>
      <c r="E53" s="261">
        <v>1</v>
      </c>
      <c r="F53" s="283">
        <v>53</v>
      </c>
      <c r="G53" s="288">
        <v>32</v>
      </c>
      <c r="H53" s="264">
        <v>12004</v>
      </c>
      <c r="I53" s="285">
        <v>9892.41</v>
      </c>
      <c r="J53" s="265">
        <f t="shared" si="3"/>
      </c>
      <c r="K53" s="266">
        <f t="shared" si="5"/>
      </c>
      <c r="L53" s="267">
        <f t="shared" si="0"/>
      </c>
      <c r="M53" s="268">
        <f t="shared" si="1"/>
      </c>
      <c r="N53" s="269">
        <v>3</v>
      </c>
      <c r="O53" s="268">
        <f t="shared" si="4"/>
      </c>
      <c r="P53" s="259"/>
      <c r="Q53" s="259"/>
    </row>
    <row customHeight="true" ht="16.071428571428573" r="54">
      <c r="A54" s="258">
        <v>46216</v>
      </c>
      <c r="B54" s="259" t="s">
        <v>356</v>
      </c>
      <c r="C54" s="260" t="s">
        <v>385</v>
      </c>
      <c r="D54" s="260">
        <v>5</v>
      </c>
      <c r="E54" s="261">
        <v>6</v>
      </c>
      <c r="F54" s="283">
        <v>141</v>
      </c>
      <c r="G54" s="288">
        <v>83</v>
      </c>
      <c r="H54" s="264">
        <v>28120.399999999998</v>
      </c>
      <c r="I54" s="285">
        <v>29940.320000000007</v>
      </c>
      <c r="J54" s="265">
        <f t="shared" si="3"/>
      </c>
      <c r="K54" s="266">
        <f t="shared" si="5"/>
      </c>
      <c r="L54" s="267">
        <f t="shared" si="0"/>
      </c>
      <c r="M54" s="268">
        <f t="shared" si="1"/>
      </c>
      <c r="N54" s="269">
        <v>9</v>
      </c>
      <c r="O54" s="268">
        <f t="shared" si="4"/>
      </c>
      <c r="P54" s="259"/>
      <c r="Q54" s="259"/>
    </row>
    <row customHeight="true" ht="16.071428571428573" r="55">
      <c r="A55" s="258">
        <v>46216</v>
      </c>
      <c r="B55" s="259" t="s">
        <v>351</v>
      </c>
      <c r="C55" s="260" t="s">
        <v>374</v>
      </c>
      <c r="D55" s="260">
        <v>4</v>
      </c>
      <c r="E55" s="261">
        <v>8</v>
      </c>
      <c r="F55" s="283">
        <v>95</v>
      </c>
      <c r="G55" s="288">
        <v>72</v>
      </c>
      <c r="H55" s="264">
        <v>22061.000000000007</v>
      </c>
      <c r="I55" s="285">
        <v>25819.810000000005</v>
      </c>
      <c r="J55" s="265">
        <f t="shared" si="3"/>
      </c>
      <c r="K55" s="266">
        <f t="shared" si="5"/>
      </c>
      <c r="L55" s="267">
        <f t="shared" si="0"/>
      </c>
      <c r="M55" s="268">
        <f t="shared" si="1"/>
      </c>
      <c r="N55" s="269">
        <v>11</v>
      </c>
      <c r="O55" s="268">
        <f t="shared" si="4"/>
      </c>
      <c r="P55" s="259"/>
      <c r="Q55" s="259"/>
    </row>
    <row r="56">
      <c r="A56" s="258">
        <v>46216</v>
      </c>
      <c r="B56" s="259" t="s">
        <v>362</v>
      </c>
      <c r="C56" s="260" t="s">
        <v>357</v>
      </c>
      <c r="D56" s="260">
        <v>5</v>
      </c>
      <c r="E56" s="289">
        <v>8</v>
      </c>
      <c r="F56" s="282">
        <v>77</v>
      </c>
      <c r="G56" s="283">
        <v>59</v>
      </c>
      <c r="H56" s="264">
        <v>25222.59999999999</v>
      </c>
      <c r="I56" s="285">
        <v>19137.03</v>
      </c>
      <c r="J56" s="265">
        <f t="shared" si="3"/>
      </c>
      <c r="K56" s="266">
        <f t="shared" si="5"/>
      </c>
      <c r="L56" s="267">
        <f t="shared" si="0"/>
      </c>
      <c r="M56" s="268">
        <f t="shared" si="1"/>
      </c>
      <c r="N56" s="291">
        <v>3</v>
      </c>
      <c r="O56" s="268">
        <f t="shared" si="4"/>
      </c>
      <c r="P56" s="259" t="s">
        <v>358</v>
      </c>
      <c r="Q56" s="259">
        <v>10</v>
      </c>
    </row>
    <row r="57">
      <c r="A57" s="272">
        <v>46216</v>
      </c>
      <c r="B57" s="273" t="s">
        <v>359</v>
      </c>
      <c r="C57" s="274"/>
      <c r="D57" s="274">
        <f>SUM(D52:D56)</f>
      </c>
      <c r="E57" s="274">
        <f>SUM(E52:E56)</f>
      </c>
      <c r="F57" s="274">
        <f>SUM(F52:F56)</f>
      </c>
      <c r="G57" s="273">
        <f>SUM(G52:G56)</f>
      </c>
      <c r="H57" s="274">
        <f>SUM(H52:H56)</f>
      </c>
      <c r="I57" s="274">
        <f>SUM(I52:I56)</f>
      </c>
      <c r="J57" s="276">
        <f t="shared" si="3"/>
      </c>
      <c r="K57" s="277">
        <f t="shared" si="5"/>
      </c>
      <c r="L57" s="277">
        <f t="shared" si="0"/>
      </c>
      <c r="M57" s="278">
        <f t="shared" si="1"/>
      </c>
      <c r="N57" s="279">
        <f>SUM(N52:N56)</f>
      </c>
      <c r="O57" s="278">
        <f t="shared" si="4"/>
      </c>
      <c r="P57" s="280"/>
      <c r="Q57" s="281">
        <f>SUM(Q52:Q56)</f>
      </c>
    </row>
    <row r="58">
      <c r="A58" s="258">
        <v>46217</v>
      </c>
      <c r="B58" s="259" t="s">
        <v>354</v>
      </c>
      <c r="C58" s="282" t="s">
        <v>375</v>
      </c>
      <c r="D58" s="260">
        <v>4</v>
      </c>
      <c r="E58" s="261">
        <v>6</v>
      </c>
      <c r="F58" s="283">
        <v>83</v>
      </c>
      <c r="G58" s="288">
        <v>45</v>
      </c>
      <c r="H58" s="264">
        <v>12383.1</v>
      </c>
      <c r="I58" s="285">
        <v>16404.33</v>
      </c>
      <c r="J58" s="265">
        <f t="shared" si="3"/>
      </c>
      <c r="K58" s="266">
        <f t="shared" si="5"/>
      </c>
      <c r="L58" s="267">
        <f t="shared" si="0"/>
      </c>
      <c r="M58" s="268">
        <f t="shared" si="1"/>
      </c>
      <c r="N58" s="269">
        <v>5</v>
      </c>
      <c r="O58" s="268">
        <f t="shared" si="4"/>
      </c>
      <c r="P58" s="259" t="s">
        <v>361</v>
      </c>
      <c r="Q58" s="259">
        <v>10</v>
      </c>
    </row>
    <row r="59">
      <c r="A59" s="258">
        <v>46217</v>
      </c>
      <c r="B59" s="259" t="s">
        <v>351</v>
      </c>
      <c r="C59" s="260" t="s">
        <v>386</v>
      </c>
      <c r="D59" s="260">
        <v>5</v>
      </c>
      <c r="E59" s="261">
        <v>7</v>
      </c>
      <c r="F59" s="283">
        <v>84</v>
      </c>
      <c r="G59" s="288">
        <v>53</v>
      </c>
      <c r="H59" s="264">
        <v>16173.199999999999</v>
      </c>
      <c r="I59" s="285">
        <v>15878.75</v>
      </c>
      <c r="J59" s="265">
        <f t="shared" si="3"/>
      </c>
      <c r="K59" s="266">
        <f t="shared" si="5"/>
      </c>
      <c r="L59" s="267">
        <f t="shared" si="0"/>
      </c>
      <c r="M59" s="268">
        <f t="shared" si="1"/>
      </c>
      <c r="N59" s="269">
        <v>13</v>
      </c>
      <c r="O59" s="268">
        <f t="shared" si="4"/>
      </c>
      <c r="P59" s="259"/>
      <c r="Q59" s="259"/>
    </row>
    <row r="60">
      <c r="A60" s="258">
        <v>46217</v>
      </c>
      <c r="B60" s="259" t="s">
        <v>363</v>
      </c>
      <c r="C60" s="260" t="s">
        <v>387</v>
      </c>
      <c r="D60" s="260">
        <v>4</v>
      </c>
      <c r="E60" s="261">
        <v>8</v>
      </c>
      <c r="F60" s="283">
        <v>64</v>
      </c>
      <c r="G60" s="288">
        <v>37</v>
      </c>
      <c r="H60" s="264">
        <v>11078.399999999998</v>
      </c>
      <c r="I60" s="285">
        <v>10840.120000000003</v>
      </c>
      <c r="J60" s="265">
        <f t="shared" si="3"/>
      </c>
      <c r="K60" s="266">
        <f t="shared" si="5"/>
      </c>
      <c r="L60" s="267">
        <f t="shared" si="0"/>
      </c>
      <c r="M60" s="268">
        <f t="shared" si="1"/>
      </c>
      <c r="N60" s="269">
        <v>5</v>
      </c>
      <c r="O60" s="268">
        <f t="shared" si="4"/>
      </c>
      <c r="P60" s="259"/>
      <c r="Q60" s="259"/>
    </row>
    <row r="61">
      <c r="A61" s="258">
        <v>46217</v>
      </c>
      <c r="B61" s="259" t="s">
        <v>383</v>
      </c>
      <c r="C61" s="260" t="s">
        <v>388</v>
      </c>
      <c r="D61" s="260">
        <v>2</v>
      </c>
      <c r="E61" s="261">
        <v>9</v>
      </c>
      <c r="F61" s="283">
        <v>44</v>
      </c>
      <c r="G61" s="288">
        <v>22</v>
      </c>
      <c r="H61" s="264">
        <v>5912.9000000000015</v>
      </c>
      <c r="I61" s="285">
        <v>7283.949999999997</v>
      </c>
      <c r="J61" s="265">
        <f t="shared" si="3"/>
      </c>
      <c r="K61" s="266">
        <f t="shared" si="5"/>
      </c>
      <c r="L61" s="267">
        <f t="shared" si="0"/>
      </c>
      <c r="M61" s="268">
        <f t="shared" si="1"/>
      </c>
      <c r="N61" s="269">
        <v>4</v>
      </c>
      <c r="O61" s="268">
        <f t="shared" si="4"/>
      </c>
      <c r="P61" s="259"/>
      <c r="Q61" s="259"/>
    </row>
    <row r="62">
      <c r="A62" s="258">
        <v>46217</v>
      </c>
      <c r="B62" s="259" t="s">
        <v>362</v>
      </c>
      <c r="C62" s="260" t="s">
        <v>357</v>
      </c>
      <c r="D62" s="260">
        <v>5</v>
      </c>
      <c r="E62" s="289">
        <v>9</v>
      </c>
      <c r="F62" s="282">
        <v>99</v>
      </c>
      <c r="G62" s="283">
        <v>60</v>
      </c>
      <c r="H62" s="264">
        <v>19171</v>
      </c>
      <c r="I62" s="285">
        <v>19685.46</v>
      </c>
      <c r="J62" s="265">
        <f t="shared" si="3"/>
      </c>
      <c r="K62" s="266">
        <f t="shared" si="5"/>
      </c>
      <c r="L62" s="267">
        <f t="shared" si="0"/>
      </c>
      <c r="M62" s="268">
        <f t="shared" si="1"/>
      </c>
      <c r="N62" s="291">
        <v>7</v>
      </c>
      <c r="O62" s="268">
        <f t="shared" si="4"/>
      </c>
      <c r="P62" s="259" t="s">
        <v>358</v>
      </c>
      <c r="Q62" s="259">
        <v>10</v>
      </c>
    </row>
    <row r="63">
      <c r="A63" s="272">
        <v>46217</v>
      </c>
      <c r="B63" s="273" t="s">
        <v>359</v>
      </c>
      <c r="C63" s="274"/>
      <c r="D63" s="274">
        <f>SUM(D58:D62)</f>
      </c>
      <c r="E63" s="274">
        <f>SUM(E58:E62)</f>
      </c>
      <c r="F63" s="274">
        <f>SUM(F58:F62)</f>
      </c>
      <c r="G63" s="273">
        <f>SUM(G58:G62)</f>
      </c>
      <c r="H63" s="274">
        <f>SUM(H58:H62)</f>
      </c>
      <c r="I63" s="274">
        <f>SUM(I58:I62)</f>
      </c>
      <c r="J63" s="276">
        <f t="shared" si="3"/>
      </c>
      <c r="K63" s="277">
        <f t="shared" si="5"/>
      </c>
      <c r="L63" s="277">
        <f t="shared" si="0"/>
      </c>
      <c r="M63" s="278">
        <f t="shared" si="1"/>
      </c>
      <c r="N63" s="279">
        <f>SUM(N58:N62)</f>
      </c>
      <c r="O63" s="278">
        <f t="shared" si="4"/>
      </c>
      <c r="P63" s="280"/>
      <c r="Q63" s="281">
        <f>SUM(Q58:Q62)</f>
      </c>
    </row>
    <row r="64">
      <c r="A64" s="258">
        <v>46218</v>
      </c>
      <c r="B64" s="259" t="s">
        <v>356</v>
      </c>
      <c r="C64" s="282" t="s">
        <v>375</v>
      </c>
      <c r="D64" s="260">
        <v>4</v>
      </c>
      <c r="E64" s="261">
        <v>8</v>
      </c>
      <c r="F64" s="283">
        <v>66</v>
      </c>
      <c r="G64" s="288">
        <v>40</v>
      </c>
      <c r="H64" s="264">
        <v>14496.8</v>
      </c>
      <c r="I64" s="285">
        <v>16721.08</v>
      </c>
      <c r="J64" s="265">
        <f t="shared" si="3"/>
      </c>
      <c r="K64" s="266">
        <f t="shared" si="5"/>
      </c>
      <c r="L64" s="267">
        <f t="shared" si="0"/>
      </c>
      <c r="M64" s="268">
        <f t="shared" si="1"/>
      </c>
      <c r="N64" s="269">
        <v>4</v>
      </c>
      <c r="O64" s="268">
        <f t="shared" si="4"/>
      </c>
      <c r="P64" s="259" t="s">
        <v>361</v>
      </c>
      <c r="Q64" s="259">
        <v>10</v>
      </c>
    </row>
    <row r="65">
      <c r="A65" s="258">
        <v>46218</v>
      </c>
      <c r="B65" s="259" t="s">
        <v>354</v>
      </c>
      <c r="C65" s="260" t="s">
        <v>376</v>
      </c>
      <c r="D65" s="260">
        <v>4</v>
      </c>
      <c r="E65" s="261">
        <v>7</v>
      </c>
      <c r="F65" s="283">
        <v>74</v>
      </c>
      <c r="G65" s="288">
        <v>53</v>
      </c>
      <c r="H65" s="264">
        <v>15841.600000000002</v>
      </c>
      <c r="I65" s="285">
        <v>18163.050000000003</v>
      </c>
      <c r="J65" s="265">
        <f t="shared" si="3"/>
      </c>
      <c r="K65" s="266">
        <f t="shared" si="5"/>
      </c>
      <c r="L65" s="267">
        <f t="shared" si="0"/>
      </c>
      <c r="M65" s="268">
        <f t="shared" si="1"/>
      </c>
      <c r="N65" s="269">
        <v>6</v>
      </c>
      <c r="O65" s="268">
        <f t="shared" si="4"/>
      </c>
      <c r="P65" s="259"/>
      <c r="Q65" s="259"/>
    </row>
    <row r="66">
      <c r="A66" s="258">
        <v>46218</v>
      </c>
      <c r="B66" s="259" t="s">
        <v>351</v>
      </c>
      <c r="C66" s="260" t="s">
        <v>389</v>
      </c>
      <c r="D66" s="260">
        <v>4</v>
      </c>
      <c r="E66" s="261">
        <v>0</v>
      </c>
      <c r="F66" s="283">
        <v>50</v>
      </c>
      <c r="G66" s="288">
        <v>31</v>
      </c>
      <c r="H66" s="264">
        <v>9385.199999999997</v>
      </c>
      <c r="I66" s="285">
        <v>13099.01999999999</v>
      </c>
      <c r="J66" s="265">
        <f t="shared" si="3"/>
      </c>
      <c r="K66" s="266">
        <f t="shared" si="5"/>
      </c>
      <c r="L66" s="267">
        <f t="shared" si="0"/>
      </c>
      <c r="M66" s="268">
        <f t="shared" si="1"/>
      </c>
      <c r="N66" s="269">
        <v>5</v>
      </c>
      <c r="O66" s="268">
        <f t="shared" si="4"/>
      </c>
      <c r="P66" s="259"/>
      <c r="Q66" s="259"/>
    </row>
    <row r="67">
      <c r="A67" s="258">
        <v>46218</v>
      </c>
      <c r="B67" s="259" t="s">
        <v>383</v>
      </c>
      <c r="C67" s="260" t="s">
        <v>371</v>
      </c>
      <c r="D67" s="260">
        <v>3</v>
      </c>
      <c r="E67" s="261">
        <v>2</v>
      </c>
      <c r="F67" s="283">
        <v>38</v>
      </c>
      <c r="G67" s="288">
        <v>18</v>
      </c>
      <c r="H67" s="264">
        <v>4661.200000000004</v>
      </c>
      <c r="I67" s="285">
        <v>8318.879999999997</v>
      </c>
      <c r="J67" s="265">
        <f t="shared" si="3"/>
      </c>
      <c r="K67" s="266">
        <f t="shared" si="5"/>
      </c>
      <c r="L67" s="267">
        <f t="shared" si="0"/>
      </c>
      <c r="M67" s="268">
        <f t="shared" si="1"/>
      </c>
      <c r="N67" s="269">
        <v>2</v>
      </c>
      <c r="O67" s="268">
        <f t="shared" si="4"/>
      </c>
      <c r="P67" s="259"/>
      <c r="Q67" s="259"/>
    </row>
    <row r="68">
      <c r="A68" s="258">
        <v>46218</v>
      </c>
      <c r="B68" s="259" t="s">
        <v>362</v>
      </c>
      <c r="C68" s="260" t="s">
        <v>357</v>
      </c>
      <c r="D68" s="260">
        <v>5</v>
      </c>
      <c r="E68" s="289">
        <v>6</v>
      </c>
      <c r="F68" s="282">
        <v>102</v>
      </c>
      <c r="G68" s="283">
        <v>82</v>
      </c>
      <c r="H68" s="264">
        <v>32216.800000000003</v>
      </c>
      <c r="I68" s="271">
        <f>26298.3+0.47</f>
      </c>
      <c r="J68" s="265">
        <f t="shared" si="3"/>
      </c>
      <c r="K68" s="266">
        <f t="shared" si="5"/>
      </c>
      <c r="L68" s="267">
        <f t="shared" si="0"/>
      </c>
      <c r="M68" s="268">
        <f t="shared" si="1"/>
      </c>
      <c r="N68" s="291">
        <v>10</v>
      </c>
      <c r="O68" s="268">
        <f t="shared" si="4"/>
      </c>
      <c r="P68" s="259" t="s">
        <v>358</v>
      </c>
      <c r="Q68" s="259">
        <v>10</v>
      </c>
    </row>
    <row r="69">
      <c r="A69" s="272">
        <v>46218</v>
      </c>
      <c r="B69" s="273" t="s">
        <v>359</v>
      </c>
      <c r="C69" s="274"/>
      <c r="D69" s="274">
        <f>SUM(D64:D68)</f>
      </c>
      <c r="E69" s="274">
        <f>SUM(E64:E68)</f>
      </c>
      <c r="F69" s="274">
        <f>SUM(F64:F68)</f>
      </c>
      <c r="G69" s="273">
        <f>SUM(G64:G68)</f>
      </c>
      <c r="H69" s="274">
        <f>SUM(H64:H68)</f>
      </c>
      <c r="I69" s="274">
        <f>SUM(I64:I68)</f>
      </c>
      <c r="J69" s="276">
        <f t="shared" si="3"/>
      </c>
      <c r="K69" s="277">
        <f t="shared" si="5"/>
      </c>
      <c r="L69" s="277">
        <f t="shared" si="0"/>
      </c>
      <c r="M69" s="278">
        <f t="shared" si="1"/>
      </c>
      <c r="N69" s="279">
        <f>SUM(N64:N68)</f>
      </c>
      <c r="O69" s="278">
        <f t="shared" si="4"/>
      </c>
      <c r="P69" s="280"/>
      <c r="Q69" s="281">
        <f>SUM(Q64:Q68)</f>
      </c>
    </row>
    <row r="70">
      <c r="A70" s="258">
        <v>46219</v>
      </c>
      <c r="B70" s="259" t="s">
        <v>354</v>
      </c>
      <c r="C70" s="282" t="s">
        <v>375</v>
      </c>
      <c r="D70" s="260">
        <v>4</v>
      </c>
      <c r="E70" s="261">
        <v>17</v>
      </c>
      <c r="F70" s="283">
        <v>118</v>
      </c>
      <c r="G70" s="288">
        <v>84</v>
      </c>
      <c r="H70" s="264">
        <v>27635.9</v>
      </c>
      <c r="I70" s="285">
        <v>24762.19</v>
      </c>
      <c r="J70" s="265">
        <f t="shared" si="3"/>
      </c>
      <c r="K70" s="266">
        <f t="shared" si="5"/>
      </c>
      <c r="L70" s="267">
        <f t="shared" si="0"/>
      </c>
      <c r="M70" s="268">
        <f t="shared" si="1"/>
      </c>
      <c r="N70" s="269">
        <v>12</v>
      </c>
      <c r="O70" s="268">
        <f t="shared" si="4"/>
      </c>
      <c r="P70" s="259" t="s">
        <v>361</v>
      </c>
      <c r="Q70" s="259">
        <v>10</v>
      </c>
    </row>
    <row r="71">
      <c r="A71" s="258">
        <v>46219</v>
      </c>
      <c r="B71" s="259" t="s">
        <v>356</v>
      </c>
      <c r="C71" s="260" t="s">
        <v>386</v>
      </c>
      <c r="D71" s="260">
        <v>5</v>
      </c>
      <c r="E71" s="261">
        <v>12</v>
      </c>
      <c r="F71" s="283">
        <v>121</v>
      </c>
      <c r="G71" s="288">
        <v>93</v>
      </c>
      <c r="H71" s="264">
        <v>32536.4</v>
      </c>
      <c r="I71" s="285">
        <v>26450.8</v>
      </c>
      <c r="J71" s="265">
        <f t="shared" si="3"/>
      </c>
      <c r="K71" s="266">
        <f t="shared" si="5"/>
      </c>
      <c r="L71" s="267">
        <f t="shared" si="0"/>
      </c>
      <c r="M71" s="268">
        <f t="shared" si="1"/>
      </c>
      <c r="N71" s="269">
        <v>18</v>
      </c>
      <c r="O71" s="268">
        <f t="shared" si="4"/>
      </c>
      <c r="P71" s="259"/>
      <c r="Q71" s="259"/>
    </row>
    <row r="72">
      <c r="A72" s="258">
        <v>46219</v>
      </c>
      <c r="B72" s="259" t="s">
        <v>351</v>
      </c>
      <c r="C72" s="260" t="s">
        <v>387</v>
      </c>
      <c r="D72" s="260">
        <v>4</v>
      </c>
      <c r="E72" s="261">
        <v>10</v>
      </c>
      <c r="F72" s="283">
        <v>69</v>
      </c>
      <c r="G72" s="288">
        <v>46</v>
      </c>
      <c r="H72" s="264">
        <v>18330.5</v>
      </c>
      <c r="I72" s="285">
        <v>16669.019999999997</v>
      </c>
      <c r="J72" s="265">
        <f t="shared" si="3"/>
      </c>
      <c r="K72" s="266">
        <f t="shared" si="5"/>
      </c>
      <c r="L72" s="267">
        <f t="shared" si="0"/>
      </c>
      <c r="M72" s="268">
        <f t="shared" si="1"/>
      </c>
      <c r="N72" s="269">
        <v>9</v>
      </c>
      <c r="O72" s="268">
        <f t="shared" si="4"/>
      </c>
      <c r="P72" s="259"/>
      <c r="Q72" s="259"/>
    </row>
    <row r="73">
      <c r="A73" s="258">
        <v>46219</v>
      </c>
      <c r="B73" s="259" t="s">
        <v>383</v>
      </c>
      <c r="C73" s="260" t="s">
        <v>388</v>
      </c>
      <c r="D73" s="260">
        <v>2</v>
      </c>
      <c r="E73" s="261">
        <v>6</v>
      </c>
      <c r="F73" s="283">
        <v>48</v>
      </c>
      <c r="G73" s="288">
        <v>27</v>
      </c>
      <c r="H73" s="264">
        <v>8343.5</v>
      </c>
      <c r="I73" s="285">
        <v>11024.459999999992</v>
      </c>
      <c r="J73" s="265">
        <f t="shared" si="3"/>
      </c>
      <c r="K73" s="266">
        <f t="shared" si="5"/>
      </c>
      <c r="L73" s="267">
        <f t="shared" si="0"/>
      </c>
      <c r="M73" s="268">
        <f t="shared" si="1"/>
      </c>
      <c r="N73" s="269">
        <v>2</v>
      </c>
      <c r="O73" s="268">
        <f t="shared" si="4"/>
      </c>
      <c r="P73" s="259"/>
      <c r="Q73" s="259"/>
    </row>
    <row r="74">
      <c r="A74" s="258">
        <v>46219</v>
      </c>
      <c r="B74" s="259" t="s">
        <v>362</v>
      </c>
      <c r="C74" s="260" t="s">
        <v>357</v>
      </c>
      <c r="D74" s="260">
        <v>5</v>
      </c>
      <c r="E74" s="289">
        <v>15</v>
      </c>
      <c r="F74" s="282">
        <v>132</v>
      </c>
      <c r="G74" s="283">
        <v>107</v>
      </c>
      <c r="H74" s="264">
        <v>35508.5</v>
      </c>
      <c r="I74" s="285">
        <v>29141.65</v>
      </c>
      <c r="J74" s="265">
        <f t="shared" si="3"/>
      </c>
      <c r="K74" s="266">
        <f t="shared" si="5"/>
      </c>
      <c r="L74" s="267">
        <f t="shared" si="0"/>
      </c>
      <c r="M74" s="268">
        <f t="shared" si="1"/>
      </c>
      <c r="N74" s="291">
        <v>25</v>
      </c>
      <c r="O74" s="268">
        <f t="shared" si="4"/>
      </c>
      <c r="P74" s="259" t="s">
        <v>358</v>
      </c>
      <c r="Q74" s="259">
        <v>10</v>
      </c>
    </row>
    <row r="75">
      <c r="A75" s="272">
        <v>46219</v>
      </c>
      <c r="B75" s="273" t="s">
        <v>359</v>
      </c>
      <c r="C75" s="274"/>
      <c r="D75" s="274">
        <f>SUM(D70:D74)</f>
      </c>
      <c r="E75" s="274">
        <f>SUM(E70:E74)</f>
      </c>
      <c r="F75" s="274">
        <f>SUM(F70:F74)</f>
      </c>
      <c r="G75" s="273">
        <f>SUM(G70:G74)</f>
      </c>
      <c r="H75" s="274">
        <f>SUM(H70:H74)</f>
      </c>
      <c r="I75" s="274">
        <f>SUM(I70:I74)</f>
      </c>
      <c r="J75" s="276">
        <f t="shared" si="3"/>
      </c>
      <c r="K75" s="277">
        <f t="shared" si="5"/>
      </c>
      <c r="L75" s="277">
        <f t="shared" si="0"/>
      </c>
      <c r="M75" s="278">
        <f t="shared" si="1"/>
      </c>
      <c r="N75" s="279">
        <f>SUM(N70:N74)</f>
      </c>
      <c r="O75" s="278">
        <f t="shared" si="4"/>
      </c>
      <c r="P75" s="280"/>
      <c r="Q75" s="281">
        <f>SUM(Q70:Q74)</f>
      </c>
    </row>
    <row r="76">
      <c r="A76" s="258">
        <v>46220</v>
      </c>
      <c r="B76" s="259" t="s">
        <v>354</v>
      </c>
      <c r="C76" s="282" t="s">
        <v>375</v>
      </c>
      <c r="D76" s="260">
        <v>4</v>
      </c>
      <c r="E76" s="261">
        <v>16</v>
      </c>
      <c r="F76" s="283">
        <v>129</v>
      </c>
      <c r="G76" s="288">
        <v>89</v>
      </c>
      <c r="H76" s="264">
        <v>24663.8</v>
      </c>
      <c r="I76" s="285">
        <v>27982.17</v>
      </c>
      <c r="J76" s="265">
        <f t="shared" si="3"/>
      </c>
      <c r="K76" s="266">
        <f t="shared" si="5"/>
      </c>
      <c r="L76" s="267">
        <f t="shared" si="0"/>
      </c>
      <c r="M76" s="268">
        <f t="shared" si="1"/>
      </c>
      <c r="N76" s="269">
        <v>11</v>
      </c>
      <c r="O76" s="268">
        <f t="shared" si="4"/>
      </c>
      <c r="P76" s="259" t="s">
        <v>361</v>
      </c>
      <c r="Q76" s="259">
        <v>10</v>
      </c>
    </row>
    <row r="77">
      <c r="A77" s="258">
        <v>46220</v>
      </c>
      <c r="B77" s="259" t="s">
        <v>356</v>
      </c>
      <c r="C77" s="260" t="s">
        <v>386</v>
      </c>
      <c r="D77" s="260">
        <v>5</v>
      </c>
      <c r="E77" s="261">
        <v>10</v>
      </c>
      <c r="F77" s="283">
        <v>142</v>
      </c>
      <c r="G77" s="288">
        <v>85</v>
      </c>
      <c r="H77" s="264">
        <v>26480.7</v>
      </c>
      <c r="I77" s="285">
        <v>30825.740000000005</v>
      </c>
      <c r="J77" s="265">
        <f t="shared" si="3"/>
      </c>
      <c r="K77" s="266">
        <f t="shared" si="5"/>
      </c>
      <c r="L77" s="267">
        <f t="shared" si="0"/>
      </c>
      <c r="M77" s="268">
        <f t="shared" si="1"/>
      </c>
      <c r="N77" s="269">
        <v>8</v>
      </c>
      <c r="O77" s="268">
        <f t="shared" si="4"/>
      </c>
      <c r="P77" s="259"/>
      <c r="Q77" s="259"/>
    </row>
    <row r="78">
      <c r="A78" s="258">
        <v>46220</v>
      </c>
      <c r="B78" s="259" t="s">
        <v>363</v>
      </c>
      <c r="C78" s="260" t="s">
        <v>387</v>
      </c>
      <c r="D78" s="260">
        <v>4</v>
      </c>
      <c r="E78" s="261">
        <v>7</v>
      </c>
      <c r="F78" s="283">
        <v>74</v>
      </c>
      <c r="G78" s="288">
        <v>46</v>
      </c>
      <c r="H78" s="264">
        <v>15436.600000000006</v>
      </c>
      <c r="I78" s="285">
        <v>18547.11</v>
      </c>
      <c r="J78" s="265">
        <f t="shared" si="3"/>
      </c>
      <c r="K78" s="266">
        <f t="shared" si="5"/>
      </c>
      <c r="L78" s="267">
        <f t="shared" si="0"/>
      </c>
      <c r="M78" s="268">
        <f t="shared" si="1"/>
      </c>
      <c r="N78" s="269">
        <v>8</v>
      </c>
      <c r="O78" s="268">
        <f t="shared" si="4"/>
      </c>
      <c r="P78" s="259"/>
      <c r="Q78" s="259"/>
    </row>
    <row r="79">
      <c r="A79" s="258">
        <v>46220</v>
      </c>
      <c r="B79" s="259" t="s">
        <v>383</v>
      </c>
      <c r="C79" s="260" t="s">
        <v>388</v>
      </c>
      <c r="D79" s="260">
        <v>2</v>
      </c>
      <c r="E79" s="261">
        <v>0</v>
      </c>
      <c r="F79" s="283">
        <v>16</v>
      </c>
      <c r="G79" s="288">
        <v>10</v>
      </c>
      <c r="H79" s="264">
        <v>3447.5999999999913</v>
      </c>
      <c r="I79" s="285">
        <v>6824.25</v>
      </c>
      <c r="J79" s="265">
        <f t="shared" si="3"/>
      </c>
      <c r="K79" s="266">
        <f t="shared" si="5"/>
      </c>
      <c r="L79" s="267">
        <f t="shared" si="0"/>
      </c>
      <c r="M79" s="268">
        <f t="shared" si="1"/>
      </c>
      <c r="N79" s="269">
        <v>2</v>
      </c>
      <c r="O79" s="268">
        <f t="shared" si="4"/>
      </c>
      <c r="P79" s="259"/>
      <c r="Q79" s="259"/>
    </row>
    <row r="80">
      <c r="A80" s="258">
        <v>46220</v>
      </c>
      <c r="B80" s="259" t="s">
        <v>362</v>
      </c>
      <c r="C80" s="260" t="s">
        <v>357</v>
      </c>
      <c r="D80" s="260">
        <v>5</v>
      </c>
      <c r="E80" s="289">
        <v>7</v>
      </c>
      <c r="F80" s="282">
        <v>87</v>
      </c>
      <c r="G80" s="283">
        <v>61</v>
      </c>
      <c r="H80" s="264">
        <v>21579.800000000003</v>
      </c>
      <c r="I80" s="285">
        <v>18936.48</v>
      </c>
      <c r="J80" s="265">
        <f t="shared" si="3"/>
      </c>
      <c r="K80" s="266">
        <f t="shared" si="5"/>
      </c>
      <c r="L80" s="267">
        <f t="shared" si="0"/>
      </c>
      <c r="M80" s="268">
        <f t="shared" si="1"/>
      </c>
      <c r="N80" s="291">
        <v>9</v>
      </c>
      <c r="O80" s="268">
        <f t="shared" si="4"/>
      </c>
      <c r="P80" s="259" t="s">
        <v>358</v>
      </c>
      <c r="Q80" s="259">
        <v>10</v>
      </c>
    </row>
    <row r="81">
      <c r="A81" s="272">
        <v>46220</v>
      </c>
      <c r="B81" s="273" t="s">
        <v>359</v>
      </c>
      <c r="C81" s="274"/>
      <c r="D81" s="274">
        <f>SUM(D76:D80)</f>
      </c>
      <c r="E81" s="274">
        <f>SUM(E76:E80)</f>
      </c>
      <c r="F81" s="274">
        <f>SUM(F76:F80)</f>
      </c>
      <c r="G81" s="273">
        <f>SUM(G76:G80)</f>
      </c>
      <c r="H81" s="274">
        <f>SUM(H76:H80)</f>
      </c>
      <c r="I81" s="274">
        <f>SUM(I76:I80)</f>
      </c>
      <c r="J81" s="276">
        <f t="shared" si="3"/>
      </c>
      <c r="K81" s="277">
        <f t="shared" si="5"/>
      </c>
      <c r="L81" s="277">
        <f t="shared" si="0"/>
      </c>
      <c r="M81" s="278">
        <f t="shared" si="1"/>
      </c>
      <c r="N81" s="279">
        <f>SUM(N76:N80)</f>
      </c>
      <c r="O81" s="278">
        <f t="shared" si="4"/>
      </c>
      <c r="P81" s="280"/>
      <c r="Q81" s="281">
        <f>SUM(Q76:Q80)</f>
      </c>
    </row>
    <row r="82">
      <c r="A82" s="258">
        <v>46221</v>
      </c>
      <c r="B82" s="259" t="s">
        <v>354</v>
      </c>
      <c r="C82" s="282" t="s">
        <v>360</v>
      </c>
      <c r="D82" s="260">
        <v>5</v>
      </c>
      <c r="E82" s="261">
        <v>15</v>
      </c>
      <c r="F82" s="283">
        <v>116</v>
      </c>
      <c r="G82" s="288">
        <v>76</v>
      </c>
      <c r="H82" s="264">
        <v>21224.4</v>
      </c>
      <c r="I82" s="285">
        <v>25885.1</v>
      </c>
      <c r="J82" s="265">
        <f t="shared" si="3"/>
      </c>
      <c r="K82" s="266">
        <f t="shared" si="5"/>
      </c>
      <c r="L82" s="267">
        <f t="shared" si="0"/>
      </c>
      <c r="M82" s="268">
        <f t="shared" si="1"/>
      </c>
      <c r="N82" s="269">
        <v>12</v>
      </c>
      <c r="O82" s="268">
        <f t="shared" si="4"/>
      </c>
      <c r="P82" s="259" t="s">
        <v>361</v>
      </c>
      <c r="Q82" s="259">
        <v>10</v>
      </c>
    </row>
    <row r="83">
      <c r="A83" s="258">
        <v>46221</v>
      </c>
      <c r="B83" s="259" t="s">
        <v>351</v>
      </c>
      <c r="C83" s="260" t="s">
        <v>364</v>
      </c>
      <c r="D83" s="260">
        <v>2</v>
      </c>
      <c r="E83" s="261">
        <v>4</v>
      </c>
      <c r="F83" s="283">
        <v>20</v>
      </c>
      <c r="G83" s="288">
        <v>15</v>
      </c>
      <c r="H83" s="264">
        <v>4424.299999999999</v>
      </c>
      <c r="I83" s="285">
        <v>6826.630000000001</v>
      </c>
      <c r="J83" s="265">
        <f t="shared" si="3"/>
      </c>
      <c r="K83" s="266">
        <f t="shared" si="5"/>
      </c>
      <c r="L83" s="267">
        <f t="shared" si="0"/>
      </c>
      <c r="M83" s="268">
        <f t="shared" si="1"/>
      </c>
      <c r="N83" s="269">
        <v>2</v>
      </c>
      <c r="O83" s="268">
        <f t="shared" si="4"/>
      </c>
      <c r="P83" s="259"/>
      <c r="Q83" s="259"/>
    </row>
    <row customHeight="true" ht="16.071428571428573" r="84">
      <c r="A84" s="258">
        <v>46221</v>
      </c>
      <c r="B84" s="259" t="s">
        <v>390</v>
      </c>
      <c r="C84" s="260" t="s">
        <v>391</v>
      </c>
      <c r="D84" s="260">
        <v>3</v>
      </c>
      <c r="E84" s="261">
        <v>2</v>
      </c>
      <c r="F84" s="283">
        <v>46</v>
      </c>
      <c r="G84" s="288">
        <v>30</v>
      </c>
      <c r="H84" s="264">
        <v>11983.999999999996</v>
      </c>
      <c r="I84" s="285">
        <v>9445.350000000002</v>
      </c>
      <c r="J84" s="265">
        <f t="shared" si="3"/>
      </c>
      <c r="K84" s="266">
        <f t="shared" si="5"/>
      </c>
      <c r="L84" s="267">
        <f t="shared" si="0"/>
      </c>
      <c r="M84" s="268">
        <f t="shared" si="1"/>
      </c>
      <c r="N84" s="269">
        <v>6</v>
      </c>
      <c r="O84" s="268">
        <f t="shared" si="4"/>
      </c>
      <c r="P84" s="259"/>
      <c r="Q84" s="259"/>
    </row>
    <row r="85">
      <c r="A85" s="258">
        <v>46221</v>
      </c>
      <c r="B85" s="259" t="s">
        <v>363</v>
      </c>
      <c r="C85" s="260" t="s">
        <v>355</v>
      </c>
      <c r="D85" s="260">
        <v>5</v>
      </c>
      <c r="E85" s="261">
        <v>4</v>
      </c>
      <c r="F85" s="283">
        <v>54</v>
      </c>
      <c r="G85" s="288">
        <v>31</v>
      </c>
      <c r="H85" s="264">
        <v>9896.800000000003</v>
      </c>
      <c r="I85" s="285">
        <v>14273.229999999996</v>
      </c>
      <c r="J85" s="265">
        <f t="shared" si="3"/>
      </c>
      <c r="K85" s="266">
        <f t="shared" si="5"/>
      </c>
      <c r="L85" s="267">
        <f t="shared" si="0"/>
      </c>
      <c r="M85" s="268">
        <f t="shared" si="1"/>
      </c>
      <c r="N85" s="269">
        <v>2</v>
      </c>
      <c r="O85" s="268">
        <f t="shared" si="4"/>
      </c>
      <c r="P85" s="259"/>
      <c r="Q85" s="259"/>
    </row>
    <row r="86">
      <c r="A86" s="258">
        <v>46221</v>
      </c>
      <c r="B86" s="259" t="s">
        <v>356</v>
      </c>
      <c r="C86" s="260" t="s">
        <v>357</v>
      </c>
      <c r="D86" s="260">
        <v>5</v>
      </c>
      <c r="E86" s="289">
        <v>16</v>
      </c>
      <c r="F86" s="282">
        <v>139</v>
      </c>
      <c r="G86" s="283">
        <v>103</v>
      </c>
      <c r="H86" s="264">
        <v>36420.7</v>
      </c>
      <c r="I86" s="271">
        <f>24351.32+51.93</f>
      </c>
      <c r="J86" s="265">
        <f t="shared" si="3"/>
      </c>
      <c r="K86" s="266">
        <f t="shared" si="5"/>
      </c>
      <c r="L86" s="267">
        <f t="shared" si="0"/>
      </c>
      <c r="M86" s="268">
        <f t="shared" si="1"/>
      </c>
      <c r="N86" s="291">
        <v>28</v>
      </c>
      <c r="O86" s="268">
        <f t="shared" si="4"/>
      </c>
      <c r="P86" s="259" t="s">
        <v>358</v>
      </c>
      <c r="Q86" s="259">
        <v>10</v>
      </c>
    </row>
    <row r="87">
      <c r="A87" s="272">
        <v>46221</v>
      </c>
      <c r="B87" s="273" t="s">
        <v>359</v>
      </c>
      <c r="C87" s="274"/>
      <c r="D87" s="274">
        <f>SUM(D82:D86)</f>
      </c>
      <c r="E87" s="274">
        <f>SUM(E82:E86)</f>
      </c>
      <c r="F87" s="274">
        <f>SUM(F82:F86)</f>
      </c>
      <c r="G87" s="273">
        <f>SUM(G82:G86)</f>
      </c>
      <c r="H87" s="274">
        <f>SUM(H82:H86)</f>
      </c>
      <c r="I87" s="274">
        <f>SUM(I82:I86)</f>
      </c>
      <c r="J87" s="276">
        <f t="shared" si="3"/>
      </c>
      <c r="K87" s="277">
        <f t="shared" si="5"/>
      </c>
      <c r="L87" s="277">
        <f t="shared" si="0"/>
      </c>
      <c r="M87" s="278">
        <f t="shared" si="1"/>
      </c>
      <c r="N87" s="279">
        <f>SUM(N82:N86)</f>
      </c>
      <c r="O87" s="278">
        <f t="shared" si="4"/>
      </c>
      <c r="P87" s="280"/>
      <c r="Q87" s="281">
        <f>SUM(Q82:Q86)</f>
      </c>
    </row>
    <row r="88">
      <c r="A88" s="258">
        <v>46222</v>
      </c>
      <c r="B88" s="259" t="s">
        <v>354</v>
      </c>
      <c r="C88" s="282" t="s">
        <v>360</v>
      </c>
      <c r="D88" s="260">
        <v>5</v>
      </c>
      <c r="E88" s="261">
        <v>6</v>
      </c>
      <c r="F88" s="283">
        <v>90</v>
      </c>
      <c r="G88" s="288">
        <v>51</v>
      </c>
      <c r="H88" s="264">
        <v>17951.6</v>
      </c>
      <c r="I88" s="271">
        <v>19067.609999999997</v>
      </c>
      <c r="J88" s="265">
        <f t="shared" si="3"/>
      </c>
      <c r="K88" s="266">
        <f t="shared" si="5"/>
      </c>
      <c r="L88" s="267">
        <f t="shared" si="0"/>
      </c>
      <c r="M88" s="268">
        <f t="shared" si="1"/>
      </c>
      <c r="N88" s="269">
        <v>5</v>
      </c>
      <c r="O88" s="268">
        <f t="shared" si="4"/>
      </c>
      <c r="P88" s="259" t="s">
        <v>361</v>
      </c>
      <c r="Q88" s="259">
        <v>10</v>
      </c>
    </row>
    <row r="89">
      <c r="A89" s="258">
        <v>46222</v>
      </c>
      <c r="B89" s="259" t="s">
        <v>356</v>
      </c>
      <c r="C89" s="260" t="s">
        <v>352</v>
      </c>
      <c r="D89" s="260">
        <v>5</v>
      </c>
      <c r="E89" s="261">
        <v>11</v>
      </c>
      <c r="F89" s="283">
        <v>62</v>
      </c>
      <c r="G89" s="288">
        <v>36</v>
      </c>
      <c r="H89" s="264">
        <v>14248</v>
      </c>
      <c r="I89" s="285">
        <v>14106.560000000001</v>
      </c>
      <c r="J89" s="265">
        <f t="shared" si="3"/>
      </c>
      <c r="K89" s="266">
        <f t="shared" si="5"/>
      </c>
      <c r="L89" s="267">
        <f t="shared" si="0"/>
      </c>
      <c r="M89" s="268">
        <f t="shared" si="1"/>
      </c>
      <c r="N89" s="269">
        <v>7</v>
      </c>
      <c r="O89" s="268">
        <f t="shared" si="4"/>
      </c>
      <c r="P89" s="259"/>
      <c r="Q89" s="259"/>
    </row>
    <row r="90">
      <c r="A90" s="258">
        <v>46222</v>
      </c>
      <c r="B90" s="259" t="s">
        <v>363</v>
      </c>
      <c r="C90" s="260" t="s">
        <v>355</v>
      </c>
      <c r="D90" s="260">
        <v>5</v>
      </c>
      <c r="E90" s="261">
        <v>9</v>
      </c>
      <c r="F90" s="283">
        <v>52</v>
      </c>
      <c r="G90" s="288">
        <v>38</v>
      </c>
      <c r="H90" s="264">
        <v>13482</v>
      </c>
      <c r="I90" s="271">
        <f>10785.07+0.69</f>
      </c>
      <c r="J90" s="265">
        <f t="shared" si="3"/>
      </c>
      <c r="K90" s="266">
        <f t="shared" si="5"/>
      </c>
      <c r="L90" s="267">
        <f t="shared" si="0"/>
      </c>
      <c r="M90" s="268">
        <f t="shared" si="1"/>
      </c>
      <c r="N90" s="269">
        <v>7</v>
      </c>
      <c r="O90" s="268">
        <f t="shared" si="4"/>
      </c>
      <c r="P90" s="259"/>
      <c r="Q90" s="259"/>
    </row>
    <row r="91">
      <c r="A91" s="258">
        <v>46222</v>
      </c>
      <c r="B91" s="259" t="s">
        <v>362</v>
      </c>
      <c r="C91" s="260" t="s">
        <v>357</v>
      </c>
      <c r="D91" s="260">
        <v>5</v>
      </c>
      <c r="E91" s="289">
        <v>9</v>
      </c>
      <c r="F91" s="282">
        <v>84</v>
      </c>
      <c r="G91" s="283">
        <v>63</v>
      </c>
      <c r="H91" s="264">
        <v>22498.700000000004</v>
      </c>
      <c r="I91" s="271">
        <f>13884.95+0.59</f>
      </c>
      <c r="J91" s="265">
        <f t="shared" si="3"/>
      </c>
      <c r="K91" s="266">
        <f t="shared" si="5"/>
      </c>
      <c r="L91" s="267">
        <f t="shared" si="0"/>
      </c>
      <c r="M91" s="268">
        <f t="shared" si="1"/>
      </c>
      <c r="N91" s="291">
        <v>16</v>
      </c>
      <c r="O91" s="268">
        <f t="shared" si="4"/>
      </c>
      <c r="P91" s="259" t="s">
        <v>358</v>
      </c>
      <c r="Q91" s="259">
        <v>10</v>
      </c>
    </row>
    <row r="92">
      <c r="A92" s="272">
        <v>46222</v>
      </c>
      <c r="B92" s="273" t="s">
        <v>359</v>
      </c>
      <c r="C92" s="274"/>
      <c r="D92" s="274">
        <f>SUM(D88:D91)</f>
      </c>
      <c r="E92" s="274">
        <f>SUM(E88:E91)</f>
      </c>
      <c r="F92" s="274">
        <f>SUM(F88:F91)</f>
      </c>
      <c r="G92" s="273">
        <f>SUM(G88:G91)</f>
      </c>
      <c r="H92" s="274">
        <f>SUM(H88:H91)</f>
      </c>
      <c r="I92" s="274">
        <f>SUM(I88:I91)</f>
      </c>
      <c r="J92" s="276">
        <f t="shared" si="3"/>
      </c>
      <c r="K92" s="277">
        <f t="shared" si="5"/>
      </c>
      <c r="L92" s="277">
        <f t="shared" si="0"/>
      </c>
      <c r="M92" s="278">
        <f t="shared" si="1"/>
      </c>
      <c r="N92" s="279">
        <f>SUM(N88:N91)</f>
      </c>
      <c r="O92" s="278">
        <f t="shared" si="4"/>
      </c>
      <c r="P92" s="280"/>
      <c r="Q92" s="281">
        <f>SUM(Q88:Q91)</f>
      </c>
    </row>
    <row r="93">
      <c r="A93" s="258">
        <v>46223</v>
      </c>
      <c r="B93" s="259" t="s">
        <v>356</v>
      </c>
      <c r="C93" s="282" t="s">
        <v>360</v>
      </c>
      <c r="D93" s="260">
        <v>5</v>
      </c>
      <c r="E93" s="261">
        <v>1</v>
      </c>
      <c r="F93" s="283">
        <v>59</v>
      </c>
      <c r="G93" s="288">
        <v>35</v>
      </c>
      <c r="H93" s="264">
        <v>11408.8</v>
      </c>
      <c r="I93" s="285">
        <v>13753.779999999999</v>
      </c>
      <c r="J93" s="265">
        <f t="shared" si="3"/>
      </c>
      <c r="K93" s="266">
        <f t="shared" si="5"/>
      </c>
      <c r="L93" s="267">
        <f t="shared" si="0"/>
      </c>
      <c r="M93" s="268">
        <f t="shared" si="1"/>
      </c>
      <c r="N93" s="269">
        <v>6</v>
      </c>
      <c r="O93" s="268">
        <f t="shared" si="4"/>
      </c>
      <c r="P93" s="259" t="s">
        <v>361</v>
      </c>
      <c r="Q93" s="259">
        <v>10</v>
      </c>
    </row>
    <row r="94">
      <c r="A94" s="258">
        <v>46223</v>
      </c>
      <c r="B94" s="259" t="s">
        <v>363</v>
      </c>
      <c r="C94" s="260" t="s">
        <v>352</v>
      </c>
      <c r="D94" s="260">
        <v>5</v>
      </c>
      <c r="E94" s="261">
        <v>5</v>
      </c>
      <c r="F94" s="283">
        <v>75</v>
      </c>
      <c r="G94" s="288">
        <v>39</v>
      </c>
      <c r="H94" s="264">
        <v>11678</v>
      </c>
      <c r="I94" s="285">
        <v>13730.150000000001</v>
      </c>
      <c r="J94" s="265">
        <f t="shared" si="3"/>
      </c>
      <c r="K94" s="266">
        <f t="shared" si="5"/>
      </c>
      <c r="L94" s="267">
        <f t="shared" si="0"/>
      </c>
      <c r="M94" s="268">
        <f t="shared" si="1"/>
      </c>
      <c r="N94" s="269">
        <v>6</v>
      </c>
      <c r="O94" s="268">
        <f t="shared" si="4"/>
      </c>
      <c r="P94" s="259"/>
      <c r="Q94" s="259"/>
    </row>
    <row r="95">
      <c r="A95" s="258">
        <v>46223</v>
      </c>
      <c r="B95" s="259" t="s">
        <v>351</v>
      </c>
      <c r="C95" s="260" t="s">
        <v>355</v>
      </c>
      <c r="D95" s="260">
        <v>5</v>
      </c>
      <c r="E95" s="261">
        <v>4</v>
      </c>
      <c r="F95" s="283">
        <v>47</v>
      </c>
      <c r="G95" s="288">
        <v>25</v>
      </c>
      <c r="H95" s="264">
        <v>7844.299999999999</v>
      </c>
      <c r="I95" s="285">
        <v>13266.799999999996</v>
      </c>
      <c r="J95" s="265">
        <f t="shared" si="3"/>
      </c>
      <c r="K95" s="266">
        <f t="shared" si="5"/>
      </c>
      <c r="L95" s="267">
        <f t="shared" si="0"/>
      </c>
      <c r="M95" s="268">
        <f t="shared" si="1"/>
      </c>
      <c r="N95" s="269">
        <v>5</v>
      </c>
      <c r="O95" s="268">
        <f t="shared" si="4"/>
      </c>
      <c r="P95" s="259"/>
      <c r="Q95" s="259"/>
    </row>
    <row r="96">
      <c r="A96" s="258">
        <v>46223</v>
      </c>
      <c r="B96" s="259" t="s">
        <v>362</v>
      </c>
      <c r="C96" s="260" t="s">
        <v>357</v>
      </c>
      <c r="D96" s="260">
        <v>5</v>
      </c>
      <c r="E96" s="289">
        <v>13</v>
      </c>
      <c r="F96" s="282">
        <v>91</v>
      </c>
      <c r="G96" s="283">
        <v>65</v>
      </c>
      <c r="H96" s="264">
        <v>21379.4</v>
      </c>
      <c r="I96" s="285">
        <v>17488.67</v>
      </c>
      <c r="J96" s="265">
        <f t="shared" si="3"/>
      </c>
      <c r="K96" s="266">
        <f t="shared" si="5"/>
      </c>
      <c r="L96" s="267">
        <f t="shared" si="0"/>
      </c>
      <c r="M96" s="268">
        <f t="shared" si="1"/>
      </c>
      <c r="N96" s="291">
        <v>16</v>
      </c>
      <c r="O96" s="268">
        <f t="shared" si="4"/>
      </c>
      <c r="P96" s="259" t="s">
        <v>358</v>
      </c>
      <c r="Q96" s="259">
        <v>10</v>
      </c>
    </row>
    <row r="97">
      <c r="A97" s="272">
        <v>46223</v>
      </c>
      <c r="B97" s="273" t="s">
        <v>359</v>
      </c>
      <c r="C97" s="274"/>
      <c r="D97" s="274">
        <f>SUM(D93:D96)</f>
      </c>
      <c r="E97" s="274">
        <f>SUM(E93:E96)</f>
      </c>
      <c r="F97" s="274">
        <f>SUM(F93:F96)</f>
      </c>
      <c r="G97" s="273">
        <f>SUM(G93:G96)</f>
      </c>
      <c r="H97" s="274">
        <f>SUM(H93:H96)</f>
      </c>
      <c r="I97" s="274">
        <f>SUM(I93:I96)</f>
      </c>
      <c r="J97" s="276">
        <f t="shared" si="3"/>
      </c>
      <c r="K97" s="277">
        <f t="shared" si="5"/>
      </c>
      <c r="L97" s="277">
        <f t="shared" si="0"/>
      </c>
      <c r="M97" s="278">
        <f t="shared" si="1"/>
      </c>
      <c r="N97" s="279">
        <f>SUM(N93:N96)</f>
      </c>
      <c r="O97" s="278">
        <f t="shared" si="4"/>
      </c>
      <c r="P97" s="280"/>
      <c r="Q97" s="281">
        <f>SUM(Q93:Q96)</f>
      </c>
    </row>
    <row r="98">
      <c r="A98" s="258">
        <v>46224</v>
      </c>
      <c r="B98" s="259" t="s">
        <v>354</v>
      </c>
      <c r="C98" s="282" t="s">
        <v>375</v>
      </c>
      <c r="D98" s="260">
        <v>4</v>
      </c>
      <c r="E98" s="261">
        <v>10</v>
      </c>
      <c r="F98" s="283">
        <v>102</v>
      </c>
      <c r="G98" s="288">
        <v>67</v>
      </c>
      <c r="H98" s="264">
        <v>18253.1</v>
      </c>
      <c r="I98" s="285">
        <v>24668.16</v>
      </c>
      <c r="J98" s="265">
        <f t="shared" si="3"/>
      </c>
      <c r="K98" s="266">
        <f t="shared" si="5"/>
      </c>
      <c r="L98" s="267">
        <f t="shared" si="0"/>
      </c>
      <c r="M98" s="268">
        <f t="shared" si="1"/>
      </c>
      <c r="N98" s="269">
        <v>12</v>
      </c>
      <c r="O98" s="268">
        <f t="shared" si="4"/>
      </c>
      <c r="P98" s="259" t="s">
        <v>392</v>
      </c>
      <c r="Q98" s="259">
        <v>10</v>
      </c>
    </row>
    <row r="99">
      <c r="A99" s="258">
        <v>46224</v>
      </c>
      <c r="B99" s="259" t="s">
        <v>351</v>
      </c>
      <c r="C99" s="260" t="s">
        <v>386</v>
      </c>
      <c r="D99" s="260">
        <v>5</v>
      </c>
      <c r="E99" s="261">
        <v>5</v>
      </c>
      <c r="F99" s="283">
        <v>67</v>
      </c>
      <c r="G99" s="288">
        <v>49</v>
      </c>
      <c r="H99" s="264">
        <v>15002.099999999999</v>
      </c>
      <c r="I99" s="285">
        <v>18727.929999999997</v>
      </c>
      <c r="J99" s="265">
        <f t="shared" si="3"/>
      </c>
      <c r="K99" s="266">
        <f t="shared" si="5"/>
      </c>
      <c r="L99" s="267">
        <f t="shared" si="0"/>
      </c>
      <c r="M99" s="268">
        <f t="shared" si="1"/>
      </c>
      <c r="N99" s="269">
        <v>8</v>
      </c>
      <c r="O99" s="268">
        <f t="shared" si="4"/>
      </c>
      <c r="P99" s="259"/>
      <c r="Q99" s="259"/>
    </row>
    <row r="100">
      <c r="A100" s="258">
        <v>46224</v>
      </c>
      <c r="B100" s="259" t="s">
        <v>363</v>
      </c>
      <c r="C100" s="260" t="s">
        <v>387</v>
      </c>
      <c r="D100" s="260">
        <v>4</v>
      </c>
      <c r="E100" s="261">
        <v>3</v>
      </c>
      <c r="F100" s="293">
        <v>84</v>
      </c>
      <c r="G100" s="288">
        <v>45</v>
      </c>
      <c r="H100" s="264">
        <v>13341.600000000006</v>
      </c>
      <c r="I100" s="285">
        <v>18282.72</v>
      </c>
      <c r="J100" s="265">
        <f t="shared" si="3"/>
      </c>
      <c r="K100" s="266">
        <f t="shared" si="5"/>
      </c>
      <c r="L100" s="267">
        <f t="shared" si="0"/>
      </c>
      <c r="M100" s="268">
        <f t="shared" si="1"/>
      </c>
      <c r="N100" s="269">
        <v>10</v>
      </c>
      <c r="O100" s="268">
        <f t="shared" si="4"/>
      </c>
      <c r="P100" s="259"/>
      <c r="Q100" s="259"/>
    </row>
    <row r="101">
      <c r="A101" s="258">
        <v>46224</v>
      </c>
      <c r="B101" s="259" t="s">
        <v>383</v>
      </c>
      <c r="C101" s="260" t="s">
        <v>388</v>
      </c>
      <c r="D101" s="260">
        <v>2</v>
      </c>
      <c r="E101" s="294">
        <v>4</v>
      </c>
      <c r="F101" s="259">
        <v>60</v>
      </c>
      <c r="G101" s="295">
        <v>25</v>
      </c>
      <c r="H101" s="264">
        <v>9608.699999999997</v>
      </c>
      <c r="I101" s="285">
        <v>8914.130000000005</v>
      </c>
      <c r="J101" s="265">
        <f t="shared" si="3"/>
      </c>
      <c r="K101" s="266">
        <f t="shared" si="5"/>
      </c>
      <c r="L101" s="267">
        <f t="shared" si="0"/>
      </c>
      <c r="M101" s="268">
        <f t="shared" si="1"/>
      </c>
      <c r="N101" s="291">
        <v>5</v>
      </c>
      <c r="O101" s="268">
        <f t="shared" si="4"/>
      </c>
      <c r="P101" s="259"/>
      <c r="Q101" s="259"/>
    </row>
    <row customHeight="true" ht="16.071428571428573" r="102">
      <c r="A102" s="258">
        <v>46224</v>
      </c>
      <c r="B102" s="259" t="s">
        <v>362</v>
      </c>
      <c r="C102" s="260" t="s">
        <v>357</v>
      </c>
      <c r="D102" s="260">
        <v>5</v>
      </c>
      <c r="E102" s="294">
        <v>14</v>
      </c>
      <c r="F102" s="259">
        <v>120</v>
      </c>
      <c r="G102" s="295">
        <v>69</v>
      </c>
      <c r="H102" s="264">
        <v>23357.300000000003</v>
      </c>
      <c r="I102" s="285">
        <v>22001.37</v>
      </c>
      <c r="J102" s="265">
        <f t="shared" si="3"/>
      </c>
      <c r="K102" s="266">
        <f t="shared" si="5"/>
      </c>
      <c r="L102" s="267">
        <f t="shared" si="0"/>
      </c>
      <c r="M102" s="268">
        <f t="shared" si="1"/>
      </c>
      <c r="N102" s="291">
        <v>13</v>
      </c>
      <c r="O102" s="268">
        <f t="shared" si="4"/>
      </c>
      <c r="P102" s="259" t="s">
        <v>393</v>
      </c>
      <c r="Q102" s="259">
        <v>10</v>
      </c>
    </row>
    <row r="103">
      <c r="A103" s="272">
        <v>46224</v>
      </c>
      <c r="B103" s="273" t="s">
        <v>359</v>
      </c>
      <c r="C103" s="274"/>
      <c r="D103" s="274">
        <f>SUM(D98:D102)</f>
      </c>
      <c r="E103" s="274">
        <f>SUM(E98:E102)</f>
      </c>
      <c r="F103" s="273">
        <f>SUM(F98:F102)</f>
      </c>
      <c r="G103" s="274">
        <f>SUM(G98:G102)</f>
      </c>
      <c r="H103" s="274">
        <f>SUM(H98:H102)</f>
      </c>
      <c r="I103" s="274">
        <f>SUM(I98:I102)</f>
      </c>
      <c r="J103" s="276">
        <f t="shared" si="3"/>
      </c>
      <c r="K103" s="277">
        <f t="shared" si="5"/>
      </c>
      <c r="L103" s="277">
        <f t="shared" si="0"/>
      </c>
      <c r="M103" s="278">
        <f t="shared" si="1"/>
      </c>
      <c r="N103" s="279">
        <f>SUM(N98:N102)</f>
      </c>
      <c r="O103" s="278">
        <f t="shared" si="4"/>
      </c>
      <c r="P103" s="280"/>
      <c r="Q103" s="281">
        <f>SUM(Q98:Q102)</f>
      </c>
    </row>
    <row r="104">
      <c r="A104" s="258">
        <v>46225</v>
      </c>
      <c r="B104" s="259" t="s">
        <v>356</v>
      </c>
      <c r="C104" s="282" t="s">
        <v>375</v>
      </c>
      <c r="D104" s="260">
        <v>4</v>
      </c>
      <c r="E104" s="261">
        <v>5</v>
      </c>
      <c r="F104" s="283">
        <v>88</v>
      </c>
      <c r="G104" s="288">
        <v>55</v>
      </c>
      <c r="H104" s="264">
        <v>15618.8</v>
      </c>
      <c r="I104" s="285">
        <v>18692.76</v>
      </c>
      <c r="J104" s="265">
        <f t="shared" si="3"/>
      </c>
      <c r="K104" s="266">
        <f t="shared" si="5"/>
      </c>
      <c r="L104" s="267">
        <f t="shared" si="0"/>
      </c>
      <c r="M104" s="268">
        <f t="shared" si="1"/>
      </c>
      <c r="N104" s="269">
        <v>10</v>
      </c>
      <c r="O104" s="268">
        <f t="shared" si="4"/>
      </c>
      <c r="P104" s="259" t="s">
        <v>392</v>
      </c>
      <c r="Q104" s="259">
        <v>10</v>
      </c>
    </row>
    <row r="105">
      <c r="A105" s="258">
        <v>46225</v>
      </c>
      <c r="B105" s="259" t="s">
        <v>351</v>
      </c>
      <c r="C105" s="260" t="s">
        <v>386</v>
      </c>
      <c r="D105" s="260">
        <v>5</v>
      </c>
      <c r="E105" s="261">
        <v>5</v>
      </c>
      <c r="F105" s="283">
        <v>81</v>
      </c>
      <c r="G105" s="288">
        <v>59</v>
      </c>
      <c r="H105" s="264">
        <v>20300.000000000004</v>
      </c>
      <c r="I105" s="285">
        <v>23327.7</v>
      </c>
      <c r="J105" s="265">
        <f t="shared" si="3"/>
      </c>
      <c r="K105" s="266">
        <f t="shared" si="5"/>
      </c>
      <c r="L105" s="267">
        <f t="shared" si="0"/>
      </c>
      <c r="M105" s="268">
        <f t="shared" si="1"/>
      </c>
      <c r="N105" s="269">
        <v>5</v>
      </c>
      <c r="O105" s="268">
        <f t="shared" si="4"/>
      </c>
      <c r="P105" s="259"/>
      <c r="Q105" s="259"/>
    </row>
    <row r="106">
      <c r="A106" s="258">
        <v>46225</v>
      </c>
      <c r="B106" s="259" t="s">
        <v>362</v>
      </c>
      <c r="C106" s="260" t="s">
        <v>394</v>
      </c>
      <c r="D106" s="260">
        <v>5</v>
      </c>
      <c r="E106" s="261">
        <v>8</v>
      </c>
      <c r="F106" s="293">
        <v>83</v>
      </c>
      <c r="G106" s="288">
        <v>46</v>
      </c>
      <c r="H106" s="264">
        <v>13019.5</v>
      </c>
      <c r="I106" s="285">
        <v>18521.899999999994</v>
      </c>
      <c r="J106" s="265">
        <f t="shared" si="3"/>
      </c>
      <c r="K106" s="266">
        <f t="shared" si="5"/>
      </c>
      <c r="L106" s="267">
        <f t="shared" si="0"/>
      </c>
      <c r="M106" s="268">
        <f t="shared" si="1"/>
      </c>
      <c r="N106" s="269">
        <v>9</v>
      </c>
      <c r="O106" s="268">
        <f t="shared" si="4"/>
      </c>
      <c r="P106" s="259"/>
      <c r="Q106" s="259"/>
    </row>
    <row r="107">
      <c r="A107" s="258">
        <v>46225</v>
      </c>
      <c r="B107" s="259" t="s">
        <v>383</v>
      </c>
      <c r="C107" s="260" t="s">
        <v>395</v>
      </c>
      <c r="D107" s="260">
        <v>2</v>
      </c>
      <c r="E107" s="294">
        <v>3</v>
      </c>
      <c r="F107" s="259">
        <v>32</v>
      </c>
      <c r="G107" s="295">
        <v>17</v>
      </c>
      <c r="H107" s="264">
        <v>4937.899999999994</v>
      </c>
      <c r="I107" s="285">
        <v>7206.609999999993</v>
      </c>
      <c r="J107" s="265">
        <f t="shared" si="3"/>
      </c>
      <c r="K107" s="266">
        <f t="shared" si="5"/>
      </c>
      <c r="L107" s="267">
        <f t="shared" si="0"/>
      </c>
      <c r="M107" s="268">
        <f t="shared" si="1"/>
      </c>
      <c r="N107" s="291">
        <v>4</v>
      </c>
      <c r="O107" s="268">
        <f t="shared" si="4"/>
      </c>
      <c r="P107" s="259"/>
      <c r="Q107" s="259"/>
    </row>
    <row r="108">
      <c r="A108" s="258">
        <v>46225</v>
      </c>
      <c r="B108" s="259" t="s">
        <v>363</v>
      </c>
      <c r="C108" s="260" t="s">
        <v>368</v>
      </c>
      <c r="D108" s="260">
        <v>4</v>
      </c>
      <c r="E108" s="294">
        <v>7</v>
      </c>
      <c r="F108" s="259">
        <v>78</v>
      </c>
      <c r="G108" s="295">
        <v>56</v>
      </c>
      <c r="H108" s="264">
        <v>21020.199999999997</v>
      </c>
      <c r="I108" s="285">
        <v>14124.67</v>
      </c>
      <c r="J108" s="265">
        <f t="shared" si="3"/>
      </c>
      <c r="K108" s="266">
        <f t="shared" si="5"/>
      </c>
      <c r="L108" s="267">
        <f t="shared" si="0"/>
      </c>
      <c r="M108" s="268">
        <f t="shared" si="1"/>
      </c>
      <c r="N108" s="291">
        <v>13</v>
      </c>
      <c r="O108" s="268">
        <f t="shared" si="4"/>
      </c>
      <c r="P108" s="259" t="s">
        <v>393</v>
      </c>
      <c r="Q108" s="259">
        <v>10</v>
      </c>
    </row>
    <row r="109">
      <c r="A109" s="272">
        <v>46225</v>
      </c>
      <c r="B109" s="273" t="s">
        <v>359</v>
      </c>
      <c r="C109" s="274"/>
      <c r="D109" s="274">
        <f>SUM(D104:D108)</f>
      </c>
      <c r="E109" s="274">
        <f>SUM(E104:E108)</f>
      </c>
      <c r="F109" s="273">
        <f>SUM(F104:F108)</f>
      </c>
      <c r="G109" s="274">
        <f>SUM(G104:G108)</f>
      </c>
      <c r="H109" s="274">
        <f>SUM(H104:H108)</f>
      </c>
      <c r="I109" s="274">
        <f>SUM(I104:I108)</f>
      </c>
      <c r="J109" s="276">
        <f t="shared" si="3"/>
      </c>
      <c r="K109" s="277">
        <f t="shared" si="5"/>
      </c>
      <c r="L109" s="277">
        <f t="shared" si="0"/>
      </c>
      <c r="M109" s="278">
        <f t="shared" si="1"/>
      </c>
      <c r="N109" s="279">
        <f>SUM(N104:N108)</f>
      </c>
      <c r="O109" s="278">
        <f t="shared" si="4"/>
      </c>
      <c r="P109" s="280"/>
      <c r="Q109" s="281">
        <f>SUM(Q104:Q108)</f>
      </c>
    </row>
    <row r="110">
      <c r="A110" s="258">
        <v>46226</v>
      </c>
      <c r="B110" s="259" t="s">
        <v>351</v>
      </c>
      <c r="C110" s="282" t="s">
        <v>360</v>
      </c>
      <c r="D110" s="260">
        <v>5</v>
      </c>
      <c r="E110" s="261">
        <v>14</v>
      </c>
      <c r="F110" s="283">
        <v>166</v>
      </c>
      <c r="G110" s="288">
        <v>113</v>
      </c>
      <c r="H110" s="264">
        <v>46739.5</v>
      </c>
      <c r="I110" s="285">
        <v>32436.239999999998</v>
      </c>
      <c r="J110" s="265">
        <f t="shared" si="3"/>
      </c>
      <c r="K110" s="266">
        <f t="shared" si="5"/>
      </c>
      <c r="L110" s="267">
        <f t="shared" si="0"/>
      </c>
      <c r="M110" s="268">
        <f t="shared" si="1"/>
      </c>
      <c r="N110" s="269">
        <v>27</v>
      </c>
      <c r="O110" s="268">
        <f t="shared" si="4"/>
      </c>
      <c r="P110" s="259" t="s">
        <v>392</v>
      </c>
      <c r="Q110" s="259">
        <v>10</v>
      </c>
    </row>
    <row r="111">
      <c r="A111" s="258">
        <v>46226</v>
      </c>
      <c r="B111" s="259" t="s">
        <v>362</v>
      </c>
      <c r="C111" s="260" t="s">
        <v>352</v>
      </c>
      <c r="D111" s="260">
        <v>5</v>
      </c>
      <c r="E111" s="261">
        <v>8</v>
      </c>
      <c r="F111" s="283">
        <v>109</v>
      </c>
      <c r="G111" s="288">
        <v>78</v>
      </c>
      <c r="H111" s="264">
        <v>27880.300000000003</v>
      </c>
      <c r="I111" s="285">
        <v>27852.139999999992</v>
      </c>
      <c r="J111" s="265">
        <f t="shared" si="3"/>
      </c>
      <c r="K111" s="266">
        <f t="shared" si="5"/>
      </c>
      <c r="L111" s="267">
        <f t="shared" si="0"/>
      </c>
      <c r="M111" s="268">
        <f t="shared" si="1"/>
      </c>
      <c r="N111" s="269">
        <v>12</v>
      </c>
      <c r="O111" s="268">
        <f t="shared" si="4"/>
      </c>
      <c r="P111" s="259"/>
      <c r="Q111" s="259"/>
    </row>
    <row r="112">
      <c r="A112" s="258">
        <v>46226</v>
      </c>
      <c r="B112" s="259" t="s">
        <v>363</v>
      </c>
      <c r="C112" s="260" t="s">
        <v>355</v>
      </c>
      <c r="D112" s="260">
        <v>5</v>
      </c>
      <c r="E112" s="261">
        <v>13</v>
      </c>
      <c r="F112" s="293">
        <v>131</v>
      </c>
      <c r="G112" s="288">
        <v>85</v>
      </c>
      <c r="H112" s="296">
        <v>31092.300000000003</v>
      </c>
      <c r="I112" s="285">
        <v>31494.560000000012</v>
      </c>
      <c r="J112" s="265">
        <f t="shared" si="3"/>
      </c>
      <c r="K112" s="266">
        <f t="shared" si="5"/>
      </c>
      <c r="L112" s="267">
        <f t="shared" si="0"/>
      </c>
      <c r="M112" s="268">
        <f t="shared" si="1"/>
      </c>
      <c r="N112" s="269">
        <v>13</v>
      </c>
      <c r="O112" s="268">
        <f t="shared" si="4"/>
      </c>
      <c r="P112" s="259"/>
      <c r="Q112" s="259"/>
    </row>
    <row r="113">
      <c r="A113" s="258">
        <v>46226</v>
      </c>
      <c r="B113" s="259" t="s">
        <v>356</v>
      </c>
      <c r="C113" s="260" t="s">
        <v>357</v>
      </c>
      <c r="D113" s="260">
        <v>5</v>
      </c>
      <c r="E113" s="294">
        <v>20</v>
      </c>
      <c r="F113" s="259">
        <v>119</v>
      </c>
      <c r="G113" s="295">
        <v>70</v>
      </c>
      <c r="H113" s="262">
        <v>22838.399999999994</v>
      </c>
      <c r="I113" s="285">
        <v>27266.99</v>
      </c>
      <c r="J113" s="265">
        <f t="shared" si="3"/>
      </c>
      <c r="K113" s="266">
        <f t="shared" si="5"/>
      </c>
      <c r="L113" s="267">
        <f t="shared" si="0"/>
      </c>
      <c r="M113" s="268">
        <f t="shared" si="1"/>
      </c>
      <c r="N113" s="291">
        <v>18</v>
      </c>
      <c r="O113" s="268">
        <f t="shared" si="4"/>
      </c>
      <c r="P113" s="259" t="s">
        <v>393</v>
      </c>
      <c r="Q113" s="259">
        <v>10</v>
      </c>
    </row>
    <row r="114">
      <c r="A114" s="272">
        <v>46226</v>
      </c>
      <c r="B114" s="273" t="s">
        <v>359</v>
      </c>
      <c r="C114" s="274"/>
      <c r="D114" s="274">
        <f>SUM(D110:D113)</f>
      </c>
      <c r="E114" s="274">
        <f>SUM(E110:E113)</f>
      </c>
      <c r="F114" s="273">
        <f>SUM(F110:F113)</f>
      </c>
      <c r="G114" s="274">
        <f>SUM(G110:G113)</f>
      </c>
      <c r="H114" s="273">
        <f>SUM(H110:H113)</f>
      </c>
      <c r="I114" s="274">
        <f>SUM(I110:I113)</f>
      </c>
      <c r="J114" s="276">
        <f t="shared" si="3"/>
      </c>
      <c r="K114" s="277">
        <f t="shared" si="5"/>
      </c>
      <c r="L114" s="277">
        <f t="shared" si="0"/>
      </c>
      <c r="M114" s="278">
        <f t="shared" si="1"/>
      </c>
      <c r="N114" s="279">
        <f>SUM(N110:N113)</f>
      </c>
      <c r="O114" s="278">
        <f t="shared" si="4"/>
      </c>
      <c r="P114" s="280"/>
      <c r="Q114" s="281">
        <f>SUM(Q110:Q113)</f>
      </c>
    </row>
    <row r="115">
      <c r="A115" s="258">
        <v>46227</v>
      </c>
      <c r="B115" s="259" t="s">
        <v>362</v>
      </c>
      <c r="C115" s="282" t="s">
        <v>360</v>
      </c>
      <c r="D115" s="260">
        <v>5</v>
      </c>
      <c r="E115" s="261">
        <v>15</v>
      </c>
      <c r="F115" s="283">
        <v>166</v>
      </c>
      <c r="G115" s="288">
        <v>115</v>
      </c>
      <c r="H115" s="264">
        <v>41299.7</v>
      </c>
      <c r="I115" s="285">
        <v>34031.5</v>
      </c>
      <c r="J115" s="265">
        <f t="shared" si="3"/>
      </c>
      <c r="K115" s="266">
        <f t="shared" si="5"/>
      </c>
      <c r="L115" s="267">
        <f t="shared" si="0"/>
      </c>
      <c r="M115" s="268">
        <f t="shared" si="1"/>
      </c>
      <c r="N115" s="269">
        <v>14</v>
      </c>
      <c r="O115" s="268">
        <f t="shared" si="4"/>
      </c>
      <c r="P115" s="259" t="s">
        <v>392</v>
      </c>
      <c r="Q115" s="259">
        <v>10</v>
      </c>
    </row>
    <row r="116">
      <c r="A116" s="258">
        <v>46227</v>
      </c>
      <c r="B116" s="259" t="s">
        <v>356</v>
      </c>
      <c r="C116" s="260" t="s">
        <v>352</v>
      </c>
      <c r="D116" s="260">
        <v>5</v>
      </c>
      <c r="E116" s="261">
        <v>25</v>
      </c>
      <c r="F116" s="283">
        <v>179</v>
      </c>
      <c r="G116" s="288">
        <v>119</v>
      </c>
      <c r="H116" s="264">
        <v>42529.1</v>
      </c>
      <c r="I116" s="285">
        <v>35990.17</v>
      </c>
      <c r="J116" s="265">
        <f t="shared" si="3"/>
      </c>
      <c r="K116" s="266">
        <f t="shared" si="5"/>
      </c>
      <c r="L116" s="267">
        <f t="shared" si="0"/>
      </c>
      <c r="M116" s="268">
        <f t="shared" si="1"/>
      </c>
      <c r="N116" s="269">
        <v>18</v>
      </c>
      <c r="O116" s="268">
        <f t="shared" si="4"/>
      </c>
      <c r="P116" s="259"/>
      <c r="Q116" s="259"/>
    </row>
    <row r="117">
      <c r="A117" s="258">
        <v>46227</v>
      </c>
      <c r="B117" s="259" t="s">
        <v>354</v>
      </c>
      <c r="C117" s="260" t="s">
        <v>355</v>
      </c>
      <c r="D117" s="260">
        <v>5</v>
      </c>
      <c r="E117" s="261">
        <v>5</v>
      </c>
      <c r="F117" s="293">
        <v>63</v>
      </c>
      <c r="G117" s="288">
        <v>43</v>
      </c>
      <c r="H117" s="296">
        <v>12562.4</v>
      </c>
      <c r="I117" s="285">
        <v>20720.73</v>
      </c>
      <c r="J117" s="265">
        <f t="shared" si="3"/>
      </c>
      <c r="K117" s="266">
        <f t="shared" si="5"/>
      </c>
      <c r="L117" s="267">
        <f t="shared" si="0"/>
      </c>
      <c r="M117" s="268">
        <f t="shared" si="1"/>
      </c>
      <c r="N117" s="269">
        <v>4</v>
      </c>
      <c r="O117" s="268">
        <f t="shared" si="4"/>
      </c>
      <c r="P117" s="259" t="s">
        <v>396</v>
      </c>
      <c r="Q117" s="259">
        <v>8</v>
      </c>
    </row>
    <row r="118">
      <c r="A118" s="258">
        <v>46227</v>
      </c>
      <c r="B118" s="259" t="s">
        <v>363</v>
      </c>
      <c r="C118" s="260" t="s">
        <v>357</v>
      </c>
      <c r="D118" s="260">
        <v>5</v>
      </c>
      <c r="E118" s="294">
        <v>11</v>
      </c>
      <c r="F118" s="259">
        <v>76</v>
      </c>
      <c r="G118" s="295">
        <v>47</v>
      </c>
      <c r="H118" s="262">
        <v>13845</v>
      </c>
      <c r="I118" s="271">
        <f>18041.3+0.06</f>
      </c>
      <c r="J118" s="265">
        <f t="shared" si="3"/>
      </c>
      <c r="K118" s="266">
        <f t="shared" si="5"/>
      </c>
      <c r="L118" s="267">
        <f t="shared" si="0"/>
      </c>
      <c r="M118" s="268">
        <f t="shared" si="1"/>
      </c>
      <c r="N118" s="291">
        <v>8</v>
      </c>
      <c r="O118" s="268">
        <f t="shared" si="4"/>
      </c>
      <c r="P118" s="259" t="s">
        <v>397</v>
      </c>
      <c r="Q118" s="259">
        <v>2</v>
      </c>
    </row>
    <row r="119">
      <c r="A119" s="272">
        <v>46227</v>
      </c>
      <c r="B119" s="273" t="s">
        <v>359</v>
      </c>
      <c r="C119" s="274"/>
      <c r="D119" s="274">
        <f>SUM(D115:D118)</f>
      </c>
      <c r="E119" s="274">
        <f>SUM(E115:E118)</f>
      </c>
      <c r="F119" s="273">
        <f>SUM(F115:F118)</f>
      </c>
      <c r="G119" s="274">
        <f>SUM(G115:G118)</f>
      </c>
      <c r="H119" s="273">
        <f>SUM(H115:H118)</f>
      </c>
      <c r="I119" s="274">
        <f>SUM(I115:I118)</f>
      </c>
      <c r="J119" s="276">
        <f t="shared" si="3"/>
      </c>
      <c r="K119" s="277">
        <f t="shared" si="5"/>
      </c>
      <c r="L119" s="277">
        <f t="shared" si="0"/>
      </c>
      <c r="M119" s="278">
        <f t="shared" si="1"/>
      </c>
      <c r="N119" s="279">
        <f>SUM(N115:N118)</f>
      </c>
      <c r="O119" s="278">
        <f t="shared" si="4"/>
      </c>
      <c r="P119" s="280"/>
      <c r="Q119" s="281">
        <f>SUM(Q115:Q118)</f>
      </c>
    </row>
    <row r="120">
      <c r="A120" s="258">
        <v>46228</v>
      </c>
      <c r="B120" s="259" t="s">
        <v>362</v>
      </c>
      <c r="C120" s="282" t="s">
        <v>360</v>
      </c>
      <c r="D120" s="260">
        <v>5</v>
      </c>
      <c r="E120" s="261">
        <v>16</v>
      </c>
      <c r="F120" s="283">
        <v>119</v>
      </c>
      <c r="G120" s="288">
        <v>69</v>
      </c>
      <c r="H120" s="262">
        <v>28068.8</v>
      </c>
      <c r="I120" s="271">
        <v>24098.489999999998</v>
      </c>
      <c r="J120" s="265">
        <f t="shared" si="3"/>
      </c>
      <c r="K120" s="266">
        <f t="shared" si="5"/>
      </c>
      <c r="L120" s="267">
        <f t="shared" si="0"/>
      </c>
      <c r="M120" s="268">
        <f t="shared" si="1"/>
      </c>
      <c r="N120" s="269">
        <v>8</v>
      </c>
      <c r="O120" s="268">
        <f t="shared" si="4"/>
      </c>
      <c r="P120" s="259" t="s">
        <v>361</v>
      </c>
      <c r="Q120" s="259">
        <v>10</v>
      </c>
    </row>
    <row r="121">
      <c r="A121" s="258">
        <v>46228</v>
      </c>
      <c r="B121" s="259" t="s">
        <v>351</v>
      </c>
      <c r="C121" s="260" t="s">
        <v>352</v>
      </c>
      <c r="D121" s="260">
        <v>5</v>
      </c>
      <c r="E121" s="261">
        <v>8</v>
      </c>
      <c r="F121" s="283">
        <v>99</v>
      </c>
      <c r="G121" s="288">
        <v>70</v>
      </c>
      <c r="H121" s="264">
        <v>27389.5</v>
      </c>
      <c r="I121" s="285">
        <v>22975.73</v>
      </c>
      <c r="J121" s="265">
        <f t="shared" si="3"/>
      </c>
      <c r="K121" s="266">
        <f t="shared" si="5"/>
      </c>
      <c r="L121" s="267">
        <f t="shared" si="0"/>
      </c>
      <c r="M121" s="268">
        <f t="shared" si="1"/>
      </c>
      <c r="N121" s="269">
        <v>5</v>
      </c>
      <c r="O121" s="268">
        <f t="shared" si="4"/>
      </c>
      <c r="P121" s="259"/>
      <c r="Q121" s="259"/>
    </row>
    <row r="122">
      <c r="A122" s="258">
        <v>46228</v>
      </c>
      <c r="B122" s="259" t="s">
        <v>354</v>
      </c>
      <c r="C122" s="260" t="s">
        <v>355</v>
      </c>
      <c r="D122" s="260">
        <v>5</v>
      </c>
      <c r="E122" s="261">
        <v>20</v>
      </c>
      <c r="F122" s="293">
        <v>202</v>
      </c>
      <c r="G122" s="288">
        <v>152</v>
      </c>
      <c r="H122" s="296">
        <v>53025.6</v>
      </c>
      <c r="I122" s="285">
        <v>42805.07</v>
      </c>
      <c r="J122" s="265">
        <f t="shared" si="3"/>
      </c>
      <c r="K122" s="266">
        <f t="shared" si="5"/>
      </c>
      <c r="L122" s="267">
        <f t="shared" si="0"/>
      </c>
      <c r="M122" s="268">
        <f t="shared" si="1"/>
      </c>
      <c r="N122" s="269">
        <v>36</v>
      </c>
      <c r="O122" s="268">
        <f t="shared" si="4"/>
      </c>
      <c r="P122" s="259"/>
      <c r="Q122" s="259"/>
    </row>
    <row r="123">
      <c r="A123" s="258">
        <v>46228</v>
      </c>
      <c r="B123" s="259" t="s">
        <v>356</v>
      </c>
      <c r="C123" s="260" t="s">
        <v>357</v>
      </c>
      <c r="D123" s="260">
        <v>5</v>
      </c>
      <c r="E123" s="294">
        <v>44</v>
      </c>
      <c r="F123" s="259">
        <v>565</v>
      </c>
      <c r="G123" s="295">
        <v>410</v>
      </c>
      <c r="H123" s="262">
        <v>154307.7</v>
      </c>
      <c r="I123" s="285">
        <v>113263.25</v>
      </c>
      <c r="J123" s="265">
        <f t="shared" si="3"/>
      </c>
      <c r="K123" s="266">
        <f t="shared" si="5"/>
      </c>
      <c r="L123" s="267">
        <f t="shared" si="0"/>
      </c>
      <c r="M123" s="268">
        <f t="shared" si="1"/>
      </c>
      <c r="N123" s="291">
        <v>85</v>
      </c>
      <c r="O123" s="268">
        <f t="shared" si="4"/>
      </c>
      <c r="P123" s="259" t="s">
        <v>398</v>
      </c>
      <c r="Q123" s="259">
        <v>10</v>
      </c>
    </row>
    <row r="124">
      <c r="A124" s="272">
        <v>46228</v>
      </c>
      <c r="B124" s="273" t="s">
        <v>359</v>
      </c>
      <c r="C124" s="274"/>
      <c r="D124" s="274">
        <f>SUM(D120:D123)</f>
      </c>
      <c r="E124" s="274">
        <f>SUM(E120:E123)</f>
      </c>
      <c r="F124" s="273">
        <f>SUM(F120:F123)</f>
      </c>
      <c r="G124" s="274">
        <f>SUM(G120:G123)</f>
      </c>
      <c r="H124" s="273">
        <f>SUM(H120:H123)</f>
      </c>
      <c r="I124" s="274">
        <f>SUM(I120:I123)</f>
      </c>
      <c r="J124" s="276">
        <f t="shared" si="3"/>
      </c>
      <c r="K124" s="277">
        <f t="shared" si="5"/>
      </c>
      <c r="L124" s="277">
        <f t="shared" si="0"/>
      </c>
      <c r="M124" s="278">
        <f t="shared" si="1"/>
      </c>
      <c r="N124" s="279">
        <f>SUM(N120:N123)</f>
      </c>
      <c r="O124" s="278">
        <f t="shared" si="4"/>
      </c>
      <c r="P124" s="280"/>
      <c r="Q124" s="281">
        <f>SUM(Q120:Q123)</f>
      </c>
    </row>
    <row r="125">
      <c r="A125" s="258">
        <v>46229</v>
      </c>
      <c r="B125" s="259" t="s">
        <v>362</v>
      </c>
      <c r="C125" s="282" t="s">
        <v>360</v>
      </c>
      <c r="D125" s="260">
        <v>5</v>
      </c>
      <c r="E125" s="261">
        <v>26</v>
      </c>
      <c r="F125" s="283">
        <v>211</v>
      </c>
      <c r="G125" s="288">
        <v>152</v>
      </c>
      <c r="H125" s="262">
        <v>55073.5</v>
      </c>
      <c r="I125" s="285">
        <v>51273.020000000004</v>
      </c>
      <c r="J125" s="265">
        <f t="shared" si="3"/>
      </c>
      <c r="K125" s="266">
        <f t="shared" si="5"/>
      </c>
      <c r="L125" s="267">
        <f t="shared" si="0"/>
      </c>
      <c r="M125" s="268">
        <f t="shared" si="1"/>
      </c>
      <c r="N125" s="269">
        <v>34</v>
      </c>
      <c r="O125" s="268">
        <f t="shared" si="4"/>
      </c>
      <c r="P125" s="259" t="s">
        <v>361</v>
      </c>
      <c r="Q125" s="259">
        <v>10</v>
      </c>
    </row>
    <row r="126">
      <c r="A126" s="258">
        <v>46229</v>
      </c>
      <c r="B126" s="259" t="s">
        <v>351</v>
      </c>
      <c r="C126" s="260" t="s">
        <v>352</v>
      </c>
      <c r="D126" s="260">
        <v>5</v>
      </c>
      <c r="E126" s="261">
        <v>14</v>
      </c>
      <c r="F126" s="283">
        <v>175</v>
      </c>
      <c r="G126" s="288">
        <v>115</v>
      </c>
      <c r="H126" s="264">
        <v>37419.6</v>
      </c>
      <c r="I126" s="285">
        <v>37812.76</v>
      </c>
      <c r="J126" s="265">
        <f t="shared" si="3"/>
      </c>
      <c r="K126" s="266">
        <f t="shared" si="5"/>
      </c>
      <c r="L126" s="267">
        <f t="shared" si="0"/>
      </c>
      <c r="M126" s="268">
        <f t="shared" si="1"/>
      </c>
      <c r="N126" s="269">
        <v>15</v>
      </c>
      <c r="O126" s="268">
        <f t="shared" si="4"/>
      </c>
      <c r="P126" s="259"/>
      <c r="Q126" s="259"/>
    </row>
    <row r="127">
      <c r="A127" s="258">
        <v>46229</v>
      </c>
      <c r="B127" s="259" t="s">
        <v>363</v>
      </c>
      <c r="C127" s="260" t="s">
        <v>355</v>
      </c>
      <c r="D127" s="260">
        <v>5</v>
      </c>
      <c r="E127" s="261">
        <v>10</v>
      </c>
      <c r="F127" s="293">
        <v>71</v>
      </c>
      <c r="G127" s="288">
        <v>45</v>
      </c>
      <c r="H127" s="296">
        <v>16774</v>
      </c>
      <c r="I127" s="285">
        <v>19966.44</v>
      </c>
      <c r="J127" s="265">
        <f t="shared" si="3"/>
      </c>
      <c r="K127" s="266">
        <f t="shared" si="5"/>
      </c>
      <c r="L127" s="267">
        <f t="shared" si="0"/>
      </c>
      <c r="M127" s="268">
        <f t="shared" si="1"/>
      </c>
      <c r="N127" s="269">
        <v>9</v>
      </c>
      <c r="O127" s="268">
        <f t="shared" si="4"/>
      </c>
      <c r="P127" s="259"/>
      <c r="Q127" s="259"/>
    </row>
    <row r="128">
      <c r="A128" s="258">
        <v>46229</v>
      </c>
      <c r="B128" s="259" t="s">
        <v>356</v>
      </c>
      <c r="C128" s="260" t="s">
        <v>357</v>
      </c>
      <c r="D128" s="260">
        <v>5</v>
      </c>
      <c r="E128" s="294">
        <v>10</v>
      </c>
      <c r="F128" s="259">
        <v>127</v>
      </c>
      <c r="G128" s="295">
        <v>91</v>
      </c>
      <c r="H128" s="262">
        <v>34880.6</v>
      </c>
      <c r="I128" s="285">
        <v>25111.16</v>
      </c>
      <c r="J128" s="265">
        <f t="shared" si="3"/>
      </c>
      <c r="K128" s="266">
        <f t="shared" si="5"/>
      </c>
      <c r="L128" s="267">
        <f t="shared" si="0"/>
      </c>
      <c r="M128" s="268">
        <f t="shared" si="1"/>
      </c>
      <c r="N128" s="291">
        <v>23</v>
      </c>
      <c r="O128" s="268">
        <f t="shared" si="4"/>
      </c>
      <c r="P128" s="259" t="s">
        <v>399</v>
      </c>
      <c r="Q128" s="259">
        <v>10</v>
      </c>
    </row>
    <row r="129">
      <c r="A129" s="272">
        <v>46229</v>
      </c>
      <c r="B129" s="273" t="s">
        <v>359</v>
      </c>
      <c r="C129" s="274"/>
      <c r="D129" s="274">
        <f>SUM(D125:D128)</f>
      </c>
      <c r="E129" s="274">
        <f>SUM(E125:E128)</f>
      </c>
      <c r="F129" s="273">
        <f>SUM(F125:F128)</f>
      </c>
      <c r="G129" s="274">
        <f>SUM(G125:G128)</f>
      </c>
      <c r="H129" s="273">
        <f>SUM(H125:H128)</f>
      </c>
      <c r="I129" s="274">
        <f>SUM(I125:I128)</f>
      </c>
      <c r="J129" s="276">
        <f t="shared" si="3"/>
      </c>
      <c r="K129" s="277">
        <f t="shared" si="5"/>
      </c>
      <c r="L129" s="277">
        <f t="shared" si="0"/>
      </c>
      <c r="M129" s="278">
        <f t="shared" si="1"/>
      </c>
      <c r="N129" s="279">
        <f>SUM(N125:N128)</f>
      </c>
      <c r="O129" s="278">
        <f t="shared" si="4"/>
      </c>
      <c r="P129" s="280"/>
      <c r="Q129" s="281">
        <f>SUM(Q125:Q128)</f>
      </c>
    </row>
    <row r="130">
      <c r="A130" s="258">
        <v>46230</v>
      </c>
      <c r="B130" s="259" t="s">
        <v>362</v>
      </c>
      <c r="C130" s="282" t="s">
        <v>360</v>
      </c>
      <c r="D130" s="260">
        <v>5</v>
      </c>
      <c r="E130" s="261">
        <v>16</v>
      </c>
      <c r="F130" s="283">
        <v>155</v>
      </c>
      <c r="G130" s="288">
        <v>96</v>
      </c>
      <c r="H130" s="262">
        <v>37067.5</v>
      </c>
      <c r="I130" s="285">
        <v>30452.93</v>
      </c>
      <c r="J130" s="265">
        <f t="shared" si="3"/>
      </c>
      <c r="K130" s="266">
        <f t="shared" si="5"/>
      </c>
      <c r="L130" s="267">
        <f t="shared" si="0"/>
      </c>
      <c r="M130" s="268">
        <f t="shared" si="1"/>
      </c>
      <c r="N130" s="269">
        <v>14</v>
      </c>
      <c r="O130" s="268">
        <f t="shared" si="4"/>
      </c>
      <c r="P130" s="259" t="s">
        <v>392</v>
      </c>
      <c r="Q130" s="259">
        <v>10</v>
      </c>
    </row>
    <row r="131">
      <c r="A131" s="258">
        <v>46230</v>
      </c>
      <c r="B131" s="259" t="s">
        <v>351</v>
      </c>
      <c r="C131" s="260" t="s">
        <v>352</v>
      </c>
      <c r="D131" s="260">
        <v>5</v>
      </c>
      <c r="E131" s="261">
        <v>3</v>
      </c>
      <c r="F131" s="283">
        <v>63</v>
      </c>
      <c r="G131" s="288">
        <v>43</v>
      </c>
      <c r="H131" s="264">
        <v>13742.3</v>
      </c>
      <c r="I131" s="285">
        <v>17250.52</v>
      </c>
      <c r="J131" s="265">
        <f t="shared" si="3"/>
      </c>
      <c r="K131" s="266">
        <f t="shared" si="5"/>
      </c>
      <c r="L131" s="267">
        <f t="shared" si="0"/>
      </c>
      <c r="M131" s="268">
        <f t="shared" si="1"/>
      </c>
      <c r="N131" s="269">
        <v>7</v>
      </c>
      <c r="O131" s="268">
        <f t="shared" si="4"/>
      </c>
      <c r="P131" s="259"/>
      <c r="Q131" s="259"/>
    </row>
    <row r="132">
      <c r="A132" s="258">
        <v>46230</v>
      </c>
      <c r="B132" s="259" t="s">
        <v>354</v>
      </c>
      <c r="C132" s="260" t="s">
        <v>355</v>
      </c>
      <c r="D132" s="260">
        <v>5</v>
      </c>
      <c r="E132" s="261">
        <v>9</v>
      </c>
      <c r="F132" s="293">
        <v>71</v>
      </c>
      <c r="G132" s="288">
        <v>45</v>
      </c>
      <c r="H132" s="296">
        <v>12879.3</v>
      </c>
      <c r="I132" s="285">
        <v>17973.18</v>
      </c>
      <c r="J132" s="265">
        <f t="shared" si="3"/>
      </c>
      <c r="K132" s="266">
        <f t="shared" si="5"/>
      </c>
      <c r="L132" s="267">
        <f t="shared" si="0"/>
      </c>
      <c r="M132" s="268">
        <f t="shared" si="1"/>
      </c>
      <c r="N132" s="269">
        <v>4</v>
      </c>
      <c r="O132" s="268">
        <f t="shared" si="4"/>
      </c>
      <c r="P132" s="259"/>
      <c r="Q132" s="259"/>
    </row>
    <row r="133">
      <c r="A133" s="258">
        <v>46230</v>
      </c>
      <c r="B133" s="259" t="s">
        <v>356</v>
      </c>
      <c r="C133" s="260" t="s">
        <v>357</v>
      </c>
      <c r="D133" s="260">
        <v>5</v>
      </c>
      <c r="E133" s="294">
        <v>13</v>
      </c>
      <c r="F133" s="259">
        <v>97</v>
      </c>
      <c r="G133" s="295">
        <v>70</v>
      </c>
      <c r="H133" s="262">
        <v>27111.9</v>
      </c>
      <c r="I133" s="285">
        <v>21129.4</v>
      </c>
      <c r="J133" s="265">
        <f t="shared" si="3"/>
      </c>
      <c r="K133" s="266">
        <f t="shared" si="5"/>
      </c>
      <c r="L133" s="267">
        <f t="shared" si="0"/>
      </c>
      <c r="M133" s="268">
        <f t="shared" si="1"/>
      </c>
      <c r="N133" s="291">
        <v>16</v>
      </c>
      <c r="O133" s="268">
        <f t="shared" si="4"/>
      </c>
      <c r="P133" s="259" t="s">
        <v>399</v>
      </c>
      <c r="Q133" s="259">
        <v>10</v>
      </c>
    </row>
    <row customHeight="true" ht="16.071428571428573" r="134">
      <c r="A134" s="272">
        <v>46230</v>
      </c>
      <c r="B134" s="273" t="s">
        <v>359</v>
      </c>
      <c r="C134" s="274"/>
      <c r="D134" s="274">
        <f>SUM(D130:D133)</f>
      </c>
      <c r="E134" s="274">
        <f>SUM(E130:E133)</f>
      </c>
      <c r="F134" s="273">
        <f>SUM(F130:F133)</f>
      </c>
      <c r="G134" s="274">
        <f>SUM(G130:G133)</f>
      </c>
      <c r="H134" s="273">
        <f>SUM(H130:H133)</f>
      </c>
      <c r="I134" s="274">
        <f>SUM(I130:I133)</f>
      </c>
      <c r="J134" s="276">
        <f t="shared" si="3"/>
      </c>
      <c r="K134" s="277">
        <f t="shared" si="5"/>
      </c>
      <c r="L134" s="277">
        <f t="shared" si="0"/>
      </c>
      <c r="M134" s="278">
        <f t="shared" si="1"/>
      </c>
      <c r="N134" s="279">
        <f>SUM(N130:N133)</f>
      </c>
      <c r="O134" s="278">
        <f t="shared" si="4"/>
      </c>
      <c r="P134" s="280"/>
      <c r="Q134" s="281">
        <f>SUM(Q130:Q133)</f>
      </c>
    </row>
    <row customHeight="true" ht="16.071428571428573" r="135">
      <c r="A135" s="297">
        <v>46231</v>
      </c>
      <c r="B135" s="298" t="s">
        <v>362</v>
      </c>
      <c r="C135" s="263" t="s">
        <v>360</v>
      </c>
      <c r="D135" s="299">
        <v>5</v>
      </c>
      <c r="E135" s="300">
        <v>16</v>
      </c>
      <c r="F135" s="301">
        <v>154</v>
      </c>
      <c r="G135" s="302">
        <v>106</v>
      </c>
      <c r="H135" s="299">
        <v>35219.4</v>
      </c>
      <c r="I135" s="303">
        <v>34605.93</v>
      </c>
      <c r="J135" s="304">
        <f t="shared" si="3"/>
      </c>
      <c r="K135" s="305">
        <f t="shared" si="5"/>
      </c>
      <c r="L135" s="306">
        <f t="shared" si="0"/>
      </c>
      <c r="M135" s="307">
        <f t="shared" si="1"/>
      </c>
      <c r="N135" s="300">
        <v>17</v>
      </c>
      <c r="O135" s="307">
        <f t="shared" si="4"/>
      </c>
      <c r="P135" s="299" t="s">
        <v>392</v>
      </c>
      <c r="Q135" s="299">
        <v>10</v>
      </c>
      <c r="R135" s="308"/>
      <c r="S135" s="308"/>
      <c r="T135" s="308"/>
    </row>
    <row customHeight="true" ht="16.071428571428573" r="136">
      <c r="A136" s="297">
        <v>46231</v>
      </c>
      <c r="B136" s="298" t="s">
        <v>354</v>
      </c>
      <c r="C136" s="299" t="s">
        <v>372</v>
      </c>
      <c r="D136" s="298">
        <v>4</v>
      </c>
      <c r="E136" s="300">
        <v>11</v>
      </c>
      <c r="F136" s="301">
        <v>90</v>
      </c>
      <c r="G136" s="302">
        <v>52</v>
      </c>
      <c r="H136" s="309">
        <v>17373.6</v>
      </c>
      <c r="I136" s="303">
        <v>22072.800000000003</v>
      </c>
      <c r="J136" s="304">
        <f t="shared" si="3"/>
      </c>
      <c r="K136" s="305">
        <f t="shared" si="5"/>
      </c>
      <c r="L136" s="306">
        <f t="shared" si="0"/>
      </c>
      <c r="M136" s="307">
        <f t="shared" si="1"/>
      </c>
      <c r="N136" s="300">
        <v>4</v>
      </c>
      <c r="O136" s="307">
        <f t="shared" si="4"/>
      </c>
      <c r="P136" s="299"/>
      <c r="Q136" s="299"/>
      <c r="R136" s="308"/>
      <c r="S136" s="308"/>
      <c r="T136" s="308"/>
    </row>
    <row customHeight="true" ht="16.071428571428573" r="137">
      <c r="A137" s="297">
        <v>46231</v>
      </c>
      <c r="B137" s="298" t="s">
        <v>383</v>
      </c>
      <c r="C137" s="299" t="s">
        <v>373</v>
      </c>
      <c r="D137" s="298">
        <v>2</v>
      </c>
      <c r="E137" s="300">
        <v>2</v>
      </c>
      <c r="F137" s="310">
        <v>47</v>
      </c>
      <c r="G137" s="302">
        <v>38</v>
      </c>
      <c r="H137" s="311">
        <v>14285.6</v>
      </c>
      <c r="I137" s="312">
        <v>9915.44</v>
      </c>
      <c r="J137" s="304">
        <f t="shared" si="3"/>
      </c>
      <c r="K137" s="305">
        <f t="shared" si="5"/>
      </c>
      <c r="L137" s="306">
        <f t="shared" si="0"/>
      </c>
      <c r="M137" s="307">
        <f t="shared" si="1"/>
      </c>
      <c r="N137" s="300">
        <v>11</v>
      </c>
      <c r="O137" s="307">
        <f t="shared" si="4"/>
      </c>
      <c r="P137" s="299"/>
      <c r="Q137" s="299"/>
      <c r="R137" s="308"/>
      <c r="S137" s="308"/>
      <c r="T137" s="308"/>
    </row>
    <row customHeight="true" ht="16.071428571428573" r="138">
      <c r="A138" s="297">
        <v>46231</v>
      </c>
      <c r="B138" s="298" t="s">
        <v>356</v>
      </c>
      <c r="C138" s="299" t="s">
        <v>374</v>
      </c>
      <c r="D138" s="298">
        <v>4</v>
      </c>
      <c r="E138" s="313">
        <v>10</v>
      </c>
      <c r="F138" s="298">
        <v>123</v>
      </c>
      <c r="G138" s="314">
        <v>74</v>
      </c>
      <c r="H138" s="298">
        <v>28901.2</v>
      </c>
      <c r="I138" s="312">
        <v>25047.76</v>
      </c>
      <c r="J138" s="304">
        <f t="shared" si="3"/>
      </c>
      <c r="K138" s="305">
        <f t="shared" si="5"/>
      </c>
      <c r="L138" s="306">
        <f t="shared" si="0"/>
      </c>
      <c r="M138" s="307">
        <f t="shared" si="1"/>
      </c>
      <c r="N138" s="300">
        <v>10</v>
      </c>
      <c r="O138" s="307">
        <f t="shared" si="4"/>
      </c>
      <c r="P138" s="299"/>
      <c r="Q138" s="299"/>
      <c r="R138" s="308"/>
      <c r="S138" s="308"/>
      <c r="T138" s="308"/>
    </row>
    <row customHeight="true" ht="16.071428571428573" r="139">
      <c r="A139" s="297">
        <v>46231</v>
      </c>
      <c r="B139" s="259" t="s">
        <v>351</v>
      </c>
      <c r="C139" s="299" t="s">
        <v>357</v>
      </c>
      <c r="D139" s="298">
        <v>5</v>
      </c>
      <c r="E139" s="313">
        <v>13</v>
      </c>
      <c r="F139" s="298">
        <v>138</v>
      </c>
      <c r="G139" s="314">
        <v>96</v>
      </c>
      <c r="H139" s="298">
        <v>32197.2</v>
      </c>
      <c r="I139" s="312">
        <v>32369.74</v>
      </c>
      <c r="J139" s="304">
        <f t="shared" si="3"/>
      </c>
      <c r="K139" s="305">
        <f t="shared" si="5"/>
      </c>
      <c r="L139" s="306">
        <f t="shared" si="0"/>
      </c>
      <c r="M139" s="307">
        <f t="shared" si="1"/>
      </c>
      <c r="N139" s="300">
        <v>23</v>
      </c>
      <c r="O139" s="307">
        <f t="shared" si="4"/>
      </c>
      <c r="P139" s="299" t="s">
        <v>399</v>
      </c>
      <c r="Q139" s="299">
        <v>10</v>
      </c>
      <c r="R139" s="308"/>
      <c r="S139" s="308"/>
      <c r="T139" s="308"/>
    </row>
    <row customHeight="true" ht="16.071428571428573" r="140">
      <c r="A140" s="315">
        <v>46231</v>
      </c>
      <c r="B140" s="316" t="s">
        <v>359</v>
      </c>
      <c r="C140" s="317"/>
      <c r="D140" s="317">
        <f>SUM(D135:D139)</f>
      </c>
      <c r="E140" s="317">
        <f>SUM(E135:E139)</f>
      </c>
      <c r="F140" s="317">
        <f>SUM(F135:F139)</f>
      </c>
      <c r="G140" s="317">
        <f>SUM(G135:G139)</f>
      </c>
      <c r="H140" s="317">
        <f>SUM(H135:H139)</f>
      </c>
      <c r="I140" s="317">
        <f>SUM(I135:I139)</f>
      </c>
      <c r="J140" s="318">
        <f t="shared" si="3"/>
      </c>
      <c r="K140" s="319">
        <f t="shared" si="5"/>
      </c>
      <c r="L140" s="319">
        <f t="shared" si="0"/>
      </c>
      <c r="M140" s="320">
        <f t="shared" si="1"/>
      </c>
      <c r="N140" s="317">
        <f>SUM(N135:N139)</f>
      </c>
      <c r="O140" s="320">
        <f t="shared" si="4"/>
      </c>
      <c r="P140" s="321"/>
      <c r="Q140" s="316">
        <f>SUM(Q135:Q138)</f>
      </c>
      <c r="R140" s="308"/>
      <c r="S140" s="308"/>
      <c r="T140" s="308"/>
    </row>
    <row customHeight="true" ht="16.071428571428573" r="141">
      <c r="A141" s="297">
        <v>46232</v>
      </c>
      <c r="B141" s="298" t="s">
        <v>362</v>
      </c>
      <c r="C141" s="263" t="s">
        <v>360</v>
      </c>
      <c r="D141" s="299">
        <v>5</v>
      </c>
      <c r="E141" s="300">
        <v>12</v>
      </c>
      <c r="F141" s="301">
        <v>88</v>
      </c>
      <c r="G141" s="302">
        <v>53</v>
      </c>
      <c r="H141" s="299">
        <v>18042.1</v>
      </c>
      <c r="I141" s="303">
        <v>19648.25</v>
      </c>
      <c r="J141" s="304">
        <f t="shared" si="3"/>
      </c>
      <c r="K141" s="305">
        <f t="shared" si="5"/>
      </c>
      <c r="L141" s="306">
        <f t="shared" si="0"/>
      </c>
      <c r="M141" s="307">
        <f t="shared" si="1"/>
      </c>
      <c r="N141" s="300">
        <v>7</v>
      </c>
      <c r="O141" s="307">
        <f t="shared" si="4"/>
      </c>
      <c r="P141" s="299" t="s">
        <v>392</v>
      </c>
      <c r="Q141" s="299">
        <v>10</v>
      </c>
      <c r="R141" s="308"/>
      <c r="S141" s="308"/>
      <c r="T141" s="308"/>
    </row>
    <row customHeight="true" ht="16.071428571428573" r="142">
      <c r="A142" s="297">
        <v>46232</v>
      </c>
      <c r="B142" s="298" t="s">
        <v>354</v>
      </c>
      <c r="C142" s="299" t="s">
        <v>372</v>
      </c>
      <c r="D142" s="298">
        <v>4</v>
      </c>
      <c r="E142" s="300">
        <v>14</v>
      </c>
      <c r="F142" s="301">
        <v>92</v>
      </c>
      <c r="G142" s="302">
        <v>54</v>
      </c>
      <c r="H142" s="309">
        <v>16024.099999999999</v>
      </c>
      <c r="I142" s="303">
        <v>20111.239999999998</v>
      </c>
      <c r="J142" s="304">
        <f t="shared" si="3"/>
      </c>
      <c r="K142" s="305">
        <f t="shared" si="5"/>
      </c>
      <c r="L142" s="306">
        <f t="shared" si="0"/>
      </c>
      <c r="M142" s="307">
        <f t="shared" si="1"/>
      </c>
      <c r="N142" s="300">
        <v>4</v>
      </c>
      <c r="O142" s="307">
        <f t="shared" si="4"/>
      </c>
      <c r="P142" s="299"/>
      <c r="Q142" s="299"/>
      <c r="R142" s="308"/>
      <c r="S142" s="308"/>
      <c r="T142" s="308"/>
    </row>
    <row customHeight="true" ht="16.071428571428573" r="143">
      <c r="A143" s="297">
        <v>46232</v>
      </c>
      <c r="B143" s="298" t="s">
        <v>383</v>
      </c>
      <c r="C143" s="299" t="s">
        <v>373</v>
      </c>
      <c r="D143" s="298">
        <v>2</v>
      </c>
      <c r="E143" s="300">
        <v>5</v>
      </c>
      <c r="F143" s="310">
        <v>42</v>
      </c>
      <c r="G143" s="302">
        <v>28</v>
      </c>
      <c r="H143" s="311">
        <v>7911.1</v>
      </c>
      <c r="I143" s="312">
        <v>9354.11</v>
      </c>
      <c r="J143" s="304">
        <f t="shared" si="3"/>
      </c>
      <c r="K143" s="305">
        <f t="shared" si="5"/>
      </c>
      <c r="L143" s="306">
        <f t="shared" si="0"/>
      </c>
      <c r="M143" s="307">
        <f t="shared" si="1"/>
      </c>
      <c r="N143" s="300">
        <v>7</v>
      </c>
      <c r="O143" s="307">
        <f t="shared" si="4"/>
      </c>
      <c r="P143" s="299"/>
      <c r="Q143" s="299"/>
      <c r="R143" s="308"/>
      <c r="S143" s="308"/>
      <c r="T143" s="308"/>
    </row>
    <row customHeight="true" ht="16.071428571428573" r="144">
      <c r="A144" s="297">
        <v>46232</v>
      </c>
      <c r="B144" s="259" t="s">
        <v>351</v>
      </c>
      <c r="C144" s="299" t="s">
        <v>374</v>
      </c>
      <c r="D144" s="298">
        <v>4</v>
      </c>
      <c r="E144" s="313">
        <v>9</v>
      </c>
      <c r="F144" s="298">
        <v>47</v>
      </c>
      <c r="G144" s="314">
        <v>34</v>
      </c>
      <c r="H144" s="298">
        <v>11982.3</v>
      </c>
      <c r="I144" s="312">
        <v>12688.829999999994</v>
      </c>
      <c r="J144" s="304">
        <f t="shared" si="3"/>
      </c>
      <c r="K144" s="305">
        <f t="shared" si="5"/>
      </c>
      <c r="L144" s="306">
        <f t="shared" si="0"/>
      </c>
      <c r="M144" s="307">
        <f t="shared" si="1"/>
      </c>
      <c r="N144" s="300">
        <v>8</v>
      </c>
      <c r="O144" s="307">
        <f t="shared" si="4"/>
      </c>
      <c r="P144" s="299"/>
      <c r="Q144" s="299"/>
      <c r="R144" s="308"/>
      <c r="S144" s="308"/>
      <c r="T144" s="308"/>
    </row>
    <row customHeight="true" ht="16.071428571428573" r="145">
      <c r="A145" s="297">
        <v>46232</v>
      </c>
      <c r="B145" s="298" t="s">
        <v>356</v>
      </c>
      <c r="C145" s="299" t="s">
        <v>357</v>
      </c>
      <c r="D145" s="298">
        <v>5</v>
      </c>
      <c r="E145" s="313">
        <v>5</v>
      </c>
      <c r="F145" s="298">
        <v>89</v>
      </c>
      <c r="G145" s="314">
        <v>61</v>
      </c>
      <c r="H145" s="298">
        <v>27038</v>
      </c>
      <c r="I145" s="312">
        <v>18311.64</v>
      </c>
      <c r="J145" s="304">
        <f t="shared" si="3"/>
      </c>
      <c r="K145" s="305">
        <f t="shared" si="5"/>
      </c>
      <c r="L145" s="306">
        <f t="shared" si="0"/>
      </c>
      <c r="M145" s="307">
        <f t="shared" si="1"/>
      </c>
      <c r="N145" s="300">
        <v>12</v>
      </c>
      <c r="O145" s="307">
        <f t="shared" si="4"/>
      </c>
      <c r="P145" s="298" t="s">
        <v>400</v>
      </c>
      <c r="Q145" s="299">
        <v>10</v>
      </c>
      <c r="R145" s="308"/>
      <c r="S145" s="308"/>
      <c r="T145" s="308"/>
    </row>
    <row customHeight="true" ht="16.071428571428573" r="146">
      <c r="A146" s="315">
        <v>46232</v>
      </c>
      <c r="B146" s="316" t="s">
        <v>359</v>
      </c>
      <c r="C146" s="317"/>
      <c r="D146" s="317">
        <f>SUM(D141:D145)</f>
      </c>
      <c r="E146" s="317">
        <f>SUM(E141:E145)</f>
      </c>
      <c r="F146" s="317">
        <f>SUM(F141:F145)</f>
      </c>
      <c r="G146" s="317">
        <f>SUM(G141:G145)</f>
      </c>
      <c r="H146" s="317">
        <f>SUM(H141:H145)</f>
      </c>
      <c r="I146" s="317">
        <f>SUM(I141:I145)</f>
      </c>
      <c r="J146" s="318">
        <f t="shared" si="3"/>
      </c>
      <c r="K146" s="319">
        <f t="shared" si="5"/>
      </c>
      <c r="L146" s="319">
        <f t="shared" si="0"/>
      </c>
      <c r="M146" s="320">
        <f t="shared" si="1"/>
      </c>
      <c r="N146" s="317">
        <f>SUM(N141:N145)</f>
      </c>
      <c r="O146" s="320">
        <f t="shared" si="4"/>
      </c>
      <c r="P146" s="321"/>
      <c r="Q146" s="316">
        <f>SUM(Q141:Q144)</f>
      </c>
      <c r="R146" s="308"/>
      <c r="S146" s="308"/>
      <c r="T146" s="308"/>
    </row>
    <row customHeight="true" ht="16.071428571428573" r="147">
      <c r="A147" s="258">
        <v>46233</v>
      </c>
      <c r="B147" s="259" t="s">
        <v>362</v>
      </c>
      <c r="C147" s="282" t="s">
        <v>360</v>
      </c>
      <c r="D147" s="260">
        <v>5</v>
      </c>
      <c r="E147" s="261">
        <v>17</v>
      </c>
      <c r="F147" s="283">
        <v>127</v>
      </c>
      <c r="G147" s="288">
        <v>87</v>
      </c>
      <c r="H147" s="262">
        <v>28847.6</v>
      </c>
      <c r="I147" s="285">
        <v>30108.45</v>
      </c>
      <c r="J147" s="265">
        <f t="shared" si="3"/>
      </c>
      <c r="K147" s="266">
        <f t="shared" si="5"/>
      </c>
      <c r="L147" s="267">
        <f t="shared" si="0"/>
      </c>
      <c r="M147" s="268">
        <f t="shared" si="1"/>
      </c>
      <c r="N147" s="269">
        <v>13</v>
      </c>
      <c r="O147" s="268">
        <f t="shared" si="4"/>
      </c>
      <c r="P147" s="259" t="s">
        <v>399</v>
      </c>
      <c r="Q147" s="259">
        <v>10</v>
      </c>
      <c r="R147" s="308"/>
      <c r="S147" s="308"/>
      <c r="T147" s="308"/>
    </row>
    <row customHeight="true" ht="16.071428571428573" r="148">
      <c r="A148" s="258">
        <v>46233</v>
      </c>
      <c r="B148" s="259" t="s">
        <v>351</v>
      </c>
      <c r="C148" s="260" t="s">
        <v>352</v>
      </c>
      <c r="D148" s="260">
        <v>5</v>
      </c>
      <c r="E148" s="261">
        <v>6</v>
      </c>
      <c r="F148" s="283">
        <v>68</v>
      </c>
      <c r="G148" s="288">
        <v>48</v>
      </c>
      <c r="H148" s="264">
        <v>17150.4</v>
      </c>
      <c r="I148" s="285">
        <v>19015.89999999999</v>
      </c>
      <c r="J148" s="265">
        <f t="shared" si="3"/>
      </c>
      <c r="K148" s="266">
        <f t="shared" si="5"/>
      </c>
      <c r="L148" s="267">
        <f t="shared" si="0"/>
      </c>
      <c r="M148" s="268">
        <f t="shared" si="1"/>
      </c>
      <c r="N148" s="269">
        <v>12</v>
      </c>
      <c r="O148" s="268">
        <f t="shared" si="4"/>
      </c>
      <c r="P148" s="259"/>
      <c r="Q148" s="259"/>
      <c r="R148" s="308"/>
      <c r="S148" s="308"/>
      <c r="T148" s="308"/>
    </row>
    <row customHeight="true" ht="16.071428571428573" r="149">
      <c r="A149" s="258">
        <v>46233</v>
      </c>
      <c r="B149" s="259" t="s">
        <v>354</v>
      </c>
      <c r="C149" s="260" t="s">
        <v>355</v>
      </c>
      <c r="D149" s="260">
        <v>5</v>
      </c>
      <c r="E149" s="261">
        <v>14</v>
      </c>
      <c r="F149" s="293">
        <v>139</v>
      </c>
      <c r="G149" s="288">
        <v>96</v>
      </c>
      <c r="H149" s="296">
        <v>31843.800000000003</v>
      </c>
      <c r="I149" s="285">
        <v>28410.59000000001</v>
      </c>
      <c r="J149" s="265">
        <f t="shared" si="3"/>
      </c>
      <c r="K149" s="266">
        <f t="shared" si="5"/>
      </c>
      <c r="L149" s="267">
        <f t="shared" si="0"/>
      </c>
      <c r="M149" s="268">
        <f t="shared" si="1"/>
      </c>
      <c r="N149" s="269">
        <v>18</v>
      </c>
      <c r="O149" s="268">
        <f t="shared" si="4"/>
      </c>
      <c r="P149" s="259"/>
      <c r="Q149" s="259"/>
      <c r="R149" s="308"/>
      <c r="S149" s="308"/>
      <c r="T149" s="308"/>
    </row>
    <row customHeight="true" ht="16.071428571428573" r="150">
      <c r="A150" s="258">
        <v>46233</v>
      </c>
      <c r="B150" s="259" t="s">
        <v>356</v>
      </c>
      <c r="C150" s="260" t="s">
        <v>357</v>
      </c>
      <c r="D150" s="260">
        <v>5</v>
      </c>
      <c r="E150" s="294">
        <v>13</v>
      </c>
      <c r="F150" s="259">
        <v>179</v>
      </c>
      <c r="G150" s="295">
        <v>127</v>
      </c>
      <c r="H150" s="262">
        <v>46225</v>
      </c>
      <c r="I150" s="285">
        <v>44692.56</v>
      </c>
      <c r="J150" s="265">
        <f t="shared" si="3"/>
      </c>
      <c r="K150" s="266">
        <f t="shared" si="5"/>
      </c>
      <c r="L150" s="267">
        <f t="shared" si="0"/>
      </c>
      <c r="M150" s="268">
        <f t="shared" si="1"/>
      </c>
      <c r="N150" s="291">
        <v>25</v>
      </c>
      <c r="O150" s="268">
        <f t="shared" si="4"/>
      </c>
      <c r="P150" s="299" t="s">
        <v>392</v>
      </c>
      <c r="Q150" s="259">
        <v>10</v>
      </c>
    </row>
    <row customHeight="true" ht="16.071428571428573" r="151">
      <c r="A151" s="272">
        <v>46233</v>
      </c>
      <c r="B151" s="273" t="s">
        <v>359</v>
      </c>
      <c r="C151" s="274"/>
      <c r="D151" s="274">
        <f>SUM(D147:D150)</f>
      </c>
      <c r="E151" s="274">
        <f>SUM(E147:E150)</f>
      </c>
      <c r="F151" s="273">
        <f>SUM(F147:F150)</f>
      </c>
      <c r="G151" s="274">
        <f>SUM(G147:G150)</f>
      </c>
      <c r="H151" s="273">
        <f>SUM(H147:H150)</f>
      </c>
      <c r="I151" s="274">
        <f>SUM(I147:I150)</f>
      </c>
      <c r="J151" s="276">
        <f t="shared" si="3"/>
      </c>
      <c r="K151" s="277">
        <f t="shared" si="5"/>
      </c>
      <c r="L151" s="277">
        <f t="shared" si="0"/>
      </c>
      <c r="M151" s="278">
        <f t="shared" si="1"/>
      </c>
      <c r="N151" s="279">
        <f>SUM(N147:N150)</f>
      </c>
      <c r="O151" s="278">
        <f t="shared" si="4"/>
      </c>
      <c r="P151" s="280"/>
      <c r="Q151" s="281">
        <f>SUM(Q147:Q150)</f>
      </c>
    </row>
    <row customHeight="true" ht="16.071428571428573" r="152">
      <c r="A152" s="258">
        <v>46234</v>
      </c>
      <c r="B152" s="259" t="s">
        <v>351</v>
      </c>
      <c r="C152" s="282" t="s">
        <v>360</v>
      </c>
      <c r="D152" s="322">
        <f>5-0.5</f>
      </c>
      <c r="E152" s="261">
        <v>16</v>
      </c>
      <c r="F152" s="283">
        <v>161</v>
      </c>
      <c r="G152" s="288">
        <v>109</v>
      </c>
      <c r="H152" s="323">
        <v>40531.9</v>
      </c>
      <c r="I152" s="285">
        <v>32706.26</v>
      </c>
      <c r="J152" s="265">
        <f t="shared" si="3"/>
      </c>
      <c r="K152" s="266">
        <f t="shared" si="5"/>
      </c>
      <c r="L152" s="267">
        <f t="shared" si="0"/>
      </c>
      <c r="M152" s="268">
        <f t="shared" si="1"/>
      </c>
      <c r="N152" s="269">
        <v>18</v>
      </c>
      <c r="O152" s="268">
        <f t="shared" si="4"/>
      </c>
      <c r="P152" s="259" t="s">
        <v>399</v>
      </c>
      <c r="Q152" s="259">
        <v>10</v>
      </c>
    </row>
    <row r="153">
      <c r="A153" s="258">
        <v>46234</v>
      </c>
      <c r="B153" s="259" t="s">
        <v>362</v>
      </c>
      <c r="C153" s="260" t="s">
        <v>352</v>
      </c>
      <c r="D153" s="260">
        <v>5</v>
      </c>
      <c r="E153" s="261">
        <v>15</v>
      </c>
      <c r="F153" s="283">
        <v>155</v>
      </c>
      <c r="G153" s="288">
        <v>102</v>
      </c>
      <c r="H153" s="264">
        <v>33089.700000000004</v>
      </c>
      <c r="I153" s="285">
        <v>34666.57000000001</v>
      </c>
      <c r="J153" s="265">
        <f t="shared" si="3"/>
      </c>
      <c r="K153" s="266">
        <f t="shared" si="5"/>
      </c>
      <c r="L153" s="267">
        <f t="shared" si="0"/>
      </c>
      <c r="M153" s="268">
        <f t="shared" si="1"/>
      </c>
      <c r="N153" s="269">
        <v>20</v>
      </c>
      <c r="O153" s="268">
        <f t="shared" si="4"/>
      </c>
      <c r="P153" s="259"/>
      <c r="Q153" s="259"/>
    </row>
    <row customHeight="true" ht="16.071428571428573" r="154">
      <c r="A154" s="258">
        <v>46234</v>
      </c>
      <c r="B154" s="259" t="s">
        <v>363</v>
      </c>
      <c r="C154" s="260" t="s">
        <v>401</v>
      </c>
      <c r="D154" s="260">
        <v>3</v>
      </c>
      <c r="E154" s="261">
        <v>14</v>
      </c>
      <c r="F154" s="283">
        <v>68</v>
      </c>
      <c r="G154" s="288">
        <v>41</v>
      </c>
      <c r="H154" s="264">
        <v>14167.099999999991</v>
      </c>
      <c r="I154" s="285">
        <v>15871.839999999997</v>
      </c>
      <c r="J154" s="265">
        <f t="shared" si="3"/>
      </c>
      <c r="K154" s="266">
        <f t="shared" si="5"/>
      </c>
      <c r="L154" s="267">
        <f t="shared" si="0"/>
      </c>
      <c r="M154" s="268">
        <f t="shared" si="1"/>
      </c>
      <c r="N154" s="269">
        <v>7</v>
      </c>
      <c r="O154" s="268">
        <f t="shared" si="4"/>
      </c>
      <c r="P154" s="259"/>
      <c r="Q154" s="259"/>
    </row>
    <row r="155">
      <c r="A155" s="258">
        <v>46234</v>
      </c>
      <c r="B155" s="259" t="s">
        <v>383</v>
      </c>
      <c r="C155" s="260" t="s">
        <v>388</v>
      </c>
      <c r="D155" s="260">
        <v>2</v>
      </c>
      <c r="E155" s="261">
        <v>4</v>
      </c>
      <c r="F155" s="293">
        <v>53</v>
      </c>
      <c r="G155" s="288">
        <v>40</v>
      </c>
      <c r="H155" s="296">
        <v>12507.5</v>
      </c>
      <c r="I155" s="285">
        <v>14743.340000000011</v>
      </c>
      <c r="J155" s="265">
        <f t="shared" si="3"/>
      </c>
      <c r="K155" s="266">
        <f t="shared" si="5"/>
      </c>
      <c r="L155" s="267">
        <f t="shared" si="0"/>
      </c>
      <c r="M155" s="268">
        <f t="shared" si="1"/>
      </c>
      <c r="N155" s="269">
        <v>3</v>
      </c>
      <c r="O155" s="268">
        <f t="shared" si="4"/>
      </c>
      <c r="P155" s="259"/>
      <c r="Q155" s="259"/>
    </row>
    <row r="156">
      <c r="A156" s="258">
        <v>46234</v>
      </c>
      <c r="B156" s="259" t="s">
        <v>356</v>
      </c>
      <c r="C156" s="260" t="s">
        <v>402</v>
      </c>
      <c r="D156" s="260">
        <v>4</v>
      </c>
      <c r="E156" s="294">
        <v>44</v>
      </c>
      <c r="F156" s="259">
        <v>361</v>
      </c>
      <c r="G156" s="295">
        <v>270</v>
      </c>
      <c r="H156" s="262">
        <v>91493.50000000001</v>
      </c>
      <c r="I156" s="285">
        <v>74271.56</v>
      </c>
      <c r="J156" s="265">
        <f t="shared" si="3"/>
      </c>
      <c r="K156" s="266">
        <f t="shared" si="5"/>
      </c>
      <c r="L156" s="267">
        <f t="shared" si="0"/>
      </c>
      <c r="M156" s="268">
        <f t="shared" si="1"/>
      </c>
      <c r="N156" s="291">
        <v>49</v>
      </c>
      <c r="O156" s="268">
        <f t="shared" si="4"/>
      </c>
      <c r="P156" s="299" t="s">
        <v>392</v>
      </c>
      <c r="Q156" s="259">
        <v>9</v>
      </c>
    </row>
    <row r="157">
      <c r="A157" s="272">
        <v>46234</v>
      </c>
      <c r="B157" s="273" t="s">
        <v>359</v>
      </c>
      <c r="C157" s="274"/>
      <c r="D157" s="274">
        <f>SUM(D152:D156)</f>
      </c>
      <c r="E157" s="274">
        <f>SUM(E152:E156)</f>
      </c>
      <c r="F157" s="273">
        <f>SUM(F152:F156)</f>
      </c>
      <c r="G157" s="274">
        <f>SUM(G152:G156)</f>
      </c>
      <c r="H157" s="273">
        <f>SUM(H152:H156)</f>
      </c>
      <c r="I157" s="274">
        <f>SUM(I152:I156)</f>
      </c>
      <c r="J157" s="276">
        <f t="shared" si="3"/>
      </c>
      <c r="K157" s="277">
        <f t="shared" si="5"/>
      </c>
      <c r="L157" s="277">
        <f t="shared" si="0"/>
      </c>
      <c r="M157" s="278">
        <f t="shared" si="1"/>
      </c>
      <c r="N157" s="279">
        <f>SUM(N152:N156)</f>
      </c>
      <c r="O157" s="278">
        <f t="shared" si="4"/>
      </c>
      <c r="P157" s="280"/>
      <c r="Q157" s="281">
        <f>SUM(Q152:Q156)</f>
      </c>
    </row>
    <row r="158">
      <c r="E158" s="324"/>
      <c r="F158" s="325"/>
      <c r="G158" s="325"/>
      <c r="H158" s="325"/>
      <c r="I158" s="325"/>
      <c r="J158" s="308"/>
      <c r="K158" s="308"/>
      <c r="L158" s="308"/>
      <c r="M158" s="308"/>
      <c r="N158" s="324">
        <f>N159*G157</f>
      </c>
    </row>
    <row r="159"/>
    <row r="160">
      <c r="F160" s="326" t="s">
        <v>403</v>
      </c>
    </row>
    <row r="161">
      <c r="F161" s="327">
        <f t="shared" ref="F161:F170" si="2">D161/E161</f>
      </c>
    </row>
    <row r="162">
      <c r="F162" s="327">
        <f t="shared" si="2"/>
      </c>
    </row>
    <row r="163">
      <c r="F163" s="327">
        <f t="shared" si="2"/>
      </c>
    </row>
    <row r="164">
      <c r="F164" s="327">
        <f t="shared" si="2"/>
      </c>
    </row>
    <row r="165">
      <c r="F165" s="327">
        <f t="shared" si="2"/>
      </c>
    </row>
    <row r="166">
      <c r="F166" s="327">
        <f t="shared" si="2"/>
      </c>
    </row>
    <row r="167">
      <c r="F167" s="327">
        <f t="shared" si="2"/>
      </c>
    </row>
    <row r="168">
      <c r="F168" s="327">
        <f t="shared" si="2"/>
      </c>
    </row>
    <row r="169">
      <c r="F169" s="327">
        <f t="shared" si="2"/>
      </c>
    </row>
    <row r="170">
      <c r="F170" s="328">
        <f t="shared" si="2"/>
      </c>
    </row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>
      <c r="F192" s="329"/>
    </row>
    <row r="193">
      <c r="F193" s="329"/>
    </row>
    <row r="194">
      <c r="F194" s="329"/>
    </row>
    <row r="195">
      <c r="F195" s="329"/>
    </row>
  </sheetData>
  <autoFilter ref="A1:P207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20" min="20" style="0" width="11.211267605633802"/>
    <col collapsed="false" customWidth="true" hidden="false" max="24" min="24" style="0" width="11.211267605633802"/>
    <col collapsed="false" customWidth="true" hidden="false" max="28" min="28" style="0" width="11.211267605633802"/>
    <col collapsed="false" customWidth="true" hidden="false" max="29" min="29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27" min="27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22" min="22" style="0" width="11.211267605633802"/>
    <col collapsed="false" customWidth="true" hidden="false" max="26" min="26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21" min="21" style="0" width="11.211267605633802"/>
    <col collapsed="false" customWidth="true" hidden="false" max="25" min="25" style="0" width="11.211267605633802"/>
    <col collapsed="false" customWidth="true" hidden="false" max="30" min="30" style="0" width="11.211267605633802"/>
  </cols>
  <sheetData>
    <row customHeight="true" ht="16.071428571428573" r="1">
      <c r="A1" s="330" t="s">
        <v>404</v>
      </c>
      <c r="B1" s="331" t="s">
        <v>405</v>
      </c>
      <c r="C1" s="331" t="s">
        <v>406</v>
      </c>
      <c r="D1" s="331" t="s">
        <v>407</v>
      </c>
      <c r="E1" s="332" t="s">
        <v>408</v>
      </c>
      <c r="F1" s="331" t="s">
        <v>409</v>
      </c>
      <c r="G1" s="331" t="s">
        <v>410</v>
      </c>
      <c r="H1" s="331" t="s">
        <v>411</v>
      </c>
      <c r="I1" s="331" t="s">
        <v>412</v>
      </c>
      <c r="J1" s="333" t="s">
        <v>413</v>
      </c>
      <c r="K1" s="333" t="s">
        <v>414</v>
      </c>
      <c r="L1" s="333" t="s">
        <v>415</v>
      </c>
      <c r="M1" s="334" t="s">
        <v>416</v>
      </c>
      <c r="N1" s="334" t="s">
        <v>417</v>
      </c>
      <c r="O1" s="334" t="s">
        <v>418</v>
      </c>
      <c r="P1" s="333" t="s">
        <v>419</v>
      </c>
      <c r="Q1" s="331" t="s">
        <v>420</v>
      </c>
      <c r="R1" s="335"/>
    </row>
    <row hidden="true" r="2">
      <c r="A2" s="336">
        <v>46235</v>
      </c>
      <c r="B2" s="337" t="s">
        <v>421</v>
      </c>
      <c r="C2" s="337" t="s">
        <v>422</v>
      </c>
      <c r="D2" s="338">
        <v>5</v>
      </c>
      <c r="E2" s="339">
        <v>28</v>
      </c>
      <c r="F2" s="338">
        <v>212</v>
      </c>
      <c r="G2" s="338">
        <v>142</v>
      </c>
      <c r="H2" s="340">
        <v>53836.4</v>
      </c>
      <c r="I2" s="340">
        <v>40279.66</v>
      </c>
      <c r="J2" s="341">
        <f t="shared" ref="J2:J169" si="1">H2/I2</f>
      </c>
      <c r="K2" s="341">
        <f t="shared" ref="K2:K169" si="0">H2/G2</f>
      </c>
      <c r="L2" s="342">
        <f t="shared" ref="L2:L169" si="6">I2/G2</f>
      </c>
      <c r="M2" s="343">
        <f t="shared" ref="M2:M169" si="4">E2/G2</f>
      </c>
      <c r="N2" s="339">
        <v>32</v>
      </c>
      <c r="O2" s="343">
        <f t="shared" ref="O2:O169" si="2">N2/G2</f>
      </c>
      <c r="P2" s="337" t="s">
        <v>423</v>
      </c>
      <c r="Q2" s="337">
        <v>10</v>
      </c>
      <c r="R2" s="335"/>
    </row>
    <row hidden="true" r="3">
      <c r="A3" s="336">
        <v>46235</v>
      </c>
      <c r="B3" s="337" t="s">
        <v>424</v>
      </c>
      <c r="C3" s="338" t="s">
        <v>425</v>
      </c>
      <c r="D3" s="338">
        <v>4</v>
      </c>
      <c r="E3" s="339">
        <v>16</v>
      </c>
      <c r="F3" s="338">
        <v>147</v>
      </c>
      <c r="G3" s="338">
        <v>106</v>
      </c>
      <c r="H3" s="338">
        <v>38839.5</v>
      </c>
      <c r="I3" s="340">
        <v>30557.99</v>
      </c>
      <c r="J3" s="341">
        <f t="shared" si="1"/>
      </c>
      <c r="K3" s="341">
        <f t="shared" si="0"/>
      </c>
      <c r="L3" s="342">
        <f t="shared" si="6"/>
      </c>
      <c r="M3" s="343">
        <f t="shared" si="4"/>
      </c>
      <c r="N3" s="339">
        <v>23</v>
      </c>
      <c r="O3" s="343">
        <f t="shared" si="2"/>
      </c>
      <c r="P3" s="337"/>
      <c r="Q3" s="337"/>
      <c r="R3" s="335"/>
    </row>
    <row hidden="true" r="4">
      <c r="A4" s="336">
        <v>46235</v>
      </c>
      <c r="B4" s="337" t="s">
        <v>426</v>
      </c>
      <c r="C4" s="338" t="s">
        <v>427</v>
      </c>
      <c r="D4" s="338">
        <v>2</v>
      </c>
      <c r="E4" s="339">
        <v>10</v>
      </c>
      <c r="F4" s="338">
        <v>58</v>
      </c>
      <c r="G4" s="338">
        <v>39</v>
      </c>
      <c r="H4" s="338">
        <v>13283.200000000012</v>
      </c>
      <c r="I4" s="340">
        <v>13753.409999999989</v>
      </c>
      <c r="J4" s="341">
        <f t="shared" si="1"/>
      </c>
      <c r="K4" s="341">
        <f t="shared" si="0"/>
      </c>
      <c r="L4" s="342">
        <f t="shared" si="6"/>
      </c>
      <c r="M4" s="343">
        <f t="shared" si="4"/>
      </c>
      <c r="N4" s="339">
        <v>8</v>
      </c>
      <c r="O4" s="343">
        <f t="shared" si="2"/>
      </c>
      <c r="P4" s="337"/>
      <c r="Q4" s="337"/>
      <c r="R4" s="335"/>
    </row>
    <row hidden="true" r="5">
      <c r="A5" s="336">
        <v>46235</v>
      </c>
      <c r="B5" s="337" t="s">
        <v>428</v>
      </c>
      <c r="C5" s="338" t="s">
        <v>429</v>
      </c>
      <c r="D5" s="338">
        <v>4</v>
      </c>
      <c r="E5" s="339">
        <v>19</v>
      </c>
      <c r="F5" s="338">
        <v>105</v>
      </c>
      <c r="G5" s="338">
        <v>76</v>
      </c>
      <c r="H5" s="338">
        <v>31349</v>
      </c>
      <c r="I5" s="340">
        <v>24269.89</v>
      </c>
      <c r="J5" s="341">
        <f t="shared" si="1"/>
      </c>
      <c r="K5" s="341">
        <f t="shared" si="0"/>
      </c>
      <c r="L5" s="342">
        <f t="shared" si="6"/>
      </c>
      <c r="M5" s="343">
        <f t="shared" si="4"/>
      </c>
      <c r="N5" s="339">
        <v>9</v>
      </c>
      <c r="O5" s="343">
        <f t="shared" si="2"/>
      </c>
      <c r="P5" s="337"/>
      <c r="Q5" s="337"/>
      <c r="R5" s="335"/>
    </row>
    <row hidden="true" r="6">
      <c r="A6" s="336">
        <v>46235</v>
      </c>
      <c r="B6" s="337" t="s">
        <v>430</v>
      </c>
      <c r="C6" s="338" t="s">
        <v>431</v>
      </c>
      <c r="D6" s="338">
        <v>5</v>
      </c>
      <c r="E6" s="344">
        <v>20</v>
      </c>
      <c r="F6" s="337">
        <v>143</v>
      </c>
      <c r="G6" s="338">
        <v>101</v>
      </c>
      <c r="H6" s="338">
        <v>31433</v>
      </c>
      <c r="I6" s="340">
        <v>33626.54</v>
      </c>
      <c r="J6" s="341">
        <f t="shared" si="1"/>
      </c>
      <c r="K6" s="341">
        <f t="shared" si="0"/>
      </c>
      <c r="L6" s="342">
        <f t="shared" si="6"/>
      </c>
      <c r="M6" s="343">
        <f t="shared" si="4"/>
      </c>
      <c r="N6" s="344">
        <v>20</v>
      </c>
      <c r="O6" s="343">
        <f t="shared" si="2"/>
      </c>
      <c r="P6" s="338" t="s">
        <v>432</v>
      </c>
      <c r="Q6" s="337">
        <v>10</v>
      </c>
      <c r="R6" s="335"/>
    </row>
    <row r="7">
      <c r="A7" s="345">
        <v>46235</v>
      </c>
      <c r="B7" s="346" t="s">
        <v>433</v>
      </c>
      <c r="C7" s="346"/>
      <c r="D7" s="346">
        <f>SUM(D2:D6)</f>
      </c>
      <c r="E7" s="346">
        <f>SUM(E2:E6)</f>
      </c>
      <c r="F7" s="346">
        <f>SUM(F2:F6)</f>
      </c>
      <c r="G7" s="346">
        <f>SUM(G2:G6)</f>
      </c>
      <c r="H7" s="346">
        <f>SUM(H2:H6)</f>
      </c>
      <c r="I7" s="346">
        <f>SUM(I2:I6)</f>
      </c>
      <c r="J7" s="347">
        <f t="shared" si="1"/>
      </c>
      <c r="K7" s="348">
        <f t="shared" si="0"/>
      </c>
      <c r="L7" s="348">
        <f t="shared" si="6"/>
      </c>
      <c r="M7" s="349">
        <f t="shared" si="4"/>
      </c>
      <c r="N7" s="346">
        <f>SUM(N2:N6)</f>
      </c>
      <c r="O7" s="349">
        <f t="shared" si="2"/>
      </c>
      <c r="P7" s="350"/>
      <c r="Q7" s="346">
        <f>SUM(Q2:Q6)</f>
      </c>
      <c r="R7" s="335"/>
    </row>
    <row hidden="true" r="8">
      <c r="A8" s="336">
        <v>46236</v>
      </c>
      <c r="B8" s="337" t="s">
        <v>421</v>
      </c>
      <c r="C8" s="337" t="s">
        <v>422</v>
      </c>
      <c r="D8" s="338">
        <v>5</v>
      </c>
      <c r="E8" s="339">
        <v>24</v>
      </c>
      <c r="F8" s="338">
        <v>243</v>
      </c>
      <c r="G8" s="338">
        <v>167</v>
      </c>
      <c r="H8" s="340">
        <v>55559.8</v>
      </c>
      <c r="I8" s="340">
        <v>47218.2</v>
      </c>
      <c r="J8" s="341">
        <f t="shared" si="1"/>
      </c>
      <c r="K8" s="341">
        <f t="shared" si="0"/>
      </c>
      <c r="L8" s="342">
        <f t="shared" si="6"/>
      </c>
      <c r="M8" s="343">
        <f t="shared" si="4"/>
      </c>
      <c r="N8" s="339">
        <v>39</v>
      </c>
      <c r="O8" s="343">
        <f t="shared" si="2"/>
      </c>
      <c r="P8" s="337" t="s">
        <v>434</v>
      </c>
      <c r="Q8" s="337">
        <v>10</v>
      </c>
      <c r="R8" s="335"/>
    </row>
    <row hidden="true" r="9">
      <c r="A9" s="336">
        <v>46236</v>
      </c>
      <c r="B9" s="337" t="s">
        <v>435</v>
      </c>
      <c r="C9" s="338" t="s">
        <v>436</v>
      </c>
      <c r="D9" s="338">
        <v>5</v>
      </c>
      <c r="E9" s="339">
        <v>27</v>
      </c>
      <c r="F9" s="338">
        <v>266</v>
      </c>
      <c r="G9" s="338">
        <v>203</v>
      </c>
      <c r="H9" s="340">
        <v>76857.8</v>
      </c>
      <c r="I9" s="340">
        <v>55919.20000000001</v>
      </c>
      <c r="J9" s="341">
        <f t="shared" si="1"/>
      </c>
      <c r="K9" s="341">
        <f t="shared" si="0"/>
      </c>
      <c r="L9" s="342">
        <f t="shared" si="6"/>
      </c>
      <c r="M9" s="343">
        <f t="shared" si="4"/>
      </c>
      <c r="N9" s="339">
        <v>50</v>
      </c>
      <c r="O9" s="343">
        <f t="shared" si="2"/>
      </c>
      <c r="P9" s="337"/>
      <c r="Q9" s="337"/>
      <c r="R9" s="335"/>
    </row>
    <row hidden="true" r="10">
      <c r="A10" s="336">
        <v>46236</v>
      </c>
      <c r="B10" s="337" t="s">
        <v>430</v>
      </c>
      <c r="C10" s="338" t="s">
        <v>437</v>
      </c>
      <c r="D10" s="338">
        <v>5</v>
      </c>
      <c r="E10" s="339">
        <v>30</v>
      </c>
      <c r="F10" s="338">
        <v>228</v>
      </c>
      <c r="G10" s="338">
        <v>162</v>
      </c>
      <c r="H10" s="340">
        <v>63724.5</v>
      </c>
      <c r="I10" s="340">
        <v>55738.42999999998</v>
      </c>
      <c r="J10" s="341">
        <f t="shared" si="1"/>
      </c>
      <c r="K10" s="341">
        <f t="shared" si="0"/>
      </c>
      <c r="L10" s="342">
        <f t="shared" si="6"/>
      </c>
      <c r="M10" s="343">
        <f t="shared" si="4"/>
      </c>
      <c r="N10" s="339">
        <v>39</v>
      </c>
      <c r="O10" s="343">
        <f t="shared" si="2"/>
      </c>
      <c r="P10" s="337"/>
      <c r="Q10" s="337"/>
      <c r="R10" s="335"/>
    </row>
    <row hidden="true" r="11">
      <c r="A11" s="336">
        <v>46236</v>
      </c>
      <c r="B11" s="337" t="s">
        <v>424</v>
      </c>
      <c r="C11" s="338" t="s">
        <v>431</v>
      </c>
      <c r="D11" s="338">
        <v>5</v>
      </c>
      <c r="E11" s="344">
        <v>38</v>
      </c>
      <c r="F11" s="337">
        <v>212</v>
      </c>
      <c r="G11" s="338">
        <v>151</v>
      </c>
      <c r="H11" s="340">
        <v>50661.79999999999</v>
      </c>
      <c r="I11" s="340">
        <v>43286.97</v>
      </c>
      <c r="J11" s="341">
        <f t="shared" si="1"/>
      </c>
      <c r="K11" s="341">
        <f t="shared" si="0"/>
      </c>
      <c r="L11" s="342">
        <f t="shared" si="6"/>
      </c>
      <c r="M11" s="343">
        <f t="shared" si="4"/>
      </c>
      <c r="N11" s="344">
        <v>33</v>
      </c>
      <c r="O11" s="343">
        <f t="shared" si="2"/>
      </c>
      <c r="P11" s="338" t="s">
        <v>438</v>
      </c>
      <c r="Q11" s="337">
        <v>10</v>
      </c>
      <c r="R11" s="335"/>
    </row>
    <row r="12">
      <c r="A12" s="345">
        <v>46236</v>
      </c>
      <c r="B12" s="346" t="s">
        <v>433</v>
      </c>
      <c r="C12" s="346"/>
      <c r="D12" s="346">
        <f>SUM(D8:D11)</f>
      </c>
      <c r="E12" s="346">
        <f>SUM(E8:E11)</f>
      </c>
      <c r="F12" s="346">
        <f>SUM(F8:F11)</f>
      </c>
      <c r="G12" s="346">
        <f>SUM(G8:G11)</f>
      </c>
      <c r="H12" s="346">
        <f>SUM(H8:H11)</f>
      </c>
      <c r="I12" s="346">
        <f>SUM(I8:I11)</f>
      </c>
      <c r="J12" s="347">
        <f t="shared" si="1"/>
      </c>
      <c r="K12" s="348">
        <f t="shared" si="0"/>
      </c>
      <c r="L12" s="348">
        <f t="shared" si="6"/>
      </c>
      <c r="M12" s="349">
        <f t="shared" si="4"/>
      </c>
      <c r="N12" s="346">
        <f>SUM(N8:N11)</f>
      </c>
      <c r="O12" s="349">
        <f t="shared" si="2"/>
      </c>
      <c r="P12" s="350"/>
      <c r="Q12" s="346">
        <f>SUM(Q8:Q11)</f>
      </c>
      <c r="R12" s="335"/>
    </row>
    <row hidden="true" r="13">
      <c r="A13" s="336">
        <v>46237</v>
      </c>
      <c r="B13" s="337" t="s">
        <v>421</v>
      </c>
      <c r="C13" s="337" t="s">
        <v>422</v>
      </c>
      <c r="D13" s="338">
        <v>5</v>
      </c>
      <c r="E13" s="339">
        <v>25</v>
      </c>
      <c r="F13" s="338">
        <v>170</v>
      </c>
      <c r="G13" s="338">
        <v>118</v>
      </c>
      <c r="H13" s="340">
        <v>41087.8</v>
      </c>
      <c r="I13" s="340">
        <v>35968.62</v>
      </c>
      <c r="J13" s="341">
        <f t="shared" si="1"/>
      </c>
      <c r="K13" s="341">
        <f t="shared" si="0"/>
      </c>
      <c r="L13" s="342">
        <f t="shared" si="6"/>
      </c>
      <c r="M13" s="343">
        <f t="shared" si="4"/>
      </c>
      <c r="N13" s="339">
        <v>17</v>
      </c>
      <c r="O13" s="343">
        <f t="shared" si="2"/>
      </c>
      <c r="P13" s="337" t="s">
        <v>434</v>
      </c>
      <c r="Q13" s="337">
        <v>10</v>
      </c>
      <c r="R13" s="335"/>
    </row>
    <row hidden="true" r="14">
      <c r="A14" s="336">
        <v>46237</v>
      </c>
      <c r="B14" s="337" t="s">
        <v>430</v>
      </c>
      <c r="C14" s="338" t="s">
        <v>436</v>
      </c>
      <c r="D14" s="338">
        <v>5</v>
      </c>
      <c r="E14" s="339">
        <v>14</v>
      </c>
      <c r="F14" s="338">
        <v>153</v>
      </c>
      <c r="G14" s="338">
        <v>105</v>
      </c>
      <c r="H14" s="340">
        <v>36218.8</v>
      </c>
      <c r="I14" s="340">
        <v>32106.04</v>
      </c>
      <c r="J14" s="341">
        <f t="shared" si="1"/>
      </c>
      <c r="K14" s="341">
        <f t="shared" si="0"/>
      </c>
      <c r="L14" s="342">
        <f t="shared" si="6"/>
      </c>
      <c r="M14" s="343">
        <f t="shared" si="4"/>
      </c>
      <c r="N14" s="339">
        <v>24</v>
      </c>
      <c r="O14" s="343">
        <f t="shared" si="2"/>
      </c>
      <c r="P14" s="337"/>
      <c r="Q14" s="337"/>
      <c r="R14" s="335"/>
    </row>
    <row hidden="true" r="15">
      <c r="A15" s="336">
        <v>46237</v>
      </c>
      <c r="B15" s="337" t="s">
        <v>428</v>
      </c>
      <c r="C15" s="338" t="s">
        <v>437</v>
      </c>
      <c r="D15" s="338">
        <v>5</v>
      </c>
      <c r="E15" s="339">
        <v>17</v>
      </c>
      <c r="F15" s="338">
        <v>167</v>
      </c>
      <c r="G15" s="338">
        <v>103</v>
      </c>
      <c r="H15" s="340">
        <v>35098.2</v>
      </c>
      <c r="I15" s="340">
        <v>36044.70999999999</v>
      </c>
      <c r="J15" s="341">
        <f t="shared" si="1"/>
      </c>
      <c r="K15" s="341">
        <f t="shared" si="0"/>
      </c>
      <c r="L15" s="342">
        <f t="shared" si="6"/>
      </c>
      <c r="M15" s="343">
        <f t="shared" si="4"/>
      </c>
      <c r="N15" s="339">
        <v>21</v>
      </c>
      <c r="O15" s="343">
        <f t="shared" si="2"/>
      </c>
      <c r="P15" s="337"/>
      <c r="Q15" s="337"/>
      <c r="R15" s="335"/>
    </row>
    <row hidden="true" r="16">
      <c r="A16" s="336">
        <v>46237</v>
      </c>
      <c r="B16" s="337" t="s">
        <v>435</v>
      </c>
      <c r="C16" s="338" t="s">
        <v>431</v>
      </c>
      <c r="D16" s="338">
        <v>5</v>
      </c>
      <c r="E16" s="344">
        <v>13</v>
      </c>
      <c r="F16" s="337">
        <v>110</v>
      </c>
      <c r="G16" s="338">
        <v>78</v>
      </c>
      <c r="H16" s="340">
        <v>28367.499999999985</v>
      </c>
      <c r="I16" s="340">
        <v>27049</v>
      </c>
      <c r="J16" s="341">
        <f t="shared" si="1"/>
      </c>
      <c r="K16" s="341">
        <f t="shared" si="0"/>
      </c>
      <c r="L16" s="342">
        <f t="shared" si="6"/>
      </c>
      <c r="M16" s="343">
        <f t="shared" si="4"/>
      </c>
      <c r="N16" s="344">
        <v>10</v>
      </c>
      <c r="O16" s="343">
        <f t="shared" si="2"/>
      </c>
      <c r="P16" s="338" t="s">
        <v>438</v>
      </c>
      <c r="Q16" s="337">
        <v>10</v>
      </c>
      <c r="R16" s="335"/>
    </row>
    <row r="17">
      <c r="A17" s="345">
        <v>46237</v>
      </c>
      <c r="B17" s="346" t="s">
        <v>433</v>
      </c>
      <c r="C17" s="346"/>
      <c r="D17" s="346">
        <f>SUM(D13:D16)</f>
      </c>
      <c r="E17" s="346">
        <f>SUM(E13:E16)</f>
      </c>
      <c r="F17" s="346">
        <f>SUM(F13:F16)</f>
      </c>
      <c r="G17" s="346">
        <f>SUM(G13:G16)</f>
      </c>
      <c r="H17" s="346">
        <f>SUM(H13:H16)</f>
      </c>
      <c r="I17" s="346">
        <f>SUM(I13:I16)</f>
      </c>
      <c r="J17" s="347">
        <f t="shared" si="1"/>
      </c>
      <c r="K17" s="348">
        <f t="shared" si="0"/>
      </c>
      <c r="L17" s="348">
        <f t="shared" si="6"/>
      </c>
      <c r="M17" s="349">
        <f t="shared" si="4"/>
      </c>
      <c r="N17" s="346">
        <f>SUM(N13:N16)</f>
      </c>
      <c r="O17" s="349">
        <f t="shared" si="2"/>
      </c>
      <c r="P17" s="350"/>
      <c r="Q17" s="346">
        <f>SUM(Q13:Q16)</f>
      </c>
      <c r="R17" s="335"/>
    </row>
    <row hidden="true" r="18">
      <c r="A18" s="336">
        <v>46238</v>
      </c>
      <c r="B18" s="337" t="s">
        <v>430</v>
      </c>
      <c r="C18" s="337" t="s">
        <v>422</v>
      </c>
      <c r="D18" s="338">
        <v>5</v>
      </c>
      <c r="E18" s="339">
        <v>10</v>
      </c>
      <c r="F18" s="338">
        <v>130</v>
      </c>
      <c r="G18" s="338">
        <v>81</v>
      </c>
      <c r="H18" s="340">
        <v>32742.1</v>
      </c>
      <c r="I18" s="340">
        <v>24452.850000000006</v>
      </c>
      <c r="J18" s="341">
        <f t="shared" si="1"/>
      </c>
      <c r="K18" s="341">
        <f t="shared" si="0"/>
      </c>
      <c r="L18" s="342">
        <f t="shared" si="6"/>
      </c>
      <c r="M18" s="343">
        <f t="shared" si="4"/>
      </c>
      <c r="N18" s="339">
        <v>12</v>
      </c>
      <c r="O18" s="343">
        <f t="shared" si="2"/>
      </c>
      <c r="P18" s="337" t="s">
        <v>434</v>
      </c>
      <c r="Q18" s="337">
        <v>10</v>
      </c>
      <c r="R18" s="335"/>
    </row>
    <row hidden="true" r="19">
      <c r="A19" s="336">
        <v>46238</v>
      </c>
      <c r="B19" s="337" t="s">
        <v>428</v>
      </c>
      <c r="C19" s="338" t="s">
        <v>436</v>
      </c>
      <c r="D19" s="338">
        <v>5</v>
      </c>
      <c r="E19" s="339">
        <v>9</v>
      </c>
      <c r="F19" s="338">
        <v>76</v>
      </c>
      <c r="G19" s="338">
        <v>44</v>
      </c>
      <c r="H19" s="340">
        <v>17966</v>
      </c>
      <c r="I19" s="340">
        <v>19013.939999999995</v>
      </c>
      <c r="J19" s="341">
        <f t="shared" si="1"/>
      </c>
      <c r="K19" s="341">
        <f t="shared" si="0"/>
      </c>
      <c r="L19" s="342">
        <f t="shared" si="6"/>
      </c>
      <c r="M19" s="343">
        <f t="shared" si="4"/>
      </c>
      <c r="N19" s="339">
        <v>7</v>
      </c>
      <c r="O19" s="343">
        <f t="shared" si="2"/>
      </c>
      <c r="P19" s="337"/>
      <c r="Q19" s="337"/>
      <c r="R19" s="335"/>
    </row>
    <row hidden="true" r="20">
      <c r="A20" s="336">
        <v>46238</v>
      </c>
      <c r="B20" s="337" t="s">
        <v>435</v>
      </c>
      <c r="C20" s="338" t="s">
        <v>437</v>
      </c>
      <c r="D20" s="338">
        <v>5</v>
      </c>
      <c r="E20" s="339">
        <v>12</v>
      </c>
      <c r="F20" s="338">
        <v>98</v>
      </c>
      <c r="G20" s="338">
        <v>75</v>
      </c>
      <c r="H20" s="340">
        <v>26172.4</v>
      </c>
      <c r="I20" s="340">
        <v>23350.760000000002</v>
      </c>
      <c r="J20" s="341">
        <f t="shared" si="1"/>
      </c>
      <c r="K20" s="341">
        <f t="shared" si="0"/>
      </c>
      <c r="L20" s="342">
        <f t="shared" si="6"/>
      </c>
      <c r="M20" s="343">
        <f t="shared" si="4"/>
      </c>
      <c r="N20" s="339">
        <v>8</v>
      </c>
      <c r="O20" s="343">
        <f t="shared" si="2"/>
      </c>
      <c r="P20" s="337"/>
      <c r="Q20" s="337"/>
      <c r="R20" s="335"/>
    </row>
    <row hidden="true" r="21">
      <c r="A21" s="336">
        <v>46238</v>
      </c>
      <c r="B21" s="337" t="s">
        <v>424</v>
      </c>
      <c r="C21" s="338" t="s">
        <v>431</v>
      </c>
      <c r="D21" s="338">
        <v>5</v>
      </c>
      <c r="E21" s="344">
        <v>18</v>
      </c>
      <c r="F21" s="337">
        <v>145</v>
      </c>
      <c r="G21" s="338">
        <v>94</v>
      </c>
      <c r="H21" s="340">
        <v>30056.100000000006</v>
      </c>
      <c r="I21" s="340">
        <v>32573.51</v>
      </c>
      <c r="J21" s="341">
        <f t="shared" si="1"/>
      </c>
      <c r="K21" s="341">
        <f t="shared" si="0"/>
      </c>
      <c r="L21" s="342">
        <f t="shared" si="6"/>
      </c>
      <c r="M21" s="343">
        <f t="shared" si="4"/>
      </c>
      <c r="N21" s="344">
        <v>18</v>
      </c>
      <c r="O21" s="343">
        <f t="shared" si="2"/>
      </c>
      <c r="P21" s="338" t="s">
        <v>432</v>
      </c>
      <c r="Q21" s="337">
        <v>10</v>
      </c>
      <c r="R21" s="335"/>
    </row>
    <row r="22">
      <c r="A22" s="345">
        <v>46238</v>
      </c>
      <c r="B22" s="346" t="s">
        <v>433</v>
      </c>
      <c r="C22" s="346"/>
      <c r="D22" s="346">
        <f>SUM(D18:D21)</f>
      </c>
      <c r="E22" s="346">
        <f>SUM(E18:E21)</f>
      </c>
      <c r="F22" s="346">
        <f>SUM(F18:F21)</f>
      </c>
      <c r="G22" s="346">
        <f>SUM(G18:G21)</f>
      </c>
      <c r="H22" s="346">
        <f>SUM(H18:H21)</f>
      </c>
      <c r="I22" s="346">
        <f>SUM(I18:I21)</f>
      </c>
      <c r="J22" s="347">
        <f t="shared" si="1"/>
      </c>
      <c r="K22" s="348">
        <f t="shared" si="0"/>
      </c>
      <c r="L22" s="348">
        <f t="shared" si="6"/>
      </c>
      <c r="M22" s="349">
        <f t="shared" si="4"/>
      </c>
      <c r="N22" s="346">
        <f>SUM(N18:N21)</f>
      </c>
      <c r="O22" s="349">
        <f t="shared" si="2"/>
      </c>
      <c r="P22" s="350"/>
      <c r="Q22" s="346">
        <f>SUM(Q18:Q21)</f>
      </c>
      <c r="R22" s="335"/>
    </row>
    <row hidden="true" r="23">
      <c r="A23" s="336">
        <v>46239</v>
      </c>
      <c r="B23" s="337" t="s">
        <v>430</v>
      </c>
      <c r="C23" s="337" t="s">
        <v>422</v>
      </c>
      <c r="D23" s="338">
        <v>5</v>
      </c>
      <c r="E23" s="339">
        <v>21</v>
      </c>
      <c r="F23" s="338">
        <v>167</v>
      </c>
      <c r="G23" s="338">
        <v>110</v>
      </c>
      <c r="H23" s="340">
        <v>34319.7</v>
      </c>
      <c r="I23" s="340">
        <v>35136.85</v>
      </c>
      <c r="J23" s="341">
        <f t="shared" si="1"/>
      </c>
      <c r="K23" s="341">
        <f t="shared" si="0"/>
      </c>
      <c r="L23" s="342">
        <f t="shared" si="6"/>
      </c>
      <c r="M23" s="343">
        <f t="shared" si="4"/>
      </c>
      <c r="N23" s="339">
        <v>16</v>
      </c>
      <c r="O23" s="343">
        <f t="shared" si="2"/>
      </c>
      <c r="P23" s="337" t="s">
        <v>434</v>
      </c>
      <c r="Q23" s="337">
        <v>10</v>
      </c>
      <c r="R23" s="335"/>
    </row>
    <row hidden="true" r="24">
      <c r="A24" s="336">
        <v>46239</v>
      </c>
      <c r="B24" s="337" t="s">
        <v>424</v>
      </c>
      <c r="C24" s="338" t="s">
        <v>436</v>
      </c>
      <c r="D24" s="338">
        <v>5</v>
      </c>
      <c r="E24" s="339">
        <v>32</v>
      </c>
      <c r="F24" s="338">
        <v>173</v>
      </c>
      <c r="G24" s="338">
        <v>110</v>
      </c>
      <c r="H24" s="340">
        <v>34965.2</v>
      </c>
      <c r="I24" s="340">
        <v>29812.84</v>
      </c>
      <c r="J24" s="341">
        <f t="shared" si="1"/>
      </c>
      <c r="K24" s="341">
        <f t="shared" si="0"/>
      </c>
      <c r="L24" s="342">
        <f t="shared" si="6"/>
      </c>
      <c r="M24" s="343">
        <f t="shared" si="4"/>
      </c>
      <c r="N24" s="339">
        <v>20</v>
      </c>
      <c r="O24" s="343">
        <f t="shared" si="2"/>
      </c>
      <c r="P24" s="337"/>
      <c r="Q24" s="337"/>
      <c r="R24" s="335"/>
    </row>
    <row hidden="true" r="25">
      <c r="A25" s="336">
        <v>46239</v>
      </c>
      <c r="B25" s="337" t="s">
        <v>435</v>
      </c>
      <c r="C25" s="338" t="s">
        <v>437</v>
      </c>
      <c r="D25" s="338">
        <v>5</v>
      </c>
      <c r="E25" s="339">
        <v>24</v>
      </c>
      <c r="F25" s="338">
        <v>196</v>
      </c>
      <c r="G25" s="338">
        <v>152</v>
      </c>
      <c r="H25" s="340">
        <v>45774.20000000001</v>
      </c>
      <c r="I25" s="340">
        <v>50909.479999999996</v>
      </c>
      <c r="J25" s="341">
        <f t="shared" si="1"/>
      </c>
      <c r="K25" s="341">
        <f t="shared" si="0"/>
      </c>
      <c r="L25" s="342">
        <f t="shared" si="6"/>
      </c>
      <c r="M25" s="343">
        <f t="shared" si="4"/>
      </c>
      <c r="N25" s="339">
        <v>22</v>
      </c>
      <c r="O25" s="343">
        <f t="shared" si="2"/>
      </c>
      <c r="P25" s="337"/>
      <c r="Q25" s="337"/>
      <c r="R25" s="335"/>
    </row>
    <row hidden="true" r="26">
      <c r="A26" s="336">
        <v>46239</v>
      </c>
      <c r="B26" s="337" t="s">
        <v>421</v>
      </c>
      <c r="C26" s="338" t="s">
        <v>431</v>
      </c>
      <c r="D26" s="338">
        <v>5</v>
      </c>
      <c r="E26" s="344">
        <v>18</v>
      </c>
      <c r="F26" s="337">
        <v>137</v>
      </c>
      <c r="G26" s="338">
        <v>93</v>
      </c>
      <c r="H26" s="340">
        <v>31024.5</v>
      </c>
      <c r="I26" s="340">
        <v>33115.98</v>
      </c>
      <c r="J26" s="341">
        <f t="shared" si="1"/>
      </c>
      <c r="K26" s="341">
        <f t="shared" si="0"/>
      </c>
      <c r="L26" s="342">
        <f t="shared" si="6"/>
      </c>
      <c r="M26" s="343">
        <f t="shared" si="4"/>
      </c>
      <c r="N26" s="344">
        <v>14</v>
      </c>
      <c r="O26" s="343">
        <f t="shared" si="2"/>
      </c>
      <c r="P26" s="338" t="s">
        <v>432</v>
      </c>
      <c r="Q26" s="337">
        <v>10</v>
      </c>
      <c r="R26" s="335"/>
    </row>
    <row r="27">
      <c r="A27" s="345">
        <v>46239</v>
      </c>
      <c r="B27" s="346" t="s">
        <v>433</v>
      </c>
      <c r="C27" s="346"/>
      <c r="D27" s="346">
        <f>SUM(D23:D26)</f>
      </c>
      <c r="E27" s="346">
        <f>SUM(E23:E26)</f>
      </c>
      <c r="F27" s="346">
        <f>SUM(F23:F26)</f>
      </c>
      <c r="G27" s="346">
        <f>SUM(G23:G26)</f>
      </c>
      <c r="H27" s="346">
        <f>SUM(H23:H26)</f>
      </c>
      <c r="I27" s="346">
        <f>SUM(I23:I26)</f>
      </c>
      <c r="J27" s="347">
        <f t="shared" si="1"/>
      </c>
      <c r="K27" s="348">
        <f t="shared" si="0"/>
      </c>
      <c r="L27" s="348">
        <f t="shared" si="6"/>
      </c>
      <c r="M27" s="349">
        <f t="shared" si="4"/>
      </c>
      <c r="N27" s="346">
        <f>SUM(N23:N26)</f>
      </c>
      <c r="O27" s="349">
        <f t="shared" si="2"/>
      </c>
      <c r="P27" s="350"/>
      <c r="Q27" s="346">
        <f>SUM(Q23:Q26)</f>
      </c>
      <c r="R27" s="335"/>
    </row>
    <row hidden="true" r="28">
      <c r="A28" s="336">
        <v>46240</v>
      </c>
      <c r="B28" s="337" t="s">
        <v>430</v>
      </c>
      <c r="C28" s="337" t="s">
        <v>439</v>
      </c>
      <c r="D28" s="338">
        <v>2.5</v>
      </c>
      <c r="E28" s="339">
        <v>3</v>
      </c>
      <c r="F28" s="338">
        <v>29</v>
      </c>
      <c r="G28" s="338">
        <v>16</v>
      </c>
      <c r="H28" s="340">
        <v>5275.2</v>
      </c>
      <c r="I28" s="340">
        <v>11779.22</v>
      </c>
      <c r="J28" s="341">
        <f t="shared" si="1"/>
      </c>
      <c r="K28" s="341">
        <f t="shared" si="0"/>
      </c>
      <c r="L28" s="342">
        <f t="shared" si="6"/>
      </c>
      <c r="M28" s="343">
        <f t="shared" si="4"/>
      </c>
      <c r="N28" s="339">
        <v>2</v>
      </c>
      <c r="O28" s="343">
        <f t="shared" si="2"/>
      </c>
      <c r="P28" s="337" t="s">
        <v>434</v>
      </c>
      <c r="Q28" s="337">
        <v>10</v>
      </c>
    </row>
    <row customHeight="true" hidden="true" ht="16.071428571428573" r="29">
      <c r="A29" s="336">
        <v>46240</v>
      </c>
      <c r="B29" s="337" t="s">
        <v>435</v>
      </c>
      <c r="C29" s="337" t="s">
        <v>440</v>
      </c>
      <c r="D29" s="338">
        <v>2.5</v>
      </c>
      <c r="E29" s="339">
        <v>3</v>
      </c>
      <c r="F29" s="338">
        <v>51</v>
      </c>
      <c r="G29" s="338">
        <v>37</v>
      </c>
      <c r="H29" s="340">
        <v>15350.3</v>
      </c>
      <c r="I29" s="340">
        <v>9934.01</v>
      </c>
      <c r="J29" s="341">
        <f t="shared" si="1"/>
      </c>
      <c r="K29" s="341">
        <f t="shared" si="0"/>
      </c>
      <c r="L29" s="342">
        <f t="shared" si="6"/>
      </c>
      <c r="M29" s="343">
        <f t="shared" si="4"/>
      </c>
      <c r="N29" s="339">
        <v>11</v>
      </c>
      <c r="O29" s="343">
        <f t="shared" si="2"/>
      </c>
      <c r="P29" s="337"/>
      <c r="Q29" s="337"/>
    </row>
    <row hidden="true" r="30">
      <c r="A30" s="336">
        <v>46240</v>
      </c>
      <c r="B30" s="337" t="s">
        <v>424</v>
      </c>
      <c r="C30" s="338" t="s">
        <v>436</v>
      </c>
      <c r="D30" s="338">
        <v>5</v>
      </c>
      <c r="E30" s="339">
        <v>11</v>
      </c>
      <c r="F30" s="338">
        <v>95</v>
      </c>
      <c r="G30" s="338">
        <v>66</v>
      </c>
      <c r="H30" s="340">
        <v>21053.6</v>
      </c>
      <c r="I30" s="340">
        <v>17951.57</v>
      </c>
      <c r="J30" s="341">
        <f t="shared" si="1"/>
      </c>
      <c r="K30" s="341">
        <f t="shared" si="0"/>
      </c>
      <c r="L30" s="342">
        <f t="shared" si="6"/>
      </c>
      <c r="M30" s="343">
        <f t="shared" si="4"/>
      </c>
      <c r="N30" s="339">
        <v>6</v>
      </c>
      <c r="O30" s="343">
        <f t="shared" si="2"/>
      </c>
      <c r="P30" s="337"/>
      <c r="Q30" s="337"/>
    </row>
    <row hidden="true" r="31">
      <c r="A31" s="336">
        <v>46240</v>
      </c>
      <c r="B31" s="337" t="s">
        <v>428</v>
      </c>
      <c r="C31" s="338" t="s">
        <v>437</v>
      </c>
      <c r="D31" s="338">
        <v>5</v>
      </c>
      <c r="E31" s="339">
        <v>16</v>
      </c>
      <c r="F31" s="338">
        <v>152</v>
      </c>
      <c r="G31" s="338">
        <v>106</v>
      </c>
      <c r="H31" s="340">
        <v>37675.9</v>
      </c>
      <c r="I31" s="340">
        <v>33350.45</v>
      </c>
      <c r="J31" s="341">
        <f t="shared" si="1"/>
      </c>
      <c r="K31" s="341">
        <f t="shared" si="0"/>
      </c>
      <c r="L31" s="342">
        <f t="shared" si="6"/>
      </c>
      <c r="M31" s="343">
        <f t="shared" si="4"/>
      </c>
      <c r="N31" s="339">
        <v>14</v>
      </c>
      <c r="O31" s="343">
        <f t="shared" si="2"/>
      </c>
      <c r="P31" s="337"/>
      <c r="Q31" s="337"/>
    </row>
    <row hidden="true" r="32">
      <c r="A32" s="336">
        <v>46240</v>
      </c>
      <c r="B32" s="337" t="s">
        <v>421</v>
      </c>
      <c r="C32" s="338" t="s">
        <v>431</v>
      </c>
      <c r="D32" s="338">
        <v>5</v>
      </c>
      <c r="E32" s="344">
        <v>21</v>
      </c>
      <c r="F32" s="337">
        <v>176</v>
      </c>
      <c r="G32" s="338">
        <v>111</v>
      </c>
      <c r="H32" s="340">
        <v>43000.3</v>
      </c>
      <c r="I32" s="340">
        <v>38069.1</v>
      </c>
      <c r="J32" s="341">
        <f t="shared" si="1"/>
      </c>
      <c r="K32" s="341">
        <f t="shared" si="0"/>
      </c>
      <c r="L32" s="342">
        <f t="shared" si="6"/>
      </c>
      <c r="M32" s="343">
        <f t="shared" si="4"/>
      </c>
      <c r="N32" s="344">
        <v>22</v>
      </c>
      <c r="O32" s="343">
        <f t="shared" si="2"/>
      </c>
      <c r="P32" s="338" t="s">
        <v>432</v>
      </c>
      <c r="Q32" s="337">
        <v>10</v>
      </c>
    </row>
    <row r="33">
      <c r="A33" s="345">
        <v>46240</v>
      </c>
      <c r="B33" s="346" t="s">
        <v>433</v>
      </c>
      <c r="C33" s="346"/>
      <c r="D33" s="346">
        <f>SUM(D28:D32)</f>
      </c>
      <c r="E33" s="346">
        <f>SUM(E28:E32)</f>
      </c>
      <c r="F33" s="346">
        <f>SUM(F28:F32)</f>
      </c>
      <c r="G33" s="346">
        <f>SUM(G28:G32)</f>
      </c>
      <c r="H33" s="346">
        <f>SUM(H28:H32)</f>
      </c>
      <c r="I33" s="346">
        <f>SUM(I28:I32)</f>
      </c>
      <c r="J33" s="347">
        <f t="shared" si="1"/>
      </c>
      <c r="K33" s="348">
        <f t="shared" si="0"/>
      </c>
      <c r="L33" s="348">
        <f t="shared" si="6"/>
      </c>
      <c r="M33" s="349">
        <f t="shared" si="4"/>
      </c>
      <c r="N33" s="346">
        <f>SUM(N28:N32)</f>
      </c>
      <c r="O33" s="349">
        <f t="shared" si="2"/>
      </c>
      <c r="P33" s="350"/>
      <c r="Q33" s="346">
        <f>SUM(Q28:Q32)</f>
      </c>
    </row>
    <row hidden="true" r="34">
      <c r="A34" s="336">
        <v>46241</v>
      </c>
      <c r="B34" s="337" t="s">
        <v>430</v>
      </c>
      <c r="C34" s="337" t="s">
        <v>441</v>
      </c>
      <c r="D34" s="338">
        <v>4</v>
      </c>
      <c r="E34" s="339">
        <v>17</v>
      </c>
      <c r="F34" s="338">
        <v>108</v>
      </c>
      <c r="G34" s="338">
        <v>74</v>
      </c>
      <c r="H34" s="340">
        <v>23293.9</v>
      </c>
      <c r="I34" s="340">
        <v>25718.73</v>
      </c>
      <c r="J34" s="341">
        <f t="shared" si="1"/>
      </c>
      <c r="K34" s="341">
        <f t="shared" si="0"/>
      </c>
      <c r="L34" s="342">
        <f t="shared" si="6"/>
      </c>
      <c r="M34" s="343">
        <f t="shared" si="4"/>
      </c>
      <c r="N34" s="339">
        <v>10</v>
      </c>
      <c r="O34" s="343">
        <f t="shared" si="2"/>
      </c>
      <c r="P34" s="337" t="s">
        <v>434</v>
      </c>
      <c r="Q34" s="337">
        <v>10</v>
      </c>
    </row>
    <row hidden="true" r="35">
      <c r="A35" s="336">
        <v>46241</v>
      </c>
      <c r="B35" s="337" t="s">
        <v>424</v>
      </c>
      <c r="C35" s="337" t="s">
        <v>442</v>
      </c>
      <c r="D35" s="338">
        <v>4</v>
      </c>
      <c r="E35" s="339">
        <v>8</v>
      </c>
      <c r="F35" s="338">
        <v>92</v>
      </c>
      <c r="G35" s="338">
        <v>62</v>
      </c>
      <c r="H35" s="340">
        <v>21503.4</v>
      </c>
      <c r="I35" s="340">
        <v>20547.899999999998</v>
      </c>
      <c r="J35" s="341">
        <f t="shared" si="1"/>
      </c>
      <c r="K35" s="341">
        <f t="shared" si="0"/>
      </c>
      <c r="L35" s="342">
        <f t="shared" si="6"/>
      </c>
      <c r="M35" s="343">
        <f t="shared" si="4"/>
      </c>
      <c r="N35" s="339">
        <v>7</v>
      </c>
      <c r="O35" s="343">
        <f t="shared" si="2"/>
      </c>
      <c r="P35" s="337"/>
      <c r="Q35" s="337"/>
    </row>
    <row hidden="true" r="36">
      <c r="A36" s="336">
        <v>46241</v>
      </c>
      <c r="B36" s="337" t="s">
        <v>443</v>
      </c>
      <c r="C36" s="338" t="s">
        <v>444</v>
      </c>
      <c r="D36" s="338">
        <v>2</v>
      </c>
      <c r="E36" s="339">
        <v>1</v>
      </c>
      <c r="F36" s="338">
        <v>26</v>
      </c>
      <c r="G36" s="338">
        <v>15</v>
      </c>
      <c r="H36" s="340">
        <v>3967.5</v>
      </c>
      <c r="I36" s="340">
        <v>7814.93</v>
      </c>
      <c r="J36" s="341">
        <f t="shared" si="1"/>
      </c>
      <c r="K36" s="341">
        <f t="shared" si="0"/>
      </c>
      <c r="L36" s="342">
        <f t="shared" si="6"/>
      </c>
      <c r="M36" s="343">
        <f t="shared" si="4"/>
      </c>
      <c r="N36" s="339">
        <v>2</v>
      </c>
      <c r="O36" s="343">
        <f t="shared" si="2"/>
      </c>
      <c r="P36" s="337"/>
      <c r="Q36" s="337"/>
    </row>
    <row hidden="true" r="37">
      <c r="A37" s="336">
        <v>46241</v>
      </c>
      <c r="B37" s="337" t="s">
        <v>435</v>
      </c>
      <c r="C37" s="338" t="s">
        <v>437</v>
      </c>
      <c r="D37" s="338">
        <v>5</v>
      </c>
      <c r="E37" s="339">
        <v>9</v>
      </c>
      <c r="F37" s="338">
        <v>115</v>
      </c>
      <c r="G37" s="338">
        <v>81</v>
      </c>
      <c r="H37" s="340">
        <v>28140</v>
      </c>
      <c r="I37" s="340">
        <v>27781.78</v>
      </c>
      <c r="J37" s="341">
        <f t="shared" si="1"/>
      </c>
      <c r="K37" s="341">
        <f t="shared" si="0"/>
      </c>
      <c r="L37" s="342">
        <f t="shared" si="6"/>
      </c>
      <c r="M37" s="343">
        <f t="shared" si="4"/>
      </c>
      <c r="N37" s="339">
        <v>10</v>
      </c>
      <c r="O37" s="343">
        <f t="shared" si="2"/>
      </c>
      <c r="P37" s="337"/>
      <c r="Q37" s="337"/>
    </row>
    <row hidden="true" r="38">
      <c r="A38" s="336">
        <v>46241</v>
      </c>
      <c r="B38" s="337" t="s">
        <v>421</v>
      </c>
      <c r="C38" s="338" t="s">
        <v>431</v>
      </c>
      <c r="D38" s="338">
        <v>5</v>
      </c>
      <c r="E38" s="344">
        <v>18</v>
      </c>
      <c r="F38" s="337">
        <v>161</v>
      </c>
      <c r="G38" s="338">
        <v>109</v>
      </c>
      <c r="H38" s="340">
        <v>41141.7</v>
      </c>
      <c r="I38" s="340">
        <v>33486.9</v>
      </c>
      <c r="J38" s="341">
        <f t="shared" si="1"/>
      </c>
      <c r="K38" s="341">
        <f t="shared" si="0"/>
      </c>
      <c r="L38" s="342">
        <f t="shared" si="6"/>
      </c>
      <c r="M38" s="343">
        <f t="shared" si="4"/>
      </c>
      <c r="N38" s="344">
        <v>14</v>
      </c>
      <c r="O38" s="343">
        <f t="shared" si="2"/>
      </c>
      <c r="P38" s="338" t="s">
        <v>432</v>
      </c>
      <c r="Q38" s="337">
        <v>10</v>
      </c>
    </row>
    <row r="39">
      <c r="A39" s="345">
        <v>46241</v>
      </c>
      <c r="B39" s="346" t="s">
        <v>433</v>
      </c>
      <c r="C39" s="346"/>
      <c r="D39" s="346">
        <f>SUM(D34:D38)</f>
      </c>
      <c r="E39" s="346">
        <f>SUM(E34:E38)</f>
      </c>
      <c r="F39" s="346">
        <f>SUM(F34:F38)</f>
      </c>
      <c r="G39" s="346">
        <f>SUM(G34:G38)</f>
      </c>
      <c r="H39" s="346">
        <f>SUM(H34:H38)</f>
      </c>
      <c r="I39" s="346">
        <f>SUM(I34:I38)</f>
      </c>
      <c r="J39" s="347">
        <f t="shared" si="1"/>
      </c>
      <c r="K39" s="348">
        <f t="shared" si="0"/>
      </c>
      <c r="L39" s="348">
        <f t="shared" si="6"/>
      </c>
      <c r="M39" s="349">
        <f t="shared" si="4"/>
      </c>
      <c r="N39" s="346">
        <f>SUM(N34:N38)</f>
      </c>
      <c r="O39" s="349">
        <f t="shared" si="2"/>
      </c>
      <c r="P39" s="350"/>
      <c r="Q39" s="346">
        <f>SUM(Q34:Q38)</f>
      </c>
    </row>
    <row hidden="true" r="40">
      <c r="A40" s="336">
        <v>46242</v>
      </c>
      <c r="B40" s="337" t="s">
        <v>424</v>
      </c>
      <c r="C40" s="337" t="s">
        <v>422</v>
      </c>
      <c r="D40" s="338">
        <v>5</v>
      </c>
      <c r="E40" s="339">
        <v>31</v>
      </c>
      <c r="F40" s="338">
        <v>150</v>
      </c>
      <c r="G40" s="338">
        <v>93</v>
      </c>
      <c r="H40" s="340">
        <v>29989.5</v>
      </c>
      <c r="I40" s="340">
        <v>29469.78</v>
      </c>
      <c r="J40" s="341">
        <f t="shared" si="1"/>
      </c>
      <c r="K40" s="341">
        <f t="shared" si="0"/>
      </c>
      <c r="L40" s="342">
        <f t="shared" si="6"/>
      </c>
      <c r="M40" s="343">
        <f t="shared" si="4"/>
      </c>
      <c r="N40" s="339">
        <v>11</v>
      </c>
      <c r="O40" s="343">
        <f t="shared" si="2"/>
      </c>
      <c r="P40" s="337" t="s">
        <v>434</v>
      </c>
      <c r="Q40" s="337">
        <v>10</v>
      </c>
    </row>
    <row hidden="true" r="41">
      <c r="A41" s="336">
        <v>46242</v>
      </c>
      <c r="B41" s="337" t="s">
        <v>430</v>
      </c>
      <c r="C41" s="337" t="s">
        <v>436</v>
      </c>
      <c r="D41" s="338">
        <v>5</v>
      </c>
      <c r="E41" s="339">
        <v>12</v>
      </c>
      <c r="F41" s="338">
        <v>108</v>
      </c>
      <c r="G41" s="338">
        <v>72</v>
      </c>
      <c r="H41" s="340">
        <v>24239.3</v>
      </c>
      <c r="I41" s="340">
        <v>24810.22</v>
      </c>
      <c r="J41" s="341">
        <f t="shared" si="1"/>
      </c>
      <c r="K41" s="341">
        <f t="shared" si="0"/>
      </c>
      <c r="L41" s="342">
        <f t="shared" si="6"/>
      </c>
      <c r="M41" s="343">
        <f t="shared" si="4"/>
      </c>
      <c r="N41" s="339">
        <v>17</v>
      </c>
      <c r="O41" s="343">
        <f t="shared" si="2"/>
      </c>
      <c r="P41" s="337"/>
      <c r="Q41" s="337"/>
    </row>
    <row hidden="true" r="42">
      <c r="A42" s="336">
        <v>46242</v>
      </c>
      <c r="B42" s="337" t="s">
        <v>435</v>
      </c>
      <c r="C42" s="338" t="s">
        <v>437</v>
      </c>
      <c r="D42" s="338">
        <v>5</v>
      </c>
      <c r="E42" s="339">
        <v>5</v>
      </c>
      <c r="F42" s="338">
        <v>125</v>
      </c>
      <c r="G42" s="338">
        <v>85</v>
      </c>
      <c r="H42" s="340">
        <v>32356.59999999999</v>
      </c>
      <c r="I42" s="340">
        <v>25404.64</v>
      </c>
      <c r="J42" s="341">
        <f t="shared" si="1"/>
      </c>
      <c r="K42" s="341">
        <f t="shared" si="0"/>
      </c>
      <c r="L42" s="342">
        <f t="shared" si="6"/>
      </c>
      <c r="M42" s="343">
        <f t="shared" si="4"/>
      </c>
      <c r="N42" s="339">
        <v>12</v>
      </c>
      <c r="O42" s="343">
        <f t="shared" si="2"/>
      </c>
      <c r="P42" s="337"/>
      <c r="Q42" s="337"/>
    </row>
    <row hidden="true" r="43">
      <c r="A43" s="336">
        <v>46242</v>
      </c>
      <c r="B43" s="337" t="s">
        <v>421</v>
      </c>
      <c r="C43" s="338" t="s">
        <v>431</v>
      </c>
      <c r="D43" s="338">
        <v>5</v>
      </c>
      <c r="E43" s="344">
        <v>14</v>
      </c>
      <c r="F43" s="337">
        <v>128</v>
      </c>
      <c r="G43" s="338">
        <v>86</v>
      </c>
      <c r="H43" s="340">
        <v>27755.4</v>
      </c>
      <c r="I43" s="340">
        <v>31747.63</v>
      </c>
      <c r="J43" s="341">
        <f t="shared" si="1"/>
      </c>
      <c r="K43" s="341">
        <f t="shared" si="0"/>
      </c>
      <c r="L43" s="342">
        <f t="shared" si="6"/>
      </c>
      <c r="M43" s="343">
        <f t="shared" si="4"/>
      </c>
      <c r="N43" s="344">
        <v>15</v>
      </c>
      <c r="O43" s="343">
        <f t="shared" si="2"/>
      </c>
      <c r="P43" s="338" t="s">
        <v>432</v>
      </c>
      <c r="Q43" s="337">
        <v>10</v>
      </c>
    </row>
    <row r="44">
      <c r="A44" s="351">
        <v>46242</v>
      </c>
      <c r="B44" s="352" t="s">
        <v>433</v>
      </c>
      <c r="C44" s="352"/>
      <c r="D44" s="352">
        <f>SUM(D40:D43)</f>
      </c>
      <c r="E44" s="352">
        <f>SUM(E40:E43)</f>
      </c>
      <c r="F44" s="352">
        <f>SUM(F40:F43)</f>
      </c>
      <c r="G44" s="352">
        <f>SUM(G40:G43)</f>
      </c>
      <c r="H44" s="352">
        <f>SUM(H40:H43)</f>
      </c>
      <c r="I44" s="352">
        <f>SUM(I40:I43)</f>
      </c>
      <c r="J44" s="353">
        <f t="shared" si="1"/>
      </c>
      <c r="K44" s="354">
        <f t="shared" si="0"/>
      </c>
      <c r="L44" s="354">
        <f t="shared" si="6"/>
      </c>
      <c r="M44" s="355">
        <f t="shared" si="4"/>
      </c>
      <c r="N44" s="352">
        <f>SUM(N40:N43)</f>
      </c>
      <c r="O44" s="355">
        <f t="shared" si="2"/>
      </c>
      <c r="P44" s="356"/>
      <c r="Q44" s="352">
        <f>SUM(Q40:Q43)</f>
      </c>
    </row>
    <row hidden="true" r="45">
      <c r="A45" s="336">
        <v>46243</v>
      </c>
      <c r="B45" s="337" t="s">
        <v>430</v>
      </c>
      <c r="C45" s="337" t="s">
        <v>422</v>
      </c>
      <c r="D45" s="338">
        <v>5</v>
      </c>
      <c r="E45" s="339">
        <v>11</v>
      </c>
      <c r="F45" s="338">
        <v>116</v>
      </c>
      <c r="G45" s="338">
        <v>83</v>
      </c>
      <c r="H45" s="340">
        <v>29868.1</v>
      </c>
      <c r="I45" s="340">
        <v>24951.51</v>
      </c>
      <c r="J45" s="341">
        <f t="shared" si="1"/>
      </c>
      <c r="K45" s="341">
        <f t="shared" si="0"/>
      </c>
      <c r="L45" s="342">
        <f t="shared" si="6"/>
      </c>
      <c r="M45" s="343">
        <f t="shared" si="4"/>
      </c>
      <c r="N45" s="339">
        <v>16</v>
      </c>
      <c r="O45" s="343">
        <f t="shared" si="2"/>
      </c>
      <c r="P45" s="337" t="s">
        <v>434</v>
      </c>
      <c r="Q45" s="337">
        <v>10</v>
      </c>
    </row>
    <row hidden="true" r="46">
      <c r="A46" s="336">
        <v>46243</v>
      </c>
      <c r="B46" s="337" t="s">
        <v>424</v>
      </c>
      <c r="C46" s="337" t="s">
        <v>436</v>
      </c>
      <c r="D46" s="338">
        <v>5</v>
      </c>
      <c r="E46" s="339">
        <v>17</v>
      </c>
      <c r="F46" s="338">
        <v>106</v>
      </c>
      <c r="G46" s="338">
        <v>64</v>
      </c>
      <c r="H46" s="340">
        <v>20049.6</v>
      </c>
      <c r="I46" s="340">
        <v>26101.780000000002</v>
      </c>
      <c r="J46" s="341">
        <f t="shared" si="1"/>
      </c>
      <c r="K46" s="341">
        <f t="shared" si="0"/>
      </c>
      <c r="L46" s="342">
        <f t="shared" si="6"/>
      </c>
      <c r="M46" s="343">
        <f t="shared" si="4"/>
      </c>
      <c r="N46" s="339">
        <v>2</v>
      </c>
      <c r="O46" s="343">
        <f t="shared" si="2"/>
      </c>
      <c r="P46" s="337"/>
      <c r="Q46" s="337"/>
    </row>
    <row hidden="true" r="47">
      <c r="A47" s="336">
        <v>46243</v>
      </c>
      <c r="B47" s="337" t="s">
        <v>435</v>
      </c>
      <c r="C47" s="338" t="s">
        <v>437</v>
      </c>
      <c r="D47" s="338">
        <v>5</v>
      </c>
      <c r="E47" s="339">
        <v>20</v>
      </c>
      <c r="F47" s="338">
        <v>139</v>
      </c>
      <c r="G47" s="338">
        <v>92</v>
      </c>
      <c r="H47" s="340">
        <v>32034.1</v>
      </c>
      <c r="I47" s="340">
        <v>31499.05</v>
      </c>
      <c r="J47" s="341">
        <f t="shared" si="1"/>
      </c>
      <c r="K47" s="341">
        <f t="shared" si="0"/>
      </c>
      <c r="L47" s="342">
        <f t="shared" si="6"/>
      </c>
      <c r="M47" s="343">
        <f t="shared" si="4"/>
      </c>
      <c r="N47" s="339">
        <v>11</v>
      </c>
      <c r="O47" s="343">
        <f t="shared" si="2"/>
      </c>
      <c r="P47" s="337"/>
      <c r="Q47" s="337"/>
    </row>
    <row hidden="true" r="48">
      <c r="A48" s="336">
        <v>46243</v>
      </c>
      <c r="B48" s="337" t="s">
        <v>421</v>
      </c>
      <c r="C48" s="338" t="s">
        <v>431</v>
      </c>
      <c r="D48" s="338">
        <v>5</v>
      </c>
      <c r="E48" s="344">
        <v>14</v>
      </c>
      <c r="F48" s="337">
        <v>116</v>
      </c>
      <c r="G48" s="338">
        <v>83</v>
      </c>
      <c r="H48" s="340">
        <v>34352.9</v>
      </c>
      <c r="I48" s="340">
        <v>24106.38</v>
      </c>
      <c r="J48" s="341">
        <f t="shared" si="1"/>
      </c>
      <c r="K48" s="341">
        <f t="shared" si="0"/>
      </c>
      <c r="L48" s="342">
        <f t="shared" si="6"/>
      </c>
      <c r="M48" s="343">
        <f t="shared" si="4"/>
      </c>
      <c r="N48" s="344">
        <v>16</v>
      </c>
      <c r="O48" s="343">
        <f t="shared" si="2"/>
      </c>
      <c r="P48" s="338" t="s">
        <v>432</v>
      </c>
      <c r="Q48" s="337">
        <v>10</v>
      </c>
    </row>
    <row r="49">
      <c r="A49" s="351">
        <v>46243</v>
      </c>
      <c r="B49" s="352" t="s">
        <v>433</v>
      </c>
      <c r="C49" s="352"/>
      <c r="D49" s="352">
        <f>SUM(D45:D48)</f>
      </c>
      <c r="E49" s="352">
        <f>SUM(E45:E48)</f>
      </c>
      <c r="F49" s="352">
        <f>SUM(F45:F48)</f>
      </c>
      <c r="G49" s="352">
        <f>SUM(G45:G48)</f>
      </c>
      <c r="H49" s="352">
        <f>SUM(H45:H48)</f>
      </c>
      <c r="I49" s="352">
        <f>SUM(I45:I48)</f>
      </c>
      <c r="J49" s="353">
        <f t="shared" si="1"/>
      </c>
      <c r="K49" s="354">
        <f t="shared" si="0"/>
      </c>
      <c r="L49" s="354">
        <f t="shared" si="6"/>
      </c>
      <c r="M49" s="355">
        <f t="shared" si="4"/>
      </c>
      <c r="N49" s="352">
        <f>SUM(N45:N48)</f>
      </c>
      <c r="O49" s="355">
        <f t="shared" si="2"/>
      </c>
      <c r="P49" s="356"/>
      <c r="Q49" s="352">
        <f>SUM(Q45:Q48)</f>
      </c>
    </row>
    <row hidden="true" r="50">
      <c r="A50" s="357">
        <v>46244</v>
      </c>
      <c r="B50" s="358" t="s">
        <v>435</v>
      </c>
      <c r="C50" s="358" t="s">
        <v>422</v>
      </c>
      <c r="D50" s="358">
        <v>5</v>
      </c>
      <c r="E50" s="359">
        <v>4</v>
      </c>
      <c r="F50" s="360">
        <v>67</v>
      </c>
      <c r="G50" s="360">
        <v>42</v>
      </c>
      <c r="H50" s="361">
        <v>11131.6</v>
      </c>
      <c r="I50" s="361">
        <v>19233.79</v>
      </c>
      <c r="J50" s="362">
        <f t="shared" si="1"/>
      </c>
      <c r="K50" s="362">
        <f t="shared" si="0"/>
      </c>
      <c r="L50" s="363">
        <f t="shared" si="6"/>
      </c>
      <c r="M50" s="364">
        <f t="shared" si="4"/>
      </c>
      <c r="N50" s="359">
        <v>5</v>
      </c>
      <c r="O50" s="364">
        <f t="shared" si="2"/>
      </c>
      <c r="P50" s="358" t="s">
        <v>445</v>
      </c>
      <c r="Q50" s="358">
        <v>10</v>
      </c>
      <c r="Y50" s="365"/>
      <c r="Z50" s="365"/>
      <c r="AA50" s="365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365"/>
      <c r="AT50" s="365"/>
      <c r="AU50" s="365"/>
      <c r="AV50" s="365"/>
      <c r="AW50" s="365"/>
      <c r="AX50" s="365"/>
      <c r="AY50" s="365"/>
      <c r="AZ50" s="365"/>
      <c r="BA50" s="365"/>
      <c r="BB50" s="365"/>
      <c r="BC50" s="365"/>
      <c r="BD50" s="365"/>
      <c r="BE50" s="365"/>
      <c r="BF50" s="365"/>
      <c r="BG50" s="365"/>
      <c r="BH50" s="365"/>
      <c r="BI50" s="365"/>
      <c r="BJ50" s="365"/>
      <c r="BK50" s="365"/>
      <c r="BL50" s="365"/>
      <c r="BM50" s="365"/>
      <c r="BN50" s="365"/>
      <c r="BO50" s="365"/>
      <c r="BP50" s="365"/>
      <c r="BQ50" s="365"/>
      <c r="BR50" s="365"/>
      <c r="BS50" s="365"/>
      <c r="BT50" s="365"/>
      <c r="BU50" s="365"/>
      <c r="BV50" s="365"/>
      <c r="BW50" s="365"/>
      <c r="BX50" s="365"/>
      <c r="BY50" s="365"/>
      <c r="BZ50" s="365"/>
      <c r="CA50" s="365"/>
      <c r="CB50" s="365"/>
      <c r="CC50" s="365"/>
      <c r="CD50" s="365"/>
      <c r="CE50" s="365"/>
      <c r="CF50" s="365"/>
      <c r="CG50" s="365"/>
      <c r="CH50" s="365"/>
      <c r="CI50" s="365"/>
      <c r="CJ50" s="365"/>
      <c r="CK50" s="365"/>
      <c r="CL50" s="365"/>
      <c r="CM50" s="365"/>
      <c r="CN50" s="365"/>
      <c r="CO50" s="365"/>
      <c r="CP50" s="365"/>
      <c r="CQ50" s="365"/>
      <c r="CR50" s="365"/>
      <c r="CS50" s="365"/>
      <c r="CT50" s="365"/>
      <c r="CU50" s="365"/>
      <c r="CV50" s="365"/>
      <c r="CW50" s="365"/>
      <c r="CX50" s="365"/>
      <c r="CY50" s="365"/>
      <c r="CZ50" s="365"/>
      <c r="DA50" s="365"/>
      <c r="DB50" s="365"/>
      <c r="DC50" s="365"/>
      <c r="DD50" s="365"/>
      <c r="DE50" s="365"/>
      <c r="DF50" s="365"/>
      <c r="DG50" s="365"/>
      <c r="DH50" s="365"/>
      <c r="DI50" s="365"/>
      <c r="DJ50" s="365"/>
      <c r="DK50" s="365"/>
      <c r="DL50" s="365"/>
      <c r="DM50" s="365"/>
      <c r="DN50" s="365"/>
      <c r="DO50" s="365"/>
      <c r="DP50" s="365"/>
      <c r="DQ50" s="365"/>
      <c r="DR50" s="365"/>
      <c r="DS50" s="365"/>
      <c r="DT50" s="365"/>
      <c r="DU50" s="365"/>
      <c r="DV50" s="365"/>
      <c r="DW50" s="365"/>
      <c r="DX50" s="365"/>
      <c r="DY50" s="365"/>
      <c r="DZ50" s="365"/>
      <c r="EA50" s="365"/>
      <c r="EB50" s="365"/>
      <c r="EC50" s="365"/>
      <c r="ED50" s="365"/>
      <c r="EE50" s="365"/>
      <c r="EF50" s="365"/>
      <c r="EG50" s="365"/>
      <c r="EH50" s="365"/>
      <c r="EI50" s="365"/>
      <c r="EJ50" s="365"/>
      <c r="EK50" s="365"/>
      <c r="EL50" s="365"/>
      <c r="EM50" s="365"/>
      <c r="EN50" s="365"/>
      <c r="EO50" s="365"/>
      <c r="EP50" s="365"/>
      <c r="EQ50" s="365"/>
      <c r="ER50" s="365"/>
      <c r="ES50" s="365"/>
      <c r="ET50" s="365"/>
      <c r="EU50" s="365"/>
      <c r="EV50" s="365"/>
      <c r="EW50" s="365"/>
      <c r="EX50" s="365"/>
      <c r="EY50" s="365"/>
      <c r="EZ50" s="365"/>
      <c r="FA50" s="365"/>
      <c r="FB50" s="365"/>
      <c r="FC50" s="365"/>
      <c r="FD50" s="365"/>
      <c r="FE50" s="365"/>
      <c r="FF50" s="365"/>
      <c r="FG50" s="365"/>
      <c r="FH50" s="365"/>
      <c r="FI50" s="365"/>
      <c r="FJ50" s="365"/>
      <c r="FK50" s="365"/>
      <c r="FL50" s="365"/>
      <c r="FM50" s="365"/>
      <c r="FN50" s="365"/>
      <c r="FO50" s="365"/>
      <c r="FP50" s="365"/>
      <c r="FQ50" s="365"/>
      <c r="FR50" s="365"/>
      <c r="FS50" s="365"/>
      <c r="FT50" s="365"/>
      <c r="FU50" s="365"/>
      <c r="FV50" s="365"/>
      <c r="FW50" s="365"/>
      <c r="FX50" s="365"/>
      <c r="FY50" s="365"/>
      <c r="FZ50" s="365"/>
      <c r="GA50" s="365"/>
      <c r="GB50" s="365"/>
      <c r="GC50" s="365"/>
      <c r="GD50" s="365"/>
      <c r="GE50" s="365"/>
      <c r="GF50" s="365"/>
      <c r="GG50" s="365"/>
      <c r="GH50" s="365"/>
      <c r="GI50" s="365"/>
      <c r="GJ50" s="365"/>
      <c r="GK50" s="365"/>
      <c r="GL50" s="365"/>
      <c r="GM50" s="365"/>
      <c r="GN50" s="365"/>
      <c r="GO50" s="365"/>
      <c r="GP50" s="365"/>
      <c r="GQ50" s="365"/>
      <c r="GR50" s="365"/>
      <c r="GS50" s="365"/>
      <c r="GT50" s="365"/>
      <c r="GU50" s="365"/>
      <c r="GV50" s="365"/>
      <c r="GW50" s="365"/>
      <c r="GX50" s="365"/>
      <c r="GY50" s="365"/>
      <c r="GZ50" s="365"/>
      <c r="HA50" s="365"/>
      <c r="HB50" s="365"/>
      <c r="HC50" s="365"/>
      <c r="HD50" s="365"/>
      <c r="HE50" s="365"/>
      <c r="HF50" s="365"/>
      <c r="HG50" s="365"/>
      <c r="HH50" s="365"/>
      <c r="HI50" s="365"/>
      <c r="HJ50" s="365"/>
      <c r="HK50" s="365"/>
      <c r="HL50" s="365"/>
      <c r="HM50" s="365"/>
    </row>
    <row hidden="true" r="51">
      <c r="A51" s="357">
        <v>46244</v>
      </c>
      <c r="B51" s="358" t="s">
        <v>424</v>
      </c>
      <c r="C51" s="358" t="s">
        <v>425</v>
      </c>
      <c r="D51" s="358">
        <v>4</v>
      </c>
      <c r="E51" s="359">
        <v>10</v>
      </c>
      <c r="F51" s="360">
        <v>83</v>
      </c>
      <c r="G51" s="360">
        <v>58</v>
      </c>
      <c r="H51" s="361">
        <v>20901.9</v>
      </c>
      <c r="I51" s="361">
        <v>18074.42</v>
      </c>
      <c r="J51" s="362">
        <f t="shared" si="1"/>
      </c>
      <c r="K51" s="362">
        <f t="shared" si="0"/>
      </c>
      <c r="L51" s="363">
        <f t="shared" si="6"/>
      </c>
      <c r="M51" s="364">
        <f t="shared" si="4"/>
      </c>
      <c r="N51" s="359">
        <v>4</v>
      </c>
      <c r="O51" s="364">
        <f t="shared" si="2"/>
      </c>
      <c r="P51" s="358"/>
      <c r="Q51" s="358"/>
      <c r="Y51" s="365"/>
      <c r="Z51" s="365"/>
      <c r="AA51" s="365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365"/>
      <c r="AT51" s="365"/>
      <c r="AU51" s="365"/>
      <c r="AV51" s="365"/>
      <c r="AW51" s="365"/>
      <c r="AX51" s="365"/>
      <c r="AY51" s="365"/>
      <c r="AZ51" s="365"/>
      <c r="BA51" s="365"/>
      <c r="BB51" s="365"/>
      <c r="BC51" s="365"/>
      <c r="BD51" s="365"/>
      <c r="BE51" s="365"/>
      <c r="BF51" s="365"/>
      <c r="BG51" s="365"/>
      <c r="BH51" s="365"/>
      <c r="BI51" s="365"/>
      <c r="BJ51" s="365"/>
      <c r="BK51" s="365"/>
      <c r="BL51" s="365"/>
      <c r="BM51" s="365"/>
      <c r="BN51" s="365"/>
      <c r="BO51" s="365"/>
      <c r="BP51" s="365"/>
      <c r="BQ51" s="365"/>
      <c r="BR51" s="365"/>
      <c r="BS51" s="365"/>
      <c r="BT51" s="365"/>
      <c r="BU51" s="365"/>
      <c r="BV51" s="365"/>
      <c r="BW51" s="365"/>
      <c r="BX51" s="365"/>
      <c r="BY51" s="365"/>
      <c r="BZ51" s="365"/>
      <c r="CA51" s="365"/>
      <c r="CB51" s="365"/>
      <c r="CC51" s="365"/>
      <c r="CD51" s="365"/>
      <c r="CE51" s="365"/>
      <c r="CF51" s="365"/>
      <c r="CG51" s="365"/>
      <c r="CH51" s="365"/>
      <c r="CI51" s="365"/>
      <c r="CJ51" s="365"/>
      <c r="CK51" s="365"/>
      <c r="CL51" s="365"/>
      <c r="CM51" s="365"/>
      <c r="CN51" s="365"/>
      <c r="CO51" s="365"/>
      <c r="CP51" s="365"/>
      <c r="CQ51" s="365"/>
      <c r="CR51" s="365"/>
      <c r="CS51" s="365"/>
      <c r="CT51" s="365"/>
      <c r="CU51" s="365"/>
      <c r="CV51" s="365"/>
      <c r="CW51" s="365"/>
      <c r="CX51" s="365"/>
      <c r="CY51" s="365"/>
      <c r="CZ51" s="365"/>
      <c r="DA51" s="365"/>
      <c r="DB51" s="365"/>
      <c r="DC51" s="365"/>
      <c r="DD51" s="365"/>
      <c r="DE51" s="365"/>
      <c r="DF51" s="365"/>
      <c r="DG51" s="365"/>
      <c r="DH51" s="365"/>
      <c r="DI51" s="365"/>
      <c r="DJ51" s="365"/>
      <c r="DK51" s="365"/>
      <c r="DL51" s="365"/>
      <c r="DM51" s="365"/>
      <c r="DN51" s="365"/>
      <c r="DO51" s="365"/>
      <c r="DP51" s="365"/>
      <c r="DQ51" s="365"/>
      <c r="DR51" s="365"/>
      <c r="DS51" s="365"/>
      <c r="DT51" s="365"/>
      <c r="DU51" s="365"/>
      <c r="DV51" s="365"/>
      <c r="DW51" s="365"/>
      <c r="DX51" s="365"/>
      <c r="DY51" s="365"/>
      <c r="DZ51" s="365"/>
      <c r="EA51" s="365"/>
      <c r="EB51" s="365"/>
      <c r="EC51" s="365"/>
      <c r="ED51" s="365"/>
      <c r="EE51" s="365"/>
      <c r="EF51" s="365"/>
      <c r="EG51" s="365"/>
      <c r="EH51" s="365"/>
      <c r="EI51" s="365"/>
      <c r="EJ51" s="365"/>
      <c r="EK51" s="365"/>
      <c r="EL51" s="365"/>
      <c r="EM51" s="365"/>
      <c r="EN51" s="365"/>
      <c r="EO51" s="365"/>
      <c r="EP51" s="365"/>
      <c r="EQ51" s="365"/>
      <c r="ER51" s="365"/>
      <c r="ES51" s="365"/>
      <c r="ET51" s="365"/>
      <c r="EU51" s="365"/>
      <c r="EV51" s="365"/>
      <c r="EW51" s="365"/>
      <c r="EX51" s="365"/>
      <c r="EY51" s="365"/>
      <c r="EZ51" s="365"/>
      <c r="FA51" s="365"/>
      <c r="FB51" s="365"/>
      <c r="FC51" s="365"/>
      <c r="FD51" s="365"/>
      <c r="FE51" s="365"/>
      <c r="FF51" s="365"/>
      <c r="FG51" s="365"/>
      <c r="FH51" s="365"/>
      <c r="FI51" s="365"/>
      <c r="FJ51" s="365"/>
      <c r="FK51" s="365"/>
      <c r="FL51" s="365"/>
      <c r="FM51" s="365"/>
      <c r="FN51" s="365"/>
      <c r="FO51" s="365"/>
      <c r="FP51" s="365"/>
      <c r="FQ51" s="365"/>
      <c r="FR51" s="365"/>
      <c r="FS51" s="365"/>
      <c r="FT51" s="365"/>
      <c r="FU51" s="365"/>
      <c r="FV51" s="365"/>
      <c r="FW51" s="365"/>
      <c r="FX51" s="365"/>
      <c r="FY51" s="365"/>
      <c r="FZ51" s="365"/>
      <c r="GA51" s="365"/>
      <c r="GB51" s="365"/>
      <c r="GC51" s="365"/>
      <c r="GD51" s="365"/>
      <c r="GE51" s="365"/>
      <c r="GF51" s="365"/>
      <c r="GG51" s="365"/>
      <c r="GH51" s="365"/>
      <c r="GI51" s="365"/>
      <c r="GJ51" s="365"/>
      <c r="GK51" s="365"/>
      <c r="GL51" s="365"/>
      <c r="GM51" s="365"/>
      <c r="GN51" s="365"/>
      <c r="GO51" s="365"/>
      <c r="GP51" s="365"/>
      <c r="GQ51" s="365"/>
      <c r="GR51" s="365"/>
      <c r="GS51" s="365"/>
      <c r="GT51" s="365"/>
      <c r="GU51" s="365"/>
      <c r="GV51" s="365"/>
      <c r="GW51" s="365"/>
      <c r="GX51" s="365"/>
      <c r="GY51" s="365"/>
      <c r="GZ51" s="365"/>
      <c r="HA51" s="365"/>
      <c r="HB51" s="365"/>
      <c r="HC51" s="365"/>
      <c r="HD51" s="365"/>
      <c r="HE51" s="365"/>
      <c r="HF51" s="365"/>
      <c r="HG51" s="365"/>
      <c r="HH51" s="365"/>
      <c r="HI51" s="365"/>
      <c r="HJ51" s="365"/>
      <c r="HK51" s="365"/>
      <c r="HL51" s="365"/>
      <c r="HM51" s="365"/>
    </row>
    <row hidden="true" r="52">
      <c r="A52" s="357">
        <v>46244</v>
      </c>
      <c r="B52" s="358" t="s">
        <v>443</v>
      </c>
      <c r="C52" s="358" t="s">
        <v>427</v>
      </c>
      <c r="D52" s="358">
        <v>2</v>
      </c>
      <c r="E52" s="359">
        <v>6</v>
      </c>
      <c r="F52" s="360">
        <v>54</v>
      </c>
      <c r="G52" s="360">
        <v>31</v>
      </c>
      <c r="H52" s="361">
        <v>10444.699999999997</v>
      </c>
      <c r="I52" s="361">
        <v>10028.330000000002</v>
      </c>
      <c r="J52" s="362">
        <f t="shared" si="1"/>
      </c>
      <c r="K52" s="362">
        <f t="shared" si="0"/>
      </c>
      <c r="L52" s="363">
        <f t="shared" si="6"/>
      </c>
      <c r="M52" s="364">
        <f t="shared" si="4"/>
      </c>
      <c r="N52" s="359">
        <v>4</v>
      </c>
      <c r="O52" s="364">
        <f t="shared" si="2"/>
      </c>
      <c r="P52" s="358"/>
      <c r="Q52" s="358"/>
      <c r="Y52" s="365"/>
      <c r="Z52" s="365"/>
      <c r="AA52" s="365"/>
      <c r="AB52" s="365"/>
      <c r="AC52" s="365"/>
      <c r="AD52" s="365"/>
      <c r="AE52" s="365"/>
      <c r="AF52" s="365"/>
      <c r="AG52" s="365"/>
      <c r="AH52" s="365"/>
      <c r="AI52" s="365"/>
      <c r="AJ52" s="365"/>
      <c r="AK52" s="365"/>
      <c r="AL52" s="365"/>
      <c r="AM52" s="365"/>
      <c r="AN52" s="365"/>
      <c r="AO52" s="365"/>
      <c r="AP52" s="365"/>
      <c r="AQ52" s="365"/>
      <c r="AR52" s="365"/>
      <c r="AS52" s="365"/>
      <c r="AT52" s="365"/>
      <c r="AU52" s="365"/>
      <c r="AV52" s="365"/>
      <c r="AW52" s="365"/>
      <c r="AX52" s="365"/>
      <c r="AY52" s="365"/>
      <c r="AZ52" s="365"/>
      <c r="BA52" s="365"/>
      <c r="BB52" s="365"/>
      <c r="BC52" s="365"/>
      <c r="BD52" s="365"/>
      <c r="BE52" s="365"/>
      <c r="BF52" s="365"/>
      <c r="BG52" s="365"/>
      <c r="BH52" s="365"/>
      <c r="BI52" s="365"/>
      <c r="BJ52" s="365"/>
      <c r="BK52" s="365"/>
      <c r="BL52" s="365"/>
      <c r="BM52" s="365"/>
      <c r="BN52" s="365"/>
      <c r="BO52" s="365"/>
      <c r="BP52" s="365"/>
      <c r="BQ52" s="365"/>
      <c r="BR52" s="365"/>
      <c r="BS52" s="365"/>
      <c r="BT52" s="365"/>
      <c r="BU52" s="365"/>
      <c r="BV52" s="365"/>
      <c r="BW52" s="365"/>
      <c r="BX52" s="365"/>
      <c r="BY52" s="365"/>
      <c r="BZ52" s="365"/>
      <c r="CA52" s="365"/>
      <c r="CB52" s="365"/>
      <c r="CC52" s="365"/>
      <c r="CD52" s="365"/>
      <c r="CE52" s="365"/>
      <c r="CF52" s="365"/>
      <c r="CG52" s="365"/>
      <c r="CH52" s="365"/>
      <c r="CI52" s="365"/>
      <c r="CJ52" s="365"/>
      <c r="CK52" s="365"/>
      <c r="CL52" s="365"/>
      <c r="CM52" s="365"/>
      <c r="CN52" s="365"/>
      <c r="CO52" s="365"/>
      <c r="CP52" s="365"/>
      <c r="CQ52" s="365"/>
      <c r="CR52" s="365"/>
      <c r="CS52" s="365"/>
      <c r="CT52" s="365"/>
      <c r="CU52" s="365"/>
      <c r="CV52" s="365"/>
      <c r="CW52" s="365"/>
      <c r="CX52" s="365"/>
      <c r="CY52" s="365"/>
      <c r="CZ52" s="365"/>
      <c r="DA52" s="365"/>
      <c r="DB52" s="365"/>
      <c r="DC52" s="365"/>
      <c r="DD52" s="365"/>
      <c r="DE52" s="365"/>
      <c r="DF52" s="365"/>
      <c r="DG52" s="365"/>
      <c r="DH52" s="365"/>
      <c r="DI52" s="365"/>
      <c r="DJ52" s="365"/>
      <c r="DK52" s="365"/>
      <c r="DL52" s="365"/>
      <c r="DM52" s="365"/>
      <c r="DN52" s="365"/>
      <c r="DO52" s="365"/>
      <c r="DP52" s="365"/>
      <c r="DQ52" s="365"/>
      <c r="DR52" s="365"/>
      <c r="DS52" s="365"/>
      <c r="DT52" s="365"/>
      <c r="DU52" s="365"/>
      <c r="DV52" s="365"/>
      <c r="DW52" s="365"/>
      <c r="DX52" s="365"/>
      <c r="DY52" s="365"/>
      <c r="DZ52" s="365"/>
      <c r="EA52" s="365"/>
      <c r="EB52" s="365"/>
      <c r="EC52" s="365"/>
      <c r="ED52" s="365"/>
      <c r="EE52" s="365"/>
      <c r="EF52" s="365"/>
      <c r="EG52" s="365"/>
      <c r="EH52" s="365"/>
      <c r="EI52" s="365"/>
      <c r="EJ52" s="365"/>
      <c r="EK52" s="365"/>
      <c r="EL52" s="365"/>
      <c r="EM52" s="365"/>
      <c r="EN52" s="365"/>
      <c r="EO52" s="365"/>
      <c r="EP52" s="365"/>
      <c r="EQ52" s="365"/>
      <c r="ER52" s="365"/>
      <c r="ES52" s="365"/>
      <c r="ET52" s="365"/>
      <c r="EU52" s="365"/>
      <c r="EV52" s="365"/>
      <c r="EW52" s="365"/>
      <c r="EX52" s="365"/>
      <c r="EY52" s="365"/>
      <c r="EZ52" s="365"/>
      <c r="FA52" s="365"/>
      <c r="FB52" s="365"/>
      <c r="FC52" s="365"/>
      <c r="FD52" s="365"/>
      <c r="FE52" s="365"/>
      <c r="FF52" s="365"/>
      <c r="FG52" s="365"/>
      <c r="FH52" s="365"/>
      <c r="FI52" s="365"/>
      <c r="FJ52" s="365"/>
      <c r="FK52" s="365"/>
      <c r="FL52" s="365"/>
      <c r="FM52" s="365"/>
      <c r="FN52" s="365"/>
      <c r="FO52" s="365"/>
      <c r="FP52" s="365"/>
      <c r="FQ52" s="365"/>
      <c r="FR52" s="365"/>
      <c r="FS52" s="365"/>
      <c r="FT52" s="365"/>
      <c r="FU52" s="365"/>
      <c r="FV52" s="365"/>
      <c r="FW52" s="365"/>
      <c r="FX52" s="365"/>
      <c r="FY52" s="365"/>
      <c r="FZ52" s="365"/>
      <c r="GA52" s="365"/>
      <c r="GB52" s="365"/>
      <c r="GC52" s="365"/>
      <c r="GD52" s="365"/>
      <c r="GE52" s="365"/>
      <c r="GF52" s="365"/>
      <c r="GG52" s="365"/>
      <c r="GH52" s="365"/>
      <c r="GI52" s="365"/>
      <c r="GJ52" s="365"/>
      <c r="GK52" s="365"/>
      <c r="GL52" s="365"/>
      <c r="GM52" s="365"/>
      <c r="GN52" s="365"/>
      <c r="GO52" s="365"/>
      <c r="GP52" s="365"/>
      <c r="GQ52" s="365"/>
      <c r="GR52" s="365"/>
      <c r="GS52" s="365"/>
      <c r="GT52" s="365"/>
      <c r="GU52" s="365"/>
      <c r="GV52" s="365"/>
      <c r="GW52" s="365"/>
      <c r="GX52" s="365"/>
      <c r="GY52" s="365"/>
      <c r="GZ52" s="365"/>
      <c r="HA52" s="365"/>
      <c r="HB52" s="365"/>
      <c r="HC52" s="365"/>
      <c r="HD52" s="365"/>
      <c r="HE52" s="365"/>
      <c r="HF52" s="365"/>
      <c r="HG52" s="365"/>
      <c r="HH52" s="365"/>
      <c r="HI52" s="365"/>
      <c r="HJ52" s="365"/>
      <c r="HK52" s="365"/>
      <c r="HL52" s="365"/>
      <c r="HM52" s="365"/>
    </row>
    <row hidden="true" r="53">
      <c r="A53" s="357">
        <v>46244</v>
      </c>
      <c r="B53" s="358" t="s">
        <v>430</v>
      </c>
      <c r="C53" s="360" t="s">
        <v>446</v>
      </c>
      <c r="D53" s="360">
        <v>3</v>
      </c>
      <c r="E53" s="359">
        <v>4</v>
      </c>
      <c r="F53" s="360">
        <v>30</v>
      </c>
      <c r="G53" s="360">
        <v>24</v>
      </c>
      <c r="H53" s="361">
        <v>7656.4000000000015</v>
      </c>
      <c r="I53" s="361">
        <v>11320.370000000003</v>
      </c>
      <c r="J53" s="362">
        <f t="shared" si="1"/>
      </c>
      <c r="K53" s="362">
        <f t="shared" si="0"/>
      </c>
      <c r="L53" s="363">
        <f t="shared" si="6"/>
      </c>
      <c r="M53" s="364">
        <f t="shared" si="4"/>
      </c>
      <c r="N53" s="359">
        <v>3</v>
      </c>
      <c r="O53" s="364">
        <f t="shared" si="2"/>
      </c>
      <c r="P53" s="358" t="s">
        <v>432</v>
      </c>
      <c r="Q53" s="358">
        <v>10</v>
      </c>
      <c r="Y53" s="365"/>
      <c r="Z53" s="365"/>
      <c r="AA53" s="365"/>
      <c r="AB53" s="365"/>
      <c r="AC53" s="365"/>
      <c r="AD53" s="365"/>
      <c r="AE53" s="365"/>
      <c r="AF53" s="365"/>
      <c r="AG53" s="365"/>
      <c r="AH53" s="365"/>
      <c r="AI53" s="365"/>
      <c r="AJ53" s="365"/>
      <c r="AK53" s="365"/>
      <c r="AL53" s="365"/>
      <c r="AM53" s="365"/>
      <c r="AN53" s="365"/>
      <c r="AO53" s="365"/>
      <c r="AP53" s="365"/>
      <c r="AQ53" s="365"/>
      <c r="AR53" s="365"/>
      <c r="AS53" s="365"/>
      <c r="AT53" s="365"/>
      <c r="AU53" s="365"/>
      <c r="AV53" s="365"/>
      <c r="AW53" s="365"/>
      <c r="AX53" s="365"/>
      <c r="AY53" s="365"/>
      <c r="AZ53" s="365"/>
      <c r="BA53" s="365"/>
      <c r="BB53" s="365"/>
      <c r="BC53" s="365"/>
      <c r="BD53" s="365"/>
      <c r="BE53" s="365"/>
      <c r="BF53" s="365"/>
      <c r="BG53" s="365"/>
      <c r="BH53" s="365"/>
      <c r="BI53" s="365"/>
      <c r="BJ53" s="365"/>
      <c r="BK53" s="365"/>
      <c r="BL53" s="365"/>
      <c r="BM53" s="365"/>
      <c r="BN53" s="365"/>
      <c r="BO53" s="365"/>
      <c r="BP53" s="365"/>
      <c r="BQ53" s="365"/>
      <c r="BR53" s="365"/>
      <c r="BS53" s="365"/>
      <c r="BT53" s="365"/>
      <c r="BU53" s="365"/>
      <c r="BV53" s="365"/>
      <c r="BW53" s="365"/>
      <c r="BX53" s="365"/>
      <c r="BY53" s="365"/>
      <c r="BZ53" s="365"/>
      <c r="CA53" s="365"/>
      <c r="CB53" s="365"/>
      <c r="CC53" s="365"/>
      <c r="CD53" s="365"/>
      <c r="CE53" s="365"/>
      <c r="CF53" s="365"/>
      <c r="CG53" s="365"/>
      <c r="CH53" s="365"/>
      <c r="CI53" s="365"/>
      <c r="CJ53" s="365"/>
      <c r="CK53" s="365"/>
      <c r="CL53" s="365"/>
      <c r="CM53" s="365"/>
      <c r="CN53" s="365"/>
      <c r="CO53" s="365"/>
      <c r="CP53" s="365"/>
      <c r="CQ53" s="365"/>
      <c r="CR53" s="365"/>
      <c r="CS53" s="365"/>
      <c r="CT53" s="365"/>
      <c r="CU53" s="365"/>
      <c r="CV53" s="365"/>
      <c r="CW53" s="365"/>
      <c r="CX53" s="365"/>
      <c r="CY53" s="365"/>
      <c r="CZ53" s="365"/>
      <c r="DA53" s="365"/>
      <c r="DB53" s="365"/>
      <c r="DC53" s="365"/>
      <c r="DD53" s="365"/>
      <c r="DE53" s="365"/>
      <c r="DF53" s="365"/>
      <c r="DG53" s="365"/>
      <c r="DH53" s="365"/>
      <c r="DI53" s="365"/>
      <c r="DJ53" s="365"/>
      <c r="DK53" s="365"/>
      <c r="DL53" s="365"/>
      <c r="DM53" s="365"/>
      <c r="DN53" s="365"/>
      <c r="DO53" s="365"/>
      <c r="DP53" s="365"/>
      <c r="DQ53" s="365"/>
      <c r="DR53" s="365"/>
      <c r="DS53" s="365"/>
      <c r="DT53" s="365"/>
      <c r="DU53" s="365"/>
      <c r="DV53" s="365"/>
      <c r="DW53" s="365"/>
      <c r="DX53" s="365"/>
      <c r="DY53" s="365"/>
      <c r="DZ53" s="365"/>
      <c r="EA53" s="365"/>
      <c r="EB53" s="365"/>
      <c r="EC53" s="365"/>
      <c r="ED53" s="365"/>
      <c r="EE53" s="365"/>
      <c r="EF53" s="365"/>
      <c r="EG53" s="365"/>
      <c r="EH53" s="365"/>
      <c r="EI53" s="365"/>
      <c r="EJ53" s="365"/>
      <c r="EK53" s="365"/>
      <c r="EL53" s="365"/>
      <c r="EM53" s="365"/>
      <c r="EN53" s="365"/>
      <c r="EO53" s="365"/>
      <c r="EP53" s="365"/>
      <c r="EQ53" s="365"/>
      <c r="ER53" s="365"/>
      <c r="ES53" s="365"/>
      <c r="ET53" s="365"/>
      <c r="EU53" s="365"/>
      <c r="EV53" s="365"/>
      <c r="EW53" s="365"/>
      <c r="EX53" s="365"/>
      <c r="EY53" s="365"/>
      <c r="EZ53" s="365"/>
      <c r="FA53" s="365"/>
      <c r="FB53" s="365"/>
      <c r="FC53" s="365"/>
      <c r="FD53" s="365"/>
      <c r="FE53" s="365"/>
      <c r="FF53" s="365"/>
      <c r="FG53" s="365"/>
      <c r="FH53" s="365"/>
      <c r="FI53" s="365"/>
      <c r="FJ53" s="365"/>
      <c r="FK53" s="365"/>
      <c r="FL53" s="365"/>
      <c r="FM53" s="365"/>
      <c r="FN53" s="365"/>
      <c r="FO53" s="365"/>
      <c r="FP53" s="365"/>
      <c r="FQ53" s="365"/>
      <c r="FR53" s="365"/>
      <c r="FS53" s="365"/>
      <c r="FT53" s="365"/>
      <c r="FU53" s="365"/>
      <c r="FV53" s="365"/>
      <c r="FW53" s="365"/>
      <c r="FX53" s="365"/>
      <c r="FY53" s="365"/>
      <c r="FZ53" s="365"/>
      <c r="GA53" s="365"/>
      <c r="GB53" s="365"/>
      <c r="GC53" s="365"/>
      <c r="GD53" s="365"/>
      <c r="GE53" s="365"/>
      <c r="GF53" s="365"/>
      <c r="GG53" s="365"/>
      <c r="GH53" s="365"/>
      <c r="GI53" s="365"/>
      <c r="GJ53" s="365"/>
      <c r="GK53" s="365"/>
      <c r="GL53" s="365"/>
      <c r="GM53" s="365"/>
      <c r="GN53" s="365"/>
      <c r="GO53" s="365"/>
      <c r="GP53" s="365"/>
      <c r="GQ53" s="365"/>
      <c r="GR53" s="365"/>
      <c r="GS53" s="365"/>
      <c r="GT53" s="365"/>
      <c r="GU53" s="365"/>
      <c r="GV53" s="365"/>
      <c r="GW53" s="365"/>
      <c r="GX53" s="365"/>
      <c r="GY53" s="365"/>
      <c r="GZ53" s="365"/>
      <c r="HA53" s="365"/>
      <c r="HB53" s="365"/>
      <c r="HC53" s="365"/>
      <c r="HD53" s="365"/>
      <c r="HE53" s="365"/>
      <c r="HF53" s="365"/>
      <c r="HG53" s="365"/>
      <c r="HH53" s="365"/>
      <c r="HI53" s="365"/>
      <c r="HJ53" s="365"/>
      <c r="HK53" s="365"/>
      <c r="HL53" s="365"/>
      <c r="HM53" s="365"/>
    </row>
    <row hidden="true" r="54">
      <c r="A54" s="357">
        <v>46244</v>
      </c>
      <c r="B54" s="358" t="s">
        <v>421</v>
      </c>
      <c r="C54" s="360" t="s">
        <v>447</v>
      </c>
      <c r="D54" s="360">
        <v>6</v>
      </c>
      <c r="E54" s="359">
        <v>13</v>
      </c>
      <c r="F54" s="360">
        <v>146</v>
      </c>
      <c r="G54" s="360">
        <v>109</v>
      </c>
      <c r="H54" s="366">
        <v>39520.9</v>
      </c>
      <c r="I54" s="360">
        <f>0.02+28858.82</f>
      </c>
      <c r="J54" s="362">
        <f t="shared" si="1"/>
      </c>
      <c r="K54" s="362">
        <f t="shared" si="0"/>
      </c>
      <c r="L54" s="363">
        <f t="shared" si="6"/>
      </c>
      <c r="M54" s="364">
        <f t="shared" si="4"/>
      </c>
      <c r="N54" s="359">
        <v>20</v>
      </c>
      <c r="O54" s="364">
        <f t="shared" si="2"/>
      </c>
      <c r="P54" s="358"/>
      <c r="Q54" s="358"/>
      <c r="Y54" s="365"/>
      <c r="Z54" s="365"/>
      <c r="AA54" s="365"/>
      <c r="AB54" s="365"/>
      <c r="AC54" s="365"/>
      <c r="AD54" s="365"/>
      <c r="AE54" s="365"/>
      <c r="AF54" s="365"/>
      <c r="AG54" s="365"/>
      <c r="AH54" s="365"/>
      <c r="AI54" s="365"/>
      <c r="AJ54" s="365"/>
      <c r="AK54" s="365"/>
      <c r="AL54" s="365"/>
      <c r="AM54" s="365"/>
      <c r="AN54" s="365"/>
      <c r="AO54" s="365"/>
      <c r="AP54" s="365"/>
      <c r="AQ54" s="365"/>
      <c r="AR54" s="365"/>
      <c r="AS54" s="365"/>
      <c r="AT54" s="365"/>
      <c r="AU54" s="365"/>
      <c r="AV54" s="365"/>
      <c r="AW54" s="365"/>
      <c r="AX54" s="365"/>
      <c r="AY54" s="365"/>
      <c r="AZ54" s="365"/>
      <c r="BA54" s="365"/>
      <c r="BB54" s="365"/>
      <c r="BC54" s="365"/>
      <c r="BD54" s="365"/>
      <c r="BE54" s="365"/>
      <c r="BF54" s="365"/>
      <c r="BG54" s="365"/>
      <c r="BH54" s="365"/>
      <c r="BI54" s="365"/>
      <c r="BJ54" s="365"/>
      <c r="BK54" s="365"/>
      <c r="BL54" s="365"/>
      <c r="BM54" s="365"/>
      <c r="BN54" s="365"/>
      <c r="BO54" s="365"/>
      <c r="BP54" s="365"/>
      <c r="BQ54" s="365"/>
      <c r="BR54" s="365"/>
      <c r="BS54" s="365"/>
      <c r="BT54" s="365"/>
      <c r="BU54" s="365"/>
      <c r="BV54" s="365"/>
      <c r="BW54" s="365"/>
      <c r="BX54" s="365"/>
      <c r="BY54" s="365"/>
      <c r="BZ54" s="365"/>
      <c r="CA54" s="365"/>
      <c r="CB54" s="365"/>
      <c r="CC54" s="365"/>
      <c r="CD54" s="365"/>
      <c r="CE54" s="365"/>
      <c r="CF54" s="365"/>
      <c r="CG54" s="365"/>
      <c r="CH54" s="365"/>
      <c r="CI54" s="365"/>
      <c r="CJ54" s="365"/>
      <c r="CK54" s="365"/>
      <c r="CL54" s="365"/>
      <c r="CM54" s="365"/>
      <c r="CN54" s="365"/>
      <c r="CO54" s="365"/>
      <c r="CP54" s="365"/>
      <c r="CQ54" s="365"/>
      <c r="CR54" s="365"/>
      <c r="CS54" s="365"/>
      <c r="CT54" s="365"/>
      <c r="CU54" s="365"/>
      <c r="CV54" s="365"/>
      <c r="CW54" s="365"/>
      <c r="CX54" s="365"/>
      <c r="CY54" s="365"/>
      <c r="CZ54" s="365"/>
      <c r="DA54" s="365"/>
      <c r="DB54" s="365"/>
      <c r="DC54" s="365"/>
      <c r="DD54" s="365"/>
      <c r="DE54" s="365"/>
      <c r="DF54" s="365"/>
      <c r="DG54" s="365"/>
      <c r="DH54" s="365"/>
      <c r="DI54" s="365"/>
      <c r="DJ54" s="365"/>
      <c r="DK54" s="365"/>
      <c r="DL54" s="365"/>
      <c r="DM54" s="365"/>
      <c r="DN54" s="365"/>
      <c r="DO54" s="365"/>
      <c r="DP54" s="365"/>
      <c r="DQ54" s="365"/>
      <c r="DR54" s="365"/>
      <c r="DS54" s="365"/>
      <c r="DT54" s="365"/>
      <c r="DU54" s="365"/>
      <c r="DV54" s="365"/>
      <c r="DW54" s="365"/>
      <c r="DX54" s="365"/>
      <c r="DY54" s="365"/>
      <c r="DZ54" s="365"/>
      <c r="EA54" s="365"/>
      <c r="EB54" s="365"/>
      <c r="EC54" s="365"/>
      <c r="ED54" s="365"/>
      <c r="EE54" s="365"/>
      <c r="EF54" s="365"/>
      <c r="EG54" s="365"/>
      <c r="EH54" s="365"/>
      <c r="EI54" s="365"/>
      <c r="EJ54" s="365"/>
      <c r="EK54" s="365"/>
      <c r="EL54" s="365"/>
      <c r="EM54" s="365"/>
      <c r="EN54" s="365"/>
      <c r="EO54" s="365"/>
      <c r="EP54" s="365"/>
      <c r="EQ54" s="365"/>
      <c r="ER54" s="365"/>
      <c r="ES54" s="365"/>
      <c r="ET54" s="365"/>
      <c r="EU54" s="365"/>
      <c r="EV54" s="365"/>
      <c r="EW54" s="365"/>
      <c r="EX54" s="365"/>
      <c r="EY54" s="365"/>
      <c r="EZ54" s="365"/>
      <c r="FA54" s="365"/>
      <c r="FB54" s="365"/>
      <c r="FC54" s="365"/>
      <c r="FD54" s="365"/>
      <c r="FE54" s="365"/>
      <c r="FF54" s="365"/>
      <c r="FG54" s="365"/>
      <c r="FH54" s="365"/>
      <c r="FI54" s="365"/>
      <c r="FJ54" s="365"/>
      <c r="FK54" s="365"/>
      <c r="FL54" s="365"/>
      <c r="FM54" s="365"/>
      <c r="FN54" s="365"/>
      <c r="FO54" s="365"/>
      <c r="FP54" s="365"/>
      <c r="FQ54" s="365"/>
      <c r="FR54" s="365"/>
      <c r="FS54" s="365"/>
      <c r="FT54" s="365"/>
      <c r="FU54" s="365"/>
      <c r="FV54" s="365"/>
      <c r="FW54" s="365"/>
      <c r="FX54" s="365"/>
      <c r="FY54" s="365"/>
      <c r="FZ54" s="365"/>
      <c r="GA54" s="365"/>
      <c r="GB54" s="365"/>
      <c r="GC54" s="365"/>
      <c r="GD54" s="365"/>
      <c r="GE54" s="365"/>
      <c r="GF54" s="365"/>
      <c r="GG54" s="365"/>
      <c r="GH54" s="365"/>
      <c r="GI54" s="365"/>
      <c r="GJ54" s="365"/>
      <c r="GK54" s="365"/>
      <c r="GL54" s="365"/>
      <c r="GM54" s="365"/>
      <c r="GN54" s="365"/>
      <c r="GO54" s="365"/>
      <c r="GP54" s="365"/>
      <c r="GQ54" s="365"/>
      <c r="GR54" s="365"/>
      <c r="GS54" s="365"/>
      <c r="GT54" s="365"/>
      <c r="GU54" s="365"/>
      <c r="GV54" s="365"/>
      <c r="GW54" s="365"/>
      <c r="GX54" s="365"/>
      <c r="GY54" s="365"/>
      <c r="GZ54" s="365"/>
      <c r="HA54" s="365"/>
      <c r="HB54" s="365"/>
      <c r="HC54" s="365"/>
      <c r="HD54" s="365"/>
      <c r="HE54" s="365"/>
      <c r="HF54" s="365"/>
      <c r="HG54" s="365"/>
      <c r="HH54" s="365"/>
      <c r="HI54" s="365"/>
      <c r="HJ54" s="365"/>
      <c r="HK54" s="365"/>
      <c r="HL54" s="365"/>
      <c r="HM54" s="365"/>
    </row>
    <row r="55">
      <c r="A55" s="367">
        <v>46244</v>
      </c>
      <c r="B55" s="368" t="s">
        <v>433</v>
      </c>
      <c r="C55" s="368"/>
      <c r="D55" s="368">
        <f>SUM(D50:D54)</f>
      </c>
      <c r="E55" s="368">
        <f>SUM(E50:E54)</f>
      </c>
      <c r="F55" s="368">
        <f>SUM(F50:F54)</f>
      </c>
      <c r="G55" s="368">
        <f>SUM(G50:G54)</f>
      </c>
      <c r="H55" s="368">
        <f>SUM(H50:H54)</f>
      </c>
      <c r="I55" s="368">
        <f>SUM(I50:I54)</f>
      </c>
      <c r="J55" s="369">
        <f t="shared" si="1"/>
      </c>
      <c r="K55" s="370">
        <f t="shared" si="0"/>
      </c>
      <c r="L55" s="370">
        <f t="shared" si="6"/>
      </c>
      <c r="M55" s="371">
        <f t="shared" si="4"/>
      </c>
      <c r="N55" s="368">
        <f>SUM(N50:N54)</f>
      </c>
      <c r="O55" s="371">
        <f t="shared" si="2"/>
      </c>
      <c r="P55" s="372"/>
      <c r="Q55" s="368">
        <f>SUM(Q50:Q53)</f>
      </c>
      <c r="R55" s="365"/>
      <c r="S55" s="365"/>
      <c r="T55" s="365"/>
      <c r="U55" s="365"/>
      <c r="V55" s="365"/>
      <c r="W55" s="365"/>
      <c r="X55" s="365"/>
      <c r="Y55" s="365"/>
      <c r="Z55" s="365"/>
      <c r="AA55" s="365"/>
      <c r="AB55" s="365"/>
      <c r="AC55" s="365"/>
      <c r="AD55" s="365"/>
      <c r="AE55" s="365"/>
      <c r="AF55" s="365"/>
      <c r="AG55" s="365"/>
      <c r="AH55" s="365"/>
      <c r="AI55" s="365"/>
      <c r="AJ55" s="365"/>
      <c r="AK55" s="365"/>
      <c r="AL55" s="365"/>
      <c r="AM55" s="365"/>
      <c r="AN55" s="365"/>
      <c r="AO55" s="365"/>
      <c r="AP55" s="365"/>
      <c r="AQ55" s="365"/>
      <c r="AR55" s="365"/>
      <c r="AS55" s="365"/>
      <c r="AT55" s="365"/>
      <c r="AU55" s="365"/>
      <c r="AV55" s="365"/>
      <c r="AW55" s="365"/>
      <c r="AX55" s="365"/>
      <c r="AY55" s="365"/>
      <c r="AZ55" s="365"/>
      <c r="BA55" s="365"/>
      <c r="BB55" s="365"/>
      <c r="BC55" s="365"/>
      <c r="BD55" s="365"/>
      <c r="BE55" s="365"/>
      <c r="BF55" s="365"/>
      <c r="BG55" s="365"/>
      <c r="BH55" s="365"/>
      <c r="BI55" s="365"/>
      <c r="BJ55" s="365"/>
      <c r="BK55" s="365"/>
      <c r="BL55" s="365"/>
      <c r="BM55" s="365"/>
      <c r="BN55" s="365"/>
      <c r="BO55" s="365"/>
      <c r="BP55" s="365"/>
      <c r="BQ55" s="365"/>
      <c r="BR55" s="365"/>
      <c r="BS55" s="365"/>
      <c r="BT55" s="365"/>
      <c r="BU55" s="365"/>
      <c r="BV55" s="365"/>
      <c r="BW55" s="365"/>
      <c r="BX55" s="365"/>
      <c r="BY55" s="365"/>
      <c r="BZ55" s="365"/>
      <c r="CA55" s="365"/>
      <c r="CB55" s="365"/>
      <c r="CC55" s="365"/>
      <c r="CD55" s="365"/>
      <c r="CE55" s="365"/>
      <c r="CF55" s="365"/>
      <c r="CG55" s="365"/>
      <c r="CH55" s="365"/>
      <c r="CI55" s="365"/>
      <c r="CJ55" s="365"/>
      <c r="CK55" s="365"/>
      <c r="CL55" s="365"/>
      <c r="CM55" s="365"/>
      <c r="CN55" s="365"/>
      <c r="CO55" s="365"/>
      <c r="CP55" s="365"/>
      <c r="CQ55" s="365"/>
      <c r="CR55" s="365"/>
      <c r="CS55" s="365"/>
      <c r="CT55" s="365"/>
      <c r="CU55" s="365"/>
      <c r="CV55" s="365"/>
      <c r="CW55" s="365"/>
      <c r="CX55" s="365"/>
      <c r="CY55" s="365"/>
      <c r="CZ55" s="365"/>
      <c r="DA55" s="365"/>
      <c r="DB55" s="365"/>
      <c r="DC55" s="365"/>
      <c r="DD55" s="365"/>
      <c r="DE55" s="365"/>
      <c r="DF55" s="365"/>
      <c r="DG55" s="365"/>
      <c r="DH55" s="365"/>
      <c r="DI55" s="365"/>
      <c r="DJ55" s="365"/>
      <c r="DK55" s="365"/>
      <c r="DL55" s="365"/>
      <c r="DM55" s="365"/>
      <c r="DN55" s="365"/>
      <c r="DO55" s="365"/>
      <c r="DP55" s="365"/>
      <c r="DQ55" s="365"/>
      <c r="DR55" s="365"/>
      <c r="DS55" s="365"/>
      <c r="DT55" s="365"/>
      <c r="DU55" s="365"/>
      <c r="DV55" s="365"/>
      <c r="DW55" s="365"/>
      <c r="DX55" s="365"/>
      <c r="DY55" s="365"/>
      <c r="DZ55" s="365"/>
      <c r="EA55" s="365"/>
      <c r="EB55" s="365"/>
      <c r="EC55" s="365"/>
      <c r="ED55" s="365"/>
      <c r="EE55" s="365"/>
      <c r="EF55" s="365"/>
      <c r="EG55" s="365"/>
      <c r="EH55" s="365"/>
      <c r="EI55" s="365"/>
      <c r="EJ55" s="365"/>
      <c r="EK55" s="365"/>
      <c r="EL55" s="365"/>
      <c r="EM55" s="365"/>
      <c r="EN55" s="365"/>
      <c r="EO55" s="365"/>
      <c r="EP55" s="365"/>
      <c r="EQ55" s="365"/>
      <c r="ER55" s="365"/>
      <c r="ES55" s="365"/>
      <c r="ET55" s="365"/>
      <c r="EU55" s="365"/>
      <c r="EV55" s="365"/>
      <c r="EW55" s="365"/>
      <c r="EX55" s="365"/>
      <c r="EY55" s="365"/>
      <c r="EZ55" s="365"/>
      <c r="FA55" s="365"/>
      <c r="FB55" s="365"/>
      <c r="FC55" s="365"/>
      <c r="FD55" s="365"/>
      <c r="FE55" s="365"/>
      <c r="FF55" s="365"/>
      <c r="FG55" s="365"/>
      <c r="FH55" s="365"/>
      <c r="FI55" s="365"/>
      <c r="FJ55" s="365"/>
      <c r="FK55" s="365"/>
      <c r="FL55" s="365"/>
      <c r="FM55" s="365"/>
      <c r="FN55" s="365"/>
      <c r="FO55" s="365"/>
      <c r="FP55" s="365"/>
      <c r="FQ55" s="365"/>
      <c r="FR55" s="365"/>
      <c r="FS55" s="365"/>
      <c r="FT55" s="365"/>
      <c r="FU55" s="365"/>
      <c r="FV55" s="365"/>
      <c r="FW55" s="365"/>
      <c r="FX55" s="365"/>
      <c r="FY55" s="365"/>
      <c r="FZ55" s="365"/>
      <c r="GA55" s="365"/>
      <c r="GB55" s="365"/>
      <c r="GC55" s="365"/>
      <c r="GD55" s="365"/>
      <c r="GE55" s="365"/>
      <c r="GF55" s="365"/>
      <c r="GG55" s="365"/>
      <c r="GH55" s="365"/>
      <c r="GI55" s="365"/>
      <c r="GJ55" s="365"/>
      <c r="GK55" s="365"/>
      <c r="GL55" s="365"/>
      <c r="GM55" s="365"/>
      <c r="GN55" s="365"/>
      <c r="GO55" s="365"/>
      <c r="GP55" s="365"/>
      <c r="GQ55" s="365"/>
      <c r="GR55" s="365"/>
      <c r="GS55" s="365"/>
      <c r="GT55" s="365"/>
      <c r="GU55" s="365"/>
      <c r="GV55" s="365"/>
      <c r="GW55" s="365"/>
      <c r="GX55" s="365"/>
      <c r="GY55" s="365"/>
      <c r="GZ55" s="365"/>
      <c r="HA55" s="365"/>
      <c r="HB55" s="365"/>
      <c r="HC55" s="365"/>
      <c r="HD55" s="365"/>
      <c r="HE55" s="365"/>
      <c r="HF55" s="365"/>
      <c r="HG55" s="365"/>
      <c r="HH55" s="365"/>
      <c r="HI55" s="365"/>
      <c r="HJ55" s="365"/>
      <c r="HK55" s="365"/>
      <c r="HL55" s="365"/>
      <c r="HM55" s="365"/>
    </row>
    <row hidden="true" r="56">
      <c r="A56" s="373">
        <v>46245</v>
      </c>
      <c r="B56" s="358" t="s">
        <v>435</v>
      </c>
      <c r="C56" s="358" t="s">
        <v>422</v>
      </c>
      <c r="D56" s="358">
        <v>5</v>
      </c>
      <c r="E56" s="359">
        <v>11</v>
      </c>
      <c r="F56" s="360">
        <v>126</v>
      </c>
      <c r="G56" s="360">
        <v>79</v>
      </c>
      <c r="H56" s="361">
        <v>23913.2</v>
      </c>
      <c r="I56" s="361">
        <v>27628.68</v>
      </c>
      <c r="J56" s="362">
        <f t="shared" si="1"/>
      </c>
      <c r="K56" s="362">
        <f t="shared" si="0"/>
      </c>
      <c r="L56" s="363">
        <f t="shared" si="6"/>
      </c>
      <c r="M56" s="364">
        <f t="shared" si="4"/>
      </c>
      <c r="N56" s="359">
        <v>8</v>
      </c>
      <c r="O56" s="364">
        <f t="shared" si="2"/>
      </c>
      <c r="P56" s="360" t="s">
        <v>423</v>
      </c>
      <c r="Q56" s="360">
        <v>2</v>
      </c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365"/>
      <c r="AN56" s="365"/>
      <c r="AO56" s="365"/>
      <c r="AP56" s="365"/>
      <c r="AQ56" s="365"/>
      <c r="AR56" s="365"/>
      <c r="AS56" s="365"/>
      <c r="AT56" s="365"/>
      <c r="AU56" s="365"/>
      <c r="AV56" s="365"/>
      <c r="AW56" s="365"/>
      <c r="AX56" s="365"/>
      <c r="AY56" s="365"/>
      <c r="AZ56" s="365"/>
      <c r="BA56" s="365"/>
      <c r="BB56" s="365"/>
      <c r="BC56" s="365"/>
      <c r="BD56" s="365"/>
      <c r="BE56" s="365"/>
      <c r="BF56" s="365"/>
      <c r="BG56" s="365"/>
      <c r="BH56" s="365"/>
      <c r="BI56" s="365"/>
      <c r="BJ56" s="365"/>
      <c r="BK56" s="365"/>
      <c r="BL56" s="365"/>
      <c r="BM56" s="365"/>
      <c r="BN56" s="365"/>
      <c r="BO56" s="365"/>
      <c r="BP56" s="365"/>
      <c r="BQ56" s="365"/>
      <c r="BR56" s="365"/>
      <c r="BS56" s="365"/>
      <c r="BT56" s="365"/>
      <c r="BU56" s="365"/>
      <c r="BV56" s="365"/>
      <c r="BW56" s="365"/>
      <c r="BX56" s="365"/>
      <c r="BY56" s="365"/>
      <c r="BZ56" s="365"/>
      <c r="CA56" s="365"/>
      <c r="CB56" s="365"/>
      <c r="CC56" s="365"/>
      <c r="CD56" s="365"/>
      <c r="CE56" s="365"/>
      <c r="CF56" s="365"/>
      <c r="CG56" s="365"/>
      <c r="CH56" s="365"/>
      <c r="CI56" s="365"/>
      <c r="CJ56" s="365"/>
      <c r="CK56" s="365"/>
      <c r="CL56" s="365"/>
      <c r="CM56" s="365"/>
      <c r="CN56" s="365"/>
      <c r="CO56" s="365"/>
      <c r="CP56" s="365"/>
      <c r="CQ56" s="365"/>
      <c r="CR56" s="365"/>
      <c r="CS56" s="365"/>
      <c r="CT56" s="365"/>
      <c r="CU56" s="365"/>
      <c r="CV56" s="365"/>
      <c r="CW56" s="365"/>
      <c r="CX56" s="365"/>
      <c r="CY56" s="365"/>
      <c r="CZ56" s="365"/>
      <c r="DA56" s="365"/>
      <c r="DB56" s="365"/>
      <c r="DC56" s="365"/>
      <c r="DD56" s="365"/>
      <c r="DE56" s="365"/>
      <c r="DF56" s="365"/>
      <c r="DG56" s="365"/>
      <c r="DH56" s="365"/>
      <c r="DI56" s="365"/>
      <c r="DJ56" s="365"/>
      <c r="DK56" s="365"/>
      <c r="DL56" s="365"/>
      <c r="DM56" s="365"/>
      <c r="DN56" s="365"/>
      <c r="DO56" s="365"/>
      <c r="DP56" s="365"/>
      <c r="DQ56" s="365"/>
      <c r="DR56" s="365"/>
      <c r="DS56" s="365"/>
      <c r="DT56" s="365"/>
      <c r="DU56" s="365"/>
      <c r="DV56" s="365"/>
      <c r="DW56" s="365"/>
      <c r="DX56" s="365"/>
      <c r="DY56" s="365"/>
      <c r="DZ56" s="365"/>
      <c r="EA56" s="365"/>
      <c r="EB56" s="365"/>
      <c r="EC56" s="365"/>
      <c r="ED56" s="365"/>
      <c r="EE56" s="365"/>
      <c r="EF56" s="365"/>
      <c r="EG56" s="365"/>
      <c r="EH56" s="365"/>
      <c r="EI56" s="365"/>
      <c r="EJ56" s="365"/>
      <c r="EK56" s="365"/>
      <c r="EL56" s="365"/>
      <c r="EM56" s="365"/>
      <c r="EN56" s="365"/>
      <c r="EO56" s="365"/>
      <c r="EP56" s="365"/>
      <c r="EQ56" s="365"/>
      <c r="ER56" s="365"/>
      <c r="ES56" s="365"/>
      <c r="ET56" s="365"/>
      <c r="EU56" s="365"/>
      <c r="EV56" s="365"/>
      <c r="EW56" s="365"/>
      <c r="EX56" s="365"/>
      <c r="EY56" s="365"/>
      <c r="EZ56" s="365"/>
      <c r="FA56" s="365"/>
      <c r="FB56" s="365"/>
      <c r="FC56" s="365"/>
      <c r="FD56" s="365"/>
      <c r="FE56" s="365"/>
      <c r="FF56" s="365"/>
      <c r="FG56" s="365"/>
      <c r="FH56" s="365"/>
      <c r="FI56" s="365"/>
      <c r="FJ56" s="365"/>
      <c r="FK56" s="365"/>
      <c r="FL56" s="365"/>
      <c r="FM56" s="365"/>
      <c r="FN56" s="365"/>
      <c r="FO56" s="365"/>
      <c r="FP56" s="365"/>
      <c r="FQ56" s="365"/>
      <c r="FR56" s="365"/>
      <c r="FS56" s="365"/>
      <c r="FT56" s="365"/>
      <c r="FU56" s="365"/>
      <c r="FV56" s="365"/>
      <c r="FW56" s="365"/>
      <c r="FX56" s="365"/>
      <c r="FY56" s="365"/>
      <c r="FZ56" s="365"/>
      <c r="GA56" s="365"/>
      <c r="GB56" s="365"/>
      <c r="GC56" s="365"/>
      <c r="GD56" s="365"/>
      <c r="GE56" s="365"/>
      <c r="GF56" s="365"/>
      <c r="GG56" s="365"/>
      <c r="GH56" s="365"/>
      <c r="GI56" s="365"/>
      <c r="GJ56" s="365"/>
      <c r="GK56" s="365"/>
      <c r="GL56" s="365"/>
      <c r="GM56" s="365"/>
      <c r="GN56" s="365"/>
      <c r="GO56" s="365"/>
      <c r="GP56" s="365"/>
      <c r="GQ56" s="365"/>
      <c r="GR56" s="365"/>
      <c r="GS56" s="365"/>
      <c r="GT56" s="365"/>
      <c r="GU56" s="365"/>
      <c r="GV56" s="365"/>
      <c r="GW56" s="365"/>
      <c r="GX56" s="365"/>
      <c r="GY56" s="365"/>
      <c r="GZ56" s="365"/>
      <c r="HA56" s="365"/>
      <c r="HB56" s="365"/>
      <c r="HC56" s="365"/>
      <c r="HD56" s="365"/>
      <c r="HE56" s="365"/>
      <c r="HF56" s="365"/>
      <c r="HG56" s="365"/>
      <c r="HH56" s="365"/>
      <c r="HI56" s="365"/>
      <c r="HJ56" s="365"/>
      <c r="HK56" s="365"/>
      <c r="HL56" s="365"/>
      <c r="HM56" s="365"/>
    </row>
    <row hidden="true" r="57">
      <c r="A57" s="373">
        <v>46245</v>
      </c>
      <c r="B57" s="358" t="s">
        <v>424</v>
      </c>
      <c r="C57" s="358" t="s">
        <v>425</v>
      </c>
      <c r="D57" s="358">
        <v>4</v>
      </c>
      <c r="E57" s="359">
        <v>4</v>
      </c>
      <c r="F57" s="360">
        <v>29</v>
      </c>
      <c r="G57" s="360">
        <v>28</v>
      </c>
      <c r="H57" s="361">
        <v>6845.200000000001</v>
      </c>
      <c r="I57" s="361">
        <v>12338.68</v>
      </c>
      <c r="J57" s="362">
        <f t="shared" si="1"/>
      </c>
      <c r="K57" s="362">
        <f t="shared" si="0"/>
      </c>
      <c r="L57" s="363">
        <f t="shared" si="6"/>
      </c>
      <c r="M57" s="364">
        <f t="shared" si="4"/>
      </c>
      <c r="N57" s="359">
        <v>1</v>
      </c>
      <c r="O57" s="364">
        <f t="shared" si="2"/>
      </c>
      <c r="P57" s="360" t="s">
        <v>448</v>
      </c>
      <c r="Q57" s="360">
        <v>7</v>
      </c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65"/>
      <c r="AY57" s="365"/>
      <c r="AZ57" s="365"/>
      <c r="BA57" s="365"/>
      <c r="BB57" s="365"/>
      <c r="BC57" s="365"/>
      <c r="BD57" s="365"/>
      <c r="BE57" s="365"/>
      <c r="BF57" s="365"/>
      <c r="BG57" s="365"/>
      <c r="BH57" s="365"/>
      <c r="BI57" s="365"/>
      <c r="BJ57" s="365"/>
      <c r="BK57" s="365"/>
      <c r="BL57" s="365"/>
      <c r="BM57" s="365"/>
      <c r="BN57" s="365"/>
      <c r="BO57" s="365"/>
      <c r="BP57" s="365"/>
      <c r="BQ57" s="365"/>
      <c r="BR57" s="365"/>
      <c r="BS57" s="365"/>
      <c r="BT57" s="365"/>
      <c r="BU57" s="365"/>
      <c r="BV57" s="365"/>
      <c r="BW57" s="365"/>
      <c r="BX57" s="365"/>
      <c r="BY57" s="365"/>
      <c r="BZ57" s="365"/>
      <c r="CA57" s="365"/>
      <c r="CB57" s="365"/>
      <c r="CC57" s="365"/>
      <c r="CD57" s="365"/>
      <c r="CE57" s="365"/>
      <c r="CF57" s="365"/>
      <c r="CG57" s="365"/>
      <c r="CH57" s="365"/>
      <c r="CI57" s="365"/>
      <c r="CJ57" s="365"/>
      <c r="CK57" s="365"/>
      <c r="CL57" s="365"/>
      <c r="CM57" s="365"/>
      <c r="CN57" s="365"/>
      <c r="CO57" s="365"/>
      <c r="CP57" s="365"/>
      <c r="CQ57" s="365"/>
      <c r="CR57" s="365"/>
      <c r="CS57" s="365"/>
      <c r="CT57" s="365"/>
      <c r="CU57" s="365"/>
      <c r="CV57" s="365"/>
      <c r="CW57" s="365"/>
      <c r="CX57" s="365"/>
      <c r="CY57" s="365"/>
      <c r="CZ57" s="365"/>
      <c r="DA57" s="365"/>
      <c r="DB57" s="365"/>
      <c r="DC57" s="365"/>
      <c r="DD57" s="365"/>
      <c r="DE57" s="365"/>
      <c r="DF57" s="365"/>
      <c r="DG57" s="365"/>
      <c r="DH57" s="365"/>
      <c r="DI57" s="365"/>
      <c r="DJ57" s="365"/>
      <c r="DK57" s="365"/>
      <c r="DL57" s="365"/>
      <c r="DM57" s="365"/>
      <c r="DN57" s="365"/>
      <c r="DO57" s="365"/>
      <c r="DP57" s="365"/>
      <c r="DQ57" s="365"/>
      <c r="DR57" s="365"/>
      <c r="DS57" s="365"/>
      <c r="DT57" s="365"/>
      <c r="DU57" s="365"/>
      <c r="DV57" s="365"/>
      <c r="DW57" s="365"/>
      <c r="DX57" s="365"/>
      <c r="DY57" s="365"/>
      <c r="DZ57" s="365"/>
      <c r="EA57" s="365"/>
      <c r="EB57" s="365"/>
      <c r="EC57" s="365"/>
      <c r="ED57" s="365"/>
      <c r="EE57" s="365"/>
      <c r="EF57" s="365"/>
      <c r="EG57" s="365"/>
      <c r="EH57" s="365"/>
      <c r="EI57" s="365"/>
      <c r="EJ57" s="365"/>
      <c r="EK57" s="365"/>
      <c r="EL57" s="365"/>
      <c r="EM57" s="365"/>
      <c r="EN57" s="365"/>
      <c r="EO57" s="365"/>
      <c r="EP57" s="365"/>
      <c r="EQ57" s="365"/>
      <c r="ER57" s="365"/>
      <c r="ES57" s="365"/>
      <c r="ET57" s="365"/>
      <c r="EU57" s="365"/>
      <c r="EV57" s="365"/>
      <c r="EW57" s="365"/>
      <c r="EX57" s="365"/>
      <c r="EY57" s="365"/>
      <c r="EZ57" s="365"/>
      <c r="FA57" s="365"/>
      <c r="FB57" s="365"/>
      <c r="FC57" s="365"/>
      <c r="FD57" s="365"/>
      <c r="FE57" s="365"/>
      <c r="FF57" s="365"/>
      <c r="FG57" s="365"/>
      <c r="FH57" s="365"/>
      <c r="FI57" s="365"/>
      <c r="FJ57" s="365"/>
      <c r="FK57" s="365"/>
      <c r="FL57" s="365"/>
      <c r="FM57" s="365"/>
      <c r="FN57" s="365"/>
      <c r="FO57" s="365"/>
      <c r="FP57" s="365"/>
      <c r="FQ57" s="365"/>
      <c r="FR57" s="365"/>
      <c r="FS57" s="365"/>
      <c r="FT57" s="365"/>
      <c r="FU57" s="365"/>
      <c r="FV57" s="365"/>
      <c r="FW57" s="365"/>
      <c r="FX57" s="365"/>
      <c r="FY57" s="365"/>
      <c r="FZ57" s="365"/>
      <c r="GA57" s="365"/>
      <c r="GB57" s="365"/>
      <c r="GC57" s="365"/>
      <c r="GD57" s="365"/>
      <c r="GE57" s="365"/>
      <c r="GF57" s="365"/>
      <c r="GG57" s="365"/>
      <c r="GH57" s="365"/>
      <c r="GI57" s="365"/>
      <c r="GJ57" s="365"/>
      <c r="GK57" s="365"/>
      <c r="GL57" s="365"/>
      <c r="GM57" s="365"/>
      <c r="GN57" s="365"/>
      <c r="GO57" s="365"/>
      <c r="GP57" s="365"/>
      <c r="GQ57" s="365"/>
      <c r="GR57" s="365"/>
      <c r="GS57" s="365"/>
      <c r="GT57" s="365"/>
      <c r="GU57" s="365"/>
      <c r="GV57" s="365"/>
      <c r="GW57" s="365"/>
      <c r="GX57" s="365"/>
      <c r="GY57" s="365"/>
      <c r="GZ57" s="365"/>
      <c r="HA57" s="365"/>
      <c r="HB57" s="365"/>
      <c r="HC57" s="365"/>
      <c r="HD57" s="365"/>
      <c r="HE57" s="365"/>
      <c r="HF57" s="365"/>
      <c r="HG57" s="365"/>
      <c r="HH57" s="365"/>
      <c r="HI57" s="365"/>
      <c r="HJ57" s="365"/>
      <c r="HK57" s="365"/>
      <c r="HL57" s="365"/>
      <c r="HM57" s="365"/>
    </row>
    <row hidden="true" r="58">
      <c r="A58" s="373">
        <v>46245</v>
      </c>
      <c r="B58" s="358" t="s">
        <v>443</v>
      </c>
      <c r="C58" s="358" t="s">
        <v>427</v>
      </c>
      <c r="D58" s="358">
        <v>2</v>
      </c>
      <c r="E58" s="359">
        <v>2</v>
      </c>
      <c r="F58" s="360">
        <v>27</v>
      </c>
      <c r="G58" s="360">
        <v>17</v>
      </c>
      <c r="H58" s="361">
        <v>5612</v>
      </c>
      <c r="I58" s="361">
        <v>7564.909999999996</v>
      </c>
      <c r="J58" s="362">
        <f t="shared" si="1"/>
      </c>
      <c r="K58" s="362">
        <f t="shared" si="0"/>
      </c>
      <c r="L58" s="363">
        <f t="shared" si="6"/>
      </c>
      <c r="M58" s="364">
        <f t="shared" si="4"/>
      </c>
      <c r="N58" s="359">
        <v>0</v>
      </c>
      <c r="O58" s="364">
        <f t="shared" si="2"/>
      </c>
      <c r="P58" s="358"/>
      <c r="Q58" s="358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5"/>
      <c r="AR58" s="365"/>
      <c r="AS58" s="365"/>
      <c r="AT58" s="365"/>
      <c r="AU58" s="365"/>
      <c r="AV58" s="365"/>
      <c r="AW58" s="365"/>
      <c r="AX58" s="365"/>
      <c r="AY58" s="365"/>
      <c r="AZ58" s="365"/>
      <c r="BA58" s="365"/>
      <c r="BB58" s="365"/>
      <c r="BC58" s="365"/>
      <c r="BD58" s="365"/>
      <c r="BE58" s="365"/>
      <c r="BF58" s="365"/>
      <c r="BG58" s="365"/>
      <c r="BH58" s="365"/>
      <c r="BI58" s="365"/>
      <c r="BJ58" s="365"/>
      <c r="BK58" s="365"/>
      <c r="BL58" s="365"/>
      <c r="BM58" s="365"/>
      <c r="BN58" s="365"/>
      <c r="BO58" s="365"/>
      <c r="BP58" s="365"/>
      <c r="BQ58" s="365"/>
      <c r="BR58" s="365"/>
      <c r="BS58" s="365"/>
      <c r="BT58" s="365"/>
      <c r="BU58" s="365"/>
      <c r="BV58" s="365"/>
      <c r="BW58" s="365"/>
      <c r="BX58" s="365"/>
      <c r="BY58" s="365"/>
      <c r="BZ58" s="365"/>
      <c r="CA58" s="365"/>
      <c r="CB58" s="365"/>
      <c r="CC58" s="365"/>
      <c r="CD58" s="365"/>
      <c r="CE58" s="365"/>
      <c r="CF58" s="365"/>
      <c r="CG58" s="365"/>
      <c r="CH58" s="365"/>
      <c r="CI58" s="365"/>
      <c r="CJ58" s="365"/>
      <c r="CK58" s="365"/>
      <c r="CL58" s="365"/>
      <c r="CM58" s="365"/>
      <c r="CN58" s="365"/>
      <c r="CO58" s="365"/>
      <c r="CP58" s="365"/>
      <c r="CQ58" s="365"/>
      <c r="CR58" s="365"/>
      <c r="CS58" s="365"/>
      <c r="CT58" s="365"/>
      <c r="CU58" s="365"/>
      <c r="CV58" s="365"/>
      <c r="CW58" s="365"/>
      <c r="CX58" s="365"/>
      <c r="CY58" s="365"/>
      <c r="CZ58" s="365"/>
      <c r="DA58" s="365"/>
      <c r="DB58" s="365"/>
      <c r="DC58" s="365"/>
      <c r="DD58" s="365"/>
      <c r="DE58" s="365"/>
      <c r="DF58" s="365"/>
      <c r="DG58" s="365"/>
      <c r="DH58" s="365"/>
      <c r="DI58" s="365"/>
      <c r="DJ58" s="365"/>
      <c r="DK58" s="365"/>
      <c r="DL58" s="365"/>
      <c r="DM58" s="365"/>
      <c r="DN58" s="365"/>
      <c r="DO58" s="365"/>
      <c r="DP58" s="365"/>
      <c r="DQ58" s="365"/>
      <c r="DR58" s="365"/>
      <c r="DS58" s="365"/>
      <c r="DT58" s="365"/>
      <c r="DU58" s="365"/>
      <c r="DV58" s="365"/>
      <c r="DW58" s="365"/>
      <c r="DX58" s="365"/>
      <c r="DY58" s="365"/>
      <c r="DZ58" s="365"/>
      <c r="EA58" s="365"/>
      <c r="EB58" s="365"/>
      <c r="EC58" s="365"/>
      <c r="ED58" s="365"/>
      <c r="EE58" s="365"/>
      <c r="EF58" s="365"/>
      <c r="EG58" s="365"/>
      <c r="EH58" s="365"/>
      <c r="EI58" s="365"/>
      <c r="EJ58" s="365"/>
      <c r="EK58" s="365"/>
      <c r="EL58" s="365"/>
      <c r="EM58" s="365"/>
      <c r="EN58" s="365"/>
      <c r="EO58" s="365"/>
      <c r="EP58" s="365"/>
      <c r="EQ58" s="365"/>
      <c r="ER58" s="365"/>
      <c r="ES58" s="365"/>
      <c r="ET58" s="365"/>
      <c r="EU58" s="365"/>
      <c r="EV58" s="365"/>
      <c r="EW58" s="365"/>
      <c r="EX58" s="365"/>
      <c r="EY58" s="365"/>
      <c r="EZ58" s="365"/>
      <c r="FA58" s="365"/>
      <c r="FB58" s="365"/>
      <c r="FC58" s="365"/>
      <c r="FD58" s="365"/>
      <c r="FE58" s="365"/>
      <c r="FF58" s="365"/>
      <c r="FG58" s="365"/>
      <c r="FH58" s="365"/>
      <c r="FI58" s="365"/>
      <c r="FJ58" s="365"/>
      <c r="FK58" s="365"/>
      <c r="FL58" s="365"/>
      <c r="FM58" s="365"/>
      <c r="FN58" s="365"/>
      <c r="FO58" s="365"/>
      <c r="FP58" s="365"/>
      <c r="FQ58" s="365"/>
      <c r="FR58" s="365"/>
      <c r="FS58" s="365"/>
      <c r="FT58" s="365"/>
      <c r="FU58" s="365"/>
      <c r="FV58" s="365"/>
      <c r="FW58" s="365"/>
      <c r="FX58" s="365"/>
      <c r="FY58" s="365"/>
      <c r="FZ58" s="365"/>
      <c r="GA58" s="365"/>
      <c r="GB58" s="365"/>
      <c r="GC58" s="365"/>
      <c r="GD58" s="365"/>
      <c r="GE58" s="365"/>
      <c r="GF58" s="365"/>
      <c r="GG58" s="365"/>
      <c r="GH58" s="365"/>
      <c r="GI58" s="365"/>
      <c r="GJ58" s="365"/>
      <c r="GK58" s="365"/>
      <c r="GL58" s="365"/>
      <c r="GM58" s="365"/>
      <c r="GN58" s="365"/>
      <c r="GO58" s="365"/>
      <c r="GP58" s="365"/>
      <c r="GQ58" s="365"/>
      <c r="GR58" s="365"/>
      <c r="GS58" s="365"/>
      <c r="GT58" s="365"/>
      <c r="GU58" s="365"/>
      <c r="GV58" s="365"/>
      <c r="GW58" s="365"/>
      <c r="GX58" s="365"/>
      <c r="GY58" s="365"/>
      <c r="GZ58" s="365"/>
      <c r="HA58" s="365"/>
      <c r="HB58" s="365"/>
      <c r="HC58" s="365"/>
      <c r="HD58" s="365"/>
      <c r="HE58" s="365"/>
      <c r="HF58" s="365"/>
      <c r="HG58" s="365"/>
      <c r="HH58" s="365"/>
      <c r="HI58" s="365"/>
      <c r="HJ58" s="365"/>
      <c r="HK58" s="365"/>
      <c r="HL58" s="365"/>
      <c r="HM58" s="365"/>
    </row>
    <row hidden="true" r="59">
      <c r="A59" s="373">
        <v>46245</v>
      </c>
      <c r="B59" s="358" t="s">
        <v>430</v>
      </c>
      <c r="C59" s="360" t="s">
        <v>429</v>
      </c>
      <c r="D59" s="360">
        <v>4</v>
      </c>
      <c r="E59" s="359">
        <v>9</v>
      </c>
      <c r="F59" s="360">
        <v>87</v>
      </c>
      <c r="G59" s="360">
        <v>66</v>
      </c>
      <c r="H59" s="361">
        <v>20953.9</v>
      </c>
      <c r="I59" s="361">
        <v>19695.090000000004</v>
      </c>
      <c r="J59" s="362">
        <f t="shared" si="1"/>
      </c>
      <c r="K59" s="362">
        <f t="shared" si="0"/>
      </c>
      <c r="L59" s="363">
        <f t="shared" si="6"/>
      </c>
      <c r="M59" s="364">
        <f t="shared" si="4"/>
      </c>
      <c r="N59" s="359">
        <v>14</v>
      </c>
      <c r="O59" s="364">
        <f t="shared" si="2"/>
      </c>
      <c r="P59" s="358" t="s">
        <v>432</v>
      </c>
      <c r="Q59" s="360">
        <v>11</v>
      </c>
    </row>
    <row hidden="true" r="60">
      <c r="A60" s="373">
        <v>46245</v>
      </c>
      <c r="B60" s="358" t="s">
        <v>421</v>
      </c>
      <c r="C60" s="360" t="s">
        <v>431</v>
      </c>
      <c r="D60" s="360">
        <v>5</v>
      </c>
      <c r="E60" s="359">
        <v>12</v>
      </c>
      <c r="F60" s="360">
        <v>91</v>
      </c>
      <c r="G60" s="360">
        <v>66</v>
      </c>
      <c r="H60" s="366">
        <v>23670.5</v>
      </c>
      <c r="I60" s="366">
        <v>19148.7</v>
      </c>
      <c r="J60" s="362">
        <f t="shared" si="1"/>
      </c>
      <c r="K60" s="362">
        <f t="shared" si="0"/>
      </c>
      <c r="L60" s="363">
        <f t="shared" si="6"/>
      </c>
      <c r="M60" s="364">
        <f t="shared" si="4"/>
      </c>
      <c r="N60" s="359">
        <v>16</v>
      </c>
      <c r="O60" s="364">
        <f t="shared" si="2"/>
      </c>
      <c r="P60" s="358"/>
      <c r="Q60" s="358"/>
    </row>
    <row r="61">
      <c r="A61" s="374">
        <v>46245</v>
      </c>
      <c r="B61" s="368" t="s">
        <v>433</v>
      </c>
      <c r="C61" s="368"/>
      <c r="D61" s="368">
        <f>SUM(D56:D60)</f>
      </c>
      <c r="E61" s="368">
        <f>SUM(E56:E60)</f>
      </c>
      <c r="F61" s="368">
        <f>SUM(F56:F60)</f>
      </c>
      <c r="G61" s="368">
        <f>SUM(G56:G60)</f>
      </c>
      <c r="H61" s="368">
        <f>SUM(H56:H60)</f>
      </c>
      <c r="I61" s="368">
        <f>SUM(I56:I60)</f>
      </c>
      <c r="J61" s="369">
        <f t="shared" si="1"/>
      </c>
      <c r="K61" s="370">
        <f t="shared" si="0"/>
      </c>
      <c r="L61" s="370">
        <f t="shared" si="6"/>
      </c>
      <c r="M61" s="371">
        <f t="shared" si="4"/>
      </c>
      <c r="N61" s="368">
        <f>SUM(N56:N60)</f>
      </c>
      <c r="O61" s="371">
        <f t="shared" si="2"/>
      </c>
      <c r="P61" s="372"/>
      <c r="Q61" s="368">
        <f>SUM(Q56:Q59)</f>
      </c>
    </row>
    <row hidden="true" r="62">
      <c r="A62" s="373">
        <v>46246</v>
      </c>
      <c r="B62" s="358" t="s">
        <v>435</v>
      </c>
      <c r="C62" s="358" t="s">
        <v>422</v>
      </c>
      <c r="D62" s="358">
        <v>5</v>
      </c>
      <c r="E62" s="359">
        <v>17</v>
      </c>
      <c r="F62" s="360">
        <v>163</v>
      </c>
      <c r="G62" s="360">
        <v>113</v>
      </c>
      <c r="H62" s="361">
        <v>31513.9</v>
      </c>
      <c r="I62" s="361">
        <v>35286.79</v>
      </c>
      <c r="J62" s="362">
        <f t="shared" si="1"/>
      </c>
      <c r="K62" s="362">
        <f t="shared" si="0"/>
      </c>
      <c r="L62" s="363">
        <f t="shared" si="6"/>
      </c>
      <c r="M62" s="364">
        <f t="shared" si="4"/>
      </c>
      <c r="N62" s="359">
        <v>15</v>
      </c>
      <c r="O62" s="364">
        <f t="shared" si="2"/>
      </c>
      <c r="P62" s="360" t="s">
        <v>423</v>
      </c>
      <c r="Q62" s="360">
        <v>2</v>
      </c>
    </row>
    <row hidden="true" r="63">
      <c r="A63" s="373">
        <v>46246</v>
      </c>
      <c r="B63" s="358" t="s">
        <v>424</v>
      </c>
      <c r="C63" s="360" t="s">
        <v>436</v>
      </c>
      <c r="D63" s="360">
        <v>5</v>
      </c>
      <c r="E63" s="359">
        <v>20</v>
      </c>
      <c r="F63" s="360">
        <v>165</v>
      </c>
      <c r="G63" s="360">
        <v>108</v>
      </c>
      <c r="H63" s="361">
        <v>36525.6</v>
      </c>
      <c r="I63" s="361">
        <v>35616.329999999994</v>
      </c>
      <c r="J63" s="362">
        <f t="shared" si="1"/>
      </c>
      <c r="K63" s="362">
        <f t="shared" si="0"/>
      </c>
      <c r="L63" s="363">
        <f t="shared" si="6"/>
      </c>
      <c r="M63" s="364">
        <f t="shared" si="4"/>
      </c>
      <c r="N63" s="359">
        <v>21</v>
      </c>
      <c r="O63" s="364">
        <f t="shared" si="2"/>
      </c>
      <c r="P63" s="360" t="s">
        <v>448</v>
      </c>
      <c r="Q63" s="360">
        <v>8</v>
      </c>
    </row>
    <row hidden="true" r="64">
      <c r="A64" s="373">
        <v>46246</v>
      </c>
      <c r="B64" s="358" t="s">
        <v>430</v>
      </c>
      <c r="C64" s="360" t="s">
        <v>437</v>
      </c>
      <c r="D64" s="360">
        <v>5</v>
      </c>
      <c r="E64" s="359">
        <v>10</v>
      </c>
      <c r="F64" s="360">
        <v>139</v>
      </c>
      <c r="G64" s="360">
        <v>90</v>
      </c>
      <c r="H64" s="361">
        <v>38004.600000000006</v>
      </c>
      <c r="I64" s="361">
        <v>31738.940000000002</v>
      </c>
      <c r="J64" s="362">
        <f t="shared" si="1"/>
      </c>
      <c r="K64" s="362">
        <f t="shared" si="0"/>
      </c>
      <c r="L64" s="363">
        <f t="shared" si="6"/>
      </c>
      <c r="M64" s="364">
        <f t="shared" si="4"/>
      </c>
      <c r="N64" s="359">
        <v>20</v>
      </c>
      <c r="O64" s="364">
        <f t="shared" si="2"/>
      </c>
      <c r="P64" s="360" t="s">
        <v>434</v>
      </c>
      <c r="Q64" s="360">
        <v>10</v>
      </c>
    </row>
    <row hidden="true" r="65">
      <c r="A65" s="373">
        <v>46246</v>
      </c>
      <c r="B65" s="358" t="s">
        <v>421</v>
      </c>
      <c r="C65" s="360" t="s">
        <v>431</v>
      </c>
      <c r="D65" s="360">
        <v>5</v>
      </c>
      <c r="E65" s="359">
        <v>18</v>
      </c>
      <c r="F65" s="360">
        <v>157</v>
      </c>
      <c r="G65" s="360">
        <v>97</v>
      </c>
      <c r="H65" s="366">
        <v>35812.100000000006</v>
      </c>
      <c r="I65" s="366">
        <v>30080.23</v>
      </c>
      <c r="J65" s="362">
        <f t="shared" si="1"/>
      </c>
      <c r="K65" s="362">
        <f t="shared" si="0"/>
      </c>
      <c r="L65" s="363">
        <f t="shared" si="6"/>
      </c>
      <c r="M65" s="364">
        <f t="shared" si="4"/>
      </c>
      <c r="N65" s="359">
        <v>23</v>
      </c>
      <c r="O65" s="364">
        <f t="shared" si="2"/>
      </c>
      <c r="P65" s="358"/>
      <c r="Q65" s="358"/>
    </row>
    <row r="66">
      <c r="A66" s="374">
        <v>46246</v>
      </c>
      <c r="B66" s="368" t="s">
        <v>433</v>
      </c>
      <c r="C66" s="368"/>
      <c r="D66" s="368">
        <f>SUM(D62:D65)</f>
      </c>
      <c r="E66" s="368">
        <f>SUM(E62:E65)</f>
      </c>
      <c r="F66" s="368">
        <f>SUM(F62:F65)</f>
      </c>
      <c r="G66" s="368">
        <f>SUM(G62:G65)</f>
      </c>
      <c r="H66" s="368">
        <f>SUM(H62:H65)</f>
      </c>
      <c r="I66" s="368">
        <f>SUM(I62:I65)</f>
      </c>
      <c r="J66" s="369">
        <f t="shared" si="1"/>
      </c>
      <c r="K66" s="370">
        <f t="shared" si="0"/>
      </c>
      <c r="L66" s="370">
        <f t="shared" si="6"/>
      </c>
      <c r="M66" s="371">
        <f t="shared" si="4"/>
      </c>
      <c r="N66" s="368">
        <f>SUM(N62:N65)</f>
      </c>
      <c r="O66" s="371">
        <f t="shared" si="2"/>
      </c>
      <c r="P66" s="372"/>
      <c r="Q66" s="368">
        <f>SUM(Q62:Q64)</f>
      </c>
    </row>
    <row hidden="true" r="67">
      <c r="A67" s="373">
        <v>46247</v>
      </c>
      <c r="B67" s="358" t="s">
        <v>424</v>
      </c>
      <c r="C67" s="358" t="s">
        <v>422</v>
      </c>
      <c r="D67" s="358">
        <v>5</v>
      </c>
      <c r="E67" s="359">
        <v>19</v>
      </c>
      <c r="F67" s="360">
        <v>106</v>
      </c>
      <c r="G67" s="360">
        <v>69</v>
      </c>
      <c r="H67" s="361">
        <v>21582.9</v>
      </c>
      <c r="I67" s="361">
        <v>22453.93</v>
      </c>
      <c r="J67" s="362">
        <f t="shared" si="1"/>
      </c>
      <c r="K67" s="362">
        <f t="shared" si="0"/>
      </c>
      <c r="L67" s="363">
        <f t="shared" si="6"/>
      </c>
      <c r="M67" s="364">
        <f t="shared" si="4"/>
      </c>
      <c r="N67" s="359">
        <v>6</v>
      </c>
      <c r="O67" s="364">
        <f t="shared" si="2"/>
      </c>
      <c r="P67" s="360" t="s">
        <v>449</v>
      </c>
      <c r="Q67" s="360">
        <v>10</v>
      </c>
    </row>
    <row hidden="true" r="68">
      <c r="A68" s="373">
        <v>46247</v>
      </c>
      <c r="B68" s="358" t="s">
        <v>430</v>
      </c>
      <c r="C68" s="360" t="s">
        <v>425</v>
      </c>
      <c r="D68" s="360">
        <v>4</v>
      </c>
      <c r="E68" s="359">
        <v>8</v>
      </c>
      <c r="F68" s="360">
        <v>77</v>
      </c>
      <c r="G68" s="360">
        <v>55</v>
      </c>
      <c r="H68" s="361">
        <v>19921.9</v>
      </c>
      <c r="I68" s="361">
        <v>17191.14</v>
      </c>
      <c r="J68" s="362">
        <f t="shared" si="1"/>
      </c>
      <c r="K68" s="362">
        <f t="shared" si="0"/>
      </c>
      <c r="L68" s="363">
        <f t="shared" si="6"/>
      </c>
      <c r="M68" s="364">
        <f t="shared" si="4"/>
      </c>
      <c r="N68" s="359">
        <v>8</v>
      </c>
      <c r="O68" s="364">
        <f t="shared" si="2"/>
      </c>
      <c r="P68" s="360"/>
      <c r="Q68" s="360"/>
    </row>
    <row customHeight="true" hidden="true" ht="16.071428571428573" r="69">
      <c r="A69" s="373">
        <v>46247</v>
      </c>
      <c r="B69" s="358" t="s">
        <v>443</v>
      </c>
      <c r="C69" s="358" t="s">
        <v>427</v>
      </c>
      <c r="D69" s="360">
        <v>2</v>
      </c>
      <c r="E69" s="359">
        <v>5</v>
      </c>
      <c r="F69" s="360">
        <v>37</v>
      </c>
      <c r="G69" s="360">
        <v>22</v>
      </c>
      <c r="H69" s="361">
        <v>7216.199999999997</v>
      </c>
      <c r="I69" s="361">
        <v>9118.060000000005</v>
      </c>
      <c r="J69" s="362">
        <f t="shared" si="1"/>
      </c>
      <c r="K69" s="362">
        <f t="shared" si="0"/>
      </c>
      <c r="L69" s="363">
        <f t="shared" si="6"/>
      </c>
      <c r="M69" s="364">
        <f t="shared" si="4"/>
      </c>
      <c r="N69" s="359">
        <v>0</v>
      </c>
      <c r="O69" s="364">
        <f t="shared" si="2"/>
      </c>
      <c r="P69" s="360"/>
      <c r="Q69" s="360"/>
    </row>
    <row hidden="true" r="70">
      <c r="A70" s="373">
        <v>46247</v>
      </c>
      <c r="B70" s="358" t="s">
        <v>435</v>
      </c>
      <c r="C70" s="360" t="s">
        <v>429</v>
      </c>
      <c r="D70" s="360">
        <v>4</v>
      </c>
      <c r="E70" s="359">
        <v>14</v>
      </c>
      <c r="F70" s="360">
        <v>88</v>
      </c>
      <c r="G70" s="360">
        <v>60</v>
      </c>
      <c r="H70" s="361">
        <v>21558.199999999997</v>
      </c>
      <c r="I70" s="361">
        <v>17810.929999999993</v>
      </c>
      <c r="J70" s="362">
        <f t="shared" si="1"/>
      </c>
      <c r="K70" s="362">
        <f t="shared" si="0"/>
      </c>
      <c r="L70" s="363">
        <f t="shared" si="6"/>
      </c>
      <c r="M70" s="364">
        <f t="shared" si="4"/>
      </c>
      <c r="N70" s="359">
        <v>8</v>
      </c>
      <c r="O70" s="364">
        <f t="shared" si="2"/>
      </c>
      <c r="P70" s="360" t="s">
        <v>450</v>
      </c>
      <c r="Q70" s="360">
        <v>10</v>
      </c>
    </row>
    <row hidden="true" r="71">
      <c r="A71" s="373">
        <v>46247</v>
      </c>
      <c r="B71" s="358" t="s">
        <v>421</v>
      </c>
      <c r="C71" s="360" t="s">
        <v>431</v>
      </c>
      <c r="D71" s="360">
        <v>5</v>
      </c>
      <c r="E71" s="359">
        <v>12</v>
      </c>
      <c r="F71" s="360">
        <v>111</v>
      </c>
      <c r="G71" s="360">
        <v>71</v>
      </c>
      <c r="H71" s="366">
        <v>28337.199999999997</v>
      </c>
      <c r="I71" s="360">
        <f>0.06+23248.95</f>
      </c>
      <c r="J71" s="362">
        <f t="shared" si="1"/>
      </c>
      <c r="K71" s="362">
        <f t="shared" si="0"/>
      </c>
      <c r="L71" s="363">
        <f t="shared" si="6"/>
      </c>
      <c r="M71" s="364">
        <f t="shared" si="4"/>
      </c>
      <c r="N71" s="359">
        <v>13</v>
      </c>
      <c r="O71" s="364">
        <f t="shared" si="2"/>
      </c>
      <c r="P71" s="358"/>
      <c r="Q71" s="358"/>
    </row>
    <row r="72">
      <c r="A72" s="374">
        <v>46247</v>
      </c>
      <c r="B72" s="368" t="s">
        <v>433</v>
      </c>
      <c r="C72" s="368"/>
      <c r="D72" s="368">
        <f>SUM(D67:D71)</f>
      </c>
      <c r="E72" s="368">
        <f>SUM(E67:E71)</f>
      </c>
      <c r="F72" s="368">
        <f>SUM(F67:F71)</f>
      </c>
      <c r="G72" s="368">
        <f>SUM(G67:G71)</f>
      </c>
      <c r="H72" s="368">
        <f>SUM(H67:H71)</f>
      </c>
      <c r="I72" s="368">
        <f>SUM(I67:I71)</f>
      </c>
      <c r="J72" s="369">
        <f t="shared" si="1"/>
      </c>
      <c r="K72" s="370">
        <f t="shared" si="0"/>
      </c>
      <c r="L72" s="370">
        <f t="shared" si="6"/>
      </c>
      <c r="M72" s="371">
        <f t="shared" si="4"/>
      </c>
      <c r="N72" s="368">
        <f>SUM(N67:N71)</f>
      </c>
      <c r="O72" s="371">
        <f t="shared" si="2"/>
      </c>
      <c r="P72" s="372"/>
      <c r="Q72" s="368">
        <f>SUM(Q67:Q70)</f>
      </c>
    </row>
    <row hidden="true" r="73">
      <c r="A73" s="373">
        <v>46248</v>
      </c>
      <c r="B73" s="358" t="s">
        <v>430</v>
      </c>
      <c r="C73" s="358" t="s">
        <v>422</v>
      </c>
      <c r="D73" s="358">
        <v>5</v>
      </c>
      <c r="E73" s="359">
        <v>10</v>
      </c>
      <c r="F73" s="360">
        <v>92</v>
      </c>
      <c r="G73" s="360">
        <v>69</v>
      </c>
      <c r="H73" s="361">
        <v>26457.9</v>
      </c>
      <c r="I73" s="361">
        <v>20055.55</v>
      </c>
      <c r="J73" s="362">
        <f t="shared" si="1"/>
      </c>
      <c r="K73" s="362">
        <f t="shared" si="0"/>
      </c>
      <c r="L73" s="363">
        <f t="shared" si="6"/>
      </c>
      <c r="M73" s="364">
        <f t="shared" si="4"/>
      </c>
      <c r="N73" s="359">
        <v>17</v>
      </c>
      <c r="O73" s="364">
        <f t="shared" si="2"/>
      </c>
      <c r="P73" s="360" t="s">
        <v>449</v>
      </c>
      <c r="Q73" s="360">
        <v>10</v>
      </c>
    </row>
    <row hidden="true" r="74">
      <c r="A74" s="373">
        <v>46248</v>
      </c>
      <c r="B74" s="358" t="s">
        <v>424</v>
      </c>
      <c r="C74" s="360" t="s">
        <v>425</v>
      </c>
      <c r="D74" s="360">
        <v>4</v>
      </c>
      <c r="E74" s="359">
        <v>6</v>
      </c>
      <c r="F74" s="360">
        <v>54</v>
      </c>
      <c r="G74" s="360">
        <v>42</v>
      </c>
      <c r="H74" s="361">
        <v>13364.400000000001</v>
      </c>
      <c r="I74" s="361">
        <v>13208.680000000004</v>
      </c>
      <c r="J74" s="362">
        <f t="shared" si="1"/>
      </c>
      <c r="K74" s="362">
        <f t="shared" si="0"/>
      </c>
      <c r="L74" s="363">
        <f t="shared" si="6"/>
      </c>
      <c r="M74" s="364">
        <f t="shared" si="4"/>
      </c>
      <c r="N74" s="359">
        <v>5</v>
      </c>
      <c r="O74" s="364">
        <f t="shared" si="2"/>
      </c>
      <c r="P74" s="360"/>
      <c r="Q74" s="360"/>
    </row>
    <row hidden="true" r="75">
      <c r="A75" s="373">
        <v>46248</v>
      </c>
      <c r="B75" s="360" t="s">
        <v>451</v>
      </c>
      <c r="C75" s="358" t="s">
        <v>427</v>
      </c>
      <c r="D75" s="360">
        <v>2</v>
      </c>
      <c r="E75" s="359">
        <v>8</v>
      </c>
      <c r="F75" s="360">
        <v>52</v>
      </c>
      <c r="G75" s="360">
        <v>36</v>
      </c>
      <c r="H75" s="361">
        <v>9617.599999999999</v>
      </c>
      <c r="I75" s="361">
        <v>10797.620000000003</v>
      </c>
      <c r="J75" s="362">
        <f t="shared" si="1"/>
      </c>
      <c r="K75" s="362">
        <f t="shared" si="0"/>
      </c>
      <c r="L75" s="363">
        <f t="shared" si="6"/>
      </c>
      <c r="M75" s="364">
        <f t="shared" si="4"/>
      </c>
      <c r="N75" s="359">
        <v>4</v>
      </c>
      <c r="O75" s="364">
        <f t="shared" si="2"/>
      </c>
      <c r="P75" s="360"/>
      <c r="Q75" s="360"/>
    </row>
    <row hidden="true" r="76">
      <c r="A76" s="373">
        <v>46248</v>
      </c>
      <c r="B76" s="358" t="s">
        <v>435</v>
      </c>
      <c r="C76" s="360" t="s">
        <v>429</v>
      </c>
      <c r="D76" s="360">
        <v>4</v>
      </c>
      <c r="E76" s="359">
        <v>16</v>
      </c>
      <c r="F76" s="360">
        <v>159</v>
      </c>
      <c r="G76" s="360">
        <v>107</v>
      </c>
      <c r="H76" s="361">
        <v>36263.1</v>
      </c>
      <c r="I76" s="361">
        <v>32240.539999999994</v>
      </c>
      <c r="J76" s="362">
        <f t="shared" si="1"/>
      </c>
      <c r="K76" s="362">
        <f t="shared" si="0"/>
      </c>
      <c r="L76" s="363">
        <f t="shared" si="6"/>
      </c>
      <c r="M76" s="364">
        <f t="shared" si="4"/>
      </c>
      <c r="N76" s="359">
        <v>12</v>
      </c>
      <c r="O76" s="364">
        <f t="shared" si="2"/>
      </c>
      <c r="P76" s="360" t="s">
        <v>450</v>
      </c>
      <c r="Q76" s="360">
        <v>10</v>
      </c>
    </row>
    <row hidden="true" r="77">
      <c r="A77" s="373">
        <v>46248</v>
      </c>
      <c r="B77" s="358" t="s">
        <v>421</v>
      </c>
      <c r="C77" s="360" t="s">
        <v>431</v>
      </c>
      <c r="D77" s="360">
        <v>5</v>
      </c>
      <c r="E77" s="359">
        <v>16</v>
      </c>
      <c r="F77" s="360">
        <v>185</v>
      </c>
      <c r="G77" s="360">
        <v>122</v>
      </c>
      <c r="H77" s="366">
        <v>44020.899999999994</v>
      </c>
      <c r="I77" s="366">
        <v>45412.12</v>
      </c>
      <c r="J77" s="362">
        <f t="shared" si="1"/>
      </c>
      <c r="K77" s="362">
        <f t="shared" si="0"/>
      </c>
      <c r="L77" s="363">
        <f t="shared" si="6"/>
      </c>
      <c r="M77" s="364">
        <f t="shared" si="4"/>
      </c>
      <c r="N77" s="359">
        <v>27</v>
      </c>
      <c r="O77" s="364">
        <f t="shared" si="2"/>
      </c>
      <c r="P77" s="358"/>
      <c r="Q77" s="358"/>
    </row>
    <row r="78">
      <c r="A78" s="374">
        <v>46248</v>
      </c>
      <c r="B78" s="368" t="s">
        <v>433</v>
      </c>
      <c r="C78" s="368"/>
      <c r="D78" s="368">
        <f>SUM(D73:D77)</f>
      </c>
      <c r="E78" s="368">
        <f>SUM(E73:E77)</f>
      </c>
      <c r="F78" s="368">
        <f>SUM(F73:F77)</f>
      </c>
      <c r="G78" s="368">
        <f>SUM(G73:G77)</f>
      </c>
      <c r="H78" s="368">
        <f>SUM(H73:H77)</f>
      </c>
      <c r="I78" s="368">
        <f>SUM(I73:I77)</f>
      </c>
      <c r="J78" s="369">
        <f t="shared" si="1"/>
      </c>
      <c r="K78" s="370">
        <f t="shared" si="0"/>
      </c>
      <c r="L78" s="370">
        <f t="shared" si="6"/>
      </c>
      <c r="M78" s="371">
        <f t="shared" si="4"/>
      </c>
      <c r="N78" s="368">
        <f>SUM(N73:N77)</f>
      </c>
      <c r="O78" s="371">
        <f t="shared" si="2"/>
      </c>
      <c r="P78" s="372"/>
      <c r="Q78" s="368">
        <f>SUM(Q73:Q76)</f>
      </c>
    </row>
    <row hidden="true" r="79">
      <c r="A79" s="373">
        <v>46249</v>
      </c>
      <c r="B79" s="358" t="s">
        <v>430</v>
      </c>
      <c r="C79" s="360" t="s">
        <v>441</v>
      </c>
      <c r="D79" s="360">
        <v>4</v>
      </c>
      <c r="E79" s="359">
        <v>3</v>
      </c>
      <c r="F79" s="360">
        <v>66</v>
      </c>
      <c r="G79" s="360">
        <v>31</v>
      </c>
      <c r="H79" s="361">
        <v>8133.6</v>
      </c>
      <c r="I79" s="361">
        <v>21456.82</v>
      </c>
      <c r="J79" s="362">
        <f t="shared" si="1"/>
      </c>
      <c r="K79" s="362">
        <f t="shared" si="0"/>
      </c>
      <c r="L79" s="363">
        <f t="shared" si="6"/>
      </c>
      <c r="M79" s="364">
        <f t="shared" si="4"/>
      </c>
      <c r="N79" s="359">
        <v>1</v>
      </c>
      <c r="O79" s="364">
        <f t="shared" si="2"/>
      </c>
      <c r="P79" s="360" t="s">
        <v>449</v>
      </c>
      <c r="Q79" s="360">
        <v>10</v>
      </c>
    </row>
    <row hidden="true" r="80">
      <c r="A80" s="373">
        <v>46249</v>
      </c>
      <c r="B80" s="358" t="s">
        <v>424</v>
      </c>
      <c r="C80" s="360" t="s">
        <v>452</v>
      </c>
      <c r="D80" s="360">
        <v>5</v>
      </c>
      <c r="E80" s="359">
        <v>9</v>
      </c>
      <c r="F80" s="360">
        <v>130</v>
      </c>
      <c r="G80" s="360">
        <v>96</v>
      </c>
      <c r="H80" s="361">
        <v>33326.4</v>
      </c>
      <c r="I80" s="361">
        <v>24741.879999999997</v>
      </c>
      <c r="J80" s="362">
        <f t="shared" si="1"/>
      </c>
      <c r="K80" s="362">
        <f t="shared" si="0"/>
      </c>
      <c r="L80" s="363">
        <f t="shared" si="6"/>
      </c>
      <c r="M80" s="364">
        <f t="shared" si="4"/>
      </c>
      <c r="N80" s="359">
        <v>10</v>
      </c>
      <c r="O80" s="364">
        <f t="shared" si="2"/>
      </c>
      <c r="P80" s="360"/>
      <c r="Q80" s="360"/>
    </row>
    <row hidden="true" r="81">
      <c r="A81" s="373">
        <v>46249</v>
      </c>
      <c r="B81" s="358" t="s">
        <v>443</v>
      </c>
      <c r="C81" s="358" t="s">
        <v>427</v>
      </c>
      <c r="D81" s="360">
        <v>2</v>
      </c>
      <c r="E81" s="359">
        <v>2</v>
      </c>
      <c r="F81" s="360">
        <v>88</v>
      </c>
      <c r="G81" s="360">
        <v>61</v>
      </c>
      <c r="H81" s="361">
        <v>18790</v>
      </c>
      <c r="I81" s="361">
        <v>20377.36</v>
      </c>
      <c r="J81" s="362">
        <f t="shared" si="1"/>
      </c>
      <c r="K81" s="362">
        <f t="shared" si="0"/>
      </c>
      <c r="L81" s="363">
        <f t="shared" si="6"/>
      </c>
      <c r="M81" s="364">
        <f t="shared" si="4"/>
      </c>
      <c r="N81" s="359">
        <v>15</v>
      </c>
      <c r="O81" s="364">
        <f t="shared" si="2"/>
      </c>
      <c r="P81" s="360"/>
      <c r="Q81" s="360"/>
    </row>
    <row hidden="true" r="82">
      <c r="A82" s="373">
        <v>46249</v>
      </c>
      <c r="B82" s="358" t="s">
        <v>435</v>
      </c>
      <c r="C82" s="360" t="s">
        <v>429</v>
      </c>
      <c r="D82" s="360">
        <v>4</v>
      </c>
      <c r="E82" s="359">
        <v>26</v>
      </c>
      <c r="F82" s="360">
        <v>176</v>
      </c>
      <c r="G82" s="360">
        <v>110</v>
      </c>
      <c r="H82" s="361">
        <v>40902.7</v>
      </c>
      <c r="I82" s="361">
        <v>39202.81</v>
      </c>
      <c r="J82" s="362">
        <f t="shared" si="1"/>
      </c>
      <c r="K82" s="362">
        <f t="shared" si="0"/>
      </c>
      <c r="L82" s="363">
        <f t="shared" si="6"/>
      </c>
      <c r="M82" s="364">
        <f t="shared" si="4"/>
      </c>
      <c r="N82" s="359">
        <v>5</v>
      </c>
      <c r="O82" s="364">
        <f t="shared" si="2"/>
      </c>
      <c r="P82" s="360" t="s">
        <v>450</v>
      </c>
      <c r="Q82" s="360">
        <v>10</v>
      </c>
    </row>
    <row hidden="true" r="83">
      <c r="A83" s="373">
        <v>46249</v>
      </c>
      <c r="B83" s="358" t="s">
        <v>421</v>
      </c>
      <c r="C83" s="360" t="s">
        <v>431</v>
      </c>
      <c r="D83" s="360">
        <v>5</v>
      </c>
      <c r="E83" s="359">
        <v>23</v>
      </c>
      <c r="F83" s="360">
        <v>180</v>
      </c>
      <c r="G83" s="360">
        <v>136</v>
      </c>
      <c r="H83" s="366">
        <v>53113.8</v>
      </c>
      <c r="I83" s="366">
        <v>38550.21</v>
      </c>
      <c r="J83" s="362">
        <f t="shared" si="1"/>
      </c>
      <c r="K83" s="362">
        <f t="shared" si="0"/>
      </c>
      <c r="L83" s="363">
        <f t="shared" si="6"/>
      </c>
      <c r="M83" s="364">
        <f t="shared" si="4"/>
      </c>
      <c r="N83" s="359">
        <v>35</v>
      </c>
      <c r="O83" s="364">
        <f t="shared" si="2"/>
      </c>
      <c r="P83" s="358"/>
      <c r="Q83" s="358"/>
    </row>
    <row r="84">
      <c r="A84" s="374">
        <v>46249</v>
      </c>
      <c r="B84" s="368" t="s">
        <v>433</v>
      </c>
      <c r="C84" s="368"/>
      <c r="D84" s="368">
        <f>SUM(D79:D83)</f>
      </c>
      <c r="E84" s="368">
        <f>SUM(E79:E83)</f>
      </c>
      <c r="F84" s="368">
        <f>SUM(F79:F83)</f>
      </c>
      <c r="G84" s="368">
        <f>SUM(G79:G83)</f>
      </c>
      <c r="H84" s="368">
        <f>SUM(H79:H83)</f>
      </c>
      <c r="I84" s="368">
        <f>SUM(I79:I83)</f>
      </c>
      <c r="J84" s="369">
        <f t="shared" si="1"/>
      </c>
      <c r="K84" s="370">
        <f t="shared" si="0"/>
      </c>
      <c r="L84" s="370">
        <f t="shared" si="6"/>
      </c>
      <c r="M84" s="371">
        <f t="shared" si="4"/>
      </c>
      <c r="N84" s="368">
        <f>SUM(N79:N83)</f>
      </c>
      <c r="O84" s="371">
        <f t="shared" si="2"/>
      </c>
      <c r="P84" s="372"/>
      <c r="Q84" s="368">
        <f>SUM(Q79:Q82)</f>
      </c>
    </row>
    <row hidden="true" r="85">
      <c r="A85" s="373">
        <v>46250</v>
      </c>
      <c r="B85" s="358" t="s">
        <v>424</v>
      </c>
      <c r="C85" s="360" t="s">
        <v>422</v>
      </c>
      <c r="D85" s="360">
        <v>5</v>
      </c>
      <c r="E85" s="359">
        <v>24</v>
      </c>
      <c r="F85" s="360">
        <v>189</v>
      </c>
      <c r="G85" s="360">
        <v>120</v>
      </c>
      <c r="H85" s="361">
        <v>39658.6</v>
      </c>
      <c r="I85" s="361">
        <v>38887.44</v>
      </c>
      <c r="J85" s="362">
        <f t="shared" si="1"/>
      </c>
      <c r="K85" s="362">
        <f t="shared" si="0"/>
      </c>
      <c r="L85" s="363">
        <f t="shared" si="6"/>
      </c>
      <c r="M85" s="364">
        <f t="shared" si="4"/>
      </c>
      <c r="N85" s="359">
        <v>14</v>
      </c>
      <c r="O85" s="364">
        <f t="shared" si="2"/>
      </c>
      <c r="P85" s="360" t="s">
        <v>449</v>
      </c>
      <c r="Q85" s="360">
        <v>10</v>
      </c>
    </row>
    <row hidden="true" r="86">
      <c r="A86" s="373">
        <v>46250</v>
      </c>
      <c r="B86" s="358" t="s">
        <v>435</v>
      </c>
      <c r="C86" s="360" t="s">
        <v>425</v>
      </c>
      <c r="D86" s="360">
        <v>4</v>
      </c>
      <c r="E86" s="359">
        <v>37</v>
      </c>
      <c r="F86" s="360">
        <v>273</v>
      </c>
      <c r="G86" s="360">
        <v>195</v>
      </c>
      <c r="H86" s="361">
        <v>66925.1</v>
      </c>
      <c r="I86" s="361">
        <v>57195.59</v>
      </c>
      <c r="J86" s="362">
        <f t="shared" si="1"/>
      </c>
      <c r="K86" s="362">
        <f t="shared" si="0"/>
      </c>
      <c r="L86" s="363">
        <f t="shared" si="6"/>
      </c>
      <c r="M86" s="364">
        <f t="shared" si="4"/>
      </c>
      <c r="N86" s="359">
        <v>27</v>
      </c>
      <c r="O86" s="364">
        <f t="shared" si="2"/>
      </c>
      <c r="P86" s="360"/>
      <c r="Q86" s="360"/>
    </row>
    <row hidden="true" r="87">
      <c r="A87" s="373">
        <v>46250</v>
      </c>
      <c r="B87" s="360" t="s">
        <v>451</v>
      </c>
      <c r="C87" s="358" t="s">
        <v>427</v>
      </c>
      <c r="D87" s="360">
        <v>2</v>
      </c>
      <c r="E87" s="359">
        <v>9</v>
      </c>
      <c r="F87" s="360">
        <v>122</v>
      </c>
      <c r="G87" s="360">
        <v>89</v>
      </c>
      <c r="H87" s="361">
        <v>31346.29999999999</v>
      </c>
      <c r="I87" s="361">
        <v>30792.550000000003</v>
      </c>
      <c r="J87" s="362">
        <f t="shared" si="1"/>
      </c>
      <c r="K87" s="362">
        <f t="shared" si="0"/>
      </c>
      <c r="L87" s="363">
        <f t="shared" si="6"/>
      </c>
      <c r="M87" s="364">
        <f t="shared" si="4"/>
      </c>
      <c r="N87" s="359">
        <v>13</v>
      </c>
      <c r="O87" s="364">
        <f t="shared" si="2"/>
      </c>
      <c r="P87" s="360"/>
      <c r="Q87" s="360"/>
    </row>
    <row hidden="true" r="88">
      <c r="A88" s="373">
        <v>46250</v>
      </c>
      <c r="B88" s="360" t="s">
        <v>430</v>
      </c>
      <c r="C88" s="360" t="s">
        <v>429</v>
      </c>
      <c r="D88" s="360">
        <v>4</v>
      </c>
      <c r="E88" s="359">
        <v>15</v>
      </c>
      <c r="F88" s="360">
        <v>179</v>
      </c>
      <c r="G88" s="360">
        <v>124</v>
      </c>
      <c r="H88" s="361">
        <v>42661.70000000001</v>
      </c>
      <c r="I88" s="361">
        <v>47007.13000000002</v>
      </c>
      <c r="J88" s="362">
        <f t="shared" si="1"/>
      </c>
      <c r="K88" s="362">
        <f t="shared" si="0"/>
      </c>
      <c r="L88" s="363">
        <f t="shared" si="6"/>
      </c>
      <c r="M88" s="364">
        <f t="shared" si="4"/>
      </c>
      <c r="N88" s="359">
        <v>21</v>
      </c>
      <c r="O88" s="364">
        <f t="shared" si="2"/>
      </c>
      <c r="P88" s="360" t="s">
        <v>450</v>
      </c>
      <c r="Q88" s="360">
        <v>10</v>
      </c>
    </row>
    <row hidden="true" r="89">
      <c r="A89" s="373">
        <v>46250</v>
      </c>
      <c r="B89" s="358" t="s">
        <v>421</v>
      </c>
      <c r="C89" s="360" t="s">
        <v>431</v>
      </c>
      <c r="D89" s="360">
        <v>5</v>
      </c>
      <c r="E89" s="359">
        <v>15</v>
      </c>
      <c r="F89" s="360">
        <v>241</v>
      </c>
      <c r="G89" s="360">
        <v>176</v>
      </c>
      <c r="H89" s="366">
        <v>59240.79999999999</v>
      </c>
      <c r="I89" s="366">
        <v>56265.95</v>
      </c>
      <c r="J89" s="362">
        <f t="shared" si="1"/>
      </c>
      <c r="K89" s="362">
        <f t="shared" si="0"/>
      </c>
      <c r="L89" s="363">
        <f t="shared" si="6"/>
      </c>
      <c r="M89" s="364">
        <f t="shared" si="4"/>
      </c>
      <c r="N89" s="359">
        <v>30</v>
      </c>
      <c r="O89" s="364">
        <f t="shared" si="2"/>
      </c>
      <c r="P89" s="358"/>
      <c r="Q89" s="358"/>
    </row>
    <row r="90">
      <c r="A90" s="374">
        <v>46250</v>
      </c>
      <c r="B90" s="368" t="s">
        <v>433</v>
      </c>
      <c r="C90" s="368"/>
      <c r="D90" s="368">
        <f>SUM(D85:D89)</f>
      </c>
      <c r="E90" s="368">
        <f>SUM(E85:E89)</f>
      </c>
      <c r="F90" s="368">
        <f>SUM(F85:F89)</f>
      </c>
      <c r="G90" s="368">
        <f>SUM(G85:G89)</f>
      </c>
      <c r="H90" s="368">
        <f>SUM(H85:H89)</f>
      </c>
      <c r="I90" s="368">
        <f>SUM(I85:I89)</f>
      </c>
      <c r="J90" s="369">
        <f t="shared" si="1"/>
      </c>
      <c r="K90" s="370">
        <f t="shared" si="0"/>
      </c>
      <c r="L90" s="370">
        <f t="shared" si="6"/>
      </c>
      <c r="M90" s="371">
        <f t="shared" si="4"/>
      </c>
      <c r="N90" s="368">
        <f>SUM(N85:N89)</f>
      </c>
      <c r="O90" s="371">
        <f t="shared" si="2"/>
      </c>
      <c r="P90" s="372"/>
      <c r="Q90" s="368">
        <f>SUM(Q85:Q88)</f>
      </c>
    </row>
    <row hidden="true" r="91">
      <c r="A91" s="373">
        <v>46251</v>
      </c>
      <c r="B91" s="360" t="s">
        <v>430</v>
      </c>
      <c r="C91" s="360" t="s">
        <v>422</v>
      </c>
      <c r="D91" s="360">
        <v>5</v>
      </c>
      <c r="E91" s="359">
        <v>43</v>
      </c>
      <c r="F91" s="360">
        <v>235</v>
      </c>
      <c r="G91" s="360">
        <v>168</v>
      </c>
      <c r="H91" s="361">
        <v>52144.6</v>
      </c>
      <c r="I91" s="361">
        <v>52120.47</v>
      </c>
      <c r="J91" s="362">
        <f t="shared" si="1"/>
      </c>
      <c r="K91" s="362">
        <f t="shared" si="0"/>
      </c>
      <c r="L91" s="363">
        <f t="shared" si="6"/>
      </c>
      <c r="M91" s="364">
        <f t="shared" si="4"/>
      </c>
      <c r="N91" s="359">
        <v>40</v>
      </c>
      <c r="O91" s="364">
        <f t="shared" si="2"/>
      </c>
      <c r="P91" s="360" t="s">
        <v>449</v>
      </c>
      <c r="Q91" s="360">
        <v>10</v>
      </c>
    </row>
    <row hidden="true" r="92">
      <c r="A92" s="373">
        <v>46251</v>
      </c>
      <c r="B92" s="360" t="s">
        <v>424</v>
      </c>
      <c r="C92" s="360" t="s">
        <v>425</v>
      </c>
      <c r="D92" s="360">
        <v>4</v>
      </c>
      <c r="E92" s="359">
        <v>20</v>
      </c>
      <c r="F92" s="360">
        <v>199</v>
      </c>
      <c r="G92" s="360">
        <v>138</v>
      </c>
      <c r="H92" s="361">
        <v>47325.4</v>
      </c>
      <c r="I92" s="361">
        <v>35374.36</v>
      </c>
      <c r="J92" s="362">
        <f t="shared" si="1"/>
      </c>
      <c r="K92" s="362">
        <f t="shared" si="0"/>
      </c>
      <c r="L92" s="363">
        <f t="shared" si="6"/>
      </c>
      <c r="M92" s="364">
        <f t="shared" si="4"/>
      </c>
      <c r="N92" s="359">
        <v>29</v>
      </c>
      <c r="O92" s="364">
        <f t="shared" si="2"/>
      </c>
      <c r="P92" s="360"/>
      <c r="Q92" s="360"/>
    </row>
    <row hidden="true" r="93">
      <c r="A93" s="373">
        <v>46251</v>
      </c>
      <c r="B93" s="360" t="s">
        <v>451</v>
      </c>
      <c r="C93" s="358" t="s">
        <v>427</v>
      </c>
      <c r="D93" s="360">
        <v>2</v>
      </c>
      <c r="E93" s="359">
        <v>10</v>
      </c>
      <c r="F93" s="360">
        <v>66</v>
      </c>
      <c r="G93" s="360">
        <v>39</v>
      </c>
      <c r="H93" s="361">
        <v>12531.300000000003</v>
      </c>
      <c r="I93" s="361">
        <v>15268.289999999994</v>
      </c>
      <c r="J93" s="362">
        <f t="shared" si="1"/>
      </c>
      <c r="K93" s="362">
        <f t="shared" si="0"/>
      </c>
      <c r="L93" s="363">
        <f t="shared" si="6"/>
      </c>
      <c r="M93" s="364">
        <f t="shared" si="4"/>
      </c>
      <c r="N93" s="359">
        <v>5</v>
      </c>
      <c r="O93" s="364">
        <f t="shared" si="2"/>
      </c>
      <c r="P93" s="360"/>
      <c r="Q93" s="360"/>
    </row>
    <row hidden="true" r="94">
      <c r="A94" s="373">
        <v>46251</v>
      </c>
      <c r="B94" s="360" t="s">
        <v>435</v>
      </c>
      <c r="C94" s="360" t="s">
        <v>429</v>
      </c>
      <c r="D94" s="360">
        <v>4</v>
      </c>
      <c r="E94" s="359">
        <v>11</v>
      </c>
      <c r="F94" s="360">
        <v>161</v>
      </c>
      <c r="G94" s="360">
        <v>111</v>
      </c>
      <c r="H94" s="361">
        <v>38023.90000000001</v>
      </c>
      <c r="I94" s="361">
        <v>34390.45999999999</v>
      </c>
      <c r="J94" s="362">
        <f t="shared" si="1"/>
      </c>
      <c r="K94" s="362">
        <f t="shared" si="0"/>
      </c>
      <c r="L94" s="363">
        <f t="shared" si="6"/>
      </c>
      <c r="M94" s="364">
        <f t="shared" si="4"/>
      </c>
      <c r="N94" s="359">
        <v>19</v>
      </c>
      <c r="O94" s="364">
        <f t="shared" si="2"/>
      </c>
      <c r="P94" s="360" t="s">
        <v>450</v>
      </c>
      <c r="Q94" s="360">
        <v>10</v>
      </c>
    </row>
    <row hidden="true" r="95">
      <c r="A95" s="373">
        <v>46251</v>
      </c>
      <c r="B95" s="358" t="s">
        <v>421</v>
      </c>
      <c r="C95" s="360" t="s">
        <v>431</v>
      </c>
      <c r="D95" s="360">
        <v>5</v>
      </c>
      <c r="E95" s="359">
        <v>30</v>
      </c>
      <c r="F95" s="360">
        <v>223</v>
      </c>
      <c r="G95" s="360">
        <v>160</v>
      </c>
      <c r="H95" s="366">
        <v>54559.29999999999</v>
      </c>
      <c r="I95" s="366">
        <v>54720.48</v>
      </c>
      <c r="J95" s="362">
        <f t="shared" si="1"/>
      </c>
      <c r="K95" s="362">
        <f t="shared" si="0"/>
      </c>
      <c r="L95" s="363">
        <f t="shared" si="6"/>
      </c>
      <c r="M95" s="364">
        <f t="shared" si="4"/>
      </c>
      <c r="N95" s="359">
        <v>26</v>
      </c>
      <c r="O95" s="364">
        <f t="shared" si="2"/>
      </c>
      <c r="P95" s="358"/>
      <c r="Q95" s="358"/>
    </row>
    <row r="96">
      <c r="A96" s="374">
        <v>46251</v>
      </c>
      <c r="B96" s="368" t="s">
        <v>433</v>
      </c>
      <c r="C96" s="368"/>
      <c r="D96" s="368">
        <f>SUM(D91:D95)</f>
      </c>
      <c r="E96" s="368">
        <f>SUM(E91:E95)</f>
      </c>
      <c r="F96" s="368">
        <f>SUM(F91:F95)</f>
      </c>
      <c r="G96" s="368">
        <f>SUM(G91:G95)</f>
      </c>
      <c r="H96" s="368">
        <f>SUM(H91:H95)</f>
      </c>
      <c r="I96" s="368">
        <f>SUM(I91:I95)</f>
      </c>
      <c r="J96" s="369">
        <f t="shared" si="1"/>
      </c>
      <c r="K96" s="370">
        <f t="shared" si="0"/>
      </c>
      <c r="L96" s="370">
        <f t="shared" si="6"/>
      </c>
      <c r="M96" s="371">
        <f t="shared" si="4"/>
      </c>
      <c r="N96" s="368">
        <f>SUM(N91:N95)</f>
      </c>
      <c r="O96" s="371">
        <f t="shared" si="2"/>
      </c>
      <c r="P96" s="372"/>
      <c r="Q96" s="368">
        <f>SUM(Q91:Q94)</f>
      </c>
    </row>
    <row hidden="true" r="97">
      <c r="A97" s="373">
        <v>46252</v>
      </c>
      <c r="B97" s="360" t="s">
        <v>424</v>
      </c>
      <c r="C97" s="360" t="s">
        <v>441</v>
      </c>
      <c r="D97" s="360">
        <v>4</v>
      </c>
      <c r="E97" s="359">
        <v>23</v>
      </c>
      <c r="F97" s="360">
        <v>167</v>
      </c>
      <c r="G97" s="360">
        <v>109</v>
      </c>
      <c r="H97" s="361">
        <v>36925.7</v>
      </c>
      <c r="I97" s="361">
        <v>37605.91</v>
      </c>
      <c r="J97" s="362">
        <f t="shared" si="1"/>
      </c>
      <c r="K97" s="362">
        <f t="shared" si="0"/>
      </c>
      <c r="L97" s="363">
        <f t="shared" si="6"/>
      </c>
      <c r="M97" s="364">
        <f t="shared" si="4"/>
      </c>
      <c r="N97" s="359">
        <v>15</v>
      </c>
      <c r="O97" s="364">
        <f t="shared" si="2"/>
      </c>
      <c r="P97" s="360" t="s">
        <v>449</v>
      </c>
      <c r="Q97" s="360">
        <v>10</v>
      </c>
    </row>
    <row hidden="true" r="98">
      <c r="A98" s="373">
        <v>46252</v>
      </c>
      <c r="B98" s="360" t="s">
        <v>435</v>
      </c>
      <c r="C98" s="360" t="s">
        <v>452</v>
      </c>
      <c r="D98" s="360">
        <v>5</v>
      </c>
      <c r="E98" s="359">
        <v>18</v>
      </c>
      <c r="F98" s="360">
        <v>199</v>
      </c>
      <c r="G98" s="360">
        <v>151</v>
      </c>
      <c r="H98" s="361">
        <v>60688.40000000001</v>
      </c>
      <c r="I98" s="361">
        <v>42605.95</v>
      </c>
      <c r="J98" s="362">
        <f t="shared" si="1"/>
      </c>
      <c r="K98" s="362">
        <f t="shared" si="0"/>
      </c>
      <c r="L98" s="363">
        <f t="shared" si="6"/>
      </c>
      <c r="M98" s="364">
        <f t="shared" si="4"/>
      </c>
      <c r="N98" s="359">
        <v>21</v>
      </c>
      <c r="O98" s="364">
        <f t="shared" si="2"/>
      </c>
      <c r="P98" s="360"/>
      <c r="Q98" s="360"/>
    </row>
    <row hidden="true" r="99">
      <c r="A99" s="373">
        <v>46252</v>
      </c>
      <c r="B99" s="360" t="s">
        <v>453</v>
      </c>
      <c r="C99" s="358" t="s">
        <v>427</v>
      </c>
      <c r="D99" s="360">
        <v>2</v>
      </c>
      <c r="E99" s="359">
        <v>8</v>
      </c>
      <c r="F99" s="360">
        <v>69</v>
      </c>
      <c r="G99" s="360">
        <v>40</v>
      </c>
      <c r="H99" s="361">
        <v>12929.899999999994</v>
      </c>
      <c r="I99" s="361">
        <v>15033.600000000006</v>
      </c>
      <c r="J99" s="362">
        <f t="shared" si="1"/>
      </c>
      <c r="K99" s="362">
        <f t="shared" si="0"/>
      </c>
      <c r="L99" s="363">
        <f t="shared" si="6"/>
      </c>
      <c r="M99" s="364">
        <f t="shared" si="4"/>
      </c>
      <c r="N99" s="359">
        <v>13</v>
      </c>
      <c r="O99" s="364">
        <f t="shared" si="2"/>
      </c>
      <c r="P99" s="360"/>
      <c r="Q99" s="360"/>
    </row>
    <row hidden="true" r="100">
      <c r="A100" s="373">
        <v>46252</v>
      </c>
      <c r="B100" s="358" t="s">
        <v>421</v>
      </c>
      <c r="C100" s="360" t="s">
        <v>454</v>
      </c>
      <c r="D100" s="360">
        <v>5</v>
      </c>
      <c r="E100" s="359">
        <v>12</v>
      </c>
      <c r="F100" s="360">
        <v>162</v>
      </c>
      <c r="G100" s="360">
        <v>107</v>
      </c>
      <c r="H100" s="361">
        <v>38135.100000000006</v>
      </c>
      <c r="I100" s="361">
        <v>41991.13000000002</v>
      </c>
      <c r="J100" s="362">
        <f t="shared" si="1"/>
      </c>
      <c r="K100" s="362">
        <f t="shared" si="0"/>
      </c>
      <c r="L100" s="363">
        <f t="shared" si="6"/>
      </c>
      <c r="M100" s="364">
        <f t="shared" si="4"/>
      </c>
      <c r="N100" s="359">
        <v>9</v>
      </c>
      <c r="O100" s="364">
        <f t="shared" si="2"/>
      </c>
      <c r="P100" s="360" t="s">
        <v>450</v>
      </c>
      <c r="Q100" s="360">
        <v>10</v>
      </c>
    </row>
    <row hidden="true" r="101">
      <c r="A101" s="373">
        <v>46252</v>
      </c>
      <c r="B101" s="360" t="s">
        <v>430</v>
      </c>
      <c r="C101" s="360" t="s">
        <v>455</v>
      </c>
      <c r="D101" s="360">
        <v>4</v>
      </c>
      <c r="E101" s="359">
        <v>10</v>
      </c>
      <c r="F101" s="360">
        <v>118</v>
      </c>
      <c r="G101" s="360">
        <v>87</v>
      </c>
      <c r="H101" s="366">
        <v>34348.29999999999</v>
      </c>
      <c r="I101" s="366">
        <v>21522.26</v>
      </c>
      <c r="J101" s="362">
        <f t="shared" si="1"/>
      </c>
      <c r="K101" s="362">
        <f t="shared" si="0"/>
      </c>
      <c r="L101" s="363">
        <f t="shared" si="6"/>
      </c>
      <c r="M101" s="364">
        <f t="shared" si="4"/>
      </c>
      <c r="N101" s="359">
        <v>21</v>
      </c>
      <c r="O101" s="364">
        <f t="shared" si="2"/>
      </c>
      <c r="P101" s="358"/>
      <c r="Q101" s="358"/>
    </row>
    <row r="102">
      <c r="A102" s="374">
        <v>46252</v>
      </c>
      <c r="B102" s="368" t="s">
        <v>433</v>
      </c>
      <c r="C102" s="368"/>
      <c r="D102" s="368">
        <f>SUM(D97:D101)</f>
      </c>
      <c r="E102" s="368">
        <f>SUM(E97:E101)</f>
      </c>
      <c r="F102" s="368">
        <f>SUM(F97:F101)</f>
      </c>
      <c r="G102" s="368">
        <f>SUM(G97:G101)</f>
      </c>
      <c r="H102" s="368">
        <f>SUM(H97:H101)</f>
      </c>
      <c r="I102" s="368">
        <f>SUM(I97:I101)</f>
      </c>
      <c r="J102" s="369">
        <f t="shared" si="1"/>
      </c>
      <c r="K102" s="370">
        <f t="shared" si="0"/>
      </c>
      <c r="L102" s="370">
        <f t="shared" si="6"/>
      </c>
      <c r="M102" s="371">
        <f t="shared" si="4"/>
      </c>
      <c r="N102" s="368">
        <f>SUM(N97:N101)</f>
      </c>
      <c r="O102" s="371">
        <f t="shared" si="2"/>
      </c>
      <c r="P102" s="372"/>
      <c r="Q102" s="368">
        <f>SUM(Q97:Q100)</f>
      </c>
    </row>
    <row hidden="true" r="103">
      <c r="A103" s="373">
        <v>46253</v>
      </c>
      <c r="B103" s="360" t="s">
        <v>424</v>
      </c>
      <c r="C103" s="360" t="s">
        <v>441</v>
      </c>
      <c r="D103" s="360">
        <v>4</v>
      </c>
      <c r="E103" s="359">
        <v>17</v>
      </c>
      <c r="F103" s="360">
        <v>145</v>
      </c>
      <c r="G103" s="360">
        <v>100</v>
      </c>
      <c r="H103" s="361">
        <v>32634.9</v>
      </c>
      <c r="I103" s="361">
        <v>29494.65</v>
      </c>
      <c r="J103" s="362">
        <f t="shared" si="1"/>
      </c>
      <c r="K103" s="362">
        <f t="shared" si="0"/>
      </c>
      <c r="L103" s="363">
        <f t="shared" si="6"/>
      </c>
      <c r="M103" s="364">
        <f t="shared" si="4"/>
      </c>
      <c r="N103" s="359">
        <v>22</v>
      </c>
      <c r="O103" s="364">
        <f t="shared" si="2"/>
      </c>
      <c r="P103" s="360" t="s">
        <v>449</v>
      </c>
      <c r="Q103" s="360">
        <v>10</v>
      </c>
    </row>
    <row hidden="true" r="104">
      <c r="A104" s="373">
        <v>46253</v>
      </c>
      <c r="B104" s="360" t="s">
        <v>435</v>
      </c>
      <c r="C104" s="360" t="s">
        <v>442</v>
      </c>
      <c r="D104" s="360">
        <v>4</v>
      </c>
      <c r="E104" s="359">
        <v>15</v>
      </c>
      <c r="F104" s="360">
        <v>153</v>
      </c>
      <c r="G104" s="360">
        <v>103</v>
      </c>
      <c r="H104" s="361">
        <v>34493.299999999996</v>
      </c>
      <c r="I104" s="361">
        <v>32872.59</v>
      </c>
      <c r="J104" s="362">
        <f t="shared" si="1"/>
      </c>
      <c r="K104" s="362">
        <f t="shared" si="0"/>
      </c>
      <c r="L104" s="363">
        <f t="shared" si="6"/>
      </c>
      <c r="M104" s="364">
        <f t="shared" si="4"/>
      </c>
      <c r="N104" s="359">
        <v>18</v>
      </c>
      <c r="O104" s="364">
        <f t="shared" si="2"/>
      </c>
      <c r="P104" s="360"/>
      <c r="Q104" s="360"/>
    </row>
    <row hidden="true" r="105">
      <c r="A105" s="373">
        <v>46253</v>
      </c>
      <c r="B105" s="360" t="s">
        <v>451</v>
      </c>
      <c r="C105" s="360" t="s">
        <v>456</v>
      </c>
      <c r="D105" s="360">
        <v>3</v>
      </c>
      <c r="E105" s="359">
        <v>11</v>
      </c>
      <c r="F105" s="360">
        <v>123</v>
      </c>
      <c r="G105" s="360">
        <v>65</v>
      </c>
      <c r="H105" s="361">
        <v>22087</v>
      </c>
      <c r="I105" s="361">
        <v>29431.05000000001</v>
      </c>
      <c r="J105" s="362">
        <f t="shared" si="1"/>
      </c>
      <c r="K105" s="362">
        <f t="shared" si="0"/>
      </c>
      <c r="L105" s="363">
        <f t="shared" si="6"/>
      </c>
      <c r="M105" s="364">
        <f t="shared" si="4"/>
      </c>
      <c r="N105" s="359">
        <v>7</v>
      </c>
      <c r="O105" s="364">
        <f t="shared" si="2"/>
      </c>
      <c r="P105" s="360"/>
      <c r="Q105" s="360"/>
    </row>
    <row hidden="true" r="106">
      <c r="A106" s="373">
        <v>46253</v>
      </c>
      <c r="B106" s="358" t="s">
        <v>421</v>
      </c>
      <c r="C106" s="360" t="s">
        <v>454</v>
      </c>
      <c r="D106" s="360">
        <v>5</v>
      </c>
      <c r="E106" s="359">
        <v>27</v>
      </c>
      <c r="F106" s="360">
        <v>199</v>
      </c>
      <c r="G106" s="360">
        <v>143</v>
      </c>
      <c r="H106" s="361">
        <v>48064.000000000015</v>
      </c>
      <c r="I106" s="361">
        <v>49875.44999999998</v>
      </c>
      <c r="J106" s="362">
        <f t="shared" si="1"/>
      </c>
      <c r="K106" s="362">
        <f t="shared" si="0"/>
      </c>
      <c r="L106" s="363">
        <f t="shared" si="6"/>
      </c>
      <c r="M106" s="364">
        <f t="shared" si="4"/>
      </c>
      <c r="N106" s="359">
        <v>24</v>
      </c>
      <c r="O106" s="364">
        <f t="shared" si="2"/>
      </c>
      <c r="P106" s="360" t="s">
        <v>457</v>
      </c>
      <c r="Q106" s="360">
        <v>10</v>
      </c>
    </row>
    <row hidden="true" r="107">
      <c r="A107" s="373">
        <v>46253</v>
      </c>
      <c r="B107" s="360" t="s">
        <v>430</v>
      </c>
      <c r="C107" s="360" t="s">
        <v>455</v>
      </c>
      <c r="D107" s="360">
        <v>4</v>
      </c>
      <c r="E107" s="359">
        <v>11</v>
      </c>
      <c r="F107" s="360">
        <v>125</v>
      </c>
      <c r="G107" s="360">
        <v>93</v>
      </c>
      <c r="H107" s="366">
        <v>36455.19999999998</v>
      </c>
      <c r="I107" s="360">
        <f>36.13+24023.64</f>
      </c>
      <c r="J107" s="362">
        <f t="shared" si="1"/>
      </c>
      <c r="K107" s="362">
        <f t="shared" si="0"/>
      </c>
      <c r="L107" s="363">
        <f t="shared" si="6"/>
      </c>
      <c r="M107" s="364">
        <f t="shared" si="4"/>
      </c>
      <c r="N107" s="359">
        <v>23</v>
      </c>
      <c r="O107" s="364">
        <f t="shared" si="2"/>
      </c>
      <c r="P107" s="358"/>
      <c r="Q107" s="358"/>
    </row>
    <row r="108">
      <c r="A108" s="374">
        <v>46253</v>
      </c>
      <c r="B108" s="368" t="s">
        <v>433</v>
      </c>
      <c r="C108" s="368"/>
      <c r="D108" s="368">
        <f>SUM(D103:D107)</f>
      </c>
      <c r="E108" s="368">
        <f>SUM(E103:E107)</f>
      </c>
      <c r="F108" s="368">
        <f>SUM(F103:F107)</f>
      </c>
      <c r="G108" s="368">
        <f>SUM(G103:G107)</f>
      </c>
      <c r="H108" s="368">
        <f>SUM(H103:H107)</f>
      </c>
      <c r="I108" s="368">
        <f>SUM(I103:I107)</f>
      </c>
      <c r="J108" s="369">
        <f t="shared" si="1"/>
      </c>
      <c r="K108" s="370">
        <f t="shared" si="0"/>
      </c>
      <c r="L108" s="370">
        <f t="shared" si="6"/>
      </c>
      <c r="M108" s="371">
        <f t="shared" si="4"/>
      </c>
      <c r="N108" s="368">
        <f>SUM(N103:N107)</f>
      </c>
      <c r="O108" s="371">
        <f t="shared" si="2"/>
      </c>
      <c r="P108" s="372"/>
      <c r="Q108" s="368">
        <f>SUM(Q103:Q106)</f>
      </c>
    </row>
    <row hidden="true" r="109">
      <c r="A109" s="373">
        <v>46254</v>
      </c>
      <c r="B109" s="360" t="s">
        <v>424</v>
      </c>
      <c r="C109" s="360" t="s">
        <v>441</v>
      </c>
      <c r="D109" s="360">
        <v>4</v>
      </c>
      <c r="E109" s="359">
        <v>18</v>
      </c>
      <c r="F109" s="360">
        <v>178</v>
      </c>
      <c r="G109" s="360">
        <v>117</v>
      </c>
      <c r="H109" s="361">
        <v>42012.7</v>
      </c>
      <c r="I109" s="361">
        <v>33641.7</v>
      </c>
      <c r="J109" s="362">
        <f t="shared" si="1"/>
      </c>
      <c r="K109" s="362">
        <f t="shared" si="0"/>
      </c>
      <c r="L109" s="363">
        <f t="shared" si="6"/>
      </c>
      <c r="M109" s="364">
        <f t="shared" si="4"/>
      </c>
      <c r="N109" s="359">
        <v>26</v>
      </c>
      <c r="O109" s="364">
        <f t="shared" si="2"/>
      </c>
      <c r="P109" s="360" t="s">
        <v>449</v>
      </c>
      <c r="Q109" s="360">
        <v>10</v>
      </c>
    </row>
    <row hidden="true" r="110">
      <c r="A110" s="373">
        <v>46254</v>
      </c>
      <c r="B110" s="360" t="s">
        <v>435</v>
      </c>
      <c r="C110" s="360" t="s">
        <v>452</v>
      </c>
      <c r="D110" s="360">
        <v>5</v>
      </c>
      <c r="E110" s="359">
        <v>31</v>
      </c>
      <c r="F110" s="360">
        <v>256</v>
      </c>
      <c r="G110" s="360">
        <v>166</v>
      </c>
      <c r="H110" s="361">
        <v>60112.5</v>
      </c>
      <c r="I110" s="361">
        <v>50230.83</v>
      </c>
      <c r="J110" s="362">
        <f t="shared" si="1"/>
      </c>
      <c r="K110" s="362">
        <f t="shared" si="0"/>
      </c>
      <c r="L110" s="363">
        <f t="shared" si="6"/>
      </c>
      <c r="M110" s="364">
        <f t="shared" si="4"/>
      </c>
      <c r="N110" s="359">
        <v>24</v>
      </c>
      <c r="O110" s="364">
        <f t="shared" si="2"/>
      </c>
      <c r="P110" s="360"/>
      <c r="Q110" s="360"/>
    </row>
    <row hidden="true" r="111">
      <c r="A111" s="373">
        <v>46254</v>
      </c>
      <c r="B111" s="360" t="s">
        <v>453</v>
      </c>
      <c r="C111" s="360" t="s">
        <v>427</v>
      </c>
      <c r="D111" s="360">
        <v>2</v>
      </c>
      <c r="E111" s="359">
        <v>3</v>
      </c>
      <c r="F111" s="360">
        <v>61</v>
      </c>
      <c r="G111" s="360">
        <v>36</v>
      </c>
      <c r="H111" s="361">
        <v>13490.400000000009</v>
      </c>
      <c r="I111" s="361">
        <v>18910.040000000008</v>
      </c>
      <c r="J111" s="362">
        <f t="shared" si="1"/>
      </c>
      <c r="K111" s="362">
        <f t="shared" si="0"/>
      </c>
      <c r="L111" s="363">
        <f t="shared" si="6"/>
      </c>
      <c r="M111" s="364">
        <f t="shared" si="4"/>
      </c>
      <c r="N111" s="359">
        <v>1</v>
      </c>
      <c r="O111" s="364">
        <f t="shared" si="2"/>
      </c>
      <c r="P111" s="360"/>
      <c r="Q111" s="360"/>
    </row>
    <row hidden="true" r="112">
      <c r="A112" s="373">
        <v>46254</v>
      </c>
      <c r="B112" s="358" t="s">
        <v>421</v>
      </c>
      <c r="C112" s="360" t="s">
        <v>454</v>
      </c>
      <c r="D112" s="360">
        <v>5</v>
      </c>
      <c r="E112" s="359">
        <v>17</v>
      </c>
      <c r="F112" s="360">
        <v>121</v>
      </c>
      <c r="G112" s="360">
        <v>90</v>
      </c>
      <c r="H112" s="361">
        <v>29841.699999999983</v>
      </c>
      <c r="I112" s="361">
        <v>32900.17999999999</v>
      </c>
      <c r="J112" s="362">
        <f t="shared" si="1"/>
      </c>
      <c r="K112" s="362">
        <f t="shared" si="0"/>
      </c>
      <c r="L112" s="363">
        <f t="shared" si="6"/>
      </c>
      <c r="M112" s="364">
        <f t="shared" si="4"/>
      </c>
      <c r="N112" s="359">
        <v>18</v>
      </c>
      <c r="O112" s="364">
        <f t="shared" si="2"/>
      </c>
      <c r="P112" s="360" t="s">
        <v>457</v>
      </c>
      <c r="Q112" s="360">
        <v>10</v>
      </c>
    </row>
    <row hidden="true" r="113">
      <c r="A113" s="373">
        <v>46254</v>
      </c>
      <c r="B113" s="360" t="s">
        <v>430</v>
      </c>
      <c r="C113" s="360" t="s">
        <v>455</v>
      </c>
      <c r="D113" s="360">
        <v>4</v>
      </c>
      <c r="E113" s="359">
        <v>14</v>
      </c>
      <c r="F113" s="360">
        <v>90</v>
      </c>
      <c r="G113" s="360">
        <v>61</v>
      </c>
      <c r="H113" s="366">
        <v>21668.20000000001</v>
      </c>
      <c r="I113" s="360">
        <f>1.73+18030.96</f>
      </c>
      <c r="J113" s="362">
        <f t="shared" si="1"/>
      </c>
      <c r="K113" s="362">
        <f t="shared" si="0"/>
      </c>
      <c r="L113" s="363">
        <f t="shared" si="6"/>
      </c>
      <c r="M113" s="364">
        <f t="shared" si="4"/>
      </c>
      <c r="N113" s="359">
        <v>10</v>
      </c>
      <c r="O113" s="364">
        <f t="shared" si="2"/>
      </c>
      <c r="P113" s="358"/>
      <c r="Q113" s="358"/>
    </row>
    <row r="114">
      <c r="A114" s="374">
        <v>46254</v>
      </c>
      <c r="B114" s="368" t="s">
        <v>433</v>
      </c>
      <c r="C114" s="368"/>
      <c r="D114" s="368">
        <f>SUM(D109:D113)</f>
      </c>
      <c r="E114" s="368">
        <f>SUM(E109:E113)</f>
      </c>
      <c r="F114" s="368">
        <f>SUM(F109:F113)</f>
      </c>
      <c r="G114" s="368">
        <f>SUM(G109:G113)</f>
      </c>
      <c r="H114" s="368">
        <f>SUM(H109:H113)</f>
      </c>
      <c r="I114" s="368">
        <f>SUM(I109:I113)</f>
      </c>
      <c r="J114" s="369">
        <f t="shared" si="1"/>
      </c>
      <c r="K114" s="370">
        <f t="shared" si="0"/>
      </c>
      <c r="L114" s="370">
        <f t="shared" si="6"/>
      </c>
      <c r="M114" s="371">
        <f t="shared" si="4"/>
      </c>
      <c r="N114" s="368">
        <f>SUM(N109:N113)</f>
      </c>
      <c r="O114" s="371">
        <f t="shared" si="2"/>
      </c>
      <c r="P114" s="372"/>
      <c r="Q114" s="368">
        <f>SUM(Q109:Q112)</f>
      </c>
    </row>
    <row hidden="true" r="115">
      <c r="A115" s="373">
        <v>46255</v>
      </c>
      <c r="B115" s="360" t="s">
        <v>424</v>
      </c>
      <c r="C115" s="360" t="s">
        <v>422</v>
      </c>
      <c r="D115" s="360">
        <v>5</v>
      </c>
      <c r="E115" s="359">
        <v>11</v>
      </c>
      <c r="F115" s="360">
        <v>154</v>
      </c>
      <c r="G115" s="360">
        <v>104</v>
      </c>
      <c r="H115" s="361">
        <v>35261.5</v>
      </c>
      <c r="I115" s="361">
        <v>37232.35</v>
      </c>
      <c r="J115" s="362">
        <f t="shared" si="1"/>
      </c>
      <c r="K115" s="362">
        <f t="shared" si="0"/>
      </c>
      <c r="L115" s="363">
        <f t="shared" si="6"/>
      </c>
      <c r="M115" s="364">
        <f t="shared" si="4"/>
      </c>
      <c r="N115" s="359">
        <v>14</v>
      </c>
      <c r="O115" s="364">
        <f t="shared" si="2"/>
      </c>
      <c r="P115" s="360" t="s">
        <v>449</v>
      </c>
      <c r="Q115" s="360">
        <v>10</v>
      </c>
    </row>
    <row hidden="true" r="116">
      <c r="A116" s="373">
        <v>46255</v>
      </c>
      <c r="B116" s="360" t="s">
        <v>421</v>
      </c>
      <c r="C116" s="360" t="s">
        <v>436</v>
      </c>
      <c r="D116" s="360">
        <v>5</v>
      </c>
      <c r="E116" s="359">
        <v>9</v>
      </c>
      <c r="F116" s="360">
        <v>96</v>
      </c>
      <c r="G116" s="360">
        <v>59</v>
      </c>
      <c r="H116" s="361">
        <v>20230.6</v>
      </c>
      <c r="I116" s="361">
        <v>27316.549999999996</v>
      </c>
      <c r="J116" s="362">
        <f t="shared" si="1"/>
      </c>
      <c r="K116" s="362">
        <f t="shared" si="0"/>
      </c>
      <c r="L116" s="363">
        <f t="shared" si="6"/>
      </c>
      <c r="M116" s="364">
        <f t="shared" si="4"/>
      </c>
      <c r="N116" s="359">
        <v>7</v>
      </c>
      <c r="O116" s="364">
        <f t="shared" si="2"/>
      </c>
      <c r="P116" s="360"/>
      <c r="Q116" s="360"/>
    </row>
    <row hidden="true" r="117">
      <c r="A117" s="373">
        <v>46255</v>
      </c>
      <c r="B117" s="360" t="s">
        <v>435</v>
      </c>
      <c r="C117" s="360" t="s">
        <v>437</v>
      </c>
      <c r="D117" s="360">
        <v>5</v>
      </c>
      <c r="E117" s="359">
        <v>21</v>
      </c>
      <c r="F117" s="360">
        <v>226</v>
      </c>
      <c r="G117" s="360">
        <v>146</v>
      </c>
      <c r="H117" s="361">
        <v>52666.9</v>
      </c>
      <c r="I117" s="361">
        <v>44726.73000000001</v>
      </c>
      <c r="J117" s="362">
        <f t="shared" si="1"/>
      </c>
      <c r="K117" s="362">
        <f t="shared" si="0"/>
      </c>
      <c r="L117" s="363">
        <f t="shared" si="6"/>
      </c>
      <c r="M117" s="364">
        <f t="shared" si="4"/>
      </c>
      <c r="N117" s="359">
        <v>22</v>
      </c>
      <c r="O117" s="364">
        <f t="shared" si="2"/>
      </c>
      <c r="P117" s="360" t="s">
        <v>457</v>
      </c>
      <c r="Q117" s="360">
        <v>10</v>
      </c>
    </row>
    <row hidden="true" r="118">
      <c r="A118" s="373">
        <v>46255</v>
      </c>
      <c r="B118" s="360" t="s">
        <v>428</v>
      </c>
      <c r="C118" s="360" t="s">
        <v>431</v>
      </c>
      <c r="D118" s="360">
        <v>5</v>
      </c>
      <c r="E118" s="359">
        <v>32</v>
      </c>
      <c r="F118" s="360">
        <v>198</v>
      </c>
      <c r="G118" s="360">
        <v>149</v>
      </c>
      <c r="H118" s="366">
        <v>57131.5</v>
      </c>
      <c r="I118" s="360">
        <f>2.76+51913.64</f>
      </c>
      <c r="J118" s="362">
        <f t="shared" si="1"/>
      </c>
      <c r="K118" s="362">
        <f t="shared" si="0"/>
      </c>
      <c r="L118" s="363">
        <f t="shared" si="6"/>
      </c>
      <c r="M118" s="364">
        <f t="shared" si="4"/>
      </c>
      <c r="N118" s="359">
        <v>26</v>
      </c>
      <c r="O118" s="364">
        <f t="shared" si="2"/>
      </c>
      <c r="P118" s="358"/>
      <c r="Q118" s="358"/>
    </row>
    <row r="119">
      <c r="A119" s="374">
        <v>46255</v>
      </c>
      <c r="B119" s="368" t="s">
        <v>433</v>
      </c>
      <c r="C119" s="368"/>
      <c r="D119" s="368">
        <f>SUM(D115:D118)</f>
      </c>
      <c r="E119" s="368">
        <f>SUM(E115:E118)</f>
      </c>
      <c r="F119" s="368">
        <f>SUM(F115:F118)</f>
      </c>
      <c r="G119" s="368">
        <f>SUM(G115:G118)</f>
      </c>
      <c r="H119" s="368">
        <f>SUM(H115:H118)</f>
      </c>
      <c r="I119" s="368">
        <f>SUM(I115:I118)</f>
      </c>
      <c r="J119" s="369">
        <f t="shared" si="1"/>
      </c>
      <c r="K119" s="370">
        <f t="shared" si="0"/>
      </c>
      <c r="L119" s="370">
        <f t="shared" si="6"/>
      </c>
      <c r="M119" s="371">
        <f t="shared" si="4"/>
      </c>
      <c r="N119" s="368">
        <f>SUM(N115:N118)</f>
      </c>
      <c r="O119" s="371">
        <f t="shared" si="2"/>
      </c>
      <c r="P119" s="372"/>
      <c r="Q119" s="368">
        <f>SUM(Q115:Q117)</f>
      </c>
    </row>
    <row hidden="true" r="120">
      <c r="A120" s="373">
        <v>46256</v>
      </c>
      <c r="B120" s="360" t="s">
        <v>424</v>
      </c>
      <c r="C120" s="360" t="s">
        <v>422</v>
      </c>
      <c r="D120" s="360">
        <v>5</v>
      </c>
      <c r="E120" s="359">
        <v>32</v>
      </c>
      <c r="F120" s="360">
        <v>244</v>
      </c>
      <c r="G120" s="360">
        <v>158</v>
      </c>
      <c r="H120" s="361">
        <v>52285.7</v>
      </c>
      <c r="I120" s="361">
        <v>50242.44</v>
      </c>
      <c r="J120" s="362">
        <f t="shared" si="1"/>
      </c>
      <c r="K120" s="362">
        <f t="shared" si="0"/>
      </c>
      <c r="L120" s="363">
        <f t="shared" si="6"/>
      </c>
      <c r="M120" s="364">
        <f t="shared" si="4"/>
      </c>
      <c r="N120" s="359">
        <v>27</v>
      </c>
      <c r="O120" s="364">
        <f t="shared" si="2"/>
      </c>
      <c r="P120" s="360" t="s">
        <v>449</v>
      </c>
      <c r="Q120" s="360">
        <v>10</v>
      </c>
    </row>
    <row hidden="true" r="121">
      <c r="A121" s="373">
        <v>46256</v>
      </c>
      <c r="B121" s="360" t="s">
        <v>435</v>
      </c>
      <c r="C121" s="360" t="s">
        <v>436</v>
      </c>
      <c r="D121" s="360">
        <v>5</v>
      </c>
      <c r="E121" s="359">
        <v>11</v>
      </c>
      <c r="F121" s="360">
        <v>155</v>
      </c>
      <c r="G121" s="360">
        <v>96</v>
      </c>
      <c r="H121" s="361">
        <v>34537.5</v>
      </c>
      <c r="I121" s="361">
        <v>34970.34999999999</v>
      </c>
      <c r="J121" s="362">
        <f t="shared" si="1"/>
      </c>
      <c r="K121" s="362">
        <f t="shared" si="0"/>
      </c>
      <c r="L121" s="363">
        <f t="shared" si="6"/>
      </c>
      <c r="M121" s="364">
        <f t="shared" si="4"/>
      </c>
      <c r="N121" s="359">
        <v>21</v>
      </c>
      <c r="O121" s="364">
        <f t="shared" si="2"/>
      </c>
      <c r="P121" s="360"/>
      <c r="Q121" s="360"/>
    </row>
    <row hidden="true" r="122">
      <c r="A122" s="373">
        <v>46256</v>
      </c>
      <c r="B122" s="360" t="s">
        <v>428</v>
      </c>
      <c r="C122" s="360" t="s">
        <v>437</v>
      </c>
      <c r="D122" s="360">
        <v>5</v>
      </c>
      <c r="E122" s="359">
        <v>11</v>
      </c>
      <c r="F122" s="360">
        <v>86</v>
      </c>
      <c r="G122" s="360">
        <v>51</v>
      </c>
      <c r="H122" s="361">
        <v>21795.800000000003</v>
      </c>
      <c r="I122" s="361">
        <v>22953.209999999992</v>
      </c>
      <c r="J122" s="362">
        <f t="shared" si="1"/>
      </c>
      <c r="K122" s="362">
        <f t="shared" si="0"/>
      </c>
      <c r="L122" s="363">
        <f t="shared" si="6"/>
      </c>
      <c r="M122" s="364">
        <f t="shared" si="4"/>
      </c>
      <c r="N122" s="359">
        <v>9</v>
      </c>
      <c r="O122" s="364">
        <f t="shared" si="2"/>
      </c>
      <c r="P122" s="360" t="s">
        <v>457</v>
      </c>
      <c r="Q122" s="360">
        <v>10</v>
      </c>
    </row>
    <row hidden="true" r="123">
      <c r="A123" s="373">
        <v>46256</v>
      </c>
      <c r="B123" s="360" t="s">
        <v>430</v>
      </c>
      <c r="C123" s="360" t="s">
        <v>431</v>
      </c>
      <c r="D123" s="360">
        <v>5</v>
      </c>
      <c r="E123" s="359">
        <v>12</v>
      </c>
      <c r="F123" s="360">
        <v>112</v>
      </c>
      <c r="G123" s="360">
        <v>84</v>
      </c>
      <c r="H123" s="366">
        <v>28708</v>
      </c>
      <c r="I123" s="360">
        <f>7.72+22379.8</f>
      </c>
      <c r="J123" s="362">
        <f t="shared" si="1"/>
      </c>
      <c r="K123" s="362">
        <f t="shared" si="0"/>
      </c>
      <c r="L123" s="363">
        <f t="shared" si="6"/>
      </c>
      <c r="M123" s="364">
        <f t="shared" si="4"/>
      </c>
      <c r="N123" s="359">
        <v>23</v>
      </c>
      <c r="O123" s="364">
        <f t="shared" si="2"/>
      </c>
      <c r="P123" s="358"/>
      <c r="Q123" s="358"/>
    </row>
    <row r="124">
      <c r="A124" s="374">
        <v>46256</v>
      </c>
      <c r="B124" s="368" t="s">
        <v>433</v>
      </c>
      <c r="C124" s="368"/>
      <c r="D124" s="368">
        <f>SUM(D120:D123)</f>
      </c>
      <c r="E124" s="368">
        <f>SUM(E120:E123)</f>
      </c>
      <c r="F124" s="368">
        <f>SUM(F120:F123)</f>
      </c>
      <c r="G124" s="368">
        <f>SUM(G120:G123)</f>
      </c>
      <c r="H124" s="368">
        <f>SUM(H120:H123)</f>
      </c>
      <c r="I124" s="368">
        <f>SUM(I120:I123)</f>
      </c>
      <c r="J124" s="369">
        <f t="shared" si="1"/>
      </c>
      <c r="K124" s="370">
        <f t="shared" si="0"/>
      </c>
      <c r="L124" s="370">
        <f t="shared" si="6"/>
      </c>
      <c r="M124" s="371">
        <f t="shared" si="4"/>
      </c>
      <c r="N124" s="368">
        <f>SUM(N120:N123)</f>
      </c>
      <c r="O124" s="371">
        <f t="shared" si="2"/>
      </c>
      <c r="P124" s="372"/>
      <c r="Q124" s="368">
        <f>SUM(Q120:Q122)</f>
      </c>
    </row>
    <row hidden="true" r="125">
      <c r="A125" s="373">
        <v>46257</v>
      </c>
      <c r="B125" s="360" t="s">
        <v>424</v>
      </c>
      <c r="C125" s="360" t="s">
        <v>422</v>
      </c>
      <c r="D125" s="360">
        <v>5</v>
      </c>
      <c r="E125" s="359">
        <v>10</v>
      </c>
      <c r="F125" s="360">
        <v>202</v>
      </c>
      <c r="G125" s="360">
        <v>131</v>
      </c>
      <c r="H125" s="361">
        <v>44730.3</v>
      </c>
      <c r="I125" s="361">
        <v>39556.08</v>
      </c>
      <c r="J125" s="362">
        <f t="shared" si="1"/>
      </c>
      <c r="K125" s="362">
        <f t="shared" si="0"/>
      </c>
      <c r="L125" s="363">
        <f t="shared" si="6"/>
      </c>
      <c r="M125" s="364">
        <f t="shared" si="4"/>
      </c>
      <c r="N125" s="359">
        <v>19</v>
      </c>
      <c r="O125" s="364">
        <f t="shared" si="2"/>
      </c>
      <c r="P125" s="360" t="s">
        <v>449</v>
      </c>
      <c r="Q125" s="360">
        <v>10</v>
      </c>
    </row>
    <row hidden="true" r="126">
      <c r="A126" s="373">
        <v>46257</v>
      </c>
      <c r="B126" s="360" t="s">
        <v>435</v>
      </c>
      <c r="C126" s="360" t="s">
        <v>436</v>
      </c>
      <c r="D126" s="360">
        <v>5</v>
      </c>
      <c r="E126" s="359">
        <v>18</v>
      </c>
      <c r="F126" s="360">
        <v>190</v>
      </c>
      <c r="G126" s="360">
        <v>130</v>
      </c>
      <c r="H126" s="361">
        <v>49109.7</v>
      </c>
      <c r="I126" s="361">
        <v>44193.51999999999</v>
      </c>
      <c r="J126" s="362">
        <f t="shared" si="1"/>
      </c>
      <c r="K126" s="362">
        <f t="shared" si="0"/>
      </c>
      <c r="L126" s="363">
        <f t="shared" si="6"/>
      </c>
      <c r="M126" s="364">
        <f t="shared" si="4"/>
      </c>
      <c r="N126" s="359">
        <v>17</v>
      </c>
      <c r="O126" s="364">
        <f t="shared" si="2"/>
      </c>
      <c r="P126" s="360"/>
      <c r="Q126" s="360"/>
    </row>
    <row hidden="true" r="127">
      <c r="A127" s="373">
        <v>46257</v>
      </c>
      <c r="B127" s="360" t="s">
        <v>421</v>
      </c>
      <c r="C127" s="360" t="s">
        <v>437</v>
      </c>
      <c r="D127" s="360">
        <v>5</v>
      </c>
      <c r="E127" s="359">
        <v>21.690799999999996</v>
      </c>
      <c r="F127" s="360">
        <v>191</v>
      </c>
      <c r="G127" s="360">
        <v>126</v>
      </c>
      <c r="H127" s="361">
        <v>38400.20000000001</v>
      </c>
      <c r="I127" s="361">
        <v>46200.630000000005</v>
      </c>
      <c r="J127" s="362">
        <f t="shared" si="1"/>
      </c>
      <c r="K127" s="362">
        <f t="shared" si="0"/>
      </c>
      <c r="L127" s="363">
        <f t="shared" si="6"/>
      </c>
      <c r="M127" s="364">
        <f t="shared" si="4"/>
      </c>
      <c r="N127" s="359">
        <v>22.514400000000002</v>
      </c>
      <c r="O127" s="364">
        <f t="shared" si="2"/>
      </c>
      <c r="P127" s="360" t="s">
        <v>458</v>
      </c>
      <c r="Q127" s="360">
        <v>10</v>
      </c>
    </row>
    <row hidden="true" r="128">
      <c r="A128" s="373">
        <v>46257</v>
      </c>
      <c r="B128" s="360" t="s">
        <v>430</v>
      </c>
      <c r="C128" s="360" t="s">
        <v>431</v>
      </c>
      <c r="D128" s="360">
        <v>5</v>
      </c>
      <c r="E128" s="359">
        <v>10</v>
      </c>
      <c r="F128" s="360">
        <v>121</v>
      </c>
      <c r="G128" s="360">
        <v>80</v>
      </c>
      <c r="H128" s="366">
        <v>32671.599999999977</v>
      </c>
      <c r="I128" s="360">
        <f>31888.42</f>
      </c>
      <c r="J128" s="362">
        <f t="shared" si="1"/>
      </c>
      <c r="K128" s="362">
        <f t="shared" si="0"/>
      </c>
      <c r="L128" s="363">
        <f t="shared" si="6"/>
      </c>
      <c r="M128" s="364">
        <f t="shared" si="4"/>
      </c>
      <c r="N128" s="359">
        <v>17</v>
      </c>
      <c r="O128" s="364">
        <f t="shared" si="2"/>
      </c>
      <c r="P128" s="358"/>
      <c r="Q128" s="358"/>
    </row>
    <row r="129">
      <c r="A129" s="374">
        <v>46257</v>
      </c>
      <c r="B129" s="368" t="s">
        <v>433</v>
      </c>
      <c r="C129" s="368"/>
      <c r="D129" s="368">
        <f>SUM(D125:D128)</f>
      </c>
      <c r="E129" s="368">
        <f>SUM(E125:E128)</f>
      </c>
      <c r="F129" s="368">
        <f>SUM(F125:F128)</f>
      </c>
      <c r="G129" s="368">
        <f>SUM(G125:G128)</f>
      </c>
      <c r="H129" s="368">
        <f>SUM(H125:H128)</f>
      </c>
      <c r="I129" s="368">
        <f>SUM(I125:I128)</f>
      </c>
      <c r="J129" s="369">
        <f t="shared" si="1"/>
      </c>
      <c r="K129" s="370">
        <f t="shared" si="0"/>
      </c>
      <c r="L129" s="370">
        <f t="shared" si="6"/>
      </c>
      <c r="M129" s="371">
        <f t="shared" si="4"/>
      </c>
      <c r="N129" s="368">
        <f>SUM(N125:N128)</f>
      </c>
      <c r="O129" s="371">
        <f t="shared" si="2"/>
      </c>
      <c r="P129" s="372"/>
      <c r="Q129" s="368">
        <f>SUM(Q125:Q127)</f>
      </c>
    </row>
    <row hidden="true" r="130">
      <c r="A130" s="373">
        <v>46258</v>
      </c>
      <c r="B130" s="360" t="s">
        <v>424</v>
      </c>
      <c r="C130" s="360" t="s">
        <v>422</v>
      </c>
      <c r="D130" s="360">
        <v>5</v>
      </c>
      <c r="E130" s="359">
        <v>20</v>
      </c>
      <c r="F130" s="360">
        <v>148</v>
      </c>
      <c r="G130" s="360">
        <v>94</v>
      </c>
      <c r="H130" s="361">
        <v>28460.9</v>
      </c>
      <c r="I130" s="361">
        <v>32294.86</v>
      </c>
      <c r="J130" s="362">
        <f t="shared" si="1"/>
      </c>
      <c r="K130" s="362">
        <f t="shared" si="0"/>
      </c>
      <c r="L130" s="363">
        <f t="shared" si="6"/>
      </c>
      <c r="M130" s="364">
        <f t="shared" si="4"/>
      </c>
      <c r="N130" s="359">
        <v>8</v>
      </c>
      <c r="O130" s="364">
        <f t="shared" si="2"/>
      </c>
      <c r="P130" s="360" t="s">
        <v>449</v>
      </c>
      <c r="Q130" s="360">
        <v>10</v>
      </c>
    </row>
    <row hidden="true" r="131">
      <c r="A131" s="373">
        <v>46258</v>
      </c>
      <c r="B131" s="360" t="s">
        <v>435</v>
      </c>
      <c r="C131" s="360" t="s">
        <v>436</v>
      </c>
      <c r="D131" s="360">
        <v>5</v>
      </c>
      <c r="E131" s="359">
        <v>18</v>
      </c>
      <c r="F131" s="360">
        <v>175</v>
      </c>
      <c r="G131" s="360">
        <v>123</v>
      </c>
      <c r="H131" s="361">
        <v>41313.6</v>
      </c>
      <c r="I131" s="361">
        <v>33748.619999999995</v>
      </c>
      <c r="J131" s="362">
        <f t="shared" si="1"/>
      </c>
      <c r="K131" s="362">
        <f t="shared" si="0"/>
      </c>
      <c r="L131" s="363">
        <f t="shared" si="6"/>
      </c>
      <c r="M131" s="364">
        <f t="shared" si="4"/>
      </c>
      <c r="N131" s="359">
        <v>27</v>
      </c>
      <c r="O131" s="364">
        <f t="shared" si="2"/>
      </c>
      <c r="P131" s="360"/>
      <c r="Q131" s="360"/>
    </row>
    <row hidden="true" r="132">
      <c r="A132" s="373">
        <v>46258</v>
      </c>
      <c r="B132" s="360" t="s">
        <v>421</v>
      </c>
      <c r="C132" s="360" t="s">
        <v>437</v>
      </c>
      <c r="D132" s="360">
        <v>5</v>
      </c>
      <c r="E132" s="359">
        <v>20</v>
      </c>
      <c r="F132" s="360">
        <v>233</v>
      </c>
      <c r="G132" s="360">
        <v>151</v>
      </c>
      <c r="H132" s="361">
        <v>59343.600000000006</v>
      </c>
      <c r="I132" s="361">
        <v>46306.81000000001</v>
      </c>
      <c r="J132" s="362">
        <f t="shared" si="1"/>
      </c>
      <c r="K132" s="362">
        <f t="shared" si="0"/>
      </c>
      <c r="L132" s="363">
        <f t="shared" si="6"/>
      </c>
      <c r="M132" s="364">
        <f t="shared" si="4"/>
      </c>
      <c r="N132" s="359">
        <v>28</v>
      </c>
      <c r="O132" s="364">
        <f t="shared" si="2"/>
      </c>
      <c r="P132" s="360" t="s">
        <v>458</v>
      </c>
      <c r="Q132" s="360">
        <v>10</v>
      </c>
    </row>
    <row hidden="true" r="133">
      <c r="A133" s="373">
        <v>46258</v>
      </c>
      <c r="B133" s="360" t="s">
        <v>430</v>
      </c>
      <c r="C133" s="360" t="s">
        <v>431</v>
      </c>
      <c r="D133" s="360">
        <v>5</v>
      </c>
      <c r="E133" s="359">
        <v>24</v>
      </c>
      <c r="F133" s="360">
        <v>163</v>
      </c>
      <c r="G133" s="360">
        <v>99</v>
      </c>
      <c r="H133" s="366">
        <v>33752.19999999998</v>
      </c>
      <c r="I133" s="360">
        <f>2.24+35284.08</f>
      </c>
      <c r="J133" s="362">
        <f t="shared" si="1"/>
      </c>
      <c r="K133" s="362">
        <f t="shared" si="0"/>
      </c>
      <c r="L133" s="363">
        <f t="shared" si="6"/>
      </c>
      <c r="M133" s="364">
        <f t="shared" si="4"/>
      </c>
      <c r="N133" s="359">
        <v>24</v>
      </c>
      <c r="O133" s="364">
        <f t="shared" si="2"/>
      </c>
      <c r="P133" s="358"/>
      <c r="Q133" s="358"/>
    </row>
    <row r="134">
      <c r="A134" s="374">
        <v>46258</v>
      </c>
      <c r="B134" s="368" t="s">
        <v>433</v>
      </c>
      <c r="C134" s="368"/>
      <c r="D134" s="368">
        <f>SUM(D130:D133)</f>
      </c>
      <c r="E134" s="368">
        <f>SUM(E130:E133)</f>
      </c>
      <c r="F134" s="368">
        <f>SUM(F130:F133)</f>
      </c>
      <c r="G134" s="368">
        <f>SUM(G130:G133)</f>
      </c>
      <c r="H134" s="368">
        <f>SUM(H130:H133)</f>
      </c>
      <c r="I134" s="368">
        <f>SUM(I130:I133)</f>
      </c>
      <c r="J134" s="369">
        <f t="shared" si="1"/>
      </c>
      <c r="K134" s="370">
        <f t="shared" si="0"/>
      </c>
      <c r="L134" s="370">
        <f t="shared" si="6"/>
      </c>
      <c r="M134" s="371">
        <f t="shared" si="4"/>
      </c>
      <c r="N134" s="368">
        <f>SUM(N130:N133)</f>
      </c>
      <c r="O134" s="371">
        <f t="shared" si="2"/>
      </c>
      <c r="P134" s="372"/>
      <c r="Q134" s="368">
        <f>SUM(Q130:Q132)</f>
      </c>
    </row>
    <row hidden="true" r="135">
      <c r="A135" s="373">
        <v>46259</v>
      </c>
      <c r="B135" s="360" t="s">
        <v>424</v>
      </c>
      <c r="C135" s="360" t="s">
        <v>422</v>
      </c>
      <c r="D135" s="360">
        <v>5</v>
      </c>
      <c r="E135" s="359">
        <v>20</v>
      </c>
      <c r="F135" s="360">
        <v>164</v>
      </c>
      <c r="G135" s="360">
        <v>102</v>
      </c>
      <c r="H135" s="366">
        <v>36769.5</v>
      </c>
      <c r="I135" s="366">
        <v>37362.369999999995</v>
      </c>
      <c r="J135" s="362">
        <f t="shared" si="1"/>
      </c>
      <c r="K135" s="362">
        <f t="shared" si="0"/>
      </c>
      <c r="L135" s="363">
        <f t="shared" si="6"/>
      </c>
      <c r="M135" s="364">
        <f t="shared" si="4"/>
      </c>
      <c r="N135" s="359">
        <v>17</v>
      </c>
      <c r="O135" s="364">
        <f t="shared" si="2"/>
      </c>
      <c r="P135" s="360" t="s">
        <v>459</v>
      </c>
      <c r="Q135" s="360">
        <v>10</v>
      </c>
    </row>
    <row hidden="true" r="136">
      <c r="A136" s="373">
        <v>46259</v>
      </c>
      <c r="B136" s="360" t="s">
        <v>435</v>
      </c>
      <c r="C136" s="360" t="s">
        <v>425</v>
      </c>
      <c r="D136" s="360">
        <v>4</v>
      </c>
      <c r="E136" s="359">
        <v>16</v>
      </c>
      <c r="F136" s="360">
        <v>88</v>
      </c>
      <c r="G136" s="360">
        <v>61</v>
      </c>
      <c r="H136" s="366">
        <v>19690.800000000003</v>
      </c>
      <c r="I136" s="366">
        <v>19356.979999999996</v>
      </c>
      <c r="J136" s="362">
        <f t="shared" si="1"/>
      </c>
      <c r="K136" s="362">
        <f t="shared" si="0"/>
      </c>
      <c r="L136" s="363">
        <f t="shared" si="6"/>
      </c>
      <c r="M136" s="364">
        <f t="shared" si="4"/>
      </c>
      <c r="N136" s="359">
        <v>10</v>
      </c>
      <c r="O136" s="364">
        <f t="shared" si="2"/>
      </c>
      <c r="P136" s="360"/>
      <c r="Q136" s="360"/>
    </row>
    <row hidden="true" r="137">
      <c r="A137" s="373">
        <v>46259</v>
      </c>
      <c r="B137" s="360" t="s">
        <v>421</v>
      </c>
      <c r="C137" s="360" t="s">
        <v>460</v>
      </c>
      <c r="D137" s="360">
        <v>6</v>
      </c>
      <c r="E137" s="359">
        <v>18</v>
      </c>
      <c r="F137" s="360">
        <v>204</v>
      </c>
      <c r="G137" s="360">
        <v>144</v>
      </c>
      <c r="H137" s="361">
        <v>51989</v>
      </c>
      <c r="I137" s="361">
        <v>36082.89</v>
      </c>
      <c r="J137" s="362">
        <f t="shared" si="1"/>
      </c>
      <c r="K137" s="362">
        <f t="shared" si="0"/>
      </c>
      <c r="L137" s="363">
        <f t="shared" si="6"/>
      </c>
      <c r="M137" s="364">
        <f t="shared" si="4"/>
      </c>
      <c r="N137" s="359">
        <v>33</v>
      </c>
      <c r="O137" s="364">
        <f t="shared" si="2"/>
      </c>
      <c r="P137" s="360" t="s">
        <v>434</v>
      </c>
      <c r="Q137" s="360">
        <v>10</v>
      </c>
    </row>
    <row hidden="true" r="138">
      <c r="A138" s="373">
        <v>46259</v>
      </c>
      <c r="B138" s="360" t="s">
        <v>428</v>
      </c>
      <c r="C138" s="360" t="s">
        <v>431</v>
      </c>
      <c r="D138" s="360">
        <v>5</v>
      </c>
      <c r="E138" s="359">
        <v>25</v>
      </c>
      <c r="F138" s="360">
        <v>117</v>
      </c>
      <c r="G138" s="360">
        <v>76</v>
      </c>
      <c r="H138" s="366">
        <v>24436.40000000001</v>
      </c>
      <c r="I138" s="360">
        <f>1.05+24271.83</f>
      </c>
      <c r="J138" s="362">
        <f t="shared" si="1"/>
      </c>
      <c r="K138" s="362">
        <f t="shared" si="0"/>
      </c>
      <c r="L138" s="363">
        <f t="shared" si="6"/>
      </c>
      <c r="M138" s="364">
        <f t="shared" si="4"/>
      </c>
      <c r="N138" s="359">
        <v>18</v>
      </c>
      <c r="O138" s="364">
        <f t="shared" si="2"/>
      </c>
      <c r="P138" s="358"/>
      <c r="Q138" s="358"/>
    </row>
    <row r="139">
      <c r="A139" s="374">
        <v>46259</v>
      </c>
      <c r="B139" s="368" t="s">
        <v>433</v>
      </c>
      <c r="C139" s="368"/>
      <c r="D139" s="368">
        <f>SUM(D135:D138)</f>
      </c>
      <c r="E139" s="368">
        <f>SUM(E135:E138)</f>
      </c>
      <c r="F139" s="368">
        <f>SUM(F135:F138)</f>
      </c>
      <c r="G139" s="368">
        <f>SUM(G135:G138)</f>
      </c>
      <c r="H139" s="368">
        <f>SUM(H135:H138)</f>
      </c>
      <c r="I139" s="368">
        <f>SUM(I135:I138)</f>
      </c>
      <c r="J139" s="369">
        <f t="shared" si="1"/>
      </c>
      <c r="K139" s="370">
        <f t="shared" si="0"/>
      </c>
      <c r="L139" s="370">
        <f t="shared" si="6"/>
      </c>
      <c r="M139" s="371">
        <f t="shared" si="4"/>
      </c>
      <c r="N139" s="368">
        <f>SUM(N135:N138)</f>
      </c>
      <c r="O139" s="371">
        <f t="shared" si="2"/>
      </c>
      <c r="P139" s="372"/>
      <c r="Q139" s="368">
        <f>SUM(Q135:Q137)</f>
      </c>
    </row>
    <row hidden="true" r="140">
      <c r="A140" s="373">
        <v>46260</v>
      </c>
      <c r="B140" s="360" t="s">
        <v>424</v>
      </c>
      <c r="C140" s="360" t="s">
        <v>422</v>
      </c>
      <c r="D140" s="360">
        <v>5</v>
      </c>
      <c r="E140" s="359">
        <v>14</v>
      </c>
      <c r="F140" s="360">
        <v>159</v>
      </c>
      <c r="G140" s="360">
        <v>89</v>
      </c>
      <c r="H140" s="366">
        <v>34179</v>
      </c>
      <c r="I140" s="366">
        <v>33200.37</v>
      </c>
      <c r="J140" s="362">
        <f t="shared" si="1"/>
      </c>
      <c r="K140" s="362">
        <f t="shared" si="0"/>
      </c>
      <c r="L140" s="363">
        <f t="shared" si="6"/>
      </c>
      <c r="M140" s="364">
        <f t="shared" si="4"/>
      </c>
      <c r="N140" s="359">
        <v>16</v>
      </c>
      <c r="O140" s="364">
        <f t="shared" si="2"/>
      </c>
      <c r="P140" s="360" t="s">
        <v>459</v>
      </c>
      <c r="Q140" s="360">
        <v>10</v>
      </c>
    </row>
    <row hidden="true" r="141">
      <c r="A141" s="373">
        <v>46260</v>
      </c>
      <c r="B141" s="360" t="s">
        <v>421</v>
      </c>
      <c r="C141" s="360" t="s">
        <v>425</v>
      </c>
      <c r="D141" s="360">
        <v>5</v>
      </c>
      <c r="E141" s="359">
        <v>6</v>
      </c>
      <c r="F141" s="360">
        <v>56</v>
      </c>
      <c r="G141" s="360">
        <v>38</v>
      </c>
      <c r="H141" s="361">
        <v>15432.900000000001</v>
      </c>
      <c r="I141" s="361">
        <v>12757.019999999997</v>
      </c>
      <c r="J141" s="362">
        <f t="shared" si="1"/>
      </c>
      <c r="K141" s="362">
        <f t="shared" si="0"/>
      </c>
      <c r="L141" s="363">
        <f t="shared" si="6"/>
      </c>
      <c r="M141" s="364">
        <f t="shared" si="4"/>
      </c>
      <c r="N141" s="359">
        <v>9</v>
      </c>
      <c r="O141" s="364">
        <f t="shared" si="2"/>
      </c>
      <c r="P141" s="360"/>
      <c r="Q141" s="360"/>
    </row>
    <row hidden="true" r="142">
      <c r="A142" s="373">
        <v>46260</v>
      </c>
      <c r="B142" s="360" t="s">
        <v>430</v>
      </c>
      <c r="C142" s="360" t="s">
        <v>460</v>
      </c>
      <c r="D142" s="360">
        <v>5</v>
      </c>
      <c r="E142" s="359">
        <v>16</v>
      </c>
      <c r="F142" s="360">
        <v>138</v>
      </c>
      <c r="G142" s="360">
        <v>103</v>
      </c>
      <c r="H142" s="361">
        <v>37328.299999999996</v>
      </c>
      <c r="I142" s="361">
        <v>27662.729999999996</v>
      </c>
      <c r="J142" s="362">
        <f t="shared" si="1"/>
      </c>
      <c r="K142" s="362">
        <f t="shared" si="0"/>
      </c>
      <c r="L142" s="363">
        <f t="shared" si="6"/>
      </c>
      <c r="M142" s="364">
        <f t="shared" si="4"/>
      </c>
      <c r="N142" s="359">
        <v>24</v>
      </c>
      <c r="O142" s="364">
        <f t="shared" si="2"/>
      </c>
      <c r="P142" s="360" t="s">
        <v>434</v>
      </c>
      <c r="Q142" s="360">
        <v>10</v>
      </c>
    </row>
    <row hidden="true" r="143">
      <c r="A143" s="373">
        <v>46260</v>
      </c>
      <c r="B143" s="360" t="s">
        <v>428</v>
      </c>
      <c r="C143" s="360" t="s">
        <v>431</v>
      </c>
      <c r="D143" s="360">
        <v>5</v>
      </c>
      <c r="E143" s="359">
        <v>8</v>
      </c>
      <c r="F143" s="360">
        <v>155</v>
      </c>
      <c r="G143" s="360">
        <v>108</v>
      </c>
      <c r="H143" s="366">
        <v>41808</v>
      </c>
      <c r="I143" s="360">
        <f>2.11+30846.29</f>
      </c>
      <c r="J143" s="362">
        <f t="shared" si="1"/>
      </c>
      <c r="K143" s="362">
        <f t="shared" si="0"/>
      </c>
      <c r="L143" s="363">
        <f t="shared" si="6"/>
      </c>
      <c r="M143" s="364">
        <f t="shared" si="4"/>
      </c>
      <c r="N143" s="359">
        <v>28</v>
      </c>
      <c r="O143" s="364">
        <f t="shared" si="2"/>
      </c>
      <c r="P143" s="358"/>
      <c r="Q143" s="358"/>
    </row>
    <row r="144">
      <c r="A144" s="374">
        <v>46260</v>
      </c>
      <c r="B144" s="368" t="s">
        <v>433</v>
      </c>
      <c r="C144" s="368"/>
      <c r="D144" s="368">
        <f>SUM(D140:D143)</f>
      </c>
      <c r="E144" s="368">
        <f>SUM(E140:E143)</f>
      </c>
      <c r="F144" s="368">
        <f>SUM(F140:F143)</f>
      </c>
      <c r="G144" s="368">
        <f>SUM(G140:G143)</f>
      </c>
      <c r="H144" s="368">
        <f>SUM(H140:H143)</f>
      </c>
      <c r="I144" s="368">
        <f>SUM(I140:I143)</f>
      </c>
      <c r="J144" s="369">
        <f t="shared" si="1"/>
      </c>
      <c r="K144" s="370">
        <f t="shared" si="0"/>
      </c>
      <c r="L144" s="370">
        <f t="shared" si="6"/>
      </c>
      <c r="M144" s="371">
        <f t="shared" si="4"/>
      </c>
      <c r="N144" s="368">
        <f>SUM(N140:N143)</f>
      </c>
      <c r="O144" s="371">
        <f t="shared" si="2"/>
      </c>
      <c r="P144" s="372"/>
      <c r="Q144" s="368">
        <f>SUM(Q140:Q142)</f>
      </c>
    </row>
    <row hidden="true" r="145">
      <c r="A145" s="373">
        <v>46261</v>
      </c>
      <c r="B145" s="360" t="s">
        <v>435</v>
      </c>
      <c r="C145" s="360" t="s">
        <v>422</v>
      </c>
      <c r="D145" s="360">
        <v>5</v>
      </c>
      <c r="E145" s="359">
        <v>14</v>
      </c>
      <c r="F145" s="360">
        <v>141</v>
      </c>
      <c r="G145" s="360">
        <v>91</v>
      </c>
      <c r="H145" s="361">
        <v>32121.1</v>
      </c>
      <c r="I145" s="361">
        <v>36338.7</v>
      </c>
      <c r="J145" s="362">
        <f t="shared" si="1"/>
      </c>
      <c r="K145" s="362">
        <f t="shared" si="0"/>
      </c>
      <c r="L145" s="363">
        <f t="shared" si="6"/>
      </c>
      <c r="M145" s="364">
        <f t="shared" si="4"/>
      </c>
      <c r="N145" s="359">
        <v>9</v>
      </c>
      <c r="O145" s="364">
        <f t="shared" si="2"/>
      </c>
      <c r="P145" s="360" t="s">
        <v>459</v>
      </c>
      <c r="Q145" s="360">
        <v>10</v>
      </c>
    </row>
    <row hidden="true" r="146">
      <c r="A146" s="373">
        <v>46261</v>
      </c>
      <c r="B146" s="360" t="s">
        <v>424</v>
      </c>
      <c r="C146" s="360" t="s">
        <v>425</v>
      </c>
      <c r="D146" s="360">
        <v>5</v>
      </c>
      <c r="E146" s="359">
        <v>16</v>
      </c>
      <c r="F146" s="360">
        <v>215</v>
      </c>
      <c r="G146" s="360">
        <v>140</v>
      </c>
      <c r="H146" s="361">
        <v>49220.6</v>
      </c>
      <c r="I146" s="361">
        <v>40517.86</v>
      </c>
      <c r="J146" s="362">
        <f t="shared" si="1"/>
      </c>
      <c r="K146" s="362">
        <f t="shared" si="0"/>
      </c>
      <c r="L146" s="363">
        <f t="shared" si="6"/>
      </c>
      <c r="M146" s="364">
        <f t="shared" si="4"/>
      </c>
      <c r="N146" s="359">
        <v>15</v>
      </c>
      <c r="O146" s="364">
        <f t="shared" si="2"/>
      </c>
      <c r="P146" s="360"/>
      <c r="Q146" s="360"/>
    </row>
    <row hidden="true" r="147">
      <c r="A147" s="373">
        <v>46261</v>
      </c>
      <c r="B147" s="360" t="s">
        <v>421</v>
      </c>
      <c r="C147" s="360" t="s">
        <v>460</v>
      </c>
      <c r="D147" s="360">
        <v>5</v>
      </c>
      <c r="E147" s="359">
        <v>20</v>
      </c>
      <c r="F147" s="360">
        <v>216</v>
      </c>
      <c r="G147" s="360">
        <v>148</v>
      </c>
      <c r="H147" s="361">
        <v>45765.90000000001</v>
      </c>
      <c r="I147" s="361">
        <v>53992.73000000001</v>
      </c>
      <c r="J147" s="362">
        <f t="shared" si="1"/>
      </c>
      <c r="K147" s="362">
        <f t="shared" si="0"/>
      </c>
      <c r="L147" s="363">
        <f t="shared" si="6"/>
      </c>
      <c r="M147" s="364">
        <f t="shared" si="4"/>
      </c>
      <c r="N147" s="359">
        <v>24</v>
      </c>
      <c r="O147" s="364">
        <f t="shared" si="2"/>
      </c>
      <c r="P147" s="360" t="s">
        <v>434</v>
      </c>
      <c r="Q147" s="360">
        <v>10</v>
      </c>
    </row>
    <row hidden="true" r="148">
      <c r="A148" s="373">
        <v>46261</v>
      </c>
      <c r="B148" s="360" t="s">
        <v>428</v>
      </c>
      <c r="C148" s="360" t="s">
        <v>431</v>
      </c>
      <c r="D148" s="360">
        <v>5</v>
      </c>
      <c r="E148" s="359">
        <v>15</v>
      </c>
      <c r="F148" s="360">
        <v>98</v>
      </c>
      <c r="G148" s="360">
        <v>77</v>
      </c>
      <c r="H148" s="366">
        <v>28072.600000000006</v>
      </c>
      <c r="I148" s="360">
        <f>0.31+30366.11</f>
      </c>
      <c r="J148" s="362">
        <f t="shared" si="1"/>
      </c>
      <c r="K148" s="362">
        <f t="shared" si="0"/>
      </c>
      <c r="L148" s="363">
        <f t="shared" si="6"/>
      </c>
      <c r="M148" s="364">
        <f t="shared" si="4"/>
      </c>
      <c r="N148" s="359">
        <v>11</v>
      </c>
      <c r="O148" s="364">
        <f t="shared" si="2"/>
      </c>
      <c r="P148" s="358"/>
      <c r="Q148" s="358"/>
    </row>
    <row r="149">
      <c r="A149" s="374">
        <v>46261</v>
      </c>
      <c r="B149" s="368" t="s">
        <v>433</v>
      </c>
      <c r="C149" s="368"/>
      <c r="D149" s="368">
        <f>SUM(D145:D148)</f>
      </c>
      <c r="E149" s="368">
        <f>SUM(E145:E148)</f>
      </c>
      <c r="F149" s="368">
        <f>SUM(F145:F148)</f>
      </c>
      <c r="G149" s="368">
        <f>SUM(G145:G148)</f>
      </c>
      <c r="H149" s="368">
        <f>SUM(H145:H148)</f>
      </c>
      <c r="I149" s="368">
        <f>SUM(I145:I148)</f>
      </c>
      <c r="J149" s="369">
        <f t="shared" si="1"/>
      </c>
      <c r="K149" s="370">
        <f t="shared" si="0"/>
      </c>
      <c r="L149" s="370">
        <f t="shared" si="6"/>
      </c>
      <c r="M149" s="371">
        <f t="shared" si="4"/>
      </c>
      <c r="N149" s="368">
        <f>SUM(N145:N148)</f>
      </c>
      <c r="O149" s="371">
        <f t="shared" si="2"/>
      </c>
      <c r="P149" s="372"/>
      <c r="Q149" s="368">
        <f>SUM(Q145:Q147)</f>
      </c>
    </row>
    <row hidden="true" r="150">
      <c r="A150" s="373">
        <v>46262</v>
      </c>
      <c r="B150" s="360" t="s">
        <v>424</v>
      </c>
      <c r="C150" s="360" t="s">
        <v>422</v>
      </c>
      <c r="D150" s="360">
        <v>5</v>
      </c>
      <c r="E150" s="359">
        <v>12</v>
      </c>
      <c r="F150" s="360">
        <v>150</v>
      </c>
      <c r="G150" s="360">
        <v>100</v>
      </c>
      <c r="H150" s="361">
        <v>36548.4</v>
      </c>
      <c r="I150" s="361">
        <v>35347.85</v>
      </c>
      <c r="J150" s="362">
        <f t="shared" si="1"/>
      </c>
      <c r="K150" s="362">
        <f t="shared" si="0"/>
      </c>
      <c r="L150" s="363">
        <f t="shared" si="6"/>
      </c>
      <c r="M150" s="364">
        <f t="shared" si="4"/>
      </c>
      <c r="N150" s="359">
        <v>9</v>
      </c>
      <c r="O150" s="364">
        <f t="shared" si="2"/>
      </c>
      <c r="P150" s="360" t="s">
        <v>459</v>
      </c>
      <c r="Q150" s="360">
        <v>10</v>
      </c>
    </row>
    <row hidden="true" r="151">
      <c r="A151" s="373">
        <v>46262</v>
      </c>
      <c r="B151" s="360" t="s">
        <v>428</v>
      </c>
      <c r="C151" s="360" t="s">
        <v>425</v>
      </c>
      <c r="D151" s="360">
        <v>5</v>
      </c>
      <c r="E151" s="359">
        <v>12</v>
      </c>
      <c r="F151" s="360">
        <v>140</v>
      </c>
      <c r="G151" s="360">
        <v>94</v>
      </c>
      <c r="H151" s="361">
        <v>33394.700000000004</v>
      </c>
      <c r="I151" s="361">
        <v>35589.52</v>
      </c>
      <c r="J151" s="362">
        <f t="shared" si="1"/>
      </c>
      <c r="K151" s="362">
        <f t="shared" si="0"/>
      </c>
      <c r="L151" s="363">
        <f t="shared" si="6"/>
      </c>
      <c r="M151" s="364">
        <f t="shared" si="4"/>
      </c>
      <c r="N151" s="359">
        <v>9</v>
      </c>
      <c r="O151" s="364">
        <f t="shared" si="2"/>
      </c>
      <c r="P151" s="360"/>
      <c r="Q151" s="360"/>
    </row>
    <row hidden="true" r="152">
      <c r="A152" s="373">
        <v>46262</v>
      </c>
      <c r="B152" s="360" t="s">
        <v>435</v>
      </c>
      <c r="C152" s="360" t="s">
        <v>460</v>
      </c>
      <c r="D152" s="360">
        <v>5</v>
      </c>
      <c r="E152" s="359">
        <v>4</v>
      </c>
      <c r="F152" s="360">
        <v>97</v>
      </c>
      <c r="G152" s="360">
        <v>56</v>
      </c>
      <c r="H152" s="361">
        <v>17814</v>
      </c>
      <c r="I152" s="361">
        <v>26004.38000000002</v>
      </c>
      <c r="J152" s="362">
        <f t="shared" si="1"/>
      </c>
      <c r="K152" s="362">
        <f t="shared" si="0"/>
      </c>
      <c r="L152" s="363">
        <f t="shared" si="6"/>
      </c>
      <c r="M152" s="364">
        <f t="shared" si="4"/>
      </c>
      <c r="N152" s="359">
        <v>5</v>
      </c>
      <c r="O152" s="364">
        <f t="shared" si="2"/>
      </c>
      <c r="P152" s="360" t="s">
        <v>434</v>
      </c>
      <c r="Q152" s="360">
        <v>10</v>
      </c>
    </row>
    <row hidden="true" r="153">
      <c r="A153" s="373">
        <v>46262</v>
      </c>
      <c r="B153" s="360" t="s">
        <v>421</v>
      </c>
      <c r="C153" s="360" t="s">
        <v>431</v>
      </c>
      <c r="D153" s="360">
        <v>5</v>
      </c>
      <c r="E153" s="359">
        <v>6</v>
      </c>
      <c r="F153" s="360">
        <v>107</v>
      </c>
      <c r="G153" s="360">
        <v>61</v>
      </c>
      <c r="H153" s="366">
        <v>21465.399999999994</v>
      </c>
      <c r="I153" s="360">
        <f>20931.76+1.54</f>
      </c>
      <c r="J153" s="362">
        <f t="shared" si="1"/>
      </c>
      <c r="K153" s="362">
        <f t="shared" si="0"/>
      </c>
      <c r="L153" s="363">
        <f t="shared" si="6"/>
      </c>
      <c r="M153" s="364">
        <f t="shared" si="4"/>
      </c>
      <c r="N153" s="359">
        <v>7</v>
      </c>
      <c r="O153" s="364">
        <f t="shared" si="2"/>
      </c>
      <c r="P153" s="358"/>
      <c r="Q153" s="358"/>
    </row>
    <row r="154">
      <c r="A154" s="374">
        <v>46262</v>
      </c>
      <c r="B154" s="368" t="s">
        <v>433</v>
      </c>
      <c r="C154" s="368"/>
      <c r="D154" s="368">
        <f>SUM(D150:D153)</f>
      </c>
      <c r="E154" s="368">
        <f>SUM(E150:E153)</f>
      </c>
      <c r="F154" s="368">
        <f>SUM(F150:F153)</f>
      </c>
      <c r="G154" s="368">
        <f>SUM(G150:G153)</f>
      </c>
      <c r="H154" s="368">
        <f>SUM(H150:H153)</f>
      </c>
      <c r="I154" s="368">
        <f>SUM(I150:I153)</f>
      </c>
      <c r="J154" s="369">
        <f t="shared" si="1"/>
      </c>
      <c r="K154" s="370">
        <f t="shared" si="0"/>
      </c>
      <c r="L154" s="370">
        <f t="shared" si="6"/>
      </c>
      <c r="M154" s="371">
        <f t="shared" si="4"/>
      </c>
      <c r="N154" s="368">
        <f>SUM(N150:N153)</f>
      </c>
      <c r="O154" s="371">
        <f t="shared" si="2"/>
      </c>
      <c r="P154" s="372"/>
      <c r="Q154" s="368">
        <f>SUM(Q150:Q152)</f>
      </c>
    </row>
    <row hidden="true" r="155">
      <c r="A155" s="373">
        <v>46263</v>
      </c>
      <c r="B155" s="360" t="s">
        <v>424</v>
      </c>
      <c r="C155" s="360" t="s">
        <v>422</v>
      </c>
      <c r="D155" s="360">
        <v>5</v>
      </c>
      <c r="E155" s="359">
        <v>15</v>
      </c>
      <c r="F155" s="360">
        <v>121</v>
      </c>
      <c r="G155" s="360">
        <v>76</v>
      </c>
      <c r="H155" s="361">
        <v>29118.9</v>
      </c>
      <c r="I155" s="361">
        <v>28083.15</v>
      </c>
      <c r="J155" s="362">
        <f t="shared" si="1"/>
      </c>
      <c r="K155" s="362">
        <f t="shared" si="0"/>
      </c>
      <c r="L155" s="363">
        <f t="shared" si="6"/>
      </c>
      <c r="M155" s="364">
        <f t="shared" si="4"/>
      </c>
      <c r="N155" s="359">
        <v>11.346799999999998</v>
      </c>
      <c r="O155" s="364">
        <f t="shared" si="2"/>
      </c>
      <c r="P155" s="360" t="s">
        <v>461</v>
      </c>
      <c r="Q155" s="360">
        <v>10</v>
      </c>
    </row>
    <row hidden="true" r="156">
      <c r="A156" s="373">
        <v>46263</v>
      </c>
      <c r="B156" s="360" t="s">
        <v>428</v>
      </c>
      <c r="C156" s="360" t="s">
        <v>436</v>
      </c>
      <c r="D156" s="360">
        <v>5</v>
      </c>
      <c r="E156" s="359">
        <v>18</v>
      </c>
      <c r="F156" s="360">
        <v>105</v>
      </c>
      <c r="G156" s="360">
        <v>66</v>
      </c>
      <c r="H156" s="361">
        <v>23372.9</v>
      </c>
      <c r="I156" s="361">
        <v>21889.769999999997</v>
      </c>
      <c r="J156" s="362">
        <f t="shared" si="1"/>
      </c>
      <c r="K156" s="362">
        <f t="shared" si="0"/>
      </c>
      <c r="L156" s="363">
        <f t="shared" si="6"/>
      </c>
      <c r="M156" s="364">
        <f t="shared" si="4"/>
      </c>
      <c r="N156" s="359">
        <v>8</v>
      </c>
      <c r="O156" s="364">
        <f t="shared" si="2"/>
      </c>
      <c r="P156" s="360"/>
      <c r="Q156" s="360"/>
    </row>
    <row hidden="true" r="157">
      <c r="A157" s="373">
        <v>46263</v>
      </c>
      <c r="B157" s="360" t="s">
        <v>421</v>
      </c>
      <c r="C157" s="360" t="s">
        <v>437</v>
      </c>
      <c r="D157" s="360">
        <v>5</v>
      </c>
      <c r="E157" s="359">
        <v>9</v>
      </c>
      <c r="F157" s="360">
        <v>129</v>
      </c>
      <c r="G157" s="360">
        <v>90</v>
      </c>
      <c r="H157" s="361">
        <v>34737.09999999999</v>
      </c>
      <c r="I157" s="361">
        <v>28880.25</v>
      </c>
      <c r="J157" s="362">
        <f t="shared" si="1"/>
      </c>
      <c r="K157" s="362">
        <f t="shared" si="0"/>
      </c>
      <c r="L157" s="363">
        <f t="shared" si="6"/>
      </c>
      <c r="M157" s="364">
        <f t="shared" si="4"/>
      </c>
      <c r="N157" s="359">
        <v>12</v>
      </c>
      <c r="O157" s="364">
        <f t="shared" si="2"/>
      </c>
      <c r="P157" s="360" t="s">
        <v>434</v>
      </c>
      <c r="Q157" s="360">
        <v>10</v>
      </c>
    </row>
    <row hidden="true" r="158">
      <c r="A158" s="373">
        <v>46263</v>
      </c>
      <c r="B158" s="360" t="s">
        <v>435</v>
      </c>
      <c r="C158" s="360" t="s">
        <v>431</v>
      </c>
      <c r="D158" s="360">
        <v>5</v>
      </c>
      <c r="E158" s="359">
        <v>13</v>
      </c>
      <c r="F158" s="360">
        <v>115</v>
      </c>
      <c r="G158" s="360">
        <v>80</v>
      </c>
      <c r="H158" s="366">
        <v>27180.20000000001</v>
      </c>
      <c r="I158" s="360">
        <f>25308.26+0.08</f>
      </c>
      <c r="J158" s="362">
        <f t="shared" si="1"/>
      </c>
      <c r="K158" s="362">
        <f t="shared" si="0"/>
      </c>
      <c r="L158" s="363">
        <f t="shared" si="6"/>
      </c>
      <c r="M158" s="364">
        <f t="shared" si="4"/>
      </c>
      <c r="N158" s="359">
        <v>11</v>
      </c>
      <c r="O158" s="364">
        <f t="shared" si="2"/>
      </c>
      <c r="P158" s="358"/>
      <c r="Q158" s="358"/>
    </row>
    <row r="159">
      <c r="A159" s="374">
        <v>46263</v>
      </c>
      <c r="B159" s="368" t="s">
        <v>433</v>
      </c>
      <c r="C159" s="368"/>
      <c r="D159" s="368">
        <f>SUM(D155:D158)</f>
      </c>
      <c r="E159" s="368">
        <f>SUM(E155:E158)</f>
      </c>
      <c r="F159" s="368">
        <f>SUM(F155:F158)</f>
      </c>
      <c r="G159" s="368">
        <f>SUM(G155:G158)</f>
      </c>
      <c r="H159" s="368">
        <f>SUM(H155:H158)</f>
      </c>
      <c r="I159" s="368">
        <f>SUM(I155:I158)</f>
      </c>
      <c r="J159" s="369">
        <f t="shared" si="1"/>
      </c>
      <c r="K159" s="370">
        <f t="shared" si="0"/>
      </c>
      <c r="L159" s="370">
        <f t="shared" si="6"/>
      </c>
      <c r="M159" s="371">
        <f t="shared" si="4"/>
      </c>
      <c r="N159" s="368">
        <f>SUM(N155:N158)</f>
      </c>
      <c r="O159" s="371">
        <f t="shared" si="2"/>
      </c>
      <c r="P159" s="372"/>
      <c r="Q159" s="368">
        <f>SUM(Q155:Q157)</f>
      </c>
    </row>
    <row hidden="true" r="160">
      <c r="A160" s="373">
        <v>46264</v>
      </c>
      <c r="B160" s="360" t="s">
        <v>424</v>
      </c>
      <c r="C160" s="360" t="s">
        <v>422</v>
      </c>
      <c r="D160" s="360">
        <v>5</v>
      </c>
      <c r="E160" s="359">
        <v>17.7276</v>
      </c>
      <c r="F160" s="360">
        <v>207</v>
      </c>
      <c r="G160" s="360">
        <v>132</v>
      </c>
      <c r="H160" s="361">
        <v>43915.4</v>
      </c>
      <c r="I160" s="361">
        <v>40888.44</v>
      </c>
      <c r="J160" s="362">
        <f t="shared" si="1"/>
      </c>
      <c r="K160" s="362">
        <f t="shared" si="0"/>
      </c>
      <c r="L160" s="363">
        <f t="shared" si="6"/>
      </c>
      <c r="M160" s="364">
        <f t="shared" si="4"/>
      </c>
      <c r="N160" s="359">
        <v>15.048</v>
      </c>
      <c r="O160" s="364">
        <f t="shared" si="2"/>
      </c>
      <c r="P160" s="360" t="s">
        <v>461</v>
      </c>
      <c r="Q160" s="360">
        <v>10</v>
      </c>
    </row>
    <row hidden="true" r="161">
      <c r="A161" s="373">
        <v>46264</v>
      </c>
      <c r="B161" s="360" t="s">
        <v>428</v>
      </c>
      <c r="C161" s="360" t="s">
        <v>436</v>
      </c>
      <c r="D161" s="360">
        <v>5</v>
      </c>
      <c r="E161" s="359">
        <v>24</v>
      </c>
      <c r="F161" s="360">
        <v>223</v>
      </c>
      <c r="G161" s="360">
        <v>151</v>
      </c>
      <c r="H161" s="361">
        <v>53837.9</v>
      </c>
      <c r="I161" s="361">
        <v>55643.70000000001</v>
      </c>
      <c r="J161" s="362">
        <f t="shared" si="1"/>
      </c>
      <c r="K161" s="362">
        <f t="shared" si="0"/>
      </c>
      <c r="L161" s="363">
        <f t="shared" si="6"/>
      </c>
      <c r="M161" s="364">
        <f t="shared" si="4"/>
      </c>
      <c r="N161" s="359">
        <v>12</v>
      </c>
      <c r="O161" s="364">
        <f t="shared" si="2"/>
      </c>
      <c r="P161" s="360"/>
      <c r="Q161" s="360"/>
    </row>
    <row hidden="true" r="162">
      <c r="A162" s="373">
        <v>46264</v>
      </c>
      <c r="B162" s="360" t="s">
        <v>421</v>
      </c>
      <c r="C162" s="360" t="s">
        <v>437</v>
      </c>
      <c r="D162" s="360">
        <v>5</v>
      </c>
      <c r="E162" s="359">
        <v>23</v>
      </c>
      <c r="F162" s="360">
        <v>202</v>
      </c>
      <c r="G162" s="360">
        <v>130</v>
      </c>
      <c r="H162" s="361">
        <v>44209.499999999985</v>
      </c>
      <c r="I162" s="361">
        <v>46520.53</v>
      </c>
      <c r="J162" s="362">
        <f t="shared" si="1"/>
      </c>
      <c r="K162" s="362">
        <f t="shared" si="0"/>
      </c>
      <c r="L162" s="363">
        <f t="shared" si="6"/>
      </c>
      <c r="M162" s="364">
        <f t="shared" si="4"/>
      </c>
      <c r="N162" s="359">
        <v>13</v>
      </c>
      <c r="O162" s="364">
        <f t="shared" si="2"/>
      </c>
      <c r="P162" s="360" t="s">
        <v>434</v>
      </c>
      <c r="Q162" s="360">
        <v>10</v>
      </c>
    </row>
    <row hidden="true" r="163">
      <c r="A163" s="373">
        <v>46264</v>
      </c>
      <c r="B163" s="360" t="s">
        <v>435</v>
      </c>
      <c r="C163" s="360" t="s">
        <v>431</v>
      </c>
      <c r="D163" s="360">
        <v>5</v>
      </c>
      <c r="E163" s="359">
        <v>9</v>
      </c>
      <c r="F163" s="360">
        <v>141</v>
      </c>
      <c r="G163" s="360">
        <v>90</v>
      </c>
      <c r="H163" s="366">
        <v>31870.70000000001</v>
      </c>
      <c r="I163" s="360">
        <f>35367.22+0.14</f>
      </c>
      <c r="J163" s="362">
        <f t="shared" si="1"/>
      </c>
      <c r="K163" s="362">
        <f t="shared" si="0"/>
      </c>
      <c r="L163" s="363">
        <f t="shared" si="6"/>
      </c>
      <c r="M163" s="364">
        <f t="shared" si="4"/>
      </c>
      <c r="N163" s="359">
        <v>14</v>
      </c>
      <c r="O163" s="364">
        <f t="shared" si="2"/>
      </c>
      <c r="P163" s="358"/>
      <c r="Q163" s="358"/>
    </row>
    <row r="164">
      <c r="A164" s="374">
        <v>46264</v>
      </c>
      <c r="B164" s="368" t="s">
        <v>433</v>
      </c>
      <c r="C164" s="368"/>
      <c r="D164" s="368">
        <f>SUM(D160:D163)</f>
      </c>
      <c r="E164" s="368">
        <f>SUM(E160:E163)</f>
      </c>
      <c r="F164" s="368">
        <f>SUM(F160:F163)</f>
      </c>
      <c r="G164" s="368">
        <f>SUM(G160:G163)</f>
      </c>
      <c r="H164" s="368">
        <f>SUM(H160:H163)</f>
      </c>
      <c r="I164" s="368">
        <f>SUM(I160:I163)</f>
      </c>
      <c r="J164" s="369">
        <f t="shared" si="1"/>
      </c>
      <c r="K164" s="370">
        <f t="shared" si="0"/>
      </c>
      <c r="L164" s="370">
        <f t="shared" si="6"/>
      </c>
      <c r="M164" s="371">
        <f t="shared" si="4"/>
      </c>
      <c r="N164" s="368">
        <f>SUM(N160:N163)</f>
      </c>
      <c r="O164" s="371">
        <f t="shared" si="2"/>
      </c>
      <c r="P164" s="372"/>
      <c r="Q164" s="368">
        <f>SUM(Q160:Q162)</f>
      </c>
    </row>
    <row hidden="true" r="165">
      <c r="A165" s="373">
        <v>46265</v>
      </c>
      <c r="B165" s="360" t="s">
        <v>428</v>
      </c>
      <c r="C165" s="360" t="s">
        <v>422</v>
      </c>
      <c r="D165" s="375">
        <f t="shared" ref="D165:D167" si="5">5-0.16</f>
      </c>
      <c r="E165" s="359">
        <v>16</v>
      </c>
      <c r="F165" s="360">
        <v>163</v>
      </c>
      <c r="G165" s="360">
        <v>99</v>
      </c>
      <c r="H165" s="361">
        <v>35526.1</v>
      </c>
      <c r="I165" s="361">
        <v>39249.85</v>
      </c>
      <c r="J165" s="362">
        <f t="shared" si="1"/>
      </c>
      <c r="K165" s="362">
        <f t="shared" si="0"/>
      </c>
      <c r="L165" s="363">
        <f t="shared" si="6"/>
      </c>
      <c r="M165" s="364">
        <f t="shared" si="4"/>
      </c>
      <c r="N165" s="359">
        <v>11.1276</v>
      </c>
      <c r="O165" s="364">
        <f t="shared" si="2"/>
      </c>
      <c r="P165" s="360" t="s">
        <v>461</v>
      </c>
      <c r="Q165" s="360">
        <v>10</v>
      </c>
    </row>
    <row hidden="true" r="166">
      <c r="A166" s="373">
        <v>46265</v>
      </c>
      <c r="B166" s="376" t="s">
        <v>430</v>
      </c>
      <c r="C166" s="360" t="s">
        <v>436</v>
      </c>
      <c r="D166" s="375">
        <f t="shared" si="5"/>
      </c>
      <c r="E166" s="359">
        <v>13</v>
      </c>
      <c r="F166" s="360">
        <v>92</v>
      </c>
      <c r="G166" s="360">
        <v>63</v>
      </c>
      <c r="H166" s="361">
        <v>23302.300000000003</v>
      </c>
      <c r="I166" s="361">
        <v>21375.05</v>
      </c>
      <c r="J166" s="362">
        <f t="shared" si="1"/>
      </c>
      <c r="K166" s="362">
        <f t="shared" si="0"/>
      </c>
      <c r="L166" s="363">
        <f t="shared" si="6"/>
      </c>
      <c r="M166" s="364">
        <f t="shared" si="4"/>
      </c>
      <c r="N166" s="359">
        <v>8</v>
      </c>
      <c r="O166" s="364">
        <f t="shared" si="2"/>
      </c>
      <c r="P166" s="360"/>
      <c r="Q166" s="360"/>
    </row>
    <row hidden="true" r="167">
      <c r="A167" s="373">
        <v>46265</v>
      </c>
      <c r="B167" s="360" t="s">
        <v>424</v>
      </c>
      <c r="C167" s="360" t="s">
        <v>437</v>
      </c>
      <c r="D167" s="375">
        <f t="shared" si="5"/>
      </c>
      <c r="E167" s="359">
        <v>31</v>
      </c>
      <c r="F167" s="360">
        <v>202</v>
      </c>
      <c r="G167" s="360">
        <v>131</v>
      </c>
      <c r="H167" s="361">
        <v>42951.700000000004</v>
      </c>
      <c r="I167" s="361">
        <v>41908.05</v>
      </c>
      <c r="J167" s="362">
        <f t="shared" si="1"/>
      </c>
      <c r="K167" s="362">
        <f t="shared" si="0"/>
      </c>
      <c r="L167" s="363">
        <f t="shared" si="6"/>
      </c>
      <c r="M167" s="364">
        <f t="shared" si="4"/>
      </c>
      <c r="N167" s="359">
        <v>13</v>
      </c>
      <c r="O167" s="364">
        <f t="shared" si="2"/>
      </c>
      <c r="P167" s="360" t="s">
        <v>434</v>
      </c>
      <c r="Q167" s="360">
        <v>10</v>
      </c>
    </row>
    <row hidden="true" r="168">
      <c r="A168" s="373">
        <v>46265</v>
      </c>
      <c r="B168" s="360" t="s">
        <v>421</v>
      </c>
      <c r="C168" s="360" t="s">
        <v>431</v>
      </c>
      <c r="D168" s="360">
        <v>5</v>
      </c>
      <c r="E168" s="359">
        <v>24</v>
      </c>
      <c r="F168" s="360">
        <v>198</v>
      </c>
      <c r="G168" s="360">
        <v>152</v>
      </c>
      <c r="H168" s="366">
        <v>51935.79999999999</v>
      </c>
      <c r="I168" s="360">
        <v>47417.42</v>
      </c>
      <c r="J168" s="362">
        <f t="shared" si="1"/>
      </c>
      <c r="K168" s="362">
        <f t="shared" si="0"/>
      </c>
      <c r="L168" s="363">
        <f t="shared" si="6"/>
      </c>
      <c r="M168" s="364">
        <f t="shared" si="4"/>
      </c>
      <c r="N168" s="359">
        <v>31</v>
      </c>
      <c r="O168" s="364">
        <f t="shared" si="2"/>
      </c>
      <c r="P168" s="358"/>
      <c r="Q168" s="358"/>
    </row>
    <row r="169">
      <c r="A169" s="374">
        <v>46265</v>
      </c>
      <c r="B169" s="368" t="s">
        <v>433</v>
      </c>
      <c r="C169" s="368"/>
      <c r="D169" s="368">
        <f>SUM(D165:D168)</f>
      </c>
      <c r="E169" s="368">
        <f>SUM(E165:E168)</f>
      </c>
      <c r="F169" s="368">
        <f>SUM(F165:F168)</f>
      </c>
      <c r="G169" s="368">
        <f>SUM(G165:G168)</f>
      </c>
      <c r="H169" s="368">
        <f>SUM(H165:H168)</f>
      </c>
      <c r="I169" s="368">
        <f>SUM(I165:I168)</f>
      </c>
      <c r="J169" s="369">
        <f t="shared" si="1"/>
      </c>
      <c r="K169" s="370">
        <f t="shared" si="0"/>
      </c>
      <c r="L169" s="370">
        <f t="shared" si="6"/>
      </c>
      <c r="M169" s="371">
        <f t="shared" si="4"/>
      </c>
      <c r="N169" s="368">
        <f>SUM(N165:N168)</f>
      </c>
      <c r="O169" s="371">
        <f t="shared" si="2"/>
      </c>
      <c r="P169" s="372"/>
      <c r="Q169" s="368">
        <f>SUM(Q165:Q167)</f>
      </c>
    </row>
    <row hidden="true" r="170">
      <c r="Q170" s="365"/>
    </row>
    <row hidden="true" r="171">
      <c r="Q171" s="365"/>
    </row>
    <row r="172"/>
    <row r="173"/>
    <row r="174"/>
    <row r="175"/>
    <row r="176"/>
    <row r="177"/>
    <row r="178">
      <c r="H178" s="377" t="s">
        <v>462</v>
      </c>
    </row>
    <row r="179">
      <c r="H179" s="378">
        <f t="shared" ref="H179:H188" si="3">G179/F179</f>
      </c>
    </row>
    <row r="180">
      <c r="H180" s="378">
        <f t="shared" si="3"/>
      </c>
    </row>
    <row r="181">
      <c r="H181" s="378">
        <f t="shared" si="3"/>
      </c>
    </row>
    <row r="182">
      <c r="H182" s="378">
        <f t="shared" si="3"/>
      </c>
    </row>
    <row r="183">
      <c r="H183" s="378">
        <f t="shared" si="3"/>
      </c>
    </row>
    <row r="184">
      <c r="H184" s="378">
        <f t="shared" si="3"/>
      </c>
    </row>
    <row r="185">
      <c r="H185" s="378">
        <f t="shared" si="3"/>
      </c>
    </row>
    <row r="186">
      <c r="H186" s="378">
        <f t="shared" si="3"/>
      </c>
    </row>
    <row r="187">
      <c r="H187" s="378">
        <f t="shared" si="3"/>
      </c>
    </row>
    <row r="188">
      <c r="H188" s="379">
        <f t="shared" si="3"/>
      </c>
    </row>
  </sheetData>
  <autoFilter ref="A1:Q171">
    <filterColumn colId="1">
      <filters>
        <filter val="日总"/>
      </filters>
    </filterColumn>
  </autoFilter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" min="2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22" min="22" style="0" width="11.211267605633802"/>
    <col collapsed="false" customWidth="true" hidden="false" max="24" min="24" style="0" width="11.211267605633802"/>
    <col collapsed="false" customWidth="true" hidden="false" max="1" min="1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21" min="21" style="0" width="11.211267605633802"/>
    <col collapsed="false" customWidth="true" hidden="false" max="23" min="23" style="0" width="11.211267605633802"/>
  </cols>
  <sheetData>
    <row customHeight="true" ht="16.071428571428573" r="1">
      <c r="A1" s="380" t="s">
        <v>463</v>
      </c>
      <c r="B1" s="381" t="s">
        <v>464</v>
      </c>
      <c r="C1" s="381" t="s">
        <v>465</v>
      </c>
      <c r="D1" s="381" t="s">
        <v>466</v>
      </c>
      <c r="E1" s="382" t="s">
        <v>467</v>
      </c>
      <c r="F1" s="381" t="s">
        <v>468</v>
      </c>
      <c r="G1" s="381" t="s">
        <v>469</v>
      </c>
      <c r="H1" s="381" t="s">
        <v>470</v>
      </c>
      <c r="I1" s="381" t="s">
        <v>471</v>
      </c>
      <c r="J1" s="383" t="s">
        <v>472</v>
      </c>
      <c r="K1" s="383" t="s">
        <v>473</v>
      </c>
      <c r="L1" s="383" t="s">
        <v>474</v>
      </c>
      <c r="M1" s="384" t="s">
        <v>475</v>
      </c>
      <c r="N1" s="384" t="s">
        <v>476</v>
      </c>
      <c r="O1" s="384" t="s">
        <v>477</v>
      </c>
      <c r="P1" s="383" t="s">
        <v>478</v>
      </c>
      <c r="Q1" s="381" t="s">
        <v>479</v>
      </c>
    </row>
    <row r="2">
      <c r="A2" s="385" t="s">
        <v>480</v>
      </c>
      <c r="B2" s="386" t="s">
        <v>481</v>
      </c>
      <c r="C2" s="386" t="s">
        <v>482</v>
      </c>
      <c r="D2" s="386">
        <v>5</v>
      </c>
      <c r="E2" s="387">
        <v>19</v>
      </c>
      <c r="F2" s="386">
        <v>202</v>
      </c>
      <c r="G2" s="386">
        <v>122</v>
      </c>
      <c r="H2" s="388">
        <v>43819.4</v>
      </c>
      <c r="I2" s="388">
        <v>45476.990000000005</v>
      </c>
      <c r="J2" s="389">
        <f t="shared" ref="J2:J160" si="1">H2/I2</f>
      </c>
      <c r="K2" s="389">
        <f t="shared" ref="K2:K160" si="4">H2/G2</f>
      </c>
      <c r="L2" s="390">
        <f t="shared" ref="L2:L160" si="2">I2/G2</f>
      </c>
      <c r="M2" s="391">
        <f t="shared" ref="M2:M160" si="5">E2/G2</f>
      </c>
      <c r="N2" s="387">
        <v>9</v>
      </c>
      <c r="O2" s="391">
        <f t="shared" ref="O2:O160" si="3">N2/G2</f>
      </c>
      <c r="P2" s="386" t="s">
        <v>483</v>
      </c>
      <c r="Q2" s="386">
        <v>10</v>
      </c>
    </row>
    <row r="3">
      <c r="A3" s="385" t="s">
        <v>480</v>
      </c>
      <c r="B3" s="392" t="s">
        <v>484</v>
      </c>
      <c r="C3" s="386" t="s">
        <v>485</v>
      </c>
      <c r="D3" s="386">
        <v>5</v>
      </c>
      <c r="E3" s="387">
        <v>15</v>
      </c>
      <c r="F3" s="386">
        <v>114</v>
      </c>
      <c r="G3" s="386">
        <v>75</v>
      </c>
      <c r="H3" s="388">
        <v>26404.4</v>
      </c>
      <c r="I3" s="388">
        <v>29149.47</v>
      </c>
      <c r="J3" s="389">
        <f t="shared" si="1"/>
      </c>
      <c r="K3" s="389">
        <f t="shared" si="4"/>
      </c>
      <c r="L3" s="390">
        <f t="shared" si="2"/>
      </c>
      <c r="M3" s="391">
        <f t="shared" si="5"/>
      </c>
      <c r="N3" s="387">
        <v>18</v>
      </c>
      <c r="O3" s="391">
        <f t="shared" si="3"/>
      </c>
      <c r="P3" s="386"/>
      <c r="Q3" s="386"/>
    </row>
    <row r="4">
      <c r="A4" s="385" t="s">
        <v>480</v>
      </c>
      <c r="B4" s="386" t="s">
        <v>486</v>
      </c>
      <c r="C4" s="386" t="s">
        <v>487</v>
      </c>
      <c r="D4" s="386">
        <v>5</v>
      </c>
      <c r="E4" s="387">
        <v>9</v>
      </c>
      <c r="F4" s="386">
        <v>62</v>
      </c>
      <c r="G4" s="386">
        <v>43</v>
      </c>
      <c r="H4" s="388">
        <v>16505.399999999994</v>
      </c>
      <c r="I4" s="388">
        <v>17338.080000000016</v>
      </c>
      <c r="J4" s="389">
        <f t="shared" si="1"/>
      </c>
      <c r="K4" s="389">
        <f t="shared" si="4"/>
      </c>
      <c r="L4" s="390">
        <f t="shared" si="2"/>
      </c>
      <c r="M4" s="391">
        <f t="shared" si="5"/>
      </c>
      <c r="N4" s="387">
        <v>8</v>
      </c>
      <c r="O4" s="391">
        <f t="shared" si="3"/>
      </c>
      <c r="P4" s="386" t="s">
        <v>488</v>
      </c>
      <c r="Q4" s="386">
        <v>10</v>
      </c>
    </row>
    <row r="5">
      <c r="A5" s="385" t="s">
        <v>480</v>
      </c>
      <c r="B5" s="386" t="s">
        <v>489</v>
      </c>
      <c r="C5" s="386" t="s">
        <v>490</v>
      </c>
      <c r="D5" s="386">
        <v>5</v>
      </c>
      <c r="E5" s="387">
        <v>4</v>
      </c>
      <c r="F5" s="386">
        <v>81</v>
      </c>
      <c r="G5" s="386">
        <v>50</v>
      </c>
      <c r="H5" s="393">
        <v>16496.699999999997</v>
      </c>
      <c r="I5" s="393">
        <v>16435.32</v>
      </c>
      <c r="J5" s="389">
        <f t="shared" si="1"/>
      </c>
      <c r="K5" s="389">
        <f t="shared" si="4"/>
      </c>
      <c r="L5" s="390">
        <f t="shared" si="2"/>
      </c>
      <c r="M5" s="391">
        <f t="shared" si="5"/>
      </c>
      <c r="N5" s="387">
        <v>8</v>
      </c>
      <c r="O5" s="391">
        <f t="shared" si="3"/>
      </c>
      <c r="P5" s="394"/>
      <c r="Q5" s="394"/>
    </row>
    <row r="6">
      <c r="A6" s="395" t="s">
        <v>480</v>
      </c>
      <c r="B6" s="396" t="s">
        <v>491</v>
      </c>
      <c r="C6" s="396"/>
      <c r="D6" s="396">
        <f>SUM(D2:D5)</f>
      </c>
      <c r="E6" s="396">
        <f>SUM(E2:E5)</f>
      </c>
      <c r="F6" s="396">
        <f>SUM(F2:F5)</f>
      </c>
      <c r="G6" s="396">
        <f>SUM(G2:G5)</f>
      </c>
      <c r="H6" s="396">
        <f>SUM(H2:H5)</f>
      </c>
      <c r="I6" s="396">
        <f>SUM(I2:I5)</f>
      </c>
      <c r="J6" s="397">
        <f t="shared" si="1"/>
      </c>
      <c r="K6" s="398">
        <f t="shared" si="4"/>
      </c>
      <c r="L6" s="398">
        <f t="shared" si="2"/>
      </c>
      <c r="M6" s="399">
        <f t="shared" si="5"/>
      </c>
      <c r="N6" s="396">
        <f>SUM(N2:N5)</f>
      </c>
      <c r="O6" s="399">
        <f t="shared" si="3"/>
      </c>
      <c r="P6" s="400"/>
      <c r="Q6" s="396">
        <f>SUM(Q2:Q4)</f>
      </c>
    </row>
    <row r="7">
      <c r="A7" s="385" t="s">
        <v>492</v>
      </c>
      <c r="B7" s="386" t="s">
        <v>481</v>
      </c>
      <c r="C7" s="386" t="s">
        <v>482</v>
      </c>
      <c r="D7" s="386">
        <v>5</v>
      </c>
      <c r="E7" s="387">
        <v>13</v>
      </c>
      <c r="F7" s="386">
        <v>162</v>
      </c>
      <c r="G7" s="386">
        <v>108</v>
      </c>
      <c r="H7" s="388">
        <v>40399.6</v>
      </c>
      <c r="I7" s="388">
        <v>32826.81</v>
      </c>
      <c r="J7" s="389">
        <f t="shared" si="1"/>
      </c>
      <c r="K7" s="389">
        <f t="shared" si="4"/>
      </c>
      <c r="L7" s="390">
        <f t="shared" si="2"/>
      </c>
      <c r="M7" s="391">
        <f t="shared" si="5"/>
      </c>
      <c r="N7" s="387">
        <v>8</v>
      </c>
      <c r="O7" s="391">
        <f t="shared" si="3"/>
      </c>
      <c r="P7" s="386" t="s">
        <v>483</v>
      </c>
      <c r="Q7" s="386">
        <v>10</v>
      </c>
    </row>
    <row r="8">
      <c r="A8" s="385" t="s">
        <v>492</v>
      </c>
      <c r="B8" s="392" t="s">
        <v>484</v>
      </c>
      <c r="C8" s="386" t="s">
        <v>485</v>
      </c>
      <c r="D8" s="386">
        <v>5</v>
      </c>
      <c r="E8" s="387">
        <v>16</v>
      </c>
      <c r="F8" s="386">
        <v>125</v>
      </c>
      <c r="G8" s="386">
        <v>84</v>
      </c>
      <c r="H8" s="388">
        <v>29669.799999999996</v>
      </c>
      <c r="I8" s="388">
        <v>32745.86</v>
      </c>
      <c r="J8" s="389">
        <f t="shared" si="1"/>
      </c>
      <c r="K8" s="389">
        <f t="shared" si="4"/>
      </c>
      <c r="L8" s="390">
        <f t="shared" si="2"/>
      </c>
      <c r="M8" s="391">
        <f t="shared" si="5"/>
      </c>
      <c r="N8" s="387">
        <v>5</v>
      </c>
      <c r="O8" s="391">
        <f t="shared" si="3"/>
      </c>
      <c r="P8" s="386"/>
      <c r="Q8" s="386"/>
    </row>
    <row r="9">
      <c r="A9" s="385" t="s">
        <v>492</v>
      </c>
      <c r="B9" s="386" t="s">
        <v>486</v>
      </c>
      <c r="C9" s="386" t="s">
        <v>487</v>
      </c>
      <c r="D9" s="386">
        <v>5</v>
      </c>
      <c r="E9" s="387">
        <v>8</v>
      </c>
      <c r="F9" s="386">
        <v>101</v>
      </c>
      <c r="G9" s="386">
        <v>59</v>
      </c>
      <c r="H9" s="388">
        <v>26619.70000000001</v>
      </c>
      <c r="I9" s="388">
        <v>20882.270000000004</v>
      </c>
      <c r="J9" s="389">
        <f t="shared" si="1"/>
      </c>
      <c r="K9" s="389">
        <f t="shared" si="4"/>
      </c>
      <c r="L9" s="390">
        <f t="shared" si="2"/>
      </c>
      <c r="M9" s="391">
        <f t="shared" si="5"/>
      </c>
      <c r="N9" s="387">
        <v>10</v>
      </c>
      <c r="O9" s="391">
        <f t="shared" si="3"/>
      </c>
      <c r="P9" s="386" t="s">
        <v>488</v>
      </c>
      <c r="Q9" s="386">
        <v>10</v>
      </c>
    </row>
    <row r="10">
      <c r="A10" s="385" t="s">
        <v>492</v>
      </c>
      <c r="B10" s="386" t="s">
        <v>489</v>
      </c>
      <c r="C10" s="386" t="s">
        <v>490</v>
      </c>
      <c r="D10" s="386">
        <v>5</v>
      </c>
      <c r="E10" s="387">
        <v>17</v>
      </c>
      <c r="F10" s="386">
        <v>164</v>
      </c>
      <c r="G10" s="386">
        <v>86</v>
      </c>
      <c r="H10" s="393">
        <v>31742.5</v>
      </c>
      <c r="I10" s="393">
        <v>27729.36</v>
      </c>
      <c r="J10" s="389">
        <f t="shared" si="1"/>
      </c>
      <c r="K10" s="389">
        <f t="shared" si="4"/>
      </c>
      <c r="L10" s="390">
        <f t="shared" si="2"/>
      </c>
      <c r="M10" s="391">
        <f t="shared" si="5"/>
      </c>
      <c r="N10" s="387">
        <v>12</v>
      </c>
      <c r="O10" s="391">
        <f t="shared" si="3"/>
      </c>
      <c r="P10" s="394"/>
      <c r="Q10" s="394"/>
    </row>
    <row r="11">
      <c r="A11" s="395" t="s">
        <v>492</v>
      </c>
      <c r="B11" s="396" t="s">
        <v>491</v>
      </c>
      <c r="C11" s="396"/>
      <c r="D11" s="396">
        <f>SUM(D7:D10)</f>
      </c>
      <c r="E11" s="396">
        <f>SUM(E7:E10)</f>
      </c>
      <c r="F11" s="396">
        <f>SUM(F7:F10)</f>
      </c>
      <c r="G11" s="396">
        <f>SUM(G7:G10)</f>
      </c>
      <c r="H11" s="396">
        <f>SUM(H7:H10)</f>
      </c>
      <c r="I11" s="396">
        <f>SUM(I7:I10)</f>
      </c>
      <c r="J11" s="397">
        <f t="shared" si="1"/>
      </c>
      <c r="K11" s="398">
        <f t="shared" si="4"/>
      </c>
      <c r="L11" s="398">
        <f t="shared" si="2"/>
      </c>
      <c r="M11" s="399">
        <f t="shared" si="5"/>
      </c>
      <c r="N11" s="396">
        <f>SUM(N7:N10)</f>
      </c>
      <c r="O11" s="399">
        <f t="shared" si="3"/>
      </c>
      <c r="P11" s="400"/>
      <c r="Q11" s="396">
        <f>SUM(Q7:Q9)</f>
      </c>
    </row>
    <row r="12">
      <c r="A12" s="385" t="s">
        <v>493</v>
      </c>
      <c r="B12" s="386" t="s">
        <v>481</v>
      </c>
      <c r="C12" s="386" t="s">
        <v>482</v>
      </c>
      <c r="D12" s="386">
        <v>5</v>
      </c>
      <c r="E12" s="387">
        <v>17</v>
      </c>
      <c r="F12" s="386">
        <v>190</v>
      </c>
      <c r="G12" s="386">
        <v>113</v>
      </c>
      <c r="H12" s="388">
        <v>43507.9</v>
      </c>
      <c r="I12" s="388">
        <v>36851</v>
      </c>
      <c r="J12" s="389">
        <f t="shared" si="1"/>
      </c>
      <c r="K12" s="389">
        <f t="shared" si="4"/>
      </c>
      <c r="L12" s="390">
        <f t="shared" si="2"/>
      </c>
      <c r="M12" s="391">
        <f t="shared" si="5"/>
      </c>
      <c r="N12" s="387">
        <v>12</v>
      </c>
      <c r="O12" s="391">
        <f t="shared" si="3"/>
      </c>
      <c r="P12" s="386" t="s">
        <v>483</v>
      </c>
      <c r="Q12" s="386">
        <v>10</v>
      </c>
    </row>
    <row r="13">
      <c r="A13" s="385" t="s">
        <v>493</v>
      </c>
      <c r="B13" s="392" t="s">
        <v>484</v>
      </c>
      <c r="C13" s="386" t="s">
        <v>485</v>
      </c>
      <c r="D13" s="386">
        <v>5</v>
      </c>
      <c r="E13" s="387">
        <v>17</v>
      </c>
      <c r="F13" s="386">
        <v>137</v>
      </c>
      <c r="G13" s="386">
        <v>83</v>
      </c>
      <c r="H13" s="388">
        <v>24084.299999999996</v>
      </c>
      <c r="I13" s="388">
        <v>32654.979999999996</v>
      </c>
      <c r="J13" s="389">
        <f t="shared" si="1"/>
      </c>
      <c r="K13" s="389">
        <f t="shared" si="4"/>
      </c>
      <c r="L13" s="390">
        <f t="shared" si="2"/>
      </c>
      <c r="M13" s="391">
        <f t="shared" si="5"/>
      </c>
      <c r="N13" s="387">
        <v>9</v>
      </c>
      <c r="O13" s="391">
        <f t="shared" si="3"/>
      </c>
      <c r="P13" s="386"/>
      <c r="Q13" s="386"/>
    </row>
    <row r="14">
      <c r="A14" s="385" t="s">
        <v>493</v>
      </c>
      <c r="B14" s="386" t="s">
        <v>486</v>
      </c>
      <c r="C14" s="386" t="s">
        <v>487</v>
      </c>
      <c r="D14" s="386">
        <v>5</v>
      </c>
      <c r="E14" s="387">
        <v>23</v>
      </c>
      <c r="F14" s="386">
        <v>139</v>
      </c>
      <c r="G14" s="386">
        <v>93</v>
      </c>
      <c r="H14" s="388">
        <v>30893.5</v>
      </c>
      <c r="I14" s="388">
        <v>30855.32000000002</v>
      </c>
      <c r="J14" s="389">
        <f t="shared" si="1"/>
      </c>
      <c r="K14" s="389">
        <f t="shared" si="4"/>
      </c>
      <c r="L14" s="390">
        <f t="shared" si="2"/>
      </c>
      <c r="M14" s="391">
        <f t="shared" si="5"/>
      </c>
      <c r="N14" s="387">
        <v>15</v>
      </c>
      <c r="O14" s="391">
        <f t="shared" si="3"/>
      </c>
      <c r="P14" s="386" t="s">
        <v>488</v>
      </c>
      <c r="Q14" s="386">
        <v>10</v>
      </c>
    </row>
    <row r="15">
      <c r="A15" s="385" t="s">
        <v>493</v>
      </c>
      <c r="B15" s="386" t="s">
        <v>489</v>
      </c>
      <c r="C15" s="386" t="s">
        <v>490</v>
      </c>
      <c r="D15" s="386">
        <v>5</v>
      </c>
      <c r="E15" s="387">
        <v>15</v>
      </c>
      <c r="F15" s="386">
        <v>135</v>
      </c>
      <c r="G15" s="386">
        <v>88</v>
      </c>
      <c r="H15" s="393">
        <v>33227.59999999999</v>
      </c>
      <c r="I15" s="393">
        <v>28918.22</v>
      </c>
      <c r="J15" s="389">
        <f t="shared" si="1"/>
      </c>
      <c r="K15" s="389">
        <f t="shared" si="4"/>
      </c>
      <c r="L15" s="390">
        <f t="shared" si="2"/>
      </c>
      <c r="M15" s="391">
        <f t="shared" si="5"/>
      </c>
      <c r="N15" s="387">
        <v>17</v>
      </c>
      <c r="O15" s="391">
        <f t="shared" si="3"/>
      </c>
      <c r="P15" s="394"/>
      <c r="Q15" s="394"/>
    </row>
    <row r="16">
      <c r="A16" s="395" t="s">
        <v>493</v>
      </c>
      <c r="B16" s="396" t="s">
        <v>491</v>
      </c>
      <c r="C16" s="396"/>
      <c r="D16" s="396">
        <f>SUM(D12:D15)</f>
      </c>
      <c r="E16" s="396">
        <f>SUM(E12:E15)</f>
      </c>
      <c r="F16" s="396">
        <f>SUM(F12:F15)</f>
      </c>
      <c r="G16" s="396">
        <f>SUM(G12:G15)</f>
      </c>
      <c r="H16" s="396">
        <f>SUM(H12:H15)</f>
      </c>
      <c r="I16" s="396">
        <f>SUM(I12:I15)</f>
      </c>
      <c r="J16" s="397">
        <f t="shared" si="1"/>
      </c>
      <c r="K16" s="398">
        <f t="shared" si="4"/>
      </c>
      <c r="L16" s="398">
        <f t="shared" si="2"/>
      </c>
      <c r="M16" s="399">
        <f t="shared" si="5"/>
      </c>
      <c r="N16" s="396">
        <f>SUM(N12:N15)</f>
      </c>
      <c r="O16" s="399">
        <f t="shared" si="3"/>
      </c>
      <c r="P16" s="400"/>
      <c r="Q16" s="396">
        <f>SUM(Q12:Q14)</f>
      </c>
    </row>
    <row r="17">
      <c r="A17" s="385" t="s">
        <v>494</v>
      </c>
      <c r="B17" s="386" t="s">
        <v>481</v>
      </c>
      <c r="C17" s="386" t="s">
        <v>482</v>
      </c>
      <c r="D17" s="386">
        <v>5</v>
      </c>
      <c r="E17" s="387">
        <v>6</v>
      </c>
      <c r="F17" s="386">
        <v>119</v>
      </c>
      <c r="G17" s="386">
        <v>76</v>
      </c>
      <c r="H17" s="388">
        <v>27000.7</v>
      </c>
      <c r="I17" s="388">
        <v>22350.36</v>
      </c>
      <c r="J17" s="389">
        <f t="shared" si="1"/>
      </c>
      <c r="K17" s="389">
        <f t="shared" si="4"/>
      </c>
      <c r="L17" s="390">
        <f t="shared" si="2"/>
      </c>
      <c r="M17" s="391">
        <f t="shared" si="5"/>
      </c>
      <c r="N17" s="387">
        <v>13</v>
      </c>
      <c r="O17" s="391">
        <f t="shared" si="3"/>
      </c>
      <c r="P17" s="386" t="s">
        <v>483</v>
      </c>
      <c r="Q17" s="386">
        <v>10</v>
      </c>
    </row>
    <row r="18">
      <c r="A18" s="385" t="s">
        <v>494</v>
      </c>
      <c r="B18" s="392" t="s">
        <v>484</v>
      </c>
      <c r="C18" s="386" t="s">
        <v>485</v>
      </c>
      <c r="D18" s="386">
        <v>5</v>
      </c>
      <c r="E18" s="387">
        <v>14</v>
      </c>
      <c r="F18" s="386">
        <v>122</v>
      </c>
      <c r="G18" s="386">
        <v>89</v>
      </c>
      <c r="H18" s="388">
        <v>30057.999999999996</v>
      </c>
      <c r="I18" s="388">
        <v>28247.589999999997</v>
      </c>
      <c r="J18" s="389">
        <f t="shared" si="1"/>
      </c>
      <c r="K18" s="389">
        <f t="shared" si="4"/>
      </c>
      <c r="L18" s="390">
        <f t="shared" si="2"/>
      </c>
      <c r="M18" s="391">
        <f t="shared" si="5"/>
      </c>
      <c r="N18" s="387">
        <v>15</v>
      </c>
      <c r="O18" s="391">
        <f t="shared" si="3"/>
      </c>
      <c r="P18" s="386"/>
      <c r="Q18" s="386"/>
    </row>
    <row r="19">
      <c r="A19" s="385" t="s">
        <v>494</v>
      </c>
      <c r="B19" s="386" t="s">
        <v>489</v>
      </c>
      <c r="C19" s="386" t="s">
        <v>487</v>
      </c>
      <c r="D19" s="386">
        <v>5</v>
      </c>
      <c r="E19" s="387">
        <v>20</v>
      </c>
      <c r="F19" s="386">
        <v>169</v>
      </c>
      <c r="G19" s="386">
        <v>100</v>
      </c>
      <c r="H19" s="388">
        <v>33903.2</v>
      </c>
      <c r="I19" s="388">
        <v>36200.95000000001</v>
      </c>
      <c r="J19" s="389">
        <f t="shared" si="1"/>
      </c>
      <c r="K19" s="389">
        <f t="shared" si="4"/>
      </c>
      <c r="L19" s="390">
        <f t="shared" si="2"/>
      </c>
      <c r="M19" s="391">
        <f t="shared" si="5"/>
      </c>
      <c r="N19" s="387">
        <v>7</v>
      </c>
      <c r="O19" s="391">
        <f t="shared" si="3"/>
      </c>
      <c r="P19" s="386" t="s">
        <v>488</v>
      </c>
      <c r="Q19" s="386">
        <v>10</v>
      </c>
    </row>
    <row r="20">
      <c r="A20" s="385" t="s">
        <v>494</v>
      </c>
      <c r="B20" s="386" t="s">
        <v>486</v>
      </c>
      <c r="C20" s="386" t="s">
        <v>490</v>
      </c>
      <c r="D20" s="386">
        <v>5</v>
      </c>
      <c r="E20" s="387">
        <v>16</v>
      </c>
      <c r="F20" s="386">
        <v>135</v>
      </c>
      <c r="G20" s="386">
        <v>96</v>
      </c>
      <c r="H20" s="393">
        <v>31790.40000000001</v>
      </c>
      <c r="I20" s="393">
        <v>32464.83</v>
      </c>
      <c r="J20" s="389">
        <f t="shared" si="1"/>
      </c>
      <c r="K20" s="389">
        <f t="shared" si="4"/>
      </c>
      <c r="L20" s="390">
        <f t="shared" si="2"/>
      </c>
      <c r="M20" s="391">
        <f t="shared" si="5"/>
      </c>
      <c r="N20" s="387">
        <v>12</v>
      </c>
      <c r="O20" s="391">
        <f t="shared" si="3"/>
      </c>
      <c r="P20" s="394"/>
      <c r="Q20" s="394"/>
    </row>
    <row r="21">
      <c r="A21" s="395" t="s">
        <v>494</v>
      </c>
      <c r="B21" s="396" t="s">
        <v>491</v>
      </c>
      <c r="C21" s="396"/>
      <c r="D21" s="396">
        <f>SUM(D17:D20)</f>
      </c>
      <c r="E21" s="396">
        <f>SUM(E17:E20)</f>
      </c>
      <c r="F21" s="396">
        <f>SUM(F17:F20)</f>
      </c>
      <c r="G21" s="396">
        <f>SUM(G17:G20)</f>
      </c>
      <c r="H21" s="396">
        <f>SUM(H17:H20)</f>
      </c>
      <c r="I21" s="396">
        <f>SUM(I17:I20)</f>
      </c>
      <c r="J21" s="397">
        <f t="shared" si="1"/>
      </c>
      <c r="K21" s="398">
        <f t="shared" si="4"/>
      </c>
      <c r="L21" s="398">
        <f t="shared" si="2"/>
      </c>
      <c r="M21" s="399">
        <f t="shared" si="5"/>
      </c>
      <c r="N21" s="396">
        <f>SUM(N17:N20)</f>
      </c>
      <c r="O21" s="399">
        <f t="shared" si="3"/>
      </c>
      <c r="P21" s="400"/>
      <c r="Q21" s="396">
        <f>SUM(Q17:Q19)</f>
      </c>
    </row>
    <row r="22">
      <c r="A22" s="385" t="s">
        <v>495</v>
      </c>
      <c r="B22" s="386" t="s">
        <v>481</v>
      </c>
      <c r="C22" s="386" t="s">
        <v>482</v>
      </c>
      <c r="D22" s="386">
        <v>5</v>
      </c>
      <c r="E22" s="387">
        <v>15</v>
      </c>
      <c r="F22" s="386">
        <v>150</v>
      </c>
      <c r="G22" s="386">
        <v>86</v>
      </c>
      <c r="H22" s="388">
        <v>30338.3</v>
      </c>
      <c r="I22" s="388">
        <v>38552.740000000005</v>
      </c>
      <c r="J22" s="389">
        <f t="shared" si="1"/>
      </c>
      <c r="K22" s="389">
        <f t="shared" si="4"/>
      </c>
      <c r="L22" s="390">
        <f t="shared" si="2"/>
      </c>
      <c r="M22" s="391">
        <f t="shared" si="5"/>
      </c>
      <c r="N22" s="387">
        <v>7</v>
      </c>
      <c r="O22" s="391">
        <f t="shared" si="3"/>
      </c>
      <c r="P22" s="386" t="s">
        <v>496</v>
      </c>
      <c r="Q22" s="386">
        <v>10</v>
      </c>
    </row>
    <row r="23">
      <c r="A23" s="385" t="s">
        <v>495</v>
      </c>
      <c r="B23" s="386" t="s">
        <v>489</v>
      </c>
      <c r="C23" s="386" t="s">
        <v>485</v>
      </c>
      <c r="D23" s="386">
        <v>5</v>
      </c>
      <c r="E23" s="387">
        <v>15</v>
      </c>
      <c r="F23" s="386">
        <v>171</v>
      </c>
      <c r="G23" s="386">
        <v>107</v>
      </c>
      <c r="H23" s="388">
        <v>35917.59999999999</v>
      </c>
      <c r="I23" s="388">
        <v>32186.039999999994</v>
      </c>
      <c r="J23" s="389">
        <f t="shared" si="1"/>
      </c>
      <c r="K23" s="389">
        <f t="shared" si="4"/>
      </c>
      <c r="L23" s="390">
        <f t="shared" si="2"/>
      </c>
      <c r="M23" s="391">
        <f t="shared" si="5"/>
      </c>
      <c r="N23" s="387">
        <v>12</v>
      </c>
      <c r="O23" s="391">
        <f t="shared" si="3"/>
      </c>
      <c r="P23" s="386"/>
      <c r="Q23" s="386"/>
    </row>
    <row r="24">
      <c r="A24" s="385" t="s">
        <v>495</v>
      </c>
      <c r="B24" s="386" t="s">
        <v>486</v>
      </c>
      <c r="C24" s="386" t="s">
        <v>487</v>
      </c>
      <c r="D24" s="386">
        <v>5</v>
      </c>
      <c r="E24" s="387">
        <v>9</v>
      </c>
      <c r="F24" s="386">
        <v>138</v>
      </c>
      <c r="G24" s="386">
        <v>83</v>
      </c>
      <c r="H24" s="388">
        <v>26231.800000000003</v>
      </c>
      <c r="I24" s="388">
        <v>31463.08</v>
      </c>
      <c r="J24" s="389">
        <f t="shared" si="1"/>
      </c>
      <c r="K24" s="389">
        <f t="shared" si="4"/>
      </c>
      <c r="L24" s="390">
        <f t="shared" si="2"/>
      </c>
      <c r="M24" s="391">
        <f t="shared" si="5"/>
      </c>
      <c r="N24" s="387">
        <v>12</v>
      </c>
      <c r="O24" s="391">
        <f t="shared" si="3"/>
      </c>
      <c r="P24" s="386" t="s">
        <v>488</v>
      </c>
      <c r="Q24" s="386">
        <v>10</v>
      </c>
    </row>
    <row r="25">
      <c r="A25" s="385" t="s">
        <v>495</v>
      </c>
      <c r="B25" s="386" t="s">
        <v>497</v>
      </c>
      <c r="C25" s="386" t="s">
        <v>490</v>
      </c>
      <c r="D25" s="386">
        <v>5</v>
      </c>
      <c r="E25" s="387">
        <v>12</v>
      </c>
      <c r="F25" s="386">
        <v>204</v>
      </c>
      <c r="G25" s="386">
        <v>142</v>
      </c>
      <c r="H25" s="393">
        <v>52075.000000000015</v>
      </c>
      <c r="I25" s="393">
        <v>43949.67</v>
      </c>
      <c r="J25" s="389">
        <f t="shared" si="1"/>
      </c>
      <c r="K25" s="389">
        <f t="shared" si="4"/>
      </c>
      <c r="L25" s="390">
        <f t="shared" si="2"/>
      </c>
      <c r="M25" s="391">
        <f t="shared" si="5"/>
      </c>
      <c r="N25" s="387">
        <v>16</v>
      </c>
      <c r="O25" s="391">
        <f t="shared" si="3"/>
      </c>
      <c r="P25" s="394"/>
      <c r="Q25" s="394"/>
    </row>
    <row r="26">
      <c r="A26" s="395" t="s">
        <v>495</v>
      </c>
      <c r="B26" s="396" t="s">
        <v>491</v>
      </c>
      <c r="C26" s="396"/>
      <c r="D26" s="396">
        <f>SUM(D22:D25)</f>
      </c>
      <c r="E26" s="396">
        <f>SUM(E22:E25)</f>
      </c>
      <c r="F26" s="396">
        <f>SUM(F22:F25)</f>
      </c>
      <c r="G26" s="396">
        <f>SUM(G22:G25)</f>
      </c>
      <c r="H26" s="396">
        <f>SUM(H22:H25)</f>
      </c>
      <c r="I26" s="396">
        <f>SUM(I22:I25)</f>
      </c>
      <c r="J26" s="397">
        <f t="shared" si="1"/>
      </c>
      <c r="K26" s="398">
        <f t="shared" si="4"/>
      </c>
      <c r="L26" s="398">
        <f t="shared" si="2"/>
      </c>
      <c r="M26" s="399">
        <f t="shared" si="5"/>
      </c>
      <c r="N26" s="396">
        <f>SUM(N22:N25)</f>
      </c>
      <c r="O26" s="399">
        <f t="shared" si="3"/>
      </c>
      <c r="P26" s="400"/>
      <c r="Q26" s="396">
        <f>SUM(Q22:Q24)</f>
      </c>
    </row>
    <row r="27">
      <c r="A27" s="385" t="s">
        <v>498</v>
      </c>
      <c r="B27" s="386" t="s">
        <v>481</v>
      </c>
      <c r="C27" s="386" t="s">
        <v>482</v>
      </c>
      <c r="D27" s="386">
        <v>5</v>
      </c>
      <c r="E27" s="387">
        <v>34</v>
      </c>
      <c r="F27" s="386">
        <v>350</v>
      </c>
      <c r="G27" s="386">
        <v>236</v>
      </c>
      <c r="H27" s="388">
        <v>77273</v>
      </c>
      <c r="I27" s="388">
        <v>70358.31999999999</v>
      </c>
      <c r="J27" s="389">
        <f t="shared" si="1"/>
      </c>
      <c r="K27" s="389">
        <f t="shared" si="4"/>
      </c>
      <c r="L27" s="390">
        <f t="shared" si="2"/>
      </c>
      <c r="M27" s="391">
        <f t="shared" si="5"/>
      </c>
      <c r="N27" s="387">
        <v>36</v>
      </c>
      <c r="O27" s="391">
        <f t="shared" si="3"/>
      </c>
      <c r="P27" s="386" t="s">
        <v>496</v>
      </c>
      <c r="Q27" s="386">
        <v>10</v>
      </c>
    </row>
    <row r="28">
      <c r="A28" s="385" t="s">
        <v>498</v>
      </c>
      <c r="B28" s="386" t="s">
        <v>489</v>
      </c>
      <c r="C28" s="386" t="s">
        <v>485</v>
      </c>
      <c r="D28" s="386">
        <v>5</v>
      </c>
      <c r="E28" s="387">
        <v>16</v>
      </c>
      <c r="F28" s="386">
        <v>173</v>
      </c>
      <c r="G28" s="386">
        <v>110</v>
      </c>
      <c r="H28" s="388">
        <v>39875.899999999994</v>
      </c>
      <c r="I28" s="388">
        <v>44357.880000000005</v>
      </c>
      <c r="J28" s="389">
        <f t="shared" si="1"/>
      </c>
      <c r="K28" s="389">
        <f t="shared" si="4"/>
      </c>
      <c r="L28" s="390">
        <f t="shared" si="2"/>
      </c>
      <c r="M28" s="391">
        <f t="shared" si="5"/>
      </c>
      <c r="N28" s="387">
        <v>14</v>
      </c>
      <c r="O28" s="391">
        <f t="shared" si="3"/>
      </c>
      <c r="P28" s="386"/>
      <c r="Q28" s="386"/>
    </row>
    <row r="29">
      <c r="A29" s="385" t="s">
        <v>498</v>
      </c>
      <c r="B29" s="386" t="s">
        <v>484</v>
      </c>
      <c r="C29" s="386" t="s">
        <v>487</v>
      </c>
      <c r="D29" s="386">
        <v>5</v>
      </c>
      <c r="E29" s="387">
        <v>8</v>
      </c>
      <c r="F29" s="386">
        <v>126</v>
      </c>
      <c r="G29" s="386">
        <v>80</v>
      </c>
      <c r="H29" s="388">
        <v>26796.70000000001</v>
      </c>
      <c r="I29" s="388">
        <v>32151.689999999988</v>
      </c>
      <c r="J29" s="389">
        <f t="shared" si="1"/>
      </c>
      <c r="K29" s="389">
        <f t="shared" si="4"/>
      </c>
      <c r="L29" s="390">
        <f t="shared" si="2"/>
      </c>
      <c r="M29" s="391">
        <f t="shared" si="5"/>
      </c>
      <c r="N29" s="387">
        <v>12</v>
      </c>
      <c r="O29" s="391">
        <f t="shared" si="3"/>
      </c>
      <c r="P29" s="386" t="s">
        <v>488</v>
      </c>
      <c r="Q29" s="386">
        <v>10</v>
      </c>
    </row>
    <row r="30">
      <c r="A30" s="385" t="s">
        <v>498</v>
      </c>
      <c r="B30" s="386" t="s">
        <v>497</v>
      </c>
      <c r="C30" s="386" t="s">
        <v>490</v>
      </c>
      <c r="D30" s="386">
        <v>5</v>
      </c>
      <c r="E30" s="387">
        <v>22</v>
      </c>
      <c r="F30" s="386">
        <v>194</v>
      </c>
      <c r="G30" s="386">
        <v>141</v>
      </c>
      <c r="H30" s="393">
        <v>51038</v>
      </c>
      <c r="I30" s="393">
        <v>41765.68</v>
      </c>
      <c r="J30" s="389">
        <f t="shared" si="1"/>
      </c>
      <c r="K30" s="389">
        <f t="shared" si="4"/>
      </c>
      <c r="L30" s="390">
        <f t="shared" si="2"/>
      </c>
      <c r="M30" s="391">
        <f t="shared" si="5"/>
      </c>
      <c r="N30" s="387">
        <v>29</v>
      </c>
      <c r="O30" s="391">
        <f t="shared" si="3"/>
      </c>
      <c r="P30" s="394"/>
      <c r="Q30" s="394"/>
    </row>
    <row r="31">
      <c r="A31" s="395" t="s">
        <v>498</v>
      </c>
      <c r="B31" s="396" t="s">
        <v>491</v>
      </c>
      <c r="C31" s="396"/>
      <c r="D31" s="396">
        <f>SUM(D27:D30)</f>
      </c>
      <c r="E31" s="396">
        <f>SUM(E27:E30)</f>
      </c>
      <c r="F31" s="396">
        <f>SUM(F27:F30)</f>
      </c>
      <c r="G31" s="396">
        <f>SUM(G27:G30)</f>
      </c>
      <c r="H31" s="396">
        <f>SUM(H27:H30)</f>
      </c>
      <c r="I31" s="396">
        <f>SUM(I27:I30)</f>
      </c>
      <c r="J31" s="397">
        <f t="shared" si="1"/>
      </c>
      <c r="K31" s="398">
        <f t="shared" si="4"/>
      </c>
      <c r="L31" s="398">
        <f t="shared" si="2"/>
      </c>
      <c r="M31" s="399">
        <f t="shared" si="5"/>
      </c>
      <c r="N31" s="396">
        <f>SUM(N27:N30)</f>
      </c>
      <c r="O31" s="399">
        <f t="shared" si="3"/>
      </c>
      <c r="P31" s="400"/>
      <c r="Q31" s="396">
        <f>SUM(Q27:Q29)</f>
      </c>
    </row>
    <row r="32">
      <c r="A32" s="385" t="s">
        <v>499</v>
      </c>
      <c r="B32" s="386" t="s">
        <v>481</v>
      </c>
      <c r="C32" s="386" t="s">
        <v>482</v>
      </c>
      <c r="D32" s="386">
        <v>5</v>
      </c>
      <c r="E32" s="387">
        <v>17</v>
      </c>
      <c r="F32" s="386">
        <v>310</v>
      </c>
      <c r="G32" s="386">
        <v>217</v>
      </c>
      <c r="H32" s="388">
        <v>75752.4</v>
      </c>
      <c r="I32" s="388">
        <v>67582.79999999999</v>
      </c>
      <c r="J32" s="389">
        <f t="shared" si="1"/>
      </c>
      <c r="K32" s="389">
        <f t="shared" si="4"/>
      </c>
      <c r="L32" s="390">
        <f t="shared" si="2"/>
      </c>
      <c r="M32" s="391">
        <f t="shared" si="5"/>
      </c>
      <c r="N32" s="387">
        <v>25</v>
      </c>
      <c r="O32" s="391">
        <f t="shared" si="3"/>
      </c>
      <c r="P32" s="386" t="s">
        <v>500</v>
      </c>
      <c r="Q32" s="386">
        <v>10</v>
      </c>
    </row>
    <row r="33">
      <c r="A33" s="385" t="s">
        <v>499</v>
      </c>
      <c r="B33" s="386" t="s">
        <v>484</v>
      </c>
      <c r="C33" s="386" t="s">
        <v>485</v>
      </c>
      <c r="D33" s="386">
        <v>5</v>
      </c>
      <c r="E33" s="387">
        <v>20</v>
      </c>
      <c r="F33" s="386">
        <v>144</v>
      </c>
      <c r="G33" s="386">
        <v>82</v>
      </c>
      <c r="H33" s="388">
        <v>28096.600000000006</v>
      </c>
      <c r="I33" s="388">
        <v>35620.869999999995</v>
      </c>
      <c r="J33" s="389">
        <f t="shared" si="1"/>
      </c>
      <c r="K33" s="389">
        <f t="shared" si="4"/>
      </c>
      <c r="L33" s="390">
        <f t="shared" si="2"/>
      </c>
      <c r="M33" s="391">
        <f t="shared" si="5"/>
      </c>
      <c r="N33" s="387">
        <v>11</v>
      </c>
      <c r="O33" s="391">
        <f t="shared" si="3"/>
      </c>
      <c r="P33" s="386"/>
      <c r="Q33" s="386"/>
    </row>
    <row r="34">
      <c r="A34" s="385" t="s">
        <v>499</v>
      </c>
      <c r="B34" s="386" t="s">
        <v>486</v>
      </c>
      <c r="C34" s="386" t="s">
        <v>487</v>
      </c>
      <c r="D34" s="386">
        <v>5</v>
      </c>
      <c r="E34" s="387">
        <v>16</v>
      </c>
      <c r="F34" s="386">
        <v>149</v>
      </c>
      <c r="G34" s="386">
        <v>93</v>
      </c>
      <c r="H34" s="388">
        <v>32307.79999999999</v>
      </c>
      <c r="I34" s="388">
        <v>36172.830000000016</v>
      </c>
      <c r="J34" s="389">
        <f t="shared" si="1"/>
      </c>
      <c r="K34" s="389">
        <f t="shared" si="4"/>
      </c>
      <c r="L34" s="390">
        <f t="shared" si="2"/>
      </c>
      <c r="M34" s="391">
        <f t="shared" si="5"/>
      </c>
      <c r="N34" s="387">
        <v>13</v>
      </c>
      <c r="O34" s="391">
        <f t="shared" si="3"/>
      </c>
      <c r="P34" s="386" t="s">
        <v>501</v>
      </c>
      <c r="Q34" s="386">
        <v>10</v>
      </c>
    </row>
    <row r="35">
      <c r="A35" s="385" t="s">
        <v>499</v>
      </c>
      <c r="B35" s="386" t="s">
        <v>497</v>
      </c>
      <c r="C35" s="386" t="s">
        <v>490</v>
      </c>
      <c r="D35" s="386">
        <v>5</v>
      </c>
      <c r="E35" s="387">
        <v>17</v>
      </c>
      <c r="F35" s="386">
        <v>145</v>
      </c>
      <c r="G35" s="386">
        <v>95</v>
      </c>
      <c r="H35" s="393">
        <v>36627.70000000001</v>
      </c>
      <c r="I35" s="393">
        <v>32408.85</v>
      </c>
      <c r="J35" s="389">
        <f t="shared" si="1"/>
      </c>
      <c r="K35" s="389">
        <f t="shared" si="4"/>
      </c>
      <c r="L35" s="390">
        <f t="shared" si="2"/>
      </c>
      <c r="M35" s="391">
        <f t="shared" si="5"/>
      </c>
      <c r="N35" s="387">
        <v>18</v>
      </c>
      <c r="O35" s="391">
        <f t="shared" si="3"/>
      </c>
      <c r="P35" s="394"/>
      <c r="Q35" s="394"/>
    </row>
    <row r="36">
      <c r="A36" s="395" t="s">
        <v>499</v>
      </c>
      <c r="B36" s="396" t="s">
        <v>491</v>
      </c>
      <c r="C36" s="396"/>
      <c r="D36" s="396">
        <f>SUM(D32:D35)</f>
      </c>
      <c r="E36" s="396">
        <f>SUM(E32:E35)</f>
      </c>
      <c r="F36" s="396">
        <f>SUM(F32:F35)</f>
      </c>
      <c r="G36" s="396">
        <f>SUM(G32:G35)</f>
      </c>
      <c r="H36" s="396">
        <f>SUM(H32:H35)</f>
      </c>
      <c r="I36" s="396">
        <f>SUM(I32:I35)</f>
      </c>
      <c r="J36" s="397">
        <f t="shared" si="1"/>
      </c>
      <c r="K36" s="398">
        <f t="shared" si="4"/>
      </c>
      <c r="L36" s="398">
        <f t="shared" si="2"/>
      </c>
      <c r="M36" s="399">
        <f t="shared" si="5"/>
      </c>
      <c r="N36" s="396">
        <f>SUM(N32:N35)</f>
      </c>
      <c r="O36" s="399">
        <f t="shared" si="3"/>
      </c>
      <c r="P36" s="400"/>
      <c r="Q36" s="396">
        <f>SUM(Q32:Q34)</f>
      </c>
    </row>
    <row r="37">
      <c r="A37" s="385" t="s">
        <v>502</v>
      </c>
      <c r="B37" s="386" t="s">
        <v>481</v>
      </c>
      <c r="C37" s="386" t="s">
        <v>482</v>
      </c>
      <c r="D37" s="386">
        <v>5</v>
      </c>
      <c r="E37" s="387">
        <v>25</v>
      </c>
      <c r="F37" s="386">
        <v>230</v>
      </c>
      <c r="G37" s="386">
        <v>157</v>
      </c>
      <c r="H37" s="388">
        <v>48992.2</v>
      </c>
      <c r="I37" s="388">
        <v>49206.65</v>
      </c>
      <c r="J37" s="389">
        <f t="shared" si="1"/>
      </c>
      <c r="K37" s="389">
        <f t="shared" si="4"/>
      </c>
      <c r="L37" s="390">
        <f t="shared" si="2"/>
      </c>
      <c r="M37" s="391">
        <f t="shared" si="5"/>
      </c>
      <c r="N37" s="387">
        <v>16</v>
      </c>
      <c r="O37" s="391">
        <f t="shared" si="3"/>
      </c>
      <c r="P37" s="386" t="s">
        <v>503</v>
      </c>
      <c r="Q37" s="386">
        <v>10</v>
      </c>
    </row>
    <row r="38">
      <c r="A38" s="385" t="s">
        <v>502</v>
      </c>
      <c r="B38" s="386" t="s">
        <v>497</v>
      </c>
      <c r="C38" s="386" t="s">
        <v>485</v>
      </c>
      <c r="D38" s="386">
        <v>5</v>
      </c>
      <c r="E38" s="387">
        <v>25</v>
      </c>
      <c r="F38" s="386">
        <v>236</v>
      </c>
      <c r="G38" s="386">
        <v>152</v>
      </c>
      <c r="H38" s="388">
        <v>50788.5</v>
      </c>
      <c r="I38" s="388">
        <v>51680.159999999996</v>
      </c>
      <c r="J38" s="389">
        <f t="shared" si="1"/>
      </c>
      <c r="K38" s="389">
        <f t="shared" si="4"/>
      </c>
      <c r="L38" s="390">
        <f t="shared" si="2"/>
      </c>
      <c r="M38" s="391">
        <f t="shared" si="5"/>
      </c>
      <c r="N38" s="387">
        <v>17</v>
      </c>
      <c r="O38" s="391">
        <f t="shared" si="3"/>
      </c>
      <c r="P38" s="386"/>
      <c r="Q38" s="386"/>
    </row>
    <row r="39">
      <c r="A39" s="385" t="s">
        <v>502</v>
      </c>
      <c r="B39" s="386" t="s">
        <v>486</v>
      </c>
      <c r="C39" s="386" t="s">
        <v>487</v>
      </c>
      <c r="D39" s="386">
        <v>5</v>
      </c>
      <c r="E39" s="387">
        <v>13</v>
      </c>
      <c r="F39" s="386">
        <v>139</v>
      </c>
      <c r="G39" s="386">
        <v>96</v>
      </c>
      <c r="H39" s="388">
        <v>31446.199999999997</v>
      </c>
      <c r="I39" s="388">
        <v>38187.71999999997</v>
      </c>
      <c r="J39" s="389">
        <f t="shared" si="1"/>
      </c>
      <c r="K39" s="389">
        <f t="shared" si="4"/>
      </c>
      <c r="L39" s="390">
        <f t="shared" si="2"/>
      </c>
      <c r="M39" s="391">
        <f t="shared" si="5"/>
      </c>
      <c r="N39" s="387">
        <v>13</v>
      </c>
      <c r="O39" s="391">
        <f t="shared" si="3"/>
      </c>
      <c r="P39" s="386" t="s">
        <v>501</v>
      </c>
      <c r="Q39" s="386">
        <v>10</v>
      </c>
    </row>
    <row r="40">
      <c r="A40" s="385" t="s">
        <v>502</v>
      </c>
      <c r="B40" s="386" t="s">
        <v>489</v>
      </c>
      <c r="C40" s="386" t="s">
        <v>490</v>
      </c>
      <c r="D40" s="386">
        <v>5</v>
      </c>
      <c r="E40" s="387">
        <v>17</v>
      </c>
      <c r="F40" s="386">
        <v>169</v>
      </c>
      <c r="G40" s="386">
        <v>110</v>
      </c>
      <c r="H40" s="393">
        <v>36601.70000000001</v>
      </c>
      <c r="I40" s="393">
        <v>36328.57</v>
      </c>
      <c r="J40" s="389">
        <f t="shared" si="1"/>
      </c>
      <c r="K40" s="389">
        <f t="shared" si="4"/>
      </c>
      <c r="L40" s="390">
        <f t="shared" si="2"/>
      </c>
      <c r="M40" s="391">
        <f t="shared" si="5"/>
      </c>
      <c r="N40" s="387">
        <v>12</v>
      </c>
      <c r="O40" s="391">
        <f t="shared" si="3"/>
      </c>
      <c r="P40" s="394"/>
      <c r="Q40" s="394"/>
    </row>
    <row r="41">
      <c r="A41" s="395" t="s">
        <v>502</v>
      </c>
      <c r="B41" s="396" t="s">
        <v>491</v>
      </c>
      <c r="C41" s="396"/>
      <c r="D41" s="396">
        <f>SUM(D37:D40)</f>
      </c>
      <c r="E41" s="396">
        <f>SUM(E37:E40)</f>
      </c>
      <c r="F41" s="396">
        <f>SUM(F37:F40)</f>
      </c>
      <c r="G41" s="396">
        <f>SUM(G37:G40)</f>
      </c>
      <c r="H41" s="396">
        <f>SUM(H37:H40)</f>
      </c>
      <c r="I41" s="396">
        <f>SUM(I37:I40)</f>
      </c>
      <c r="J41" s="397">
        <f t="shared" si="1"/>
      </c>
      <c r="K41" s="398">
        <f t="shared" si="4"/>
      </c>
      <c r="L41" s="398">
        <f t="shared" si="2"/>
      </c>
      <c r="M41" s="399">
        <f t="shared" si="5"/>
      </c>
      <c r="N41" s="396">
        <f>SUM(N37:N40)</f>
      </c>
      <c r="O41" s="399">
        <f t="shared" si="3"/>
      </c>
      <c r="P41" s="400"/>
      <c r="Q41" s="396">
        <f>SUM(Q37:Q39)</f>
      </c>
    </row>
    <row r="42">
      <c r="A42" s="385" t="s">
        <v>504</v>
      </c>
      <c r="B42" s="386" t="s">
        <v>481</v>
      </c>
      <c r="C42" s="386" t="s">
        <v>482</v>
      </c>
      <c r="D42" s="386">
        <v>5</v>
      </c>
      <c r="E42" s="387">
        <v>20</v>
      </c>
      <c r="F42" s="386">
        <v>175</v>
      </c>
      <c r="G42" s="386">
        <v>114</v>
      </c>
      <c r="H42" s="388">
        <v>35262.3</v>
      </c>
      <c r="I42" s="388">
        <v>41867.729999999996</v>
      </c>
      <c r="J42" s="389">
        <f t="shared" si="1"/>
      </c>
      <c r="K42" s="389">
        <f t="shared" si="4"/>
      </c>
      <c r="L42" s="390">
        <f t="shared" si="2"/>
      </c>
      <c r="M42" s="391">
        <f t="shared" si="5"/>
      </c>
      <c r="N42" s="387">
        <v>9</v>
      </c>
      <c r="O42" s="391">
        <f t="shared" si="3"/>
      </c>
      <c r="P42" s="386" t="s">
        <v>500</v>
      </c>
      <c r="Q42" s="386">
        <v>10</v>
      </c>
    </row>
    <row r="43">
      <c r="A43" s="385" t="s">
        <v>504</v>
      </c>
      <c r="B43" s="386" t="s">
        <v>497</v>
      </c>
      <c r="C43" s="386" t="s">
        <v>485</v>
      </c>
      <c r="D43" s="386">
        <v>5</v>
      </c>
      <c r="E43" s="387">
        <v>11</v>
      </c>
      <c r="F43" s="386">
        <v>135</v>
      </c>
      <c r="G43" s="386">
        <v>81</v>
      </c>
      <c r="H43" s="388">
        <v>28033.799999999996</v>
      </c>
      <c r="I43" s="388">
        <v>24606.819999999992</v>
      </c>
      <c r="J43" s="389">
        <f t="shared" si="1"/>
      </c>
      <c r="K43" s="389">
        <f t="shared" si="4"/>
      </c>
      <c r="L43" s="390">
        <f t="shared" si="2"/>
      </c>
      <c r="M43" s="391">
        <f t="shared" si="5"/>
      </c>
      <c r="N43" s="387">
        <v>11</v>
      </c>
      <c r="O43" s="391">
        <f t="shared" si="3"/>
      </c>
      <c r="P43" s="386"/>
      <c r="Q43" s="386"/>
    </row>
    <row r="44">
      <c r="A44" s="385" t="s">
        <v>504</v>
      </c>
      <c r="B44" s="386" t="s">
        <v>484</v>
      </c>
      <c r="C44" s="386" t="s">
        <v>505</v>
      </c>
      <c r="D44" s="386">
        <v>2.5</v>
      </c>
      <c r="E44" s="387">
        <v>6</v>
      </c>
      <c r="F44" s="386">
        <v>58</v>
      </c>
      <c r="G44" s="386">
        <v>31</v>
      </c>
      <c r="H44" s="388">
        <v>10368.000000000007</v>
      </c>
      <c r="I44" s="393">
        <v>12943.76</v>
      </c>
      <c r="J44" s="389">
        <f t="shared" si="1"/>
      </c>
      <c r="K44" s="389">
        <f t="shared" si="4"/>
      </c>
      <c r="L44" s="390">
        <f t="shared" si="2"/>
      </c>
      <c r="M44" s="391">
        <f t="shared" si="5"/>
      </c>
      <c r="N44" s="387">
        <v>5</v>
      </c>
      <c r="O44" s="391">
        <f t="shared" si="3"/>
      </c>
      <c r="P44" s="386" t="s">
        <v>506</v>
      </c>
      <c r="Q44" s="386">
        <v>7</v>
      </c>
    </row>
    <row r="45">
      <c r="A45" s="385" t="s">
        <v>504</v>
      </c>
      <c r="B45" s="386" t="s">
        <v>489</v>
      </c>
      <c r="C45" s="386" t="s">
        <v>507</v>
      </c>
      <c r="D45" s="386">
        <v>4.5</v>
      </c>
      <c r="E45" s="387">
        <v>13</v>
      </c>
      <c r="F45" s="386">
        <v>157</v>
      </c>
      <c r="G45" s="386">
        <v>106</v>
      </c>
      <c r="H45" s="393">
        <v>38413.79999999999</v>
      </c>
      <c r="I45" s="393">
        <v>26692.340000000026</v>
      </c>
      <c r="J45" s="389">
        <f t="shared" si="1"/>
      </c>
      <c r="K45" s="389">
        <f t="shared" si="4"/>
      </c>
      <c r="L45" s="390">
        <f t="shared" si="2"/>
      </c>
      <c r="M45" s="391">
        <f t="shared" si="5"/>
      </c>
      <c r="N45" s="387">
        <v>25</v>
      </c>
      <c r="O45" s="391">
        <f t="shared" si="3"/>
      </c>
      <c r="P45" s="394"/>
      <c r="Q45" s="394"/>
    </row>
    <row r="46">
      <c r="A46" s="395" t="s">
        <v>504</v>
      </c>
      <c r="B46" s="396" t="s">
        <v>491</v>
      </c>
      <c r="C46" s="396"/>
      <c r="D46" s="396">
        <f>SUM(D42:D45)</f>
      </c>
      <c r="E46" s="396">
        <f>SUM(E42:E45)</f>
      </c>
      <c r="F46" s="396">
        <f>SUM(F42:F45)</f>
      </c>
      <c r="G46" s="396">
        <f>SUM(G42:G45)</f>
      </c>
      <c r="H46" s="396">
        <f>SUM(H42:H45)</f>
      </c>
      <c r="I46" s="396">
        <f>SUM(I42:I45)</f>
      </c>
      <c r="J46" s="397">
        <f t="shared" si="1"/>
      </c>
      <c r="K46" s="398">
        <f t="shared" si="4"/>
      </c>
      <c r="L46" s="398">
        <f t="shared" si="2"/>
      </c>
      <c r="M46" s="399">
        <f t="shared" si="5"/>
      </c>
      <c r="N46" s="396">
        <f>SUM(N42:N45)</f>
      </c>
      <c r="O46" s="399">
        <f t="shared" si="3"/>
      </c>
      <c r="P46" s="400"/>
      <c r="Q46" s="396">
        <f>SUM(Q42:Q44)</f>
      </c>
    </row>
    <row r="47">
      <c r="A47" s="385" t="s">
        <v>508</v>
      </c>
      <c r="B47" s="386" t="s">
        <v>481</v>
      </c>
      <c r="C47" s="386" t="s">
        <v>482</v>
      </c>
      <c r="D47" s="386">
        <v>5</v>
      </c>
      <c r="E47" s="387">
        <v>7</v>
      </c>
      <c r="F47" s="386">
        <v>125</v>
      </c>
      <c r="G47" s="386">
        <v>75</v>
      </c>
      <c r="H47" s="388">
        <v>23345.2</v>
      </c>
      <c r="I47" s="388">
        <v>29121.120000000003</v>
      </c>
      <c r="J47" s="389">
        <f t="shared" si="1"/>
      </c>
      <c r="K47" s="389">
        <f t="shared" si="4"/>
      </c>
      <c r="L47" s="390">
        <f t="shared" si="2"/>
      </c>
      <c r="M47" s="391">
        <f t="shared" si="5"/>
      </c>
      <c r="N47" s="387">
        <v>8</v>
      </c>
      <c r="O47" s="391">
        <f t="shared" si="3"/>
      </c>
      <c r="P47" s="386" t="s">
        <v>503</v>
      </c>
      <c r="Q47" s="386">
        <v>10</v>
      </c>
    </row>
    <row r="48">
      <c r="A48" s="385" t="s">
        <v>508</v>
      </c>
      <c r="B48" s="386" t="s">
        <v>484</v>
      </c>
      <c r="C48" s="386" t="s">
        <v>485</v>
      </c>
      <c r="D48" s="386">
        <v>5</v>
      </c>
      <c r="E48" s="387">
        <v>9</v>
      </c>
      <c r="F48" s="386">
        <v>150</v>
      </c>
      <c r="G48" s="386">
        <v>88</v>
      </c>
      <c r="H48" s="388">
        <v>34926.2</v>
      </c>
      <c r="I48" s="388">
        <v>27517.21</v>
      </c>
      <c r="J48" s="389">
        <f t="shared" si="1"/>
      </c>
      <c r="K48" s="389">
        <f t="shared" si="4"/>
      </c>
      <c r="L48" s="390">
        <f t="shared" si="2"/>
      </c>
      <c r="M48" s="391">
        <f t="shared" si="5"/>
      </c>
      <c r="N48" s="387">
        <v>15</v>
      </c>
      <c r="O48" s="391">
        <f t="shared" si="3"/>
      </c>
      <c r="P48" s="386"/>
      <c r="Q48" s="386"/>
    </row>
    <row r="49">
      <c r="A49" s="385" t="s">
        <v>508</v>
      </c>
      <c r="B49" s="386" t="s">
        <v>489</v>
      </c>
      <c r="C49" s="386" t="s">
        <v>487</v>
      </c>
      <c r="D49" s="386">
        <v>5</v>
      </c>
      <c r="E49" s="387">
        <v>11</v>
      </c>
      <c r="F49" s="386">
        <v>144</v>
      </c>
      <c r="G49" s="386">
        <v>86</v>
      </c>
      <c r="H49" s="388">
        <v>33416</v>
      </c>
      <c r="I49" s="393">
        <v>26257.749999999985</v>
      </c>
      <c r="J49" s="389">
        <f t="shared" si="1"/>
      </c>
      <c r="K49" s="389">
        <f t="shared" si="4"/>
      </c>
      <c r="L49" s="390">
        <f t="shared" si="2"/>
      </c>
      <c r="M49" s="391">
        <f t="shared" si="5"/>
      </c>
      <c r="N49" s="387">
        <v>12</v>
      </c>
      <c r="O49" s="391">
        <f t="shared" si="3"/>
      </c>
      <c r="P49" s="386" t="s">
        <v>501</v>
      </c>
      <c r="Q49" s="386">
        <v>10</v>
      </c>
    </row>
    <row r="50">
      <c r="A50" s="385" t="s">
        <v>508</v>
      </c>
      <c r="B50" s="386" t="s">
        <v>497</v>
      </c>
      <c r="C50" s="386" t="s">
        <v>490</v>
      </c>
      <c r="D50" s="386">
        <v>5</v>
      </c>
      <c r="E50" s="387">
        <v>15</v>
      </c>
      <c r="F50" s="386">
        <v>144</v>
      </c>
      <c r="G50" s="386">
        <v>94</v>
      </c>
      <c r="H50" s="393">
        <v>40321.899999999994</v>
      </c>
      <c r="I50" s="393">
        <v>33739.81</v>
      </c>
      <c r="J50" s="389">
        <f t="shared" si="1"/>
      </c>
      <c r="K50" s="389">
        <f t="shared" si="4"/>
      </c>
      <c r="L50" s="390">
        <f t="shared" si="2"/>
      </c>
      <c r="M50" s="391">
        <f t="shared" si="5"/>
      </c>
      <c r="N50" s="387">
        <v>14</v>
      </c>
      <c r="O50" s="391">
        <f t="shared" si="3"/>
      </c>
      <c r="P50" s="394"/>
      <c r="Q50" s="394"/>
    </row>
    <row r="51">
      <c r="A51" s="395" t="s">
        <v>508</v>
      </c>
      <c r="B51" s="396" t="s">
        <v>491</v>
      </c>
      <c r="C51" s="396"/>
      <c r="D51" s="396">
        <f>SUM(D47:D50)</f>
      </c>
      <c r="E51" s="396">
        <f>SUM(E47:E50)</f>
      </c>
      <c r="F51" s="396">
        <f>SUM(F47:F50)</f>
      </c>
      <c r="G51" s="396">
        <f>SUM(G47:G50)</f>
      </c>
      <c r="H51" s="396">
        <f>SUM(H47:H50)</f>
      </c>
      <c r="I51" s="396">
        <f>SUM(I47:I50)</f>
      </c>
      <c r="J51" s="397">
        <f t="shared" si="1"/>
      </c>
      <c r="K51" s="398">
        <f t="shared" si="4"/>
      </c>
      <c r="L51" s="398">
        <f t="shared" si="2"/>
      </c>
      <c r="M51" s="399">
        <f t="shared" si="5"/>
      </c>
      <c r="N51" s="396">
        <f>SUM(N47:N50)</f>
      </c>
      <c r="O51" s="399">
        <f t="shared" si="3"/>
      </c>
      <c r="P51" s="400"/>
      <c r="Q51" s="396">
        <f>SUM(Q47:Q49)</f>
      </c>
    </row>
    <row r="52">
      <c r="A52" s="385" t="s">
        <v>509</v>
      </c>
      <c r="B52" s="386" t="s">
        <v>481</v>
      </c>
      <c r="C52" s="386" t="s">
        <v>482</v>
      </c>
      <c r="D52" s="386">
        <v>5</v>
      </c>
      <c r="E52" s="387">
        <v>10</v>
      </c>
      <c r="F52" s="386">
        <v>148</v>
      </c>
      <c r="G52" s="386">
        <v>93</v>
      </c>
      <c r="H52" s="388">
        <v>34703</v>
      </c>
      <c r="I52" s="388">
        <v>30377.1</v>
      </c>
      <c r="J52" s="389">
        <f t="shared" si="1"/>
      </c>
      <c r="K52" s="389">
        <f t="shared" si="4"/>
      </c>
      <c r="L52" s="390">
        <f t="shared" si="2"/>
      </c>
      <c r="M52" s="391">
        <f t="shared" si="5"/>
      </c>
      <c r="N52" s="387">
        <v>12</v>
      </c>
      <c r="O52" s="391">
        <f t="shared" si="3"/>
      </c>
      <c r="P52" s="386" t="s">
        <v>510</v>
      </c>
      <c r="Q52" s="386">
        <v>10</v>
      </c>
    </row>
    <row r="53">
      <c r="A53" s="385" t="s">
        <v>509</v>
      </c>
      <c r="B53" s="386" t="s">
        <v>489</v>
      </c>
      <c r="C53" s="386" t="s">
        <v>485</v>
      </c>
      <c r="D53" s="386">
        <v>5</v>
      </c>
      <c r="E53" s="387">
        <v>10</v>
      </c>
      <c r="F53" s="386">
        <v>135</v>
      </c>
      <c r="G53" s="386">
        <v>95</v>
      </c>
      <c r="H53" s="388">
        <v>34142.600000000006</v>
      </c>
      <c r="I53" s="388">
        <v>31218.910000000003</v>
      </c>
      <c r="J53" s="389">
        <f t="shared" si="1"/>
      </c>
      <c r="K53" s="389">
        <f t="shared" si="4"/>
      </c>
      <c r="L53" s="390">
        <f t="shared" si="2"/>
      </c>
      <c r="M53" s="391">
        <f t="shared" si="5"/>
      </c>
      <c r="N53" s="387">
        <v>18</v>
      </c>
      <c r="O53" s="391">
        <f t="shared" si="3"/>
      </c>
      <c r="P53" s="386"/>
      <c r="Q53" s="386"/>
    </row>
    <row r="54">
      <c r="A54" s="385" t="s">
        <v>509</v>
      </c>
      <c r="B54" s="386" t="s">
        <v>484</v>
      </c>
      <c r="C54" s="386" t="s">
        <v>487</v>
      </c>
      <c r="D54" s="386">
        <v>5</v>
      </c>
      <c r="E54" s="387">
        <v>15</v>
      </c>
      <c r="F54" s="386">
        <v>169</v>
      </c>
      <c r="G54" s="386">
        <v>106</v>
      </c>
      <c r="H54" s="388">
        <v>37743</v>
      </c>
      <c r="I54" s="393">
        <v>33749.51</v>
      </c>
      <c r="J54" s="389">
        <f t="shared" si="1"/>
      </c>
      <c r="K54" s="389">
        <f t="shared" si="4"/>
      </c>
      <c r="L54" s="390">
        <f t="shared" si="2"/>
      </c>
      <c r="M54" s="391">
        <f t="shared" si="5"/>
      </c>
      <c r="N54" s="387">
        <v>22</v>
      </c>
      <c r="O54" s="391">
        <f t="shared" si="3"/>
      </c>
      <c r="P54" s="386" t="s">
        <v>501</v>
      </c>
      <c r="Q54" s="386">
        <v>10</v>
      </c>
    </row>
    <row r="55">
      <c r="A55" s="385" t="s">
        <v>509</v>
      </c>
      <c r="B55" s="386" t="s">
        <v>497</v>
      </c>
      <c r="C55" s="386" t="s">
        <v>490</v>
      </c>
      <c r="D55" s="386">
        <v>5</v>
      </c>
      <c r="E55" s="387">
        <v>15</v>
      </c>
      <c r="F55" s="386">
        <v>114</v>
      </c>
      <c r="G55" s="386">
        <v>77</v>
      </c>
      <c r="H55" s="393">
        <v>27803.29999999999</v>
      </c>
      <c r="I55" s="393">
        <v>21447.25</v>
      </c>
      <c r="J55" s="389">
        <f t="shared" si="1"/>
      </c>
      <c r="K55" s="389">
        <f t="shared" si="4"/>
      </c>
      <c r="L55" s="390">
        <f t="shared" si="2"/>
      </c>
      <c r="M55" s="391">
        <f t="shared" si="5"/>
      </c>
      <c r="N55" s="387">
        <v>15</v>
      </c>
      <c r="O55" s="391">
        <f t="shared" si="3"/>
      </c>
      <c r="P55" s="394"/>
      <c r="Q55" s="394"/>
    </row>
    <row r="56">
      <c r="A56" s="395" t="s">
        <v>509</v>
      </c>
      <c r="B56" s="396" t="s">
        <v>491</v>
      </c>
      <c r="C56" s="396"/>
      <c r="D56" s="396">
        <f>SUM(D52:D55)</f>
      </c>
      <c r="E56" s="396">
        <f>SUM(E52:E55)</f>
      </c>
      <c r="F56" s="396">
        <f>SUM(F52:F55)</f>
      </c>
      <c r="G56" s="396">
        <f>SUM(G52:G55)</f>
      </c>
      <c r="H56" s="396">
        <f>SUM(H52:H55)</f>
      </c>
      <c r="I56" s="396">
        <f>SUM(I52:I55)</f>
      </c>
      <c r="J56" s="397">
        <f t="shared" si="1"/>
      </c>
      <c r="K56" s="398">
        <f t="shared" si="4"/>
      </c>
      <c r="L56" s="398">
        <f t="shared" si="2"/>
      </c>
      <c r="M56" s="399">
        <f t="shared" si="5"/>
      </c>
      <c r="N56" s="396">
        <f>SUM(N52:N55)</f>
      </c>
      <c r="O56" s="399">
        <f t="shared" si="3"/>
      </c>
      <c r="P56" s="400"/>
      <c r="Q56" s="396">
        <f>SUM(Q52:Q54)</f>
      </c>
    </row>
    <row r="57">
      <c r="A57" s="385" t="s">
        <v>511</v>
      </c>
      <c r="B57" s="386" t="s">
        <v>481</v>
      </c>
      <c r="C57" s="386" t="s">
        <v>482</v>
      </c>
      <c r="D57" s="386">
        <v>5</v>
      </c>
      <c r="E57" s="387">
        <v>18</v>
      </c>
      <c r="F57" s="386">
        <v>207</v>
      </c>
      <c r="G57" s="386">
        <v>137</v>
      </c>
      <c r="H57" s="388">
        <v>49461.3</v>
      </c>
      <c r="I57" s="388">
        <v>40935.88</v>
      </c>
      <c r="J57" s="389">
        <f t="shared" si="1"/>
      </c>
      <c r="K57" s="389">
        <f t="shared" si="4"/>
      </c>
      <c r="L57" s="390">
        <f t="shared" si="2"/>
      </c>
      <c r="M57" s="391">
        <f t="shared" si="5"/>
      </c>
      <c r="N57" s="387">
        <v>18</v>
      </c>
      <c r="O57" s="391">
        <f t="shared" si="3"/>
      </c>
      <c r="P57" s="386" t="s">
        <v>510</v>
      </c>
      <c r="Q57" s="386">
        <v>10</v>
      </c>
    </row>
    <row r="58">
      <c r="A58" s="385" t="s">
        <v>511</v>
      </c>
      <c r="B58" s="386" t="s">
        <v>489</v>
      </c>
      <c r="C58" s="386" t="s">
        <v>485</v>
      </c>
      <c r="D58" s="386">
        <v>5</v>
      </c>
      <c r="E58" s="387">
        <v>19</v>
      </c>
      <c r="F58" s="386">
        <v>185</v>
      </c>
      <c r="G58" s="386">
        <v>118</v>
      </c>
      <c r="H58" s="388">
        <v>41426.2</v>
      </c>
      <c r="I58" s="388">
        <v>36856.9</v>
      </c>
      <c r="J58" s="389">
        <f t="shared" si="1"/>
      </c>
      <c r="K58" s="389">
        <f t="shared" si="4"/>
      </c>
      <c r="L58" s="390">
        <f t="shared" si="2"/>
      </c>
      <c r="M58" s="391">
        <f t="shared" si="5"/>
      </c>
      <c r="N58" s="387">
        <v>17</v>
      </c>
      <c r="O58" s="391">
        <f t="shared" si="3"/>
      </c>
      <c r="P58" s="386"/>
      <c r="Q58" s="386"/>
    </row>
    <row r="59">
      <c r="A59" s="385" t="s">
        <v>511</v>
      </c>
      <c r="B59" s="386" t="s">
        <v>484</v>
      </c>
      <c r="C59" s="386" t="s">
        <v>487</v>
      </c>
      <c r="D59" s="386">
        <v>5</v>
      </c>
      <c r="E59" s="387">
        <v>11</v>
      </c>
      <c r="F59" s="386">
        <v>228</v>
      </c>
      <c r="G59" s="386">
        <v>154</v>
      </c>
      <c r="H59" s="388">
        <v>58288</v>
      </c>
      <c r="I59" s="393">
        <v>48999.98000000001</v>
      </c>
      <c r="J59" s="389">
        <f t="shared" si="1"/>
      </c>
      <c r="K59" s="389">
        <f t="shared" si="4"/>
      </c>
      <c r="L59" s="390">
        <f t="shared" si="2"/>
      </c>
      <c r="M59" s="391">
        <f t="shared" si="5"/>
      </c>
      <c r="N59" s="387">
        <v>25</v>
      </c>
      <c r="O59" s="391">
        <f t="shared" si="3"/>
      </c>
      <c r="P59" s="386" t="s">
        <v>501</v>
      </c>
      <c r="Q59" s="386">
        <v>10</v>
      </c>
    </row>
    <row r="60">
      <c r="A60" s="385" t="s">
        <v>511</v>
      </c>
      <c r="B60" s="386" t="s">
        <v>497</v>
      </c>
      <c r="C60" s="386" t="s">
        <v>490</v>
      </c>
      <c r="D60" s="386">
        <v>5</v>
      </c>
      <c r="E60" s="387">
        <v>20</v>
      </c>
      <c r="F60" s="386">
        <v>215</v>
      </c>
      <c r="G60" s="386">
        <v>153</v>
      </c>
      <c r="H60" s="393">
        <v>54606.5</v>
      </c>
      <c r="I60" s="393">
        <v>47803.63</v>
      </c>
      <c r="J60" s="389">
        <f t="shared" si="1"/>
      </c>
      <c r="K60" s="389">
        <f t="shared" si="4"/>
      </c>
      <c r="L60" s="390">
        <f t="shared" si="2"/>
      </c>
      <c r="M60" s="391">
        <f t="shared" si="5"/>
      </c>
      <c r="N60" s="387">
        <v>33</v>
      </c>
      <c r="O60" s="391">
        <f t="shared" si="3"/>
      </c>
      <c r="P60" s="394"/>
      <c r="Q60" s="394"/>
    </row>
    <row r="61">
      <c r="A61" s="395" t="s">
        <v>511</v>
      </c>
      <c r="B61" s="396" t="s">
        <v>491</v>
      </c>
      <c r="C61" s="396"/>
      <c r="D61" s="396">
        <f>SUM(D57:D60)</f>
      </c>
      <c r="E61" s="396">
        <f>SUM(E57:E60)</f>
      </c>
      <c r="F61" s="396">
        <f>SUM(F57:F60)</f>
      </c>
      <c r="G61" s="396">
        <f>SUM(G57:G60)</f>
      </c>
      <c r="H61" s="396">
        <f>SUM(H57:H60)</f>
      </c>
      <c r="I61" s="396">
        <f>SUM(I57:I60)</f>
      </c>
      <c r="J61" s="397">
        <f t="shared" si="1"/>
      </c>
      <c r="K61" s="398">
        <f t="shared" si="4"/>
      </c>
      <c r="L61" s="398">
        <f t="shared" si="2"/>
      </c>
      <c r="M61" s="399">
        <f t="shared" si="5"/>
      </c>
      <c r="N61" s="396">
        <f>SUM(N57:N60)</f>
      </c>
      <c r="O61" s="399">
        <f t="shared" si="3"/>
      </c>
      <c r="P61" s="400"/>
      <c r="Q61" s="396">
        <f>SUM(Q57:Q59)</f>
      </c>
    </row>
    <row r="62">
      <c r="A62" s="385" t="s">
        <v>512</v>
      </c>
      <c r="B62" s="386" t="s">
        <v>484</v>
      </c>
      <c r="C62" s="386" t="s">
        <v>482</v>
      </c>
      <c r="D62" s="386">
        <v>5</v>
      </c>
      <c r="E62" s="387">
        <v>20</v>
      </c>
      <c r="F62" s="386">
        <v>214</v>
      </c>
      <c r="G62" s="386">
        <v>137</v>
      </c>
      <c r="H62" s="388">
        <v>50936.9</v>
      </c>
      <c r="I62" s="388">
        <v>50760.11</v>
      </c>
      <c r="J62" s="389">
        <f t="shared" si="1"/>
      </c>
      <c r="K62" s="389">
        <f t="shared" si="4"/>
      </c>
      <c r="L62" s="390">
        <f t="shared" si="2"/>
      </c>
      <c r="M62" s="391">
        <f t="shared" si="5"/>
      </c>
      <c r="N62" s="387">
        <v>20</v>
      </c>
      <c r="O62" s="391">
        <f t="shared" si="3"/>
      </c>
      <c r="P62" s="386" t="s">
        <v>510</v>
      </c>
      <c r="Q62" s="386">
        <v>10</v>
      </c>
    </row>
    <row r="63">
      <c r="A63" s="385" t="s">
        <v>512</v>
      </c>
      <c r="B63" s="386" t="s">
        <v>489</v>
      </c>
      <c r="C63" s="386" t="s">
        <v>513</v>
      </c>
      <c r="D63" s="386">
        <v>4</v>
      </c>
      <c r="E63" s="387">
        <v>18</v>
      </c>
      <c r="F63" s="386">
        <v>160</v>
      </c>
      <c r="G63" s="386">
        <v>101</v>
      </c>
      <c r="H63" s="388">
        <v>36405.99999999999</v>
      </c>
      <c r="I63" s="388">
        <v>32602.39</v>
      </c>
      <c r="J63" s="389">
        <f t="shared" si="1"/>
      </c>
      <c r="K63" s="389">
        <f t="shared" si="4"/>
      </c>
      <c r="L63" s="390">
        <f t="shared" si="2"/>
      </c>
      <c r="M63" s="391">
        <f t="shared" si="5"/>
      </c>
      <c r="N63" s="387">
        <v>21</v>
      </c>
      <c r="O63" s="391">
        <f t="shared" si="3"/>
      </c>
      <c r="P63" s="386"/>
      <c r="Q63" s="386"/>
    </row>
    <row r="64">
      <c r="A64" s="385" t="s">
        <v>512</v>
      </c>
      <c r="B64" s="386" t="s">
        <v>514</v>
      </c>
      <c r="C64" s="386" t="s">
        <v>515</v>
      </c>
      <c r="D64" s="386">
        <v>2</v>
      </c>
      <c r="E64" s="387">
        <v>11</v>
      </c>
      <c r="F64" s="386">
        <v>79</v>
      </c>
      <c r="G64" s="386">
        <v>44</v>
      </c>
      <c r="H64" s="388">
        <v>15635.200000000012</v>
      </c>
      <c r="I64" s="393">
        <v>16850.270000000004</v>
      </c>
      <c r="J64" s="389">
        <f t="shared" si="1"/>
      </c>
      <c r="K64" s="389">
        <f t="shared" si="4"/>
      </c>
      <c r="L64" s="390">
        <f t="shared" si="2"/>
      </c>
      <c r="M64" s="391">
        <f t="shared" si="5"/>
      </c>
      <c r="N64" s="387">
        <v>2</v>
      </c>
      <c r="O64" s="391">
        <f t="shared" si="3"/>
      </c>
      <c r="P64" s="386"/>
      <c r="Q64" s="386"/>
    </row>
    <row customHeight="true" ht="16.071428571428573" r="65">
      <c r="A65" s="385" t="s">
        <v>512</v>
      </c>
      <c r="B65" s="386" t="s">
        <v>486</v>
      </c>
      <c r="C65" s="386" t="s">
        <v>516</v>
      </c>
      <c r="D65" s="386">
        <v>4</v>
      </c>
      <c r="E65" s="387">
        <v>22</v>
      </c>
      <c r="F65" s="386">
        <v>138</v>
      </c>
      <c r="G65" s="386">
        <v>91</v>
      </c>
      <c r="H65" s="388">
        <v>32855.399999999994</v>
      </c>
      <c r="I65" s="393">
        <v>32754.40000000001</v>
      </c>
      <c r="J65" s="389">
        <f t="shared" si="1"/>
      </c>
      <c r="K65" s="389">
        <f t="shared" si="4"/>
      </c>
      <c r="L65" s="390">
        <f t="shared" si="2"/>
      </c>
      <c r="M65" s="391">
        <f t="shared" si="5"/>
      </c>
      <c r="N65" s="387">
        <v>13</v>
      </c>
      <c r="O65" s="391">
        <f t="shared" si="3"/>
      </c>
      <c r="P65" s="386" t="s">
        <v>501</v>
      </c>
      <c r="Q65" s="386">
        <v>10</v>
      </c>
    </row>
    <row r="66">
      <c r="A66" s="385" t="s">
        <v>512</v>
      </c>
      <c r="B66" s="386" t="s">
        <v>497</v>
      </c>
      <c r="C66" s="386" t="s">
        <v>490</v>
      </c>
      <c r="D66" s="386">
        <v>5</v>
      </c>
      <c r="E66" s="387">
        <v>13</v>
      </c>
      <c r="F66" s="386">
        <v>181</v>
      </c>
      <c r="G66" s="386">
        <v>125</v>
      </c>
      <c r="H66" s="393">
        <v>44696.600000000006</v>
      </c>
      <c r="I66" s="393">
        <v>36949.98</v>
      </c>
      <c r="J66" s="389">
        <f t="shared" si="1"/>
      </c>
      <c r="K66" s="389">
        <f t="shared" si="4"/>
      </c>
      <c r="L66" s="390">
        <f t="shared" si="2"/>
      </c>
      <c r="M66" s="391">
        <f t="shared" si="5"/>
      </c>
      <c r="N66" s="387">
        <v>25</v>
      </c>
      <c r="O66" s="391">
        <f t="shared" si="3"/>
      </c>
      <c r="P66" s="394"/>
      <c r="Q66" s="394"/>
    </row>
    <row r="67">
      <c r="A67" s="395" t="s">
        <v>512</v>
      </c>
      <c r="B67" s="396" t="s">
        <v>491</v>
      </c>
      <c r="C67" s="396"/>
      <c r="D67" s="396">
        <f>SUM(D62:D66)</f>
      </c>
      <c r="E67" s="396">
        <f>SUM(E62:E66)</f>
      </c>
      <c r="F67" s="396">
        <f>SUM(F62:F66)</f>
      </c>
      <c r="G67" s="396">
        <f>SUM(G62:G66)</f>
      </c>
      <c r="H67" s="396">
        <f>SUM(H62:H66)</f>
      </c>
      <c r="I67" s="396">
        <f>SUM(I62:I66)</f>
      </c>
      <c r="J67" s="397">
        <f t="shared" si="1"/>
      </c>
      <c r="K67" s="398">
        <f t="shared" si="4"/>
      </c>
      <c r="L67" s="398">
        <f t="shared" si="2"/>
      </c>
      <c r="M67" s="399">
        <f t="shared" si="5"/>
      </c>
      <c r="N67" s="396">
        <f>SUM(N62:N66)</f>
      </c>
      <c r="O67" s="399">
        <f t="shared" si="3"/>
      </c>
      <c r="P67" s="400"/>
      <c r="Q67" s="396">
        <f>SUM(Q62:Q66)</f>
      </c>
    </row>
    <row r="68">
      <c r="A68" s="385" t="s">
        <v>517</v>
      </c>
      <c r="B68" s="386" t="s">
        <v>481</v>
      </c>
      <c r="C68" s="386" t="s">
        <v>518</v>
      </c>
      <c r="D68" s="386">
        <v>4</v>
      </c>
      <c r="E68" s="387">
        <v>14</v>
      </c>
      <c r="F68" s="386">
        <v>141</v>
      </c>
      <c r="G68" s="386">
        <v>94</v>
      </c>
      <c r="H68" s="388">
        <v>30395.3</v>
      </c>
      <c r="I68" s="388">
        <v>32006.120000000003</v>
      </c>
      <c r="J68" s="389">
        <f t="shared" si="1"/>
      </c>
      <c r="K68" s="389">
        <f t="shared" si="4"/>
      </c>
      <c r="L68" s="390">
        <f t="shared" si="2"/>
      </c>
      <c r="M68" s="391">
        <f t="shared" si="5"/>
      </c>
      <c r="N68" s="387">
        <v>19</v>
      </c>
      <c r="O68" s="391">
        <f t="shared" si="3"/>
      </c>
      <c r="P68" s="386" t="s">
        <v>510</v>
      </c>
      <c r="Q68" s="386">
        <v>10</v>
      </c>
    </row>
    <row r="69">
      <c r="A69" s="385" t="s">
        <v>517</v>
      </c>
      <c r="B69" s="386" t="s">
        <v>484</v>
      </c>
      <c r="C69" s="386" t="s">
        <v>519</v>
      </c>
      <c r="D69" s="386">
        <v>5</v>
      </c>
      <c r="E69" s="387">
        <v>30.0778</v>
      </c>
      <c r="F69" s="386">
        <v>157</v>
      </c>
      <c r="G69" s="386">
        <v>108</v>
      </c>
      <c r="H69" s="388">
        <v>34508.3</v>
      </c>
      <c r="I69" s="388">
        <v>30538.71</v>
      </c>
      <c r="J69" s="389">
        <f t="shared" si="1"/>
      </c>
      <c r="K69" s="389">
        <f t="shared" si="4"/>
      </c>
      <c r="L69" s="390">
        <f t="shared" si="2"/>
      </c>
      <c r="M69" s="391">
        <f t="shared" si="5"/>
      </c>
      <c r="N69" s="387">
        <v>18</v>
      </c>
      <c r="O69" s="391">
        <f t="shared" si="3"/>
      </c>
      <c r="P69" s="386"/>
      <c r="Q69" s="386"/>
    </row>
    <row r="70">
      <c r="A70" s="385" t="s">
        <v>517</v>
      </c>
      <c r="B70" s="386" t="s">
        <v>514</v>
      </c>
      <c r="C70" s="386" t="s">
        <v>515</v>
      </c>
      <c r="D70" s="386">
        <v>2</v>
      </c>
      <c r="E70" s="387">
        <v>7</v>
      </c>
      <c r="F70" s="386">
        <v>52</v>
      </c>
      <c r="G70" s="386">
        <v>33</v>
      </c>
      <c r="H70" s="388">
        <v>11373.199999999997</v>
      </c>
      <c r="I70" s="393">
        <v>14369.009999999995</v>
      </c>
      <c r="J70" s="389">
        <f t="shared" si="1"/>
      </c>
      <c r="K70" s="389">
        <f t="shared" si="4"/>
      </c>
      <c r="L70" s="390">
        <f t="shared" si="2"/>
      </c>
      <c r="M70" s="391">
        <f t="shared" si="5"/>
      </c>
      <c r="N70" s="387">
        <v>4</v>
      </c>
      <c r="O70" s="391">
        <f t="shared" si="3"/>
      </c>
      <c r="P70" s="386"/>
      <c r="Q70" s="386"/>
    </row>
    <row r="71">
      <c r="A71" s="385" t="s">
        <v>517</v>
      </c>
      <c r="B71" s="386" t="s">
        <v>486</v>
      </c>
      <c r="C71" s="386" t="s">
        <v>516</v>
      </c>
      <c r="D71" s="386">
        <v>4</v>
      </c>
      <c r="E71" s="387">
        <v>3</v>
      </c>
      <c r="F71" s="386">
        <v>89</v>
      </c>
      <c r="G71" s="386">
        <v>46</v>
      </c>
      <c r="H71" s="388">
        <v>17952.399999999994</v>
      </c>
      <c r="I71" s="393">
        <v>19448.990000000005</v>
      </c>
      <c r="J71" s="389">
        <f t="shared" si="1"/>
      </c>
      <c r="K71" s="389">
        <f t="shared" si="4"/>
      </c>
      <c r="L71" s="390">
        <f t="shared" si="2"/>
      </c>
      <c r="M71" s="391">
        <f t="shared" si="5"/>
      </c>
      <c r="N71" s="387">
        <v>9</v>
      </c>
      <c r="O71" s="391">
        <f t="shared" si="3"/>
      </c>
      <c r="P71" s="386" t="s">
        <v>520</v>
      </c>
      <c r="Q71" s="386">
        <v>10</v>
      </c>
    </row>
    <row r="72">
      <c r="A72" s="385" t="s">
        <v>517</v>
      </c>
      <c r="B72" s="386" t="s">
        <v>489</v>
      </c>
      <c r="C72" s="386" t="s">
        <v>490</v>
      </c>
      <c r="D72" s="386">
        <v>5</v>
      </c>
      <c r="E72" s="387">
        <v>9</v>
      </c>
      <c r="F72" s="386">
        <v>131</v>
      </c>
      <c r="G72" s="386">
        <v>83</v>
      </c>
      <c r="H72" s="393">
        <v>32340.800000000003</v>
      </c>
      <c r="I72" s="393">
        <v>25322.63</v>
      </c>
      <c r="J72" s="389">
        <f t="shared" si="1"/>
      </c>
      <c r="K72" s="389">
        <f t="shared" si="4"/>
      </c>
      <c r="L72" s="390">
        <f t="shared" si="2"/>
      </c>
      <c r="M72" s="391">
        <f t="shared" si="5"/>
      </c>
      <c r="N72" s="387">
        <v>6</v>
      </c>
      <c r="O72" s="391">
        <f t="shared" si="3"/>
      </c>
      <c r="P72" s="394"/>
      <c r="Q72" s="394"/>
    </row>
    <row r="73">
      <c r="A73" s="395" t="s">
        <v>517</v>
      </c>
      <c r="B73" s="396" t="s">
        <v>491</v>
      </c>
      <c r="C73" s="396"/>
      <c r="D73" s="396">
        <f>SUM(D68:D72)</f>
      </c>
      <c r="E73" s="396">
        <f>SUM(E68:E72)</f>
      </c>
      <c r="F73" s="396">
        <f>SUM(F68:F72)</f>
      </c>
      <c r="G73" s="396">
        <f>SUM(G68:G72)</f>
      </c>
      <c r="H73" s="396">
        <f>SUM(H68:H72)</f>
      </c>
      <c r="I73" s="396">
        <f>SUM(I68:I72)</f>
      </c>
      <c r="J73" s="397">
        <f t="shared" si="1"/>
      </c>
      <c r="K73" s="398">
        <f t="shared" si="4"/>
      </c>
      <c r="L73" s="398">
        <f t="shared" si="2"/>
      </c>
      <c r="M73" s="399">
        <f t="shared" si="5"/>
      </c>
      <c r="N73" s="396">
        <f>SUM(N68:N72)</f>
      </c>
      <c r="O73" s="399">
        <f t="shared" si="3"/>
      </c>
      <c r="P73" s="400"/>
      <c r="Q73" s="396">
        <f>SUM(Q68:Q72)</f>
      </c>
    </row>
    <row r="74">
      <c r="A74" s="385" t="s">
        <v>521</v>
      </c>
      <c r="B74" s="386" t="s">
        <v>481</v>
      </c>
      <c r="C74" s="386" t="s">
        <v>518</v>
      </c>
      <c r="D74" s="386">
        <v>4</v>
      </c>
      <c r="E74" s="387">
        <v>16</v>
      </c>
      <c r="F74" s="386">
        <v>186</v>
      </c>
      <c r="G74" s="386">
        <v>125</v>
      </c>
      <c r="H74" s="388">
        <v>40708.6</v>
      </c>
      <c r="I74" s="388">
        <v>37627.380000000005</v>
      </c>
      <c r="J74" s="389">
        <f t="shared" si="1"/>
      </c>
      <c r="K74" s="389">
        <f t="shared" si="4"/>
      </c>
      <c r="L74" s="390">
        <f t="shared" si="2"/>
      </c>
      <c r="M74" s="391">
        <f t="shared" si="5"/>
      </c>
      <c r="N74" s="387">
        <v>20</v>
      </c>
      <c r="O74" s="391">
        <f t="shared" si="3"/>
      </c>
      <c r="P74" s="386" t="s">
        <v>510</v>
      </c>
      <c r="Q74" s="386">
        <v>10</v>
      </c>
    </row>
    <row r="75">
      <c r="A75" s="385" t="s">
        <v>521</v>
      </c>
      <c r="B75" s="386" t="s">
        <v>484</v>
      </c>
      <c r="C75" s="386" t="s">
        <v>519</v>
      </c>
      <c r="D75" s="386">
        <v>5</v>
      </c>
      <c r="E75" s="387">
        <v>15</v>
      </c>
      <c r="F75" s="386">
        <v>156</v>
      </c>
      <c r="G75" s="386">
        <v>94</v>
      </c>
      <c r="H75" s="388">
        <v>28431.299999999996</v>
      </c>
      <c r="I75" s="388">
        <v>40197.78</v>
      </c>
      <c r="J75" s="389">
        <f t="shared" si="1"/>
      </c>
      <c r="K75" s="389">
        <f t="shared" si="4"/>
      </c>
      <c r="L75" s="390">
        <f t="shared" si="2"/>
      </c>
      <c r="M75" s="391">
        <f t="shared" si="5"/>
      </c>
      <c r="N75" s="387">
        <v>16</v>
      </c>
      <c r="O75" s="391">
        <f t="shared" si="3"/>
      </c>
      <c r="P75" s="386"/>
      <c r="Q75" s="386"/>
    </row>
    <row r="76">
      <c r="A76" s="385" t="s">
        <v>521</v>
      </c>
      <c r="B76" s="386" t="s">
        <v>514</v>
      </c>
      <c r="C76" s="386" t="s">
        <v>515</v>
      </c>
      <c r="D76" s="386">
        <v>2</v>
      </c>
      <c r="E76" s="387">
        <v>11</v>
      </c>
      <c r="F76" s="386">
        <v>77</v>
      </c>
      <c r="G76" s="386">
        <v>41</v>
      </c>
      <c r="H76" s="388">
        <v>13138.700000000012</v>
      </c>
      <c r="I76" s="393">
        <v>16797.98999999999</v>
      </c>
      <c r="J76" s="389">
        <f t="shared" si="1"/>
      </c>
      <c r="K76" s="389">
        <f t="shared" si="4"/>
      </c>
      <c r="L76" s="390">
        <f t="shared" si="2"/>
      </c>
      <c r="M76" s="391">
        <f t="shared" si="5"/>
      </c>
      <c r="N76" s="387">
        <v>2</v>
      </c>
      <c r="O76" s="391">
        <f t="shared" si="3"/>
      </c>
      <c r="P76" s="386"/>
      <c r="Q76" s="386"/>
    </row>
    <row r="77">
      <c r="A77" s="385" t="s">
        <v>521</v>
      </c>
      <c r="B77" s="386" t="s">
        <v>489</v>
      </c>
      <c r="C77" s="386" t="s">
        <v>516</v>
      </c>
      <c r="D77" s="386">
        <v>4</v>
      </c>
      <c r="E77" s="387">
        <v>8</v>
      </c>
      <c r="F77" s="386">
        <v>75</v>
      </c>
      <c r="G77" s="386">
        <v>46</v>
      </c>
      <c r="H77" s="388">
        <v>14336.299999999988</v>
      </c>
      <c r="I77" s="393">
        <v>18619.1</v>
      </c>
      <c r="J77" s="389">
        <f t="shared" si="1"/>
      </c>
      <c r="K77" s="389">
        <f t="shared" si="4"/>
      </c>
      <c r="L77" s="390">
        <f t="shared" si="2"/>
      </c>
      <c r="M77" s="391">
        <f t="shared" si="5"/>
      </c>
      <c r="N77" s="387">
        <v>6</v>
      </c>
      <c r="O77" s="391">
        <f t="shared" si="3"/>
      </c>
      <c r="P77" s="386" t="s">
        <v>520</v>
      </c>
      <c r="Q77" s="386">
        <v>10</v>
      </c>
    </row>
    <row r="78">
      <c r="A78" s="385" t="s">
        <v>521</v>
      </c>
      <c r="B78" s="386" t="s">
        <v>497</v>
      </c>
      <c r="C78" s="386" t="s">
        <v>490</v>
      </c>
      <c r="D78" s="386">
        <v>5</v>
      </c>
      <c r="E78" s="387">
        <v>9</v>
      </c>
      <c r="F78" s="386">
        <v>126</v>
      </c>
      <c r="G78" s="386">
        <v>85</v>
      </c>
      <c r="H78" s="393">
        <v>28250.20000000001</v>
      </c>
      <c r="I78" s="393">
        <v>24904.54</v>
      </c>
      <c r="J78" s="389">
        <f t="shared" si="1"/>
      </c>
      <c r="K78" s="389">
        <f t="shared" si="4"/>
      </c>
      <c r="L78" s="390">
        <f t="shared" si="2"/>
      </c>
      <c r="M78" s="391">
        <f t="shared" si="5"/>
      </c>
      <c r="N78" s="387">
        <v>21</v>
      </c>
      <c r="O78" s="391">
        <f t="shared" si="3"/>
      </c>
      <c r="P78" s="394"/>
      <c r="Q78" s="394"/>
    </row>
    <row r="79">
      <c r="A79" s="395" t="s">
        <v>521</v>
      </c>
      <c r="B79" s="396" t="s">
        <v>491</v>
      </c>
      <c r="C79" s="396"/>
      <c r="D79" s="396">
        <f>SUM(D74:D78)</f>
      </c>
      <c r="E79" s="396">
        <f>SUM(E74:E78)</f>
      </c>
      <c r="F79" s="396">
        <f>SUM(F74:F78)</f>
      </c>
      <c r="G79" s="396">
        <f>SUM(G74:G78)</f>
      </c>
      <c r="H79" s="396">
        <f>SUM(H74:H78)</f>
      </c>
      <c r="I79" s="396">
        <f>SUM(I74:I78)</f>
      </c>
      <c r="J79" s="397">
        <f t="shared" si="1"/>
      </c>
      <c r="K79" s="398">
        <f t="shared" si="4"/>
      </c>
      <c r="L79" s="398">
        <f t="shared" si="2"/>
      </c>
      <c r="M79" s="399">
        <f t="shared" si="5"/>
      </c>
      <c r="N79" s="396">
        <f>SUM(N74:N78)</f>
      </c>
      <c r="O79" s="399">
        <f t="shared" si="3"/>
      </c>
      <c r="P79" s="400"/>
      <c r="Q79" s="396">
        <f>SUM(Q74:Q78)</f>
      </c>
    </row>
    <row r="80">
      <c r="A80" s="385" t="s">
        <v>522</v>
      </c>
      <c r="B80" s="386" t="s">
        <v>481</v>
      </c>
      <c r="C80" s="386" t="s">
        <v>482</v>
      </c>
      <c r="D80" s="386">
        <v>5</v>
      </c>
      <c r="E80" s="387">
        <v>7</v>
      </c>
      <c r="F80" s="386">
        <v>115</v>
      </c>
      <c r="G80" s="386">
        <v>63</v>
      </c>
      <c r="H80" s="388">
        <v>19239.8</v>
      </c>
      <c r="I80" s="388">
        <v>31322.82</v>
      </c>
      <c r="J80" s="389">
        <f t="shared" si="1"/>
      </c>
      <c r="K80" s="389">
        <f t="shared" si="4"/>
      </c>
      <c r="L80" s="390">
        <f t="shared" si="2"/>
      </c>
      <c r="M80" s="391">
        <f t="shared" si="5"/>
      </c>
      <c r="N80" s="387">
        <v>4</v>
      </c>
      <c r="O80" s="391">
        <f t="shared" si="3"/>
      </c>
      <c r="P80" s="386" t="s">
        <v>510</v>
      </c>
      <c r="Q80" s="386">
        <v>10</v>
      </c>
    </row>
    <row r="81">
      <c r="A81" s="385" t="s">
        <v>522</v>
      </c>
      <c r="B81" s="386" t="s">
        <v>486</v>
      </c>
      <c r="C81" s="386" t="s">
        <v>485</v>
      </c>
      <c r="D81" s="386">
        <v>5</v>
      </c>
      <c r="E81" s="387">
        <v>11</v>
      </c>
      <c r="F81" s="386">
        <v>77</v>
      </c>
      <c r="G81" s="386">
        <v>47</v>
      </c>
      <c r="H81" s="388">
        <v>11117.900000000001</v>
      </c>
      <c r="I81" s="388">
        <v>17241.879999999997</v>
      </c>
      <c r="J81" s="389">
        <f t="shared" si="1"/>
      </c>
      <c r="K81" s="389">
        <f t="shared" si="4"/>
      </c>
      <c r="L81" s="390">
        <f t="shared" si="2"/>
      </c>
      <c r="M81" s="391">
        <f t="shared" si="5"/>
      </c>
      <c r="N81" s="387">
        <v>5</v>
      </c>
      <c r="O81" s="391">
        <f t="shared" si="3"/>
      </c>
      <c r="P81" s="386"/>
      <c r="Q81" s="386"/>
    </row>
    <row r="82">
      <c r="A82" s="385" t="s">
        <v>522</v>
      </c>
      <c r="B82" s="386" t="s">
        <v>484</v>
      </c>
      <c r="C82" s="386" t="s">
        <v>487</v>
      </c>
      <c r="D82" s="386">
        <v>5</v>
      </c>
      <c r="E82" s="387">
        <v>6</v>
      </c>
      <c r="F82" s="386">
        <v>99</v>
      </c>
      <c r="G82" s="386">
        <v>55</v>
      </c>
      <c r="H82" s="388">
        <v>20098.4</v>
      </c>
      <c r="I82" s="393">
        <v>19157.26000000001</v>
      </c>
      <c r="J82" s="389">
        <f t="shared" si="1"/>
      </c>
      <c r="K82" s="389">
        <f t="shared" si="4"/>
      </c>
      <c r="L82" s="390">
        <f t="shared" si="2"/>
      </c>
      <c r="M82" s="391">
        <f t="shared" si="5"/>
      </c>
      <c r="N82" s="387">
        <v>3</v>
      </c>
      <c r="O82" s="391">
        <f t="shared" si="3"/>
      </c>
      <c r="P82" s="386" t="s">
        <v>520</v>
      </c>
      <c r="Q82" s="386">
        <v>10</v>
      </c>
    </row>
    <row r="83">
      <c r="A83" s="385" t="s">
        <v>522</v>
      </c>
      <c r="B83" s="386" t="s">
        <v>497</v>
      </c>
      <c r="C83" s="386" t="s">
        <v>490</v>
      </c>
      <c r="D83" s="386">
        <v>5</v>
      </c>
      <c r="E83" s="387">
        <v>22</v>
      </c>
      <c r="F83" s="386">
        <v>151</v>
      </c>
      <c r="G83" s="386">
        <v>109</v>
      </c>
      <c r="H83" s="393">
        <v>39133.1</v>
      </c>
      <c r="I83" s="393">
        <v>31726.37</v>
      </c>
      <c r="J83" s="389">
        <f t="shared" si="1"/>
      </c>
      <c r="K83" s="389">
        <f t="shared" si="4"/>
      </c>
      <c r="L83" s="390">
        <f t="shared" si="2"/>
      </c>
      <c r="M83" s="391">
        <f t="shared" si="5"/>
      </c>
      <c r="N83" s="387">
        <v>15</v>
      </c>
      <c r="O83" s="391">
        <f t="shared" si="3"/>
      </c>
      <c r="P83" s="394"/>
      <c r="Q83" s="394"/>
    </row>
    <row r="84">
      <c r="A84" s="395" t="s">
        <v>522</v>
      </c>
      <c r="B84" s="396" t="s">
        <v>491</v>
      </c>
      <c r="C84" s="396"/>
      <c r="D84" s="396">
        <f>SUM(D80:D83)</f>
      </c>
      <c r="E84" s="396">
        <f>SUM(E80:E83)</f>
      </c>
      <c r="F84" s="396">
        <f>SUM(F80:F83)</f>
      </c>
      <c r="G84" s="396">
        <f>SUM(G80:G83)</f>
      </c>
      <c r="H84" s="396">
        <f>SUM(H80:H83)</f>
      </c>
      <c r="I84" s="396">
        <f>SUM(I80:I83)</f>
      </c>
      <c r="J84" s="397">
        <f t="shared" si="1"/>
      </c>
      <c r="K84" s="398">
        <f t="shared" si="4"/>
      </c>
      <c r="L84" s="398">
        <f t="shared" si="2"/>
      </c>
      <c r="M84" s="399">
        <f t="shared" si="5"/>
      </c>
      <c r="N84" s="396">
        <f>SUM(N80:N83)</f>
      </c>
      <c r="O84" s="399">
        <f t="shared" si="3"/>
      </c>
      <c r="P84" s="400"/>
      <c r="Q84" s="396">
        <f>SUM(Q80:Q83)</f>
      </c>
    </row>
    <row r="85">
      <c r="A85" s="385" t="s">
        <v>523</v>
      </c>
      <c r="B85" s="386" t="s">
        <v>481</v>
      </c>
      <c r="C85" s="386" t="s">
        <v>518</v>
      </c>
      <c r="D85" s="386">
        <v>4</v>
      </c>
      <c r="E85" s="387">
        <v>21</v>
      </c>
      <c r="F85" s="386">
        <v>179</v>
      </c>
      <c r="G85" s="386">
        <v>127</v>
      </c>
      <c r="H85" s="388">
        <v>44203.4</v>
      </c>
      <c r="I85" s="388">
        <v>37597.23</v>
      </c>
      <c r="J85" s="389">
        <f t="shared" si="1"/>
      </c>
      <c r="K85" s="389">
        <f t="shared" si="4"/>
      </c>
      <c r="L85" s="390">
        <f t="shared" si="2"/>
      </c>
      <c r="M85" s="391">
        <f t="shared" si="5"/>
      </c>
      <c r="N85" s="387">
        <v>22</v>
      </c>
      <c r="O85" s="391">
        <f t="shared" si="3"/>
      </c>
      <c r="P85" s="386" t="s">
        <v>510</v>
      </c>
      <c r="Q85" s="386">
        <v>10</v>
      </c>
    </row>
    <row r="86">
      <c r="A86" s="385" t="s">
        <v>523</v>
      </c>
      <c r="B86" s="386" t="s">
        <v>489</v>
      </c>
      <c r="C86" s="386" t="s">
        <v>519</v>
      </c>
      <c r="D86" s="386">
        <v>5</v>
      </c>
      <c r="E86" s="387">
        <v>11</v>
      </c>
      <c r="F86" s="386">
        <v>144</v>
      </c>
      <c r="G86" s="386">
        <v>88</v>
      </c>
      <c r="H86" s="388">
        <v>27645.4</v>
      </c>
      <c r="I86" s="388">
        <v>31237.350000000013</v>
      </c>
      <c r="J86" s="389">
        <f t="shared" si="1"/>
      </c>
      <c r="K86" s="389">
        <f t="shared" si="4"/>
      </c>
      <c r="L86" s="390">
        <f t="shared" si="2"/>
      </c>
      <c r="M86" s="391">
        <f t="shared" si="5"/>
      </c>
      <c r="N86" s="387">
        <v>8</v>
      </c>
      <c r="O86" s="391">
        <f t="shared" si="3"/>
      </c>
      <c r="P86" s="386"/>
      <c r="Q86" s="386"/>
    </row>
    <row customHeight="true" ht="16.071428571428573" r="87">
      <c r="A87" s="385" t="s">
        <v>523</v>
      </c>
      <c r="B87" s="386" t="s">
        <v>514</v>
      </c>
      <c r="C87" s="386" t="s">
        <v>515</v>
      </c>
      <c r="D87" s="386">
        <v>2</v>
      </c>
      <c r="E87" s="387">
        <v>5</v>
      </c>
      <c r="F87" s="386">
        <v>82</v>
      </c>
      <c r="G87" s="386">
        <v>57</v>
      </c>
      <c r="H87" s="388">
        <v>19928.800000000003</v>
      </c>
      <c r="I87" s="388">
        <v>17702.679999999993</v>
      </c>
      <c r="J87" s="389">
        <f t="shared" si="1"/>
      </c>
      <c r="K87" s="389">
        <f t="shared" si="4"/>
      </c>
      <c r="L87" s="390">
        <f t="shared" si="2"/>
      </c>
      <c r="M87" s="391">
        <f t="shared" si="5"/>
      </c>
      <c r="N87" s="387">
        <v>3</v>
      </c>
      <c r="O87" s="391">
        <f t="shared" si="3"/>
      </c>
      <c r="P87" s="386"/>
      <c r="Q87" s="386"/>
    </row>
    <row r="88">
      <c r="A88" s="385" t="s">
        <v>523</v>
      </c>
      <c r="B88" s="386" t="s">
        <v>486</v>
      </c>
      <c r="C88" s="386" t="s">
        <v>516</v>
      </c>
      <c r="D88" s="386">
        <v>4</v>
      </c>
      <c r="E88" s="387">
        <v>21</v>
      </c>
      <c r="F88" s="386">
        <v>125</v>
      </c>
      <c r="G88" s="386">
        <v>86</v>
      </c>
      <c r="H88" s="388">
        <v>24708.199999999997</v>
      </c>
      <c r="I88" s="393">
        <v>25309.03999999998</v>
      </c>
      <c r="J88" s="389">
        <f t="shared" si="1"/>
      </c>
      <c r="K88" s="389">
        <f t="shared" si="4"/>
      </c>
      <c r="L88" s="390">
        <f t="shared" si="2"/>
      </c>
      <c r="M88" s="391">
        <f t="shared" si="5"/>
      </c>
      <c r="N88" s="387">
        <v>14</v>
      </c>
      <c r="O88" s="391">
        <f t="shared" si="3"/>
      </c>
      <c r="P88" s="386" t="s">
        <v>524</v>
      </c>
      <c r="Q88" s="386">
        <v>10</v>
      </c>
    </row>
    <row r="89">
      <c r="A89" s="385" t="s">
        <v>523</v>
      </c>
      <c r="B89" s="386" t="s">
        <v>497</v>
      </c>
      <c r="C89" s="386" t="s">
        <v>490</v>
      </c>
      <c r="D89" s="386">
        <v>5</v>
      </c>
      <c r="E89" s="387">
        <v>11</v>
      </c>
      <c r="F89" s="386">
        <v>165</v>
      </c>
      <c r="G89" s="386">
        <v>101</v>
      </c>
      <c r="H89" s="393">
        <v>33468.80000000003</v>
      </c>
      <c r="I89" s="393">
        <v>39059.23</v>
      </c>
      <c r="J89" s="389">
        <f t="shared" si="1"/>
      </c>
      <c r="K89" s="389">
        <f t="shared" si="4"/>
      </c>
      <c r="L89" s="390">
        <f t="shared" si="2"/>
      </c>
      <c r="M89" s="391">
        <f t="shared" si="5"/>
      </c>
      <c r="N89" s="387">
        <v>12</v>
      </c>
      <c r="O89" s="391">
        <f t="shared" si="3"/>
      </c>
      <c r="P89" s="394"/>
      <c r="Q89" s="394"/>
    </row>
    <row r="90">
      <c r="A90" s="395" t="s">
        <v>523</v>
      </c>
      <c r="B90" s="396" t="s">
        <v>491</v>
      </c>
      <c r="C90" s="396"/>
      <c r="D90" s="396">
        <f>SUM(D85:D89)</f>
      </c>
      <c r="E90" s="396">
        <f>SUM(E85:E89)</f>
      </c>
      <c r="F90" s="396">
        <f>SUM(F85:F89)</f>
      </c>
      <c r="G90" s="396">
        <f>SUM(G85:G89)</f>
      </c>
      <c r="H90" s="396">
        <f>SUM(H85:H89)</f>
      </c>
      <c r="I90" s="396">
        <f>SUM(I85:I89)</f>
      </c>
      <c r="J90" s="397">
        <f t="shared" si="1"/>
      </c>
      <c r="K90" s="398">
        <f t="shared" si="4"/>
      </c>
      <c r="L90" s="398">
        <f t="shared" si="2"/>
      </c>
      <c r="M90" s="399">
        <f t="shared" si="5"/>
      </c>
      <c r="N90" s="396">
        <f>SUM(N85:N89)</f>
      </c>
      <c r="O90" s="399">
        <f t="shared" si="3"/>
      </c>
      <c r="P90" s="400"/>
      <c r="Q90" s="396">
        <f>SUM(Q85:Q89)</f>
      </c>
    </row>
    <row r="91">
      <c r="A91" s="385" t="s">
        <v>525</v>
      </c>
      <c r="B91" s="386" t="s">
        <v>481</v>
      </c>
      <c r="C91" s="386" t="s">
        <v>518</v>
      </c>
      <c r="D91" s="386">
        <v>4</v>
      </c>
      <c r="E91" s="387">
        <v>10</v>
      </c>
      <c r="F91" s="386">
        <v>133</v>
      </c>
      <c r="G91" s="386">
        <v>77</v>
      </c>
      <c r="H91" s="388">
        <v>25877.2</v>
      </c>
      <c r="I91" s="388">
        <v>33344.96</v>
      </c>
      <c r="J91" s="389">
        <f t="shared" si="1"/>
      </c>
      <c r="K91" s="389">
        <f t="shared" si="4"/>
      </c>
      <c r="L91" s="390">
        <f t="shared" si="2"/>
      </c>
      <c r="M91" s="391">
        <f t="shared" si="5"/>
      </c>
      <c r="N91" s="387">
        <v>6</v>
      </c>
      <c r="O91" s="391">
        <f t="shared" si="3"/>
      </c>
      <c r="P91" s="386" t="s">
        <v>510</v>
      </c>
      <c r="Q91" s="386">
        <v>10</v>
      </c>
    </row>
    <row r="92">
      <c r="A92" s="385" t="s">
        <v>525</v>
      </c>
      <c r="B92" s="386" t="s">
        <v>484</v>
      </c>
      <c r="C92" s="386" t="s">
        <v>526</v>
      </c>
      <c r="D92" s="386">
        <v>4</v>
      </c>
      <c r="E92" s="387">
        <v>7</v>
      </c>
      <c r="F92" s="386">
        <v>86</v>
      </c>
      <c r="G92" s="386">
        <v>54</v>
      </c>
      <c r="H92" s="388">
        <v>17348.600000000002</v>
      </c>
      <c r="I92" s="388">
        <v>21322.010000000002</v>
      </c>
      <c r="J92" s="389">
        <f t="shared" si="1"/>
      </c>
      <c r="K92" s="389">
        <f t="shared" si="4"/>
      </c>
      <c r="L92" s="390">
        <f t="shared" si="2"/>
      </c>
      <c r="M92" s="391">
        <f t="shared" si="5"/>
      </c>
      <c r="N92" s="387">
        <v>5</v>
      </c>
      <c r="O92" s="391">
        <f t="shared" si="3"/>
      </c>
      <c r="P92" s="386"/>
      <c r="Q92" s="386"/>
    </row>
    <row r="93">
      <c r="A93" s="385" t="s">
        <v>525</v>
      </c>
      <c r="B93" s="386" t="s">
        <v>514</v>
      </c>
      <c r="C93" s="386" t="s">
        <v>527</v>
      </c>
      <c r="D93" s="386">
        <v>4</v>
      </c>
      <c r="E93" s="387">
        <v>8</v>
      </c>
      <c r="F93" s="386">
        <v>107</v>
      </c>
      <c r="G93" s="386">
        <v>71</v>
      </c>
      <c r="H93" s="386">
        <v>23424.40000000001</v>
      </c>
      <c r="I93" s="388">
        <v>17735.329999999987</v>
      </c>
      <c r="J93" s="389">
        <f t="shared" si="1"/>
      </c>
      <c r="K93" s="389">
        <f t="shared" si="4"/>
      </c>
      <c r="L93" s="390">
        <f t="shared" si="2"/>
      </c>
      <c r="M93" s="391">
        <f t="shared" si="5"/>
      </c>
      <c r="N93" s="387">
        <v>14</v>
      </c>
      <c r="O93" s="391">
        <f t="shared" si="3"/>
      </c>
      <c r="P93" s="386"/>
      <c r="Q93" s="386"/>
    </row>
    <row r="94">
      <c r="A94" s="385" t="s">
        <v>525</v>
      </c>
      <c r="B94" s="386" t="s">
        <v>497</v>
      </c>
      <c r="C94" s="386" t="s">
        <v>528</v>
      </c>
      <c r="D94" s="386">
        <v>3</v>
      </c>
      <c r="E94" s="387">
        <v>7</v>
      </c>
      <c r="F94" s="386">
        <v>88</v>
      </c>
      <c r="G94" s="386">
        <v>44</v>
      </c>
      <c r="H94" s="388">
        <v>14537.199999999997</v>
      </c>
      <c r="I94" s="393">
        <v>19021.160000000003</v>
      </c>
      <c r="J94" s="389">
        <f t="shared" si="1"/>
      </c>
      <c r="K94" s="389">
        <f t="shared" si="4"/>
      </c>
      <c r="L94" s="390">
        <f t="shared" si="2"/>
      </c>
      <c r="M94" s="391">
        <f t="shared" si="5"/>
      </c>
      <c r="N94" s="387">
        <v>3</v>
      </c>
      <c r="O94" s="391">
        <f t="shared" si="3"/>
      </c>
      <c r="P94" s="386" t="s">
        <v>524</v>
      </c>
      <c r="Q94" s="386">
        <v>9</v>
      </c>
    </row>
    <row r="95">
      <c r="A95" s="385" t="s">
        <v>525</v>
      </c>
      <c r="B95" s="386" t="s">
        <v>486</v>
      </c>
      <c r="C95" s="386" t="s">
        <v>529</v>
      </c>
      <c r="D95" s="386">
        <v>4</v>
      </c>
      <c r="E95" s="387">
        <v>5</v>
      </c>
      <c r="F95" s="386">
        <v>63</v>
      </c>
      <c r="G95" s="386">
        <v>41</v>
      </c>
      <c r="H95" s="393">
        <v>12723.199999999997</v>
      </c>
      <c r="I95" s="393">
        <v>16168.11</v>
      </c>
      <c r="J95" s="389">
        <f t="shared" si="1"/>
      </c>
      <c r="K95" s="389">
        <f t="shared" si="4"/>
      </c>
      <c r="L95" s="390">
        <f t="shared" si="2"/>
      </c>
      <c r="M95" s="391">
        <f t="shared" si="5"/>
      </c>
      <c r="N95" s="387">
        <v>4</v>
      </c>
      <c r="O95" s="391">
        <f t="shared" si="3"/>
      </c>
      <c r="P95" s="394"/>
      <c r="Q95" s="394"/>
    </row>
    <row r="96">
      <c r="A96" s="395" t="s">
        <v>525</v>
      </c>
      <c r="B96" s="396" t="s">
        <v>491</v>
      </c>
      <c r="C96" s="396"/>
      <c r="D96" s="396">
        <f>SUM(D91:D95)</f>
      </c>
      <c r="E96" s="396">
        <f>SUM(E91:E95)</f>
      </c>
      <c r="F96" s="396">
        <f>SUM(F91:F95)</f>
      </c>
      <c r="G96" s="396">
        <f>SUM(G91:G95)</f>
      </c>
      <c r="H96" s="396">
        <f>SUM(H91:H95)</f>
      </c>
      <c r="I96" s="396">
        <f>SUM(I91:I95)</f>
      </c>
      <c r="J96" s="397">
        <f t="shared" si="1"/>
      </c>
      <c r="K96" s="398">
        <f t="shared" si="4"/>
      </c>
      <c r="L96" s="398">
        <f t="shared" si="2"/>
      </c>
      <c r="M96" s="399">
        <f t="shared" si="5"/>
      </c>
      <c r="N96" s="396">
        <f>SUM(N91:N95)</f>
      </c>
      <c r="O96" s="399">
        <f t="shared" si="3"/>
      </c>
      <c r="P96" s="400"/>
      <c r="Q96" s="396">
        <f>SUM(Q91:Q95)</f>
      </c>
    </row>
    <row r="97">
      <c r="A97" s="385" t="s">
        <v>530</v>
      </c>
      <c r="B97" s="386" t="s">
        <v>489</v>
      </c>
      <c r="C97" s="386" t="s">
        <v>518</v>
      </c>
      <c r="D97" s="386">
        <v>4</v>
      </c>
      <c r="E97" s="387">
        <v>10</v>
      </c>
      <c r="F97" s="386">
        <v>170</v>
      </c>
      <c r="G97" s="386">
        <v>93</v>
      </c>
      <c r="H97" s="388">
        <v>30100.6</v>
      </c>
      <c r="I97" s="388">
        <v>30727.54</v>
      </c>
      <c r="J97" s="389">
        <f t="shared" si="1"/>
      </c>
      <c r="K97" s="389">
        <f t="shared" si="4"/>
      </c>
      <c r="L97" s="390">
        <f t="shared" si="2"/>
      </c>
      <c r="M97" s="391">
        <f t="shared" si="5"/>
      </c>
      <c r="N97" s="387">
        <v>9</v>
      </c>
      <c r="O97" s="391">
        <f t="shared" si="3"/>
      </c>
      <c r="P97" s="386" t="s">
        <v>510</v>
      </c>
      <c r="Q97" s="386">
        <v>10</v>
      </c>
    </row>
    <row r="98">
      <c r="A98" s="385" t="s">
        <v>530</v>
      </c>
      <c r="B98" s="386" t="s">
        <v>486</v>
      </c>
      <c r="C98" s="386" t="s">
        <v>526</v>
      </c>
      <c r="D98" s="386">
        <v>4</v>
      </c>
      <c r="E98" s="387">
        <v>5</v>
      </c>
      <c r="F98" s="386">
        <v>82</v>
      </c>
      <c r="G98" s="386">
        <v>58</v>
      </c>
      <c r="H98" s="388">
        <v>16899.200000000004</v>
      </c>
      <c r="I98" s="388">
        <v>21304.510000000002</v>
      </c>
      <c r="J98" s="389">
        <f t="shared" si="1"/>
      </c>
      <c r="K98" s="389">
        <f t="shared" si="4"/>
      </c>
      <c r="L98" s="390">
        <f t="shared" si="2"/>
      </c>
      <c r="M98" s="391">
        <f t="shared" si="5"/>
      </c>
      <c r="N98" s="387">
        <v>10</v>
      </c>
      <c r="O98" s="391">
        <f t="shared" si="3"/>
      </c>
      <c r="P98" s="386"/>
      <c r="Q98" s="386"/>
    </row>
    <row r="99">
      <c r="A99" s="385" t="s">
        <v>530</v>
      </c>
      <c r="B99" s="386" t="s">
        <v>514</v>
      </c>
      <c r="C99" s="386" t="s">
        <v>527</v>
      </c>
      <c r="D99" s="386">
        <v>4</v>
      </c>
      <c r="E99" s="387">
        <v>9</v>
      </c>
      <c r="F99" s="386">
        <v>100</v>
      </c>
      <c r="G99" s="386">
        <v>43</v>
      </c>
      <c r="H99" s="386">
        <v>13024.699999999997</v>
      </c>
      <c r="I99" s="388">
        <v>16837.770000000004</v>
      </c>
      <c r="J99" s="389">
        <f t="shared" si="1"/>
      </c>
      <c r="K99" s="389">
        <f t="shared" si="4"/>
      </c>
      <c r="L99" s="390">
        <f t="shared" si="2"/>
      </c>
      <c r="M99" s="391">
        <f t="shared" si="5"/>
      </c>
      <c r="N99" s="387">
        <v>3</v>
      </c>
      <c r="O99" s="391">
        <f t="shared" si="3"/>
      </c>
      <c r="P99" s="386"/>
      <c r="Q99" s="386"/>
    </row>
    <row r="100">
      <c r="A100" s="385" t="s">
        <v>530</v>
      </c>
      <c r="B100" s="386" t="s">
        <v>497</v>
      </c>
      <c r="C100" s="386" t="s">
        <v>531</v>
      </c>
      <c r="D100" s="386">
        <v>4</v>
      </c>
      <c r="E100" s="387">
        <v>6</v>
      </c>
      <c r="F100" s="386">
        <v>102</v>
      </c>
      <c r="G100" s="386">
        <v>64</v>
      </c>
      <c r="H100" s="388">
        <v>21722.199999999997</v>
      </c>
      <c r="I100" s="393">
        <v>21445.88</v>
      </c>
      <c r="J100" s="389">
        <f t="shared" si="1"/>
      </c>
      <c r="K100" s="389">
        <f t="shared" si="4"/>
      </c>
      <c r="L100" s="390">
        <f t="shared" si="2"/>
      </c>
      <c r="M100" s="391">
        <f t="shared" si="5"/>
      </c>
      <c r="N100" s="387">
        <v>10</v>
      </c>
      <c r="O100" s="391">
        <f t="shared" si="3"/>
      </c>
      <c r="P100" s="386" t="s">
        <v>524</v>
      </c>
      <c r="Q100" s="386">
        <v>10</v>
      </c>
    </row>
    <row r="101">
      <c r="A101" s="385" t="s">
        <v>530</v>
      </c>
      <c r="B101" s="386" t="s">
        <v>484</v>
      </c>
      <c r="C101" s="386" t="s">
        <v>529</v>
      </c>
      <c r="D101" s="386">
        <v>4</v>
      </c>
      <c r="E101" s="387">
        <v>3</v>
      </c>
      <c r="F101" s="386">
        <v>70</v>
      </c>
      <c r="G101" s="386">
        <v>48</v>
      </c>
      <c r="H101" s="393">
        <v>16398</v>
      </c>
      <c r="I101" s="393">
        <v>16527.17</v>
      </c>
      <c r="J101" s="389">
        <f t="shared" si="1"/>
      </c>
      <c r="K101" s="389">
        <f t="shared" si="4"/>
      </c>
      <c r="L101" s="390">
        <f t="shared" si="2"/>
      </c>
      <c r="M101" s="391">
        <f t="shared" si="5"/>
      </c>
      <c r="N101" s="387">
        <v>8</v>
      </c>
      <c r="O101" s="391">
        <f t="shared" si="3"/>
      </c>
      <c r="P101" s="394"/>
      <c r="Q101" s="394"/>
    </row>
    <row r="102">
      <c r="A102" s="395" t="s">
        <v>530</v>
      </c>
      <c r="B102" s="396" t="s">
        <v>491</v>
      </c>
      <c r="C102" s="396"/>
      <c r="D102" s="396">
        <f>SUM(D97:D101)</f>
      </c>
      <c r="E102" s="396">
        <f>SUM(E97:E101)</f>
      </c>
      <c r="F102" s="396">
        <f>SUM(F97:F101)</f>
      </c>
      <c r="G102" s="396">
        <f>SUM(G97:G101)</f>
      </c>
      <c r="H102" s="396">
        <f>SUM(H97:H101)</f>
      </c>
      <c r="I102" s="396">
        <f>SUM(I97:I101)</f>
      </c>
      <c r="J102" s="397">
        <f t="shared" si="1"/>
      </c>
      <c r="K102" s="398">
        <f t="shared" si="4"/>
      </c>
      <c r="L102" s="398">
        <f t="shared" si="2"/>
      </c>
      <c r="M102" s="399">
        <f t="shared" si="5"/>
      </c>
      <c r="N102" s="396">
        <f>SUM(N97:N101)</f>
      </c>
      <c r="O102" s="399">
        <f t="shared" si="3"/>
      </c>
      <c r="P102" s="400"/>
      <c r="Q102" s="396">
        <f>SUM(Q97:Q101)</f>
      </c>
    </row>
    <row r="103">
      <c r="A103" s="385" t="s">
        <v>532</v>
      </c>
      <c r="B103" s="386" t="s">
        <v>481</v>
      </c>
      <c r="C103" s="386" t="s">
        <v>518</v>
      </c>
      <c r="D103" s="386">
        <v>4</v>
      </c>
      <c r="E103" s="387">
        <v>12</v>
      </c>
      <c r="F103" s="386">
        <v>132</v>
      </c>
      <c r="G103" s="386">
        <v>82</v>
      </c>
      <c r="H103" s="388">
        <v>25011.4</v>
      </c>
      <c r="I103" s="388">
        <v>21782.98</v>
      </c>
      <c r="J103" s="389">
        <f t="shared" si="1"/>
      </c>
      <c r="K103" s="389">
        <f t="shared" si="4"/>
      </c>
      <c r="L103" s="390">
        <f t="shared" si="2"/>
      </c>
      <c r="M103" s="391">
        <f t="shared" si="5"/>
      </c>
      <c r="N103" s="387">
        <v>13</v>
      </c>
      <c r="O103" s="391">
        <f t="shared" si="3"/>
      </c>
      <c r="P103" s="386" t="s">
        <v>503</v>
      </c>
      <c r="Q103" s="386">
        <v>10</v>
      </c>
    </row>
    <row r="104">
      <c r="A104" s="385" t="s">
        <v>532</v>
      </c>
      <c r="B104" s="386" t="s">
        <v>486</v>
      </c>
      <c r="C104" s="386" t="s">
        <v>526</v>
      </c>
      <c r="D104" s="401">
        <f>4-0.5</f>
      </c>
      <c r="E104" s="387">
        <v>5</v>
      </c>
      <c r="F104" s="386">
        <v>85</v>
      </c>
      <c r="G104" s="386">
        <v>38</v>
      </c>
      <c r="H104" s="388">
        <v>11789.099999999999</v>
      </c>
      <c r="I104" s="388">
        <v>19596.120000000006</v>
      </c>
      <c r="J104" s="389">
        <f t="shared" si="1"/>
      </c>
      <c r="K104" s="389">
        <f t="shared" si="4"/>
      </c>
      <c r="L104" s="390">
        <f t="shared" si="2"/>
      </c>
      <c r="M104" s="391">
        <f t="shared" si="5"/>
      </c>
      <c r="N104" s="387">
        <v>7</v>
      </c>
      <c r="O104" s="391">
        <f t="shared" si="3"/>
      </c>
      <c r="P104" s="386"/>
      <c r="Q104" s="386"/>
    </row>
    <row r="105">
      <c r="A105" s="385" t="s">
        <v>532</v>
      </c>
      <c r="B105" s="386" t="s">
        <v>514</v>
      </c>
      <c r="C105" s="386" t="s">
        <v>527</v>
      </c>
      <c r="D105" s="386">
        <v>4</v>
      </c>
      <c r="E105" s="387">
        <v>12</v>
      </c>
      <c r="F105" s="386">
        <v>87</v>
      </c>
      <c r="G105" s="386">
        <v>58</v>
      </c>
      <c r="H105" s="386">
        <v>19171.100000000006</v>
      </c>
      <c r="I105" s="388">
        <v>16308.229999999989</v>
      </c>
      <c r="J105" s="389">
        <f t="shared" si="1"/>
      </c>
      <c r="K105" s="389">
        <f t="shared" si="4"/>
      </c>
      <c r="L105" s="390">
        <f t="shared" si="2"/>
      </c>
      <c r="M105" s="391">
        <f t="shared" si="5"/>
      </c>
      <c r="N105" s="387">
        <v>7</v>
      </c>
      <c r="O105" s="391">
        <f t="shared" si="3"/>
      </c>
      <c r="P105" s="386"/>
      <c r="Q105" s="386"/>
    </row>
    <row r="106">
      <c r="A106" s="385" t="s">
        <v>532</v>
      </c>
      <c r="B106" s="386" t="s">
        <v>484</v>
      </c>
      <c r="C106" s="386" t="s">
        <v>533</v>
      </c>
      <c r="D106" s="386">
        <v>3</v>
      </c>
      <c r="E106" s="387">
        <v>7</v>
      </c>
      <c r="F106" s="386">
        <v>80</v>
      </c>
      <c r="G106" s="386">
        <v>41</v>
      </c>
      <c r="H106" s="388">
        <v>14963</v>
      </c>
      <c r="I106" s="393">
        <v>15944.110000000008</v>
      </c>
      <c r="J106" s="389">
        <f t="shared" si="1"/>
      </c>
      <c r="K106" s="389">
        <f t="shared" si="4"/>
      </c>
      <c r="L106" s="390">
        <f t="shared" si="2"/>
      </c>
      <c r="M106" s="391">
        <f t="shared" si="5"/>
      </c>
      <c r="N106" s="387">
        <v>7</v>
      </c>
      <c r="O106" s="391">
        <f t="shared" si="3"/>
      </c>
      <c r="P106" s="386" t="s">
        <v>524</v>
      </c>
      <c r="Q106" s="386">
        <v>9</v>
      </c>
    </row>
    <row r="107">
      <c r="A107" s="385" t="s">
        <v>532</v>
      </c>
      <c r="B107" s="386" t="s">
        <v>489</v>
      </c>
      <c r="C107" s="386" t="s">
        <v>534</v>
      </c>
      <c r="D107" s="386">
        <v>4</v>
      </c>
      <c r="E107" s="387">
        <v>4</v>
      </c>
      <c r="F107" s="386">
        <v>94</v>
      </c>
      <c r="G107" s="386">
        <v>44</v>
      </c>
      <c r="H107" s="393">
        <v>16288</v>
      </c>
      <c r="I107" s="393">
        <v>16978.66</v>
      </c>
      <c r="J107" s="389">
        <f t="shared" si="1"/>
      </c>
      <c r="K107" s="389">
        <f t="shared" si="4"/>
      </c>
      <c r="L107" s="390">
        <f t="shared" si="2"/>
      </c>
      <c r="M107" s="391">
        <f t="shared" si="5"/>
      </c>
      <c r="N107" s="387">
        <v>3</v>
      </c>
      <c r="O107" s="391">
        <f t="shared" si="3"/>
      </c>
      <c r="P107" s="394"/>
      <c r="Q107" s="394"/>
    </row>
    <row r="108">
      <c r="A108" s="395" t="s">
        <v>532</v>
      </c>
      <c r="B108" s="396" t="s">
        <v>491</v>
      </c>
      <c r="C108" s="396"/>
      <c r="D108" s="396">
        <f>SUM(D103:D107)</f>
      </c>
      <c r="E108" s="396">
        <f>SUM(E103:E107)</f>
      </c>
      <c r="F108" s="396">
        <f>SUM(F103:F107)</f>
      </c>
      <c r="G108" s="396">
        <f>SUM(G103:G107)</f>
      </c>
      <c r="H108" s="396">
        <f>SUM(H103:H107)</f>
      </c>
      <c r="I108" s="396">
        <f>SUM(I103:I107)</f>
      </c>
      <c r="J108" s="397">
        <f t="shared" si="1"/>
      </c>
      <c r="K108" s="398">
        <f t="shared" si="4"/>
      </c>
      <c r="L108" s="398">
        <f t="shared" si="2"/>
      </c>
      <c r="M108" s="399">
        <f t="shared" si="5"/>
      </c>
      <c r="N108" s="396">
        <f>SUM(N103:N107)</f>
      </c>
      <c r="O108" s="399">
        <f t="shared" si="3"/>
      </c>
      <c r="P108" s="400"/>
      <c r="Q108" s="396">
        <f>SUM(Q103:Q107)</f>
      </c>
    </row>
    <row r="109">
      <c r="A109" s="385" t="s">
        <v>535</v>
      </c>
      <c r="B109" s="386" t="s">
        <v>481</v>
      </c>
      <c r="C109" s="386" t="s">
        <v>482</v>
      </c>
      <c r="D109" s="386">
        <v>5</v>
      </c>
      <c r="E109" s="387">
        <v>13</v>
      </c>
      <c r="F109" s="386">
        <v>132</v>
      </c>
      <c r="G109" s="386">
        <v>87</v>
      </c>
      <c r="H109" s="388">
        <v>29658.1</v>
      </c>
      <c r="I109" s="388">
        <v>26337.820000000003</v>
      </c>
      <c r="J109" s="389">
        <f t="shared" si="1"/>
      </c>
      <c r="K109" s="389">
        <f t="shared" si="4"/>
      </c>
      <c r="L109" s="390">
        <f t="shared" si="2"/>
      </c>
      <c r="M109" s="391">
        <f t="shared" si="5"/>
      </c>
      <c r="N109" s="387">
        <v>12</v>
      </c>
      <c r="O109" s="391">
        <f t="shared" si="3"/>
      </c>
      <c r="P109" s="386" t="s">
        <v>536</v>
      </c>
      <c r="Q109" s="386">
        <v>10</v>
      </c>
    </row>
    <row r="110">
      <c r="A110" s="385" t="s">
        <v>535</v>
      </c>
      <c r="B110" s="386" t="s">
        <v>484</v>
      </c>
      <c r="C110" s="386" t="s">
        <v>485</v>
      </c>
      <c r="D110" s="386">
        <v>5</v>
      </c>
      <c r="E110" s="387">
        <v>8</v>
      </c>
      <c r="F110" s="386">
        <v>113</v>
      </c>
      <c r="G110" s="386">
        <v>63</v>
      </c>
      <c r="H110" s="388">
        <v>20658.4</v>
      </c>
      <c r="I110" s="388">
        <v>23639.709999999995</v>
      </c>
      <c r="J110" s="389">
        <f t="shared" si="1"/>
      </c>
      <c r="K110" s="389">
        <f t="shared" si="4"/>
      </c>
      <c r="L110" s="390">
        <f t="shared" si="2"/>
      </c>
      <c r="M110" s="391">
        <f t="shared" si="5"/>
      </c>
      <c r="N110" s="387">
        <v>10</v>
      </c>
      <c r="O110" s="391">
        <f t="shared" si="3"/>
      </c>
      <c r="P110" s="386"/>
      <c r="Q110" s="386"/>
    </row>
    <row r="111">
      <c r="A111" s="385" t="s">
        <v>535</v>
      </c>
      <c r="B111" s="386" t="s">
        <v>497</v>
      </c>
      <c r="C111" s="386" t="s">
        <v>487</v>
      </c>
      <c r="D111" s="386">
        <v>5</v>
      </c>
      <c r="E111" s="387">
        <v>17</v>
      </c>
      <c r="F111" s="386">
        <v>141</v>
      </c>
      <c r="G111" s="386">
        <v>93</v>
      </c>
      <c r="H111" s="386">
        <v>29453.300000000003</v>
      </c>
      <c r="I111" s="388">
        <v>29792.64</v>
      </c>
      <c r="J111" s="389">
        <f t="shared" si="1"/>
      </c>
      <c r="K111" s="389">
        <f t="shared" si="4"/>
      </c>
      <c r="L111" s="390">
        <f t="shared" si="2"/>
      </c>
      <c r="M111" s="391">
        <f t="shared" si="5"/>
      </c>
      <c r="N111" s="387">
        <v>19</v>
      </c>
      <c r="O111" s="391">
        <f t="shared" si="3"/>
      </c>
      <c r="P111" s="386"/>
      <c r="Q111" s="386"/>
    </row>
    <row customHeight="true" ht="16.071428571428573" r="112">
      <c r="A112" s="385" t="s">
        <v>535</v>
      </c>
      <c r="B112" s="386" t="s">
        <v>489</v>
      </c>
      <c r="C112" s="386" t="s">
        <v>537</v>
      </c>
      <c r="D112" s="386">
        <v>2.5</v>
      </c>
      <c r="E112" s="387">
        <v>1</v>
      </c>
      <c r="F112" s="386">
        <v>50</v>
      </c>
      <c r="G112" s="386">
        <v>31</v>
      </c>
      <c r="H112" s="393">
        <v>9899.199999999997</v>
      </c>
      <c r="I112" s="393">
        <v>11109.01000000001</v>
      </c>
      <c r="J112" s="389">
        <f t="shared" si="1"/>
      </c>
      <c r="K112" s="389">
        <f t="shared" si="4"/>
      </c>
      <c r="L112" s="390">
        <f t="shared" si="2"/>
      </c>
      <c r="M112" s="391">
        <f t="shared" si="5"/>
      </c>
      <c r="N112" s="387">
        <v>4</v>
      </c>
      <c r="O112" s="391">
        <f t="shared" si="3"/>
      </c>
      <c r="P112" s="386" t="s">
        <v>538</v>
      </c>
      <c r="Q112" s="386">
        <v>10</v>
      </c>
    </row>
    <row r="113">
      <c r="A113" s="385" t="s">
        <v>535</v>
      </c>
      <c r="B113" s="386" t="s">
        <v>539</v>
      </c>
      <c r="C113" s="386" t="s">
        <v>540</v>
      </c>
      <c r="D113" s="386">
        <v>2.5</v>
      </c>
      <c r="E113" s="387">
        <v>0</v>
      </c>
      <c r="F113" s="386">
        <v>36</v>
      </c>
      <c r="G113" s="386">
        <v>25</v>
      </c>
      <c r="H113" s="393">
        <v>8454</v>
      </c>
      <c r="I113" s="393">
        <v>5863.219999999987</v>
      </c>
      <c r="J113" s="389">
        <f t="shared" si="1"/>
      </c>
      <c r="K113" s="389">
        <f t="shared" si="4"/>
      </c>
      <c r="L113" s="390">
        <f t="shared" si="2"/>
      </c>
      <c r="M113" s="391">
        <f t="shared" si="5"/>
      </c>
      <c r="N113" s="387">
        <v>4</v>
      </c>
      <c r="O113" s="391">
        <f t="shared" si="3"/>
      </c>
      <c r="P113" s="386"/>
      <c r="Q113" s="386"/>
    </row>
    <row r="114">
      <c r="A114" s="395" t="s">
        <v>535</v>
      </c>
      <c r="B114" s="396" t="s">
        <v>491</v>
      </c>
      <c r="C114" s="396"/>
      <c r="D114" s="396">
        <f>SUM(D109:D113)</f>
      </c>
      <c r="E114" s="396">
        <f>SUM(E109:E113)</f>
      </c>
      <c r="F114" s="396">
        <f>SUM(F109:F113)</f>
      </c>
      <c r="G114" s="396">
        <f>SUM(G109:G113)</f>
      </c>
      <c r="H114" s="396">
        <f>SUM(H109:H113)</f>
      </c>
      <c r="I114" s="396">
        <f>SUM(I109:I113)</f>
      </c>
      <c r="J114" s="397">
        <f t="shared" si="1"/>
      </c>
      <c r="K114" s="398">
        <f t="shared" si="4"/>
      </c>
      <c r="L114" s="398">
        <f t="shared" si="2"/>
      </c>
      <c r="M114" s="399">
        <f t="shared" si="5"/>
      </c>
      <c r="N114" s="396">
        <f>SUM(N109:N113)</f>
      </c>
      <c r="O114" s="399">
        <f t="shared" si="3"/>
      </c>
      <c r="P114" s="400"/>
      <c r="Q114" s="396">
        <f>SUM(Q109:Q113)</f>
      </c>
    </row>
    <row r="115">
      <c r="A115" s="385" t="s">
        <v>541</v>
      </c>
      <c r="B115" s="386" t="s">
        <v>481</v>
      </c>
      <c r="C115" s="386" t="s">
        <v>482</v>
      </c>
      <c r="D115" s="386">
        <v>5</v>
      </c>
      <c r="E115" s="387">
        <v>15.2153</v>
      </c>
      <c r="F115" s="386">
        <v>118</v>
      </c>
      <c r="G115" s="386">
        <v>71</v>
      </c>
      <c r="H115" s="388">
        <v>22010.9</v>
      </c>
      <c r="I115" s="388">
        <v>25419.54</v>
      </c>
      <c r="J115" s="389">
        <f t="shared" si="1"/>
      </c>
      <c r="K115" s="389">
        <f t="shared" si="4"/>
      </c>
      <c r="L115" s="390">
        <f t="shared" si="2"/>
      </c>
      <c r="M115" s="391">
        <f t="shared" si="5"/>
      </c>
      <c r="N115" s="387">
        <v>8.2857</v>
      </c>
      <c r="O115" s="391">
        <f t="shared" si="3"/>
      </c>
      <c r="P115" s="386" t="s">
        <v>536</v>
      </c>
      <c r="Q115" s="386">
        <v>10</v>
      </c>
    </row>
    <row r="116">
      <c r="A116" s="385" t="s">
        <v>541</v>
      </c>
      <c r="B116" s="386" t="s">
        <v>497</v>
      </c>
      <c r="C116" s="386" t="s">
        <v>485</v>
      </c>
      <c r="D116" s="386">
        <v>5</v>
      </c>
      <c r="E116" s="387">
        <v>7</v>
      </c>
      <c r="F116" s="386">
        <v>123</v>
      </c>
      <c r="G116" s="386">
        <v>77</v>
      </c>
      <c r="H116" s="388">
        <v>24881</v>
      </c>
      <c r="I116" s="388">
        <v>24430.15000000001</v>
      </c>
      <c r="J116" s="389">
        <f t="shared" si="1"/>
      </c>
      <c r="K116" s="389">
        <f t="shared" si="4"/>
      </c>
      <c r="L116" s="390">
        <f t="shared" si="2"/>
      </c>
      <c r="M116" s="391">
        <f t="shared" si="5"/>
      </c>
      <c r="N116" s="387">
        <v>9</v>
      </c>
      <c r="O116" s="391">
        <f t="shared" si="3"/>
      </c>
      <c r="P116" s="386"/>
      <c r="Q116" s="386"/>
    </row>
    <row r="117">
      <c r="A117" s="385" t="s">
        <v>541</v>
      </c>
      <c r="B117" s="386" t="s">
        <v>514</v>
      </c>
      <c r="C117" s="386" t="s">
        <v>487</v>
      </c>
      <c r="D117" s="386">
        <v>5</v>
      </c>
      <c r="E117" s="387">
        <v>10</v>
      </c>
      <c r="F117" s="386">
        <v>122</v>
      </c>
      <c r="G117" s="386">
        <v>68</v>
      </c>
      <c r="H117" s="386">
        <v>23566.999999999993</v>
      </c>
      <c r="I117" s="388">
        <v>24909.929999999986</v>
      </c>
      <c r="J117" s="389">
        <f t="shared" si="1"/>
      </c>
      <c r="K117" s="389">
        <f t="shared" si="4"/>
      </c>
      <c r="L117" s="390">
        <f t="shared" si="2"/>
      </c>
      <c r="M117" s="391">
        <f t="shared" si="5"/>
      </c>
      <c r="N117" s="387">
        <v>9</v>
      </c>
      <c r="O117" s="391">
        <f t="shared" si="3"/>
      </c>
      <c r="P117" s="386"/>
      <c r="Q117" s="386"/>
    </row>
    <row r="118">
      <c r="A118" s="385" t="s">
        <v>541</v>
      </c>
      <c r="B118" s="386" t="s">
        <v>484</v>
      </c>
      <c r="C118" s="386" t="s">
        <v>490</v>
      </c>
      <c r="D118" s="386">
        <v>5</v>
      </c>
      <c r="E118" s="387">
        <v>7</v>
      </c>
      <c r="F118" s="386">
        <v>81</v>
      </c>
      <c r="G118" s="386">
        <v>46</v>
      </c>
      <c r="H118" s="393">
        <v>13628.200000000012</v>
      </c>
      <c r="I118" s="393">
        <v>18441.92</v>
      </c>
      <c r="J118" s="389">
        <f t="shared" si="1"/>
      </c>
      <c r="K118" s="389">
        <f t="shared" si="4"/>
      </c>
      <c r="L118" s="390">
        <f t="shared" si="2"/>
      </c>
      <c r="M118" s="391">
        <f t="shared" si="5"/>
      </c>
      <c r="N118" s="387">
        <v>12</v>
      </c>
      <c r="O118" s="391">
        <f t="shared" si="3"/>
      </c>
      <c r="P118" s="386" t="s">
        <v>506</v>
      </c>
      <c r="Q118" s="386">
        <v>10</v>
      </c>
    </row>
    <row r="119">
      <c r="A119" s="395" t="s">
        <v>541</v>
      </c>
      <c r="B119" s="396" t="s">
        <v>491</v>
      </c>
      <c r="C119" s="396"/>
      <c r="D119" s="396">
        <f>SUM(D115:D118)</f>
      </c>
      <c r="E119" s="396">
        <f>SUM(E115:E118)</f>
      </c>
      <c r="F119" s="396">
        <f>SUM(F115:F118)</f>
      </c>
      <c r="G119" s="396">
        <f>SUM(G115:G118)</f>
      </c>
      <c r="H119" s="396">
        <f>SUM(H115:H118)</f>
      </c>
      <c r="I119" s="396">
        <f>SUM(I115:I118)</f>
      </c>
      <c r="J119" s="397">
        <f t="shared" si="1"/>
      </c>
      <c r="K119" s="398">
        <f t="shared" si="4"/>
      </c>
      <c r="L119" s="398">
        <f t="shared" si="2"/>
      </c>
      <c r="M119" s="399">
        <f t="shared" si="5"/>
      </c>
      <c r="N119" s="396">
        <f>SUM(N115:N118)</f>
      </c>
      <c r="O119" s="399">
        <f t="shared" si="3"/>
      </c>
      <c r="P119" s="400"/>
      <c r="Q119" s="396">
        <f>SUM(Q115:Q118)</f>
      </c>
    </row>
    <row r="120">
      <c r="A120" s="385" t="s">
        <v>542</v>
      </c>
      <c r="B120" s="386" t="s">
        <v>481</v>
      </c>
      <c r="C120" s="386" t="s">
        <v>518</v>
      </c>
      <c r="D120" s="386">
        <v>4</v>
      </c>
      <c r="E120" s="387">
        <v>12</v>
      </c>
      <c r="F120" s="386">
        <v>127</v>
      </c>
      <c r="G120" s="386">
        <v>84</v>
      </c>
      <c r="H120" s="388">
        <v>31414</v>
      </c>
      <c r="I120" s="388">
        <v>27061.920000000002</v>
      </c>
      <c r="J120" s="389">
        <f t="shared" si="1"/>
      </c>
      <c r="K120" s="389">
        <f t="shared" si="4"/>
      </c>
      <c r="L120" s="390">
        <f t="shared" si="2"/>
      </c>
      <c r="M120" s="391">
        <f t="shared" si="5"/>
      </c>
      <c r="N120" s="387">
        <v>15</v>
      </c>
      <c r="O120" s="391">
        <f t="shared" si="3"/>
      </c>
      <c r="P120" s="386" t="s">
        <v>543</v>
      </c>
      <c r="Q120" s="386">
        <v>10</v>
      </c>
    </row>
    <row r="121">
      <c r="A121" s="385" t="s">
        <v>542</v>
      </c>
      <c r="B121" s="386" t="s">
        <v>497</v>
      </c>
      <c r="C121" s="386" t="s">
        <v>526</v>
      </c>
      <c r="D121" s="386">
        <v>4</v>
      </c>
      <c r="E121" s="387">
        <v>16</v>
      </c>
      <c r="F121" s="386">
        <v>153</v>
      </c>
      <c r="G121" s="386">
        <v>101</v>
      </c>
      <c r="H121" s="388">
        <v>35997.2</v>
      </c>
      <c r="I121" s="388">
        <v>24938.339999999993</v>
      </c>
      <c r="J121" s="389">
        <f t="shared" si="1"/>
      </c>
      <c r="K121" s="389">
        <f t="shared" si="4"/>
      </c>
      <c r="L121" s="390">
        <f t="shared" si="2"/>
      </c>
      <c r="M121" s="391">
        <f t="shared" si="5"/>
      </c>
      <c r="N121" s="387">
        <v>14</v>
      </c>
      <c r="O121" s="391">
        <f t="shared" si="3"/>
      </c>
      <c r="P121" s="386"/>
      <c r="Q121" s="386"/>
    </row>
    <row r="122">
      <c r="A122" s="385" t="s">
        <v>542</v>
      </c>
      <c r="B122" s="386" t="s">
        <v>489</v>
      </c>
      <c r="C122" s="386" t="s">
        <v>527</v>
      </c>
      <c r="D122" s="386">
        <v>4</v>
      </c>
      <c r="E122" s="387">
        <v>47</v>
      </c>
      <c r="F122" s="386">
        <v>391</v>
      </c>
      <c r="G122" s="386">
        <v>244</v>
      </c>
      <c r="H122" s="386">
        <v>90687.3</v>
      </c>
      <c r="I122" s="388">
        <v>80462.71</v>
      </c>
      <c r="J122" s="389">
        <f t="shared" si="1"/>
      </c>
      <c r="K122" s="389">
        <f t="shared" si="4"/>
      </c>
      <c r="L122" s="390">
        <f t="shared" si="2"/>
      </c>
      <c r="M122" s="391">
        <f t="shared" si="5"/>
      </c>
      <c r="N122" s="387">
        <v>40</v>
      </c>
      <c r="O122" s="391">
        <f t="shared" si="3"/>
      </c>
      <c r="P122" s="386"/>
      <c r="Q122" s="386"/>
    </row>
    <row r="123">
      <c r="A123" s="385" t="s">
        <v>542</v>
      </c>
      <c r="B123" s="386" t="s">
        <v>484</v>
      </c>
      <c r="C123" s="386" t="s">
        <v>533</v>
      </c>
      <c r="D123" s="386">
        <v>3</v>
      </c>
      <c r="E123" s="387">
        <v>5</v>
      </c>
      <c r="F123" s="386">
        <v>59</v>
      </c>
      <c r="G123" s="386">
        <v>34</v>
      </c>
      <c r="H123" s="393">
        <v>12281.399999999994</v>
      </c>
      <c r="I123" s="393">
        <v>19173.589999999997</v>
      </c>
      <c r="J123" s="389">
        <f t="shared" si="1"/>
      </c>
      <c r="K123" s="389">
        <f t="shared" si="4"/>
      </c>
      <c r="L123" s="390">
        <f t="shared" si="2"/>
      </c>
      <c r="M123" s="391">
        <f t="shared" si="5"/>
      </c>
      <c r="N123" s="387">
        <v>6</v>
      </c>
      <c r="O123" s="391">
        <f t="shared" si="3"/>
      </c>
      <c r="P123" s="386" t="s">
        <v>488</v>
      </c>
      <c r="Q123" s="386">
        <v>10</v>
      </c>
    </row>
    <row r="124">
      <c r="A124" s="385" t="s">
        <v>542</v>
      </c>
      <c r="B124" s="386" t="s">
        <v>514</v>
      </c>
      <c r="C124" s="386" t="s">
        <v>490</v>
      </c>
      <c r="D124" s="386">
        <v>5</v>
      </c>
      <c r="E124" s="387">
        <v>10</v>
      </c>
      <c r="F124" s="386">
        <v>128</v>
      </c>
      <c r="G124" s="386">
        <v>84</v>
      </c>
      <c r="H124" s="393">
        <v>23982.300000000017</v>
      </c>
      <c r="I124" s="393">
        <v>25244.440000000002</v>
      </c>
      <c r="J124" s="389">
        <f t="shared" si="1"/>
      </c>
      <c r="K124" s="389">
        <f t="shared" si="4"/>
      </c>
      <c r="L124" s="390">
        <f t="shared" si="2"/>
      </c>
      <c r="M124" s="391">
        <f t="shared" si="5"/>
      </c>
      <c r="N124" s="387">
        <v>11</v>
      </c>
      <c r="O124" s="391">
        <f t="shared" si="3"/>
      </c>
      <c r="P124" s="386"/>
      <c r="Q124" s="386"/>
    </row>
    <row customHeight="true" ht="16.071428571428573" r="125">
      <c r="A125" s="395" t="s">
        <v>542</v>
      </c>
      <c r="B125" s="396" t="s">
        <v>491</v>
      </c>
      <c r="C125" s="396"/>
      <c r="D125" s="396">
        <f>SUM(D120:D124)</f>
      </c>
      <c r="E125" s="396">
        <f>SUM(E120:E124)</f>
      </c>
      <c r="F125" s="396">
        <f>SUM(F120:F124)</f>
      </c>
      <c r="G125" s="396">
        <f>SUM(G120:G124)</f>
      </c>
      <c r="H125" s="396">
        <f>SUM(H120:H124)</f>
      </c>
      <c r="I125" s="396">
        <f>SUM(I120:I124)</f>
      </c>
      <c r="J125" s="397">
        <f t="shared" si="1"/>
      </c>
      <c r="K125" s="398">
        <f t="shared" si="4"/>
      </c>
      <c r="L125" s="398">
        <f t="shared" si="2"/>
      </c>
      <c r="M125" s="399">
        <f t="shared" si="5"/>
      </c>
      <c r="N125" s="396">
        <f>SUM(N120:N124)</f>
      </c>
      <c r="O125" s="399">
        <f t="shared" si="3"/>
      </c>
      <c r="P125" s="400"/>
      <c r="Q125" s="396">
        <f>SUM(Q120:Q124)</f>
      </c>
    </row>
    <row r="126">
      <c r="A126" s="385" t="s">
        <v>544</v>
      </c>
      <c r="B126" s="386" t="s">
        <v>481</v>
      </c>
      <c r="C126" s="386" t="s">
        <v>482</v>
      </c>
      <c r="D126" s="386">
        <v>5</v>
      </c>
      <c r="E126" s="387">
        <v>10</v>
      </c>
      <c r="F126" s="386">
        <v>136</v>
      </c>
      <c r="G126" s="386">
        <v>79</v>
      </c>
      <c r="H126" s="388">
        <v>27596.8</v>
      </c>
      <c r="I126" s="388">
        <v>26188.199999999997</v>
      </c>
      <c r="J126" s="389">
        <f t="shared" si="1"/>
      </c>
      <c r="K126" s="389">
        <f t="shared" si="4"/>
      </c>
      <c r="L126" s="390">
        <f t="shared" si="2"/>
      </c>
      <c r="M126" s="391">
        <f t="shared" si="5"/>
      </c>
      <c r="N126" s="387">
        <v>10</v>
      </c>
      <c r="O126" s="391">
        <f t="shared" si="3"/>
      </c>
      <c r="P126" s="386" t="s">
        <v>545</v>
      </c>
      <c r="Q126" s="386">
        <v>10</v>
      </c>
    </row>
    <row r="127">
      <c r="A127" s="385" t="s">
        <v>544</v>
      </c>
      <c r="B127" s="386" t="s">
        <v>497</v>
      </c>
      <c r="C127" s="386" t="s">
        <v>485</v>
      </c>
      <c r="D127" s="386">
        <v>5</v>
      </c>
      <c r="E127" s="387">
        <v>9</v>
      </c>
      <c r="F127" s="386">
        <v>90</v>
      </c>
      <c r="G127" s="386">
        <v>54</v>
      </c>
      <c r="H127" s="388">
        <v>18910.7</v>
      </c>
      <c r="I127" s="388">
        <v>16719.600000000006</v>
      </c>
      <c r="J127" s="389">
        <f t="shared" si="1"/>
      </c>
      <c r="K127" s="389">
        <f t="shared" si="4"/>
      </c>
      <c r="L127" s="390">
        <f t="shared" si="2"/>
      </c>
      <c r="M127" s="391">
        <f t="shared" si="5"/>
      </c>
      <c r="N127" s="387">
        <v>10</v>
      </c>
      <c r="O127" s="391">
        <f t="shared" si="3"/>
      </c>
      <c r="P127" s="386"/>
      <c r="Q127" s="386"/>
    </row>
    <row r="128">
      <c r="A128" s="385" t="s">
        <v>544</v>
      </c>
      <c r="B128" s="386" t="s">
        <v>489</v>
      </c>
      <c r="C128" s="386" t="s">
        <v>487</v>
      </c>
      <c r="D128" s="386">
        <v>5</v>
      </c>
      <c r="E128" s="387">
        <v>16</v>
      </c>
      <c r="F128" s="386">
        <v>171</v>
      </c>
      <c r="G128" s="386">
        <v>89</v>
      </c>
      <c r="H128" s="386">
        <v>32141.100000000006</v>
      </c>
      <c r="I128" s="388">
        <v>30454.679999999993</v>
      </c>
      <c r="J128" s="389">
        <f t="shared" si="1"/>
      </c>
      <c r="K128" s="389">
        <f t="shared" si="4"/>
      </c>
      <c r="L128" s="390">
        <f t="shared" si="2"/>
      </c>
      <c r="M128" s="391">
        <f t="shared" si="5"/>
      </c>
      <c r="N128" s="387">
        <v>9</v>
      </c>
      <c r="O128" s="391">
        <f t="shared" si="3"/>
      </c>
      <c r="P128" s="386"/>
      <c r="Q128" s="386"/>
    </row>
    <row r="129">
      <c r="A129" s="385" t="s">
        <v>544</v>
      </c>
      <c r="B129" s="386" t="s">
        <v>514</v>
      </c>
      <c r="C129" s="386" t="s">
        <v>490</v>
      </c>
      <c r="D129" s="386">
        <v>5</v>
      </c>
      <c r="E129" s="387">
        <v>11</v>
      </c>
      <c r="F129" s="386">
        <v>78</v>
      </c>
      <c r="G129" s="386">
        <v>54</v>
      </c>
      <c r="H129" s="393">
        <v>19940</v>
      </c>
      <c r="I129" s="393">
        <v>16672.45000000001</v>
      </c>
      <c r="J129" s="389">
        <f t="shared" si="1"/>
      </c>
      <c r="K129" s="389">
        <f t="shared" si="4"/>
      </c>
      <c r="L129" s="390">
        <f t="shared" si="2"/>
      </c>
      <c r="M129" s="391">
        <f t="shared" si="5"/>
      </c>
      <c r="N129" s="387">
        <v>14</v>
      </c>
      <c r="O129" s="391">
        <f t="shared" si="3"/>
      </c>
      <c r="P129" s="386" t="s">
        <v>488</v>
      </c>
      <c r="Q129" s="386">
        <v>10</v>
      </c>
    </row>
    <row r="130">
      <c r="A130" s="395" t="s">
        <v>544</v>
      </c>
      <c r="B130" s="396" t="s">
        <v>491</v>
      </c>
      <c r="C130" s="396"/>
      <c r="D130" s="396">
        <f>SUM(D126:D129)</f>
      </c>
      <c r="E130" s="396">
        <f>SUM(E126:E129)</f>
      </c>
      <c r="F130" s="396">
        <f>SUM(F126:F129)</f>
      </c>
      <c r="G130" s="396">
        <f>SUM(G126:G129)</f>
      </c>
      <c r="H130" s="396">
        <f>SUM(H126:H129)</f>
      </c>
      <c r="I130" s="396">
        <f>SUM(I126:I129)</f>
      </c>
      <c r="J130" s="397">
        <f t="shared" si="1"/>
      </c>
      <c r="K130" s="398">
        <f t="shared" si="4"/>
      </c>
      <c r="L130" s="398">
        <f t="shared" si="2"/>
      </c>
      <c r="M130" s="399">
        <f t="shared" si="5"/>
      </c>
      <c r="N130" s="396">
        <f>SUM(N126:N129)</f>
      </c>
      <c r="O130" s="399">
        <f t="shared" si="3"/>
      </c>
      <c r="P130" s="400"/>
      <c r="Q130" s="396">
        <f>SUM(Q126:Q129)</f>
      </c>
    </row>
    <row r="131">
      <c r="A131" s="385" t="s">
        <v>546</v>
      </c>
      <c r="B131" s="386" t="s">
        <v>481</v>
      </c>
      <c r="C131" s="386" t="s">
        <v>482</v>
      </c>
      <c r="D131" s="386">
        <v>5</v>
      </c>
      <c r="E131" s="387">
        <v>16.005</v>
      </c>
      <c r="F131" s="386">
        <v>170</v>
      </c>
      <c r="G131" s="386">
        <v>110</v>
      </c>
      <c r="H131" s="388">
        <v>38576</v>
      </c>
      <c r="I131" s="388">
        <v>29394.469999999998</v>
      </c>
      <c r="J131" s="389">
        <f t="shared" si="1"/>
      </c>
      <c r="K131" s="389">
        <f t="shared" si="4"/>
      </c>
      <c r="L131" s="390">
        <f t="shared" si="2"/>
      </c>
      <c r="M131" s="391">
        <f t="shared" si="5"/>
      </c>
      <c r="N131" s="387">
        <v>22.241999999999997</v>
      </c>
      <c r="O131" s="391">
        <f t="shared" si="3"/>
      </c>
      <c r="P131" s="386" t="s">
        <v>545</v>
      </c>
      <c r="Q131" s="386">
        <v>10</v>
      </c>
    </row>
    <row r="132">
      <c r="A132" s="385" t="s">
        <v>546</v>
      </c>
      <c r="B132" s="386" t="s">
        <v>489</v>
      </c>
      <c r="C132" s="386" t="s">
        <v>485</v>
      </c>
      <c r="D132" s="386">
        <v>5</v>
      </c>
      <c r="E132" s="387">
        <v>10</v>
      </c>
      <c r="F132" s="386">
        <v>145</v>
      </c>
      <c r="G132" s="386">
        <v>85</v>
      </c>
      <c r="H132" s="388">
        <v>31574.600000000006</v>
      </c>
      <c r="I132" s="388">
        <v>25277.039999999997</v>
      </c>
      <c r="J132" s="389">
        <f t="shared" si="1"/>
      </c>
      <c r="K132" s="389">
        <f t="shared" si="4"/>
      </c>
      <c r="L132" s="390">
        <f t="shared" si="2"/>
      </c>
      <c r="M132" s="391">
        <f t="shared" si="5"/>
      </c>
      <c r="N132" s="387">
        <v>12</v>
      </c>
      <c r="O132" s="391">
        <f t="shared" si="3"/>
      </c>
      <c r="P132" s="386"/>
      <c r="Q132" s="386"/>
    </row>
    <row r="133">
      <c r="A133" s="385" t="s">
        <v>546</v>
      </c>
      <c r="B133" s="386" t="s">
        <v>514</v>
      </c>
      <c r="C133" s="386" t="s">
        <v>487</v>
      </c>
      <c r="D133" s="386">
        <v>5</v>
      </c>
      <c r="E133" s="387">
        <v>21</v>
      </c>
      <c r="F133" s="386">
        <v>188</v>
      </c>
      <c r="G133" s="386">
        <v>103</v>
      </c>
      <c r="H133" s="386">
        <v>33734.7</v>
      </c>
      <c r="I133" s="388">
        <v>30763.960000000006</v>
      </c>
      <c r="J133" s="389">
        <f t="shared" si="1"/>
      </c>
      <c r="K133" s="389">
        <f t="shared" si="4"/>
      </c>
      <c r="L133" s="390">
        <f t="shared" si="2"/>
      </c>
      <c r="M133" s="391">
        <f t="shared" si="5"/>
      </c>
      <c r="N133" s="387">
        <v>18</v>
      </c>
      <c r="O133" s="391">
        <f t="shared" si="3"/>
      </c>
      <c r="P133" s="386"/>
      <c r="Q133" s="386"/>
    </row>
    <row r="134">
      <c r="A134" s="385" t="s">
        <v>546</v>
      </c>
      <c r="B134" s="386" t="s">
        <v>497</v>
      </c>
      <c r="C134" s="386" t="s">
        <v>490</v>
      </c>
      <c r="D134" s="386">
        <v>5</v>
      </c>
      <c r="E134" s="387">
        <v>13</v>
      </c>
      <c r="F134" s="386">
        <v>134</v>
      </c>
      <c r="G134" s="386">
        <v>85</v>
      </c>
      <c r="H134" s="393">
        <v>33912.999999999985</v>
      </c>
      <c r="I134" s="393">
        <v>30733.430000000022</v>
      </c>
      <c r="J134" s="389">
        <f t="shared" si="1"/>
      </c>
      <c r="K134" s="389">
        <f t="shared" si="4"/>
      </c>
      <c r="L134" s="390">
        <f t="shared" si="2"/>
      </c>
      <c r="M134" s="391">
        <f t="shared" si="5"/>
      </c>
      <c r="N134" s="387">
        <v>15</v>
      </c>
      <c r="O134" s="391">
        <f t="shared" si="3"/>
      </c>
      <c r="P134" s="386" t="s">
        <v>488</v>
      </c>
      <c r="Q134" s="386">
        <v>10</v>
      </c>
    </row>
    <row r="135">
      <c r="A135" s="395" t="s">
        <v>546</v>
      </c>
      <c r="B135" s="396" t="s">
        <v>491</v>
      </c>
      <c r="C135" s="396"/>
      <c r="D135" s="396">
        <f>SUM(D131:D134)</f>
      </c>
      <c r="E135" s="396">
        <f>SUM(E131:E134)</f>
      </c>
      <c r="F135" s="396">
        <f>SUM(F131:F134)</f>
      </c>
      <c r="G135" s="396">
        <f>SUM(G131:G134)</f>
      </c>
      <c r="H135" s="396">
        <f>SUM(H131:H134)</f>
      </c>
      <c r="I135" s="396">
        <f>SUM(I131:I134)</f>
      </c>
      <c r="J135" s="397">
        <f t="shared" si="1"/>
      </c>
      <c r="K135" s="398">
        <f t="shared" si="4"/>
      </c>
      <c r="L135" s="398">
        <f t="shared" si="2"/>
      </c>
      <c r="M135" s="399">
        <f t="shared" si="5"/>
      </c>
      <c r="N135" s="396">
        <f>SUM(N131:N134)</f>
      </c>
      <c r="O135" s="399">
        <f t="shared" si="3"/>
      </c>
      <c r="P135" s="400"/>
      <c r="Q135" s="396">
        <f>SUM(Q131:Q134)</f>
      </c>
    </row>
    <row r="136">
      <c r="A136" s="385" t="s">
        <v>547</v>
      </c>
      <c r="B136" s="386" t="s">
        <v>481</v>
      </c>
      <c r="C136" s="386" t="s">
        <v>482</v>
      </c>
      <c r="D136" s="386">
        <v>5</v>
      </c>
      <c r="E136" s="387">
        <v>27.4914</v>
      </c>
      <c r="F136" s="386">
        <v>277</v>
      </c>
      <c r="G136" s="386">
        <v>162</v>
      </c>
      <c r="H136" s="388">
        <v>58818.4</v>
      </c>
      <c r="I136" s="388">
        <v>50432.96</v>
      </c>
      <c r="J136" s="389">
        <f t="shared" si="1"/>
      </c>
      <c r="K136" s="389">
        <f t="shared" si="4"/>
      </c>
      <c r="L136" s="390">
        <f t="shared" si="2"/>
      </c>
      <c r="M136" s="391">
        <f t="shared" si="5"/>
      </c>
      <c r="N136" s="387">
        <v>25.774199999999997</v>
      </c>
      <c r="O136" s="391">
        <f t="shared" si="3"/>
      </c>
      <c r="P136" s="386" t="s">
        <v>545</v>
      </c>
      <c r="Q136" s="386">
        <v>10</v>
      </c>
    </row>
    <row r="137">
      <c r="A137" s="385" t="s">
        <v>547</v>
      </c>
      <c r="B137" s="386" t="s">
        <v>489</v>
      </c>
      <c r="C137" s="386" t="s">
        <v>485</v>
      </c>
      <c r="D137" s="386">
        <v>5</v>
      </c>
      <c r="E137" s="387">
        <v>10</v>
      </c>
      <c r="F137" s="386">
        <v>159</v>
      </c>
      <c r="G137" s="386">
        <v>82</v>
      </c>
      <c r="H137" s="388">
        <v>31168.200000000004</v>
      </c>
      <c r="I137" s="388">
        <v>30207.57</v>
      </c>
      <c r="J137" s="389">
        <f t="shared" si="1"/>
      </c>
      <c r="K137" s="389">
        <f t="shared" si="4"/>
      </c>
      <c r="L137" s="390">
        <f t="shared" si="2"/>
      </c>
      <c r="M137" s="391">
        <f t="shared" si="5"/>
      </c>
      <c r="N137" s="387">
        <v>17</v>
      </c>
      <c r="O137" s="391">
        <f t="shared" si="3"/>
      </c>
      <c r="P137" s="386"/>
      <c r="Q137" s="386"/>
    </row>
    <row r="138">
      <c r="A138" s="385" t="s">
        <v>547</v>
      </c>
      <c r="B138" s="386" t="s">
        <v>497</v>
      </c>
      <c r="C138" s="386" t="s">
        <v>487</v>
      </c>
      <c r="D138" s="386">
        <v>5</v>
      </c>
      <c r="E138" s="387">
        <v>22</v>
      </c>
      <c r="F138" s="386">
        <v>213</v>
      </c>
      <c r="G138" s="386">
        <v>144</v>
      </c>
      <c r="H138" s="386">
        <v>45855.100000000006</v>
      </c>
      <c r="I138" s="388">
        <v>37072.110000000015</v>
      </c>
      <c r="J138" s="389">
        <f t="shared" si="1"/>
      </c>
      <c r="K138" s="389">
        <f t="shared" si="4"/>
      </c>
      <c r="L138" s="390">
        <f t="shared" si="2"/>
      </c>
      <c r="M138" s="391">
        <f t="shared" si="5"/>
      </c>
      <c r="N138" s="387">
        <v>26</v>
      </c>
      <c r="O138" s="391">
        <f t="shared" si="3"/>
      </c>
      <c r="P138" s="386"/>
      <c r="Q138" s="386"/>
    </row>
    <row r="139">
      <c r="A139" s="385" t="s">
        <v>547</v>
      </c>
      <c r="B139" s="392" t="s">
        <v>484</v>
      </c>
      <c r="C139" s="386" t="s">
        <v>490</v>
      </c>
      <c r="D139" s="386">
        <v>5</v>
      </c>
      <c r="E139" s="387">
        <v>27</v>
      </c>
      <c r="F139" s="386">
        <v>232</v>
      </c>
      <c r="G139" s="386">
        <v>150</v>
      </c>
      <c r="H139" s="393">
        <v>57097.69999999998</v>
      </c>
      <c r="I139" s="393">
        <v>39478.76999999999</v>
      </c>
      <c r="J139" s="389">
        <f t="shared" si="1"/>
      </c>
      <c r="K139" s="389">
        <f t="shared" si="4"/>
      </c>
      <c r="L139" s="390">
        <f t="shared" si="2"/>
      </c>
      <c r="M139" s="391">
        <f t="shared" si="5"/>
      </c>
      <c r="N139" s="387">
        <v>39</v>
      </c>
      <c r="O139" s="391">
        <f t="shared" si="3"/>
      </c>
      <c r="P139" s="386" t="s">
        <v>488</v>
      </c>
      <c r="Q139" s="386">
        <v>10</v>
      </c>
    </row>
    <row r="140">
      <c r="A140" s="395" t="s">
        <v>547</v>
      </c>
      <c r="B140" s="396" t="s">
        <v>491</v>
      </c>
      <c r="C140" s="396"/>
      <c r="D140" s="396">
        <f>SUM(D136:D139)</f>
      </c>
      <c r="E140" s="396">
        <f>SUM(E136:E139)</f>
      </c>
      <c r="F140" s="396">
        <f>SUM(F136:F139)</f>
      </c>
      <c r="G140" s="396">
        <f>SUM(G136:G139)</f>
      </c>
      <c r="H140" s="396">
        <f>SUM(H136:H139)</f>
      </c>
      <c r="I140" s="396">
        <f>SUM(I136:I139)</f>
      </c>
      <c r="J140" s="397">
        <f t="shared" si="1"/>
      </c>
      <c r="K140" s="398">
        <f t="shared" si="4"/>
      </c>
      <c r="L140" s="398">
        <f t="shared" si="2"/>
      </c>
      <c r="M140" s="399">
        <f t="shared" si="5"/>
      </c>
      <c r="N140" s="396">
        <f>SUM(N136:N139)</f>
      </c>
      <c r="O140" s="399">
        <f t="shared" si="3"/>
      </c>
      <c r="P140" s="400"/>
      <c r="Q140" s="396">
        <f>SUM(Q136:Q139)</f>
      </c>
    </row>
    <row r="141">
      <c r="A141" s="385" t="s">
        <v>548</v>
      </c>
      <c r="B141" s="386" t="s">
        <v>481</v>
      </c>
      <c r="C141" s="386" t="s">
        <v>482</v>
      </c>
      <c r="D141" s="386">
        <v>5</v>
      </c>
      <c r="E141" s="387">
        <v>9.9968</v>
      </c>
      <c r="F141" s="386">
        <v>149</v>
      </c>
      <c r="G141" s="386">
        <v>88</v>
      </c>
      <c r="H141" s="388">
        <v>27880.9</v>
      </c>
      <c r="I141" s="388">
        <v>36216.21</v>
      </c>
      <c r="J141" s="389">
        <f t="shared" si="1"/>
      </c>
      <c r="K141" s="389">
        <f t="shared" si="4"/>
      </c>
      <c r="L141" s="390">
        <f t="shared" si="2"/>
      </c>
      <c r="M141" s="391">
        <f t="shared" si="5"/>
      </c>
      <c r="N141" s="387">
        <v>15.2504</v>
      </c>
      <c r="O141" s="391">
        <f t="shared" si="3"/>
      </c>
      <c r="P141" s="386" t="s">
        <v>545</v>
      </c>
      <c r="Q141" s="386">
        <v>10</v>
      </c>
    </row>
    <row r="142">
      <c r="A142" s="385" t="s">
        <v>548</v>
      </c>
      <c r="B142" s="386" t="s">
        <v>489</v>
      </c>
      <c r="C142" s="386" t="s">
        <v>485</v>
      </c>
      <c r="D142" s="386">
        <v>5</v>
      </c>
      <c r="E142" s="387">
        <v>19</v>
      </c>
      <c r="F142" s="386">
        <v>149</v>
      </c>
      <c r="G142" s="386">
        <v>86</v>
      </c>
      <c r="H142" s="388">
        <v>30525.199999999997</v>
      </c>
      <c r="I142" s="388">
        <v>28586.29</v>
      </c>
      <c r="J142" s="389">
        <f t="shared" si="1"/>
      </c>
      <c r="K142" s="389">
        <f t="shared" si="4"/>
      </c>
      <c r="L142" s="390">
        <f t="shared" si="2"/>
      </c>
      <c r="M142" s="391">
        <f t="shared" si="5"/>
      </c>
      <c r="N142" s="387">
        <v>11</v>
      </c>
      <c r="O142" s="391">
        <f t="shared" si="3"/>
      </c>
      <c r="P142" s="386"/>
      <c r="Q142" s="386"/>
    </row>
    <row r="143">
      <c r="A143" s="385" t="s">
        <v>548</v>
      </c>
      <c r="B143" s="386" t="s">
        <v>497</v>
      </c>
      <c r="C143" s="386" t="s">
        <v>487</v>
      </c>
      <c r="D143" s="386">
        <v>5</v>
      </c>
      <c r="E143" s="387">
        <v>8</v>
      </c>
      <c r="F143" s="386">
        <v>149</v>
      </c>
      <c r="G143" s="386">
        <v>89</v>
      </c>
      <c r="H143" s="386">
        <v>34788.700000000004</v>
      </c>
      <c r="I143" s="388">
        <v>31084.619999999995</v>
      </c>
      <c r="J143" s="389">
        <f t="shared" si="1"/>
      </c>
      <c r="K143" s="389">
        <f t="shared" si="4"/>
      </c>
      <c r="L143" s="390">
        <f t="shared" si="2"/>
      </c>
      <c r="M143" s="391">
        <f t="shared" si="5"/>
      </c>
      <c r="N143" s="387">
        <v>12</v>
      </c>
      <c r="O143" s="391">
        <f t="shared" si="3"/>
      </c>
      <c r="P143" s="386"/>
      <c r="Q143" s="386"/>
    </row>
    <row r="144">
      <c r="A144" s="385" t="s">
        <v>548</v>
      </c>
      <c r="B144" s="392" t="s">
        <v>484</v>
      </c>
      <c r="C144" s="386" t="s">
        <v>490</v>
      </c>
      <c r="D144" s="386">
        <v>5</v>
      </c>
      <c r="E144" s="387">
        <v>5</v>
      </c>
      <c r="F144" s="386">
        <v>93</v>
      </c>
      <c r="G144" s="386">
        <v>67</v>
      </c>
      <c r="H144" s="393">
        <v>23974.800000000003</v>
      </c>
      <c r="I144" s="393">
        <v>22527.64</v>
      </c>
      <c r="J144" s="389">
        <f t="shared" si="1"/>
      </c>
      <c r="K144" s="389">
        <f t="shared" si="4"/>
      </c>
      <c r="L144" s="390">
        <f t="shared" si="2"/>
      </c>
      <c r="M144" s="391">
        <f t="shared" si="5"/>
      </c>
      <c r="N144" s="387">
        <v>14</v>
      </c>
      <c r="O144" s="391">
        <f t="shared" si="3"/>
      </c>
      <c r="P144" s="386" t="s">
        <v>538</v>
      </c>
      <c r="Q144" s="386">
        <v>10</v>
      </c>
    </row>
    <row r="145">
      <c r="A145" s="395" t="s">
        <v>548</v>
      </c>
      <c r="B145" s="396" t="s">
        <v>491</v>
      </c>
      <c r="C145" s="396"/>
      <c r="D145" s="396">
        <f>SUM(D141:D144)</f>
      </c>
      <c r="E145" s="396">
        <f>SUM(E141:E144)</f>
      </c>
      <c r="F145" s="396">
        <f>SUM(F141:F144)</f>
      </c>
      <c r="G145" s="396">
        <f>SUM(G141:G144)</f>
      </c>
      <c r="H145" s="396">
        <f>SUM(H141:H144)</f>
      </c>
      <c r="I145" s="396">
        <f>SUM(I141:I144)</f>
      </c>
      <c r="J145" s="397">
        <f t="shared" si="1"/>
      </c>
      <c r="K145" s="398">
        <f t="shared" si="4"/>
      </c>
      <c r="L145" s="398">
        <f t="shared" si="2"/>
      </c>
      <c r="M145" s="399">
        <f t="shared" si="5"/>
      </c>
      <c r="N145" s="396">
        <f>SUM(N141:N144)</f>
      </c>
      <c r="O145" s="399">
        <f t="shared" si="3"/>
      </c>
      <c r="P145" s="400"/>
      <c r="Q145" s="396">
        <f>SUM(Q141:Q144)</f>
      </c>
    </row>
    <row r="146">
      <c r="A146" s="385" t="s">
        <v>549</v>
      </c>
      <c r="B146" s="386" t="s">
        <v>481</v>
      </c>
      <c r="C146" s="386" t="s">
        <v>482</v>
      </c>
      <c r="D146" s="386">
        <v>5</v>
      </c>
      <c r="E146" s="387">
        <v>3.9086999999999996</v>
      </c>
      <c r="F146" s="386">
        <v>77</v>
      </c>
      <c r="G146" s="386">
        <v>43</v>
      </c>
      <c r="H146" s="388">
        <v>13779.9</v>
      </c>
      <c r="I146" s="388">
        <v>16431.7</v>
      </c>
      <c r="J146" s="389">
        <f t="shared" si="1"/>
      </c>
      <c r="K146" s="389">
        <f t="shared" si="4"/>
      </c>
      <c r="L146" s="390">
        <f t="shared" si="2"/>
      </c>
      <c r="M146" s="391">
        <f t="shared" si="5"/>
      </c>
      <c r="N146" s="387">
        <v>5.658799999999999</v>
      </c>
      <c r="O146" s="391">
        <f t="shared" si="3"/>
      </c>
      <c r="P146" s="386" t="s">
        <v>545</v>
      </c>
      <c r="Q146" s="386">
        <v>10</v>
      </c>
    </row>
    <row r="147">
      <c r="A147" s="385" t="s">
        <v>549</v>
      </c>
      <c r="B147" s="386" t="s">
        <v>497</v>
      </c>
      <c r="C147" s="386" t="s">
        <v>485</v>
      </c>
      <c r="D147" s="386">
        <v>5</v>
      </c>
      <c r="E147" s="387">
        <v>13</v>
      </c>
      <c r="F147" s="386">
        <v>116</v>
      </c>
      <c r="G147" s="386">
        <v>71</v>
      </c>
      <c r="H147" s="388">
        <v>28149.299999999996</v>
      </c>
      <c r="I147" s="388">
        <v>18312.67999999999</v>
      </c>
      <c r="J147" s="389">
        <f t="shared" si="1"/>
      </c>
      <c r="K147" s="389">
        <f t="shared" si="4"/>
      </c>
      <c r="L147" s="390">
        <f t="shared" si="2"/>
      </c>
      <c r="M147" s="391">
        <f t="shared" si="5"/>
      </c>
      <c r="N147" s="387">
        <v>22</v>
      </c>
      <c r="O147" s="391">
        <f t="shared" si="3"/>
      </c>
      <c r="P147" s="386"/>
      <c r="Q147" s="386"/>
    </row>
    <row r="148">
      <c r="A148" s="385" t="s">
        <v>549</v>
      </c>
      <c r="B148" s="392" t="s">
        <v>489</v>
      </c>
      <c r="C148" s="386" t="s">
        <v>487</v>
      </c>
      <c r="D148" s="386">
        <v>5</v>
      </c>
      <c r="E148" s="387">
        <v>6</v>
      </c>
      <c r="F148" s="386">
        <v>105</v>
      </c>
      <c r="G148" s="386">
        <v>60</v>
      </c>
      <c r="H148" s="386">
        <v>25536</v>
      </c>
      <c r="I148" s="388">
        <v>20468.780000000006</v>
      </c>
      <c r="J148" s="389">
        <f t="shared" si="1"/>
      </c>
      <c r="K148" s="389">
        <f t="shared" si="4"/>
      </c>
      <c r="L148" s="390">
        <f t="shared" si="2"/>
      </c>
      <c r="M148" s="391">
        <f t="shared" si="5"/>
      </c>
      <c r="N148" s="387">
        <v>5</v>
      </c>
      <c r="O148" s="391">
        <f t="shared" si="3"/>
      </c>
      <c r="P148" s="386"/>
      <c r="Q148" s="386"/>
    </row>
    <row r="149">
      <c r="A149" s="385" t="s">
        <v>549</v>
      </c>
      <c r="B149" s="386" t="s">
        <v>514</v>
      </c>
      <c r="C149" s="386" t="s">
        <v>490</v>
      </c>
      <c r="D149" s="386">
        <v>5</v>
      </c>
      <c r="E149" s="387">
        <v>17</v>
      </c>
      <c r="F149" s="386">
        <v>115</v>
      </c>
      <c r="G149" s="386">
        <v>76</v>
      </c>
      <c r="H149" s="393">
        <v>24149.100000000006</v>
      </c>
      <c r="I149" s="393">
        <v>23884.23</v>
      </c>
      <c r="J149" s="389">
        <f t="shared" si="1"/>
      </c>
      <c r="K149" s="389">
        <f t="shared" si="4"/>
      </c>
      <c r="L149" s="390">
        <f t="shared" si="2"/>
      </c>
      <c r="M149" s="391">
        <f t="shared" si="5"/>
      </c>
      <c r="N149" s="387">
        <v>17</v>
      </c>
      <c r="O149" s="391">
        <f t="shared" si="3"/>
      </c>
      <c r="P149" s="386" t="s">
        <v>488</v>
      </c>
      <c r="Q149" s="386">
        <v>10</v>
      </c>
    </row>
    <row r="150">
      <c r="A150" s="395" t="s">
        <v>549</v>
      </c>
      <c r="B150" s="396" t="s">
        <v>491</v>
      </c>
      <c r="C150" s="396"/>
      <c r="D150" s="396">
        <f>SUM(D146:D149)</f>
      </c>
      <c r="E150" s="396">
        <f>SUM(E146:E149)</f>
      </c>
      <c r="F150" s="396">
        <f>SUM(F146:F149)</f>
      </c>
      <c r="G150" s="396">
        <f>SUM(G146:G149)</f>
      </c>
      <c r="H150" s="396">
        <f>SUM(H146:H149)</f>
      </c>
      <c r="I150" s="396">
        <f>SUM(I146:I149)</f>
      </c>
      <c r="J150" s="397">
        <f t="shared" si="1"/>
      </c>
      <c r="K150" s="398">
        <f t="shared" si="4"/>
      </c>
      <c r="L150" s="398">
        <f t="shared" si="2"/>
      </c>
      <c r="M150" s="399">
        <f t="shared" si="5"/>
      </c>
      <c r="N150" s="396">
        <f>SUM(N146:N149)</f>
      </c>
      <c r="O150" s="399">
        <f t="shared" si="3"/>
      </c>
      <c r="P150" s="400"/>
      <c r="Q150" s="396">
        <f>SUM(Q146:Q149)</f>
      </c>
    </row>
    <row r="151">
      <c r="A151" s="385" t="s">
        <v>550</v>
      </c>
      <c r="B151" s="386" t="s">
        <v>481</v>
      </c>
      <c r="C151" s="386" t="s">
        <v>482</v>
      </c>
      <c r="D151" s="386">
        <v>5</v>
      </c>
      <c r="E151" s="387">
        <v>22</v>
      </c>
      <c r="F151" s="386">
        <v>194</v>
      </c>
      <c r="G151" s="386">
        <v>118</v>
      </c>
      <c r="H151" s="388">
        <v>39007.6</v>
      </c>
      <c r="I151" s="388">
        <v>40978.06</v>
      </c>
      <c r="J151" s="389">
        <f t="shared" si="1"/>
      </c>
      <c r="K151" s="389">
        <f t="shared" si="4"/>
      </c>
      <c r="L151" s="390">
        <f t="shared" si="2"/>
      </c>
      <c r="M151" s="391">
        <f t="shared" si="5"/>
      </c>
      <c r="N151" s="387">
        <v>18</v>
      </c>
      <c r="O151" s="391">
        <f t="shared" si="3"/>
      </c>
      <c r="P151" s="386" t="s">
        <v>503</v>
      </c>
      <c r="Q151" s="386">
        <v>10</v>
      </c>
    </row>
    <row r="152">
      <c r="A152" s="385" t="s">
        <v>550</v>
      </c>
      <c r="B152" s="392" t="s">
        <v>489</v>
      </c>
      <c r="C152" s="386" t="s">
        <v>485</v>
      </c>
      <c r="D152" s="386">
        <v>5</v>
      </c>
      <c r="E152" s="387">
        <v>16</v>
      </c>
      <c r="F152" s="386">
        <v>149</v>
      </c>
      <c r="G152" s="386">
        <v>84</v>
      </c>
      <c r="H152" s="388">
        <v>27224.500000000007</v>
      </c>
      <c r="I152" s="388">
        <v>28820.630000000005</v>
      </c>
      <c r="J152" s="389">
        <f t="shared" si="1"/>
      </c>
      <c r="K152" s="389">
        <f t="shared" si="4"/>
      </c>
      <c r="L152" s="390">
        <f t="shared" si="2"/>
      </c>
      <c r="M152" s="391">
        <f t="shared" si="5"/>
      </c>
      <c r="N152" s="387">
        <v>7</v>
      </c>
      <c r="O152" s="391">
        <f t="shared" si="3"/>
      </c>
      <c r="P152" s="386"/>
      <c r="Q152" s="386"/>
    </row>
    <row r="153">
      <c r="A153" s="385" t="s">
        <v>550</v>
      </c>
      <c r="B153" s="386" t="s">
        <v>497</v>
      </c>
      <c r="C153" s="386" t="s">
        <v>487</v>
      </c>
      <c r="D153" s="386">
        <v>5</v>
      </c>
      <c r="E153" s="387">
        <v>36</v>
      </c>
      <c r="F153" s="386">
        <v>299</v>
      </c>
      <c r="G153" s="386">
        <v>197</v>
      </c>
      <c r="H153" s="386">
        <v>74344.29999999999</v>
      </c>
      <c r="I153" s="388">
        <v>55647.78</v>
      </c>
      <c r="J153" s="389">
        <f t="shared" si="1"/>
      </c>
      <c r="K153" s="389">
        <f t="shared" si="4"/>
      </c>
      <c r="L153" s="390">
        <f t="shared" si="2"/>
      </c>
      <c r="M153" s="391">
        <f t="shared" si="5"/>
      </c>
      <c r="N153" s="387">
        <v>34</v>
      </c>
      <c r="O153" s="391">
        <f t="shared" si="3"/>
      </c>
      <c r="P153" s="386"/>
      <c r="Q153" s="386"/>
    </row>
    <row r="154">
      <c r="A154" s="385" t="s">
        <v>550</v>
      </c>
      <c r="B154" s="386" t="s">
        <v>484</v>
      </c>
      <c r="C154" s="386" t="s">
        <v>490</v>
      </c>
      <c r="D154" s="386">
        <v>5</v>
      </c>
      <c r="E154" s="387">
        <v>50</v>
      </c>
      <c r="F154" s="386">
        <v>355</v>
      </c>
      <c r="G154" s="386">
        <v>247</v>
      </c>
      <c r="H154" s="393">
        <v>98734.20000000001</v>
      </c>
      <c r="I154" s="393">
        <v>64967.01</v>
      </c>
      <c r="J154" s="389">
        <f t="shared" si="1"/>
      </c>
      <c r="K154" s="389">
        <f t="shared" si="4"/>
      </c>
      <c r="L154" s="390">
        <f t="shared" si="2"/>
      </c>
      <c r="M154" s="391">
        <f t="shared" si="5"/>
      </c>
      <c r="N154" s="387">
        <v>60</v>
      </c>
      <c r="O154" s="391">
        <f t="shared" si="3"/>
      </c>
      <c r="P154" s="386" t="s">
        <v>488</v>
      </c>
      <c r="Q154" s="386">
        <v>10</v>
      </c>
    </row>
    <row r="155">
      <c r="A155" s="395" t="s">
        <v>550</v>
      </c>
      <c r="B155" s="396" t="s">
        <v>491</v>
      </c>
      <c r="C155" s="396"/>
      <c r="D155" s="396">
        <f>SUM(D151:D154)</f>
      </c>
      <c r="E155" s="396">
        <f>SUM(E151:E154)</f>
      </c>
      <c r="F155" s="396">
        <f>SUM(F151:F154)</f>
      </c>
      <c r="G155" s="396">
        <f>SUM(G151:G154)</f>
      </c>
      <c r="H155" s="396">
        <f>SUM(H151:H154)</f>
      </c>
      <c r="I155" s="396">
        <f>SUM(I151:I154)</f>
      </c>
      <c r="J155" s="397">
        <f t="shared" si="1"/>
      </c>
      <c r="K155" s="398">
        <f t="shared" si="4"/>
      </c>
      <c r="L155" s="398">
        <f t="shared" si="2"/>
      </c>
      <c r="M155" s="399">
        <f t="shared" si="5"/>
      </c>
      <c r="N155" s="396">
        <f>SUM(N151:N154)</f>
      </c>
      <c r="O155" s="399">
        <f t="shared" si="3"/>
      </c>
      <c r="P155" s="400"/>
      <c r="Q155" s="396">
        <f>SUM(Q151:Q154)</f>
      </c>
    </row>
    <row r="156">
      <c r="A156" s="385" t="s">
        <v>551</v>
      </c>
      <c r="B156" s="386" t="s">
        <v>481</v>
      </c>
      <c r="C156" s="386" t="s">
        <v>482</v>
      </c>
      <c r="D156" s="401">
        <f>5-0.75</f>
      </c>
      <c r="E156" s="387">
        <v>20.999299999999998</v>
      </c>
      <c r="F156" s="386">
        <v>204</v>
      </c>
      <c r="G156" s="386">
        <v>131</v>
      </c>
      <c r="H156" s="388">
        <v>49840.3</v>
      </c>
      <c r="I156" s="388">
        <v>42567.22</v>
      </c>
      <c r="J156" s="389">
        <f t="shared" si="1"/>
      </c>
      <c r="K156" s="389">
        <f t="shared" si="4"/>
      </c>
      <c r="L156" s="390">
        <f t="shared" si="2"/>
      </c>
      <c r="M156" s="391">
        <f t="shared" si="5"/>
      </c>
      <c r="N156" s="387">
        <v>28.256700000000002</v>
      </c>
      <c r="O156" s="391">
        <f t="shared" si="3"/>
      </c>
      <c r="P156" s="386" t="s">
        <v>545</v>
      </c>
      <c r="Q156" s="386">
        <v>10</v>
      </c>
      <c r="R156" s="402"/>
    </row>
    <row r="157">
      <c r="A157" s="385" t="s">
        <v>551</v>
      </c>
      <c r="B157" s="392" t="s">
        <v>489</v>
      </c>
      <c r="C157" s="386" t="s">
        <v>485</v>
      </c>
      <c r="D157" s="401">
        <f>5-0.3</f>
      </c>
      <c r="E157" s="387">
        <v>14</v>
      </c>
      <c r="F157" s="386">
        <v>153</v>
      </c>
      <c r="G157" s="386">
        <v>92</v>
      </c>
      <c r="H157" s="388">
        <v>33359.59999999999</v>
      </c>
      <c r="I157" s="388">
        <v>30061.76000000001</v>
      </c>
      <c r="J157" s="389">
        <f t="shared" si="1"/>
      </c>
      <c r="K157" s="389">
        <f t="shared" si="4"/>
      </c>
      <c r="L157" s="390">
        <f t="shared" si="2"/>
      </c>
      <c r="M157" s="391">
        <f t="shared" si="5"/>
      </c>
      <c r="N157" s="387">
        <v>18</v>
      </c>
      <c r="O157" s="391">
        <f t="shared" si="3"/>
      </c>
      <c r="P157" s="386"/>
      <c r="Q157" s="386"/>
    </row>
    <row r="158">
      <c r="A158" s="385" t="s">
        <v>551</v>
      </c>
      <c r="B158" s="386" t="s">
        <v>497</v>
      </c>
      <c r="C158" s="386" t="s">
        <v>487</v>
      </c>
      <c r="D158" s="386">
        <v>5</v>
      </c>
      <c r="E158" s="387">
        <v>34</v>
      </c>
      <c r="F158" s="386">
        <v>203</v>
      </c>
      <c r="G158" s="386">
        <v>128</v>
      </c>
      <c r="H158" s="386">
        <v>46225.600000000006</v>
      </c>
      <c r="I158" s="388">
        <v>37154.07999999999</v>
      </c>
      <c r="J158" s="389">
        <f t="shared" si="1"/>
      </c>
      <c r="K158" s="389">
        <f t="shared" si="4"/>
      </c>
      <c r="L158" s="390">
        <f t="shared" si="2"/>
      </c>
      <c r="M158" s="391">
        <f t="shared" si="5"/>
      </c>
      <c r="N158" s="387">
        <v>27</v>
      </c>
      <c r="O158" s="391">
        <f t="shared" si="3"/>
      </c>
      <c r="P158" s="386"/>
      <c r="Q158" s="386"/>
    </row>
    <row r="159">
      <c r="A159" s="385" t="s">
        <v>551</v>
      </c>
      <c r="B159" s="386" t="s">
        <v>484</v>
      </c>
      <c r="C159" s="386" t="s">
        <v>490</v>
      </c>
      <c r="D159" s="401">
        <f>5-1.5</f>
      </c>
      <c r="E159" s="387">
        <v>24</v>
      </c>
      <c r="F159" s="386">
        <v>194</v>
      </c>
      <c r="G159" s="386">
        <v>122</v>
      </c>
      <c r="H159" s="393">
        <v>42582.899999999994</v>
      </c>
      <c r="I159" s="393">
        <v>34010.96</v>
      </c>
      <c r="J159" s="389">
        <f t="shared" si="1"/>
      </c>
      <c r="K159" s="389">
        <f t="shared" si="4"/>
      </c>
      <c r="L159" s="390">
        <f t="shared" si="2"/>
      </c>
      <c r="M159" s="391">
        <f t="shared" si="5"/>
      </c>
      <c r="N159" s="387">
        <v>31</v>
      </c>
      <c r="O159" s="391">
        <f t="shared" si="3"/>
      </c>
      <c r="P159" s="386" t="s">
        <v>488</v>
      </c>
      <c r="Q159" s="386">
        <v>10</v>
      </c>
    </row>
    <row r="160">
      <c r="A160" s="395" t="s">
        <v>551</v>
      </c>
      <c r="B160" s="396" t="s">
        <v>491</v>
      </c>
      <c r="C160" s="396"/>
      <c r="D160" s="396">
        <f>SUM(D156:D159)</f>
      </c>
      <c r="E160" s="396">
        <f>SUM(E156:E159)</f>
      </c>
      <c r="F160" s="396">
        <f>SUM(F156:F159)</f>
      </c>
      <c r="G160" s="396">
        <f>SUM(G156:G159)</f>
      </c>
      <c r="H160" s="396">
        <f>SUM(H156:H159)</f>
      </c>
      <c r="I160" s="396">
        <f>SUM(I156:I159)</f>
      </c>
      <c r="J160" s="397">
        <f t="shared" si="1"/>
      </c>
      <c r="K160" s="398">
        <f t="shared" si="4"/>
      </c>
      <c r="L160" s="398">
        <f t="shared" si="2"/>
      </c>
      <c r="M160" s="399">
        <f t="shared" si="5"/>
      </c>
      <c r="N160" s="396">
        <f>SUM(N156:N159)</f>
      </c>
      <c r="O160" s="399">
        <f t="shared" si="3"/>
      </c>
      <c r="P160" s="400"/>
      <c r="Q160" s="396">
        <f>SUM(Q156:Q159)</f>
      </c>
    </row>
    <row r="161">
      <c r="A161" s="403"/>
      <c r="B161" s="404"/>
      <c r="C161" s="405"/>
      <c r="P161" s="404"/>
      <c r="Q161" s="404"/>
    </row>
    <row r="162">
      <c r="A162" s="403"/>
      <c r="B162" s="404"/>
      <c r="C162" s="406"/>
      <c r="P162" s="404"/>
      <c r="Q162" s="404"/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>
      <c r="V179" s="407"/>
      <c r="W179" s="407"/>
    </row>
    <row r="180">
      <c r="V180" s="407"/>
      <c r="W180" s="407"/>
    </row>
    <row r="181">
      <c r="C181" s="408"/>
      <c r="L181" t="s">
        <v>478</v>
      </c>
      <c r="M181" t="s">
        <v>552</v>
      </c>
      <c r="V181" s="407"/>
      <c r="W181" s="407"/>
    </row>
    <row r="182">
      <c r="C182" s="408"/>
      <c r="G182" s="409">
        <f t="shared" ref="G182:G189" si="0">E182/F182</f>
      </c>
      <c r="L182" t="s">
        <v>506</v>
      </c>
      <c r="M182">
        <v>17</v>
      </c>
      <c r="V182" s="407"/>
      <c r="W182" s="407"/>
    </row>
    <row r="183">
      <c r="C183" s="408"/>
      <c r="G183" s="409">
        <f t="shared" si="0"/>
      </c>
      <c r="L183" t="s">
        <v>501</v>
      </c>
      <c r="M183">
        <v>60</v>
      </c>
      <c r="N183">
        <v>6</v>
      </c>
      <c r="V183" s="407"/>
      <c r="W183" s="407"/>
    </row>
    <row r="184">
      <c r="C184" s="408"/>
      <c r="G184" s="409">
        <f t="shared" si="0"/>
      </c>
      <c r="L184" t="s">
        <v>496</v>
      </c>
      <c r="M184">
        <v>20</v>
      </c>
      <c r="N184">
        <v>2</v>
      </c>
      <c r="V184" s="407"/>
      <c r="W184" s="407"/>
    </row>
    <row r="185">
      <c r="C185" s="408"/>
      <c r="G185" s="409">
        <f t="shared" si="0"/>
      </c>
      <c r="H185" s="410"/>
      <c r="I185" s="411"/>
      <c r="L185" t="s">
        <v>483</v>
      </c>
      <c r="M185">
        <v>40</v>
      </c>
      <c r="N185">
        <v>4</v>
      </c>
      <c r="V185" s="407"/>
      <c r="W185" s="407"/>
    </row>
    <row r="186">
      <c r="C186" s="408"/>
      <c r="G186" s="409">
        <f t="shared" si="0"/>
      </c>
      <c r="H186" s="410"/>
      <c r="I186" s="411"/>
      <c r="L186" t="s">
        <v>538</v>
      </c>
      <c r="M186">
        <v>20</v>
      </c>
      <c r="N186">
        <v>2</v>
      </c>
      <c r="V186" s="407"/>
      <c r="W186" s="407"/>
    </row>
    <row r="187">
      <c r="C187" s="408"/>
      <c r="G187" s="409">
        <f t="shared" si="0"/>
      </c>
      <c r="H187" s="410"/>
      <c r="I187" s="411"/>
      <c r="L187" t="s">
        <v>503</v>
      </c>
      <c r="M187">
        <v>40</v>
      </c>
      <c r="N187">
        <v>4</v>
      </c>
    </row>
    <row r="188">
      <c r="C188" s="408"/>
      <c r="G188" s="409">
        <f t="shared" si="0"/>
      </c>
      <c r="H188" s="410"/>
      <c r="I188" s="411"/>
      <c r="L188" t="s">
        <v>520</v>
      </c>
      <c r="M188">
        <v>30</v>
      </c>
      <c r="N188">
        <v>3</v>
      </c>
    </row>
    <row r="189">
      <c r="C189" s="408"/>
      <c r="G189" s="409">
        <f t="shared" si="0"/>
      </c>
      <c r="H189" s="410"/>
      <c r="I189" s="411"/>
      <c r="L189" t="s">
        <v>545</v>
      </c>
      <c r="M189">
        <v>60</v>
      </c>
      <c r="N189">
        <v>6</v>
      </c>
    </row>
    <row r="190">
      <c r="C190" s="408"/>
      <c r="H190" s="410"/>
      <c r="I190" s="411"/>
      <c r="L190" t="s">
        <v>536</v>
      </c>
      <c r="M190">
        <v>20</v>
      </c>
      <c r="N190">
        <v>2</v>
      </c>
    </row>
    <row r="191">
      <c r="C191" s="408"/>
      <c r="H191" s="410"/>
      <c r="I191" s="411"/>
      <c r="L191" t="s">
        <v>500</v>
      </c>
      <c r="M191">
        <v>20</v>
      </c>
    </row>
    <row r="192">
      <c r="C192" s="408"/>
      <c r="H192" s="410"/>
      <c r="I192" s="411"/>
      <c r="L192" t="s">
        <v>488</v>
      </c>
      <c r="M192">
        <v>130</v>
      </c>
      <c r="N192">
        <v>13</v>
      </c>
    </row>
    <row r="193">
      <c r="C193" s="408"/>
      <c r="H193" s="410"/>
      <c r="I193" s="411"/>
      <c r="L193" t="s">
        <v>510</v>
      </c>
      <c r="M193">
        <v>90</v>
      </c>
      <c r="N193">
        <v>9</v>
      </c>
    </row>
    <row r="194">
      <c r="C194" s="408"/>
      <c r="L194" t="s">
        <v>524</v>
      </c>
      <c r="M194">
        <v>39</v>
      </c>
    </row>
    <row r="195">
      <c r="C195" s="408"/>
      <c r="L195" t="s">
        <v>543</v>
      </c>
      <c r="M195">
        <v>10</v>
      </c>
      <c r="N195">
        <v>1</v>
      </c>
    </row>
    <row r="196">
      <c r="C196" s="408"/>
      <c r="G196" s="402"/>
      <c r="H196" s="412"/>
      <c r="L196" t="s">
        <v>553</v>
      </c>
      <c r="M196">
        <v>596</v>
      </c>
      <c r="N196">
        <f>SUM(N182:N195)</f>
      </c>
    </row>
    <row r="197">
      <c r="C197" s="408"/>
      <c r="E197" s="402"/>
      <c r="F197" s="402"/>
    </row>
    <row r="198">
      <c r="C198" s="408"/>
      <c r="H198" s="402"/>
    </row>
    <row r="199">
      <c r="C199" s="408"/>
    </row>
  </sheetData>
  <autoFilter ref="A1:T178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9" min="19" style="0" width="11.211267605633802"/>
    <col collapsed="false" customWidth="true" hidden="false" max="3" min="3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20" min="20" style="0" width="11.211267605633802"/>
    <col collapsed="false" customWidth="true" hidden="false" max="4" min="4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4" min="14" style="0" width="12.64480633802817"/>
    <col collapsed="false" customWidth="true" hidden="false" max="18" min="18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</cols>
  <sheetData>
    <row r="1">
      <c r="A1" s="413" t="s">
        <v>554</v>
      </c>
      <c r="B1" s="414" t="s">
        <v>555</v>
      </c>
      <c r="C1" s="415" t="s">
        <v>556</v>
      </c>
      <c r="D1" s="415" t="s">
        <v>557</v>
      </c>
      <c r="E1" s="416" t="s">
        <v>558</v>
      </c>
      <c r="F1" s="415" t="s">
        <v>559</v>
      </c>
      <c r="G1" s="415" t="s">
        <v>560</v>
      </c>
      <c r="H1" s="415" t="s">
        <v>561</v>
      </c>
      <c r="I1" s="415" t="s">
        <v>562</v>
      </c>
      <c r="J1" s="417" t="s">
        <v>563</v>
      </c>
      <c r="K1" s="417" t="s">
        <v>564</v>
      </c>
      <c r="L1" s="417" t="s">
        <v>565</v>
      </c>
      <c r="M1" s="418" t="s">
        <v>566</v>
      </c>
      <c r="N1" s="418" t="s">
        <v>567</v>
      </c>
      <c r="O1" s="418" t="s">
        <v>568</v>
      </c>
      <c r="P1" s="417" t="s">
        <v>569</v>
      </c>
      <c r="Q1" s="415" t="s">
        <v>570</v>
      </c>
    </row>
    <row hidden="true" r="2">
      <c r="A2" s="419" t="s">
        <v>571</v>
      </c>
      <c r="B2" s="420" t="s">
        <v>572</v>
      </c>
      <c r="C2" s="421" t="s">
        <v>573</v>
      </c>
      <c r="D2" s="422">
        <v>5</v>
      </c>
      <c r="E2" s="423">
        <v>18</v>
      </c>
      <c r="F2" s="422">
        <v>201</v>
      </c>
      <c r="G2" s="422">
        <v>115</v>
      </c>
      <c r="H2" s="424">
        <v>37595.8</v>
      </c>
      <c r="I2" s="424">
        <v>38296.61</v>
      </c>
      <c r="J2" s="425">
        <f t="shared" ref="J2:J96" si="2">H2/I2</f>
      </c>
      <c r="K2" s="425">
        <f t="shared" ref="K2:K96" si="4">H2/G2</f>
      </c>
      <c r="L2" s="426">
        <f t="shared" ref="L2:L96" si="0">I2/G2</f>
      </c>
      <c r="M2" s="427">
        <f t="shared" ref="M2:M96" si="3">E2/G2</f>
      </c>
      <c r="N2" s="423">
        <v>20</v>
      </c>
      <c r="O2" s="427">
        <f t="shared" ref="O2:O96" si="1">N2/G2</f>
      </c>
      <c r="P2" s="422" t="s">
        <v>574</v>
      </c>
      <c r="Q2" s="422">
        <v>10</v>
      </c>
    </row>
    <row hidden="true" r="3">
      <c r="A3" s="419" t="s">
        <v>571</v>
      </c>
      <c r="B3" s="428" t="s">
        <v>575</v>
      </c>
      <c r="C3" s="421" t="s">
        <v>576</v>
      </c>
      <c r="D3" s="422">
        <v>5</v>
      </c>
      <c r="E3" s="423">
        <v>11</v>
      </c>
      <c r="F3" s="422">
        <v>87</v>
      </c>
      <c r="G3" s="422">
        <v>52</v>
      </c>
      <c r="H3" s="424">
        <v>21861.799999999996</v>
      </c>
      <c r="I3" s="424">
        <v>17682.990000000005</v>
      </c>
      <c r="J3" s="425">
        <f t="shared" si="2"/>
      </c>
      <c r="K3" s="425">
        <f t="shared" si="4"/>
      </c>
      <c r="L3" s="426">
        <f t="shared" si="0"/>
      </c>
      <c r="M3" s="427">
        <f t="shared" si="3"/>
      </c>
      <c r="N3" s="423">
        <v>10</v>
      </c>
      <c r="O3" s="427">
        <f t="shared" si="1"/>
      </c>
      <c r="P3" s="422"/>
      <c r="Q3" s="422"/>
    </row>
    <row hidden="true" r="4">
      <c r="A4" s="419" t="s">
        <v>571</v>
      </c>
      <c r="B4" s="428" t="s">
        <v>577</v>
      </c>
      <c r="C4" s="421" t="s">
        <v>578</v>
      </c>
      <c r="D4" s="422">
        <v>5</v>
      </c>
      <c r="E4" s="423">
        <v>12</v>
      </c>
      <c r="F4" s="422">
        <v>118</v>
      </c>
      <c r="G4" s="422">
        <v>70</v>
      </c>
      <c r="H4" s="422">
        <v>27436.700000000004</v>
      </c>
      <c r="I4" s="424">
        <v>24059.259999999995</v>
      </c>
      <c r="J4" s="425">
        <f t="shared" si="2"/>
      </c>
      <c r="K4" s="425">
        <f t="shared" si="4"/>
      </c>
      <c r="L4" s="426">
        <f t="shared" si="0"/>
      </c>
      <c r="M4" s="427">
        <f t="shared" si="3"/>
      </c>
      <c r="N4" s="423">
        <v>9</v>
      </c>
      <c r="O4" s="427">
        <f t="shared" si="1"/>
      </c>
      <c r="P4" s="422"/>
      <c r="Q4" s="422"/>
    </row>
    <row hidden="true" r="5">
      <c r="A5" s="419" t="s">
        <v>571</v>
      </c>
      <c r="B5" s="420" t="s">
        <v>579</v>
      </c>
      <c r="C5" s="421" t="s">
        <v>580</v>
      </c>
      <c r="D5" s="422">
        <v>5</v>
      </c>
      <c r="E5" s="423">
        <v>48</v>
      </c>
      <c r="F5" s="422">
        <v>168</v>
      </c>
      <c r="G5" s="422">
        <v>119</v>
      </c>
      <c r="H5" s="429">
        <v>40108.899999999994</v>
      </c>
      <c r="I5" s="429">
        <v>28501.15</v>
      </c>
      <c r="J5" s="425">
        <f t="shared" si="2"/>
      </c>
      <c r="K5" s="425">
        <f t="shared" si="4"/>
      </c>
      <c r="L5" s="426">
        <f t="shared" si="0"/>
      </c>
      <c r="M5" s="427">
        <f t="shared" si="3"/>
      </c>
      <c r="N5" s="423">
        <v>29</v>
      </c>
      <c r="O5" s="427">
        <f t="shared" si="1"/>
      </c>
      <c r="P5" s="422" t="s">
        <v>581</v>
      </c>
      <c r="Q5" s="422">
        <v>10</v>
      </c>
    </row>
    <row hidden="true" r="6">
      <c r="A6" s="430" t="s">
        <v>571</v>
      </c>
      <c r="B6" s="431" t="s">
        <v>582</v>
      </c>
      <c r="C6" s="432"/>
      <c r="D6" s="433">
        <f>SUM(D2:D5)</f>
      </c>
      <c r="E6" s="433">
        <f>SUM(E2:E5)</f>
      </c>
      <c r="F6" s="433">
        <f>SUM(F2:F5)</f>
      </c>
      <c r="G6" s="433">
        <f>SUM(G2:G5)</f>
      </c>
      <c r="H6" s="433">
        <f>SUM(H2:H5)</f>
      </c>
      <c r="I6" s="433">
        <f>SUM(I2:I5)</f>
      </c>
      <c r="J6" s="434">
        <f t="shared" si="2"/>
      </c>
      <c r="K6" s="435">
        <f t="shared" si="4"/>
      </c>
      <c r="L6" s="435">
        <f t="shared" si="0"/>
      </c>
      <c r="M6" s="436">
        <f t="shared" si="3"/>
      </c>
      <c r="N6" s="433">
        <f>SUM(N2:N5)</f>
      </c>
      <c r="O6" s="436">
        <f t="shared" si="1"/>
      </c>
      <c r="P6" s="437"/>
      <c r="Q6" s="433">
        <f>SUM(Q2:Q5)</f>
      </c>
    </row>
    <row hidden="true" r="7">
      <c r="A7" s="419" t="s">
        <v>583</v>
      </c>
      <c r="B7" s="428" t="s">
        <v>584</v>
      </c>
      <c r="C7" s="421" t="s">
        <v>573</v>
      </c>
      <c r="D7" s="422">
        <v>5</v>
      </c>
      <c r="E7" s="423">
        <v>19</v>
      </c>
      <c r="F7" s="422">
        <v>176</v>
      </c>
      <c r="G7" s="422">
        <v>124</v>
      </c>
      <c r="H7" s="424">
        <v>45687.2</v>
      </c>
      <c r="I7" s="424">
        <v>34004.25</v>
      </c>
      <c r="J7" s="425">
        <f t="shared" si="2"/>
      </c>
      <c r="K7" s="425">
        <f t="shared" si="4"/>
      </c>
      <c r="L7" s="426">
        <f t="shared" si="0"/>
      </c>
      <c r="M7" s="427">
        <f t="shared" si="3"/>
      </c>
      <c r="N7" s="423">
        <v>28</v>
      </c>
      <c r="O7" s="427">
        <f t="shared" si="1"/>
      </c>
      <c r="P7" s="422" t="s">
        <v>574</v>
      </c>
      <c r="Q7" s="422">
        <v>10</v>
      </c>
    </row>
    <row hidden="true" r="8">
      <c r="A8" s="419" t="s">
        <v>583</v>
      </c>
      <c r="B8" s="428" t="s">
        <v>575</v>
      </c>
      <c r="C8" s="421" t="s">
        <v>576</v>
      </c>
      <c r="D8" s="422">
        <v>5</v>
      </c>
      <c r="E8" s="423">
        <v>10</v>
      </c>
      <c r="F8" s="422">
        <v>146</v>
      </c>
      <c r="G8" s="422">
        <v>90</v>
      </c>
      <c r="H8" s="424">
        <v>34682.20000000001</v>
      </c>
      <c r="I8" s="424">
        <v>29700.879999999997</v>
      </c>
      <c r="J8" s="425">
        <f t="shared" si="2"/>
      </c>
      <c r="K8" s="425">
        <f t="shared" si="4"/>
      </c>
      <c r="L8" s="426">
        <f t="shared" si="0"/>
      </c>
      <c r="M8" s="427">
        <f t="shared" si="3"/>
      </c>
      <c r="N8" s="423">
        <v>12</v>
      </c>
      <c r="O8" s="427">
        <f t="shared" si="1"/>
      </c>
      <c r="P8" s="422"/>
      <c r="Q8" s="422"/>
    </row>
    <row hidden="true" r="9">
      <c r="A9" s="419" t="s">
        <v>583</v>
      </c>
      <c r="B9" s="420" t="s">
        <v>572</v>
      </c>
      <c r="C9" s="421" t="s">
        <v>578</v>
      </c>
      <c r="D9" s="422">
        <v>5</v>
      </c>
      <c r="E9" s="423">
        <v>20</v>
      </c>
      <c r="F9" s="422">
        <v>170</v>
      </c>
      <c r="G9" s="422">
        <v>104</v>
      </c>
      <c r="H9" s="422">
        <v>33546.60000000002</v>
      </c>
      <c r="I9" s="424">
        <v>36460.30000000001</v>
      </c>
      <c r="J9" s="425">
        <f t="shared" si="2"/>
      </c>
      <c r="K9" s="425">
        <f t="shared" si="4"/>
      </c>
      <c r="L9" s="426">
        <f t="shared" si="0"/>
      </c>
      <c r="M9" s="427">
        <f t="shared" si="3"/>
      </c>
      <c r="N9" s="423">
        <v>13</v>
      </c>
      <c r="O9" s="427">
        <f t="shared" si="1"/>
      </c>
      <c r="P9" s="422"/>
      <c r="Q9" s="422"/>
    </row>
    <row hidden="true" r="10">
      <c r="A10" s="419" t="s">
        <v>583</v>
      </c>
      <c r="B10" s="428" t="s">
        <v>577</v>
      </c>
      <c r="C10" s="421" t="s">
        <v>580</v>
      </c>
      <c r="D10" s="422">
        <v>5</v>
      </c>
      <c r="E10" s="423">
        <v>16</v>
      </c>
      <c r="F10" s="422">
        <v>202</v>
      </c>
      <c r="G10" s="422">
        <v>125</v>
      </c>
      <c r="H10" s="429">
        <v>46784.40000000002</v>
      </c>
      <c r="I10" s="429">
        <v>43901.35000000002</v>
      </c>
      <c r="J10" s="425">
        <f t="shared" si="2"/>
      </c>
      <c r="K10" s="425">
        <f t="shared" si="4"/>
      </c>
      <c r="L10" s="426">
        <f t="shared" si="0"/>
      </c>
      <c r="M10" s="427">
        <f t="shared" si="3"/>
      </c>
      <c r="N10" s="423">
        <v>16</v>
      </c>
      <c r="O10" s="427">
        <f t="shared" si="1"/>
      </c>
      <c r="P10" s="422" t="s">
        <v>585</v>
      </c>
      <c r="Q10" s="422">
        <v>10</v>
      </c>
    </row>
    <row hidden="true" r="11">
      <c r="A11" s="430" t="s">
        <v>583</v>
      </c>
      <c r="B11" s="431" t="s">
        <v>582</v>
      </c>
      <c r="C11" s="432"/>
      <c r="D11" s="433">
        <f>SUM(D7:D10)</f>
      </c>
      <c r="E11" s="433">
        <f>SUM(E7:E10)</f>
      </c>
      <c r="F11" s="433">
        <f>SUM(F7:F10)</f>
      </c>
      <c r="G11" s="433">
        <f>SUM(G7:G10)</f>
      </c>
      <c r="H11" s="433">
        <f>SUM(H7:H10)</f>
      </c>
      <c r="I11" s="433">
        <f>SUM(I7:I10)</f>
      </c>
      <c r="J11" s="434">
        <f t="shared" si="2"/>
      </c>
      <c r="K11" s="435">
        <f t="shared" si="4"/>
      </c>
      <c r="L11" s="435">
        <f t="shared" si="0"/>
      </c>
      <c r="M11" s="436">
        <f t="shared" si="3"/>
      </c>
      <c r="N11" s="433">
        <f>SUM(N7:N10)</f>
      </c>
      <c r="O11" s="436">
        <f t="shared" si="1"/>
      </c>
      <c r="P11" s="437"/>
      <c r="Q11" s="433">
        <f>SUM(Q7:Q10)</f>
      </c>
    </row>
    <row hidden="true" r="12">
      <c r="A12" s="419" t="s">
        <v>586</v>
      </c>
      <c r="B12" s="428" t="s">
        <v>584</v>
      </c>
      <c r="C12" s="421" t="s">
        <v>573</v>
      </c>
      <c r="D12" s="422">
        <v>5</v>
      </c>
      <c r="E12" s="423">
        <v>23</v>
      </c>
      <c r="F12" s="422">
        <v>152</v>
      </c>
      <c r="G12" s="422">
        <v>100</v>
      </c>
      <c r="H12" s="424">
        <v>36605.9</v>
      </c>
      <c r="I12" s="424">
        <v>33563.68</v>
      </c>
      <c r="J12" s="425">
        <f t="shared" si="2"/>
      </c>
      <c r="K12" s="425">
        <f t="shared" si="4"/>
      </c>
      <c r="L12" s="426">
        <f t="shared" si="0"/>
      </c>
      <c r="M12" s="427">
        <f t="shared" si="3"/>
      </c>
      <c r="N12" s="423">
        <v>15</v>
      </c>
      <c r="O12" s="427">
        <f t="shared" si="1"/>
      </c>
      <c r="P12" s="422" t="s">
        <v>574</v>
      </c>
      <c r="Q12" s="422">
        <v>10</v>
      </c>
    </row>
    <row hidden="true" r="13">
      <c r="A13" s="419" t="s">
        <v>586</v>
      </c>
      <c r="B13" s="428" t="s">
        <v>575</v>
      </c>
      <c r="C13" s="421" t="s">
        <v>576</v>
      </c>
      <c r="D13" s="422">
        <v>5</v>
      </c>
      <c r="E13" s="423">
        <v>15</v>
      </c>
      <c r="F13" s="422">
        <v>157</v>
      </c>
      <c r="G13" s="422">
        <v>102</v>
      </c>
      <c r="H13" s="424">
        <v>35283.799999999996</v>
      </c>
      <c r="I13" s="424">
        <v>34736.49</v>
      </c>
      <c r="J13" s="425">
        <f t="shared" si="2"/>
      </c>
      <c r="K13" s="425">
        <f t="shared" si="4"/>
      </c>
      <c r="L13" s="426">
        <f t="shared" si="0"/>
      </c>
      <c r="M13" s="427">
        <f t="shared" si="3"/>
      </c>
      <c r="N13" s="423">
        <v>14</v>
      </c>
      <c r="O13" s="427">
        <f t="shared" si="1"/>
      </c>
      <c r="P13" s="422"/>
      <c r="Q13" s="422"/>
    </row>
    <row hidden="true" r="14">
      <c r="A14" s="419" t="s">
        <v>586</v>
      </c>
      <c r="B14" s="420" t="s">
        <v>572</v>
      </c>
      <c r="C14" s="421" t="s">
        <v>578</v>
      </c>
      <c r="D14" s="422">
        <v>5</v>
      </c>
      <c r="E14" s="423">
        <v>23</v>
      </c>
      <c r="F14" s="422">
        <v>203</v>
      </c>
      <c r="G14" s="422">
        <v>130</v>
      </c>
      <c r="H14" s="422">
        <v>52932.60000000002</v>
      </c>
      <c r="I14" s="424">
        <v>43388.92</v>
      </c>
      <c r="J14" s="425">
        <f t="shared" si="2"/>
      </c>
      <c r="K14" s="425">
        <f t="shared" si="4"/>
      </c>
      <c r="L14" s="426">
        <f t="shared" si="0"/>
      </c>
      <c r="M14" s="427">
        <f t="shared" si="3"/>
      </c>
      <c r="N14" s="423">
        <v>20</v>
      </c>
      <c r="O14" s="427">
        <f t="shared" si="1"/>
      </c>
      <c r="P14" s="422"/>
      <c r="Q14" s="422"/>
    </row>
    <row hidden="true" r="15">
      <c r="A15" s="419" t="s">
        <v>586</v>
      </c>
      <c r="B15" s="428" t="s">
        <v>579</v>
      </c>
      <c r="C15" s="421" t="s">
        <v>580</v>
      </c>
      <c r="D15" s="422">
        <v>5</v>
      </c>
      <c r="E15" s="423">
        <v>21</v>
      </c>
      <c r="F15" s="422">
        <v>180</v>
      </c>
      <c r="G15" s="422">
        <v>119</v>
      </c>
      <c r="H15" s="429">
        <v>39654</v>
      </c>
      <c r="I15" s="429">
        <v>40453.8</v>
      </c>
      <c r="J15" s="425">
        <f t="shared" si="2"/>
      </c>
      <c r="K15" s="425">
        <f t="shared" si="4"/>
      </c>
      <c r="L15" s="426">
        <f t="shared" si="0"/>
      </c>
      <c r="M15" s="427">
        <f t="shared" si="3"/>
      </c>
      <c r="N15" s="423">
        <v>22</v>
      </c>
      <c r="O15" s="427">
        <f t="shared" si="1"/>
      </c>
      <c r="P15" s="422" t="s">
        <v>585</v>
      </c>
      <c r="Q15" s="422">
        <v>10</v>
      </c>
    </row>
    <row hidden="true" r="16">
      <c r="A16" s="430" t="s">
        <v>586</v>
      </c>
      <c r="B16" s="431" t="s">
        <v>582</v>
      </c>
      <c r="C16" s="432"/>
      <c r="D16" s="433">
        <f>SUM(D12:D15)</f>
      </c>
      <c r="E16" s="433">
        <f>SUM(E12:E15)</f>
      </c>
      <c r="F16" s="433">
        <f>SUM(F12:F15)</f>
      </c>
      <c r="G16" s="433">
        <f>SUM(G12:G15)</f>
      </c>
      <c r="H16" s="433">
        <f>SUM(H12:H15)</f>
      </c>
      <c r="I16" s="433">
        <f>SUM(I12:I15)</f>
      </c>
      <c r="J16" s="434">
        <f t="shared" si="2"/>
      </c>
      <c r="K16" s="435">
        <f t="shared" si="4"/>
      </c>
      <c r="L16" s="435">
        <f t="shared" si="0"/>
      </c>
      <c r="M16" s="436">
        <f t="shared" si="3"/>
      </c>
      <c r="N16" s="433">
        <f>SUM(N12:N15)</f>
      </c>
      <c r="O16" s="436">
        <f t="shared" si="1"/>
      </c>
      <c r="P16" s="437"/>
      <c r="Q16" s="433">
        <f>SUM(Q12:Q15)</f>
      </c>
    </row>
    <row hidden="true" r="17">
      <c r="A17" s="419" t="s">
        <v>587</v>
      </c>
      <c r="B17" s="420" t="s">
        <v>572</v>
      </c>
      <c r="C17" s="421" t="s">
        <v>573</v>
      </c>
      <c r="D17" s="422">
        <v>5</v>
      </c>
      <c r="E17" s="423">
        <v>21</v>
      </c>
      <c r="F17" s="422">
        <v>180</v>
      </c>
      <c r="G17" s="422">
        <v>105</v>
      </c>
      <c r="H17" s="424">
        <v>40066.8</v>
      </c>
      <c r="I17" s="424">
        <v>31812.659999999996</v>
      </c>
      <c r="J17" s="425">
        <f t="shared" si="2"/>
      </c>
      <c r="K17" s="425">
        <f t="shared" si="4"/>
      </c>
      <c r="L17" s="426">
        <f t="shared" si="0"/>
      </c>
      <c r="M17" s="427">
        <f t="shared" si="3"/>
      </c>
      <c r="N17" s="423">
        <v>17</v>
      </c>
      <c r="O17" s="427">
        <f t="shared" si="1"/>
      </c>
      <c r="P17" s="422" t="s">
        <v>574</v>
      </c>
      <c r="Q17" s="422">
        <v>10</v>
      </c>
    </row>
    <row hidden="true" r="18">
      <c r="A18" s="419" t="s">
        <v>587</v>
      </c>
      <c r="B18" s="428" t="s">
        <v>575</v>
      </c>
      <c r="C18" s="421" t="s">
        <v>576</v>
      </c>
      <c r="D18" s="422">
        <v>5</v>
      </c>
      <c r="E18" s="423">
        <v>11</v>
      </c>
      <c r="F18" s="422">
        <v>140</v>
      </c>
      <c r="G18" s="422">
        <v>88</v>
      </c>
      <c r="H18" s="424">
        <v>31044.800000000003</v>
      </c>
      <c r="I18" s="424">
        <v>29618.32</v>
      </c>
      <c r="J18" s="425">
        <f t="shared" si="2"/>
      </c>
      <c r="K18" s="425">
        <f t="shared" si="4"/>
      </c>
      <c r="L18" s="426">
        <f t="shared" si="0"/>
      </c>
      <c r="M18" s="427">
        <f t="shared" si="3"/>
      </c>
      <c r="N18" s="423">
        <v>15</v>
      </c>
      <c r="O18" s="427">
        <f t="shared" si="1"/>
      </c>
      <c r="P18" s="422"/>
      <c r="Q18" s="422"/>
    </row>
    <row hidden="true" r="19">
      <c r="A19" s="419" t="s">
        <v>587</v>
      </c>
      <c r="B19" s="428" t="s">
        <v>584</v>
      </c>
      <c r="C19" s="421" t="s">
        <v>578</v>
      </c>
      <c r="D19" s="422">
        <v>5</v>
      </c>
      <c r="E19" s="423">
        <v>26</v>
      </c>
      <c r="F19" s="422">
        <v>200</v>
      </c>
      <c r="G19" s="422">
        <v>109</v>
      </c>
      <c r="H19" s="422">
        <v>37761.70000000001</v>
      </c>
      <c r="I19" s="424">
        <v>38792.33</v>
      </c>
      <c r="J19" s="425">
        <f t="shared" si="2"/>
      </c>
      <c r="K19" s="425">
        <f t="shared" si="4"/>
      </c>
      <c r="L19" s="426">
        <f t="shared" si="0"/>
      </c>
      <c r="M19" s="427">
        <f t="shared" si="3"/>
      </c>
      <c r="N19" s="423">
        <v>12</v>
      </c>
      <c r="O19" s="427">
        <f t="shared" si="1"/>
      </c>
      <c r="P19" s="422"/>
      <c r="Q19" s="422"/>
    </row>
    <row hidden="true" r="20">
      <c r="A20" s="419" t="s">
        <v>587</v>
      </c>
      <c r="B20" s="428" t="s">
        <v>579</v>
      </c>
      <c r="C20" s="421" t="s">
        <v>580</v>
      </c>
      <c r="D20" s="422">
        <v>5</v>
      </c>
      <c r="E20" s="423">
        <v>23</v>
      </c>
      <c r="F20" s="422">
        <v>154</v>
      </c>
      <c r="G20" s="422">
        <v>91</v>
      </c>
      <c r="H20" s="429">
        <v>33313.600000000006</v>
      </c>
      <c r="I20" s="429">
        <v>34414.33</v>
      </c>
      <c r="J20" s="425">
        <f t="shared" si="2"/>
      </c>
      <c r="K20" s="425">
        <f t="shared" si="4"/>
      </c>
      <c r="L20" s="426">
        <f t="shared" si="0"/>
      </c>
      <c r="M20" s="427">
        <f t="shared" si="3"/>
      </c>
      <c r="N20" s="423">
        <v>15</v>
      </c>
      <c r="O20" s="427">
        <f t="shared" si="1"/>
      </c>
      <c r="P20" s="422" t="s">
        <v>585</v>
      </c>
      <c r="Q20" s="422">
        <v>10</v>
      </c>
    </row>
    <row hidden="true" r="21">
      <c r="A21" s="430" t="s">
        <v>587</v>
      </c>
      <c r="B21" s="431" t="s">
        <v>582</v>
      </c>
      <c r="C21" s="432"/>
      <c r="D21" s="433">
        <f>SUM(D17:D20)</f>
      </c>
      <c r="E21" s="433">
        <f>SUM(E17:E20)</f>
      </c>
      <c r="F21" s="433">
        <f>SUM(F17:F20)</f>
      </c>
      <c r="G21" s="433">
        <f>SUM(G17:G20)</f>
      </c>
      <c r="H21" s="433">
        <f>SUM(H17:H20)</f>
      </c>
      <c r="I21" s="433">
        <f>SUM(I17:I20)</f>
      </c>
      <c r="J21" s="434">
        <f t="shared" si="2"/>
      </c>
      <c r="K21" s="435">
        <f t="shared" si="4"/>
      </c>
      <c r="L21" s="435">
        <f t="shared" si="0"/>
      </c>
      <c r="M21" s="436">
        <f t="shared" si="3"/>
      </c>
      <c r="N21" s="433">
        <f>SUM(N17:N20)</f>
      </c>
      <c r="O21" s="436">
        <f t="shared" si="1"/>
      </c>
      <c r="P21" s="437"/>
      <c r="Q21" s="433">
        <f>SUM(Q17:Q20)</f>
      </c>
    </row>
    <row hidden="true" r="22">
      <c r="A22" s="419" t="s">
        <v>588</v>
      </c>
      <c r="B22" s="428" t="s">
        <v>584</v>
      </c>
      <c r="C22" s="421" t="s">
        <v>573</v>
      </c>
      <c r="D22" s="422">
        <v>5</v>
      </c>
      <c r="E22" s="423">
        <v>15</v>
      </c>
      <c r="F22" s="422">
        <v>165</v>
      </c>
      <c r="G22" s="422">
        <v>104</v>
      </c>
      <c r="H22" s="424">
        <v>38042.3</v>
      </c>
      <c r="I22" s="424">
        <v>33178.82</v>
      </c>
      <c r="J22" s="425">
        <f t="shared" si="2"/>
      </c>
      <c r="K22" s="425">
        <f t="shared" si="4"/>
      </c>
      <c r="L22" s="426">
        <f t="shared" si="0"/>
      </c>
      <c r="M22" s="427">
        <f t="shared" si="3"/>
      </c>
      <c r="N22" s="423">
        <v>10</v>
      </c>
      <c r="O22" s="427">
        <f t="shared" si="1"/>
      </c>
      <c r="P22" s="422" t="s">
        <v>589</v>
      </c>
      <c r="Q22" s="422">
        <v>10</v>
      </c>
    </row>
    <row hidden="true" r="23">
      <c r="A23" s="419" t="s">
        <v>588</v>
      </c>
      <c r="B23" s="428" t="s">
        <v>575</v>
      </c>
      <c r="C23" s="421" t="s">
        <v>590</v>
      </c>
      <c r="D23" s="422">
        <v>4</v>
      </c>
      <c r="E23" s="423">
        <v>19</v>
      </c>
      <c r="F23" s="422">
        <v>174</v>
      </c>
      <c r="G23" s="422">
        <v>113</v>
      </c>
      <c r="H23" s="424">
        <v>41465.59999999999</v>
      </c>
      <c r="I23" s="424">
        <v>30613.21</v>
      </c>
      <c r="J23" s="425">
        <f t="shared" si="2"/>
      </c>
      <c r="K23" s="425">
        <f t="shared" si="4"/>
      </c>
      <c r="L23" s="426">
        <f t="shared" si="0"/>
      </c>
      <c r="M23" s="427">
        <f t="shared" si="3"/>
      </c>
      <c r="N23" s="423">
        <v>17</v>
      </c>
      <c r="O23" s="427">
        <f t="shared" si="1"/>
      </c>
      <c r="P23" s="422"/>
      <c r="Q23" s="422"/>
    </row>
    <row hidden="true" r="24">
      <c r="A24" s="419" t="s">
        <v>588</v>
      </c>
      <c r="B24" s="428" t="s">
        <v>577</v>
      </c>
      <c r="C24" s="421" t="s">
        <v>591</v>
      </c>
      <c r="D24" s="422">
        <v>5</v>
      </c>
      <c r="E24" s="423">
        <v>14</v>
      </c>
      <c r="F24" s="422">
        <v>137</v>
      </c>
      <c r="G24" s="422">
        <v>73</v>
      </c>
      <c r="H24" s="422">
        <v>24346.90000000001</v>
      </c>
      <c r="I24" s="424">
        <v>31781.820000000007</v>
      </c>
      <c r="J24" s="425">
        <f t="shared" si="2"/>
      </c>
      <c r="K24" s="425">
        <f t="shared" si="4"/>
      </c>
      <c r="L24" s="426">
        <f t="shared" si="0"/>
      </c>
      <c r="M24" s="427">
        <f t="shared" si="3"/>
      </c>
      <c r="N24" s="423">
        <v>9</v>
      </c>
      <c r="O24" s="427">
        <f t="shared" si="1"/>
      </c>
      <c r="P24" s="422"/>
      <c r="Q24" s="422"/>
    </row>
    <row hidden="true" r="25">
      <c r="A25" s="419" t="s">
        <v>588</v>
      </c>
      <c r="B25" s="428" t="s">
        <v>579</v>
      </c>
      <c r="C25" s="421" t="s">
        <v>592</v>
      </c>
      <c r="D25" s="422">
        <v>6</v>
      </c>
      <c r="E25" s="423">
        <v>4</v>
      </c>
      <c r="F25" s="422">
        <v>101</v>
      </c>
      <c r="G25" s="422">
        <v>60</v>
      </c>
      <c r="H25" s="429">
        <v>19741.59999999999</v>
      </c>
      <c r="I25" s="429">
        <v>27576.059999999998</v>
      </c>
      <c r="J25" s="425">
        <f t="shared" si="2"/>
      </c>
      <c r="K25" s="425">
        <f t="shared" si="4"/>
      </c>
      <c r="L25" s="426">
        <f t="shared" si="0"/>
      </c>
      <c r="M25" s="427">
        <f t="shared" si="3"/>
      </c>
      <c r="N25" s="423">
        <v>9</v>
      </c>
      <c r="O25" s="427">
        <f t="shared" si="1"/>
      </c>
      <c r="P25" s="422" t="s">
        <v>593</v>
      </c>
      <c r="Q25" s="422">
        <v>10</v>
      </c>
    </row>
    <row hidden="true" r="26">
      <c r="A26" s="430" t="s">
        <v>588</v>
      </c>
      <c r="B26" s="431" t="s">
        <v>582</v>
      </c>
      <c r="C26" s="432"/>
      <c r="D26" s="433">
        <f>SUM(D22:D25)</f>
      </c>
      <c r="E26" s="433">
        <f>SUM(E22:E25)</f>
      </c>
      <c r="F26" s="433">
        <f>SUM(F22:F25)</f>
      </c>
      <c r="G26" s="433">
        <f>SUM(G22:G25)</f>
      </c>
      <c r="H26" s="433">
        <f>SUM(H22:H25)</f>
      </c>
      <c r="I26" s="433">
        <f>SUM(I22:I25)</f>
      </c>
      <c r="J26" s="434">
        <f t="shared" si="2"/>
      </c>
      <c r="K26" s="435">
        <f t="shared" si="4"/>
      </c>
      <c r="L26" s="435">
        <f t="shared" si="0"/>
      </c>
      <c r="M26" s="436">
        <f t="shared" si="3"/>
      </c>
      <c r="N26" s="433">
        <f>SUM(N22:N25)</f>
      </c>
      <c r="O26" s="436">
        <f t="shared" si="1"/>
      </c>
      <c r="P26" s="437"/>
      <c r="Q26" s="433">
        <f>SUM(Q22:Q25)</f>
      </c>
    </row>
    <row hidden="true" r="27">
      <c r="A27" s="419" t="s">
        <v>594</v>
      </c>
      <c r="B27" s="428" t="s">
        <v>584</v>
      </c>
      <c r="C27" s="421" t="s">
        <v>573</v>
      </c>
      <c r="D27" s="422">
        <v>5</v>
      </c>
      <c r="E27" s="423">
        <v>18</v>
      </c>
      <c r="F27" s="422">
        <v>103</v>
      </c>
      <c r="G27" s="422">
        <v>66</v>
      </c>
      <c r="H27" s="424">
        <v>21027.9</v>
      </c>
      <c r="I27" s="424">
        <v>19860.21</v>
      </c>
      <c r="J27" s="425">
        <f t="shared" si="2"/>
      </c>
      <c r="K27" s="425">
        <f t="shared" si="4"/>
      </c>
      <c r="L27" s="426">
        <f t="shared" si="0"/>
      </c>
      <c r="M27" s="427">
        <f t="shared" si="3"/>
      </c>
      <c r="N27" s="423">
        <v>6</v>
      </c>
      <c r="O27" s="427">
        <f t="shared" si="1"/>
      </c>
      <c r="P27" s="422" t="s">
        <v>595</v>
      </c>
      <c r="Q27" s="422">
        <v>10</v>
      </c>
    </row>
    <row hidden="true" r="28">
      <c r="A28" s="419" t="s">
        <v>594</v>
      </c>
      <c r="B28" s="428" t="s">
        <v>575</v>
      </c>
      <c r="C28" s="421" t="s">
        <v>576</v>
      </c>
      <c r="D28" s="422">
        <v>5</v>
      </c>
      <c r="E28" s="423">
        <v>13</v>
      </c>
      <c r="F28" s="422">
        <v>144</v>
      </c>
      <c r="G28" s="422">
        <v>80</v>
      </c>
      <c r="H28" s="424">
        <v>26394.1</v>
      </c>
      <c r="I28" s="424">
        <v>23419.25</v>
      </c>
      <c r="J28" s="425">
        <f t="shared" si="2"/>
      </c>
      <c r="K28" s="425">
        <f t="shared" si="4"/>
      </c>
      <c r="L28" s="426">
        <f t="shared" si="0"/>
      </c>
      <c r="M28" s="427">
        <f t="shared" si="3"/>
      </c>
      <c r="N28" s="423">
        <v>17</v>
      </c>
      <c r="O28" s="427">
        <f t="shared" si="1"/>
      </c>
      <c r="P28" s="422"/>
      <c r="Q28" s="422"/>
    </row>
    <row hidden="true" r="29">
      <c r="A29" s="419" t="s">
        <v>594</v>
      </c>
      <c r="B29" s="428" t="s">
        <v>572</v>
      </c>
      <c r="C29" s="421" t="s">
        <v>578</v>
      </c>
      <c r="D29" s="422">
        <v>5</v>
      </c>
      <c r="E29" s="423">
        <v>10</v>
      </c>
      <c r="F29" s="422">
        <v>128</v>
      </c>
      <c r="G29" s="422">
        <v>78</v>
      </c>
      <c r="H29" s="422">
        <v>27588.300000000003</v>
      </c>
      <c r="I29" s="424">
        <v>23707.889999999992</v>
      </c>
      <c r="J29" s="425">
        <f t="shared" si="2"/>
      </c>
      <c r="K29" s="425">
        <f t="shared" si="4"/>
      </c>
      <c r="L29" s="426">
        <f t="shared" si="0"/>
      </c>
      <c r="M29" s="427">
        <f t="shared" si="3"/>
      </c>
      <c r="N29" s="423">
        <v>14</v>
      </c>
      <c r="O29" s="427">
        <f t="shared" si="1"/>
      </c>
      <c r="P29" s="422"/>
      <c r="Q29" s="422"/>
    </row>
    <row hidden="true" r="30">
      <c r="A30" s="419" t="s">
        <v>594</v>
      </c>
      <c r="B30" s="428" t="s">
        <v>577</v>
      </c>
      <c r="C30" s="421" t="s">
        <v>580</v>
      </c>
      <c r="D30" s="422">
        <v>5</v>
      </c>
      <c r="E30" s="423">
        <v>9</v>
      </c>
      <c r="F30" s="422">
        <v>101</v>
      </c>
      <c r="G30" s="422">
        <v>64</v>
      </c>
      <c r="H30" s="429">
        <v>21450</v>
      </c>
      <c r="I30" s="429">
        <v>24878.9</v>
      </c>
      <c r="J30" s="425">
        <f t="shared" si="2"/>
      </c>
      <c r="K30" s="425">
        <f t="shared" si="4"/>
      </c>
      <c r="L30" s="426">
        <f t="shared" si="0"/>
      </c>
      <c r="M30" s="427">
        <f t="shared" si="3"/>
      </c>
      <c r="N30" s="423">
        <v>4</v>
      </c>
      <c r="O30" s="427">
        <f t="shared" si="1"/>
      </c>
      <c r="P30" s="422" t="s">
        <v>593</v>
      </c>
      <c r="Q30" s="422">
        <v>10</v>
      </c>
    </row>
    <row hidden="true" r="31">
      <c r="A31" s="438" t="s">
        <v>594</v>
      </c>
      <c r="B31" s="439" t="s">
        <v>582</v>
      </c>
      <c r="C31" s="433"/>
      <c r="D31" s="433">
        <f>SUM(D27:D30)</f>
      </c>
      <c r="E31" s="433">
        <f>SUM(E27:E30)</f>
      </c>
      <c r="F31" s="433">
        <f>SUM(F27:F30)</f>
      </c>
      <c r="G31" s="433">
        <f>SUM(G27:G30)</f>
      </c>
      <c r="H31" s="433">
        <f>SUM(H27:H30)</f>
      </c>
      <c r="I31" s="433">
        <f>SUM(I27:I30)</f>
      </c>
      <c r="J31" s="434">
        <f t="shared" si="2"/>
      </c>
      <c r="K31" s="435">
        <f t="shared" si="4"/>
      </c>
      <c r="L31" s="435">
        <f t="shared" si="0"/>
      </c>
      <c r="M31" s="436">
        <f t="shared" si="3"/>
      </c>
      <c r="N31" s="433">
        <f>SUM(N27:N30)</f>
      </c>
      <c r="O31" s="436">
        <f t="shared" si="1"/>
      </c>
      <c r="P31" s="437"/>
      <c r="Q31" s="433">
        <f>SUM(Q27:Q30)</f>
      </c>
    </row>
    <row hidden="true" r="32">
      <c r="A32" s="419" t="s">
        <v>596</v>
      </c>
      <c r="B32" s="428" t="s">
        <v>584</v>
      </c>
      <c r="C32" s="421" t="s">
        <v>573</v>
      </c>
      <c r="D32" s="422">
        <v>5</v>
      </c>
      <c r="E32" s="423">
        <v>7</v>
      </c>
      <c r="F32" s="422">
        <v>147</v>
      </c>
      <c r="G32" s="422">
        <v>98</v>
      </c>
      <c r="H32" s="424">
        <v>33140.7</v>
      </c>
      <c r="I32" s="424">
        <v>30571.050000000003</v>
      </c>
      <c r="J32" s="425">
        <f t="shared" si="2"/>
      </c>
      <c r="K32" s="425">
        <f t="shared" si="4"/>
      </c>
      <c r="L32" s="426">
        <f t="shared" si="0"/>
      </c>
      <c r="M32" s="427">
        <f t="shared" si="3"/>
      </c>
      <c r="N32" s="423">
        <v>17</v>
      </c>
      <c r="O32" s="427">
        <f t="shared" si="1"/>
      </c>
      <c r="P32" s="422" t="s">
        <v>595</v>
      </c>
      <c r="Q32" s="422">
        <v>10</v>
      </c>
    </row>
    <row hidden="true" r="33">
      <c r="A33" s="419" t="s">
        <v>596</v>
      </c>
      <c r="B33" s="428" t="s">
        <v>575</v>
      </c>
      <c r="C33" s="421" t="s">
        <v>576</v>
      </c>
      <c r="D33" s="422">
        <v>5</v>
      </c>
      <c r="E33" s="423">
        <v>3</v>
      </c>
      <c r="F33" s="422">
        <v>153</v>
      </c>
      <c r="G33" s="422">
        <v>89</v>
      </c>
      <c r="H33" s="424">
        <v>29423.100000000006</v>
      </c>
      <c r="I33" s="424">
        <v>32414.130000000005</v>
      </c>
      <c r="J33" s="425">
        <f t="shared" si="2"/>
      </c>
      <c r="K33" s="425">
        <f t="shared" si="4"/>
      </c>
      <c r="L33" s="426">
        <f t="shared" si="0"/>
      </c>
      <c r="M33" s="427">
        <f t="shared" si="3"/>
      </c>
      <c r="N33" s="423">
        <v>5</v>
      </c>
      <c r="O33" s="427">
        <f t="shared" si="1"/>
      </c>
      <c r="P33" s="422"/>
      <c r="Q33" s="422"/>
    </row>
    <row hidden="true" r="34">
      <c r="A34" s="419" t="s">
        <v>596</v>
      </c>
      <c r="B34" s="428" t="s">
        <v>572</v>
      </c>
      <c r="C34" s="421" t="s">
        <v>578</v>
      </c>
      <c r="D34" s="422">
        <v>5</v>
      </c>
      <c r="E34" s="423">
        <v>36</v>
      </c>
      <c r="F34" s="422">
        <v>224</v>
      </c>
      <c r="G34" s="422">
        <v>139</v>
      </c>
      <c r="H34" s="422">
        <v>48906.3</v>
      </c>
      <c r="I34" s="424">
        <v>43536.69</v>
      </c>
      <c r="J34" s="425">
        <f t="shared" si="2"/>
      </c>
      <c r="K34" s="425">
        <f t="shared" si="4"/>
      </c>
      <c r="L34" s="426">
        <f t="shared" si="0"/>
      </c>
      <c r="M34" s="427">
        <f t="shared" si="3"/>
      </c>
      <c r="N34" s="423">
        <v>18</v>
      </c>
      <c r="O34" s="427">
        <f t="shared" si="1"/>
      </c>
      <c r="P34" s="422"/>
      <c r="Q34" s="422"/>
    </row>
    <row hidden="true" r="35">
      <c r="A35" s="419" t="s">
        <v>596</v>
      </c>
      <c r="B35" s="428" t="s">
        <v>577</v>
      </c>
      <c r="C35" s="421" t="s">
        <v>580</v>
      </c>
      <c r="D35" s="422">
        <v>5</v>
      </c>
      <c r="E35" s="423">
        <v>15</v>
      </c>
      <c r="F35" s="422">
        <v>221</v>
      </c>
      <c r="G35" s="422">
        <v>138</v>
      </c>
      <c r="H35" s="429">
        <v>47847.5</v>
      </c>
      <c r="I35" s="429">
        <v>51747.899999999994</v>
      </c>
      <c r="J35" s="425">
        <f t="shared" si="2"/>
      </c>
      <c r="K35" s="425">
        <f t="shared" si="4"/>
      </c>
      <c r="L35" s="426">
        <f t="shared" si="0"/>
      </c>
      <c r="M35" s="427">
        <f t="shared" si="3"/>
      </c>
      <c r="N35" s="423">
        <v>19</v>
      </c>
      <c r="O35" s="427">
        <f t="shared" si="1"/>
      </c>
      <c r="P35" s="422" t="s">
        <v>593</v>
      </c>
      <c r="Q35" s="422">
        <v>10</v>
      </c>
    </row>
    <row hidden="true" r="36">
      <c r="A36" s="438" t="s">
        <v>596</v>
      </c>
      <c r="B36" s="439" t="s">
        <v>582</v>
      </c>
      <c r="C36" s="433"/>
      <c r="D36" s="433">
        <f>SUM(D32:D35)</f>
      </c>
      <c r="E36" s="433">
        <f>SUM(E32:E35)</f>
      </c>
      <c r="F36" s="433">
        <f>SUM(F32:F35)</f>
      </c>
      <c r="G36" s="433">
        <f>SUM(G32:G35)</f>
      </c>
      <c r="H36" s="433">
        <f>SUM(H32:H35)</f>
      </c>
      <c r="I36" s="433">
        <f>SUM(I32:I35)</f>
      </c>
      <c r="J36" s="434">
        <f t="shared" si="2"/>
      </c>
      <c r="K36" s="435">
        <f t="shared" si="4"/>
      </c>
      <c r="L36" s="435">
        <f t="shared" si="0"/>
      </c>
      <c r="M36" s="436">
        <f t="shared" si="3"/>
      </c>
      <c r="N36" s="433">
        <f>SUM(N32:N35)</f>
      </c>
      <c r="O36" s="436">
        <f t="shared" si="1"/>
      </c>
      <c r="P36" s="437"/>
      <c r="Q36" s="433">
        <f>SUM(Q32:Q35)</f>
      </c>
    </row>
    <row hidden="true" r="37">
      <c r="A37" s="419" t="s">
        <v>597</v>
      </c>
      <c r="B37" s="428" t="s">
        <v>584</v>
      </c>
      <c r="C37" s="421" t="s">
        <v>573</v>
      </c>
      <c r="D37" s="422">
        <v>5</v>
      </c>
      <c r="E37" s="423">
        <v>8</v>
      </c>
      <c r="F37" s="422">
        <v>140</v>
      </c>
      <c r="G37" s="422">
        <v>77</v>
      </c>
      <c r="H37" s="424">
        <v>29049.2</v>
      </c>
      <c r="I37" s="424">
        <v>26544.39</v>
      </c>
      <c r="J37" s="425">
        <f t="shared" si="2"/>
      </c>
      <c r="K37" s="425">
        <f t="shared" si="4"/>
      </c>
      <c r="L37" s="426">
        <f t="shared" si="0"/>
      </c>
      <c r="M37" s="427">
        <f t="shared" si="3"/>
      </c>
      <c r="N37" s="423">
        <v>13</v>
      </c>
      <c r="O37" s="427">
        <f t="shared" si="1"/>
      </c>
      <c r="P37" s="422" t="s">
        <v>595</v>
      </c>
      <c r="Q37" s="422">
        <v>10</v>
      </c>
    </row>
    <row hidden="true" r="38">
      <c r="A38" s="419" t="s">
        <v>597</v>
      </c>
      <c r="B38" s="428" t="s">
        <v>575</v>
      </c>
      <c r="C38" s="421" t="s">
        <v>576</v>
      </c>
      <c r="D38" s="422">
        <v>5</v>
      </c>
      <c r="E38" s="423">
        <v>14</v>
      </c>
      <c r="F38" s="422">
        <v>160</v>
      </c>
      <c r="G38" s="422">
        <v>99</v>
      </c>
      <c r="H38" s="424">
        <v>31934.399999999998</v>
      </c>
      <c r="I38" s="424">
        <v>31491.489999999998</v>
      </c>
      <c r="J38" s="425">
        <f t="shared" si="2"/>
      </c>
      <c r="K38" s="425">
        <f t="shared" si="4"/>
      </c>
      <c r="L38" s="426">
        <f t="shared" si="0"/>
      </c>
      <c r="M38" s="427">
        <f t="shared" si="3"/>
      </c>
      <c r="N38" s="423">
        <v>11</v>
      </c>
      <c r="O38" s="427">
        <f t="shared" si="1"/>
      </c>
      <c r="P38" s="422"/>
      <c r="Q38" s="422"/>
    </row>
    <row hidden="true" r="39">
      <c r="A39" s="419" t="s">
        <v>597</v>
      </c>
      <c r="B39" s="428" t="s">
        <v>572</v>
      </c>
      <c r="C39" s="421" t="s">
        <v>578</v>
      </c>
      <c r="D39" s="422">
        <v>5</v>
      </c>
      <c r="E39" s="423">
        <v>34</v>
      </c>
      <c r="F39" s="422">
        <v>242</v>
      </c>
      <c r="G39" s="422">
        <v>146</v>
      </c>
      <c r="H39" s="422">
        <v>44868.799999999996</v>
      </c>
      <c r="I39" s="424">
        <v>46544.74</v>
      </c>
      <c r="J39" s="425">
        <f t="shared" si="2"/>
      </c>
      <c r="K39" s="425">
        <f t="shared" si="4"/>
      </c>
      <c r="L39" s="426">
        <f t="shared" si="0"/>
      </c>
      <c r="M39" s="427">
        <f t="shared" si="3"/>
      </c>
      <c r="N39" s="423">
        <v>26</v>
      </c>
      <c r="O39" s="427">
        <f t="shared" si="1"/>
      </c>
      <c r="P39" s="422"/>
      <c r="Q39" s="422"/>
    </row>
    <row hidden="true" r="40">
      <c r="A40" s="419" t="s">
        <v>597</v>
      </c>
      <c r="B40" s="428" t="s">
        <v>577</v>
      </c>
      <c r="C40" s="421" t="s">
        <v>580</v>
      </c>
      <c r="D40" s="422">
        <v>5</v>
      </c>
      <c r="E40" s="423">
        <v>24</v>
      </c>
      <c r="F40" s="422">
        <v>165</v>
      </c>
      <c r="G40" s="422">
        <v>104</v>
      </c>
      <c r="H40" s="429">
        <v>34693</v>
      </c>
      <c r="I40" s="429">
        <v>37164</v>
      </c>
      <c r="J40" s="425">
        <f t="shared" si="2"/>
      </c>
      <c r="K40" s="425">
        <f t="shared" si="4"/>
      </c>
      <c r="L40" s="426">
        <f t="shared" si="0"/>
      </c>
      <c r="M40" s="427">
        <f t="shared" si="3"/>
      </c>
      <c r="N40" s="423">
        <v>8</v>
      </c>
      <c r="O40" s="427">
        <f t="shared" si="1"/>
      </c>
      <c r="P40" s="422" t="s">
        <v>593</v>
      </c>
      <c r="Q40" s="422">
        <v>10</v>
      </c>
    </row>
    <row hidden="true" r="41">
      <c r="A41" s="438" t="s">
        <v>597</v>
      </c>
      <c r="B41" s="439" t="s">
        <v>582</v>
      </c>
      <c r="C41" s="433"/>
      <c r="D41" s="433">
        <f>SUM(D37:D40)</f>
      </c>
      <c r="E41" s="433">
        <f>SUM(E37:E40)</f>
      </c>
      <c r="F41" s="433">
        <f>SUM(F37:F40)</f>
      </c>
      <c r="G41" s="433">
        <f>SUM(G37:G40)</f>
      </c>
      <c r="H41" s="433">
        <f>SUM(H37:H40)</f>
      </c>
      <c r="I41" s="433">
        <f>SUM(I37:I40)</f>
      </c>
      <c r="J41" s="434">
        <f t="shared" si="2"/>
      </c>
      <c r="K41" s="435">
        <f t="shared" si="4"/>
      </c>
      <c r="L41" s="435">
        <f t="shared" si="0"/>
      </c>
      <c r="M41" s="436">
        <f t="shared" si="3"/>
      </c>
      <c r="N41" s="433">
        <f>SUM(N37:N40)</f>
      </c>
      <c r="O41" s="436">
        <f t="shared" si="1"/>
      </c>
      <c r="P41" s="437"/>
      <c r="Q41" s="433">
        <f>SUM(Q37:Q40)</f>
      </c>
    </row>
    <row hidden="true" r="42">
      <c r="A42" s="419" t="s">
        <v>598</v>
      </c>
      <c r="B42" s="428" t="s">
        <v>584</v>
      </c>
      <c r="C42" s="421" t="s">
        <v>573</v>
      </c>
      <c r="D42" s="422">
        <v>5</v>
      </c>
      <c r="E42" s="423">
        <v>20</v>
      </c>
      <c r="F42" s="422">
        <v>182</v>
      </c>
      <c r="G42" s="422">
        <v>112</v>
      </c>
      <c r="H42" s="422">
        <v>39259.7</v>
      </c>
      <c r="I42" s="424">
        <v>37348.99</v>
      </c>
      <c r="J42" s="425">
        <f t="shared" si="2"/>
      </c>
      <c r="K42" s="425">
        <f t="shared" si="4"/>
      </c>
      <c r="L42" s="426">
        <f t="shared" si="0"/>
      </c>
      <c r="M42" s="427">
        <f t="shared" si="3"/>
      </c>
      <c r="N42" s="423">
        <v>16</v>
      </c>
      <c r="O42" s="427">
        <f t="shared" si="1"/>
      </c>
      <c r="P42" s="422" t="s">
        <v>595</v>
      </c>
      <c r="Q42" s="422">
        <v>10</v>
      </c>
    </row>
    <row hidden="true" r="43">
      <c r="A43" s="419" t="s">
        <v>598</v>
      </c>
      <c r="B43" s="428" t="s">
        <v>575</v>
      </c>
      <c r="C43" s="421" t="s">
        <v>576</v>
      </c>
      <c r="D43" s="422">
        <v>5</v>
      </c>
      <c r="E43" s="423">
        <v>20</v>
      </c>
      <c r="F43" s="422">
        <v>170</v>
      </c>
      <c r="G43" s="422">
        <v>98</v>
      </c>
      <c r="H43" s="424">
        <v>32207.800000000003</v>
      </c>
      <c r="I43" s="424">
        <v>35316.72000000001</v>
      </c>
      <c r="J43" s="425">
        <f t="shared" si="2"/>
      </c>
      <c r="K43" s="425">
        <f t="shared" si="4"/>
      </c>
      <c r="L43" s="426">
        <f t="shared" si="0"/>
      </c>
      <c r="M43" s="427">
        <f t="shared" si="3"/>
      </c>
      <c r="N43" s="423">
        <v>15</v>
      </c>
      <c r="O43" s="427">
        <f t="shared" si="1"/>
      </c>
      <c r="P43" s="422"/>
      <c r="Q43" s="422"/>
    </row>
    <row hidden="true" r="44">
      <c r="A44" s="419" t="s">
        <v>598</v>
      </c>
      <c r="B44" s="428" t="s">
        <v>579</v>
      </c>
      <c r="C44" s="421" t="s">
        <v>578</v>
      </c>
      <c r="D44" s="422">
        <v>5</v>
      </c>
      <c r="E44" s="423">
        <v>20</v>
      </c>
      <c r="F44" s="422">
        <v>159</v>
      </c>
      <c r="G44" s="422">
        <v>103</v>
      </c>
      <c r="H44" s="422">
        <v>37213.7</v>
      </c>
      <c r="I44" s="424">
        <v>38163.259999999995</v>
      </c>
      <c r="J44" s="425">
        <f t="shared" si="2"/>
      </c>
      <c r="K44" s="425">
        <f t="shared" si="4"/>
      </c>
      <c r="L44" s="426">
        <f t="shared" si="0"/>
      </c>
      <c r="M44" s="427">
        <f t="shared" si="3"/>
      </c>
      <c r="N44" s="423">
        <v>16</v>
      </c>
      <c r="O44" s="427">
        <f t="shared" si="1"/>
      </c>
      <c r="P44" s="422"/>
      <c r="Q44" s="422"/>
    </row>
    <row hidden="true" r="45">
      <c r="A45" s="419" t="s">
        <v>598</v>
      </c>
      <c r="B45" s="428" t="s">
        <v>572</v>
      </c>
      <c r="C45" s="421" t="s">
        <v>580</v>
      </c>
      <c r="D45" s="422">
        <v>5</v>
      </c>
      <c r="E45" s="423">
        <v>10</v>
      </c>
      <c r="F45" s="422">
        <v>112</v>
      </c>
      <c r="G45" s="422">
        <v>73</v>
      </c>
      <c r="H45" s="429">
        <v>25301.40000000001</v>
      </c>
      <c r="I45" s="429">
        <v>21757.35</v>
      </c>
      <c r="J45" s="425">
        <f t="shared" si="2"/>
      </c>
      <c r="K45" s="425">
        <f t="shared" si="4"/>
      </c>
      <c r="L45" s="426">
        <f t="shared" si="0"/>
      </c>
      <c r="M45" s="427">
        <f t="shared" si="3"/>
      </c>
      <c r="N45" s="423">
        <v>19</v>
      </c>
      <c r="O45" s="427">
        <f t="shared" si="1"/>
      </c>
      <c r="P45" s="422" t="s">
        <v>593</v>
      </c>
      <c r="Q45" s="422">
        <v>10</v>
      </c>
    </row>
    <row hidden="true" r="46">
      <c r="A46" s="438" t="s">
        <v>598</v>
      </c>
      <c r="B46" s="439" t="s">
        <v>582</v>
      </c>
      <c r="C46" s="433"/>
      <c r="D46" s="433">
        <f>SUM(D42:D45)</f>
      </c>
      <c r="E46" s="433">
        <f>SUM(E42:E45)</f>
      </c>
      <c r="F46" s="433">
        <f>SUM(F42:F45)</f>
      </c>
      <c r="G46" s="433">
        <f>SUM(G42:G45)</f>
      </c>
      <c r="H46" s="433">
        <f>SUM(H42:H45)</f>
      </c>
      <c r="I46" s="433">
        <f>SUM(I42:I45)</f>
      </c>
      <c r="J46" s="434">
        <f t="shared" si="2"/>
      </c>
      <c r="K46" s="435">
        <f t="shared" si="4"/>
      </c>
      <c r="L46" s="435">
        <f t="shared" si="0"/>
      </c>
      <c r="M46" s="436">
        <f t="shared" si="3"/>
      </c>
      <c r="N46" s="433">
        <f>SUM(N42:N45)</f>
      </c>
      <c r="O46" s="436">
        <f t="shared" si="1"/>
      </c>
      <c r="P46" s="437"/>
      <c r="Q46" s="433">
        <f>SUM(Q42:Q45)</f>
      </c>
    </row>
    <row hidden="true" r="47">
      <c r="A47" s="419" t="s">
        <v>599</v>
      </c>
      <c r="B47" s="428" t="s">
        <v>584</v>
      </c>
      <c r="C47" s="421" t="s">
        <v>573</v>
      </c>
      <c r="D47" s="422">
        <v>5</v>
      </c>
      <c r="E47" s="423">
        <v>16</v>
      </c>
      <c r="F47" s="422">
        <v>164</v>
      </c>
      <c r="G47" s="422">
        <v>104</v>
      </c>
      <c r="H47" s="422">
        <v>32767.2</v>
      </c>
      <c r="I47" s="424">
        <v>31625.359999999997</v>
      </c>
      <c r="J47" s="425">
        <f t="shared" si="2"/>
      </c>
      <c r="K47" s="425">
        <f t="shared" si="4"/>
      </c>
      <c r="L47" s="426">
        <f t="shared" si="0"/>
      </c>
      <c r="M47" s="427">
        <f t="shared" si="3"/>
      </c>
      <c r="N47" s="423">
        <v>20</v>
      </c>
      <c r="O47" s="427">
        <f t="shared" si="1"/>
      </c>
      <c r="P47" s="422" t="s">
        <v>589</v>
      </c>
      <c r="Q47" s="422">
        <v>10</v>
      </c>
    </row>
    <row hidden="true" r="48">
      <c r="A48" s="419" t="s">
        <v>599</v>
      </c>
      <c r="B48" s="428" t="s">
        <v>575</v>
      </c>
      <c r="C48" s="421" t="s">
        <v>576</v>
      </c>
      <c r="D48" s="422">
        <v>5</v>
      </c>
      <c r="E48" s="423">
        <v>14</v>
      </c>
      <c r="F48" s="422">
        <v>170</v>
      </c>
      <c r="G48" s="422">
        <v>99</v>
      </c>
      <c r="H48" s="424">
        <v>38502.399999999994</v>
      </c>
      <c r="I48" s="424">
        <v>33889.119999999995</v>
      </c>
      <c r="J48" s="425">
        <f t="shared" si="2"/>
      </c>
      <c r="K48" s="425">
        <f t="shared" si="4"/>
      </c>
      <c r="L48" s="426">
        <f t="shared" si="0"/>
      </c>
      <c r="M48" s="427">
        <f t="shared" si="3"/>
      </c>
      <c r="N48" s="423">
        <v>11</v>
      </c>
      <c r="O48" s="427">
        <f t="shared" si="1"/>
      </c>
      <c r="P48" s="422"/>
      <c r="Q48" s="422"/>
    </row>
    <row hidden="true" r="49">
      <c r="A49" s="419" t="s">
        <v>599</v>
      </c>
      <c r="B49" s="428" t="s">
        <v>579</v>
      </c>
      <c r="C49" s="421" t="s">
        <v>578</v>
      </c>
      <c r="D49" s="422">
        <v>5</v>
      </c>
      <c r="E49" s="423">
        <v>24</v>
      </c>
      <c r="F49" s="422">
        <v>143</v>
      </c>
      <c r="G49" s="422">
        <v>93</v>
      </c>
      <c r="H49" s="422">
        <v>31915.199999999997</v>
      </c>
      <c r="I49" s="424">
        <v>27679.76000000001</v>
      </c>
      <c r="J49" s="425">
        <f t="shared" si="2"/>
      </c>
      <c r="K49" s="425">
        <f t="shared" si="4"/>
      </c>
      <c r="L49" s="426">
        <f t="shared" si="0"/>
      </c>
      <c r="M49" s="427">
        <f t="shared" si="3"/>
      </c>
      <c r="N49" s="423">
        <v>15</v>
      </c>
      <c r="O49" s="427">
        <f t="shared" si="1"/>
      </c>
      <c r="P49" s="422"/>
      <c r="Q49" s="422"/>
    </row>
    <row hidden="true" r="50">
      <c r="A50" s="419" t="s">
        <v>599</v>
      </c>
      <c r="B50" s="428" t="s">
        <v>572</v>
      </c>
      <c r="C50" s="421" t="s">
        <v>580</v>
      </c>
      <c r="D50" s="422">
        <v>5</v>
      </c>
      <c r="E50" s="423">
        <v>17</v>
      </c>
      <c r="F50" s="422">
        <v>134</v>
      </c>
      <c r="G50" s="422">
        <v>87</v>
      </c>
      <c r="H50" s="429">
        <v>34351.5</v>
      </c>
      <c r="I50" s="429">
        <v>25351.97</v>
      </c>
      <c r="J50" s="425">
        <f t="shared" si="2"/>
      </c>
      <c r="K50" s="425">
        <f t="shared" si="4"/>
      </c>
      <c r="L50" s="426">
        <f t="shared" si="0"/>
      </c>
      <c r="M50" s="427">
        <f t="shared" si="3"/>
      </c>
      <c r="N50" s="423">
        <v>19</v>
      </c>
      <c r="O50" s="427">
        <f t="shared" si="1"/>
      </c>
      <c r="P50" s="422" t="s">
        <v>600</v>
      </c>
      <c r="Q50" s="422">
        <v>10</v>
      </c>
    </row>
    <row hidden="true" r="51">
      <c r="A51" s="438" t="s">
        <v>599</v>
      </c>
      <c r="B51" s="439" t="s">
        <v>582</v>
      </c>
      <c r="C51" s="433"/>
      <c r="D51" s="433">
        <f>SUM(D47:D50)</f>
      </c>
      <c r="E51" s="433">
        <f>SUM(E47:E50)</f>
      </c>
      <c r="F51" s="433">
        <f>SUM(F47:F50)</f>
      </c>
      <c r="G51" s="433">
        <f>SUM(G47:G50)</f>
      </c>
      <c r="H51" s="433">
        <f>SUM(H47:H50)</f>
      </c>
      <c r="I51" s="433">
        <f>SUM(I47:I50)</f>
      </c>
      <c r="J51" s="434">
        <f t="shared" si="2"/>
      </c>
      <c r="K51" s="435">
        <f t="shared" si="4"/>
      </c>
      <c r="L51" s="435">
        <f t="shared" si="0"/>
      </c>
      <c r="M51" s="436">
        <f t="shared" si="3"/>
      </c>
      <c r="N51" s="433">
        <f>SUM(N47:N50)</f>
      </c>
      <c r="O51" s="436">
        <f t="shared" si="1"/>
      </c>
      <c r="P51" s="437"/>
      <c r="Q51" s="433">
        <f>SUM(Q47:Q50)</f>
      </c>
    </row>
    <row hidden="true" r="52">
      <c r="A52" s="419" t="s">
        <v>601</v>
      </c>
      <c r="B52" s="428" t="s">
        <v>584</v>
      </c>
      <c r="C52" s="421" t="s">
        <v>573</v>
      </c>
      <c r="D52" s="422">
        <v>5</v>
      </c>
      <c r="E52" s="423">
        <v>23</v>
      </c>
      <c r="F52" s="422">
        <v>138</v>
      </c>
      <c r="G52" s="422">
        <v>80</v>
      </c>
      <c r="H52" s="422">
        <v>27002</v>
      </c>
      <c r="I52" s="424">
        <v>26437.160000000003</v>
      </c>
      <c r="J52" s="425">
        <f t="shared" si="2"/>
      </c>
      <c r="K52" s="425">
        <f t="shared" si="4"/>
      </c>
      <c r="L52" s="426">
        <f t="shared" si="0"/>
      </c>
      <c r="M52" s="427">
        <f t="shared" si="3"/>
      </c>
      <c r="N52" s="423">
        <v>10</v>
      </c>
      <c r="O52" s="427">
        <f t="shared" si="1"/>
      </c>
      <c r="P52" s="422" t="s">
        <v>574</v>
      </c>
      <c r="Q52" s="422">
        <v>10</v>
      </c>
    </row>
    <row hidden="true" r="53">
      <c r="A53" s="419" t="s">
        <v>601</v>
      </c>
      <c r="B53" s="428" t="s">
        <v>579</v>
      </c>
      <c r="C53" s="421" t="s">
        <v>576</v>
      </c>
      <c r="D53" s="422">
        <v>5</v>
      </c>
      <c r="E53" s="423">
        <v>13</v>
      </c>
      <c r="F53" s="422">
        <v>127</v>
      </c>
      <c r="G53" s="422">
        <v>86</v>
      </c>
      <c r="H53" s="424">
        <v>31089.4</v>
      </c>
      <c r="I53" s="424">
        <v>25796.190000000002</v>
      </c>
      <c r="J53" s="425">
        <f t="shared" si="2"/>
      </c>
      <c r="K53" s="425">
        <f t="shared" si="4"/>
      </c>
      <c r="L53" s="426">
        <f t="shared" si="0"/>
      </c>
      <c r="M53" s="427">
        <f t="shared" si="3"/>
      </c>
      <c r="N53" s="423">
        <v>17</v>
      </c>
      <c r="O53" s="427">
        <f t="shared" si="1"/>
      </c>
      <c r="P53" s="422"/>
      <c r="Q53" s="422"/>
    </row>
    <row hidden="true" r="54">
      <c r="A54" s="419" t="s">
        <v>601</v>
      </c>
      <c r="B54" s="440" t="s">
        <v>577</v>
      </c>
      <c r="C54" s="421" t="s">
        <v>578</v>
      </c>
      <c r="D54" s="422">
        <v>5</v>
      </c>
      <c r="E54" s="423">
        <v>25</v>
      </c>
      <c r="F54" s="422">
        <v>196</v>
      </c>
      <c r="G54" s="422">
        <v>116</v>
      </c>
      <c r="H54" s="422">
        <v>35604.00000000001</v>
      </c>
      <c r="I54" s="424">
        <v>42827.57999999999</v>
      </c>
      <c r="J54" s="425">
        <f t="shared" si="2"/>
      </c>
      <c r="K54" s="425">
        <f t="shared" si="4"/>
      </c>
      <c r="L54" s="426">
        <f t="shared" si="0"/>
      </c>
      <c r="M54" s="427">
        <f t="shared" si="3"/>
      </c>
      <c r="N54" s="423">
        <v>9</v>
      </c>
      <c r="O54" s="427">
        <f t="shared" si="1"/>
      </c>
      <c r="P54" s="422"/>
      <c r="Q54" s="422"/>
    </row>
    <row hidden="true" r="55">
      <c r="A55" s="419" t="s">
        <v>601</v>
      </c>
      <c r="B55" s="428" t="s">
        <v>572</v>
      </c>
      <c r="C55" s="421" t="s">
        <v>580</v>
      </c>
      <c r="D55" s="422">
        <v>5</v>
      </c>
      <c r="E55" s="423">
        <v>16</v>
      </c>
      <c r="F55" s="422">
        <v>177</v>
      </c>
      <c r="G55" s="422">
        <v>119</v>
      </c>
      <c r="H55" s="429">
        <v>44201.7</v>
      </c>
      <c r="I55" s="429">
        <v>36007.70999999999</v>
      </c>
      <c r="J55" s="425">
        <f t="shared" si="2"/>
      </c>
      <c r="K55" s="425">
        <f t="shared" si="4"/>
      </c>
      <c r="L55" s="426">
        <f t="shared" si="0"/>
      </c>
      <c r="M55" s="427">
        <f t="shared" si="3"/>
      </c>
      <c r="N55" s="423">
        <v>27</v>
      </c>
      <c r="O55" s="427">
        <f t="shared" si="1"/>
      </c>
      <c r="P55" s="422" t="s">
        <v>600</v>
      </c>
      <c r="Q55" s="422">
        <v>10</v>
      </c>
    </row>
    <row hidden="true" r="56">
      <c r="A56" s="438" t="s">
        <v>601</v>
      </c>
      <c r="B56" s="439" t="s">
        <v>582</v>
      </c>
      <c r="C56" s="433"/>
      <c r="D56" s="433">
        <f>SUM(D52:D55)</f>
      </c>
      <c r="E56" s="433">
        <f>SUM(E52:E55)</f>
      </c>
      <c r="F56" s="433">
        <f>SUM(F52:F55)</f>
      </c>
      <c r="G56" s="433">
        <f>SUM(G52:G55)</f>
      </c>
      <c r="H56" s="433">
        <f>SUM(H52:H55)</f>
      </c>
      <c r="I56" s="433">
        <f>SUM(I52:I55)</f>
      </c>
      <c r="J56" s="434">
        <f t="shared" si="2"/>
      </c>
      <c r="K56" s="435">
        <f t="shared" si="4"/>
      </c>
      <c r="L56" s="435">
        <f t="shared" si="0"/>
      </c>
      <c r="M56" s="436">
        <f t="shared" si="3"/>
      </c>
      <c r="N56" s="433">
        <f>SUM(N52:N55)</f>
      </c>
      <c r="O56" s="436">
        <f t="shared" si="1"/>
      </c>
      <c r="P56" s="437"/>
      <c r="Q56" s="433">
        <f>SUM(Q52:Q55)</f>
      </c>
    </row>
    <row r="57">
      <c r="A57" s="419" t="s">
        <v>602</v>
      </c>
      <c r="B57" s="428" t="s">
        <v>584</v>
      </c>
      <c r="C57" s="421" t="s">
        <v>573</v>
      </c>
      <c r="D57" s="422">
        <v>5</v>
      </c>
      <c r="E57" s="423">
        <v>18</v>
      </c>
      <c r="F57" s="422">
        <v>155</v>
      </c>
      <c r="G57" s="422">
        <v>95</v>
      </c>
      <c r="H57" s="422">
        <v>35121.6</v>
      </c>
      <c r="I57" s="424">
        <v>29846.41</v>
      </c>
      <c r="J57" s="425">
        <f t="shared" si="2"/>
      </c>
      <c r="K57" s="425">
        <f t="shared" si="4"/>
      </c>
      <c r="L57" s="426">
        <f t="shared" si="0"/>
      </c>
      <c r="M57" s="427">
        <f t="shared" si="3"/>
      </c>
      <c r="N57" s="423">
        <v>16</v>
      </c>
      <c r="O57" s="427">
        <f t="shared" si="1"/>
      </c>
      <c r="P57" s="422" t="s">
        <v>574</v>
      </c>
      <c r="Q57" s="422">
        <v>10</v>
      </c>
    </row>
    <row r="58">
      <c r="A58" s="419" t="s">
        <v>602</v>
      </c>
      <c r="B58" s="428" t="s">
        <v>575</v>
      </c>
      <c r="C58" s="421" t="s">
        <v>576</v>
      </c>
      <c r="D58" s="422">
        <v>5</v>
      </c>
      <c r="E58" s="423">
        <v>16</v>
      </c>
      <c r="F58" s="422">
        <v>142</v>
      </c>
      <c r="G58" s="422">
        <v>90</v>
      </c>
      <c r="H58" s="424">
        <v>30511.6</v>
      </c>
      <c r="I58" s="424">
        <v>29043.890000000003</v>
      </c>
      <c r="J58" s="425">
        <f t="shared" si="2"/>
      </c>
      <c r="K58" s="425">
        <f t="shared" si="4"/>
      </c>
      <c r="L58" s="426">
        <f t="shared" si="0"/>
      </c>
      <c r="M58" s="427">
        <f t="shared" si="3"/>
      </c>
      <c r="N58" s="423">
        <v>14</v>
      </c>
      <c r="O58" s="427">
        <f t="shared" si="1"/>
      </c>
      <c r="P58" s="422"/>
      <c r="Q58" s="422"/>
    </row>
    <row r="59">
      <c r="A59" s="419" t="s">
        <v>602</v>
      </c>
      <c r="B59" s="428" t="s">
        <v>572</v>
      </c>
      <c r="C59" s="421" t="s">
        <v>578</v>
      </c>
      <c r="D59" s="422">
        <v>5</v>
      </c>
      <c r="E59" s="423">
        <v>12</v>
      </c>
      <c r="F59" s="422">
        <v>146</v>
      </c>
      <c r="G59" s="422">
        <v>97</v>
      </c>
      <c r="H59" s="422">
        <v>31630.499999999985</v>
      </c>
      <c r="I59" s="424">
        <v>34174.2</v>
      </c>
      <c r="J59" s="425">
        <f t="shared" si="2"/>
      </c>
      <c r="K59" s="425">
        <f t="shared" si="4"/>
      </c>
      <c r="L59" s="426">
        <f t="shared" si="0"/>
      </c>
      <c r="M59" s="427">
        <f t="shared" si="3"/>
      </c>
      <c r="N59" s="423">
        <v>13</v>
      </c>
      <c r="O59" s="427">
        <f t="shared" si="1"/>
      </c>
      <c r="P59" s="422"/>
      <c r="Q59" s="422"/>
    </row>
    <row r="60">
      <c r="A60" s="419" t="s">
        <v>602</v>
      </c>
      <c r="B60" s="440" t="s">
        <v>577</v>
      </c>
      <c r="C60" s="421" t="s">
        <v>580</v>
      </c>
      <c r="D60" s="422">
        <v>5</v>
      </c>
      <c r="E60" s="423">
        <v>13</v>
      </c>
      <c r="F60" s="422">
        <v>163</v>
      </c>
      <c r="G60" s="422">
        <v>102</v>
      </c>
      <c r="H60" s="429">
        <v>39201.600000000006</v>
      </c>
      <c r="I60" s="429">
        <v>41033.56000000003</v>
      </c>
      <c r="J60" s="425">
        <f t="shared" si="2"/>
      </c>
      <c r="K60" s="425">
        <f t="shared" si="4"/>
      </c>
      <c r="L60" s="426">
        <f t="shared" si="0"/>
      </c>
      <c r="M60" s="427">
        <f t="shared" si="3"/>
      </c>
      <c r="N60" s="423">
        <v>20</v>
      </c>
      <c r="O60" s="427">
        <f t="shared" si="1"/>
      </c>
      <c r="P60" s="422" t="s">
        <v>600</v>
      </c>
      <c r="Q60" s="422">
        <v>10</v>
      </c>
    </row>
    <row r="61">
      <c r="A61" s="438" t="s">
        <v>602</v>
      </c>
      <c r="B61" s="439" t="s">
        <v>582</v>
      </c>
      <c r="C61" s="433"/>
      <c r="D61" s="433">
        <f>SUM(D57:D60)</f>
      </c>
      <c r="E61" s="433">
        <f>SUM(E57:E60)</f>
      </c>
      <c r="F61" s="433">
        <f>SUM(F57:F60)</f>
      </c>
      <c r="G61" s="433">
        <f>SUM(G57:G60)</f>
      </c>
      <c r="H61" s="433">
        <f>SUM(H57:H60)</f>
      </c>
      <c r="I61" s="433">
        <f>SUM(I57:I60)</f>
      </c>
      <c r="J61" s="434">
        <f t="shared" si="2"/>
      </c>
      <c r="K61" s="435">
        <f t="shared" si="4"/>
      </c>
      <c r="L61" s="435">
        <f t="shared" si="0"/>
      </c>
      <c r="M61" s="436">
        <f t="shared" si="3"/>
      </c>
      <c r="N61" s="433">
        <f>SUM(N57:N60)</f>
      </c>
      <c r="O61" s="436">
        <f t="shared" si="1"/>
      </c>
      <c r="P61" s="437"/>
      <c r="Q61" s="433">
        <f>SUM(Q57:Q60)</f>
      </c>
    </row>
    <row r="62">
      <c r="A62" s="419" t="s">
        <v>603</v>
      </c>
      <c r="B62" s="428" t="s">
        <v>584</v>
      </c>
      <c r="C62" s="421" t="s">
        <v>573</v>
      </c>
      <c r="D62" s="422">
        <v>5</v>
      </c>
      <c r="E62" s="423">
        <v>19</v>
      </c>
      <c r="F62" s="422">
        <v>186</v>
      </c>
      <c r="G62" s="422">
        <v>117</v>
      </c>
      <c r="H62" s="422">
        <v>38202.3</v>
      </c>
      <c r="I62" s="424">
        <v>36066.78</v>
      </c>
      <c r="J62" s="425">
        <f t="shared" si="2"/>
      </c>
      <c r="K62" s="425">
        <f t="shared" si="4"/>
      </c>
      <c r="L62" s="426">
        <f t="shared" si="0"/>
      </c>
      <c r="M62" s="427">
        <f t="shared" si="3"/>
      </c>
      <c r="N62" s="423">
        <v>27</v>
      </c>
      <c r="O62" s="427">
        <f t="shared" si="1"/>
      </c>
      <c r="P62" s="422" t="s">
        <v>574</v>
      </c>
      <c r="Q62" s="422">
        <v>10</v>
      </c>
    </row>
    <row r="63">
      <c r="A63" s="419" t="s">
        <v>603</v>
      </c>
      <c r="B63" s="428" t="s">
        <v>575</v>
      </c>
      <c r="C63" s="421" t="s">
        <v>576</v>
      </c>
      <c r="D63" s="422">
        <v>5</v>
      </c>
      <c r="E63" s="423">
        <v>24</v>
      </c>
      <c r="F63" s="422">
        <v>170</v>
      </c>
      <c r="G63" s="422">
        <v>102</v>
      </c>
      <c r="H63" s="424">
        <v>32457</v>
      </c>
      <c r="I63" s="424">
        <v>37144.42</v>
      </c>
      <c r="J63" s="425">
        <f t="shared" si="2"/>
      </c>
      <c r="K63" s="425">
        <f t="shared" si="4"/>
      </c>
      <c r="L63" s="426">
        <f t="shared" si="0"/>
      </c>
      <c r="M63" s="427">
        <f t="shared" si="3"/>
      </c>
      <c r="N63" s="423">
        <v>14</v>
      </c>
      <c r="O63" s="427">
        <f t="shared" si="1"/>
      </c>
      <c r="P63" s="422"/>
      <c r="Q63" s="422"/>
    </row>
    <row r="64">
      <c r="A64" s="419" t="s">
        <v>603</v>
      </c>
      <c r="B64" s="428" t="s">
        <v>579</v>
      </c>
      <c r="C64" s="421" t="s">
        <v>578</v>
      </c>
      <c r="D64" s="422">
        <v>5</v>
      </c>
      <c r="E64" s="423">
        <v>10</v>
      </c>
      <c r="F64" s="422">
        <v>115</v>
      </c>
      <c r="G64" s="422">
        <v>67</v>
      </c>
      <c r="H64" s="422">
        <v>27317.09999999999</v>
      </c>
      <c r="I64" s="424">
        <v>35798.66</v>
      </c>
      <c r="J64" s="425">
        <f t="shared" si="2"/>
      </c>
      <c r="K64" s="425">
        <f t="shared" si="4"/>
      </c>
      <c r="L64" s="426">
        <f t="shared" si="0"/>
      </c>
      <c r="M64" s="427">
        <f t="shared" si="3"/>
      </c>
      <c r="N64" s="423">
        <v>10</v>
      </c>
      <c r="O64" s="427">
        <f t="shared" si="1"/>
      </c>
      <c r="P64" s="422"/>
      <c r="Q64" s="422"/>
    </row>
    <row r="65">
      <c r="A65" s="419" t="s">
        <v>603</v>
      </c>
      <c r="B65" s="428" t="s">
        <v>572</v>
      </c>
      <c r="C65" s="421" t="s">
        <v>580</v>
      </c>
      <c r="D65" s="422">
        <v>5</v>
      </c>
      <c r="E65" s="423">
        <v>7</v>
      </c>
      <c r="F65" s="422">
        <v>105</v>
      </c>
      <c r="G65" s="422">
        <v>69</v>
      </c>
      <c r="H65" s="429">
        <v>28790.600000000006</v>
      </c>
      <c r="I65" s="429">
        <v>22062.37000000001</v>
      </c>
      <c r="J65" s="425">
        <f t="shared" si="2"/>
      </c>
      <c r="K65" s="425">
        <f t="shared" si="4"/>
      </c>
      <c r="L65" s="426">
        <f t="shared" si="0"/>
      </c>
      <c r="M65" s="427">
        <f t="shared" si="3"/>
      </c>
      <c r="N65" s="423">
        <v>13</v>
      </c>
      <c r="O65" s="427">
        <f t="shared" si="1"/>
      </c>
      <c r="P65" s="422" t="s">
        <v>604</v>
      </c>
      <c r="Q65" s="422">
        <v>10</v>
      </c>
    </row>
    <row r="66">
      <c r="A66" s="438" t="s">
        <v>603</v>
      </c>
      <c r="B66" s="439" t="s">
        <v>582</v>
      </c>
      <c r="C66" s="433"/>
      <c r="D66" s="433">
        <f>SUM(D62:D65)</f>
      </c>
      <c r="E66" s="433">
        <f>SUM(E62:E65)</f>
      </c>
      <c r="F66" s="433">
        <f>SUM(F62:F65)</f>
      </c>
      <c r="G66" s="433">
        <f>SUM(G62:G65)</f>
      </c>
      <c r="H66" s="433">
        <f>SUM(H62:H65)</f>
      </c>
      <c r="I66" s="433">
        <f>SUM(I62:I65)</f>
      </c>
      <c r="J66" s="434">
        <f t="shared" si="2"/>
      </c>
      <c r="K66" s="435">
        <f t="shared" si="4"/>
      </c>
      <c r="L66" s="435">
        <f t="shared" si="0"/>
      </c>
      <c r="M66" s="436">
        <f t="shared" si="3"/>
      </c>
      <c r="N66" s="433">
        <f>SUM(N62:N65)</f>
      </c>
      <c r="O66" s="436">
        <f t="shared" si="1"/>
      </c>
      <c r="P66" s="437"/>
      <c r="Q66" s="433">
        <f>SUM(Q62:Q65)</f>
      </c>
      <c r="R66" s="441"/>
    </row>
    <row r="67">
      <c r="A67" s="419" t="s">
        <v>605</v>
      </c>
      <c r="B67" s="428" t="s">
        <v>584</v>
      </c>
      <c r="C67" s="421" t="s">
        <v>573</v>
      </c>
      <c r="D67" s="422">
        <v>5</v>
      </c>
      <c r="E67" s="423">
        <v>9</v>
      </c>
      <c r="F67" s="422">
        <v>168</v>
      </c>
      <c r="G67" s="422">
        <v>101</v>
      </c>
      <c r="H67" s="422">
        <v>32667.5</v>
      </c>
      <c r="I67" s="424">
        <v>37274.479999999996</v>
      </c>
      <c r="J67" s="425">
        <f t="shared" si="2"/>
      </c>
      <c r="K67" s="425">
        <f t="shared" si="4"/>
      </c>
      <c r="L67" s="426">
        <f t="shared" si="0"/>
      </c>
      <c r="M67" s="427">
        <f t="shared" si="3"/>
      </c>
      <c r="N67" s="423">
        <v>9</v>
      </c>
      <c r="O67" s="427">
        <f t="shared" si="1"/>
      </c>
      <c r="P67" s="422" t="s">
        <v>574</v>
      </c>
      <c r="Q67" s="422">
        <v>10</v>
      </c>
    </row>
    <row r="68">
      <c r="A68" s="419" t="s">
        <v>605</v>
      </c>
      <c r="B68" s="428" t="s">
        <v>575</v>
      </c>
      <c r="C68" s="421" t="s">
        <v>576</v>
      </c>
      <c r="D68" s="422">
        <v>5</v>
      </c>
      <c r="E68" s="423">
        <v>16</v>
      </c>
      <c r="F68" s="422">
        <v>192</v>
      </c>
      <c r="G68" s="422">
        <v>115</v>
      </c>
      <c r="H68" s="424">
        <v>40920.2</v>
      </c>
      <c r="I68" s="424">
        <v>38187.14</v>
      </c>
      <c r="J68" s="425">
        <f t="shared" si="2"/>
      </c>
      <c r="K68" s="425">
        <f t="shared" si="4"/>
      </c>
      <c r="L68" s="426">
        <f t="shared" si="0"/>
      </c>
      <c r="M68" s="427">
        <f t="shared" si="3"/>
      </c>
      <c r="N68" s="423">
        <v>9</v>
      </c>
      <c r="O68" s="427">
        <f t="shared" si="1"/>
      </c>
      <c r="P68" s="422"/>
      <c r="Q68" s="422"/>
    </row>
    <row r="69">
      <c r="A69" s="419" t="s">
        <v>605</v>
      </c>
      <c r="B69" s="428" t="s">
        <v>579</v>
      </c>
      <c r="C69" s="421" t="s">
        <v>578</v>
      </c>
      <c r="D69" s="422">
        <v>5</v>
      </c>
      <c r="E69" s="423">
        <v>13</v>
      </c>
      <c r="F69" s="422">
        <v>152</v>
      </c>
      <c r="G69" s="422">
        <v>96</v>
      </c>
      <c r="H69" s="422">
        <v>31240.5</v>
      </c>
      <c r="I69" s="424">
        <v>42060.40000000002</v>
      </c>
      <c r="J69" s="425">
        <f t="shared" si="2"/>
      </c>
      <c r="K69" s="425">
        <f t="shared" si="4"/>
      </c>
      <c r="L69" s="426">
        <f t="shared" si="0"/>
      </c>
      <c r="M69" s="427">
        <f t="shared" si="3"/>
      </c>
      <c r="N69" s="423">
        <v>17</v>
      </c>
      <c r="O69" s="427">
        <f t="shared" si="1"/>
      </c>
      <c r="P69" s="422"/>
      <c r="Q69" s="422"/>
    </row>
    <row r="70">
      <c r="A70" s="419" t="s">
        <v>605</v>
      </c>
      <c r="B70" s="428" t="s">
        <v>572</v>
      </c>
      <c r="C70" s="421" t="s">
        <v>580</v>
      </c>
      <c r="D70" s="422">
        <v>5</v>
      </c>
      <c r="E70" s="423">
        <v>14</v>
      </c>
      <c r="F70" s="422">
        <v>156</v>
      </c>
      <c r="G70" s="422">
        <v>93</v>
      </c>
      <c r="H70" s="429">
        <v>35405.3</v>
      </c>
      <c r="I70" s="429">
        <v>31187.609999999957</v>
      </c>
      <c r="J70" s="425">
        <f t="shared" si="2"/>
      </c>
      <c r="K70" s="425">
        <f t="shared" si="4"/>
      </c>
      <c r="L70" s="426">
        <f t="shared" si="0"/>
      </c>
      <c r="M70" s="427">
        <f t="shared" si="3"/>
      </c>
      <c r="N70" s="423">
        <v>14</v>
      </c>
      <c r="O70" s="427">
        <f t="shared" si="1"/>
      </c>
      <c r="P70" s="422" t="s">
        <v>600</v>
      </c>
      <c r="Q70" s="422">
        <v>10</v>
      </c>
    </row>
    <row r="71">
      <c r="A71" s="438" t="s">
        <v>605</v>
      </c>
      <c r="B71" s="439" t="s">
        <v>582</v>
      </c>
      <c r="C71" s="433"/>
      <c r="D71" s="433">
        <f>SUM(D67:D70)</f>
      </c>
      <c r="E71" s="433">
        <f>SUM(E67:E70)</f>
      </c>
      <c r="F71" s="433">
        <f>SUM(F67:F70)</f>
      </c>
      <c r="G71" s="433">
        <f>SUM(G67:G70)</f>
      </c>
      <c r="H71" s="433">
        <f>SUM(H67:H70)</f>
      </c>
      <c r="I71" s="433">
        <f>SUM(I67:I70)</f>
      </c>
      <c r="J71" s="434">
        <f t="shared" si="2"/>
      </c>
      <c r="K71" s="435">
        <f t="shared" si="4"/>
      </c>
      <c r="L71" s="435">
        <f t="shared" si="0"/>
      </c>
      <c r="M71" s="436">
        <f t="shared" si="3"/>
      </c>
      <c r="N71" s="433">
        <f>SUM(N67:N70)</f>
      </c>
      <c r="O71" s="436">
        <f t="shared" si="1"/>
      </c>
      <c r="P71" s="437"/>
      <c r="Q71" s="433">
        <f>SUM(Q67:Q70)</f>
      </c>
      <c r="R71" s="441"/>
    </row>
    <row r="72">
      <c r="A72" s="419" t="s">
        <v>606</v>
      </c>
      <c r="B72" s="428" t="s">
        <v>584</v>
      </c>
      <c r="C72" s="421" t="s">
        <v>573</v>
      </c>
      <c r="D72" s="422">
        <v>5</v>
      </c>
      <c r="E72" s="423">
        <v>14</v>
      </c>
      <c r="F72" s="422">
        <v>144</v>
      </c>
      <c r="G72" s="422">
        <v>90</v>
      </c>
      <c r="H72" s="422">
        <v>31294.2</v>
      </c>
      <c r="I72" s="424">
        <v>28856.899999999998</v>
      </c>
      <c r="J72" s="425">
        <f t="shared" si="2"/>
      </c>
      <c r="K72" s="425">
        <f t="shared" si="4"/>
      </c>
      <c r="L72" s="426">
        <f t="shared" si="0"/>
      </c>
      <c r="M72" s="427">
        <f t="shared" si="3"/>
      </c>
      <c r="N72" s="423">
        <v>9</v>
      </c>
      <c r="O72" s="427">
        <f t="shared" si="1"/>
      </c>
      <c r="P72" s="422" t="s">
        <v>574</v>
      </c>
      <c r="Q72" s="422">
        <v>10</v>
      </c>
    </row>
    <row r="73">
      <c r="A73" s="419" t="s">
        <v>606</v>
      </c>
      <c r="B73" s="440" t="s">
        <v>577</v>
      </c>
      <c r="C73" s="421" t="s">
        <v>576</v>
      </c>
      <c r="D73" s="422">
        <v>5</v>
      </c>
      <c r="E73" s="423">
        <v>15</v>
      </c>
      <c r="F73" s="422">
        <v>147</v>
      </c>
      <c r="G73" s="422">
        <v>89</v>
      </c>
      <c r="H73" s="424">
        <v>29446.099999999995</v>
      </c>
      <c r="I73" s="424">
        <v>31606.56</v>
      </c>
      <c r="J73" s="425">
        <f t="shared" si="2"/>
      </c>
      <c r="K73" s="425">
        <f t="shared" si="4"/>
      </c>
      <c r="L73" s="426">
        <f t="shared" si="0"/>
      </c>
      <c r="M73" s="427">
        <f t="shared" si="3"/>
      </c>
      <c r="N73" s="423">
        <v>11</v>
      </c>
      <c r="O73" s="427">
        <f t="shared" si="1"/>
      </c>
      <c r="P73" s="422"/>
      <c r="Q73" s="422"/>
    </row>
    <row r="74">
      <c r="A74" s="419" t="s">
        <v>606</v>
      </c>
      <c r="B74" s="428" t="s">
        <v>572</v>
      </c>
      <c r="C74" s="421" t="s">
        <v>578</v>
      </c>
      <c r="D74" s="422">
        <v>5</v>
      </c>
      <c r="E74" s="423">
        <v>18</v>
      </c>
      <c r="F74" s="422">
        <v>226</v>
      </c>
      <c r="G74" s="422">
        <v>130</v>
      </c>
      <c r="H74" s="422">
        <v>44030.99999999999</v>
      </c>
      <c r="I74" s="424">
        <v>43743.52</v>
      </c>
      <c r="J74" s="425">
        <f t="shared" si="2"/>
      </c>
      <c r="K74" s="425">
        <f t="shared" si="4"/>
      </c>
      <c r="L74" s="426">
        <f t="shared" si="0"/>
      </c>
      <c r="M74" s="427">
        <f t="shared" si="3"/>
      </c>
      <c r="N74" s="423">
        <v>19</v>
      </c>
      <c r="O74" s="427">
        <f t="shared" si="1"/>
      </c>
      <c r="P74" s="422"/>
      <c r="Q74" s="422"/>
    </row>
    <row r="75">
      <c r="A75" s="419" t="s">
        <v>606</v>
      </c>
      <c r="B75" s="428" t="s">
        <v>575</v>
      </c>
      <c r="C75" s="421" t="s">
        <v>580</v>
      </c>
      <c r="D75" s="422">
        <v>5</v>
      </c>
      <c r="E75" s="423">
        <v>29</v>
      </c>
      <c r="F75" s="422">
        <v>248</v>
      </c>
      <c r="G75" s="422">
        <v>159</v>
      </c>
      <c r="H75" s="429">
        <v>56004.80000000002</v>
      </c>
      <c r="I75" s="429">
        <v>52373.95</v>
      </c>
      <c r="J75" s="425">
        <f t="shared" si="2"/>
      </c>
      <c r="K75" s="425">
        <f t="shared" si="4"/>
      </c>
      <c r="L75" s="426">
        <f t="shared" si="0"/>
      </c>
      <c r="M75" s="427">
        <f t="shared" si="3"/>
      </c>
      <c r="N75" s="423">
        <v>23</v>
      </c>
      <c r="O75" s="427">
        <f t="shared" si="1"/>
      </c>
      <c r="P75" s="422" t="s">
        <v>600</v>
      </c>
      <c r="Q75" s="422">
        <v>10</v>
      </c>
    </row>
    <row r="76">
      <c r="A76" s="438" t="s">
        <v>606</v>
      </c>
      <c r="B76" s="439" t="s">
        <v>582</v>
      </c>
      <c r="C76" s="433"/>
      <c r="D76" s="433">
        <f>SUM(D72:D75)</f>
      </c>
      <c r="E76" s="433">
        <f>SUM(E72:E75)</f>
      </c>
      <c r="F76" s="433">
        <f>SUM(F72:F75)</f>
      </c>
      <c r="G76" s="433">
        <f>SUM(G72:G75)</f>
      </c>
      <c r="H76" s="433">
        <f>SUM(H72:H75)</f>
      </c>
      <c r="I76" s="433">
        <f>SUM(I72:I75)</f>
      </c>
      <c r="J76" s="434">
        <f t="shared" si="2"/>
      </c>
      <c r="K76" s="435">
        <f t="shared" si="4"/>
      </c>
      <c r="L76" s="435">
        <f t="shared" si="0"/>
      </c>
      <c r="M76" s="436">
        <f t="shared" si="3"/>
      </c>
      <c r="N76" s="433">
        <f>SUM(N72:N75)</f>
      </c>
      <c r="O76" s="436">
        <f t="shared" si="1"/>
      </c>
      <c r="P76" s="437"/>
      <c r="Q76" s="433">
        <f>SUM(Q72:Q75)</f>
      </c>
    </row>
    <row r="77">
      <c r="A77" s="419" t="s">
        <v>607</v>
      </c>
      <c r="B77" s="428" t="s">
        <v>584</v>
      </c>
      <c r="C77" s="421" t="s">
        <v>573</v>
      </c>
      <c r="D77" s="422">
        <v>5</v>
      </c>
      <c r="E77" s="423">
        <v>7</v>
      </c>
      <c r="F77" s="422">
        <v>91</v>
      </c>
      <c r="G77" s="422">
        <v>54</v>
      </c>
      <c r="H77" s="422">
        <v>20264</v>
      </c>
      <c r="I77" s="424">
        <v>27097.64</v>
      </c>
      <c r="J77" s="425">
        <f t="shared" si="2"/>
      </c>
      <c r="K77" s="425">
        <f t="shared" si="4"/>
      </c>
      <c r="L77" s="426">
        <f t="shared" si="0"/>
      </c>
      <c r="M77" s="427">
        <f t="shared" si="3"/>
      </c>
      <c r="N77" s="423">
        <v>4</v>
      </c>
      <c r="O77" s="427">
        <f t="shared" si="1"/>
      </c>
      <c r="P77" s="422" t="s">
        <v>574</v>
      </c>
      <c r="Q77" s="422">
        <v>10</v>
      </c>
    </row>
    <row r="78">
      <c r="A78" s="419" t="s">
        <v>607</v>
      </c>
      <c r="B78" s="440" t="s">
        <v>579</v>
      </c>
      <c r="C78" s="421" t="s">
        <v>576</v>
      </c>
      <c r="D78" s="422">
        <v>5</v>
      </c>
      <c r="E78" s="423">
        <v>13</v>
      </c>
      <c r="F78" s="422">
        <v>102</v>
      </c>
      <c r="G78" s="422">
        <v>73</v>
      </c>
      <c r="H78" s="424">
        <v>23827.699999999997</v>
      </c>
      <c r="I78" s="424">
        <v>21180.65000000001</v>
      </c>
      <c r="J78" s="425">
        <f t="shared" si="2"/>
      </c>
      <c r="K78" s="425">
        <f t="shared" si="4"/>
      </c>
      <c r="L78" s="426">
        <f t="shared" si="0"/>
      </c>
      <c r="M78" s="427">
        <f t="shared" si="3"/>
      </c>
      <c r="N78" s="423">
        <v>12</v>
      </c>
      <c r="O78" s="427">
        <f t="shared" si="1"/>
      </c>
      <c r="P78" s="422"/>
      <c r="Q78" s="422"/>
    </row>
    <row r="79">
      <c r="A79" s="419" t="s">
        <v>607</v>
      </c>
      <c r="B79" s="428" t="s">
        <v>575</v>
      </c>
      <c r="C79" s="421" t="s">
        <v>578</v>
      </c>
      <c r="D79" s="422">
        <v>5</v>
      </c>
      <c r="E79" s="423">
        <v>13</v>
      </c>
      <c r="F79" s="422">
        <v>130</v>
      </c>
      <c r="G79" s="422">
        <v>81</v>
      </c>
      <c r="H79" s="422">
        <v>27912.90000000001</v>
      </c>
      <c r="I79" s="424">
        <v>33938.94999999998</v>
      </c>
      <c r="J79" s="425">
        <f t="shared" si="2"/>
      </c>
      <c r="K79" s="425">
        <f t="shared" si="4"/>
      </c>
      <c r="L79" s="426">
        <f t="shared" si="0"/>
      </c>
      <c r="M79" s="427">
        <f t="shared" si="3"/>
      </c>
      <c r="N79" s="423">
        <v>13</v>
      </c>
      <c r="O79" s="427">
        <f t="shared" si="1"/>
      </c>
      <c r="P79" s="422"/>
      <c r="Q79" s="422"/>
    </row>
    <row r="80">
      <c r="A80" s="419" t="s">
        <v>607</v>
      </c>
      <c r="B80" s="428" t="s">
        <v>572</v>
      </c>
      <c r="C80" s="421" t="s">
        <v>580</v>
      </c>
      <c r="D80" s="422">
        <v>5</v>
      </c>
      <c r="E80" s="423">
        <v>6</v>
      </c>
      <c r="F80" s="422">
        <v>64</v>
      </c>
      <c r="G80" s="422">
        <v>41</v>
      </c>
      <c r="H80" s="429">
        <v>10759.199999999997</v>
      </c>
      <c r="I80" s="429">
        <v>16703.87000000001</v>
      </c>
      <c r="J80" s="425">
        <f t="shared" si="2"/>
      </c>
      <c r="K80" s="425">
        <f t="shared" si="4"/>
      </c>
      <c r="L80" s="426">
        <f t="shared" si="0"/>
      </c>
      <c r="M80" s="427">
        <f t="shared" si="3"/>
      </c>
      <c r="N80" s="423">
        <v>5</v>
      </c>
      <c r="O80" s="427">
        <f t="shared" si="1"/>
      </c>
      <c r="P80" s="422" t="s">
        <v>600</v>
      </c>
      <c r="Q80" s="422">
        <v>10</v>
      </c>
    </row>
    <row r="81">
      <c r="A81" s="438" t="s">
        <v>607</v>
      </c>
      <c r="B81" s="439" t="s">
        <v>582</v>
      </c>
      <c r="C81" s="433"/>
      <c r="D81" s="433">
        <f>SUM(D77:D80)</f>
      </c>
      <c r="E81" s="433">
        <f>SUM(E77:E80)</f>
      </c>
      <c r="F81" s="433">
        <f>SUM(F77:F80)</f>
      </c>
      <c r="G81" s="433">
        <f>SUM(G77:G80)</f>
      </c>
      <c r="H81" s="433">
        <f>SUM(H77:H80)</f>
      </c>
      <c r="I81" s="433">
        <f>SUM(I77:I80)</f>
      </c>
      <c r="J81" s="434">
        <f t="shared" si="2"/>
      </c>
      <c r="K81" s="435">
        <f t="shared" si="4"/>
      </c>
      <c r="L81" s="435">
        <f t="shared" si="0"/>
      </c>
      <c r="M81" s="436">
        <f t="shared" si="3"/>
      </c>
      <c r="N81" s="433">
        <f>SUM(N77:N80)</f>
      </c>
      <c r="O81" s="436">
        <f t="shared" si="1"/>
      </c>
      <c r="P81" s="437"/>
      <c r="Q81" s="433">
        <f>SUM(Q77:Q80)</f>
      </c>
    </row>
    <row r="82">
      <c r="A82" s="419" t="s">
        <v>608</v>
      </c>
      <c r="B82" s="428" t="s">
        <v>584</v>
      </c>
      <c r="C82" s="421" t="s">
        <v>573</v>
      </c>
      <c r="D82" s="422">
        <v>5</v>
      </c>
      <c r="E82" s="423">
        <v>20</v>
      </c>
      <c r="F82" s="422">
        <v>158</v>
      </c>
      <c r="G82" s="422">
        <v>102</v>
      </c>
      <c r="H82" s="422">
        <v>34720</v>
      </c>
      <c r="I82" s="424">
        <v>33168.25</v>
      </c>
      <c r="J82" s="425">
        <f t="shared" si="2"/>
      </c>
      <c r="K82" s="425">
        <f t="shared" si="4"/>
      </c>
      <c r="L82" s="426">
        <f t="shared" si="0"/>
      </c>
      <c r="M82" s="427">
        <f t="shared" si="3"/>
      </c>
      <c r="N82" s="423">
        <v>16</v>
      </c>
      <c r="O82" s="427">
        <f t="shared" si="1"/>
      </c>
      <c r="P82" s="422" t="s">
        <v>574</v>
      </c>
      <c r="Q82" s="422">
        <v>10</v>
      </c>
    </row>
    <row r="83">
      <c r="A83" s="419" t="s">
        <v>608</v>
      </c>
      <c r="B83" s="440" t="s">
        <v>579</v>
      </c>
      <c r="C83" s="421" t="s">
        <v>576</v>
      </c>
      <c r="D83" s="422">
        <v>5</v>
      </c>
      <c r="E83" s="423">
        <v>11</v>
      </c>
      <c r="F83" s="422">
        <v>125</v>
      </c>
      <c r="G83" s="422">
        <v>71</v>
      </c>
      <c r="H83" s="424">
        <v>24068</v>
      </c>
      <c r="I83" s="424">
        <v>22734.92</v>
      </c>
      <c r="J83" s="425">
        <f t="shared" si="2"/>
      </c>
      <c r="K83" s="425">
        <f t="shared" si="4"/>
      </c>
      <c r="L83" s="426">
        <f t="shared" si="0"/>
      </c>
      <c r="M83" s="427">
        <f t="shared" si="3"/>
      </c>
      <c r="N83" s="423">
        <v>9</v>
      </c>
      <c r="O83" s="427">
        <f t="shared" si="1"/>
      </c>
      <c r="P83" s="422"/>
      <c r="Q83" s="422"/>
    </row>
    <row r="84">
      <c r="A84" s="419" t="s">
        <v>608</v>
      </c>
      <c r="B84" s="428" t="s">
        <v>572</v>
      </c>
      <c r="C84" s="421" t="s">
        <v>578</v>
      </c>
      <c r="D84" s="422">
        <v>5</v>
      </c>
      <c r="E84" s="423">
        <v>17</v>
      </c>
      <c r="F84" s="422">
        <v>166</v>
      </c>
      <c r="G84" s="422">
        <v>97</v>
      </c>
      <c r="H84" s="422">
        <v>32663.300000000003</v>
      </c>
      <c r="I84" s="424">
        <v>35604.750000000015</v>
      </c>
      <c r="J84" s="425">
        <f t="shared" si="2"/>
      </c>
      <c r="K84" s="425">
        <f t="shared" si="4"/>
      </c>
      <c r="L84" s="426">
        <f t="shared" si="0"/>
      </c>
      <c r="M84" s="427">
        <f t="shared" si="3"/>
      </c>
      <c r="N84" s="423">
        <v>12</v>
      </c>
      <c r="O84" s="427">
        <f t="shared" si="1"/>
      </c>
      <c r="P84" s="422"/>
      <c r="Q84" s="422"/>
    </row>
    <row r="85">
      <c r="A85" s="419" t="s">
        <v>608</v>
      </c>
      <c r="B85" s="428" t="s">
        <v>575</v>
      </c>
      <c r="C85" s="421" t="s">
        <v>580</v>
      </c>
      <c r="D85" s="422">
        <v>5</v>
      </c>
      <c r="E85" s="423">
        <v>13</v>
      </c>
      <c r="F85" s="422">
        <v>130</v>
      </c>
      <c r="G85" s="422">
        <v>80</v>
      </c>
      <c r="H85" s="429">
        <v>24771.800000000003</v>
      </c>
      <c r="I85" s="429">
        <v>28321.25999999998</v>
      </c>
      <c r="J85" s="425">
        <f t="shared" si="2"/>
      </c>
      <c r="K85" s="425">
        <f t="shared" si="4"/>
      </c>
      <c r="L85" s="426">
        <f t="shared" si="0"/>
      </c>
      <c r="M85" s="427">
        <f t="shared" si="3"/>
      </c>
      <c r="N85" s="423">
        <v>16</v>
      </c>
      <c r="O85" s="427">
        <f t="shared" si="1"/>
      </c>
      <c r="P85" s="422" t="s">
        <v>600</v>
      </c>
      <c r="Q85" s="422">
        <v>10</v>
      </c>
    </row>
    <row r="86">
      <c r="A86" s="438" t="s">
        <v>608</v>
      </c>
      <c r="B86" s="439" t="s">
        <v>582</v>
      </c>
      <c r="C86" s="433"/>
      <c r="D86" s="433">
        <f>SUM(D82:D85)</f>
      </c>
      <c r="E86" s="433">
        <f>SUM(E82:E85)</f>
      </c>
      <c r="F86" s="433">
        <f>SUM(F82:F85)</f>
      </c>
      <c r="G86" s="433">
        <f>SUM(G82:G85)</f>
      </c>
      <c r="H86" s="433">
        <f>SUM(H82:H85)</f>
      </c>
      <c r="I86" s="433">
        <f>SUM(I82:I85)</f>
      </c>
      <c r="J86" s="434">
        <f t="shared" si="2"/>
      </c>
      <c r="K86" s="435">
        <f t="shared" si="4"/>
      </c>
      <c r="L86" s="435">
        <f t="shared" si="0"/>
      </c>
      <c r="M86" s="436">
        <f t="shared" si="3"/>
      </c>
      <c r="N86" s="433">
        <f>SUM(N82:N85)</f>
      </c>
      <c r="O86" s="436">
        <f t="shared" si="1"/>
      </c>
      <c r="P86" s="437"/>
      <c r="Q86" s="433">
        <f>SUM(Q82:Q85)</f>
      </c>
    </row>
    <row r="87">
      <c r="A87" s="419" t="s">
        <v>609</v>
      </c>
      <c r="B87" s="428" t="s">
        <v>572</v>
      </c>
      <c r="C87" s="421" t="s">
        <v>573</v>
      </c>
      <c r="D87" s="422">
        <v>5</v>
      </c>
      <c r="E87" s="423">
        <v>19</v>
      </c>
      <c r="F87" s="422">
        <v>192</v>
      </c>
      <c r="G87" s="422">
        <v>113</v>
      </c>
      <c r="H87" s="422">
        <v>38594.8</v>
      </c>
      <c r="I87" s="424">
        <v>36065.520000000004</v>
      </c>
      <c r="J87" s="425">
        <f t="shared" si="2"/>
      </c>
      <c r="K87" s="425">
        <f t="shared" si="4"/>
      </c>
      <c r="L87" s="426">
        <f t="shared" si="0"/>
      </c>
      <c r="M87" s="427">
        <f t="shared" si="3"/>
      </c>
      <c r="N87" s="423">
        <v>11</v>
      </c>
      <c r="O87" s="427">
        <f t="shared" si="1"/>
      </c>
      <c r="P87" s="422" t="s">
        <v>574</v>
      </c>
      <c r="Q87" s="422">
        <v>10</v>
      </c>
    </row>
    <row r="88">
      <c r="A88" s="419" t="s">
        <v>609</v>
      </c>
      <c r="B88" s="428" t="s">
        <v>575</v>
      </c>
      <c r="C88" s="421" t="s">
        <v>576</v>
      </c>
      <c r="D88" s="422">
        <v>5</v>
      </c>
      <c r="E88" s="423">
        <v>14</v>
      </c>
      <c r="F88" s="422">
        <v>160</v>
      </c>
      <c r="G88" s="422">
        <v>102</v>
      </c>
      <c r="H88" s="424">
        <v>34905.79999999999</v>
      </c>
      <c r="I88" s="424">
        <v>32166.579999999987</v>
      </c>
      <c r="J88" s="425">
        <f t="shared" si="2"/>
      </c>
      <c r="K88" s="425">
        <f t="shared" si="4"/>
      </c>
      <c r="L88" s="426">
        <f t="shared" si="0"/>
      </c>
      <c r="M88" s="427">
        <f t="shared" si="3"/>
      </c>
      <c r="N88" s="423">
        <v>15</v>
      </c>
      <c r="O88" s="427">
        <f t="shared" si="1"/>
      </c>
      <c r="P88" s="422"/>
      <c r="Q88" s="422"/>
    </row>
    <row r="89">
      <c r="A89" s="419" t="s">
        <v>609</v>
      </c>
      <c r="B89" s="440" t="s">
        <v>577</v>
      </c>
      <c r="C89" s="421" t="s">
        <v>578</v>
      </c>
      <c r="D89" s="422">
        <v>5</v>
      </c>
      <c r="E89" s="423">
        <v>16</v>
      </c>
      <c r="F89" s="422">
        <v>144</v>
      </c>
      <c r="G89" s="422">
        <v>79</v>
      </c>
      <c r="H89" s="422">
        <v>32277.79999999999</v>
      </c>
      <c r="I89" s="424">
        <v>36768.01999999999</v>
      </c>
      <c r="J89" s="425">
        <f t="shared" si="2"/>
      </c>
      <c r="K89" s="425">
        <f t="shared" si="4"/>
      </c>
      <c r="L89" s="426">
        <f t="shared" si="0"/>
      </c>
      <c r="M89" s="427">
        <f t="shared" si="3"/>
      </c>
      <c r="N89" s="423">
        <v>9</v>
      </c>
      <c r="O89" s="427">
        <f t="shared" si="1"/>
      </c>
      <c r="P89" s="422"/>
      <c r="Q89" s="422"/>
    </row>
    <row r="90">
      <c r="A90" s="419" t="s">
        <v>609</v>
      </c>
      <c r="B90" s="428" t="s">
        <v>584</v>
      </c>
      <c r="C90" s="421" t="s">
        <v>580</v>
      </c>
      <c r="D90" s="422">
        <v>5</v>
      </c>
      <c r="E90" s="423">
        <v>10</v>
      </c>
      <c r="F90" s="422">
        <v>81</v>
      </c>
      <c r="G90" s="422">
        <v>50</v>
      </c>
      <c r="H90" s="429">
        <v>18126.399999999994</v>
      </c>
      <c r="I90" s="429">
        <v>21259.639999999985</v>
      </c>
      <c r="J90" s="425">
        <f t="shared" si="2"/>
      </c>
      <c r="K90" s="425">
        <f t="shared" si="4"/>
      </c>
      <c r="L90" s="426">
        <f t="shared" si="0"/>
      </c>
      <c r="M90" s="427">
        <f t="shared" si="3"/>
      </c>
      <c r="N90" s="423">
        <v>3</v>
      </c>
      <c r="O90" s="427">
        <f t="shared" si="1"/>
      </c>
      <c r="P90" s="422" t="s">
        <v>600</v>
      </c>
      <c r="Q90" s="422">
        <v>10</v>
      </c>
    </row>
    <row r="91">
      <c r="A91" s="438" t="s">
        <v>609</v>
      </c>
      <c r="B91" s="439" t="s">
        <v>582</v>
      </c>
      <c r="C91" s="433"/>
      <c r="D91" s="433">
        <f>SUM(D87:D90)</f>
      </c>
      <c r="E91" s="433">
        <f>SUM(E87:E90)</f>
      </c>
      <c r="F91" s="433">
        <f>SUM(F87:F90)</f>
      </c>
      <c r="G91" s="433">
        <f>SUM(G87:G90)</f>
      </c>
      <c r="H91" s="433">
        <f>SUM(H87:H90)</f>
      </c>
      <c r="I91" s="433">
        <f>SUM(I87:I90)</f>
      </c>
      <c r="J91" s="434">
        <f t="shared" si="2"/>
      </c>
      <c r="K91" s="435">
        <f t="shared" si="4"/>
      </c>
      <c r="L91" s="435">
        <f t="shared" si="0"/>
      </c>
      <c r="M91" s="436">
        <f t="shared" si="3"/>
      </c>
      <c r="N91" s="433">
        <f>SUM(N87:N90)</f>
      </c>
      <c r="O91" s="436">
        <f t="shared" si="1"/>
      </c>
      <c r="P91" s="437"/>
      <c r="Q91" s="433">
        <f>SUM(Q87:Q90)</f>
      </c>
    </row>
    <row r="92">
      <c r="A92" s="419" t="s">
        <v>610</v>
      </c>
      <c r="B92" s="428" t="s">
        <v>572</v>
      </c>
      <c r="C92" s="421" t="s">
        <v>573</v>
      </c>
      <c r="D92" s="422">
        <v>5</v>
      </c>
      <c r="E92" s="442">
        <v>11</v>
      </c>
      <c r="F92" s="422">
        <v>136</v>
      </c>
      <c r="G92" s="422">
        <v>87</v>
      </c>
      <c r="H92" s="422">
        <v>29734.3</v>
      </c>
      <c r="I92" s="424">
        <v>21240.120000000003</v>
      </c>
      <c r="J92" s="425">
        <f t="shared" si="2"/>
      </c>
      <c r="K92" s="425">
        <f t="shared" si="4"/>
      </c>
      <c r="L92" s="426">
        <f t="shared" si="0"/>
      </c>
      <c r="M92" s="427">
        <f t="shared" si="3"/>
      </c>
      <c r="N92" s="442">
        <v>17</v>
      </c>
      <c r="O92" s="427">
        <f t="shared" si="1"/>
      </c>
      <c r="P92" s="422" t="s">
        <v>574</v>
      </c>
      <c r="Q92" s="422">
        <v>10</v>
      </c>
    </row>
    <row r="93">
      <c r="A93" s="419" t="s">
        <v>610</v>
      </c>
      <c r="B93" s="443" t="s">
        <v>579</v>
      </c>
      <c r="C93" s="421" t="s">
        <v>576</v>
      </c>
      <c r="D93" s="422">
        <v>5</v>
      </c>
      <c r="E93" s="423"/>
      <c r="F93" s="422"/>
      <c r="G93" s="422"/>
      <c r="H93" s="424"/>
      <c r="I93" s="424"/>
      <c r="J93" s="425">
        <f t="shared" si="2"/>
      </c>
      <c r="K93" s="425">
        <f t="shared" si="4"/>
      </c>
      <c r="L93" s="426">
        <f t="shared" si="0"/>
      </c>
      <c r="M93" s="427">
        <f t="shared" si="3"/>
      </c>
      <c r="N93" s="423"/>
      <c r="O93" s="427">
        <f t="shared" si="1"/>
      </c>
      <c r="P93" s="422"/>
      <c r="Q93" s="422"/>
    </row>
    <row r="94">
      <c r="A94" s="419" t="s">
        <v>610</v>
      </c>
      <c r="B94" s="440" t="s">
        <v>577</v>
      </c>
      <c r="C94" s="421" t="s">
        <v>578</v>
      </c>
      <c r="D94" s="422">
        <v>5</v>
      </c>
      <c r="E94" s="423"/>
      <c r="F94" s="422"/>
      <c r="G94" s="422"/>
      <c r="H94" s="422"/>
      <c r="I94" s="424"/>
      <c r="J94" s="425">
        <f t="shared" si="2"/>
      </c>
      <c r="K94" s="425">
        <f t="shared" si="4"/>
      </c>
      <c r="L94" s="426">
        <f t="shared" si="0"/>
      </c>
      <c r="M94" s="427">
        <f t="shared" si="3"/>
      </c>
      <c r="N94" s="423"/>
      <c r="O94" s="427">
        <f t="shared" si="1"/>
      </c>
      <c r="P94" s="422"/>
      <c r="Q94" s="422"/>
    </row>
    <row r="95">
      <c r="A95" s="419" t="s">
        <v>610</v>
      </c>
      <c r="B95" s="428" t="s">
        <v>575</v>
      </c>
      <c r="C95" s="421" t="s">
        <v>580</v>
      </c>
      <c r="D95" s="422">
        <v>5</v>
      </c>
      <c r="E95" s="423"/>
      <c r="F95" s="422"/>
      <c r="G95" s="422"/>
      <c r="H95" s="429"/>
      <c r="I95" s="429"/>
      <c r="J95" s="425">
        <f t="shared" si="2"/>
      </c>
      <c r="K95" s="425">
        <f t="shared" si="4"/>
      </c>
      <c r="L95" s="426">
        <f t="shared" si="0"/>
      </c>
      <c r="M95" s="427">
        <f t="shared" si="3"/>
      </c>
      <c r="N95" s="423"/>
      <c r="O95" s="427">
        <f t="shared" si="1"/>
      </c>
      <c r="P95" s="422" t="s">
        <v>600</v>
      </c>
      <c r="Q95" s="422">
        <v>10</v>
      </c>
    </row>
    <row r="96">
      <c r="A96" s="438" t="s">
        <v>610</v>
      </c>
      <c r="B96" s="439" t="s">
        <v>582</v>
      </c>
      <c r="C96" s="433"/>
      <c r="D96" s="433">
        <f>SUM(D92:D95)</f>
      </c>
      <c r="E96" s="433">
        <f>SUM(E92:E95)</f>
      </c>
      <c r="F96" s="433">
        <f>SUM(F92:F95)</f>
      </c>
      <c r="G96" s="433">
        <f>SUM(G92:G95)</f>
      </c>
      <c r="H96" s="433">
        <f>SUM(H92:H95)</f>
      </c>
      <c r="I96" s="433">
        <f>SUM(I92:I95)</f>
      </c>
      <c r="J96" s="434">
        <f t="shared" si="2"/>
      </c>
      <c r="K96" s="435">
        <f t="shared" si="4"/>
      </c>
      <c r="L96" s="435">
        <f t="shared" si="0"/>
      </c>
      <c r="M96" s="436">
        <f t="shared" si="3"/>
      </c>
      <c r="N96" s="433">
        <f>SUM(N92:N95)</f>
      </c>
      <c r="O96" s="436">
        <f t="shared" si="1"/>
      </c>
      <c r="P96" s="437"/>
      <c r="Q96" s="433">
        <f>SUM(Q92:Q95)</f>
      </c>
    </row>
    <row r="97">
      <c r="A97" s="444"/>
      <c r="B97" s="445"/>
      <c r="C97" s="446"/>
      <c r="D97" s="445"/>
      <c r="E97" s="447">
        <f>E98*G96</f>
      </c>
      <c r="F97" s="448">
        <f>F98-F96</f>
      </c>
      <c r="G97" s="448">
        <f>G98-G96</f>
      </c>
      <c r="H97" s="448">
        <f>H98-H96</f>
      </c>
      <c r="I97" s="448">
        <f>I98-I96</f>
      </c>
      <c r="J97" s="445"/>
      <c r="K97" s="445"/>
      <c r="L97" s="445"/>
      <c r="M97" s="445"/>
      <c r="N97" s="447">
        <f>N98*G96</f>
      </c>
      <c r="O97" s="445"/>
      <c r="P97" s="445"/>
      <c r="Q97" s="445"/>
    </row>
    <row r="98">
      <c r="A98" s="444"/>
      <c r="B98" s="445"/>
      <c r="C98" s="449"/>
      <c r="D98" s="450">
        <f>E97-E96</f>
      </c>
      <c r="E98" s="451">
        <v>0.1264</v>
      </c>
      <c r="F98" s="451">
        <v>136</v>
      </c>
      <c r="G98" s="451">
        <v>87</v>
      </c>
      <c r="H98" s="452"/>
      <c r="I98" s="453"/>
      <c r="J98" s="445"/>
      <c r="K98" s="445"/>
      <c r="L98" s="445"/>
      <c r="M98" s="445"/>
      <c r="N98" s="451">
        <v>0.194</v>
      </c>
      <c r="O98" s="450">
        <f>N97-N96</f>
      </c>
      <c r="P98" s="445"/>
      <c r="Q98" s="445"/>
    </row>
    <row r="99">
      <c r="E99" s="454"/>
    </row>
    <row r="100">
      <c r="E100" s="454"/>
    </row>
    <row r="101">
      <c r="E101" s="454"/>
    </row>
    <row r="102">
      <c r="E102" s="454"/>
    </row>
    <row r="103">
      <c r="E103" s="454"/>
    </row>
    <row r="104">
      <c r="E104" s="454"/>
    </row>
    <row r="105">
      <c r="E105" s="454"/>
    </row>
    <row r="106">
      <c r="E106" s="454"/>
    </row>
  </sheetData>
  <autoFilter ref="A1:Q98">
    <filterColumn colId="0">
      <filters blank="true">
        <filter val="2026/10/12"/>
        <filter val="2026/10/13"/>
        <filter val="2026/10/14"/>
        <filter val="2026/10/15"/>
        <filter val="2026/10/16"/>
        <filter val="2026/10/17"/>
        <filter val="2026/10/18"/>
        <filter val="2026/10/19"/>
      </filters>
    </filterColumn>
  </autoFilter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2.56338028169014"/>
    <col collapsed="false" customWidth="true" hidden="false" max="18" min="18" style="0" width="11.211267605633802"/>
    <col collapsed="false" customWidth="true" hidden="false" max="2" min="2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3" min="3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1" min="1" style="0" width="11.211267605633802"/>
  </cols>
  <sheetData>
    <row r="1">
      <c r="A1" s="455" t="s">
        <v>611</v>
      </c>
      <c r="B1" s="456" t="s">
        <v>612</v>
      </c>
      <c r="C1" s="457" t="s">
        <v>613</v>
      </c>
      <c r="D1" s="457" t="s">
        <v>614</v>
      </c>
      <c r="E1" s="458" t="s">
        <v>615</v>
      </c>
      <c r="F1" s="457" t="s">
        <v>616</v>
      </c>
      <c r="G1" s="457" t="s">
        <v>617</v>
      </c>
      <c r="H1" s="457" t="s">
        <v>618</v>
      </c>
      <c r="I1" s="457" t="s">
        <v>619</v>
      </c>
      <c r="J1" s="459" t="s">
        <v>620</v>
      </c>
      <c r="K1" s="459" t="s">
        <v>621</v>
      </c>
      <c r="L1" s="459" t="s">
        <v>622</v>
      </c>
      <c r="M1" s="460" t="s">
        <v>623</v>
      </c>
      <c r="N1" s="460" t="s">
        <v>624</v>
      </c>
      <c r="O1" s="460" t="s">
        <v>625</v>
      </c>
      <c r="P1" s="459" t="s">
        <v>626</v>
      </c>
      <c r="Q1" s="457" t="s">
        <v>627</v>
      </c>
    </row>
    <row hidden="true" r="2">
      <c r="A2" s="461" t="s">
        <v>628</v>
      </c>
      <c r="B2" s="462" t="s">
        <v>629</v>
      </c>
      <c r="C2" s="463" t="s">
        <v>630</v>
      </c>
      <c r="D2" s="464">
        <v>5</v>
      </c>
      <c r="E2" s="465">
        <v>18</v>
      </c>
      <c r="F2" s="464">
        <v>201</v>
      </c>
      <c r="G2" s="464">
        <v>115</v>
      </c>
      <c r="H2" s="466">
        <v>37595.8</v>
      </c>
      <c r="I2" s="466">
        <v>38296.61</v>
      </c>
      <c r="J2" s="467">
        <f t="shared" ref="J2:J91" si="1">H2/I2</f>
      </c>
      <c r="K2" s="467">
        <f t="shared" ref="K2:K91" si="4">H2/G2</f>
      </c>
      <c r="L2" s="468">
        <f t="shared" ref="L2:L91" si="2">I2/G2</f>
      </c>
      <c r="M2" s="469">
        <f t="shared" ref="M2:M91" si="5">E2/G2</f>
      </c>
      <c r="N2" s="465">
        <v>20</v>
      </c>
      <c r="O2" s="469">
        <f t="shared" ref="O2:O91" si="3">N2/G2</f>
      </c>
      <c r="P2" s="464" t="s">
        <v>631</v>
      </c>
      <c r="Q2" s="464">
        <v>10</v>
      </c>
    </row>
    <row hidden="true" r="3">
      <c r="A3" s="461" t="s">
        <v>628</v>
      </c>
      <c r="B3" s="470" t="s">
        <v>632</v>
      </c>
      <c r="C3" s="463" t="s">
        <v>633</v>
      </c>
      <c r="D3" s="464">
        <v>5</v>
      </c>
      <c r="E3" s="465">
        <v>11</v>
      </c>
      <c r="F3" s="464">
        <v>87</v>
      </c>
      <c r="G3" s="464">
        <v>52</v>
      </c>
      <c r="H3" s="466">
        <v>21861.799999999996</v>
      </c>
      <c r="I3" s="466">
        <v>17682.990000000005</v>
      </c>
      <c r="J3" s="467">
        <f t="shared" si="1"/>
      </c>
      <c r="K3" s="467">
        <f t="shared" si="4"/>
      </c>
      <c r="L3" s="468">
        <f t="shared" si="2"/>
      </c>
      <c r="M3" s="469">
        <f t="shared" si="5"/>
      </c>
      <c r="N3" s="465">
        <v>10</v>
      </c>
      <c r="O3" s="469">
        <f t="shared" si="3"/>
      </c>
      <c r="P3" s="464"/>
      <c r="Q3" s="464"/>
    </row>
    <row hidden="true" r="4">
      <c r="A4" s="461" t="s">
        <v>628</v>
      </c>
      <c r="B4" s="470" t="s">
        <v>634</v>
      </c>
      <c r="C4" s="463" t="s">
        <v>635</v>
      </c>
      <c r="D4" s="464">
        <v>5</v>
      </c>
      <c r="E4" s="465">
        <v>12</v>
      </c>
      <c r="F4" s="464">
        <v>118</v>
      </c>
      <c r="G4" s="464">
        <v>70</v>
      </c>
      <c r="H4" s="464">
        <v>27436.700000000004</v>
      </c>
      <c r="I4" s="466">
        <v>24059.259999999995</v>
      </c>
      <c r="J4" s="467">
        <f t="shared" si="1"/>
      </c>
      <c r="K4" s="467">
        <f t="shared" si="4"/>
      </c>
      <c r="L4" s="468">
        <f t="shared" si="2"/>
      </c>
      <c r="M4" s="469">
        <f t="shared" si="5"/>
      </c>
      <c r="N4" s="465">
        <v>9</v>
      </c>
      <c r="O4" s="469">
        <f t="shared" si="3"/>
      </c>
      <c r="P4" s="464"/>
      <c r="Q4" s="464"/>
    </row>
    <row hidden="true" r="5">
      <c r="A5" s="461" t="s">
        <v>628</v>
      </c>
      <c r="B5" s="462" t="s">
        <v>636</v>
      </c>
      <c r="C5" s="463" t="s">
        <v>637</v>
      </c>
      <c r="D5" s="464">
        <v>5</v>
      </c>
      <c r="E5" s="465">
        <v>48</v>
      </c>
      <c r="F5" s="464">
        <v>168</v>
      </c>
      <c r="G5" s="464">
        <v>119</v>
      </c>
      <c r="H5" s="471">
        <v>40108.899999999994</v>
      </c>
      <c r="I5" s="471">
        <v>28501.15</v>
      </c>
      <c r="J5" s="467">
        <f t="shared" si="1"/>
      </c>
      <c r="K5" s="467">
        <f t="shared" si="4"/>
      </c>
      <c r="L5" s="468">
        <f t="shared" si="2"/>
      </c>
      <c r="M5" s="469">
        <f t="shared" si="5"/>
      </c>
      <c r="N5" s="465">
        <v>29</v>
      </c>
      <c r="O5" s="469">
        <f t="shared" si="3"/>
      </c>
      <c r="P5" s="464" t="s">
        <v>638</v>
      </c>
      <c r="Q5" s="464">
        <v>10</v>
      </c>
    </row>
    <row hidden="true" r="6">
      <c r="A6" s="472" t="s">
        <v>628</v>
      </c>
      <c r="B6" s="473" t="s">
        <v>639</v>
      </c>
      <c r="C6" s="474"/>
      <c r="D6" s="475">
        <f>SUM(D2:D5)</f>
      </c>
      <c r="E6" s="475">
        <f>SUM(E2:E5)</f>
      </c>
      <c r="F6" s="475">
        <f>SUM(F2:F5)</f>
      </c>
      <c r="G6" s="475">
        <f>SUM(G2:G5)</f>
      </c>
      <c r="H6" s="475">
        <f>SUM(H2:H5)</f>
      </c>
      <c r="I6" s="475">
        <f>SUM(I2:I5)</f>
      </c>
      <c r="J6" s="476">
        <f t="shared" si="1"/>
      </c>
      <c r="K6" s="477">
        <f t="shared" si="4"/>
      </c>
      <c r="L6" s="477">
        <f t="shared" si="2"/>
      </c>
      <c r="M6" s="478">
        <f t="shared" si="5"/>
      </c>
      <c r="N6" s="475">
        <f>SUM(N2:N5)</f>
      </c>
      <c r="O6" s="478">
        <f t="shared" si="3"/>
      </c>
      <c r="P6" s="479"/>
      <c r="Q6" s="475">
        <f>SUM(Q2:Q5)</f>
      </c>
    </row>
    <row hidden="true" r="7">
      <c r="A7" s="461" t="s">
        <v>640</v>
      </c>
      <c r="B7" s="470" t="s">
        <v>641</v>
      </c>
      <c r="C7" s="463" t="s">
        <v>630</v>
      </c>
      <c r="D7" s="464">
        <v>5</v>
      </c>
      <c r="E7" s="465">
        <v>19</v>
      </c>
      <c r="F7" s="464">
        <v>176</v>
      </c>
      <c r="G7" s="464">
        <v>124</v>
      </c>
      <c r="H7" s="466">
        <v>45687.2</v>
      </c>
      <c r="I7" s="466">
        <v>34004.25</v>
      </c>
      <c r="J7" s="467">
        <f t="shared" si="1"/>
      </c>
      <c r="K7" s="467">
        <f t="shared" si="4"/>
      </c>
      <c r="L7" s="468">
        <f t="shared" si="2"/>
      </c>
      <c r="M7" s="469">
        <f t="shared" si="5"/>
      </c>
      <c r="N7" s="465">
        <v>28</v>
      </c>
      <c r="O7" s="469">
        <f t="shared" si="3"/>
      </c>
      <c r="P7" s="464" t="s">
        <v>631</v>
      </c>
      <c r="Q7" s="464">
        <v>10</v>
      </c>
    </row>
    <row hidden="true" r="8">
      <c r="A8" s="461" t="s">
        <v>640</v>
      </c>
      <c r="B8" s="470" t="s">
        <v>632</v>
      </c>
      <c r="C8" s="463" t="s">
        <v>633</v>
      </c>
      <c r="D8" s="464">
        <v>5</v>
      </c>
      <c r="E8" s="465">
        <v>10</v>
      </c>
      <c r="F8" s="464">
        <v>146</v>
      </c>
      <c r="G8" s="464">
        <v>90</v>
      </c>
      <c r="H8" s="466">
        <v>34682.20000000001</v>
      </c>
      <c r="I8" s="466">
        <v>29700.879999999997</v>
      </c>
      <c r="J8" s="467">
        <f t="shared" si="1"/>
      </c>
      <c r="K8" s="467">
        <f t="shared" si="4"/>
      </c>
      <c r="L8" s="468">
        <f t="shared" si="2"/>
      </c>
      <c r="M8" s="469">
        <f t="shared" si="5"/>
      </c>
      <c r="N8" s="465">
        <v>12</v>
      </c>
      <c r="O8" s="469">
        <f t="shared" si="3"/>
      </c>
      <c r="P8" s="464"/>
      <c r="Q8" s="464"/>
    </row>
    <row hidden="true" r="9">
      <c r="A9" s="461" t="s">
        <v>640</v>
      </c>
      <c r="B9" s="462" t="s">
        <v>629</v>
      </c>
      <c r="C9" s="463" t="s">
        <v>635</v>
      </c>
      <c r="D9" s="464">
        <v>5</v>
      </c>
      <c r="E9" s="465">
        <v>20</v>
      </c>
      <c r="F9" s="464">
        <v>170</v>
      </c>
      <c r="G9" s="464">
        <v>104</v>
      </c>
      <c r="H9" s="464">
        <v>33546.60000000002</v>
      </c>
      <c r="I9" s="466">
        <v>36460.30000000001</v>
      </c>
      <c r="J9" s="467">
        <f t="shared" si="1"/>
      </c>
      <c r="K9" s="467">
        <f t="shared" si="4"/>
      </c>
      <c r="L9" s="468">
        <f t="shared" si="2"/>
      </c>
      <c r="M9" s="469">
        <f t="shared" si="5"/>
      </c>
      <c r="N9" s="465">
        <v>13</v>
      </c>
      <c r="O9" s="469">
        <f t="shared" si="3"/>
      </c>
      <c r="P9" s="464"/>
      <c r="Q9" s="464"/>
    </row>
    <row hidden="true" r="10">
      <c r="A10" s="461" t="s">
        <v>640</v>
      </c>
      <c r="B10" s="470" t="s">
        <v>634</v>
      </c>
      <c r="C10" s="463" t="s">
        <v>637</v>
      </c>
      <c r="D10" s="464">
        <v>5</v>
      </c>
      <c r="E10" s="465">
        <v>16</v>
      </c>
      <c r="F10" s="464">
        <v>202</v>
      </c>
      <c r="G10" s="464">
        <v>125</v>
      </c>
      <c r="H10" s="471">
        <v>46784.40000000002</v>
      </c>
      <c r="I10" s="471">
        <v>43901.35000000002</v>
      </c>
      <c r="J10" s="467">
        <f t="shared" si="1"/>
      </c>
      <c r="K10" s="467">
        <f t="shared" si="4"/>
      </c>
      <c r="L10" s="468">
        <f t="shared" si="2"/>
      </c>
      <c r="M10" s="469">
        <f t="shared" si="5"/>
      </c>
      <c r="N10" s="465">
        <v>16</v>
      </c>
      <c r="O10" s="469">
        <f t="shared" si="3"/>
      </c>
      <c r="P10" s="464" t="s">
        <v>642</v>
      </c>
      <c r="Q10" s="464">
        <v>10</v>
      </c>
    </row>
    <row hidden="true" r="11">
      <c r="A11" s="472" t="s">
        <v>640</v>
      </c>
      <c r="B11" s="473" t="s">
        <v>639</v>
      </c>
      <c r="C11" s="474"/>
      <c r="D11" s="475">
        <f>SUM(D7:D10)</f>
      </c>
      <c r="E11" s="475">
        <f>SUM(E7:E10)</f>
      </c>
      <c r="F11" s="475">
        <f>SUM(F7:F10)</f>
      </c>
      <c r="G11" s="475">
        <f>SUM(G7:G10)</f>
      </c>
      <c r="H11" s="475">
        <f>SUM(H7:H10)</f>
      </c>
      <c r="I11" s="475">
        <f>SUM(I7:I10)</f>
      </c>
      <c r="J11" s="476">
        <f t="shared" si="1"/>
      </c>
      <c r="K11" s="477">
        <f t="shared" si="4"/>
      </c>
      <c r="L11" s="477">
        <f t="shared" si="2"/>
      </c>
      <c r="M11" s="478">
        <f t="shared" si="5"/>
      </c>
      <c r="N11" s="475">
        <f>SUM(N7:N10)</f>
      </c>
      <c r="O11" s="478">
        <f t="shared" si="3"/>
      </c>
      <c r="P11" s="479"/>
      <c r="Q11" s="475">
        <f>SUM(Q7:Q10)</f>
      </c>
    </row>
    <row hidden="true" r="12">
      <c r="A12" s="461" t="s">
        <v>643</v>
      </c>
      <c r="B12" s="470" t="s">
        <v>641</v>
      </c>
      <c r="C12" s="463" t="s">
        <v>630</v>
      </c>
      <c r="D12" s="464">
        <v>5</v>
      </c>
      <c r="E12" s="465">
        <v>23</v>
      </c>
      <c r="F12" s="464">
        <v>152</v>
      </c>
      <c r="G12" s="464">
        <v>100</v>
      </c>
      <c r="H12" s="466">
        <v>36605.9</v>
      </c>
      <c r="I12" s="466">
        <v>33563.68</v>
      </c>
      <c r="J12" s="467">
        <f t="shared" si="1"/>
      </c>
      <c r="K12" s="467">
        <f t="shared" si="4"/>
      </c>
      <c r="L12" s="468">
        <f t="shared" si="2"/>
      </c>
      <c r="M12" s="469">
        <f t="shared" si="5"/>
      </c>
      <c r="N12" s="465">
        <v>15</v>
      </c>
      <c r="O12" s="469">
        <f t="shared" si="3"/>
      </c>
      <c r="P12" s="464" t="s">
        <v>631</v>
      </c>
      <c r="Q12" s="464">
        <v>10</v>
      </c>
    </row>
    <row hidden="true" r="13">
      <c r="A13" s="461" t="s">
        <v>643</v>
      </c>
      <c r="B13" s="470" t="s">
        <v>632</v>
      </c>
      <c r="C13" s="463" t="s">
        <v>633</v>
      </c>
      <c r="D13" s="464">
        <v>5</v>
      </c>
      <c r="E13" s="465">
        <v>15</v>
      </c>
      <c r="F13" s="464">
        <v>157</v>
      </c>
      <c r="G13" s="464">
        <v>102</v>
      </c>
      <c r="H13" s="466">
        <v>35283.799999999996</v>
      </c>
      <c r="I13" s="466">
        <v>34736.49</v>
      </c>
      <c r="J13" s="467">
        <f t="shared" si="1"/>
      </c>
      <c r="K13" s="467">
        <f t="shared" si="4"/>
      </c>
      <c r="L13" s="468">
        <f t="shared" si="2"/>
      </c>
      <c r="M13" s="469">
        <f t="shared" si="5"/>
      </c>
      <c r="N13" s="465">
        <v>14</v>
      </c>
      <c r="O13" s="469">
        <f t="shared" si="3"/>
      </c>
      <c r="P13" s="464"/>
      <c r="Q13" s="464"/>
    </row>
    <row hidden="true" r="14">
      <c r="A14" s="461" t="s">
        <v>643</v>
      </c>
      <c r="B14" s="462" t="s">
        <v>629</v>
      </c>
      <c r="C14" s="463" t="s">
        <v>635</v>
      </c>
      <c r="D14" s="464">
        <v>5</v>
      </c>
      <c r="E14" s="465">
        <v>23</v>
      </c>
      <c r="F14" s="464">
        <v>203</v>
      </c>
      <c r="G14" s="464">
        <v>130</v>
      </c>
      <c r="H14" s="464">
        <v>52932.60000000002</v>
      </c>
      <c r="I14" s="466">
        <v>43388.92</v>
      </c>
      <c r="J14" s="467">
        <f t="shared" si="1"/>
      </c>
      <c r="K14" s="467">
        <f t="shared" si="4"/>
      </c>
      <c r="L14" s="468">
        <f t="shared" si="2"/>
      </c>
      <c r="M14" s="469">
        <f t="shared" si="5"/>
      </c>
      <c r="N14" s="465">
        <v>20</v>
      </c>
      <c r="O14" s="469">
        <f t="shared" si="3"/>
      </c>
      <c r="P14" s="464"/>
      <c r="Q14" s="464"/>
    </row>
    <row hidden="true" r="15">
      <c r="A15" s="461" t="s">
        <v>643</v>
      </c>
      <c r="B15" s="470" t="s">
        <v>636</v>
      </c>
      <c r="C15" s="463" t="s">
        <v>637</v>
      </c>
      <c r="D15" s="464">
        <v>5</v>
      </c>
      <c r="E15" s="465">
        <v>21</v>
      </c>
      <c r="F15" s="464">
        <v>180</v>
      </c>
      <c r="G15" s="464">
        <v>119</v>
      </c>
      <c r="H15" s="471">
        <v>39654</v>
      </c>
      <c r="I15" s="471">
        <v>40453.8</v>
      </c>
      <c r="J15" s="467">
        <f t="shared" si="1"/>
      </c>
      <c r="K15" s="467">
        <f t="shared" si="4"/>
      </c>
      <c r="L15" s="468">
        <f t="shared" si="2"/>
      </c>
      <c r="M15" s="469">
        <f t="shared" si="5"/>
      </c>
      <c r="N15" s="465">
        <v>22</v>
      </c>
      <c r="O15" s="469">
        <f t="shared" si="3"/>
      </c>
      <c r="P15" s="464" t="s">
        <v>642</v>
      </c>
      <c r="Q15" s="464">
        <v>10</v>
      </c>
    </row>
    <row hidden="true" r="16">
      <c r="A16" s="472" t="s">
        <v>643</v>
      </c>
      <c r="B16" s="473" t="s">
        <v>639</v>
      </c>
      <c r="C16" s="474"/>
      <c r="D16" s="475">
        <f>SUM(D12:D15)</f>
      </c>
      <c r="E16" s="475">
        <f>SUM(E12:E15)</f>
      </c>
      <c r="F16" s="475">
        <f>SUM(F12:F15)</f>
      </c>
      <c r="G16" s="475">
        <f>SUM(G12:G15)</f>
      </c>
      <c r="H16" s="475">
        <f>SUM(H12:H15)</f>
      </c>
      <c r="I16" s="475">
        <f>SUM(I12:I15)</f>
      </c>
      <c r="J16" s="476">
        <f t="shared" si="1"/>
      </c>
      <c r="K16" s="477">
        <f t="shared" si="4"/>
      </c>
      <c r="L16" s="477">
        <f t="shared" si="2"/>
      </c>
      <c r="M16" s="478">
        <f t="shared" si="5"/>
      </c>
      <c r="N16" s="475">
        <f>SUM(N12:N15)</f>
      </c>
      <c r="O16" s="478">
        <f t="shared" si="3"/>
      </c>
      <c r="P16" s="479"/>
      <c r="Q16" s="475">
        <f>SUM(Q12:Q15)</f>
      </c>
    </row>
    <row hidden="true" r="17">
      <c r="A17" s="461" t="s">
        <v>644</v>
      </c>
      <c r="B17" s="462" t="s">
        <v>629</v>
      </c>
      <c r="C17" s="463" t="s">
        <v>630</v>
      </c>
      <c r="D17" s="464">
        <v>5</v>
      </c>
      <c r="E17" s="465">
        <v>21</v>
      </c>
      <c r="F17" s="464">
        <v>180</v>
      </c>
      <c r="G17" s="464">
        <v>105</v>
      </c>
      <c r="H17" s="466">
        <v>40066.8</v>
      </c>
      <c r="I17" s="466">
        <v>31812.659999999996</v>
      </c>
      <c r="J17" s="467">
        <f t="shared" si="1"/>
      </c>
      <c r="K17" s="467">
        <f t="shared" si="4"/>
      </c>
      <c r="L17" s="468">
        <f t="shared" si="2"/>
      </c>
      <c r="M17" s="469">
        <f t="shared" si="5"/>
      </c>
      <c r="N17" s="465">
        <v>17</v>
      </c>
      <c r="O17" s="469">
        <f t="shared" si="3"/>
      </c>
      <c r="P17" s="464" t="s">
        <v>631</v>
      </c>
      <c r="Q17" s="464">
        <v>10</v>
      </c>
    </row>
    <row hidden="true" r="18">
      <c r="A18" s="461" t="s">
        <v>644</v>
      </c>
      <c r="B18" s="470" t="s">
        <v>632</v>
      </c>
      <c r="C18" s="463" t="s">
        <v>633</v>
      </c>
      <c r="D18" s="464">
        <v>5</v>
      </c>
      <c r="E18" s="465">
        <v>11</v>
      </c>
      <c r="F18" s="464">
        <v>140</v>
      </c>
      <c r="G18" s="464">
        <v>88</v>
      </c>
      <c r="H18" s="466">
        <v>31044.800000000003</v>
      </c>
      <c r="I18" s="466">
        <v>29618.32</v>
      </c>
      <c r="J18" s="467">
        <f t="shared" si="1"/>
      </c>
      <c r="K18" s="467">
        <f t="shared" si="4"/>
      </c>
      <c r="L18" s="468">
        <f t="shared" si="2"/>
      </c>
      <c r="M18" s="469">
        <f t="shared" si="5"/>
      </c>
      <c r="N18" s="465">
        <v>15</v>
      </c>
      <c r="O18" s="469">
        <f t="shared" si="3"/>
      </c>
      <c r="P18" s="464"/>
      <c r="Q18" s="464"/>
    </row>
    <row hidden="true" r="19">
      <c r="A19" s="461" t="s">
        <v>644</v>
      </c>
      <c r="B19" s="470" t="s">
        <v>641</v>
      </c>
      <c r="C19" s="463" t="s">
        <v>635</v>
      </c>
      <c r="D19" s="464">
        <v>5</v>
      </c>
      <c r="E19" s="465">
        <v>26</v>
      </c>
      <c r="F19" s="464">
        <v>200</v>
      </c>
      <c r="G19" s="464">
        <v>109</v>
      </c>
      <c r="H19" s="464">
        <v>37761.70000000001</v>
      </c>
      <c r="I19" s="466">
        <v>38792.33</v>
      </c>
      <c r="J19" s="467">
        <f t="shared" si="1"/>
      </c>
      <c r="K19" s="467">
        <f t="shared" si="4"/>
      </c>
      <c r="L19" s="468">
        <f t="shared" si="2"/>
      </c>
      <c r="M19" s="469">
        <f t="shared" si="5"/>
      </c>
      <c r="N19" s="465">
        <v>12</v>
      </c>
      <c r="O19" s="469">
        <f t="shared" si="3"/>
      </c>
      <c r="P19" s="464"/>
      <c r="Q19" s="464"/>
    </row>
    <row hidden="true" r="20">
      <c r="A20" s="461" t="s">
        <v>644</v>
      </c>
      <c r="B20" s="470" t="s">
        <v>636</v>
      </c>
      <c r="C20" s="463" t="s">
        <v>637</v>
      </c>
      <c r="D20" s="464">
        <v>5</v>
      </c>
      <c r="E20" s="465">
        <v>23</v>
      </c>
      <c r="F20" s="464">
        <v>154</v>
      </c>
      <c r="G20" s="464">
        <v>91</v>
      </c>
      <c r="H20" s="471">
        <v>33313.600000000006</v>
      </c>
      <c r="I20" s="471">
        <v>34414.33</v>
      </c>
      <c r="J20" s="467">
        <f t="shared" si="1"/>
      </c>
      <c r="K20" s="467">
        <f t="shared" si="4"/>
      </c>
      <c r="L20" s="468">
        <f t="shared" si="2"/>
      </c>
      <c r="M20" s="469">
        <f t="shared" si="5"/>
      </c>
      <c r="N20" s="465">
        <v>15</v>
      </c>
      <c r="O20" s="469">
        <f t="shared" si="3"/>
      </c>
      <c r="P20" s="464" t="s">
        <v>642</v>
      </c>
      <c r="Q20" s="464">
        <v>10</v>
      </c>
    </row>
    <row hidden="true" r="21">
      <c r="A21" s="472" t="s">
        <v>644</v>
      </c>
      <c r="B21" s="473" t="s">
        <v>639</v>
      </c>
      <c r="C21" s="474"/>
      <c r="D21" s="475">
        <f>SUM(D17:D20)</f>
      </c>
      <c r="E21" s="475">
        <f>SUM(E17:E20)</f>
      </c>
      <c r="F21" s="475">
        <f>SUM(F17:F20)</f>
      </c>
      <c r="G21" s="475">
        <f>SUM(G17:G20)</f>
      </c>
      <c r="H21" s="475">
        <f>SUM(H17:H20)</f>
      </c>
      <c r="I21" s="475">
        <f>SUM(I17:I20)</f>
      </c>
      <c r="J21" s="476">
        <f t="shared" si="1"/>
      </c>
      <c r="K21" s="477">
        <f t="shared" si="4"/>
      </c>
      <c r="L21" s="477">
        <f t="shared" si="2"/>
      </c>
      <c r="M21" s="478">
        <f t="shared" si="5"/>
      </c>
      <c r="N21" s="475">
        <f>SUM(N17:N20)</f>
      </c>
      <c r="O21" s="478">
        <f t="shared" si="3"/>
      </c>
      <c r="P21" s="479"/>
      <c r="Q21" s="475">
        <f>SUM(Q17:Q20)</f>
      </c>
    </row>
    <row hidden="true" r="22">
      <c r="A22" s="461" t="s">
        <v>645</v>
      </c>
      <c r="B22" s="470" t="s">
        <v>641</v>
      </c>
      <c r="C22" s="463" t="s">
        <v>630</v>
      </c>
      <c r="D22" s="464">
        <v>5</v>
      </c>
      <c r="E22" s="465">
        <v>15</v>
      </c>
      <c r="F22" s="464">
        <v>165</v>
      </c>
      <c r="G22" s="464">
        <v>104</v>
      </c>
      <c r="H22" s="466">
        <v>38042.3</v>
      </c>
      <c r="I22" s="466">
        <v>33178.82</v>
      </c>
      <c r="J22" s="467">
        <f t="shared" si="1"/>
      </c>
      <c r="K22" s="467">
        <f t="shared" si="4"/>
      </c>
      <c r="L22" s="468">
        <f t="shared" si="2"/>
      </c>
      <c r="M22" s="469">
        <f t="shared" si="5"/>
      </c>
      <c r="N22" s="465">
        <v>10</v>
      </c>
      <c r="O22" s="469">
        <f t="shared" si="3"/>
      </c>
      <c r="P22" s="464" t="s">
        <v>646</v>
      </c>
      <c r="Q22" s="464">
        <v>10</v>
      </c>
    </row>
    <row hidden="true" r="23">
      <c r="A23" s="461" t="s">
        <v>645</v>
      </c>
      <c r="B23" s="470" t="s">
        <v>632</v>
      </c>
      <c r="C23" s="463" t="s">
        <v>647</v>
      </c>
      <c r="D23" s="464">
        <v>4</v>
      </c>
      <c r="E23" s="465">
        <v>19</v>
      </c>
      <c r="F23" s="464">
        <v>174</v>
      </c>
      <c r="G23" s="464">
        <v>113</v>
      </c>
      <c r="H23" s="466">
        <v>41465.59999999999</v>
      </c>
      <c r="I23" s="466">
        <v>30613.21</v>
      </c>
      <c r="J23" s="467">
        <f t="shared" si="1"/>
      </c>
      <c r="K23" s="467">
        <f t="shared" si="4"/>
      </c>
      <c r="L23" s="468">
        <f t="shared" si="2"/>
      </c>
      <c r="M23" s="469">
        <f t="shared" si="5"/>
      </c>
      <c r="N23" s="465">
        <v>17</v>
      </c>
      <c r="O23" s="469">
        <f t="shared" si="3"/>
      </c>
      <c r="P23" s="464"/>
      <c r="Q23" s="464"/>
    </row>
    <row hidden="true" r="24">
      <c r="A24" s="461" t="s">
        <v>645</v>
      </c>
      <c r="B24" s="470" t="s">
        <v>634</v>
      </c>
      <c r="C24" s="463" t="s">
        <v>648</v>
      </c>
      <c r="D24" s="464">
        <v>5</v>
      </c>
      <c r="E24" s="465">
        <v>14</v>
      </c>
      <c r="F24" s="464">
        <v>137</v>
      </c>
      <c r="G24" s="464">
        <v>73</v>
      </c>
      <c r="H24" s="464">
        <v>24346.90000000001</v>
      </c>
      <c r="I24" s="466">
        <v>31781.820000000007</v>
      </c>
      <c r="J24" s="467">
        <f t="shared" si="1"/>
      </c>
      <c r="K24" s="467">
        <f t="shared" si="4"/>
      </c>
      <c r="L24" s="468">
        <f t="shared" si="2"/>
      </c>
      <c r="M24" s="469">
        <f t="shared" si="5"/>
      </c>
      <c r="N24" s="465">
        <v>9</v>
      </c>
      <c r="O24" s="469">
        <f t="shared" si="3"/>
      </c>
      <c r="P24" s="464"/>
      <c r="Q24" s="464"/>
    </row>
    <row hidden="true" r="25">
      <c r="A25" s="461" t="s">
        <v>645</v>
      </c>
      <c r="B25" s="470" t="s">
        <v>636</v>
      </c>
      <c r="C25" s="463" t="s">
        <v>649</v>
      </c>
      <c r="D25" s="464">
        <v>6</v>
      </c>
      <c r="E25" s="465">
        <v>4</v>
      </c>
      <c r="F25" s="464">
        <v>101</v>
      </c>
      <c r="G25" s="464">
        <v>60</v>
      </c>
      <c r="H25" s="471">
        <v>19741.59999999999</v>
      </c>
      <c r="I25" s="471">
        <v>27576.059999999998</v>
      </c>
      <c r="J25" s="467">
        <f t="shared" si="1"/>
      </c>
      <c r="K25" s="467">
        <f t="shared" si="4"/>
      </c>
      <c r="L25" s="468">
        <f t="shared" si="2"/>
      </c>
      <c r="M25" s="469">
        <f t="shared" si="5"/>
      </c>
      <c r="N25" s="465">
        <v>9</v>
      </c>
      <c r="O25" s="469">
        <f t="shared" si="3"/>
      </c>
      <c r="P25" s="464" t="s">
        <v>650</v>
      </c>
      <c r="Q25" s="464">
        <v>10</v>
      </c>
    </row>
    <row hidden="true" r="26">
      <c r="A26" s="472" t="s">
        <v>645</v>
      </c>
      <c r="B26" s="473" t="s">
        <v>639</v>
      </c>
      <c r="C26" s="474"/>
      <c r="D26" s="475">
        <f>SUM(D22:D25)</f>
      </c>
      <c r="E26" s="475">
        <f>SUM(E22:E25)</f>
      </c>
      <c r="F26" s="475">
        <f>SUM(F22:F25)</f>
      </c>
      <c r="G26" s="475">
        <f>SUM(G22:G25)</f>
      </c>
      <c r="H26" s="475">
        <f>SUM(H22:H25)</f>
      </c>
      <c r="I26" s="475">
        <f>SUM(I22:I25)</f>
      </c>
      <c r="J26" s="476">
        <f t="shared" si="1"/>
      </c>
      <c r="K26" s="477">
        <f t="shared" si="4"/>
      </c>
      <c r="L26" s="477">
        <f t="shared" si="2"/>
      </c>
      <c r="M26" s="478">
        <f t="shared" si="5"/>
      </c>
      <c r="N26" s="475">
        <f>SUM(N22:N25)</f>
      </c>
      <c r="O26" s="478">
        <f t="shared" si="3"/>
      </c>
      <c r="P26" s="479"/>
      <c r="Q26" s="475">
        <f>SUM(Q22:Q25)</f>
      </c>
    </row>
    <row hidden="true" r="27">
      <c r="A27" s="461" t="s">
        <v>651</v>
      </c>
      <c r="B27" s="470" t="s">
        <v>641</v>
      </c>
      <c r="C27" s="463" t="s">
        <v>630</v>
      </c>
      <c r="D27" s="464">
        <v>5</v>
      </c>
      <c r="E27" s="465">
        <v>18</v>
      </c>
      <c r="F27" s="464">
        <v>103</v>
      </c>
      <c r="G27" s="464">
        <v>66</v>
      </c>
      <c r="H27" s="466">
        <v>21027.9</v>
      </c>
      <c r="I27" s="466">
        <v>19860.21</v>
      </c>
      <c r="J27" s="467">
        <f t="shared" si="1"/>
      </c>
      <c r="K27" s="467">
        <f t="shared" si="4"/>
      </c>
      <c r="L27" s="468">
        <f t="shared" si="2"/>
      </c>
      <c r="M27" s="469">
        <f t="shared" si="5"/>
      </c>
      <c r="N27" s="465">
        <v>6</v>
      </c>
      <c r="O27" s="469">
        <f t="shared" si="3"/>
      </c>
      <c r="P27" s="464" t="s">
        <v>652</v>
      </c>
      <c r="Q27" s="464">
        <v>10</v>
      </c>
    </row>
    <row hidden="true" r="28">
      <c r="A28" s="461" t="s">
        <v>651</v>
      </c>
      <c r="B28" s="470" t="s">
        <v>632</v>
      </c>
      <c r="C28" s="463" t="s">
        <v>633</v>
      </c>
      <c r="D28" s="464">
        <v>5</v>
      </c>
      <c r="E28" s="465">
        <v>13</v>
      </c>
      <c r="F28" s="464">
        <v>144</v>
      </c>
      <c r="G28" s="464">
        <v>80</v>
      </c>
      <c r="H28" s="466">
        <v>26394.1</v>
      </c>
      <c r="I28" s="466">
        <v>23419.25</v>
      </c>
      <c r="J28" s="467">
        <f t="shared" si="1"/>
      </c>
      <c r="K28" s="467">
        <f t="shared" si="4"/>
      </c>
      <c r="L28" s="468">
        <f t="shared" si="2"/>
      </c>
      <c r="M28" s="469">
        <f t="shared" si="5"/>
      </c>
      <c r="N28" s="465">
        <v>17</v>
      </c>
      <c r="O28" s="469">
        <f t="shared" si="3"/>
      </c>
      <c r="P28" s="464"/>
      <c r="Q28" s="464"/>
    </row>
    <row hidden="true" r="29">
      <c r="A29" s="461" t="s">
        <v>651</v>
      </c>
      <c r="B29" s="470" t="s">
        <v>629</v>
      </c>
      <c r="C29" s="463" t="s">
        <v>635</v>
      </c>
      <c r="D29" s="464">
        <v>5</v>
      </c>
      <c r="E29" s="465">
        <v>10</v>
      </c>
      <c r="F29" s="464">
        <v>128</v>
      </c>
      <c r="G29" s="464">
        <v>78</v>
      </c>
      <c r="H29" s="464">
        <v>27588.300000000003</v>
      </c>
      <c r="I29" s="466">
        <v>23707.889999999992</v>
      </c>
      <c r="J29" s="467">
        <f t="shared" si="1"/>
      </c>
      <c r="K29" s="467">
        <f t="shared" si="4"/>
      </c>
      <c r="L29" s="468">
        <f t="shared" si="2"/>
      </c>
      <c r="M29" s="469">
        <f t="shared" si="5"/>
      </c>
      <c r="N29" s="465">
        <v>14</v>
      </c>
      <c r="O29" s="469">
        <f t="shared" si="3"/>
      </c>
      <c r="P29" s="464"/>
      <c r="Q29" s="464"/>
    </row>
    <row hidden="true" r="30">
      <c r="A30" s="461" t="s">
        <v>651</v>
      </c>
      <c r="B30" s="470" t="s">
        <v>634</v>
      </c>
      <c r="C30" s="463" t="s">
        <v>637</v>
      </c>
      <c r="D30" s="464">
        <v>5</v>
      </c>
      <c r="E30" s="465">
        <v>9</v>
      </c>
      <c r="F30" s="464">
        <v>101</v>
      </c>
      <c r="G30" s="464">
        <v>64</v>
      </c>
      <c r="H30" s="471">
        <v>21450</v>
      </c>
      <c r="I30" s="471">
        <v>24878.9</v>
      </c>
      <c r="J30" s="467">
        <f t="shared" si="1"/>
      </c>
      <c r="K30" s="467">
        <f t="shared" si="4"/>
      </c>
      <c r="L30" s="468">
        <f t="shared" si="2"/>
      </c>
      <c r="M30" s="469">
        <f t="shared" si="5"/>
      </c>
      <c r="N30" s="465">
        <v>4</v>
      </c>
      <c r="O30" s="469">
        <f t="shared" si="3"/>
      </c>
      <c r="P30" s="464" t="s">
        <v>650</v>
      </c>
      <c r="Q30" s="464">
        <v>10</v>
      </c>
    </row>
    <row hidden="true" r="31">
      <c r="A31" s="480" t="s">
        <v>651</v>
      </c>
      <c r="B31" s="481" t="s">
        <v>639</v>
      </c>
      <c r="C31" s="475"/>
      <c r="D31" s="475">
        <f>SUM(D27:D30)</f>
      </c>
      <c r="E31" s="475">
        <f>SUM(E27:E30)</f>
      </c>
      <c r="F31" s="475">
        <f>SUM(F27:F30)</f>
      </c>
      <c r="G31" s="475">
        <f>SUM(G27:G30)</f>
      </c>
      <c r="H31" s="475">
        <f>SUM(H27:H30)</f>
      </c>
      <c r="I31" s="475">
        <f>SUM(I27:I30)</f>
      </c>
      <c r="J31" s="476">
        <f t="shared" si="1"/>
      </c>
      <c r="K31" s="477">
        <f t="shared" si="4"/>
      </c>
      <c r="L31" s="477">
        <f t="shared" si="2"/>
      </c>
      <c r="M31" s="478">
        <f t="shared" si="5"/>
      </c>
      <c r="N31" s="475">
        <f>SUM(N27:N30)</f>
      </c>
      <c r="O31" s="478">
        <f t="shared" si="3"/>
      </c>
      <c r="P31" s="479"/>
      <c r="Q31" s="475">
        <f>SUM(Q27:Q30)</f>
      </c>
    </row>
    <row hidden="true" r="32">
      <c r="A32" s="461" t="s">
        <v>653</v>
      </c>
      <c r="B32" s="470" t="s">
        <v>641</v>
      </c>
      <c r="C32" s="463" t="s">
        <v>630</v>
      </c>
      <c r="D32" s="464">
        <v>5</v>
      </c>
      <c r="E32" s="465">
        <v>7</v>
      </c>
      <c r="F32" s="464">
        <v>147</v>
      </c>
      <c r="G32" s="464">
        <v>98</v>
      </c>
      <c r="H32" s="466">
        <v>33140.7</v>
      </c>
      <c r="I32" s="466">
        <v>30571.050000000003</v>
      </c>
      <c r="J32" s="467">
        <f t="shared" si="1"/>
      </c>
      <c r="K32" s="467">
        <f t="shared" si="4"/>
      </c>
      <c r="L32" s="468">
        <f t="shared" si="2"/>
      </c>
      <c r="M32" s="469">
        <f t="shared" si="5"/>
      </c>
      <c r="N32" s="465">
        <v>17</v>
      </c>
      <c r="O32" s="469">
        <f t="shared" si="3"/>
      </c>
      <c r="P32" s="464" t="s">
        <v>652</v>
      </c>
      <c r="Q32" s="464">
        <v>10</v>
      </c>
    </row>
    <row hidden="true" r="33">
      <c r="A33" s="461" t="s">
        <v>653</v>
      </c>
      <c r="B33" s="470" t="s">
        <v>632</v>
      </c>
      <c r="C33" s="463" t="s">
        <v>633</v>
      </c>
      <c r="D33" s="464">
        <v>5</v>
      </c>
      <c r="E33" s="465">
        <v>3</v>
      </c>
      <c r="F33" s="464">
        <v>153</v>
      </c>
      <c r="G33" s="464">
        <v>89</v>
      </c>
      <c r="H33" s="466">
        <v>29423.100000000006</v>
      </c>
      <c r="I33" s="466">
        <v>32414.130000000005</v>
      </c>
      <c r="J33" s="467">
        <f t="shared" si="1"/>
      </c>
      <c r="K33" s="467">
        <f t="shared" si="4"/>
      </c>
      <c r="L33" s="468">
        <f t="shared" si="2"/>
      </c>
      <c r="M33" s="469">
        <f t="shared" si="5"/>
      </c>
      <c r="N33" s="465">
        <v>5</v>
      </c>
      <c r="O33" s="469">
        <f t="shared" si="3"/>
      </c>
      <c r="P33" s="464"/>
      <c r="Q33" s="464"/>
    </row>
    <row hidden="true" r="34">
      <c r="A34" s="461" t="s">
        <v>653</v>
      </c>
      <c r="B34" s="470" t="s">
        <v>629</v>
      </c>
      <c r="C34" s="463" t="s">
        <v>635</v>
      </c>
      <c r="D34" s="464">
        <v>5</v>
      </c>
      <c r="E34" s="465">
        <v>36</v>
      </c>
      <c r="F34" s="464">
        <v>224</v>
      </c>
      <c r="G34" s="464">
        <v>139</v>
      </c>
      <c r="H34" s="464">
        <v>48906.3</v>
      </c>
      <c r="I34" s="466">
        <v>43536.69</v>
      </c>
      <c r="J34" s="467">
        <f t="shared" si="1"/>
      </c>
      <c r="K34" s="467">
        <f t="shared" si="4"/>
      </c>
      <c r="L34" s="468">
        <f t="shared" si="2"/>
      </c>
      <c r="M34" s="469">
        <f t="shared" si="5"/>
      </c>
      <c r="N34" s="465">
        <v>18</v>
      </c>
      <c r="O34" s="469">
        <f t="shared" si="3"/>
      </c>
      <c r="P34" s="464"/>
      <c r="Q34" s="464"/>
    </row>
    <row hidden="true" r="35">
      <c r="A35" s="461" t="s">
        <v>653</v>
      </c>
      <c r="B35" s="470" t="s">
        <v>634</v>
      </c>
      <c r="C35" s="463" t="s">
        <v>637</v>
      </c>
      <c r="D35" s="464">
        <v>5</v>
      </c>
      <c r="E35" s="465">
        <v>15</v>
      </c>
      <c r="F35" s="464">
        <v>221</v>
      </c>
      <c r="G35" s="464">
        <v>138</v>
      </c>
      <c r="H35" s="471">
        <v>47847.5</v>
      </c>
      <c r="I35" s="471">
        <v>51747.899999999994</v>
      </c>
      <c r="J35" s="467">
        <f t="shared" si="1"/>
      </c>
      <c r="K35" s="467">
        <f t="shared" si="4"/>
      </c>
      <c r="L35" s="468">
        <f t="shared" si="2"/>
      </c>
      <c r="M35" s="469">
        <f t="shared" si="5"/>
      </c>
      <c r="N35" s="465">
        <v>19</v>
      </c>
      <c r="O35" s="469">
        <f t="shared" si="3"/>
      </c>
      <c r="P35" s="464" t="s">
        <v>650</v>
      </c>
      <c r="Q35" s="464">
        <v>10</v>
      </c>
    </row>
    <row hidden="true" r="36">
      <c r="A36" s="480" t="s">
        <v>653</v>
      </c>
      <c r="B36" s="481" t="s">
        <v>639</v>
      </c>
      <c r="C36" s="475"/>
      <c r="D36" s="475">
        <f>SUM(D32:D35)</f>
      </c>
      <c r="E36" s="475">
        <f>SUM(E32:E35)</f>
      </c>
      <c r="F36" s="475">
        <f>SUM(F32:F35)</f>
      </c>
      <c r="G36" s="475">
        <f>SUM(G32:G35)</f>
      </c>
      <c r="H36" s="475">
        <f>SUM(H32:H35)</f>
      </c>
      <c r="I36" s="475">
        <f>SUM(I32:I35)</f>
      </c>
      <c r="J36" s="476">
        <f t="shared" si="1"/>
      </c>
      <c r="K36" s="477">
        <f t="shared" si="4"/>
      </c>
      <c r="L36" s="477">
        <f t="shared" si="2"/>
      </c>
      <c r="M36" s="478">
        <f t="shared" si="5"/>
      </c>
      <c r="N36" s="475">
        <f>SUM(N32:N35)</f>
      </c>
      <c r="O36" s="478">
        <f t="shared" si="3"/>
      </c>
      <c r="P36" s="479"/>
      <c r="Q36" s="475">
        <f>SUM(Q32:Q35)</f>
      </c>
    </row>
    <row hidden="true" r="37">
      <c r="A37" s="461" t="s">
        <v>654</v>
      </c>
      <c r="B37" s="470" t="s">
        <v>641</v>
      </c>
      <c r="C37" s="463" t="s">
        <v>630</v>
      </c>
      <c r="D37" s="464">
        <v>5</v>
      </c>
      <c r="E37" s="465">
        <v>8</v>
      </c>
      <c r="F37" s="464">
        <v>140</v>
      </c>
      <c r="G37" s="464">
        <v>77</v>
      </c>
      <c r="H37" s="466">
        <v>29049.2</v>
      </c>
      <c r="I37" s="466">
        <v>26544.39</v>
      </c>
      <c r="J37" s="467">
        <f t="shared" si="1"/>
      </c>
      <c r="K37" s="467">
        <f t="shared" si="4"/>
      </c>
      <c r="L37" s="468">
        <f t="shared" si="2"/>
      </c>
      <c r="M37" s="469">
        <f t="shared" si="5"/>
      </c>
      <c r="N37" s="465">
        <v>13</v>
      </c>
      <c r="O37" s="469">
        <f t="shared" si="3"/>
      </c>
      <c r="P37" s="464" t="s">
        <v>652</v>
      </c>
      <c r="Q37" s="464">
        <v>10</v>
      </c>
    </row>
    <row hidden="true" r="38">
      <c r="A38" s="461" t="s">
        <v>654</v>
      </c>
      <c r="B38" s="470" t="s">
        <v>632</v>
      </c>
      <c r="C38" s="463" t="s">
        <v>633</v>
      </c>
      <c r="D38" s="464">
        <v>5</v>
      </c>
      <c r="E38" s="465">
        <v>14</v>
      </c>
      <c r="F38" s="464">
        <v>160</v>
      </c>
      <c r="G38" s="464">
        <v>99</v>
      </c>
      <c r="H38" s="466">
        <v>31934.399999999998</v>
      </c>
      <c r="I38" s="466">
        <v>31491.489999999998</v>
      </c>
      <c r="J38" s="467">
        <f t="shared" si="1"/>
      </c>
      <c r="K38" s="467">
        <f t="shared" si="4"/>
      </c>
      <c r="L38" s="468">
        <f t="shared" si="2"/>
      </c>
      <c r="M38" s="469">
        <f t="shared" si="5"/>
      </c>
      <c r="N38" s="465">
        <v>11</v>
      </c>
      <c r="O38" s="469">
        <f t="shared" si="3"/>
      </c>
      <c r="P38" s="464"/>
      <c r="Q38" s="464"/>
    </row>
    <row hidden="true" r="39">
      <c r="A39" s="461" t="s">
        <v>654</v>
      </c>
      <c r="B39" s="470" t="s">
        <v>629</v>
      </c>
      <c r="C39" s="463" t="s">
        <v>635</v>
      </c>
      <c r="D39" s="464">
        <v>5</v>
      </c>
      <c r="E39" s="465">
        <v>34</v>
      </c>
      <c r="F39" s="464">
        <v>242</v>
      </c>
      <c r="G39" s="464">
        <v>146</v>
      </c>
      <c r="H39" s="464">
        <v>44868.799999999996</v>
      </c>
      <c r="I39" s="466">
        <v>46544.74</v>
      </c>
      <c r="J39" s="467">
        <f t="shared" si="1"/>
      </c>
      <c r="K39" s="467">
        <f t="shared" si="4"/>
      </c>
      <c r="L39" s="468">
        <f t="shared" si="2"/>
      </c>
      <c r="M39" s="469">
        <f t="shared" si="5"/>
      </c>
      <c r="N39" s="465">
        <v>26</v>
      </c>
      <c r="O39" s="469">
        <f t="shared" si="3"/>
      </c>
      <c r="P39" s="464"/>
      <c r="Q39" s="464"/>
    </row>
    <row hidden="true" r="40">
      <c r="A40" s="461" t="s">
        <v>654</v>
      </c>
      <c r="B40" s="470" t="s">
        <v>634</v>
      </c>
      <c r="C40" s="463" t="s">
        <v>637</v>
      </c>
      <c r="D40" s="464">
        <v>5</v>
      </c>
      <c r="E40" s="465">
        <v>24</v>
      </c>
      <c r="F40" s="464">
        <v>165</v>
      </c>
      <c r="G40" s="464">
        <v>104</v>
      </c>
      <c r="H40" s="471">
        <v>34693</v>
      </c>
      <c r="I40" s="471">
        <v>37164</v>
      </c>
      <c r="J40" s="467">
        <f t="shared" si="1"/>
      </c>
      <c r="K40" s="467">
        <f t="shared" si="4"/>
      </c>
      <c r="L40" s="468">
        <f t="shared" si="2"/>
      </c>
      <c r="M40" s="469">
        <f t="shared" si="5"/>
      </c>
      <c r="N40" s="465">
        <v>8</v>
      </c>
      <c r="O40" s="469">
        <f t="shared" si="3"/>
      </c>
      <c r="P40" s="464" t="s">
        <v>650</v>
      </c>
      <c r="Q40" s="464">
        <v>10</v>
      </c>
    </row>
    <row hidden="true" r="41">
      <c r="A41" s="480" t="s">
        <v>654</v>
      </c>
      <c r="B41" s="481" t="s">
        <v>639</v>
      </c>
      <c r="C41" s="475"/>
      <c r="D41" s="475">
        <f>SUM(D37:D40)</f>
      </c>
      <c r="E41" s="475">
        <f>SUM(E37:E40)</f>
      </c>
      <c r="F41" s="475">
        <f>SUM(F37:F40)</f>
      </c>
      <c r="G41" s="475">
        <f>SUM(G37:G40)</f>
      </c>
      <c r="H41" s="475">
        <f>SUM(H37:H40)</f>
      </c>
      <c r="I41" s="475">
        <f>SUM(I37:I40)</f>
      </c>
      <c r="J41" s="476">
        <f t="shared" si="1"/>
      </c>
      <c r="K41" s="477">
        <f t="shared" si="4"/>
      </c>
      <c r="L41" s="477">
        <f t="shared" si="2"/>
      </c>
      <c r="M41" s="478">
        <f t="shared" si="5"/>
      </c>
      <c r="N41" s="475">
        <f>SUM(N37:N40)</f>
      </c>
      <c r="O41" s="478">
        <f t="shared" si="3"/>
      </c>
      <c r="P41" s="479"/>
      <c r="Q41" s="475">
        <f>SUM(Q37:Q40)</f>
      </c>
    </row>
    <row hidden="true" r="42">
      <c r="A42" s="461" t="s">
        <v>655</v>
      </c>
      <c r="B42" s="470" t="s">
        <v>641</v>
      </c>
      <c r="C42" s="463" t="s">
        <v>630</v>
      </c>
      <c r="D42" s="464">
        <v>5</v>
      </c>
      <c r="E42" s="465">
        <v>20</v>
      </c>
      <c r="F42" s="464">
        <v>182</v>
      </c>
      <c r="G42" s="464">
        <v>112</v>
      </c>
      <c r="H42" s="464">
        <v>39259.7</v>
      </c>
      <c r="I42" s="466">
        <v>37348.99</v>
      </c>
      <c r="J42" s="467">
        <f t="shared" si="1"/>
      </c>
      <c r="K42" s="467">
        <f t="shared" si="4"/>
      </c>
      <c r="L42" s="468">
        <f t="shared" si="2"/>
      </c>
      <c r="M42" s="469">
        <f t="shared" si="5"/>
      </c>
      <c r="N42" s="465">
        <v>16</v>
      </c>
      <c r="O42" s="469">
        <f t="shared" si="3"/>
      </c>
      <c r="P42" s="464" t="s">
        <v>652</v>
      </c>
      <c r="Q42" s="464">
        <v>10</v>
      </c>
    </row>
    <row hidden="true" r="43">
      <c r="A43" s="461" t="s">
        <v>655</v>
      </c>
      <c r="B43" s="470" t="s">
        <v>632</v>
      </c>
      <c r="C43" s="463" t="s">
        <v>633</v>
      </c>
      <c r="D43" s="464">
        <v>5</v>
      </c>
      <c r="E43" s="465">
        <v>20</v>
      </c>
      <c r="F43" s="464">
        <v>170</v>
      </c>
      <c r="G43" s="464">
        <v>98</v>
      </c>
      <c r="H43" s="466">
        <v>32207.800000000003</v>
      </c>
      <c r="I43" s="466">
        <v>35316.72000000001</v>
      </c>
      <c r="J43" s="467">
        <f t="shared" si="1"/>
      </c>
      <c r="K43" s="467">
        <f t="shared" si="4"/>
      </c>
      <c r="L43" s="468">
        <f t="shared" si="2"/>
      </c>
      <c r="M43" s="469">
        <f t="shared" si="5"/>
      </c>
      <c r="N43" s="465">
        <v>15</v>
      </c>
      <c r="O43" s="469">
        <f t="shared" si="3"/>
      </c>
      <c r="P43" s="464"/>
      <c r="Q43" s="464"/>
    </row>
    <row hidden="true" r="44">
      <c r="A44" s="461" t="s">
        <v>655</v>
      </c>
      <c r="B44" s="470" t="s">
        <v>636</v>
      </c>
      <c r="C44" s="463" t="s">
        <v>635</v>
      </c>
      <c r="D44" s="464">
        <v>5</v>
      </c>
      <c r="E44" s="465">
        <v>20</v>
      </c>
      <c r="F44" s="464">
        <v>159</v>
      </c>
      <c r="G44" s="464">
        <v>103</v>
      </c>
      <c r="H44" s="464">
        <v>37213.7</v>
      </c>
      <c r="I44" s="466">
        <v>38163.259999999995</v>
      </c>
      <c r="J44" s="467">
        <f t="shared" si="1"/>
      </c>
      <c r="K44" s="467">
        <f t="shared" si="4"/>
      </c>
      <c r="L44" s="468">
        <f t="shared" si="2"/>
      </c>
      <c r="M44" s="469">
        <f t="shared" si="5"/>
      </c>
      <c r="N44" s="465">
        <v>16</v>
      </c>
      <c r="O44" s="469">
        <f t="shared" si="3"/>
      </c>
      <c r="P44" s="464"/>
      <c r="Q44" s="464"/>
    </row>
    <row hidden="true" r="45">
      <c r="A45" s="461" t="s">
        <v>655</v>
      </c>
      <c r="B45" s="470" t="s">
        <v>629</v>
      </c>
      <c r="C45" s="463" t="s">
        <v>637</v>
      </c>
      <c r="D45" s="464">
        <v>5</v>
      </c>
      <c r="E45" s="465">
        <v>10</v>
      </c>
      <c r="F45" s="464">
        <v>112</v>
      </c>
      <c r="G45" s="464">
        <v>73</v>
      </c>
      <c r="H45" s="471">
        <v>25301.40000000001</v>
      </c>
      <c r="I45" s="471">
        <v>21757.35</v>
      </c>
      <c r="J45" s="467">
        <f t="shared" si="1"/>
      </c>
      <c r="K45" s="467">
        <f t="shared" si="4"/>
      </c>
      <c r="L45" s="468">
        <f t="shared" si="2"/>
      </c>
      <c r="M45" s="469">
        <f t="shared" si="5"/>
      </c>
      <c r="N45" s="465">
        <v>19</v>
      </c>
      <c r="O45" s="469">
        <f t="shared" si="3"/>
      </c>
      <c r="P45" s="464" t="s">
        <v>650</v>
      </c>
      <c r="Q45" s="464">
        <v>10</v>
      </c>
    </row>
    <row hidden="true" r="46">
      <c r="A46" s="480" t="s">
        <v>655</v>
      </c>
      <c r="B46" s="481" t="s">
        <v>639</v>
      </c>
      <c r="C46" s="475"/>
      <c r="D46" s="475">
        <f>SUM(D42:D45)</f>
      </c>
      <c r="E46" s="475">
        <f>SUM(E42:E45)</f>
      </c>
      <c r="F46" s="475">
        <f>SUM(F42:F45)</f>
      </c>
      <c r="G46" s="475">
        <f>SUM(G42:G45)</f>
      </c>
      <c r="H46" s="475">
        <f>SUM(H42:H45)</f>
      </c>
      <c r="I46" s="475">
        <f>SUM(I42:I45)</f>
      </c>
      <c r="J46" s="476">
        <f t="shared" si="1"/>
      </c>
      <c r="K46" s="477">
        <f t="shared" si="4"/>
      </c>
      <c r="L46" s="477">
        <f t="shared" si="2"/>
      </c>
      <c r="M46" s="478">
        <f t="shared" si="5"/>
      </c>
      <c r="N46" s="475">
        <f>SUM(N42:N45)</f>
      </c>
      <c r="O46" s="478">
        <f t="shared" si="3"/>
      </c>
      <c r="P46" s="479"/>
      <c r="Q46" s="475">
        <f>SUM(Q42:Q45)</f>
      </c>
    </row>
    <row hidden="true" r="47">
      <c r="A47" s="461" t="s">
        <v>656</v>
      </c>
      <c r="B47" s="470" t="s">
        <v>641</v>
      </c>
      <c r="C47" s="463" t="s">
        <v>630</v>
      </c>
      <c r="D47" s="464">
        <v>5</v>
      </c>
      <c r="E47" s="465">
        <v>16</v>
      </c>
      <c r="F47" s="464">
        <v>164</v>
      </c>
      <c r="G47" s="464">
        <v>104</v>
      </c>
      <c r="H47" s="464">
        <v>32767.2</v>
      </c>
      <c r="I47" s="466">
        <v>31625.359999999997</v>
      </c>
      <c r="J47" s="467">
        <f t="shared" si="1"/>
      </c>
      <c r="K47" s="467">
        <f t="shared" si="4"/>
      </c>
      <c r="L47" s="468">
        <f t="shared" si="2"/>
      </c>
      <c r="M47" s="469">
        <f t="shared" si="5"/>
      </c>
      <c r="N47" s="465">
        <v>20</v>
      </c>
      <c r="O47" s="469">
        <f t="shared" si="3"/>
      </c>
      <c r="P47" s="464" t="s">
        <v>646</v>
      </c>
      <c r="Q47" s="464">
        <v>10</v>
      </c>
    </row>
    <row hidden="true" r="48">
      <c r="A48" s="461" t="s">
        <v>656</v>
      </c>
      <c r="B48" s="470" t="s">
        <v>632</v>
      </c>
      <c r="C48" s="463" t="s">
        <v>633</v>
      </c>
      <c r="D48" s="464">
        <v>5</v>
      </c>
      <c r="E48" s="465">
        <v>14</v>
      </c>
      <c r="F48" s="464">
        <v>170</v>
      </c>
      <c r="G48" s="464">
        <v>99</v>
      </c>
      <c r="H48" s="466">
        <v>38502.399999999994</v>
      </c>
      <c r="I48" s="466">
        <v>33889.119999999995</v>
      </c>
      <c r="J48" s="467">
        <f t="shared" si="1"/>
      </c>
      <c r="K48" s="467">
        <f t="shared" si="4"/>
      </c>
      <c r="L48" s="468">
        <f t="shared" si="2"/>
      </c>
      <c r="M48" s="469">
        <f t="shared" si="5"/>
      </c>
      <c r="N48" s="465">
        <v>11</v>
      </c>
      <c r="O48" s="469">
        <f t="shared" si="3"/>
      </c>
      <c r="P48" s="464"/>
      <c r="Q48" s="464"/>
    </row>
    <row hidden="true" r="49">
      <c r="A49" s="461" t="s">
        <v>656</v>
      </c>
      <c r="B49" s="470" t="s">
        <v>636</v>
      </c>
      <c r="C49" s="463" t="s">
        <v>635</v>
      </c>
      <c r="D49" s="464">
        <v>5</v>
      </c>
      <c r="E49" s="465">
        <v>24</v>
      </c>
      <c r="F49" s="464">
        <v>143</v>
      </c>
      <c r="G49" s="464">
        <v>93</v>
      </c>
      <c r="H49" s="464">
        <v>31915.199999999997</v>
      </c>
      <c r="I49" s="466">
        <v>27679.76000000001</v>
      </c>
      <c r="J49" s="467">
        <f t="shared" si="1"/>
      </c>
      <c r="K49" s="467">
        <f t="shared" si="4"/>
      </c>
      <c r="L49" s="468">
        <f t="shared" si="2"/>
      </c>
      <c r="M49" s="469">
        <f t="shared" si="5"/>
      </c>
      <c r="N49" s="465">
        <v>15</v>
      </c>
      <c r="O49" s="469">
        <f t="shared" si="3"/>
      </c>
      <c r="P49" s="464"/>
      <c r="Q49" s="464"/>
    </row>
    <row hidden="true" r="50">
      <c r="A50" s="461" t="s">
        <v>656</v>
      </c>
      <c r="B50" s="470" t="s">
        <v>629</v>
      </c>
      <c r="C50" s="463" t="s">
        <v>637</v>
      </c>
      <c r="D50" s="464">
        <v>5</v>
      </c>
      <c r="E50" s="465">
        <v>17</v>
      </c>
      <c r="F50" s="464">
        <v>134</v>
      </c>
      <c r="G50" s="464">
        <v>87</v>
      </c>
      <c r="H50" s="471">
        <v>34351.5</v>
      </c>
      <c r="I50" s="471">
        <v>25351.97</v>
      </c>
      <c r="J50" s="467">
        <f t="shared" si="1"/>
      </c>
      <c r="K50" s="467">
        <f t="shared" si="4"/>
      </c>
      <c r="L50" s="468">
        <f t="shared" si="2"/>
      </c>
      <c r="M50" s="469">
        <f t="shared" si="5"/>
      </c>
      <c r="N50" s="465">
        <v>19</v>
      </c>
      <c r="O50" s="469">
        <f t="shared" si="3"/>
      </c>
      <c r="P50" s="464" t="s">
        <v>657</v>
      </c>
      <c r="Q50" s="464">
        <v>10</v>
      </c>
    </row>
    <row hidden="true" r="51">
      <c r="A51" s="480" t="s">
        <v>656</v>
      </c>
      <c r="B51" s="481" t="s">
        <v>639</v>
      </c>
      <c r="C51" s="475"/>
      <c r="D51" s="475">
        <f>SUM(D47:D50)</f>
      </c>
      <c r="E51" s="475">
        <f>SUM(E47:E50)</f>
      </c>
      <c r="F51" s="475">
        <f>SUM(F47:F50)</f>
      </c>
      <c r="G51" s="475">
        <f>SUM(G47:G50)</f>
      </c>
      <c r="H51" s="475">
        <f>SUM(H47:H50)</f>
      </c>
      <c r="I51" s="475">
        <f>SUM(I47:I50)</f>
      </c>
      <c r="J51" s="476">
        <f t="shared" si="1"/>
      </c>
      <c r="K51" s="477">
        <f t="shared" si="4"/>
      </c>
      <c r="L51" s="477">
        <f t="shared" si="2"/>
      </c>
      <c r="M51" s="478">
        <f t="shared" si="5"/>
      </c>
      <c r="N51" s="475">
        <f>SUM(N47:N50)</f>
      </c>
      <c r="O51" s="478">
        <f t="shared" si="3"/>
      </c>
      <c r="P51" s="479"/>
      <c r="Q51" s="475">
        <f>SUM(Q47:Q50)</f>
      </c>
    </row>
    <row hidden="true" r="52">
      <c r="A52" s="461" t="s">
        <v>658</v>
      </c>
      <c r="B52" s="470" t="s">
        <v>641</v>
      </c>
      <c r="C52" s="463" t="s">
        <v>630</v>
      </c>
      <c r="D52" s="464">
        <v>5</v>
      </c>
      <c r="E52" s="465">
        <v>23</v>
      </c>
      <c r="F52" s="464">
        <v>138</v>
      </c>
      <c r="G52" s="464">
        <v>80</v>
      </c>
      <c r="H52" s="464">
        <v>27002</v>
      </c>
      <c r="I52" s="466">
        <v>26437.160000000003</v>
      </c>
      <c r="J52" s="467">
        <f t="shared" si="1"/>
      </c>
      <c r="K52" s="467">
        <f t="shared" si="4"/>
      </c>
      <c r="L52" s="468">
        <f t="shared" si="2"/>
      </c>
      <c r="M52" s="469">
        <f t="shared" si="5"/>
      </c>
      <c r="N52" s="465">
        <v>10</v>
      </c>
      <c r="O52" s="469">
        <f t="shared" si="3"/>
      </c>
      <c r="P52" s="464" t="s">
        <v>631</v>
      </c>
      <c r="Q52" s="464">
        <v>10</v>
      </c>
    </row>
    <row hidden="true" r="53">
      <c r="A53" s="461" t="s">
        <v>658</v>
      </c>
      <c r="B53" s="470" t="s">
        <v>636</v>
      </c>
      <c r="C53" s="463" t="s">
        <v>633</v>
      </c>
      <c r="D53" s="464">
        <v>5</v>
      </c>
      <c r="E53" s="465">
        <v>13</v>
      </c>
      <c r="F53" s="464">
        <v>127</v>
      </c>
      <c r="G53" s="464">
        <v>86</v>
      </c>
      <c r="H53" s="466">
        <v>31089.4</v>
      </c>
      <c r="I53" s="466">
        <v>25796.190000000002</v>
      </c>
      <c r="J53" s="467">
        <f t="shared" si="1"/>
      </c>
      <c r="K53" s="467">
        <f t="shared" si="4"/>
      </c>
      <c r="L53" s="468">
        <f t="shared" si="2"/>
      </c>
      <c r="M53" s="469">
        <f t="shared" si="5"/>
      </c>
      <c r="N53" s="465">
        <v>17</v>
      </c>
      <c r="O53" s="469">
        <f t="shared" si="3"/>
      </c>
      <c r="P53" s="464"/>
      <c r="Q53" s="464"/>
    </row>
    <row hidden="true" r="54">
      <c r="A54" s="461" t="s">
        <v>658</v>
      </c>
      <c r="B54" s="482" t="s">
        <v>634</v>
      </c>
      <c r="C54" s="463" t="s">
        <v>635</v>
      </c>
      <c r="D54" s="464">
        <v>5</v>
      </c>
      <c r="E54" s="465">
        <v>25</v>
      </c>
      <c r="F54" s="464">
        <v>196</v>
      </c>
      <c r="G54" s="464">
        <v>116</v>
      </c>
      <c r="H54" s="464">
        <v>35604.00000000001</v>
      </c>
      <c r="I54" s="466">
        <v>42827.57999999999</v>
      </c>
      <c r="J54" s="467">
        <f t="shared" si="1"/>
      </c>
      <c r="K54" s="467">
        <f t="shared" si="4"/>
      </c>
      <c r="L54" s="468">
        <f t="shared" si="2"/>
      </c>
      <c r="M54" s="469">
        <f t="shared" si="5"/>
      </c>
      <c r="N54" s="465">
        <v>9</v>
      </c>
      <c r="O54" s="469">
        <f t="shared" si="3"/>
      </c>
      <c r="P54" s="464"/>
      <c r="Q54" s="464"/>
    </row>
    <row hidden="true" r="55">
      <c r="A55" s="461" t="s">
        <v>658</v>
      </c>
      <c r="B55" s="470" t="s">
        <v>629</v>
      </c>
      <c r="C55" s="463" t="s">
        <v>637</v>
      </c>
      <c r="D55" s="464">
        <v>5</v>
      </c>
      <c r="E55" s="465">
        <v>16</v>
      </c>
      <c r="F55" s="464">
        <v>177</v>
      </c>
      <c r="G55" s="464">
        <v>119</v>
      </c>
      <c r="H55" s="471">
        <v>44201.7</v>
      </c>
      <c r="I55" s="471">
        <v>36007.70999999999</v>
      </c>
      <c r="J55" s="467">
        <f t="shared" si="1"/>
      </c>
      <c r="K55" s="467">
        <f t="shared" si="4"/>
      </c>
      <c r="L55" s="468">
        <f t="shared" si="2"/>
      </c>
      <c r="M55" s="469">
        <f t="shared" si="5"/>
      </c>
      <c r="N55" s="465">
        <v>27</v>
      </c>
      <c r="O55" s="469">
        <f t="shared" si="3"/>
      </c>
      <c r="P55" s="464" t="s">
        <v>657</v>
      </c>
      <c r="Q55" s="464">
        <v>10</v>
      </c>
    </row>
    <row hidden="true" r="56">
      <c r="A56" s="480" t="s">
        <v>658</v>
      </c>
      <c r="B56" s="481" t="s">
        <v>639</v>
      </c>
      <c r="C56" s="475"/>
      <c r="D56" s="475">
        <f>SUM(D52:D55)</f>
      </c>
      <c r="E56" s="475">
        <f>SUM(E52:E55)</f>
      </c>
      <c r="F56" s="475">
        <f>SUM(F52:F55)</f>
      </c>
      <c r="G56" s="475">
        <f>SUM(G52:G55)</f>
      </c>
      <c r="H56" s="475">
        <f>SUM(H52:H55)</f>
      </c>
      <c r="I56" s="475">
        <f>SUM(I52:I55)</f>
      </c>
      <c r="J56" s="476">
        <f t="shared" si="1"/>
      </c>
      <c r="K56" s="477">
        <f t="shared" si="4"/>
      </c>
      <c r="L56" s="477">
        <f t="shared" si="2"/>
      </c>
      <c r="M56" s="478">
        <f t="shared" si="5"/>
      </c>
      <c r="N56" s="475">
        <f>SUM(N52:N55)</f>
      </c>
      <c r="O56" s="478">
        <f t="shared" si="3"/>
      </c>
      <c r="P56" s="479"/>
      <c r="Q56" s="475">
        <f>SUM(Q52:Q55)</f>
      </c>
    </row>
    <row hidden="true" r="57">
      <c r="A57" s="461" t="s">
        <v>659</v>
      </c>
      <c r="B57" s="470" t="s">
        <v>641</v>
      </c>
      <c r="C57" s="463" t="s">
        <v>630</v>
      </c>
      <c r="D57" s="464">
        <v>5</v>
      </c>
      <c r="E57" s="465">
        <v>18</v>
      </c>
      <c r="F57" s="464">
        <v>155</v>
      </c>
      <c r="G57" s="464">
        <v>95</v>
      </c>
      <c r="H57" s="464">
        <v>35121.6</v>
      </c>
      <c r="I57" s="466">
        <v>29846.41</v>
      </c>
      <c r="J57" s="467">
        <f t="shared" si="1"/>
      </c>
      <c r="K57" s="467">
        <f t="shared" si="4"/>
      </c>
      <c r="L57" s="468">
        <f t="shared" si="2"/>
      </c>
      <c r="M57" s="469">
        <f t="shared" si="5"/>
      </c>
      <c r="N57" s="465">
        <v>16</v>
      </c>
      <c r="O57" s="469">
        <f t="shared" si="3"/>
      </c>
      <c r="P57" s="464" t="s">
        <v>631</v>
      </c>
      <c r="Q57" s="464">
        <v>10</v>
      </c>
    </row>
    <row hidden="true" r="58">
      <c r="A58" s="461" t="s">
        <v>659</v>
      </c>
      <c r="B58" s="470" t="s">
        <v>632</v>
      </c>
      <c r="C58" s="463" t="s">
        <v>633</v>
      </c>
      <c r="D58" s="464">
        <v>5</v>
      </c>
      <c r="E58" s="465">
        <v>16</v>
      </c>
      <c r="F58" s="464">
        <v>142</v>
      </c>
      <c r="G58" s="464">
        <v>90</v>
      </c>
      <c r="H58" s="466">
        <v>30511.6</v>
      </c>
      <c r="I58" s="466">
        <v>29043.890000000003</v>
      </c>
      <c r="J58" s="467">
        <f t="shared" si="1"/>
      </c>
      <c r="K58" s="467">
        <f t="shared" si="4"/>
      </c>
      <c r="L58" s="468">
        <f t="shared" si="2"/>
      </c>
      <c r="M58" s="469">
        <f t="shared" si="5"/>
      </c>
      <c r="N58" s="465">
        <v>14</v>
      </c>
      <c r="O58" s="469">
        <f t="shared" si="3"/>
      </c>
      <c r="P58" s="464"/>
      <c r="Q58" s="464"/>
    </row>
    <row hidden="true" r="59">
      <c r="A59" s="461" t="s">
        <v>659</v>
      </c>
      <c r="B59" s="470" t="s">
        <v>629</v>
      </c>
      <c r="C59" s="463" t="s">
        <v>635</v>
      </c>
      <c r="D59" s="464">
        <v>5</v>
      </c>
      <c r="E59" s="465">
        <v>12</v>
      </c>
      <c r="F59" s="464">
        <v>146</v>
      </c>
      <c r="G59" s="464">
        <v>97</v>
      </c>
      <c r="H59" s="464">
        <v>31630.499999999985</v>
      </c>
      <c r="I59" s="466">
        <v>34174.2</v>
      </c>
      <c r="J59" s="467">
        <f t="shared" si="1"/>
      </c>
      <c r="K59" s="467">
        <f t="shared" si="4"/>
      </c>
      <c r="L59" s="468">
        <f t="shared" si="2"/>
      </c>
      <c r="M59" s="469">
        <f t="shared" si="5"/>
      </c>
      <c r="N59" s="465">
        <v>13</v>
      </c>
      <c r="O59" s="469">
        <f t="shared" si="3"/>
      </c>
      <c r="P59" s="464"/>
      <c r="Q59" s="464"/>
    </row>
    <row hidden="true" r="60">
      <c r="A60" s="461" t="s">
        <v>659</v>
      </c>
      <c r="B60" s="482" t="s">
        <v>634</v>
      </c>
      <c r="C60" s="463" t="s">
        <v>637</v>
      </c>
      <c r="D60" s="464">
        <v>5</v>
      </c>
      <c r="E60" s="465">
        <v>13</v>
      </c>
      <c r="F60" s="464">
        <v>163</v>
      </c>
      <c r="G60" s="464">
        <v>102</v>
      </c>
      <c r="H60" s="471">
        <v>39201.600000000006</v>
      </c>
      <c r="I60" s="471">
        <v>41033.56000000003</v>
      </c>
      <c r="J60" s="467">
        <f t="shared" si="1"/>
      </c>
      <c r="K60" s="467">
        <f t="shared" si="4"/>
      </c>
      <c r="L60" s="468">
        <f t="shared" si="2"/>
      </c>
      <c r="M60" s="469">
        <f t="shared" si="5"/>
      </c>
      <c r="N60" s="465">
        <v>20</v>
      </c>
      <c r="O60" s="469">
        <f t="shared" si="3"/>
      </c>
      <c r="P60" s="464" t="s">
        <v>657</v>
      </c>
      <c r="Q60" s="464">
        <v>10</v>
      </c>
    </row>
    <row hidden="true" r="61">
      <c r="A61" s="480" t="s">
        <v>659</v>
      </c>
      <c r="B61" s="481" t="s">
        <v>639</v>
      </c>
      <c r="C61" s="475"/>
      <c r="D61" s="475">
        <f>SUM(D57:D60)</f>
      </c>
      <c r="E61" s="475">
        <f>SUM(E57:E60)</f>
      </c>
      <c r="F61" s="475">
        <f>SUM(F57:F60)</f>
      </c>
      <c r="G61" s="475">
        <f>SUM(G57:G60)</f>
      </c>
      <c r="H61" s="475">
        <f>SUM(H57:H60)</f>
      </c>
      <c r="I61" s="475">
        <f>SUM(I57:I60)</f>
      </c>
      <c r="J61" s="476">
        <f t="shared" si="1"/>
      </c>
      <c r="K61" s="477">
        <f t="shared" si="4"/>
      </c>
      <c r="L61" s="477">
        <f t="shared" si="2"/>
      </c>
      <c r="M61" s="478">
        <f t="shared" si="5"/>
      </c>
      <c r="N61" s="475">
        <f>SUM(N57:N60)</f>
      </c>
      <c r="O61" s="478">
        <f t="shared" si="3"/>
      </c>
      <c r="P61" s="479"/>
      <c r="Q61" s="475">
        <f>SUM(Q57:Q60)</f>
      </c>
    </row>
    <row hidden="true" r="62">
      <c r="A62" s="461" t="s">
        <v>660</v>
      </c>
      <c r="B62" s="470" t="s">
        <v>641</v>
      </c>
      <c r="C62" s="463" t="s">
        <v>630</v>
      </c>
      <c r="D62" s="464">
        <v>5</v>
      </c>
      <c r="E62" s="465">
        <v>19</v>
      </c>
      <c r="F62" s="464">
        <v>186</v>
      </c>
      <c r="G62" s="464">
        <v>117</v>
      </c>
      <c r="H62" s="464">
        <v>38202.3</v>
      </c>
      <c r="I62" s="466">
        <v>36066.78</v>
      </c>
      <c r="J62" s="467">
        <f t="shared" si="1"/>
      </c>
      <c r="K62" s="467">
        <f t="shared" si="4"/>
      </c>
      <c r="L62" s="468">
        <f t="shared" si="2"/>
      </c>
      <c r="M62" s="469">
        <f t="shared" si="5"/>
      </c>
      <c r="N62" s="465">
        <v>27</v>
      </c>
      <c r="O62" s="469">
        <f t="shared" si="3"/>
      </c>
      <c r="P62" s="464" t="s">
        <v>631</v>
      </c>
      <c r="Q62" s="464">
        <v>10</v>
      </c>
    </row>
    <row hidden="true" r="63">
      <c r="A63" s="461" t="s">
        <v>660</v>
      </c>
      <c r="B63" s="470" t="s">
        <v>632</v>
      </c>
      <c r="C63" s="463" t="s">
        <v>633</v>
      </c>
      <c r="D63" s="464">
        <v>5</v>
      </c>
      <c r="E63" s="465">
        <v>24</v>
      </c>
      <c r="F63" s="464">
        <v>170</v>
      </c>
      <c r="G63" s="464">
        <v>102</v>
      </c>
      <c r="H63" s="466">
        <v>32457</v>
      </c>
      <c r="I63" s="466">
        <v>37144.42</v>
      </c>
      <c r="J63" s="467">
        <f t="shared" si="1"/>
      </c>
      <c r="K63" s="467">
        <f t="shared" si="4"/>
      </c>
      <c r="L63" s="468">
        <f t="shared" si="2"/>
      </c>
      <c r="M63" s="469">
        <f t="shared" si="5"/>
      </c>
      <c r="N63" s="465">
        <v>14</v>
      </c>
      <c r="O63" s="469">
        <f t="shared" si="3"/>
      </c>
      <c r="P63" s="464"/>
      <c r="Q63" s="464"/>
    </row>
    <row hidden="true" r="64">
      <c r="A64" s="461" t="s">
        <v>660</v>
      </c>
      <c r="B64" s="470" t="s">
        <v>636</v>
      </c>
      <c r="C64" s="463" t="s">
        <v>635</v>
      </c>
      <c r="D64" s="464">
        <v>5</v>
      </c>
      <c r="E64" s="465">
        <v>10</v>
      </c>
      <c r="F64" s="464">
        <v>115</v>
      </c>
      <c r="G64" s="464">
        <v>67</v>
      </c>
      <c r="H64" s="464">
        <v>27317.09999999999</v>
      </c>
      <c r="I64" s="466">
        <v>35798.66</v>
      </c>
      <c r="J64" s="467">
        <f t="shared" si="1"/>
      </c>
      <c r="K64" s="467">
        <f t="shared" si="4"/>
      </c>
      <c r="L64" s="468">
        <f t="shared" si="2"/>
      </c>
      <c r="M64" s="469">
        <f t="shared" si="5"/>
      </c>
      <c r="N64" s="465">
        <v>10</v>
      </c>
      <c r="O64" s="469">
        <f t="shared" si="3"/>
      </c>
      <c r="P64" s="464"/>
      <c r="Q64" s="464"/>
    </row>
    <row hidden="true" r="65">
      <c r="A65" s="461" t="s">
        <v>660</v>
      </c>
      <c r="B65" s="470" t="s">
        <v>629</v>
      </c>
      <c r="C65" s="463" t="s">
        <v>637</v>
      </c>
      <c r="D65" s="464">
        <v>5</v>
      </c>
      <c r="E65" s="465">
        <v>7</v>
      </c>
      <c r="F65" s="464">
        <v>105</v>
      </c>
      <c r="G65" s="464">
        <v>69</v>
      </c>
      <c r="H65" s="471">
        <v>28790.600000000006</v>
      </c>
      <c r="I65" s="471">
        <v>22062.37000000001</v>
      </c>
      <c r="J65" s="467">
        <f t="shared" si="1"/>
      </c>
      <c r="K65" s="467">
        <f t="shared" si="4"/>
      </c>
      <c r="L65" s="468">
        <f t="shared" si="2"/>
      </c>
      <c r="M65" s="469">
        <f t="shared" si="5"/>
      </c>
      <c r="N65" s="465">
        <v>13</v>
      </c>
      <c r="O65" s="469">
        <f t="shared" si="3"/>
      </c>
      <c r="P65" s="464" t="s">
        <v>661</v>
      </c>
      <c r="Q65" s="464">
        <v>10</v>
      </c>
    </row>
    <row hidden="true" r="66">
      <c r="A66" s="480" t="s">
        <v>660</v>
      </c>
      <c r="B66" s="481" t="s">
        <v>639</v>
      </c>
      <c r="C66" s="475"/>
      <c r="D66" s="475">
        <f>SUM(D62:D65)</f>
      </c>
      <c r="E66" s="475">
        <f>SUM(E62:E65)</f>
      </c>
      <c r="F66" s="475">
        <f>SUM(F62:F65)</f>
      </c>
      <c r="G66" s="475">
        <f>SUM(G62:G65)</f>
      </c>
      <c r="H66" s="475">
        <f>SUM(H62:H65)</f>
      </c>
      <c r="I66" s="475">
        <f>SUM(I62:I65)</f>
      </c>
      <c r="J66" s="476">
        <f t="shared" si="1"/>
      </c>
      <c r="K66" s="477">
        <f t="shared" si="4"/>
      </c>
      <c r="L66" s="477">
        <f t="shared" si="2"/>
      </c>
      <c r="M66" s="478">
        <f t="shared" si="5"/>
      </c>
      <c r="N66" s="475">
        <f>SUM(N62:N65)</f>
      </c>
      <c r="O66" s="478">
        <f t="shared" si="3"/>
      </c>
      <c r="P66" s="479"/>
      <c r="Q66" s="475">
        <f>SUM(Q62:Q65)</f>
      </c>
      <c r="R66" s="483"/>
    </row>
    <row hidden="true" r="67">
      <c r="A67" s="461" t="s">
        <v>662</v>
      </c>
      <c r="B67" s="470" t="s">
        <v>641</v>
      </c>
      <c r="C67" s="463" t="s">
        <v>630</v>
      </c>
      <c r="D67" s="464">
        <v>5</v>
      </c>
      <c r="E67" s="465">
        <v>9</v>
      </c>
      <c r="F67" s="464">
        <v>168</v>
      </c>
      <c r="G67" s="464">
        <v>101</v>
      </c>
      <c r="H67" s="464">
        <v>32667.5</v>
      </c>
      <c r="I67" s="466">
        <v>37274.479999999996</v>
      </c>
      <c r="J67" s="467">
        <f t="shared" si="1"/>
      </c>
      <c r="K67" s="467">
        <f t="shared" si="4"/>
      </c>
      <c r="L67" s="468">
        <f t="shared" si="2"/>
      </c>
      <c r="M67" s="469">
        <f t="shared" si="5"/>
      </c>
      <c r="N67" s="465">
        <v>9</v>
      </c>
      <c r="O67" s="469">
        <f t="shared" si="3"/>
      </c>
      <c r="P67" s="464" t="s">
        <v>631</v>
      </c>
      <c r="Q67" s="464">
        <v>10</v>
      </c>
    </row>
    <row hidden="true" r="68">
      <c r="A68" s="461" t="s">
        <v>662</v>
      </c>
      <c r="B68" s="470" t="s">
        <v>632</v>
      </c>
      <c r="C68" s="463" t="s">
        <v>633</v>
      </c>
      <c r="D68" s="464">
        <v>5</v>
      </c>
      <c r="E68" s="465">
        <v>16</v>
      </c>
      <c r="F68" s="464">
        <v>192</v>
      </c>
      <c r="G68" s="464">
        <v>115</v>
      </c>
      <c r="H68" s="466">
        <v>40920.2</v>
      </c>
      <c r="I68" s="466">
        <v>38187.14</v>
      </c>
      <c r="J68" s="467">
        <f t="shared" si="1"/>
      </c>
      <c r="K68" s="467">
        <f t="shared" si="4"/>
      </c>
      <c r="L68" s="468">
        <f t="shared" si="2"/>
      </c>
      <c r="M68" s="469">
        <f t="shared" si="5"/>
      </c>
      <c r="N68" s="465">
        <v>9</v>
      </c>
      <c r="O68" s="469">
        <f t="shared" si="3"/>
      </c>
      <c r="P68" s="464"/>
      <c r="Q68" s="464"/>
    </row>
    <row hidden="true" r="69">
      <c r="A69" s="461" t="s">
        <v>662</v>
      </c>
      <c r="B69" s="470" t="s">
        <v>636</v>
      </c>
      <c r="C69" s="463" t="s">
        <v>635</v>
      </c>
      <c r="D69" s="464">
        <v>5</v>
      </c>
      <c r="E69" s="465">
        <v>13</v>
      </c>
      <c r="F69" s="464">
        <v>152</v>
      </c>
      <c r="G69" s="464">
        <v>96</v>
      </c>
      <c r="H69" s="464">
        <v>31240.5</v>
      </c>
      <c r="I69" s="466">
        <v>42060.40000000002</v>
      </c>
      <c r="J69" s="467">
        <f t="shared" si="1"/>
      </c>
      <c r="K69" s="467">
        <f t="shared" si="4"/>
      </c>
      <c r="L69" s="468">
        <f t="shared" si="2"/>
      </c>
      <c r="M69" s="469">
        <f t="shared" si="5"/>
      </c>
      <c r="N69" s="465">
        <v>17</v>
      </c>
      <c r="O69" s="469">
        <f t="shared" si="3"/>
      </c>
      <c r="P69" s="464"/>
      <c r="Q69" s="464"/>
    </row>
    <row hidden="true" r="70">
      <c r="A70" s="461" t="s">
        <v>662</v>
      </c>
      <c r="B70" s="470" t="s">
        <v>629</v>
      </c>
      <c r="C70" s="463" t="s">
        <v>637</v>
      </c>
      <c r="D70" s="464">
        <v>5</v>
      </c>
      <c r="E70" s="465">
        <v>14</v>
      </c>
      <c r="F70" s="464">
        <v>156</v>
      </c>
      <c r="G70" s="464">
        <v>93</v>
      </c>
      <c r="H70" s="471">
        <v>35405.3</v>
      </c>
      <c r="I70" s="471">
        <v>31187.609999999957</v>
      </c>
      <c r="J70" s="467">
        <f t="shared" si="1"/>
      </c>
      <c r="K70" s="467">
        <f t="shared" si="4"/>
      </c>
      <c r="L70" s="468">
        <f t="shared" si="2"/>
      </c>
      <c r="M70" s="469">
        <f t="shared" si="5"/>
      </c>
      <c r="N70" s="465">
        <v>14</v>
      </c>
      <c r="O70" s="469">
        <f t="shared" si="3"/>
      </c>
      <c r="P70" s="464" t="s">
        <v>657</v>
      </c>
      <c r="Q70" s="464">
        <v>10</v>
      </c>
    </row>
    <row hidden="true" r="71">
      <c r="A71" s="480" t="s">
        <v>662</v>
      </c>
      <c r="B71" s="481" t="s">
        <v>639</v>
      </c>
      <c r="C71" s="475"/>
      <c r="D71" s="475">
        <f>SUM(D67:D70)</f>
      </c>
      <c r="E71" s="475">
        <f>SUM(E67:E70)</f>
      </c>
      <c r="F71" s="475">
        <f>SUM(F67:F70)</f>
      </c>
      <c r="G71" s="475">
        <f>SUM(G67:G70)</f>
      </c>
      <c r="H71" s="475">
        <f>SUM(H67:H70)</f>
      </c>
      <c r="I71" s="475">
        <f>SUM(I67:I70)</f>
      </c>
      <c r="J71" s="476">
        <f t="shared" si="1"/>
      </c>
      <c r="K71" s="477">
        <f t="shared" si="4"/>
      </c>
      <c r="L71" s="477">
        <f t="shared" si="2"/>
      </c>
      <c r="M71" s="478">
        <f t="shared" si="5"/>
      </c>
      <c r="N71" s="475">
        <f>SUM(N67:N70)</f>
      </c>
      <c r="O71" s="478">
        <f t="shared" si="3"/>
      </c>
      <c r="P71" s="479"/>
      <c r="Q71" s="475">
        <f>SUM(Q67:Q70)</f>
      </c>
      <c r="R71" s="483"/>
    </row>
    <row hidden="true" r="72">
      <c r="A72" s="461" t="s">
        <v>663</v>
      </c>
      <c r="B72" s="470" t="s">
        <v>641</v>
      </c>
      <c r="C72" s="463" t="s">
        <v>630</v>
      </c>
      <c r="D72" s="464">
        <v>5</v>
      </c>
      <c r="E72" s="465">
        <v>14</v>
      </c>
      <c r="F72" s="464">
        <v>144</v>
      </c>
      <c r="G72" s="464">
        <v>90</v>
      </c>
      <c r="H72" s="464">
        <v>31294.2</v>
      </c>
      <c r="I72" s="466">
        <v>28856.899999999998</v>
      </c>
      <c r="J72" s="467">
        <f t="shared" si="1"/>
      </c>
      <c r="K72" s="467">
        <f t="shared" si="4"/>
      </c>
      <c r="L72" s="468">
        <f t="shared" si="2"/>
      </c>
      <c r="M72" s="469">
        <f t="shared" si="5"/>
      </c>
      <c r="N72" s="465">
        <v>9</v>
      </c>
      <c r="O72" s="469">
        <f t="shared" si="3"/>
      </c>
      <c r="P72" s="464" t="s">
        <v>631</v>
      </c>
      <c r="Q72" s="464">
        <v>10</v>
      </c>
    </row>
    <row hidden="true" r="73">
      <c r="A73" s="461" t="s">
        <v>663</v>
      </c>
      <c r="B73" s="482" t="s">
        <v>634</v>
      </c>
      <c r="C73" s="463" t="s">
        <v>633</v>
      </c>
      <c r="D73" s="464">
        <v>5</v>
      </c>
      <c r="E73" s="465">
        <v>15</v>
      </c>
      <c r="F73" s="464">
        <v>147</v>
      </c>
      <c r="G73" s="464">
        <v>89</v>
      </c>
      <c r="H73" s="466">
        <v>29446.099999999995</v>
      </c>
      <c r="I73" s="466">
        <v>31606.56</v>
      </c>
      <c r="J73" s="467">
        <f t="shared" si="1"/>
      </c>
      <c r="K73" s="467">
        <f t="shared" si="4"/>
      </c>
      <c r="L73" s="468">
        <f t="shared" si="2"/>
      </c>
      <c r="M73" s="469">
        <f t="shared" si="5"/>
      </c>
      <c r="N73" s="465">
        <v>11</v>
      </c>
      <c r="O73" s="469">
        <f t="shared" si="3"/>
      </c>
      <c r="P73" s="464"/>
      <c r="Q73" s="464"/>
    </row>
    <row hidden="true" r="74">
      <c r="A74" s="461" t="s">
        <v>663</v>
      </c>
      <c r="B74" s="470" t="s">
        <v>629</v>
      </c>
      <c r="C74" s="463" t="s">
        <v>635</v>
      </c>
      <c r="D74" s="464">
        <v>5</v>
      </c>
      <c r="E74" s="465">
        <v>18</v>
      </c>
      <c r="F74" s="464">
        <v>226</v>
      </c>
      <c r="G74" s="464">
        <v>130</v>
      </c>
      <c r="H74" s="464">
        <v>44030.99999999999</v>
      </c>
      <c r="I74" s="466">
        <v>43743.52</v>
      </c>
      <c r="J74" s="467">
        <f t="shared" si="1"/>
      </c>
      <c r="K74" s="467">
        <f t="shared" si="4"/>
      </c>
      <c r="L74" s="468">
        <f t="shared" si="2"/>
      </c>
      <c r="M74" s="469">
        <f t="shared" si="5"/>
      </c>
      <c r="N74" s="465">
        <v>19</v>
      </c>
      <c r="O74" s="469">
        <f t="shared" si="3"/>
      </c>
      <c r="P74" s="464"/>
      <c r="Q74" s="464"/>
    </row>
    <row hidden="true" r="75">
      <c r="A75" s="461" t="s">
        <v>663</v>
      </c>
      <c r="B75" s="470" t="s">
        <v>632</v>
      </c>
      <c r="C75" s="463" t="s">
        <v>637</v>
      </c>
      <c r="D75" s="464">
        <v>5</v>
      </c>
      <c r="E75" s="465">
        <v>29</v>
      </c>
      <c r="F75" s="464">
        <v>248</v>
      </c>
      <c r="G75" s="464">
        <v>159</v>
      </c>
      <c r="H75" s="471">
        <v>56004.80000000002</v>
      </c>
      <c r="I75" s="471">
        <v>52373.95</v>
      </c>
      <c r="J75" s="467">
        <f t="shared" si="1"/>
      </c>
      <c r="K75" s="467">
        <f t="shared" si="4"/>
      </c>
      <c r="L75" s="468">
        <f t="shared" si="2"/>
      </c>
      <c r="M75" s="469">
        <f t="shared" si="5"/>
      </c>
      <c r="N75" s="465">
        <v>23</v>
      </c>
      <c r="O75" s="469">
        <f t="shared" si="3"/>
      </c>
      <c r="P75" s="464" t="s">
        <v>657</v>
      </c>
      <c r="Q75" s="464">
        <v>10</v>
      </c>
    </row>
    <row hidden="true" r="76">
      <c r="A76" s="480" t="s">
        <v>663</v>
      </c>
      <c r="B76" s="481" t="s">
        <v>639</v>
      </c>
      <c r="C76" s="475"/>
      <c r="D76" s="475">
        <f>SUM(D72:D75)</f>
      </c>
      <c r="E76" s="475">
        <f>SUM(E72:E75)</f>
      </c>
      <c r="F76" s="475">
        <f>SUM(F72:F75)</f>
      </c>
      <c r="G76" s="475">
        <f>SUM(G72:G75)</f>
      </c>
      <c r="H76" s="475">
        <f>SUM(H72:H75)</f>
      </c>
      <c r="I76" s="475">
        <f>SUM(I72:I75)</f>
      </c>
      <c r="J76" s="476">
        <f t="shared" si="1"/>
      </c>
      <c r="K76" s="477">
        <f t="shared" si="4"/>
      </c>
      <c r="L76" s="477">
        <f t="shared" si="2"/>
      </c>
      <c r="M76" s="478">
        <f t="shared" si="5"/>
      </c>
      <c r="N76" s="475">
        <f>SUM(N72:N75)</f>
      </c>
      <c r="O76" s="478">
        <f t="shared" si="3"/>
      </c>
      <c r="P76" s="479"/>
      <c r="Q76" s="475">
        <f>SUM(Q72:Q75)</f>
      </c>
    </row>
    <row hidden="true" r="77">
      <c r="A77" s="461" t="s">
        <v>664</v>
      </c>
      <c r="B77" s="470" t="s">
        <v>641</v>
      </c>
      <c r="C77" s="463" t="s">
        <v>630</v>
      </c>
      <c r="D77" s="464">
        <v>5</v>
      </c>
      <c r="E77" s="465">
        <v>7</v>
      </c>
      <c r="F77" s="464">
        <v>91</v>
      </c>
      <c r="G77" s="464">
        <v>54</v>
      </c>
      <c r="H77" s="464">
        <v>20264</v>
      </c>
      <c r="I77" s="466">
        <v>27097.64</v>
      </c>
      <c r="J77" s="467">
        <f t="shared" si="1"/>
      </c>
      <c r="K77" s="467">
        <f t="shared" si="4"/>
      </c>
      <c r="L77" s="468">
        <f t="shared" si="2"/>
      </c>
      <c r="M77" s="469">
        <f t="shared" si="5"/>
      </c>
      <c r="N77" s="465">
        <v>4</v>
      </c>
      <c r="O77" s="469">
        <f t="shared" si="3"/>
      </c>
      <c r="P77" s="464" t="s">
        <v>631</v>
      </c>
      <c r="Q77" s="464">
        <v>10</v>
      </c>
    </row>
    <row hidden="true" r="78">
      <c r="A78" s="461" t="s">
        <v>664</v>
      </c>
      <c r="B78" s="482" t="s">
        <v>636</v>
      </c>
      <c r="C78" s="463" t="s">
        <v>633</v>
      </c>
      <c r="D78" s="464">
        <v>5</v>
      </c>
      <c r="E78" s="465">
        <v>13</v>
      </c>
      <c r="F78" s="464">
        <v>102</v>
      </c>
      <c r="G78" s="464">
        <v>73</v>
      </c>
      <c r="H78" s="466">
        <v>23827.699999999997</v>
      </c>
      <c r="I78" s="466">
        <v>21180.65000000001</v>
      </c>
      <c r="J78" s="467">
        <f t="shared" si="1"/>
      </c>
      <c r="K78" s="467">
        <f t="shared" si="4"/>
      </c>
      <c r="L78" s="468">
        <f t="shared" si="2"/>
      </c>
      <c r="M78" s="469">
        <f t="shared" si="5"/>
      </c>
      <c r="N78" s="465">
        <v>12</v>
      </c>
      <c r="O78" s="469">
        <f t="shared" si="3"/>
      </c>
      <c r="P78" s="464"/>
      <c r="Q78" s="464"/>
    </row>
    <row hidden="true" r="79">
      <c r="A79" s="461" t="s">
        <v>664</v>
      </c>
      <c r="B79" s="470" t="s">
        <v>632</v>
      </c>
      <c r="C79" s="463" t="s">
        <v>635</v>
      </c>
      <c r="D79" s="464">
        <v>5</v>
      </c>
      <c r="E79" s="465">
        <v>13</v>
      </c>
      <c r="F79" s="464">
        <v>130</v>
      </c>
      <c r="G79" s="464">
        <v>81</v>
      </c>
      <c r="H79" s="464">
        <v>27912.90000000001</v>
      </c>
      <c r="I79" s="466">
        <v>33938.94999999998</v>
      </c>
      <c r="J79" s="467">
        <f t="shared" si="1"/>
      </c>
      <c r="K79" s="467">
        <f t="shared" si="4"/>
      </c>
      <c r="L79" s="468">
        <f t="shared" si="2"/>
      </c>
      <c r="M79" s="469">
        <f t="shared" si="5"/>
      </c>
      <c r="N79" s="465">
        <v>13</v>
      </c>
      <c r="O79" s="469">
        <f t="shared" si="3"/>
      </c>
      <c r="P79" s="464"/>
      <c r="Q79" s="464"/>
    </row>
    <row hidden="true" r="80">
      <c r="A80" s="461" t="s">
        <v>664</v>
      </c>
      <c r="B80" s="470" t="s">
        <v>629</v>
      </c>
      <c r="C80" s="463" t="s">
        <v>637</v>
      </c>
      <c r="D80" s="464">
        <v>5</v>
      </c>
      <c r="E80" s="465">
        <v>6</v>
      </c>
      <c r="F80" s="464">
        <v>64</v>
      </c>
      <c r="G80" s="464">
        <v>41</v>
      </c>
      <c r="H80" s="471">
        <v>10759.199999999997</v>
      </c>
      <c r="I80" s="471">
        <v>16703.87000000001</v>
      </c>
      <c r="J80" s="467">
        <f t="shared" si="1"/>
      </c>
      <c r="K80" s="467">
        <f t="shared" si="4"/>
      </c>
      <c r="L80" s="468">
        <f t="shared" si="2"/>
      </c>
      <c r="M80" s="469">
        <f t="shared" si="5"/>
      </c>
      <c r="N80" s="465">
        <v>5</v>
      </c>
      <c r="O80" s="469">
        <f t="shared" si="3"/>
      </c>
      <c r="P80" s="464" t="s">
        <v>657</v>
      </c>
      <c r="Q80" s="464">
        <v>10</v>
      </c>
    </row>
    <row hidden="true" r="81">
      <c r="A81" s="480" t="s">
        <v>664</v>
      </c>
      <c r="B81" s="481" t="s">
        <v>639</v>
      </c>
      <c r="C81" s="475"/>
      <c r="D81" s="475">
        <f>SUM(D77:D80)</f>
      </c>
      <c r="E81" s="475">
        <f>SUM(E77:E80)</f>
      </c>
      <c r="F81" s="475">
        <f>SUM(F77:F80)</f>
      </c>
      <c r="G81" s="475">
        <f>SUM(G77:G80)</f>
      </c>
      <c r="H81" s="475">
        <f>SUM(H77:H80)</f>
      </c>
      <c r="I81" s="475">
        <f>SUM(I77:I80)</f>
      </c>
      <c r="J81" s="476">
        <f t="shared" si="1"/>
      </c>
      <c r="K81" s="477">
        <f t="shared" si="4"/>
      </c>
      <c r="L81" s="477">
        <f t="shared" si="2"/>
      </c>
      <c r="M81" s="478">
        <f t="shared" si="5"/>
      </c>
      <c r="N81" s="475">
        <f>SUM(N77:N80)</f>
      </c>
      <c r="O81" s="478">
        <f t="shared" si="3"/>
      </c>
      <c r="P81" s="479"/>
      <c r="Q81" s="475">
        <f>SUM(Q77:Q80)</f>
      </c>
    </row>
    <row hidden="true" r="82">
      <c r="A82" s="461" t="s">
        <v>665</v>
      </c>
      <c r="B82" s="470" t="s">
        <v>641</v>
      </c>
      <c r="C82" s="463" t="s">
        <v>630</v>
      </c>
      <c r="D82" s="464">
        <v>5</v>
      </c>
      <c r="E82" s="465">
        <v>20</v>
      </c>
      <c r="F82" s="464">
        <v>158</v>
      </c>
      <c r="G82" s="464">
        <v>102</v>
      </c>
      <c r="H82" s="464">
        <v>34720</v>
      </c>
      <c r="I82" s="466">
        <v>33168.25</v>
      </c>
      <c r="J82" s="467">
        <f t="shared" si="1"/>
      </c>
      <c r="K82" s="467">
        <f t="shared" si="4"/>
      </c>
      <c r="L82" s="468">
        <f t="shared" si="2"/>
      </c>
      <c r="M82" s="469">
        <f t="shared" si="5"/>
      </c>
      <c r="N82" s="465">
        <v>16</v>
      </c>
      <c r="O82" s="469">
        <f t="shared" si="3"/>
      </c>
      <c r="P82" s="464" t="s">
        <v>631</v>
      </c>
      <c r="Q82" s="464">
        <v>10</v>
      </c>
    </row>
    <row hidden="true" r="83">
      <c r="A83" s="461" t="s">
        <v>665</v>
      </c>
      <c r="B83" s="482" t="s">
        <v>636</v>
      </c>
      <c r="C83" s="463" t="s">
        <v>633</v>
      </c>
      <c r="D83" s="464">
        <v>5</v>
      </c>
      <c r="E83" s="465">
        <v>11</v>
      </c>
      <c r="F83" s="464">
        <v>125</v>
      </c>
      <c r="G83" s="464">
        <v>71</v>
      </c>
      <c r="H83" s="466">
        <v>24068</v>
      </c>
      <c r="I83" s="466">
        <v>22734.92</v>
      </c>
      <c r="J83" s="467">
        <f t="shared" si="1"/>
      </c>
      <c r="K83" s="467">
        <f t="shared" si="4"/>
      </c>
      <c r="L83" s="468">
        <f t="shared" si="2"/>
      </c>
      <c r="M83" s="469">
        <f t="shared" si="5"/>
      </c>
      <c r="N83" s="465">
        <v>9</v>
      </c>
      <c r="O83" s="469">
        <f t="shared" si="3"/>
      </c>
      <c r="P83" s="464"/>
      <c r="Q83" s="464"/>
    </row>
    <row hidden="true" r="84">
      <c r="A84" s="461" t="s">
        <v>665</v>
      </c>
      <c r="B84" s="470" t="s">
        <v>629</v>
      </c>
      <c r="C84" s="463" t="s">
        <v>635</v>
      </c>
      <c r="D84" s="464">
        <v>5</v>
      </c>
      <c r="E84" s="465">
        <v>17</v>
      </c>
      <c r="F84" s="464">
        <v>166</v>
      </c>
      <c r="G84" s="464">
        <v>97</v>
      </c>
      <c r="H84" s="464">
        <v>32663.300000000003</v>
      </c>
      <c r="I84" s="466">
        <v>35604.750000000015</v>
      </c>
      <c r="J84" s="467">
        <f t="shared" si="1"/>
      </c>
      <c r="K84" s="467">
        <f t="shared" si="4"/>
      </c>
      <c r="L84" s="468">
        <f t="shared" si="2"/>
      </c>
      <c r="M84" s="469">
        <f t="shared" si="5"/>
      </c>
      <c r="N84" s="465">
        <v>12</v>
      </c>
      <c r="O84" s="469">
        <f t="shared" si="3"/>
      </c>
      <c r="P84" s="464"/>
      <c r="Q84" s="464"/>
    </row>
    <row hidden="true" r="85">
      <c r="A85" s="461" t="s">
        <v>665</v>
      </c>
      <c r="B85" s="470" t="s">
        <v>632</v>
      </c>
      <c r="C85" s="463" t="s">
        <v>637</v>
      </c>
      <c r="D85" s="464">
        <v>5</v>
      </c>
      <c r="E85" s="465">
        <v>13</v>
      </c>
      <c r="F85" s="464">
        <v>130</v>
      </c>
      <c r="G85" s="464">
        <v>80</v>
      </c>
      <c r="H85" s="471">
        <v>24771.800000000003</v>
      </c>
      <c r="I85" s="471">
        <v>28321.25999999998</v>
      </c>
      <c r="J85" s="467">
        <f t="shared" si="1"/>
      </c>
      <c r="K85" s="467">
        <f t="shared" si="4"/>
      </c>
      <c r="L85" s="468">
        <f t="shared" si="2"/>
      </c>
      <c r="M85" s="469">
        <f t="shared" si="5"/>
      </c>
      <c r="N85" s="465">
        <v>16</v>
      </c>
      <c r="O85" s="469">
        <f t="shared" si="3"/>
      </c>
      <c r="P85" s="464" t="s">
        <v>657</v>
      </c>
      <c r="Q85" s="464">
        <v>10</v>
      </c>
    </row>
    <row hidden="true" r="86">
      <c r="A86" s="480" t="s">
        <v>665</v>
      </c>
      <c r="B86" s="481" t="s">
        <v>639</v>
      </c>
      <c r="C86" s="475"/>
      <c r="D86" s="475">
        <f>SUM(D82:D85)</f>
      </c>
      <c r="E86" s="475">
        <f>SUM(E82:E85)</f>
      </c>
      <c r="F86" s="475">
        <f>SUM(F82:F85)</f>
      </c>
      <c r="G86" s="475">
        <f>SUM(G82:G85)</f>
      </c>
      <c r="H86" s="475">
        <f>SUM(H82:H85)</f>
      </c>
      <c r="I86" s="475">
        <f>SUM(I82:I85)</f>
      </c>
      <c r="J86" s="476">
        <f t="shared" si="1"/>
      </c>
      <c r="K86" s="477">
        <f t="shared" si="4"/>
      </c>
      <c r="L86" s="477">
        <f t="shared" si="2"/>
      </c>
      <c r="M86" s="478">
        <f t="shared" si="5"/>
      </c>
      <c r="N86" s="475">
        <f>SUM(N82:N85)</f>
      </c>
      <c r="O86" s="478">
        <f t="shared" si="3"/>
      </c>
      <c r="P86" s="479"/>
      <c r="Q86" s="475">
        <f>SUM(Q82:Q85)</f>
      </c>
    </row>
    <row r="87">
      <c r="A87" s="461" t="s">
        <v>666</v>
      </c>
      <c r="B87" s="470" t="s">
        <v>629</v>
      </c>
      <c r="C87" s="463" t="s">
        <v>630</v>
      </c>
      <c r="D87" s="464">
        <v>5</v>
      </c>
      <c r="E87" s="465">
        <v>19</v>
      </c>
      <c r="F87" s="464">
        <v>192</v>
      </c>
      <c r="G87" s="464">
        <v>113</v>
      </c>
      <c r="H87" s="464">
        <v>38594.8</v>
      </c>
      <c r="I87" s="466">
        <v>36065.520000000004</v>
      </c>
      <c r="J87" s="467">
        <f t="shared" si="1"/>
      </c>
      <c r="K87" s="467">
        <f t="shared" si="4"/>
      </c>
      <c r="L87" s="468">
        <f t="shared" si="2"/>
      </c>
      <c r="M87" s="469">
        <f t="shared" si="5"/>
      </c>
      <c r="N87" s="465">
        <v>11</v>
      </c>
      <c r="O87" s="469">
        <f t="shared" si="3"/>
      </c>
      <c r="P87" s="464" t="s">
        <v>631</v>
      </c>
      <c r="Q87" s="464">
        <v>10</v>
      </c>
    </row>
    <row r="88">
      <c r="A88" s="461" t="s">
        <v>666</v>
      </c>
      <c r="B88" s="470" t="s">
        <v>632</v>
      </c>
      <c r="C88" s="463" t="s">
        <v>633</v>
      </c>
      <c r="D88" s="464">
        <v>5</v>
      </c>
      <c r="E88" s="465">
        <v>14</v>
      </c>
      <c r="F88" s="464">
        <v>160</v>
      </c>
      <c r="G88" s="464">
        <v>102</v>
      </c>
      <c r="H88" s="466">
        <v>34905.79999999999</v>
      </c>
      <c r="I88" s="466">
        <v>32166.579999999987</v>
      </c>
      <c r="J88" s="467">
        <f t="shared" si="1"/>
      </c>
      <c r="K88" s="467">
        <f t="shared" si="4"/>
      </c>
      <c r="L88" s="468">
        <f t="shared" si="2"/>
      </c>
      <c r="M88" s="469">
        <f t="shared" si="5"/>
      </c>
      <c r="N88" s="465">
        <v>15</v>
      </c>
      <c r="O88" s="469">
        <f t="shared" si="3"/>
      </c>
      <c r="P88" s="464"/>
      <c r="Q88" s="464"/>
    </row>
    <row r="89">
      <c r="A89" s="461" t="s">
        <v>666</v>
      </c>
      <c r="B89" s="482" t="s">
        <v>634</v>
      </c>
      <c r="C89" s="463" t="s">
        <v>635</v>
      </c>
      <c r="D89" s="464">
        <v>5</v>
      </c>
      <c r="E89" s="465">
        <v>16</v>
      </c>
      <c r="F89" s="464">
        <v>144</v>
      </c>
      <c r="G89" s="464">
        <v>79</v>
      </c>
      <c r="H89" s="464">
        <v>32277.79999999999</v>
      </c>
      <c r="I89" s="466">
        <v>36768.01999999999</v>
      </c>
      <c r="J89" s="467">
        <f t="shared" si="1"/>
      </c>
      <c r="K89" s="467">
        <f t="shared" si="4"/>
      </c>
      <c r="L89" s="468">
        <f t="shared" si="2"/>
      </c>
      <c r="M89" s="469">
        <f t="shared" si="5"/>
      </c>
      <c r="N89" s="465">
        <v>9</v>
      </c>
      <c r="O89" s="469">
        <f t="shared" si="3"/>
      </c>
      <c r="P89" s="464"/>
      <c r="Q89" s="464"/>
    </row>
    <row r="90">
      <c r="A90" s="461" t="s">
        <v>666</v>
      </c>
      <c r="B90" s="470" t="s">
        <v>641</v>
      </c>
      <c r="C90" s="463" t="s">
        <v>637</v>
      </c>
      <c r="D90" s="464">
        <v>5</v>
      </c>
      <c r="E90" s="465">
        <v>10</v>
      </c>
      <c r="F90" s="464">
        <v>81</v>
      </c>
      <c r="G90" s="464">
        <v>50</v>
      </c>
      <c r="H90" s="471">
        <v>18126.399999999994</v>
      </c>
      <c r="I90" s="471">
        <v>21259.639999999985</v>
      </c>
      <c r="J90" s="467">
        <f t="shared" si="1"/>
      </c>
      <c r="K90" s="467">
        <f t="shared" si="4"/>
      </c>
      <c r="L90" s="468">
        <f t="shared" si="2"/>
      </c>
      <c r="M90" s="469">
        <f t="shared" si="5"/>
      </c>
      <c r="N90" s="465">
        <v>3</v>
      </c>
      <c r="O90" s="469">
        <f t="shared" si="3"/>
      </c>
      <c r="P90" s="464" t="s">
        <v>657</v>
      </c>
      <c r="Q90" s="464">
        <v>10</v>
      </c>
    </row>
    <row r="91">
      <c r="A91" s="480" t="s">
        <v>666</v>
      </c>
      <c r="B91" s="481" t="s">
        <v>639</v>
      </c>
      <c r="C91" s="475"/>
      <c r="D91" s="475">
        <f>SUM(D87:D90)</f>
      </c>
      <c r="E91" s="475">
        <f>SUM(E87:E90)</f>
      </c>
      <c r="F91" s="475">
        <f>SUM(F87:F90)</f>
      </c>
      <c r="G91" s="475">
        <f>SUM(G87:G90)</f>
      </c>
      <c r="H91" s="475">
        <f>SUM(H87:H90)</f>
      </c>
      <c r="I91" s="475">
        <f>SUM(I87:I90)</f>
      </c>
      <c r="J91" s="476">
        <f t="shared" si="1"/>
      </c>
      <c r="K91" s="477">
        <f t="shared" si="4"/>
      </c>
      <c r="L91" s="477">
        <f t="shared" si="2"/>
      </c>
      <c r="M91" s="478">
        <f t="shared" si="5"/>
      </c>
      <c r="N91" s="475">
        <f>SUM(N87:N90)</f>
      </c>
      <c r="O91" s="478">
        <f t="shared" si="3"/>
      </c>
      <c r="P91" s="479"/>
      <c r="Q91" s="475">
        <f>SUM(Q87:Q90)</f>
      </c>
    </row>
    <row r="92">
      <c r="A92" s="484"/>
      <c r="B92" s="485"/>
      <c r="C92" s="486"/>
      <c r="D92" s="485"/>
      <c r="E92" s="487">
        <f>E93*G91</f>
      </c>
      <c r="F92" s="488">
        <f>F93-F91</f>
      </c>
      <c r="G92" s="488">
        <f>G93-G91</f>
      </c>
      <c r="H92" s="488">
        <f>H93-H91</f>
      </c>
      <c r="I92" s="488">
        <f>I93-I91</f>
      </c>
      <c r="J92" s="485"/>
      <c r="K92" s="485"/>
      <c r="L92" s="485"/>
      <c r="M92" s="485"/>
      <c r="N92" s="487">
        <f>N93*G91</f>
      </c>
      <c r="O92" s="485"/>
      <c r="P92" s="485"/>
      <c r="Q92" s="485"/>
    </row>
    <row r="93">
      <c r="A93" s="484"/>
      <c r="B93" s="485"/>
      <c r="C93" s="489"/>
      <c r="D93" s="490">
        <f>E92-E91</f>
      </c>
      <c r="E93" s="491">
        <v>0.1715</v>
      </c>
      <c r="F93" s="491">
        <v>577</v>
      </c>
      <c r="G93" s="491">
        <v>344</v>
      </c>
      <c r="H93" s="492"/>
      <c r="I93" s="491"/>
      <c r="J93" s="485"/>
      <c r="K93" s="485"/>
      <c r="L93" s="485"/>
      <c r="M93" s="485"/>
      <c r="N93" s="491">
        <v>0.1104</v>
      </c>
      <c r="O93" s="490">
        <f>N92-N91</f>
      </c>
      <c r="P93" s="485"/>
      <c r="Q93" s="485"/>
    </row>
    <row r="94"/>
    <row r="95"/>
    <row r="96">
      <c r="G96" s="483" t="s">
        <v>667</v>
      </c>
    </row>
    <row r="97">
      <c r="G97" s="493">
        <f t="shared" ref="G97:G102" si="0">E97/F97</f>
      </c>
    </row>
    <row r="98">
      <c r="G98" s="493">
        <f t="shared" si="0"/>
      </c>
    </row>
    <row r="99">
      <c r="G99" s="493">
        <f t="shared" si="0"/>
      </c>
    </row>
    <row r="100">
      <c r="G100" s="493">
        <f t="shared" si="0"/>
      </c>
    </row>
    <row r="101">
      <c r="E101" s="494"/>
      <c r="G101" s="493">
        <f t="shared" si="0"/>
      </c>
    </row>
    <row r="102">
      <c r="E102" s="494"/>
      <c r="G102" s="493">
        <f t="shared" si="0"/>
      </c>
    </row>
    <row r="103">
      <c r="E103" s="494"/>
    </row>
    <row r="104">
      <c r="E104" s="494"/>
    </row>
    <row r="105">
      <c r="E105" s="494"/>
    </row>
    <row r="106">
      <c r="E106" s="494"/>
    </row>
    <row r="107">
      <c r="E107" s="494"/>
    </row>
    <row r="108">
      <c r="E108" s="494"/>
    </row>
  </sheetData>
  <autoFilter ref="A1:A200">
    <filterColumn colId="0">
      <filters blank="true">
        <filter val="2026/10/18"/>
      </filters>
    </filterColumn>
  </autoFilter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2.56338028169014"/>
    <col collapsed="false" customWidth="true" hidden="false" max="18" min="18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</cols>
  <sheetData>
    <row r="1">
      <c r="A1" s="495" t="s">
        <v>668</v>
      </c>
      <c r="B1" s="496" t="s">
        <v>669</v>
      </c>
      <c r="C1" s="497" t="s">
        <v>670</v>
      </c>
      <c r="D1" s="497" t="s">
        <v>671</v>
      </c>
      <c r="E1" s="498" t="s">
        <v>672</v>
      </c>
      <c r="F1" s="497" t="s">
        <v>673</v>
      </c>
      <c r="G1" s="497" t="s">
        <v>674</v>
      </c>
      <c r="H1" s="497" t="s">
        <v>675</v>
      </c>
      <c r="I1" s="497" t="s">
        <v>676</v>
      </c>
      <c r="J1" s="499" t="s">
        <v>677</v>
      </c>
      <c r="K1" s="499" t="s">
        <v>678</v>
      </c>
      <c r="L1" s="499" t="s">
        <v>679</v>
      </c>
      <c r="M1" s="500" t="s">
        <v>680</v>
      </c>
      <c r="N1" s="500" t="s">
        <v>681</v>
      </c>
      <c r="O1" s="500" t="s">
        <v>682</v>
      </c>
      <c r="P1" s="499" t="s">
        <v>683</v>
      </c>
      <c r="Q1" s="497" t="s">
        <v>684</v>
      </c>
    </row>
    <row hidden="true" r="2">
      <c r="A2" s="501" t="s">
        <v>685</v>
      </c>
      <c r="B2" s="502" t="s">
        <v>686</v>
      </c>
      <c r="C2" s="503" t="s">
        <v>687</v>
      </c>
      <c r="D2" s="504">
        <v>5</v>
      </c>
      <c r="E2" s="505">
        <v>18</v>
      </c>
      <c r="F2" s="504">
        <v>155</v>
      </c>
      <c r="G2" s="504">
        <v>95</v>
      </c>
      <c r="H2" s="504">
        <v>35121.6</v>
      </c>
      <c r="I2" s="506">
        <v>29846.41</v>
      </c>
      <c r="J2" s="507">
        <f t="shared" ref="J2:J36" si="0">H2/I2</f>
      </c>
      <c r="K2" s="507">
        <f t="shared" ref="K2:K36" si="1">H2/G2</f>
      </c>
      <c r="L2" s="508">
        <f t="shared" ref="L2:L36" si="2">I2/G2</f>
      </c>
      <c r="M2" s="509">
        <f t="shared" ref="M2:M36" si="3">E2/G2</f>
      </c>
      <c r="N2" s="505">
        <v>16</v>
      </c>
      <c r="O2" s="509">
        <f t="shared" ref="O2:O36" si="4">N2/G2</f>
      </c>
      <c r="P2" s="504" t="s">
        <v>688</v>
      </c>
      <c r="Q2" s="504">
        <v>10</v>
      </c>
    </row>
    <row hidden="true" r="3">
      <c r="A3" s="510" t="s">
        <v>685</v>
      </c>
      <c r="B3" s="502" t="s">
        <v>689</v>
      </c>
      <c r="C3" s="503" t="s">
        <v>690</v>
      </c>
      <c r="D3" s="504">
        <v>5</v>
      </c>
      <c r="E3" s="505">
        <v>16</v>
      </c>
      <c r="F3" s="504">
        <v>142</v>
      </c>
      <c r="G3" s="504">
        <v>90</v>
      </c>
      <c r="H3" s="511">
        <v>30511.6</v>
      </c>
      <c r="I3" s="506">
        <v>29043.890000000003</v>
      </c>
      <c r="J3" s="507">
        <f t="shared" si="0"/>
      </c>
      <c r="K3" s="507">
        <f t="shared" si="1"/>
      </c>
      <c r="L3" s="508">
        <f t="shared" si="2"/>
      </c>
      <c r="M3" s="509">
        <f t="shared" si="3"/>
      </c>
      <c r="N3" s="505">
        <v>14</v>
      </c>
      <c r="O3" s="509">
        <f t="shared" si="4"/>
      </c>
      <c r="P3" s="504"/>
      <c r="Q3" s="504"/>
    </row>
    <row r="4">
      <c r="A4" s="501" t="s">
        <v>685</v>
      </c>
      <c r="B4" s="502" t="s">
        <v>691</v>
      </c>
      <c r="C4" s="503" t="s">
        <v>692</v>
      </c>
      <c r="D4" s="504">
        <v>5</v>
      </c>
      <c r="E4" s="505">
        <v>12</v>
      </c>
      <c r="F4" s="504">
        <v>146</v>
      </c>
      <c r="G4" s="504">
        <v>97</v>
      </c>
      <c r="H4" s="504">
        <v>31630.499999999985</v>
      </c>
      <c r="I4" s="506">
        <v>34174.2</v>
      </c>
      <c r="J4" s="507">
        <f t="shared" si="0"/>
      </c>
      <c r="K4" s="507">
        <f t="shared" si="1"/>
      </c>
      <c r="L4" s="508">
        <f t="shared" si="2"/>
      </c>
      <c r="M4" s="509">
        <f t="shared" si="3"/>
      </c>
      <c r="N4" s="505">
        <v>13</v>
      </c>
      <c r="O4" s="509">
        <f t="shared" si="4"/>
      </c>
      <c r="P4" s="504"/>
      <c r="Q4" s="504"/>
    </row>
    <row hidden="true" r="5">
      <c r="A5" s="501" t="s">
        <v>685</v>
      </c>
      <c r="B5" s="512" t="s">
        <v>693</v>
      </c>
      <c r="C5" s="503" t="s">
        <v>694</v>
      </c>
      <c r="D5" s="504">
        <v>5</v>
      </c>
      <c r="E5" s="505">
        <v>13</v>
      </c>
      <c r="F5" s="504">
        <v>163</v>
      </c>
      <c r="G5" s="504">
        <v>102</v>
      </c>
      <c r="H5" s="513">
        <v>39201.600000000006</v>
      </c>
      <c r="I5" s="513">
        <v>41033.56000000003</v>
      </c>
      <c r="J5" s="507">
        <f t="shared" si="0"/>
      </c>
      <c r="K5" s="507">
        <f t="shared" si="1"/>
      </c>
      <c r="L5" s="508">
        <f t="shared" si="2"/>
      </c>
      <c r="M5" s="509">
        <f t="shared" si="3"/>
      </c>
      <c r="N5" s="505">
        <v>20</v>
      </c>
      <c r="O5" s="509">
        <f t="shared" si="4"/>
      </c>
      <c r="P5" s="504" t="s">
        <v>695</v>
      </c>
      <c r="Q5" s="504">
        <v>10</v>
      </c>
    </row>
    <row hidden="true" r="6">
      <c r="A6" s="514" t="s">
        <v>685</v>
      </c>
      <c r="B6" s="515" t="s">
        <v>696</v>
      </c>
      <c r="C6" s="516"/>
      <c r="D6" s="516">
        <f>SUM(D2:D5)</f>
      </c>
      <c r="E6" s="516">
        <f>SUM(E2:E5)</f>
      </c>
      <c r="F6" s="516">
        <f>SUM(F2:F5)</f>
      </c>
      <c r="G6" s="516">
        <f>SUM(G2:G5)</f>
      </c>
      <c r="H6" s="516">
        <f>SUM(H2:H5)</f>
      </c>
      <c r="I6" s="516">
        <f>SUM(I2:I5)</f>
      </c>
      <c r="J6" s="517">
        <f t="shared" si="0"/>
      </c>
      <c r="K6" s="518">
        <f t="shared" si="1"/>
      </c>
      <c r="L6" s="518">
        <f t="shared" si="2"/>
      </c>
      <c r="M6" s="519">
        <f t="shared" si="3"/>
      </c>
      <c r="N6" s="516">
        <f>SUM(N2:N5)</f>
      </c>
      <c r="O6" s="519">
        <f t="shared" si="4"/>
      </c>
      <c r="P6" s="520"/>
      <c r="Q6" s="516">
        <f>SUM(Q2:Q5)</f>
      </c>
    </row>
    <row hidden="true" r="7">
      <c r="A7" s="501" t="s">
        <v>697</v>
      </c>
      <c r="B7" s="502" t="s">
        <v>686</v>
      </c>
      <c r="C7" s="503" t="s">
        <v>687</v>
      </c>
      <c r="D7" s="504">
        <v>5</v>
      </c>
      <c r="E7" s="505">
        <v>19</v>
      </c>
      <c r="F7" s="504">
        <v>186</v>
      </c>
      <c r="G7" s="504">
        <v>117</v>
      </c>
      <c r="H7" s="504">
        <v>38202.3</v>
      </c>
      <c r="I7" s="506">
        <v>36066.78</v>
      </c>
      <c r="J7" s="507">
        <f t="shared" si="0"/>
      </c>
      <c r="K7" s="507">
        <f t="shared" si="1"/>
      </c>
      <c r="L7" s="508">
        <f t="shared" si="2"/>
      </c>
      <c r="M7" s="509">
        <f t="shared" si="3"/>
      </c>
      <c r="N7" s="505">
        <v>27</v>
      </c>
      <c r="O7" s="509">
        <f t="shared" si="4"/>
      </c>
      <c r="P7" s="504" t="s">
        <v>688</v>
      </c>
      <c r="Q7" s="504">
        <v>10</v>
      </c>
    </row>
    <row hidden="true" r="8">
      <c r="A8" s="510" t="s">
        <v>697</v>
      </c>
      <c r="B8" s="502" t="s">
        <v>689</v>
      </c>
      <c r="C8" s="503" t="s">
        <v>690</v>
      </c>
      <c r="D8" s="504">
        <v>5</v>
      </c>
      <c r="E8" s="505">
        <v>24</v>
      </c>
      <c r="F8" s="504">
        <v>170</v>
      </c>
      <c r="G8" s="504">
        <v>102</v>
      </c>
      <c r="H8" s="511">
        <v>32457</v>
      </c>
      <c r="I8" s="506">
        <v>37144.42</v>
      </c>
      <c r="J8" s="507">
        <f t="shared" si="0"/>
      </c>
      <c r="K8" s="507">
        <f t="shared" si="1"/>
      </c>
      <c r="L8" s="508">
        <f t="shared" si="2"/>
      </c>
      <c r="M8" s="509">
        <f t="shared" si="3"/>
      </c>
      <c r="N8" s="505">
        <v>14</v>
      </c>
      <c r="O8" s="509">
        <f t="shared" si="4"/>
      </c>
      <c r="P8" s="504"/>
      <c r="Q8" s="504"/>
    </row>
    <row hidden="true" r="9">
      <c r="A9" s="501" t="s">
        <v>697</v>
      </c>
      <c r="B9" s="502" t="s">
        <v>698</v>
      </c>
      <c r="C9" s="503" t="s">
        <v>692</v>
      </c>
      <c r="D9" s="504">
        <v>5</v>
      </c>
      <c r="E9" s="505">
        <v>10</v>
      </c>
      <c r="F9" s="504">
        <v>115</v>
      </c>
      <c r="G9" s="504">
        <v>67</v>
      </c>
      <c r="H9" s="504">
        <v>27317.09999999999</v>
      </c>
      <c r="I9" s="506">
        <v>35798.66</v>
      </c>
      <c r="J9" s="507">
        <f t="shared" si="0"/>
      </c>
      <c r="K9" s="507">
        <f t="shared" si="1"/>
      </c>
      <c r="L9" s="508">
        <f t="shared" si="2"/>
      </c>
      <c r="M9" s="509">
        <f t="shared" si="3"/>
      </c>
      <c r="N9" s="505">
        <v>10</v>
      </c>
      <c r="O9" s="509">
        <f t="shared" si="4"/>
      </c>
      <c r="P9" s="504"/>
      <c r="Q9" s="504"/>
    </row>
    <row r="10">
      <c r="A10" s="501" t="s">
        <v>697</v>
      </c>
      <c r="B10" s="502" t="s">
        <v>691</v>
      </c>
      <c r="C10" s="503" t="s">
        <v>694</v>
      </c>
      <c r="D10" s="504">
        <v>5</v>
      </c>
      <c r="E10" s="505">
        <v>7</v>
      </c>
      <c r="F10" s="504">
        <v>105</v>
      </c>
      <c r="G10" s="504">
        <v>69</v>
      </c>
      <c r="H10" s="513">
        <v>28790.600000000006</v>
      </c>
      <c r="I10" s="513">
        <v>22062.37000000001</v>
      </c>
      <c r="J10" s="507">
        <f t="shared" si="0"/>
      </c>
      <c r="K10" s="507">
        <f t="shared" si="1"/>
      </c>
      <c r="L10" s="508">
        <f t="shared" si="2"/>
      </c>
      <c r="M10" s="509">
        <f t="shared" si="3"/>
      </c>
      <c r="N10" s="505">
        <v>13</v>
      </c>
      <c r="O10" s="509">
        <f t="shared" si="4"/>
      </c>
      <c r="P10" s="504" t="s">
        <v>699</v>
      </c>
      <c r="Q10" s="504">
        <v>10</v>
      </c>
    </row>
    <row hidden="true" r="11">
      <c r="A11" s="514" t="s">
        <v>697</v>
      </c>
      <c r="B11" s="515" t="s">
        <v>696</v>
      </c>
      <c r="C11" s="516"/>
      <c r="D11" s="516">
        <f>SUM(D7:D10)</f>
      </c>
      <c r="E11" s="516">
        <f>SUM(E7:E10)</f>
      </c>
      <c r="F11" s="516">
        <f>SUM(F7:F10)</f>
      </c>
      <c r="G11" s="516">
        <f>SUM(G7:G10)</f>
      </c>
      <c r="H11" s="516">
        <f>SUM(H7:H10)</f>
      </c>
      <c r="I11" s="516">
        <f>SUM(I7:I10)</f>
      </c>
      <c r="J11" s="517">
        <f t="shared" si="0"/>
      </c>
      <c r="K11" s="518">
        <f t="shared" si="1"/>
      </c>
      <c r="L11" s="518">
        <f t="shared" si="2"/>
      </c>
      <c r="M11" s="519">
        <f t="shared" si="3"/>
      </c>
      <c r="N11" s="516">
        <f>SUM(N7:N10)</f>
      </c>
      <c r="O11" s="519">
        <f t="shared" si="4"/>
      </c>
      <c r="P11" s="520"/>
      <c r="Q11" s="516">
        <f>SUM(Q7:Q10)</f>
      </c>
      <c r="R11" s="521"/>
    </row>
    <row hidden="true" r="12">
      <c r="A12" s="501" t="s">
        <v>700</v>
      </c>
      <c r="B12" s="502" t="s">
        <v>686</v>
      </c>
      <c r="C12" s="503" t="s">
        <v>687</v>
      </c>
      <c r="D12" s="504">
        <v>5</v>
      </c>
      <c r="E12" s="505">
        <v>9</v>
      </c>
      <c r="F12" s="504">
        <v>168</v>
      </c>
      <c r="G12" s="504">
        <v>101</v>
      </c>
      <c r="H12" s="504">
        <v>32667.5</v>
      </c>
      <c r="I12" s="506">
        <v>37274.479999999996</v>
      </c>
      <c r="J12" s="507">
        <f t="shared" si="0"/>
      </c>
      <c r="K12" s="507">
        <f t="shared" si="1"/>
      </c>
      <c r="L12" s="508">
        <f t="shared" si="2"/>
      </c>
      <c r="M12" s="509">
        <f t="shared" si="3"/>
      </c>
      <c r="N12" s="505">
        <v>9</v>
      </c>
      <c r="O12" s="509">
        <f t="shared" si="4"/>
      </c>
      <c r="P12" s="504" t="s">
        <v>688</v>
      </c>
      <c r="Q12" s="504">
        <v>10</v>
      </c>
    </row>
    <row hidden="true" r="13">
      <c r="A13" s="510" t="s">
        <v>700</v>
      </c>
      <c r="B13" s="502" t="s">
        <v>689</v>
      </c>
      <c r="C13" s="503" t="s">
        <v>690</v>
      </c>
      <c r="D13" s="504">
        <v>5</v>
      </c>
      <c r="E13" s="505">
        <v>16</v>
      </c>
      <c r="F13" s="504">
        <v>192</v>
      </c>
      <c r="G13" s="504">
        <v>115</v>
      </c>
      <c r="H13" s="511">
        <v>40920.2</v>
      </c>
      <c r="I13" s="506">
        <v>38187.14</v>
      </c>
      <c r="J13" s="507">
        <f t="shared" si="0"/>
      </c>
      <c r="K13" s="507">
        <f t="shared" si="1"/>
      </c>
      <c r="L13" s="508">
        <f t="shared" si="2"/>
      </c>
      <c r="M13" s="509">
        <f t="shared" si="3"/>
      </c>
      <c r="N13" s="505">
        <v>9</v>
      </c>
      <c r="O13" s="509">
        <f t="shared" si="4"/>
      </c>
      <c r="P13" s="504"/>
      <c r="Q13" s="504"/>
    </row>
    <row hidden="true" r="14">
      <c r="A14" s="501" t="s">
        <v>700</v>
      </c>
      <c r="B14" s="502" t="s">
        <v>698</v>
      </c>
      <c r="C14" s="503" t="s">
        <v>692</v>
      </c>
      <c r="D14" s="504">
        <v>5</v>
      </c>
      <c r="E14" s="505">
        <v>13</v>
      </c>
      <c r="F14" s="504">
        <v>152</v>
      </c>
      <c r="G14" s="504">
        <v>96</v>
      </c>
      <c r="H14" s="504">
        <v>31240.5</v>
      </c>
      <c r="I14" s="506">
        <v>42060.40000000002</v>
      </c>
      <c r="J14" s="507">
        <f t="shared" si="0"/>
      </c>
      <c r="K14" s="507">
        <f t="shared" si="1"/>
      </c>
      <c r="L14" s="508">
        <f t="shared" si="2"/>
      </c>
      <c r="M14" s="509">
        <f t="shared" si="3"/>
      </c>
      <c r="N14" s="505">
        <v>17</v>
      </c>
      <c r="O14" s="509">
        <f t="shared" si="4"/>
      </c>
      <c r="P14" s="504"/>
      <c r="Q14" s="504"/>
    </row>
    <row r="15">
      <c r="A15" s="501" t="s">
        <v>700</v>
      </c>
      <c r="B15" s="502" t="s">
        <v>691</v>
      </c>
      <c r="C15" s="503" t="s">
        <v>694</v>
      </c>
      <c r="D15" s="504">
        <v>5</v>
      </c>
      <c r="E15" s="505">
        <v>14</v>
      </c>
      <c r="F15" s="504">
        <v>156</v>
      </c>
      <c r="G15" s="504">
        <v>93</v>
      </c>
      <c r="H15" s="513">
        <v>35405.3</v>
      </c>
      <c r="I15" s="513">
        <v>31187.609999999957</v>
      </c>
      <c r="J15" s="507">
        <f t="shared" si="0"/>
      </c>
      <c r="K15" s="507">
        <f t="shared" si="1"/>
      </c>
      <c r="L15" s="508">
        <f t="shared" si="2"/>
      </c>
      <c r="M15" s="509">
        <f t="shared" si="3"/>
      </c>
      <c r="N15" s="505">
        <v>14</v>
      </c>
      <c r="O15" s="509">
        <f t="shared" si="4"/>
      </c>
      <c r="P15" s="504" t="s">
        <v>695</v>
      </c>
      <c r="Q15" s="504">
        <v>10</v>
      </c>
    </row>
    <row hidden="true" r="16">
      <c r="A16" s="514" t="s">
        <v>700</v>
      </c>
      <c r="B16" s="515" t="s">
        <v>696</v>
      </c>
      <c r="C16" s="516"/>
      <c r="D16" s="516">
        <f>SUM(D12:D15)</f>
      </c>
      <c r="E16" s="516">
        <f>SUM(E12:E15)</f>
      </c>
      <c r="F16" s="516">
        <f>SUM(F12:F15)</f>
      </c>
      <c r="G16" s="516">
        <f>SUM(G12:G15)</f>
      </c>
      <c r="H16" s="516">
        <f>SUM(H12:H15)</f>
      </c>
      <c r="I16" s="516">
        <f>SUM(I12:I15)</f>
      </c>
      <c r="J16" s="517">
        <f t="shared" si="0"/>
      </c>
      <c r="K16" s="518">
        <f t="shared" si="1"/>
      </c>
      <c r="L16" s="518">
        <f t="shared" si="2"/>
      </c>
      <c r="M16" s="519">
        <f t="shared" si="3"/>
      </c>
      <c r="N16" s="516">
        <f>SUM(N12:N15)</f>
      </c>
      <c r="O16" s="519">
        <f t="shared" si="4"/>
      </c>
      <c r="P16" s="520"/>
      <c r="Q16" s="516">
        <f>SUM(Q12:Q15)</f>
      </c>
      <c r="R16" s="521"/>
    </row>
    <row hidden="true" r="17">
      <c r="A17" s="501" t="s">
        <v>701</v>
      </c>
      <c r="B17" s="502" t="s">
        <v>686</v>
      </c>
      <c r="C17" s="503" t="s">
        <v>687</v>
      </c>
      <c r="D17" s="504">
        <v>5</v>
      </c>
      <c r="E17" s="505">
        <v>14</v>
      </c>
      <c r="F17" s="504">
        <v>144</v>
      </c>
      <c r="G17" s="504">
        <v>90</v>
      </c>
      <c r="H17" s="504">
        <v>31294.2</v>
      </c>
      <c r="I17" s="506">
        <v>28856.899999999998</v>
      </c>
      <c r="J17" s="507">
        <f t="shared" si="0"/>
      </c>
      <c r="K17" s="507">
        <f t="shared" si="1"/>
      </c>
      <c r="L17" s="508">
        <f t="shared" si="2"/>
      </c>
      <c r="M17" s="509">
        <f t="shared" si="3"/>
      </c>
      <c r="N17" s="505">
        <v>9</v>
      </c>
      <c r="O17" s="509">
        <f t="shared" si="4"/>
      </c>
      <c r="P17" s="504" t="s">
        <v>688</v>
      </c>
      <c r="Q17" s="504">
        <v>10</v>
      </c>
    </row>
    <row hidden="true" r="18">
      <c r="A18" s="501" t="s">
        <v>701</v>
      </c>
      <c r="B18" s="512" t="s">
        <v>693</v>
      </c>
      <c r="C18" s="503" t="s">
        <v>690</v>
      </c>
      <c r="D18" s="504">
        <v>5</v>
      </c>
      <c r="E18" s="505">
        <v>15</v>
      </c>
      <c r="F18" s="504">
        <v>147</v>
      </c>
      <c r="G18" s="504">
        <v>89</v>
      </c>
      <c r="H18" s="506">
        <v>29446.099999999995</v>
      </c>
      <c r="I18" s="506">
        <v>31606.56</v>
      </c>
      <c r="J18" s="507">
        <f t="shared" si="0"/>
      </c>
      <c r="K18" s="507">
        <f t="shared" si="1"/>
      </c>
      <c r="L18" s="508">
        <f t="shared" si="2"/>
      </c>
      <c r="M18" s="509">
        <f t="shared" si="3"/>
      </c>
      <c r="N18" s="505">
        <v>11</v>
      </c>
      <c r="O18" s="509">
        <f t="shared" si="4"/>
      </c>
      <c r="P18" s="504"/>
      <c r="Q18" s="504"/>
    </row>
    <row r="19">
      <c r="A19" s="501" t="s">
        <v>701</v>
      </c>
      <c r="B19" s="502" t="s">
        <v>691</v>
      </c>
      <c r="C19" s="503" t="s">
        <v>692</v>
      </c>
      <c r="D19" s="504">
        <v>5</v>
      </c>
      <c r="E19" s="505">
        <v>18</v>
      </c>
      <c r="F19" s="504">
        <v>226</v>
      </c>
      <c r="G19" s="504">
        <v>130</v>
      </c>
      <c r="H19" s="504">
        <v>44030.99999999999</v>
      </c>
      <c r="I19" s="506">
        <v>43743.52</v>
      </c>
      <c r="J19" s="507">
        <f t="shared" si="0"/>
      </c>
      <c r="K19" s="507">
        <f t="shared" si="1"/>
      </c>
      <c r="L19" s="508">
        <f t="shared" si="2"/>
      </c>
      <c r="M19" s="509">
        <f t="shared" si="3"/>
      </c>
      <c r="N19" s="505">
        <v>19</v>
      </c>
      <c r="O19" s="509">
        <f t="shared" si="4"/>
      </c>
      <c r="P19" s="504"/>
      <c r="Q19" s="504"/>
    </row>
    <row hidden="true" r="20">
      <c r="A20" s="510" t="s">
        <v>701</v>
      </c>
      <c r="B20" s="502" t="s">
        <v>689</v>
      </c>
      <c r="C20" s="503" t="s">
        <v>694</v>
      </c>
      <c r="D20" s="504">
        <v>5</v>
      </c>
      <c r="E20" s="505">
        <v>29</v>
      </c>
      <c r="F20" s="504">
        <v>248</v>
      </c>
      <c r="G20" s="504">
        <v>159</v>
      </c>
      <c r="H20" s="522">
        <v>56004.80000000002</v>
      </c>
      <c r="I20" s="513">
        <v>52373.95</v>
      </c>
      <c r="J20" s="507">
        <f t="shared" si="0"/>
      </c>
      <c r="K20" s="507">
        <f t="shared" si="1"/>
      </c>
      <c r="L20" s="508">
        <f t="shared" si="2"/>
      </c>
      <c r="M20" s="509">
        <f t="shared" si="3"/>
      </c>
      <c r="N20" s="505">
        <v>23</v>
      </c>
      <c r="O20" s="509">
        <f t="shared" si="4"/>
      </c>
      <c r="P20" s="504" t="s">
        <v>695</v>
      </c>
      <c r="Q20" s="504">
        <v>10</v>
      </c>
    </row>
    <row hidden="true" r="21">
      <c r="A21" s="514" t="s">
        <v>701</v>
      </c>
      <c r="B21" s="515" t="s">
        <v>696</v>
      </c>
      <c r="C21" s="516"/>
      <c r="D21" s="516">
        <f>SUM(D17:D20)</f>
      </c>
      <c r="E21" s="516">
        <f>SUM(E17:E20)</f>
      </c>
      <c r="F21" s="516">
        <f>SUM(F17:F20)</f>
      </c>
      <c r="G21" s="516">
        <f>SUM(G17:G20)</f>
      </c>
      <c r="H21" s="516">
        <f>SUM(H17:H20)</f>
      </c>
      <c r="I21" s="516">
        <f>SUM(I17:I20)</f>
      </c>
      <c r="J21" s="517">
        <f t="shared" si="0"/>
      </c>
      <c r="K21" s="518">
        <f t="shared" si="1"/>
      </c>
      <c r="L21" s="518">
        <f t="shared" si="2"/>
      </c>
      <c r="M21" s="519">
        <f t="shared" si="3"/>
      </c>
      <c r="N21" s="516">
        <f>SUM(N17:N20)</f>
      </c>
      <c r="O21" s="519">
        <f t="shared" si="4"/>
      </c>
      <c r="P21" s="520"/>
      <c r="Q21" s="516">
        <f>SUM(Q17:Q20)</f>
      </c>
    </row>
    <row hidden="true" r="22">
      <c r="A22" s="501" t="s">
        <v>702</v>
      </c>
      <c r="B22" s="502" t="s">
        <v>686</v>
      </c>
      <c r="C22" s="503" t="s">
        <v>687</v>
      </c>
      <c r="D22" s="504">
        <v>5</v>
      </c>
      <c r="E22" s="505">
        <v>7</v>
      </c>
      <c r="F22" s="504">
        <v>91</v>
      </c>
      <c r="G22" s="504">
        <v>54</v>
      </c>
      <c r="H22" s="504">
        <v>20264</v>
      </c>
      <c r="I22" s="506">
        <v>27097.64</v>
      </c>
      <c r="J22" s="507">
        <f t="shared" si="0"/>
      </c>
      <c r="K22" s="507">
        <f t="shared" si="1"/>
      </c>
      <c r="L22" s="508">
        <f t="shared" si="2"/>
      </c>
      <c r="M22" s="509">
        <f t="shared" si="3"/>
      </c>
      <c r="N22" s="505">
        <v>4</v>
      </c>
      <c r="O22" s="509">
        <f t="shared" si="4"/>
      </c>
      <c r="P22" s="504" t="s">
        <v>688</v>
      </c>
      <c r="Q22" s="504">
        <v>10</v>
      </c>
    </row>
    <row hidden="true" r="23">
      <c r="A23" s="501" t="s">
        <v>702</v>
      </c>
      <c r="B23" s="512" t="s">
        <v>698</v>
      </c>
      <c r="C23" s="503" t="s">
        <v>690</v>
      </c>
      <c r="D23" s="504">
        <v>5</v>
      </c>
      <c r="E23" s="505">
        <v>13</v>
      </c>
      <c r="F23" s="504">
        <v>102</v>
      </c>
      <c r="G23" s="504">
        <v>73</v>
      </c>
      <c r="H23" s="506">
        <v>23827.699999999997</v>
      </c>
      <c r="I23" s="506">
        <v>21180.65000000001</v>
      </c>
      <c r="J23" s="507">
        <f t="shared" si="0"/>
      </c>
      <c r="K23" s="507">
        <f t="shared" si="1"/>
      </c>
      <c r="L23" s="508">
        <f t="shared" si="2"/>
      </c>
      <c r="M23" s="509">
        <f t="shared" si="3"/>
      </c>
      <c r="N23" s="505">
        <v>12</v>
      </c>
      <c r="O23" s="509">
        <f t="shared" si="4"/>
      </c>
      <c r="P23" s="504"/>
      <c r="Q23" s="504"/>
    </row>
    <row hidden="true" r="24">
      <c r="A24" s="510" t="s">
        <v>702</v>
      </c>
      <c r="B24" s="502" t="s">
        <v>689</v>
      </c>
      <c r="C24" s="503" t="s">
        <v>692</v>
      </c>
      <c r="D24" s="504">
        <v>5</v>
      </c>
      <c r="E24" s="505">
        <v>13</v>
      </c>
      <c r="F24" s="504">
        <v>130</v>
      </c>
      <c r="G24" s="504">
        <v>81</v>
      </c>
      <c r="H24" s="523">
        <v>27912.90000000001</v>
      </c>
      <c r="I24" s="506">
        <v>33938.94999999998</v>
      </c>
      <c r="J24" s="507">
        <f t="shared" si="0"/>
      </c>
      <c r="K24" s="507">
        <f t="shared" si="1"/>
      </c>
      <c r="L24" s="508">
        <f t="shared" si="2"/>
      </c>
      <c r="M24" s="509">
        <f t="shared" si="3"/>
      </c>
      <c r="N24" s="505">
        <v>13</v>
      </c>
      <c r="O24" s="509">
        <f t="shared" si="4"/>
      </c>
      <c r="P24" s="504"/>
      <c r="Q24" s="504"/>
    </row>
    <row r="25">
      <c r="A25" s="501" t="s">
        <v>702</v>
      </c>
      <c r="B25" s="502" t="s">
        <v>691</v>
      </c>
      <c r="C25" s="503" t="s">
        <v>694</v>
      </c>
      <c r="D25" s="504">
        <v>5</v>
      </c>
      <c r="E25" s="505">
        <v>6</v>
      </c>
      <c r="F25" s="504">
        <v>64</v>
      </c>
      <c r="G25" s="504">
        <v>41</v>
      </c>
      <c r="H25" s="513">
        <v>10759.199999999997</v>
      </c>
      <c r="I25" s="513">
        <v>16703.87000000001</v>
      </c>
      <c r="J25" s="507">
        <f t="shared" si="0"/>
      </c>
      <c r="K25" s="507">
        <f t="shared" si="1"/>
      </c>
      <c r="L25" s="508">
        <f t="shared" si="2"/>
      </c>
      <c r="M25" s="509">
        <f t="shared" si="3"/>
      </c>
      <c r="N25" s="505">
        <v>5</v>
      </c>
      <c r="O25" s="509">
        <f t="shared" si="4"/>
      </c>
      <c r="P25" s="504" t="s">
        <v>695</v>
      </c>
      <c r="Q25" s="504">
        <v>10</v>
      </c>
    </row>
    <row hidden="true" r="26">
      <c r="A26" s="514" t="s">
        <v>702</v>
      </c>
      <c r="B26" s="515" t="s">
        <v>696</v>
      </c>
      <c r="C26" s="516"/>
      <c r="D26" s="516">
        <f>SUM(D22:D25)</f>
      </c>
      <c r="E26" s="516">
        <f>SUM(E22:E25)</f>
      </c>
      <c r="F26" s="516">
        <f>SUM(F22:F25)</f>
      </c>
      <c r="G26" s="516">
        <f>SUM(G22:G25)</f>
      </c>
      <c r="H26" s="516">
        <f>SUM(H22:H25)</f>
      </c>
      <c r="I26" s="516">
        <f>SUM(I22:I25)</f>
      </c>
      <c r="J26" s="517">
        <f t="shared" si="0"/>
      </c>
      <c r="K26" s="518">
        <f t="shared" si="1"/>
      </c>
      <c r="L26" s="518">
        <f t="shared" si="2"/>
      </c>
      <c r="M26" s="519">
        <f t="shared" si="3"/>
      </c>
      <c r="N26" s="516">
        <f>SUM(N22:N25)</f>
      </c>
      <c r="O26" s="519">
        <f t="shared" si="4"/>
      </c>
      <c r="P26" s="520"/>
      <c r="Q26" s="516">
        <f>SUM(Q22:Q25)</f>
      </c>
    </row>
    <row hidden="true" r="27">
      <c r="A27" s="501" t="s">
        <v>703</v>
      </c>
      <c r="B27" s="502" t="s">
        <v>686</v>
      </c>
      <c r="C27" s="503" t="s">
        <v>687</v>
      </c>
      <c r="D27" s="504">
        <v>5</v>
      </c>
      <c r="E27" s="505">
        <v>20</v>
      </c>
      <c r="F27" s="504">
        <v>158</v>
      </c>
      <c r="G27" s="504">
        <v>102</v>
      </c>
      <c r="H27" s="504">
        <v>34720</v>
      </c>
      <c r="I27" s="506">
        <v>33168.25</v>
      </c>
      <c r="J27" s="507">
        <f t="shared" si="0"/>
      </c>
      <c r="K27" s="507">
        <f t="shared" si="1"/>
      </c>
      <c r="L27" s="508">
        <f t="shared" si="2"/>
      </c>
      <c r="M27" s="509">
        <f t="shared" si="3"/>
      </c>
      <c r="N27" s="505">
        <v>16</v>
      </c>
      <c r="O27" s="509">
        <f t="shared" si="4"/>
      </c>
      <c r="P27" s="504" t="s">
        <v>688</v>
      </c>
      <c r="Q27" s="504">
        <v>10</v>
      </c>
    </row>
    <row hidden="true" r="28">
      <c r="A28" s="501" t="s">
        <v>703</v>
      </c>
      <c r="B28" s="512" t="s">
        <v>698</v>
      </c>
      <c r="C28" s="503" t="s">
        <v>690</v>
      </c>
      <c r="D28" s="504">
        <v>5</v>
      </c>
      <c r="E28" s="505">
        <v>11</v>
      </c>
      <c r="F28" s="504">
        <v>125</v>
      </c>
      <c r="G28" s="504">
        <v>71</v>
      </c>
      <c r="H28" s="506">
        <v>24068</v>
      </c>
      <c r="I28" s="506">
        <v>22734.92</v>
      </c>
      <c r="J28" s="507">
        <f t="shared" si="0"/>
      </c>
      <c r="K28" s="507">
        <f t="shared" si="1"/>
      </c>
      <c r="L28" s="508">
        <f t="shared" si="2"/>
      </c>
      <c r="M28" s="509">
        <f t="shared" si="3"/>
      </c>
      <c r="N28" s="505">
        <v>9</v>
      </c>
      <c r="O28" s="509">
        <f t="shared" si="4"/>
      </c>
      <c r="P28" s="504"/>
      <c r="Q28" s="504"/>
    </row>
    <row r="29">
      <c r="A29" s="501" t="s">
        <v>703</v>
      </c>
      <c r="B29" s="502" t="s">
        <v>691</v>
      </c>
      <c r="C29" s="503" t="s">
        <v>692</v>
      </c>
      <c r="D29" s="504">
        <v>5</v>
      </c>
      <c r="E29" s="505">
        <v>17</v>
      </c>
      <c r="F29" s="504">
        <v>166</v>
      </c>
      <c r="G29" s="504">
        <v>97</v>
      </c>
      <c r="H29" s="504">
        <v>32663.300000000003</v>
      </c>
      <c r="I29" s="506">
        <v>35604.750000000015</v>
      </c>
      <c r="J29" s="507">
        <f t="shared" si="0"/>
      </c>
      <c r="K29" s="507">
        <f t="shared" si="1"/>
      </c>
      <c r="L29" s="508">
        <f t="shared" si="2"/>
      </c>
      <c r="M29" s="509">
        <f t="shared" si="3"/>
      </c>
      <c r="N29" s="505">
        <v>12</v>
      </c>
      <c r="O29" s="509">
        <f t="shared" si="4"/>
      </c>
      <c r="P29" s="504"/>
      <c r="Q29" s="504"/>
    </row>
    <row hidden="true" r="30">
      <c r="A30" s="510" t="s">
        <v>703</v>
      </c>
      <c r="B30" s="502" t="s">
        <v>689</v>
      </c>
      <c r="C30" s="503" t="s">
        <v>694</v>
      </c>
      <c r="D30" s="504">
        <v>5</v>
      </c>
      <c r="E30" s="505">
        <v>13</v>
      </c>
      <c r="F30" s="504">
        <v>130</v>
      </c>
      <c r="G30" s="504">
        <v>80</v>
      </c>
      <c r="H30" s="522">
        <v>24771.800000000003</v>
      </c>
      <c r="I30" s="513">
        <v>28321.25999999998</v>
      </c>
      <c r="J30" s="507">
        <f t="shared" si="0"/>
      </c>
      <c r="K30" s="507">
        <f t="shared" si="1"/>
      </c>
      <c r="L30" s="508">
        <f t="shared" si="2"/>
      </c>
      <c r="M30" s="509">
        <f t="shared" si="3"/>
      </c>
      <c r="N30" s="505">
        <v>16</v>
      </c>
      <c r="O30" s="509">
        <f t="shared" si="4"/>
      </c>
      <c r="P30" s="504" t="s">
        <v>695</v>
      </c>
      <c r="Q30" s="504">
        <v>10</v>
      </c>
    </row>
    <row hidden="true" r="31">
      <c r="A31" s="514" t="s">
        <v>703</v>
      </c>
      <c r="B31" s="515" t="s">
        <v>696</v>
      </c>
      <c r="C31" s="516"/>
      <c r="D31" s="516">
        <f>SUM(D27:D30)</f>
      </c>
      <c r="E31" s="516">
        <f>SUM(E27:E30)</f>
      </c>
      <c r="F31" s="516">
        <f>SUM(F27:F30)</f>
      </c>
      <c r="G31" s="516">
        <f>SUM(G27:G30)</f>
      </c>
      <c r="H31" s="516">
        <f>SUM(H27:H30)</f>
      </c>
      <c r="I31" s="516">
        <f>SUM(I27:I30)</f>
      </c>
      <c r="J31" s="517">
        <f t="shared" si="0"/>
      </c>
      <c r="K31" s="518">
        <f t="shared" si="1"/>
      </c>
      <c r="L31" s="518">
        <f t="shared" si="2"/>
      </c>
      <c r="M31" s="519">
        <f t="shared" si="3"/>
      </c>
      <c r="N31" s="516">
        <f>SUM(N27:N30)</f>
      </c>
      <c r="O31" s="519">
        <f t="shared" si="4"/>
      </c>
      <c r="P31" s="520"/>
      <c r="Q31" s="516">
        <f>SUM(Q27:Q30)</f>
      </c>
    </row>
    <row r="32">
      <c r="A32" s="501" t="s">
        <v>704</v>
      </c>
      <c r="B32" s="502" t="s">
        <v>691</v>
      </c>
      <c r="C32" s="503" t="s">
        <v>687</v>
      </c>
      <c r="D32" s="504">
        <v>5</v>
      </c>
      <c r="E32" s="505">
        <v>19</v>
      </c>
      <c r="F32" s="504">
        <v>192</v>
      </c>
      <c r="G32" s="504">
        <v>113</v>
      </c>
      <c r="H32" s="504">
        <v>38594.8</v>
      </c>
      <c r="I32" s="506">
        <v>36065.520000000004</v>
      </c>
      <c r="J32" s="507">
        <f t="shared" si="0"/>
      </c>
      <c r="K32" s="507">
        <f t="shared" si="1"/>
      </c>
      <c r="L32" s="508">
        <f t="shared" si="2"/>
      </c>
      <c r="M32" s="509">
        <f t="shared" si="3"/>
      </c>
      <c r="N32" s="505">
        <v>11</v>
      </c>
      <c r="O32" s="509">
        <f t="shared" si="4"/>
      </c>
      <c r="P32" s="504" t="s">
        <v>688</v>
      </c>
      <c r="Q32" s="504">
        <v>10</v>
      </c>
    </row>
    <row hidden="true" r="33">
      <c r="A33" s="510" t="s">
        <v>704</v>
      </c>
      <c r="B33" s="502" t="s">
        <v>689</v>
      </c>
      <c r="C33" s="503" t="s">
        <v>690</v>
      </c>
      <c r="D33" s="504">
        <v>5</v>
      </c>
      <c r="E33" s="505">
        <v>14</v>
      </c>
      <c r="F33" s="504">
        <v>160</v>
      </c>
      <c r="G33" s="504">
        <v>102</v>
      </c>
      <c r="H33" s="511">
        <v>34905.79999999999</v>
      </c>
      <c r="I33" s="506">
        <v>32166.579999999987</v>
      </c>
      <c r="J33" s="507">
        <f t="shared" si="0"/>
      </c>
      <c r="K33" s="507">
        <f t="shared" si="1"/>
      </c>
      <c r="L33" s="508">
        <f t="shared" si="2"/>
      </c>
      <c r="M33" s="509">
        <f t="shared" si="3"/>
      </c>
      <c r="N33" s="505">
        <v>15</v>
      </c>
      <c r="O33" s="509">
        <f t="shared" si="4"/>
      </c>
      <c r="P33" s="504"/>
      <c r="Q33" s="504"/>
    </row>
    <row hidden="true" r="34">
      <c r="A34" s="501" t="s">
        <v>704</v>
      </c>
      <c r="B34" s="512" t="s">
        <v>693</v>
      </c>
      <c r="C34" s="503" t="s">
        <v>692</v>
      </c>
      <c r="D34" s="504">
        <v>5</v>
      </c>
      <c r="E34" s="505">
        <v>16</v>
      </c>
      <c r="F34" s="504">
        <v>144</v>
      </c>
      <c r="G34" s="504">
        <v>79</v>
      </c>
      <c r="H34" s="504">
        <v>32277.79999999999</v>
      </c>
      <c r="I34" s="506">
        <v>36768.01999999999</v>
      </c>
      <c r="J34" s="507">
        <f t="shared" si="0"/>
      </c>
      <c r="K34" s="507">
        <f t="shared" si="1"/>
      </c>
      <c r="L34" s="508">
        <f t="shared" si="2"/>
      </c>
      <c r="M34" s="509">
        <f t="shared" si="3"/>
      </c>
      <c r="N34" s="505">
        <v>9</v>
      </c>
      <c r="O34" s="509">
        <f t="shared" si="4"/>
      </c>
      <c r="P34" s="504"/>
      <c r="Q34" s="504"/>
    </row>
    <row hidden="true" r="35">
      <c r="A35" s="501" t="s">
        <v>704</v>
      </c>
      <c r="B35" s="502" t="s">
        <v>686</v>
      </c>
      <c r="C35" s="503" t="s">
        <v>694</v>
      </c>
      <c r="D35" s="504">
        <v>5</v>
      </c>
      <c r="E35" s="505">
        <v>10</v>
      </c>
      <c r="F35" s="504">
        <v>81</v>
      </c>
      <c r="G35" s="504">
        <v>50</v>
      </c>
      <c r="H35" s="513">
        <v>18126.399999999994</v>
      </c>
      <c r="I35" s="513">
        <v>21259.639999999985</v>
      </c>
      <c r="J35" s="507">
        <f t="shared" si="0"/>
      </c>
      <c r="K35" s="507">
        <f t="shared" si="1"/>
      </c>
      <c r="L35" s="508">
        <f t="shared" si="2"/>
      </c>
      <c r="M35" s="509">
        <f t="shared" si="3"/>
      </c>
      <c r="N35" s="505">
        <v>3</v>
      </c>
      <c r="O35" s="509">
        <f t="shared" si="4"/>
      </c>
      <c r="P35" s="504" t="s">
        <v>695</v>
      </c>
      <c r="Q35" s="504">
        <v>10</v>
      </c>
    </row>
    <row hidden="true" r="36">
      <c r="A36" s="514" t="s">
        <v>704</v>
      </c>
      <c r="B36" s="515" t="s">
        <v>696</v>
      </c>
      <c r="C36" s="516"/>
      <c r="D36" s="516">
        <f>SUM(D32:D35)</f>
      </c>
      <c r="E36" s="516">
        <f>SUM(E32:E35)</f>
      </c>
      <c r="F36" s="516">
        <f>SUM(F32:F35)</f>
      </c>
      <c r="G36" s="516">
        <f>SUM(G32:G35)</f>
      </c>
      <c r="H36" s="516">
        <f>SUM(H32:H35)</f>
      </c>
      <c r="I36" s="516">
        <f>SUM(I32:I35)</f>
      </c>
      <c r="J36" s="517">
        <f t="shared" si="0"/>
      </c>
      <c r="K36" s="518">
        <f t="shared" si="1"/>
      </c>
      <c r="L36" s="518">
        <f t="shared" si="2"/>
      </c>
      <c r="M36" s="519">
        <f t="shared" si="3"/>
      </c>
      <c r="N36" s="516">
        <f>SUM(N32:N35)</f>
      </c>
      <c r="O36" s="519">
        <f t="shared" si="4"/>
      </c>
      <c r="P36" s="520"/>
      <c r="Q36" s="516">
        <f>SUM(Q32:Q35)</f>
      </c>
    </row>
    <row hidden="true" r="37">
      <c r="E37" s="524"/>
    </row>
    <row hidden="true" r="38">
      <c r="E38" s="524"/>
    </row>
    <row hidden="true" r="39">
      <c r="E39" s="524"/>
    </row>
    <row hidden="true" r="40">
      <c r="E40" s="524"/>
    </row>
    <row hidden="true" r="41">
      <c r="D41">
        <f>D6+D11+D16+D21+D26+D31+D36</f>
      </c>
      <c r="E41" s="524"/>
      <c r="G41">
        <f>G6+G11+G16+G21+G26+G31+G36</f>
      </c>
      <c r="H41">
        <f>H6+H11+H16+H21+H26+H31+H36</f>
      </c>
      <c r="I41">
        <f>I6+I11+I16+I21+I26+I31+I36</f>
      </c>
    </row>
    <row hidden="true" r="42">
      <c r="E42" s="524"/>
    </row>
    <row hidden="true" r="43">
      <c r="E43" s="524"/>
    </row>
    <row hidden="true" r="44">
      <c r="E44" s="524"/>
    </row>
    <row hidden="true" r="45"/>
    <row hidden="true" r="46"/>
    <row hidden="true" r="47"/>
    <row hidden="true" r="48"/>
    <row hidden="true" r="49"/>
    <row hidden="true" r="50"/>
    <row hidden="true" r="51"/>
    <row hidden="true" r="52"/>
    <row hidden="true" r="53"/>
    <row hidden="true" r="54"/>
    <row hidden="true" r="55"/>
    <row hidden="true" r="56"/>
    <row hidden="true" r="57"/>
    <row hidden="true" r="58"/>
    <row hidden="true" r="59"/>
    <row hidden="true" r="60"/>
    <row hidden="true" r="61"/>
    <row hidden="true" r="62"/>
    <row hidden="true" r="63"/>
    <row hidden="true" r="64"/>
    <row hidden="true" r="65"/>
    <row hidden="true" r="66"/>
    <row hidden="true" r="67"/>
    <row hidden="true" r="68"/>
    <row hidden="true" r="69"/>
    <row hidden="true" r="70"/>
    <row hidden="true" r="71"/>
    <row hidden="true" r="72"/>
    <row hidden="true" r="73"/>
    <row hidden="true" r="74"/>
    <row hidden="true" r="75"/>
    <row hidden="true" r="76"/>
    <row hidden="true" r="77"/>
    <row hidden="true" r="78"/>
    <row hidden="true" r="79"/>
    <row hidden="true" r="80"/>
    <row hidden="true" r="81"/>
    <row hidden="true" r="82"/>
    <row hidden="true" r="83"/>
    <row hidden="true" r="84"/>
    <row hidden="true" r="85"/>
    <row hidden="true" r="86"/>
    <row hidden="true" r="87"/>
    <row hidden="true" r="88"/>
    <row hidden="true" r="89"/>
    <row hidden="true" r="90"/>
    <row hidden="true" r="91"/>
    <row hidden="true" r="92"/>
    <row hidden="true" r="93"/>
    <row hidden="true" r="94"/>
    <row hidden="true" r="95"/>
    <row hidden="true" r="96"/>
    <row hidden="true" r="97"/>
    <row hidden="true" r="98"/>
    <row hidden="true" r="99"/>
    <row hidden="true" r="100"/>
    <row hidden="true" r="101"/>
    <row hidden="true" r="102"/>
    <row hidden="true" r="103"/>
    <row hidden="true" r="104"/>
    <row hidden="true" r="105"/>
    <row hidden="true" r="106"/>
    <row hidden="true" r="107"/>
    <row hidden="true" r="108"/>
    <row hidden="true" r="109"/>
    <row hidden="true" r="110"/>
    <row hidden="true" r="111"/>
    <row hidden="true" r="112"/>
    <row hidden="true" r="113"/>
    <row hidden="true" r="114"/>
    <row hidden="true" r="115"/>
    <row hidden="true" r="116"/>
    <row hidden="true" r="117"/>
    <row hidden="true" r="118"/>
    <row hidden="true" r="119"/>
    <row hidden="true" r="120"/>
    <row hidden="true" r="121"/>
    <row hidden="true" r="122"/>
    <row hidden="true" r="123"/>
    <row hidden="true" r="124"/>
    <row hidden="true" r="125"/>
    <row hidden="true" r="126"/>
    <row hidden="true" r="127"/>
    <row hidden="true" r="128"/>
    <row hidden="true" r="129"/>
    <row hidden="true" r="130"/>
    <row hidden="true" r="131"/>
    <row hidden="true" r="132"/>
    <row hidden="true" r="133"/>
    <row hidden="true" r="134"/>
    <row hidden="true" r="135"/>
    <row hidden="true" r="136"/>
    <row hidden="true" r="137"/>
    <row hidden="true" r="138"/>
    <row hidden="true" r="139"/>
    <row hidden="true" r="140"/>
    <row hidden="true" r="141"/>
    <row hidden="true" r="142"/>
    <row hidden="true" r="143"/>
    <row hidden="true" r="144"/>
    <row hidden="true" r="145"/>
    <row hidden="true" r="146"/>
    <row hidden="true" r="147"/>
    <row hidden="true" r="148"/>
    <row hidden="true" r="149"/>
    <row hidden="true" r="150"/>
    <row hidden="true" r="151"/>
    <row hidden="true" r="152"/>
    <row hidden="true" r="153"/>
    <row hidden="true" r="154"/>
    <row hidden="true" r="155"/>
    <row hidden="true" r="156"/>
    <row hidden="true" r="157"/>
    <row hidden="true" r="158"/>
    <row hidden="true" r="159"/>
    <row hidden="true" r="160"/>
    <row hidden="true" r="161"/>
    <row hidden="true" r="162"/>
    <row hidden="true" r="163"/>
    <row hidden="true" r="164"/>
    <row hidden="true" r="165"/>
    <row hidden="true" r="166"/>
    <row hidden="true" r="167"/>
    <row hidden="true" r="168"/>
    <row hidden="true" r="169"/>
    <row hidden="true" r="170"/>
    <row hidden="true" r="171"/>
    <row hidden="true" r="172"/>
    <row hidden="true" r="173"/>
    <row hidden="true" r="174"/>
    <row hidden="true" r="175"/>
    <row hidden="true" r="176"/>
    <row hidden="true" r="177"/>
    <row hidden="true" r="178"/>
    <row hidden="true" r="179"/>
    <row hidden="true" r="180"/>
    <row hidden="true" r="181"/>
    <row hidden="true" r="182"/>
    <row hidden="true" r="183"/>
    <row hidden="true" r="184"/>
    <row hidden="true" r="185"/>
    <row hidden="true" r="186"/>
    <row hidden="true" r="187"/>
    <row hidden="true" r="188"/>
    <row hidden="true" r="189"/>
    <row hidden="true" r="190"/>
    <row hidden="true" r="191"/>
    <row hidden="true" r="192"/>
    <row hidden="true" r="193"/>
    <row hidden="true" r="194"/>
    <row hidden="true" r="195"/>
    <row hidden="true" r="196"/>
    <row hidden="true" r="197"/>
    <row hidden="true" r="198"/>
    <row hidden="true" r="199"/>
    <row hidden="true" r="200"/>
  </sheetData>
  <autoFilter ref="A1:U200">
    <filterColumn colId="0">
      <filters>
        <filter val="2026/10/12"/>
        <filter val="2026/10/13"/>
        <filter val="2026/10/14"/>
        <filter val="2026/10/15"/>
        <filter val="2026/10/16"/>
        <filter val="2026/10/17"/>
        <filter val="2026/10/18"/>
      </filters>
    </filterColumn>
    <filterColumn colId="1">
      <filters>
        <filter val="杨文"/>
      </filters>
    </filterColumn>
  </autoFil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